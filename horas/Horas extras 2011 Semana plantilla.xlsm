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 hidePivotFieldList="1"/>
  <bookViews>
    <workbookView xWindow="6555" yWindow="300" windowWidth="7635" windowHeight="8205" tabRatio="721" activeTab="3"/>
  </bookViews>
  <sheets>
    <sheet name="Base" sheetId="32916" r:id="rId1"/>
    <sheet name="Ingreso" sheetId="32917" r:id="rId2"/>
    <sheet name="Informe Kelly" sheetId="32918" r:id="rId3"/>
    <sheet name="Control informe Kelly" sheetId="32922" r:id="rId4"/>
  </sheets>
  <functionGroups/>
  <definedNames>
    <definedName name="_xlnm._FilterDatabase" localSheetId="0" hidden="1">Base!$A$1:$IU$261</definedName>
    <definedName name="_xlnm._FilterDatabase" localSheetId="3" hidden="1">'Control informe Kelly'!$A$8:$O$1322</definedName>
  </definedNames>
  <calcPr calcId="125725"/>
  <pivotCaches>
    <pivotCache cacheId="24" r:id="rId5"/>
  </pivotCaches>
</workbook>
</file>

<file path=xl/calcChain.xml><?xml version="1.0" encoding="utf-8"?>
<calcChain xmlns="http://schemas.openxmlformats.org/spreadsheetml/2006/main">
  <c r="L9" i="32922"/>
  <c r="L45"/>
  <c r="I13"/>
  <c r="G13"/>
  <c r="I9"/>
  <c r="H9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H10"/>
  <c r="H1097"/>
  <c r="S8" i="32917"/>
  <c r="AW31"/>
  <c r="BD31" s="1"/>
  <c r="AX31"/>
  <c r="AY31"/>
  <c r="AZ31"/>
  <c r="BA31"/>
  <c r="BB31"/>
  <c r="BC31"/>
  <c r="AW32"/>
  <c r="AX32"/>
  <c r="AY32"/>
  <c r="AZ32"/>
  <c r="BA32"/>
  <c r="BB32"/>
  <c r="BC32"/>
  <c r="BD32"/>
  <c r="AW33"/>
  <c r="AX33"/>
  <c r="AY33"/>
  <c r="AZ33"/>
  <c r="BA33"/>
  <c r="BB33"/>
  <c r="BC33"/>
  <c r="BD33"/>
  <c r="AW34"/>
  <c r="AX34"/>
  <c r="AY34"/>
  <c r="AZ34"/>
  <c r="BA34"/>
  <c r="BB34"/>
  <c r="BC34"/>
  <c r="BD34"/>
  <c r="AW35"/>
  <c r="AX35"/>
  <c r="AY35"/>
  <c r="AZ35"/>
  <c r="BA35"/>
  <c r="BB35"/>
  <c r="BC35"/>
  <c r="BD35"/>
  <c r="AW36"/>
  <c r="AX36"/>
  <c r="AY36"/>
  <c r="AZ36"/>
  <c r="BA36"/>
  <c r="BB36"/>
  <c r="BC36"/>
  <c r="BD36"/>
  <c r="AW37"/>
  <c r="AX37"/>
  <c r="AY37"/>
  <c r="AZ37"/>
  <c r="BA37"/>
  <c r="BB37"/>
  <c r="BC37"/>
  <c r="BD37"/>
  <c r="AW38"/>
  <c r="AX38"/>
  <c r="AY38"/>
  <c r="AZ38"/>
  <c r="BA38"/>
  <c r="BB38"/>
  <c r="BC38"/>
  <c r="BD38"/>
  <c r="AW39"/>
  <c r="AX39"/>
  <c r="AY39"/>
  <c r="AZ39"/>
  <c r="BA39"/>
  <c r="BB39"/>
  <c r="BC39"/>
  <c r="BD39"/>
  <c r="AW40"/>
  <c r="AX40"/>
  <c r="AY40"/>
  <c r="AZ40"/>
  <c r="BA40"/>
  <c r="BB40"/>
  <c r="BC40"/>
  <c r="BD40"/>
  <c r="AW41"/>
  <c r="AX41"/>
  <c r="AY41"/>
  <c r="AZ41"/>
  <c r="BA41"/>
  <c r="BB41"/>
  <c r="BC41"/>
  <c r="BD41"/>
  <c r="AW42"/>
  <c r="AX42"/>
  <c r="AY42"/>
  <c r="AZ42"/>
  <c r="BA42"/>
  <c r="BB42"/>
  <c r="BC42"/>
  <c r="BD42"/>
  <c r="AW43"/>
  <c r="AX43"/>
  <c r="AY43"/>
  <c r="AZ43"/>
  <c r="BA43"/>
  <c r="BB43"/>
  <c r="BC43"/>
  <c r="BD43"/>
  <c r="AW44"/>
  <c r="AX44"/>
  <c r="AY44"/>
  <c r="AZ44"/>
  <c r="BA44"/>
  <c r="BB44"/>
  <c r="BC44"/>
  <c r="BD44"/>
  <c r="AW45"/>
  <c r="AX45"/>
  <c r="AY45"/>
  <c r="AZ45"/>
  <c r="BA45"/>
  <c r="BB45"/>
  <c r="BC45"/>
  <c r="BD45"/>
  <c r="AW46"/>
  <c r="AX46"/>
  <c r="AY46"/>
  <c r="AZ46"/>
  <c r="BA46"/>
  <c r="BB46"/>
  <c r="BC46"/>
  <c r="BD46"/>
  <c r="AW47"/>
  <c r="AX47"/>
  <c r="AY47"/>
  <c r="AZ47"/>
  <c r="BA47"/>
  <c r="BB47"/>
  <c r="BC47"/>
  <c r="BD47"/>
  <c r="AW48"/>
  <c r="AX48"/>
  <c r="AY48"/>
  <c r="AZ48"/>
  <c r="BA48"/>
  <c r="BB48"/>
  <c r="BC48"/>
  <c r="BD48"/>
  <c r="AW49"/>
  <c r="AX49"/>
  <c r="AY49"/>
  <c r="AZ49"/>
  <c r="BA49"/>
  <c r="BB49"/>
  <c r="BC49"/>
  <c r="BD49"/>
  <c r="AW50"/>
  <c r="AX50"/>
  <c r="AY50"/>
  <c r="AZ50"/>
  <c r="BA50"/>
  <c r="BB50"/>
  <c r="BC50"/>
  <c r="BD50"/>
  <c r="AW51"/>
  <c r="AX51"/>
  <c r="AY51"/>
  <c r="AZ51"/>
  <c r="BA51"/>
  <c r="BB51"/>
  <c r="BC51"/>
  <c r="BD51"/>
  <c r="AW52"/>
  <c r="AX52"/>
  <c r="AY52"/>
  <c r="AZ52"/>
  <c r="BA52"/>
  <c r="BB52"/>
  <c r="BC52"/>
  <c r="BD52"/>
  <c r="AW53"/>
  <c r="AX53"/>
  <c r="AY53"/>
  <c r="AZ53"/>
  <c r="BA53"/>
  <c r="BB53"/>
  <c r="BC53"/>
  <c r="BD53"/>
  <c r="AW54"/>
  <c r="AX54"/>
  <c r="AY54"/>
  <c r="AZ54"/>
  <c r="BA54"/>
  <c r="BB54"/>
  <c r="BC54"/>
  <c r="BD54"/>
  <c r="AW55"/>
  <c r="AX55"/>
  <c r="AY55"/>
  <c r="AZ55"/>
  <c r="BA55"/>
  <c r="BB55"/>
  <c r="BC55"/>
  <c r="BD55"/>
  <c r="AW56"/>
  <c r="AX56"/>
  <c r="AY56"/>
  <c r="AZ56"/>
  <c r="BA56"/>
  <c r="BB56"/>
  <c r="BC56"/>
  <c r="BD56"/>
  <c r="AW57"/>
  <c r="AX57"/>
  <c r="AY57"/>
  <c r="AZ57"/>
  <c r="BA57"/>
  <c r="BB57"/>
  <c r="BC57"/>
  <c r="BD57"/>
  <c r="AW58"/>
  <c r="AX58"/>
  <c r="AY58"/>
  <c r="AZ58"/>
  <c r="BA58"/>
  <c r="BB58"/>
  <c r="BC58"/>
  <c r="BD58"/>
  <c r="AW59"/>
  <c r="AX59"/>
  <c r="AY59"/>
  <c r="AZ59"/>
  <c r="BA59"/>
  <c r="BB59"/>
  <c r="BC59"/>
  <c r="BD59"/>
  <c r="AW60"/>
  <c r="AX60"/>
  <c r="AY60"/>
  <c r="AZ60"/>
  <c r="BA60"/>
  <c r="BB60"/>
  <c r="BC60"/>
  <c r="BD60"/>
  <c r="AW61"/>
  <c r="AX61"/>
  <c r="AY61"/>
  <c r="AZ61"/>
  <c r="BA61"/>
  <c r="BB61"/>
  <c r="BC61"/>
  <c r="BD61"/>
  <c r="AW62"/>
  <c r="AX62"/>
  <c r="AY62"/>
  <c r="AZ62"/>
  <c r="BA62"/>
  <c r="BB62"/>
  <c r="BC62"/>
  <c r="BD62"/>
  <c r="AW63"/>
  <c r="AX63"/>
  <c r="AY63"/>
  <c r="AZ63"/>
  <c r="BA63"/>
  <c r="BB63"/>
  <c r="BC63"/>
  <c r="BD63"/>
  <c r="AW64"/>
  <c r="AX64"/>
  <c r="AY64"/>
  <c r="AZ64"/>
  <c r="BA64"/>
  <c r="BB64"/>
  <c r="BC64"/>
  <c r="BD64"/>
  <c r="AW65"/>
  <c r="AX65"/>
  <c r="AY65"/>
  <c r="AZ65"/>
  <c r="BA65"/>
  <c r="BB65"/>
  <c r="BC65"/>
  <c r="BD65"/>
  <c r="AW66"/>
  <c r="AX66"/>
  <c r="AY66"/>
  <c r="AZ66"/>
  <c r="BA66"/>
  <c r="BB66"/>
  <c r="BC66"/>
  <c r="BD66"/>
  <c r="AW67"/>
  <c r="AX67"/>
  <c r="AY67"/>
  <c r="AZ67"/>
  <c r="BA67"/>
  <c r="BB67"/>
  <c r="BC67"/>
  <c r="BD67"/>
  <c r="AW68"/>
  <c r="AX68"/>
  <c r="AY68"/>
  <c r="AZ68"/>
  <c r="BA68"/>
  <c r="BB68"/>
  <c r="BC68"/>
  <c r="BD68"/>
  <c r="AW69"/>
  <c r="AX69"/>
  <c r="AY69"/>
  <c r="AZ69"/>
  <c r="BA69"/>
  <c r="BB69"/>
  <c r="BC69"/>
  <c r="BD69"/>
  <c r="AW70"/>
  <c r="AX70"/>
  <c r="AY70"/>
  <c r="AZ70"/>
  <c r="BA70"/>
  <c r="BB70"/>
  <c r="BC70"/>
  <c r="BD70"/>
  <c r="AW71"/>
  <c r="AX71"/>
  <c r="AY71"/>
  <c r="AZ71"/>
  <c r="BA71"/>
  <c r="BB71"/>
  <c r="BC71"/>
  <c r="BD71"/>
  <c r="AW72"/>
  <c r="AX72"/>
  <c r="AY72"/>
  <c r="AZ72"/>
  <c r="BA72"/>
  <c r="BB72"/>
  <c r="BC72"/>
  <c r="BD72"/>
  <c r="AW73"/>
  <c r="AX73"/>
  <c r="AY73"/>
  <c r="AZ73"/>
  <c r="BA73"/>
  <c r="BB73"/>
  <c r="BC73"/>
  <c r="BD73"/>
  <c r="AW74"/>
  <c r="AX74"/>
  <c r="AY74"/>
  <c r="AZ74"/>
  <c r="BA74"/>
  <c r="BB74"/>
  <c r="BC74"/>
  <c r="BD74"/>
  <c r="AW75"/>
  <c r="AX75"/>
  <c r="AY75"/>
  <c r="AZ75"/>
  <c r="BA75"/>
  <c r="BB75"/>
  <c r="BC75"/>
  <c r="BD75"/>
  <c r="AW76"/>
  <c r="AX76"/>
  <c r="AY76"/>
  <c r="AZ76"/>
  <c r="BA76"/>
  <c r="BB76"/>
  <c r="BC76"/>
  <c r="BD76"/>
  <c r="AW77"/>
  <c r="AX77"/>
  <c r="AY77"/>
  <c r="AZ77"/>
  <c r="BA77"/>
  <c r="BB77"/>
  <c r="BC77"/>
  <c r="BD77"/>
  <c r="AW78"/>
  <c r="AX78"/>
  <c r="AY78"/>
  <c r="AZ78"/>
  <c r="BA78"/>
  <c r="BB78"/>
  <c r="BC78"/>
  <c r="BD78"/>
  <c r="AW79"/>
  <c r="AX79"/>
  <c r="AY79"/>
  <c r="AZ79"/>
  <c r="BA79"/>
  <c r="BB79"/>
  <c r="BC79"/>
  <c r="BD79"/>
  <c r="AW80"/>
  <c r="AX80"/>
  <c r="AY80"/>
  <c r="AZ80"/>
  <c r="BA80"/>
  <c r="BB80"/>
  <c r="BC80"/>
  <c r="BD80"/>
  <c r="AW81"/>
  <c r="AX81"/>
  <c r="AY81"/>
  <c r="AZ81"/>
  <c r="BA81"/>
  <c r="BB81"/>
  <c r="BC81"/>
  <c r="BD81"/>
  <c r="AW82"/>
  <c r="AX82"/>
  <c r="AY82"/>
  <c r="AZ82"/>
  <c r="BA82"/>
  <c r="BB82"/>
  <c r="BC82"/>
  <c r="BD82"/>
  <c r="AW83"/>
  <c r="AX83"/>
  <c r="AY83"/>
  <c r="AZ83"/>
  <c r="BA83"/>
  <c r="BB83"/>
  <c r="BC83"/>
  <c r="BD83"/>
  <c r="AW84"/>
  <c r="AX84"/>
  <c r="AY84"/>
  <c r="AZ84"/>
  <c r="BA84"/>
  <c r="BB84"/>
  <c r="BC84"/>
  <c r="BD84"/>
  <c r="AW85"/>
  <c r="AX85"/>
  <c r="AY85"/>
  <c r="AZ85"/>
  <c r="BA85"/>
  <c r="BB85"/>
  <c r="BC85"/>
  <c r="BD85"/>
  <c r="AW86"/>
  <c r="AX86"/>
  <c r="AY86"/>
  <c r="AZ86"/>
  <c r="BA86"/>
  <c r="BB86"/>
  <c r="BC86"/>
  <c r="BD86"/>
  <c r="AW87"/>
  <c r="AX87"/>
  <c r="AY87"/>
  <c r="AZ87"/>
  <c r="BA87"/>
  <c r="BB87"/>
  <c r="BC87"/>
  <c r="BD87"/>
  <c r="AW88"/>
  <c r="AX88"/>
  <c r="AY88"/>
  <c r="AZ88"/>
  <c r="BA88"/>
  <c r="BB88"/>
  <c r="BC88"/>
  <c r="BD88"/>
  <c r="AW89"/>
  <c r="AX89"/>
  <c r="AY89"/>
  <c r="AZ89"/>
  <c r="BA89"/>
  <c r="BB89"/>
  <c r="BC89"/>
  <c r="BD89"/>
  <c r="AW90"/>
  <c r="AX90"/>
  <c r="AY90"/>
  <c r="AZ90"/>
  <c r="BA90"/>
  <c r="BB90"/>
  <c r="BC90"/>
  <c r="BD90"/>
  <c r="AW91"/>
  <c r="AX91"/>
  <c r="AY91"/>
  <c r="AZ91"/>
  <c r="BA91"/>
  <c r="BB91"/>
  <c r="BC91"/>
  <c r="BD91"/>
  <c r="AW92"/>
  <c r="AX92"/>
  <c r="AY92"/>
  <c r="AZ92"/>
  <c r="BA92"/>
  <c r="BB92"/>
  <c r="BC92"/>
  <c r="BD92"/>
  <c r="AW93"/>
  <c r="AX93"/>
  <c r="AY93"/>
  <c r="AZ93"/>
  <c r="BA93"/>
  <c r="BB93"/>
  <c r="BC93"/>
  <c r="BD93"/>
  <c r="AW94"/>
  <c r="AX94"/>
  <c r="AY94"/>
  <c r="AZ94"/>
  <c r="BA94"/>
  <c r="BB94"/>
  <c r="BC94"/>
  <c r="BD94"/>
  <c r="AW95"/>
  <c r="AX95"/>
  <c r="AY95"/>
  <c r="AZ95"/>
  <c r="BA95"/>
  <c r="BB95"/>
  <c r="BC95"/>
  <c r="BD95"/>
  <c r="AW96"/>
  <c r="AX96"/>
  <c r="AY96"/>
  <c r="AZ96"/>
  <c r="BA96"/>
  <c r="BB96"/>
  <c r="BC96"/>
  <c r="BD96"/>
  <c r="AW97"/>
  <c r="AX97"/>
  <c r="AY97"/>
  <c r="AZ97"/>
  <c r="BA97"/>
  <c r="BB97"/>
  <c r="BC97"/>
  <c r="BD97"/>
  <c r="AW98"/>
  <c r="AX98"/>
  <c r="AY98"/>
  <c r="AZ98"/>
  <c r="BA98"/>
  <c r="BB98"/>
  <c r="BC98"/>
  <c r="BD98"/>
  <c r="AW99"/>
  <c r="AX99"/>
  <c r="AY99"/>
  <c r="AZ99"/>
  <c r="BA99"/>
  <c r="BB99"/>
  <c r="BC99"/>
  <c r="BD99"/>
  <c r="AW100"/>
  <c r="AX100"/>
  <c r="AY100"/>
  <c r="AZ100"/>
  <c r="BA100"/>
  <c r="BB100"/>
  <c r="BC100"/>
  <c r="BD100"/>
  <c r="AW101"/>
  <c r="AX101"/>
  <c r="AY101"/>
  <c r="AZ101"/>
  <c r="BA101"/>
  <c r="BB101"/>
  <c r="BC101"/>
  <c r="BD101"/>
  <c r="AW102"/>
  <c r="AX102"/>
  <c r="AY102"/>
  <c r="AZ102"/>
  <c r="BA102"/>
  <c r="BB102"/>
  <c r="BC102"/>
  <c r="BD102"/>
  <c r="AW103"/>
  <c r="AX103"/>
  <c r="AY103"/>
  <c r="AZ103"/>
  <c r="BA103"/>
  <c r="BB103"/>
  <c r="BC103"/>
  <c r="BD103"/>
  <c r="AW104"/>
  <c r="AX104"/>
  <c r="AY104"/>
  <c r="AZ104"/>
  <c r="BA104"/>
  <c r="BB104"/>
  <c r="BC104"/>
  <c r="BD104"/>
  <c r="AW105"/>
  <c r="AX105"/>
  <c r="AY105"/>
  <c r="AZ105"/>
  <c r="BA105"/>
  <c r="BB105"/>
  <c r="BC105"/>
  <c r="BD105"/>
  <c r="AW106"/>
  <c r="AX106"/>
  <c r="AY106"/>
  <c r="AZ106"/>
  <c r="BA106"/>
  <c r="BB106"/>
  <c r="BC106"/>
  <c r="BD106"/>
  <c r="AW107"/>
  <c r="AX107"/>
  <c r="AY107"/>
  <c r="AZ107"/>
  <c r="BA107"/>
  <c r="BB107"/>
  <c r="BC107"/>
  <c r="BD107"/>
  <c r="AW108"/>
  <c r="AX108"/>
  <c r="AY108"/>
  <c r="AZ108"/>
  <c r="BA108"/>
  <c r="BB108"/>
  <c r="BC108"/>
  <c r="BD108"/>
  <c r="AW109"/>
  <c r="AX109"/>
  <c r="AY109"/>
  <c r="AZ109"/>
  <c r="BA109"/>
  <c r="BB109"/>
  <c r="BC109"/>
  <c r="BD109"/>
  <c r="AW110"/>
  <c r="AX110"/>
  <c r="AY110"/>
  <c r="AZ110"/>
  <c r="BA110"/>
  <c r="BB110"/>
  <c r="BC110"/>
  <c r="BD110"/>
  <c r="AW111"/>
  <c r="AX111"/>
  <c r="AY111"/>
  <c r="AZ111"/>
  <c r="BA111"/>
  <c r="BB111"/>
  <c r="BC111"/>
  <c r="BD111"/>
  <c r="AW112"/>
  <c r="AX112"/>
  <c r="AY112"/>
  <c r="AZ112"/>
  <c r="BA112"/>
  <c r="BB112"/>
  <c r="BC112"/>
  <c r="BD112"/>
  <c r="AW113"/>
  <c r="AX113"/>
  <c r="AY113"/>
  <c r="AZ113"/>
  <c r="BA113"/>
  <c r="BB113"/>
  <c r="BC113"/>
  <c r="BD113"/>
  <c r="AW114"/>
  <c r="AX114"/>
  <c r="AY114"/>
  <c r="AZ114"/>
  <c r="BA114"/>
  <c r="BB114"/>
  <c r="BC114"/>
  <c r="BD114"/>
  <c r="AW115"/>
  <c r="AX115"/>
  <c r="AY115"/>
  <c r="AZ115"/>
  <c r="BA115"/>
  <c r="BB115"/>
  <c r="BC115"/>
  <c r="BD115"/>
  <c r="AW116"/>
  <c r="AX116"/>
  <c r="AY116"/>
  <c r="AZ116"/>
  <c r="BA116"/>
  <c r="BB116"/>
  <c r="BC116"/>
  <c r="BD116"/>
  <c r="AW117"/>
  <c r="AX117"/>
  <c r="AY117"/>
  <c r="AZ117"/>
  <c r="BA117"/>
  <c r="BB117"/>
  <c r="BC117"/>
  <c r="BD117"/>
  <c r="AW118"/>
  <c r="AX118"/>
  <c r="AY118"/>
  <c r="AZ118"/>
  <c r="BA118"/>
  <c r="BB118"/>
  <c r="BC118"/>
  <c r="BD118"/>
  <c r="AW119"/>
  <c r="AX119"/>
  <c r="AY119"/>
  <c r="AZ119"/>
  <c r="BA119"/>
  <c r="BB119"/>
  <c r="BC119"/>
  <c r="BD119"/>
  <c r="AW120"/>
  <c r="AX120"/>
  <c r="AY120"/>
  <c r="AZ120"/>
  <c r="BA120"/>
  <c r="BB120"/>
  <c r="BC120"/>
  <c r="BD120"/>
  <c r="AW121"/>
  <c r="AX121"/>
  <c r="AY121"/>
  <c r="AZ121"/>
  <c r="BA121"/>
  <c r="BB121"/>
  <c r="BC121"/>
  <c r="BD121"/>
  <c r="AW122"/>
  <c r="AX122"/>
  <c r="AY122"/>
  <c r="AZ122"/>
  <c r="BA122"/>
  <c r="BB122"/>
  <c r="BC122"/>
  <c r="BD122"/>
  <c r="AW123"/>
  <c r="AX123"/>
  <c r="AY123"/>
  <c r="AZ123"/>
  <c r="BA123"/>
  <c r="BB123"/>
  <c r="BC123"/>
  <c r="BD123"/>
  <c r="AW124"/>
  <c r="AX124"/>
  <c r="AY124"/>
  <c r="AZ124"/>
  <c r="BA124"/>
  <c r="BB124"/>
  <c r="BC124"/>
  <c r="BD124"/>
  <c r="AW125"/>
  <c r="AX125"/>
  <c r="AY125"/>
  <c r="AZ125"/>
  <c r="BA125"/>
  <c r="BB125"/>
  <c r="BC125"/>
  <c r="BD125"/>
  <c r="AW126"/>
  <c r="AX126"/>
  <c r="AY126"/>
  <c r="AZ126"/>
  <c r="BA126"/>
  <c r="BB126"/>
  <c r="BC126"/>
  <c r="BD126"/>
  <c r="AW127"/>
  <c r="AX127"/>
  <c r="AY127"/>
  <c r="AZ127"/>
  <c r="BA127"/>
  <c r="BB127"/>
  <c r="BC127"/>
  <c r="BD127"/>
  <c r="AW128"/>
  <c r="AX128"/>
  <c r="AY128"/>
  <c r="AZ128"/>
  <c r="BA128"/>
  <c r="BB128"/>
  <c r="BC128"/>
  <c r="BD128"/>
  <c r="AW129"/>
  <c r="AX129"/>
  <c r="AY129"/>
  <c r="AZ129"/>
  <c r="BA129"/>
  <c r="BB129"/>
  <c r="BC129"/>
  <c r="BD129"/>
  <c r="AW130"/>
  <c r="AX130"/>
  <c r="AY130"/>
  <c r="AZ130"/>
  <c r="BA130"/>
  <c r="BB130"/>
  <c r="BC130"/>
  <c r="BD130"/>
  <c r="AW131"/>
  <c r="AX131"/>
  <c r="AY131"/>
  <c r="AZ131"/>
  <c r="BA131"/>
  <c r="BB131"/>
  <c r="BC131"/>
  <c r="BD131"/>
  <c r="AW132"/>
  <c r="AX132"/>
  <c r="AY132"/>
  <c r="AZ132"/>
  <c r="BA132"/>
  <c r="BB132"/>
  <c r="BC132"/>
  <c r="BD132"/>
  <c r="AW133"/>
  <c r="AX133"/>
  <c r="AY133"/>
  <c r="AZ133"/>
  <c r="BA133"/>
  <c r="BB133"/>
  <c r="BC133"/>
  <c r="BD133"/>
  <c r="AW134"/>
  <c r="AX134"/>
  <c r="AY134"/>
  <c r="AZ134"/>
  <c r="BA134"/>
  <c r="BB134"/>
  <c r="BC134"/>
  <c r="BD134"/>
  <c r="AW135"/>
  <c r="AX135"/>
  <c r="AY135"/>
  <c r="AZ135"/>
  <c r="BA135"/>
  <c r="BB135"/>
  <c r="BC135"/>
  <c r="BD135"/>
  <c r="AW136"/>
  <c r="AX136"/>
  <c r="AY136"/>
  <c r="AZ136"/>
  <c r="BA136"/>
  <c r="BB136"/>
  <c r="BC136"/>
  <c r="BD136"/>
  <c r="AW137"/>
  <c r="AX137"/>
  <c r="AY137"/>
  <c r="AZ137"/>
  <c r="BA137"/>
  <c r="BB137"/>
  <c r="BC137"/>
  <c r="BD137"/>
  <c r="AW138"/>
  <c r="AX138"/>
  <c r="AY138"/>
  <c r="AZ138"/>
  <c r="BA138"/>
  <c r="BB138"/>
  <c r="BC138"/>
  <c r="BD138"/>
  <c r="AW139"/>
  <c r="AX139"/>
  <c r="AY139"/>
  <c r="AZ139"/>
  <c r="BA139"/>
  <c r="BB139"/>
  <c r="BC139"/>
  <c r="BD139"/>
  <c r="AW140"/>
  <c r="AX140"/>
  <c r="AY140"/>
  <c r="AZ140"/>
  <c r="BA140"/>
  <c r="BB140"/>
  <c r="BC140"/>
  <c r="BD140"/>
  <c r="AW141"/>
  <c r="AX141"/>
  <c r="AY141"/>
  <c r="AZ141"/>
  <c r="BA141"/>
  <c r="BB141"/>
  <c r="BC141"/>
  <c r="BD141"/>
  <c r="AW142"/>
  <c r="AX142"/>
  <c r="AY142"/>
  <c r="AZ142"/>
  <c r="BA142"/>
  <c r="BB142"/>
  <c r="BC142"/>
  <c r="BD142"/>
  <c r="AW143"/>
  <c r="AX143"/>
  <c r="AY143"/>
  <c r="AZ143"/>
  <c r="BA143"/>
  <c r="BB143"/>
  <c r="BC143"/>
  <c r="BD143"/>
  <c r="AW144"/>
  <c r="AX144"/>
  <c r="AY144"/>
  <c r="AZ144"/>
  <c r="BA144"/>
  <c r="BB144"/>
  <c r="BC144"/>
  <c r="BD144"/>
  <c r="AW145"/>
  <c r="AX145"/>
  <c r="AY145"/>
  <c r="AZ145"/>
  <c r="BA145"/>
  <c r="BB145"/>
  <c r="BC145"/>
  <c r="BD145"/>
  <c r="AW146"/>
  <c r="AX146"/>
  <c r="AY146"/>
  <c r="AZ146"/>
  <c r="BA146"/>
  <c r="BB146"/>
  <c r="BC146"/>
  <c r="BD146"/>
  <c r="AW147"/>
  <c r="AX147"/>
  <c r="AY147"/>
  <c r="AZ147"/>
  <c r="BA147"/>
  <c r="BB147"/>
  <c r="BC147"/>
  <c r="BD147"/>
  <c r="AW148"/>
  <c r="AX148"/>
  <c r="AY148"/>
  <c r="AZ148"/>
  <c r="BA148"/>
  <c r="BB148"/>
  <c r="BC148"/>
  <c r="BD148"/>
  <c r="AW149"/>
  <c r="AX149"/>
  <c r="AY149"/>
  <c r="AZ149"/>
  <c r="BA149"/>
  <c r="BB149"/>
  <c r="BC149"/>
  <c r="BD149"/>
  <c r="AW150"/>
  <c r="AX150"/>
  <c r="AY150"/>
  <c r="AZ150"/>
  <c r="BA150"/>
  <c r="BB150"/>
  <c r="BC150"/>
  <c r="BD150"/>
  <c r="AW151"/>
  <c r="AX151"/>
  <c r="AY151"/>
  <c r="AZ151"/>
  <c r="BA151"/>
  <c r="BB151"/>
  <c r="BC151"/>
  <c r="BD151"/>
  <c r="AW152"/>
  <c r="AX152"/>
  <c r="AY152"/>
  <c r="AZ152"/>
  <c r="BA152"/>
  <c r="BB152"/>
  <c r="BC152"/>
  <c r="BD152"/>
  <c r="AW153"/>
  <c r="AX153"/>
  <c r="AY153"/>
  <c r="AZ153"/>
  <c r="BA153"/>
  <c r="BB153"/>
  <c r="BC153"/>
  <c r="BD153"/>
  <c r="AW154"/>
  <c r="AX154"/>
  <c r="AY154"/>
  <c r="AZ154"/>
  <c r="BA154"/>
  <c r="BB154"/>
  <c r="BC154"/>
  <c r="BD154"/>
  <c r="AW155"/>
  <c r="AX155"/>
  <c r="AY155"/>
  <c r="AZ155"/>
  <c r="BA155"/>
  <c r="BB155"/>
  <c r="BC155"/>
  <c r="BD155"/>
  <c r="AW156"/>
  <c r="AX156"/>
  <c r="AY156"/>
  <c r="AZ156"/>
  <c r="BA156"/>
  <c r="BB156"/>
  <c r="BC156"/>
  <c r="BD156"/>
  <c r="AW157"/>
  <c r="AX157"/>
  <c r="AY157"/>
  <c r="AZ157"/>
  <c r="BA157"/>
  <c r="BB157"/>
  <c r="BC157"/>
  <c r="BD157"/>
  <c r="AW158"/>
  <c r="AX158"/>
  <c r="AY158"/>
  <c r="AZ158"/>
  <c r="BA158"/>
  <c r="BB158"/>
  <c r="BC158"/>
  <c r="BD158"/>
  <c r="AW159"/>
  <c r="AX159"/>
  <c r="AY159"/>
  <c r="AZ159"/>
  <c r="BA159"/>
  <c r="BB159"/>
  <c r="BC159"/>
  <c r="BD159"/>
  <c r="AW160"/>
  <c r="AX160"/>
  <c r="AY160"/>
  <c r="AZ160"/>
  <c r="BA160"/>
  <c r="BB160"/>
  <c r="BC160"/>
  <c r="BD160"/>
  <c r="AW161"/>
  <c r="AX161"/>
  <c r="AY161"/>
  <c r="AZ161"/>
  <c r="BA161"/>
  <c r="BB161"/>
  <c r="BC161"/>
  <c r="BD161"/>
  <c r="AW162"/>
  <c r="AX162"/>
  <c r="AY162"/>
  <c r="AZ162"/>
  <c r="BA162"/>
  <c r="BB162"/>
  <c r="BC162"/>
  <c r="BD162"/>
  <c r="AW163"/>
  <c r="AX163"/>
  <c r="AY163"/>
  <c r="AZ163"/>
  <c r="BA163"/>
  <c r="BB163"/>
  <c r="BC163"/>
  <c r="BD163"/>
  <c r="AW164"/>
  <c r="AX164"/>
  <c r="AY164"/>
  <c r="AZ164"/>
  <c r="BA164"/>
  <c r="BB164"/>
  <c r="BC164"/>
  <c r="BD164"/>
  <c r="AW165"/>
  <c r="AX165"/>
  <c r="AY165"/>
  <c r="AZ165"/>
  <c r="BA165"/>
  <c r="BB165"/>
  <c r="BC165"/>
  <c r="BD165"/>
  <c r="AW166"/>
  <c r="AX166"/>
  <c r="AY166"/>
  <c r="AZ166"/>
  <c r="BA166"/>
  <c r="BB166"/>
  <c r="BC166"/>
  <c r="BD166"/>
  <c r="AW167"/>
  <c r="AX167"/>
  <c r="AY167"/>
  <c r="AZ167"/>
  <c r="BA167"/>
  <c r="BB167"/>
  <c r="BC167"/>
  <c r="BD167"/>
  <c r="AW168"/>
  <c r="AX168"/>
  <c r="AY168"/>
  <c r="AZ168"/>
  <c r="BA168"/>
  <c r="BB168"/>
  <c r="BC168"/>
  <c r="BD168"/>
  <c r="AW169"/>
  <c r="AX169"/>
  <c r="AY169"/>
  <c r="AZ169"/>
  <c r="BA169"/>
  <c r="BB169"/>
  <c r="BC169"/>
  <c r="BD169"/>
  <c r="AW170"/>
  <c r="AX170"/>
  <c r="AY170"/>
  <c r="AZ170"/>
  <c r="BA170"/>
  <c r="BB170"/>
  <c r="BC170"/>
  <c r="BD170"/>
  <c r="AW171"/>
  <c r="AX171"/>
  <c r="AY171"/>
  <c r="AZ171"/>
  <c r="BA171"/>
  <c r="BB171"/>
  <c r="BC171"/>
  <c r="BD171"/>
  <c r="AW172"/>
  <c r="AX172"/>
  <c r="AY172"/>
  <c r="AZ172"/>
  <c r="BA172"/>
  <c r="BB172"/>
  <c r="BC172"/>
  <c r="BD172"/>
  <c r="AW173"/>
  <c r="AX173"/>
  <c r="AY173"/>
  <c r="AZ173"/>
  <c r="BA173"/>
  <c r="BB173"/>
  <c r="BC173"/>
  <c r="BD173"/>
  <c r="AW174"/>
  <c r="AX174"/>
  <c r="AY174"/>
  <c r="AZ174"/>
  <c r="BA174"/>
  <c r="BB174"/>
  <c r="BC174"/>
  <c r="BD174"/>
  <c r="AW175"/>
  <c r="AX175"/>
  <c r="AY175"/>
  <c r="AZ175"/>
  <c r="BA175"/>
  <c r="BB175"/>
  <c r="BC175"/>
  <c r="BD175"/>
  <c r="AW176"/>
  <c r="AX176"/>
  <c r="AY176"/>
  <c r="AZ176"/>
  <c r="BA176"/>
  <c r="BB176"/>
  <c r="BC176"/>
  <c r="BD176"/>
  <c r="AW177"/>
  <c r="AX177"/>
  <c r="AY177"/>
  <c r="AZ177"/>
  <c r="BA177"/>
  <c r="BB177"/>
  <c r="BC177"/>
  <c r="BD177"/>
  <c r="AW178"/>
  <c r="AX178"/>
  <c r="AY178"/>
  <c r="AZ178"/>
  <c r="BA178"/>
  <c r="BB178"/>
  <c r="BC178"/>
  <c r="BD178"/>
  <c r="AW179"/>
  <c r="AX179"/>
  <c r="AY179"/>
  <c r="AZ179"/>
  <c r="BA179"/>
  <c r="BB179"/>
  <c r="BC179"/>
  <c r="BD179"/>
  <c r="AW180"/>
  <c r="AX180"/>
  <c r="AY180"/>
  <c r="AZ180"/>
  <c r="BA180"/>
  <c r="BB180"/>
  <c r="BC180"/>
  <c r="BD180"/>
  <c r="AW181"/>
  <c r="AX181"/>
  <c r="AY181"/>
  <c r="AZ181"/>
  <c r="BA181"/>
  <c r="BB181"/>
  <c r="BC181"/>
  <c r="BD181"/>
  <c r="AW182"/>
  <c r="AX182"/>
  <c r="AY182"/>
  <c r="AZ182"/>
  <c r="BA182"/>
  <c r="BB182"/>
  <c r="BC182"/>
  <c r="BD182"/>
  <c r="AW183"/>
  <c r="AX183"/>
  <c r="AY183"/>
  <c r="AZ183"/>
  <c r="BA183"/>
  <c r="BB183"/>
  <c r="BC183"/>
  <c r="BD183"/>
  <c r="AW184"/>
  <c r="AX184"/>
  <c r="AY184"/>
  <c r="AZ184"/>
  <c r="BA184"/>
  <c r="BB184"/>
  <c r="BC184"/>
  <c r="BD184"/>
  <c r="AW185"/>
  <c r="AX185"/>
  <c r="AY185"/>
  <c r="AZ185"/>
  <c r="BA185"/>
  <c r="BB185"/>
  <c r="BC185"/>
  <c r="BD185"/>
  <c r="AW186"/>
  <c r="AX186"/>
  <c r="AY186"/>
  <c r="AZ186"/>
  <c r="BA186"/>
  <c r="BB186"/>
  <c r="BC186"/>
  <c r="BD186"/>
  <c r="AW187"/>
  <c r="AX187"/>
  <c r="AY187"/>
  <c r="AZ187"/>
  <c r="BA187"/>
  <c r="BB187"/>
  <c r="BC187"/>
  <c r="BD187"/>
  <c r="AW188"/>
  <c r="AX188"/>
  <c r="AY188"/>
  <c r="AZ188"/>
  <c r="BA188"/>
  <c r="BB188"/>
  <c r="BC188"/>
  <c r="BD188"/>
  <c r="AW189"/>
  <c r="AX189"/>
  <c r="AY189"/>
  <c r="AZ189"/>
  <c r="BA189"/>
  <c r="BB189"/>
  <c r="BC189"/>
  <c r="BD189"/>
  <c r="AW190"/>
  <c r="AX190"/>
  <c r="AY190"/>
  <c r="AZ190"/>
  <c r="BA190"/>
  <c r="BB190"/>
  <c r="BC190"/>
  <c r="BD190"/>
  <c r="AW191"/>
  <c r="AX191"/>
  <c r="AY191"/>
  <c r="AZ191"/>
  <c r="BA191"/>
  <c r="BB191"/>
  <c r="BC191"/>
  <c r="BD191"/>
  <c r="AW192"/>
  <c r="AX192"/>
  <c r="AY192"/>
  <c r="AZ192"/>
  <c r="BA192"/>
  <c r="BB192"/>
  <c r="BC192"/>
  <c r="BD192"/>
  <c r="AW193"/>
  <c r="AX193"/>
  <c r="AY193"/>
  <c r="BD193" s="1"/>
  <c r="AZ193"/>
  <c r="BA193"/>
  <c r="BB193"/>
  <c r="BC193"/>
  <c r="AW194"/>
  <c r="BD194" s="1"/>
  <c r="AX194"/>
  <c r="AY194"/>
  <c r="AZ194"/>
  <c r="BA194"/>
  <c r="BB194"/>
  <c r="BC194"/>
  <c r="AW195"/>
  <c r="BD195" s="1"/>
  <c r="AX195"/>
  <c r="AY195"/>
  <c r="AZ195"/>
  <c r="BA195"/>
  <c r="BB195"/>
  <c r="BC195"/>
  <c r="AW196"/>
  <c r="BD196" s="1"/>
  <c r="AX196"/>
  <c r="AY196"/>
  <c r="AZ196"/>
  <c r="BA196"/>
  <c r="BB196"/>
  <c r="BC196"/>
  <c r="AW197"/>
  <c r="BD197" s="1"/>
  <c r="AX197"/>
  <c r="AY197"/>
  <c r="AZ197"/>
  <c r="BA197"/>
  <c r="BB197"/>
  <c r="BC197"/>
  <c r="AW198"/>
  <c r="BD198" s="1"/>
  <c r="AX198"/>
  <c r="AY198"/>
  <c r="AZ198"/>
  <c r="BA198"/>
  <c r="BB198"/>
  <c r="BC198"/>
  <c r="AW199"/>
  <c r="BD199" s="1"/>
  <c r="AX199"/>
  <c r="AY199"/>
  <c r="AZ199"/>
  <c r="BA199"/>
  <c r="BB199"/>
  <c r="BC199"/>
  <c r="AW200"/>
  <c r="BD200" s="1"/>
  <c r="AX200"/>
  <c r="AY200"/>
  <c r="AZ200"/>
  <c r="BA200"/>
  <c r="BB200"/>
  <c r="BC200"/>
  <c r="AW201"/>
  <c r="BD201" s="1"/>
  <c r="AX201"/>
  <c r="AY201"/>
  <c r="AZ201"/>
  <c r="BA201"/>
  <c r="BB201"/>
  <c r="BC201"/>
  <c r="AW202"/>
  <c r="BD202" s="1"/>
  <c r="AX202"/>
  <c r="AY202"/>
  <c r="AZ202"/>
  <c r="BA202"/>
  <c r="BB202"/>
  <c r="BC202"/>
  <c r="AW203"/>
  <c r="BD203" s="1"/>
  <c r="AX203"/>
  <c r="AY203"/>
  <c r="AZ203"/>
  <c r="BA203"/>
  <c r="BB203"/>
  <c r="BC203"/>
  <c r="AW204"/>
  <c r="BD204" s="1"/>
  <c r="AX204"/>
  <c r="AY204"/>
  <c r="AZ204"/>
  <c r="BA204"/>
  <c r="BB204"/>
  <c r="BC204"/>
  <c r="AW205"/>
  <c r="BD205" s="1"/>
  <c r="AX205"/>
  <c r="AY205"/>
  <c r="AZ205"/>
  <c r="BA205"/>
  <c r="BB205"/>
  <c r="BC205"/>
  <c r="AW206"/>
  <c r="BD206" s="1"/>
  <c r="AX206"/>
  <c r="AY206"/>
  <c r="AZ206"/>
  <c r="BA206"/>
  <c r="BB206"/>
  <c r="BC206"/>
  <c r="AW207"/>
  <c r="BD207" s="1"/>
  <c r="AX207"/>
  <c r="AY207"/>
  <c r="AZ207"/>
  <c r="BA207"/>
  <c r="BB207"/>
  <c r="BC207"/>
  <c r="AW208"/>
  <c r="BD208" s="1"/>
  <c r="AX208"/>
  <c r="AY208"/>
  <c r="AZ208"/>
  <c r="BA208"/>
  <c r="BB208"/>
  <c r="BC208"/>
  <c r="AW209"/>
  <c r="BD209" s="1"/>
  <c r="AX209"/>
  <c r="AY209"/>
  <c r="AZ209"/>
  <c r="BA209"/>
  <c r="BB209"/>
  <c r="BC209"/>
  <c r="AW210"/>
  <c r="BD210" s="1"/>
  <c r="AX210"/>
  <c r="AY210"/>
  <c r="AZ210"/>
  <c r="BA210"/>
  <c r="BB210"/>
  <c r="BC210"/>
  <c r="AW211"/>
  <c r="BD211" s="1"/>
  <c r="AX211"/>
  <c r="AY211"/>
  <c r="AZ211"/>
  <c r="BA211"/>
  <c r="BB211"/>
  <c r="BC211"/>
  <c r="AW212"/>
  <c r="BD212" s="1"/>
  <c r="AX212"/>
  <c r="AY212"/>
  <c r="AZ212"/>
  <c r="BA212"/>
  <c r="BB212"/>
  <c r="BC212"/>
  <c r="AW213"/>
  <c r="BD213" s="1"/>
  <c r="AX213"/>
  <c r="AY213"/>
  <c r="AZ213"/>
  <c r="BA213"/>
  <c r="BB213"/>
  <c r="BC213"/>
  <c r="AW214"/>
  <c r="BD214" s="1"/>
  <c r="AX214"/>
  <c r="AY214"/>
  <c r="AZ214"/>
  <c r="BA214"/>
  <c r="BB214"/>
  <c r="BC214"/>
  <c r="AW215"/>
  <c r="BD215" s="1"/>
  <c r="AX215"/>
  <c r="AY215"/>
  <c r="AZ215"/>
  <c r="BA215"/>
  <c r="BB215"/>
  <c r="BC215"/>
  <c r="AW216"/>
  <c r="BD216" s="1"/>
  <c r="AX216"/>
  <c r="AY216"/>
  <c r="AZ216"/>
  <c r="BA216"/>
  <c r="BB216"/>
  <c r="BC216"/>
  <c r="AW217"/>
  <c r="BD217" s="1"/>
  <c r="AX217"/>
  <c r="AY217"/>
  <c r="AZ217"/>
  <c r="BA217"/>
  <c r="BB217"/>
  <c r="BC217"/>
  <c r="AW218"/>
  <c r="BD218" s="1"/>
  <c r="AX218"/>
  <c r="AY218"/>
  <c r="AZ218"/>
  <c r="BA218"/>
  <c r="BB218"/>
  <c r="BC218"/>
  <c r="AW219"/>
  <c r="BD219" s="1"/>
  <c r="AX219"/>
  <c r="AY219"/>
  <c r="AZ219"/>
  <c r="BA219"/>
  <c r="BB219"/>
  <c r="BC219"/>
  <c r="AW220"/>
  <c r="BD220" s="1"/>
  <c r="AX220"/>
  <c r="AY220"/>
  <c r="AZ220"/>
  <c r="BA220"/>
  <c r="BB220"/>
  <c r="BC220"/>
  <c r="AW221"/>
  <c r="BD221" s="1"/>
  <c r="AX221"/>
  <c r="AY221"/>
  <c r="AZ221"/>
  <c r="BA221"/>
  <c r="BB221"/>
  <c r="BC221"/>
  <c r="AW222"/>
  <c r="BD222" s="1"/>
  <c r="AX222"/>
  <c r="AY222"/>
  <c r="AZ222"/>
  <c r="BA222"/>
  <c r="BB222"/>
  <c r="BC222"/>
  <c r="AW223"/>
  <c r="BD223" s="1"/>
  <c r="AX223"/>
  <c r="AY223"/>
  <c r="AZ223"/>
  <c r="BA223"/>
  <c r="BB223"/>
  <c r="BC223"/>
  <c r="AW224"/>
  <c r="BD224" s="1"/>
  <c r="AX224"/>
  <c r="AY224"/>
  <c r="AZ224"/>
  <c r="BA224"/>
  <c r="BB224"/>
  <c r="BC224"/>
  <c r="AW225"/>
  <c r="BD225" s="1"/>
  <c r="AX225"/>
  <c r="AY225"/>
  <c r="AZ225"/>
  <c r="BA225"/>
  <c r="BB225"/>
  <c r="BC225"/>
  <c r="AW226"/>
  <c r="BD226" s="1"/>
  <c r="AX226"/>
  <c r="AY226"/>
  <c r="AZ226"/>
  <c r="BA226"/>
  <c r="BB226"/>
  <c r="BC226"/>
  <c r="AW227"/>
  <c r="BD227" s="1"/>
  <c r="AX227"/>
  <c r="AY227"/>
  <c r="AZ227"/>
  <c r="BA227"/>
  <c r="BB227"/>
  <c r="BC227"/>
  <c r="AW228"/>
  <c r="BD228" s="1"/>
  <c r="AX228"/>
  <c r="AY228"/>
  <c r="AZ228"/>
  <c r="BA228"/>
  <c r="BB228"/>
  <c r="BC228"/>
  <c r="AW229"/>
  <c r="BD229" s="1"/>
  <c r="AX229"/>
  <c r="AY229"/>
  <c r="AZ229"/>
  <c r="BA229"/>
  <c r="BB229"/>
  <c r="BC229"/>
  <c r="AW230"/>
  <c r="BD230" s="1"/>
  <c r="AX230"/>
  <c r="AY230"/>
  <c r="AZ230"/>
  <c r="BA230"/>
  <c r="BB230"/>
  <c r="BC230"/>
  <c r="AW231"/>
  <c r="BD231" s="1"/>
  <c r="AX231"/>
  <c r="AY231"/>
  <c r="AZ231"/>
  <c r="BA231"/>
  <c r="BB231"/>
  <c r="BC231"/>
  <c r="AW232"/>
  <c r="BD232" s="1"/>
  <c r="AX232"/>
  <c r="AY232"/>
  <c r="AZ232"/>
  <c r="BA232"/>
  <c r="BB232"/>
  <c r="BC232"/>
  <c r="AW233"/>
  <c r="BD233" s="1"/>
  <c r="AX233"/>
  <c r="AY233"/>
  <c r="AZ233"/>
  <c r="BA233"/>
  <c r="BB233"/>
  <c r="BC233"/>
  <c r="AW234"/>
  <c r="BD234" s="1"/>
  <c r="AX234"/>
  <c r="AY234"/>
  <c r="AZ234"/>
  <c r="BA234"/>
  <c r="BB234"/>
  <c r="BC234"/>
  <c r="AW235"/>
  <c r="BD235" s="1"/>
  <c r="AX235"/>
  <c r="AY235"/>
  <c r="AZ235"/>
  <c r="BA235"/>
  <c r="BB235"/>
  <c r="BC235"/>
  <c r="AW236"/>
  <c r="BD236" s="1"/>
  <c r="AX236"/>
  <c r="AY236"/>
  <c r="AZ236"/>
  <c r="BA236"/>
  <c r="BB236"/>
  <c r="BC236"/>
  <c r="AW237"/>
  <c r="BD237" s="1"/>
  <c r="AX237"/>
  <c r="AY237"/>
  <c r="AZ237"/>
  <c r="BA237"/>
  <c r="BB237"/>
  <c r="BC237"/>
  <c r="AW238"/>
  <c r="BD238" s="1"/>
  <c r="AX238"/>
  <c r="AY238"/>
  <c r="AZ238"/>
  <c r="BA238"/>
  <c r="BB238"/>
  <c r="BC238"/>
  <c r="AW239"/>
  <c r="BD239" s="1"/>
  <c r="AX239"/>
  <c r="AY239"/>
  <c r="AZ239"/>
  <c r="BA239"/>
  <c r="BB239"/>
  <c r="BC239"/>
  <c r="AW240"/>
  <c r="BD240" s="1"/>
  <c r="AX240"/>
  <c r="AY240"/>
  <c r="AZ240"/>
  <c r="BA240"/>
  <c r="BB240"/>
  <c r="BC240"/>
  <c r="AW241"/>
  <c r="BD241" s="1"/>
  <c r="AX241"/>
  <c r="AY241"/>
  <c r="AZ241"/>
  <c r="BA241"/>
  <c r="BB241"/>
  <c r="BC241"/>
  <c r="AW242"/>
  <c r="BD242" s="1"/>
  <c r="AX242"/>
  <c r="AY242"/>
  <c r="AZ242"/>
  <c r="BA242"/>
  <c r="BB242"/>
  <c r="BC242"/>
  <c r="AW243"/>
  <c r="BD243" s="1"/>
  <c r="AX243"/>
  <c r="AY243"/>
  <c r="AZ243"/>
  <c r="BA243"/>
  <c r="BB243"/>
  <c r="BC243"/>
  <c r="AW244"/>
  <c r="BD244" s="1"/>
  <c r="AX244"/>
  <c r="AY244"/>
  <c r="AZ244"/>
  <c r="BA244"/>
  <c r="BB244"/>
  <c r="BC244"/>
  <c r="AW245"/>
  <c r="BD245" s="1"/>
  <c r="AX245"/>
  <c r="AY245"/>
  <c r="AZ245"/>
  <c r="BA245"/>
  <c r="BB245"/>
  <c r="BC245"/>
  <c r="AW246"/>
  <c r="AX246"/>
  <c r="AY246"/>
  <c r="AZ246"/>
  <c r="BA246"/>
  <c r="BB246"/>
  <c r="BC246"/>
  <c r="BD246"/>
  <c r="AW247"/>
  <c r="AX247"/>
  <c r="AY247"/>
  <c r="AZ247"/>
  <c r="BA247"/>
  <c r="BB247"/>
  <c r="BC247"/>
  <c r="BD247"/>
  <c r="AW248"/>
  <c r="AX248"/>
  <c r="AY248"/>
  <c r="AZ248"/>
  <c r="BA248"/>
  <c r="BB248"/>
  <c r="BC248"/>
  <c r="BD248"/>
  <c r="AW249"/>
  <c r="AX249"/>
  <c r="AY249"/>
  <c r="AZ249"/>
  <c r="BA249"/>
  <c r="BB249"/>
  <c r="BC249"/>
  <c r="BD249"/>
  <c r="AW250"/>
  <c r="AX250"/>
  <c r="AY250"/>
  <c r="AZ250"/>
  <c r="BA250"/>
  <c r="BB250"/>
  <c r="BC250"/>
  <c r="BD250"/>
  <c r="AW251"/>
  <c r="AX251"/>
  <c r="AY251"/>
  <c r="AZ251"/>
  <c r="BA251"/>
  <c r="BB251"/>
  <c r="BC251"/>
  <c r="BD251"/>
  <c r="AW252"/>
  <c r="AX252"/>
  <c r="AY252"/>
  <c r="AZ252"/>
  <c r="BA252"/>
  <c r="BB252"/>
  <c r="BC252"/>
  <c r="BD252"/>
  <c r="AW253"/>
  <c r="AX253"/>
  <c r="AY253"/>
  <c r="AZ253"/>
  <c r="BA253"/>
  <c r="BB253"/>
  <c r="BC253"/>
  <c r="BD253"/>
  <c r="AW254"/>
  <c r="AX254"/>
  <c r="AY254"/>
  <c r="AZ254"/>
  <c r="BA254"/>
  <c r="BB254"/>
  <c r="BC254"/>
  <c r="BD254"/>
  <c r="AW255"/>
  <c r="AX255"/>
  <c r="AY255"/>
  <c r="AZ255"/>
  <c r="BA255"/>
  <c r="BB255"/>
  <c r="BC255"/>
  <c r="BD255"/>
  <c r="AW256"/>
  <c r="AX256"/>
  <c r="AY256"/>
  <c r="AZ256"/>
  <c r="BA256"/>
  <c r="BB256"/>
  <c r="BC256"/>
  <c r="BD256"/>
  <c r="AW257"/>
  <c r="AX257"/>
  <c r="AY257"/>
  <c r="AZ257"/>
  <c r="BA257"/>
  <c r="BB257"/>
  <c r="BC257"/>
  <c r="BD257"/>
  <c r="AW258"/>
  <c r="AX258"/>
  <c r="AY258"/>
  <c r="AZ258"/>
  <c r="BA258"/>
  <c r="BB258"/>
  <c r="BC258"/>
  <c r="BD258"/>
  <c r="AW259"/>
  <c r="AX259"/>
  <c r="AY259"/>
  <c r="AZ259"/>
  <c r="BA259"/>
  <c r="BB259"/>
  <c r="BC259"/>
  <c r="BD259"/>
  <c r="AW260"/>
  <c r="AX260"/>
  <c r="AY260"/>
  <c r="AZ260"/>
  <c r="BA260"/>
  <c r="BB260"/>
  <c r="BC260"/>
  <c r="BD260"/>
  <c r="AW12"/>
  <c r="AX12"/>
  <c r="AY12"/>
  <c r="AZ12"/>
  <c r="BA12"/>
  <c r="BB12"/>
  <c r="BC12"/>
  <c r="AW13"/>
  <c r="AX13"/>
  <c r="AY13"/>
  <c r="AZ13"/>
  <c r="BA13"/>
  <c r="BB13"/>
  <c r="BC13"/>
  <c r="AW14"/>
  <c r="AX14"/>
  <c r="AY14"/>
  <c r="AZ14"/>
  <c r="BA14"/>
  <c r="BB14"/>
  <c r="BC14"/>
  <c r="AW15"/>
  <c r="AX15"/>
  <c r="AY15"/>
  <c r="AZ15"/>
  <c r="BA15"/>
  <c r="BB15"/>
  <c r="BC15"/>
  <c r="AW16"/>
  <c r="AX16"/>
  <c r="AY16"/>
  <c r="AZ16"/>
  <c r="BA16"/>
  <c r="BB16"/>
  <c r="BC16"/>
  <c r="AW17"/>
  <c r="AX17"/>
  <c r="AY17"/>
  <c r="AZ17"/>
  <c r="BA17"/>
  <c r="BB17"/>
  <c r="BC17"/>
  <c r="AW18"/>
  <c r="AX18"/>
  <c r="AY18"/>
  <c r="AZ18"/>
  <c r="BA18"/>
  <c r="BB18"/>
  <c r="BC18"/>
  <c r="AW19"/>
  <c r="AX19"/>
  <c r="AY19"/>
  <c r="AZ19"/>
  <c r="BA19"/>
  <c r="BB19"/>
  <c r="BC19"/>
  <c r="AW20"/>
  <c r="AX20"/>
  <c r="AY20"/>
  <c r="AZ20"/>
  <c r="BA20"/>
  <c r="BB20"/>
  <c r="BC20"/>
  <c r="AW21"/>
  <c r="AX21"/>
  <c r="AY21"/>
  <c r="AZ21"/>
  <c r="BA21"/>
  <c r="BB21"/>
  <c r="BC21"/>
  <c r="AW22"/>
  <c r="AX22"/>
  <c r="AY22"/>
  <c r="AZ22"/>
  <c r="BA22"/>
  <c r="BB22"/>
  <c r="BC22"/>
  <c r="AW23"/>
  <c r="AX23"/>
  <c r="AY23"/>
  <c r="AZ23"/>
  <c r="BA23"/>
  <c r="BB23"/>
  <c r="BC23"/>
  <c r="AW24"/>
  <c r="AX24"/>
  <c r="AY24"/>
  <c r="AZ24"/>
  <c r="BA24"/>
  <c r="BB24"/>
  <c r="BC24"/>
  <c r="AW25"/>
  <c r="AX25"/>
  <c r="AY25"/>
  <c r="AZ25"/>
  <c r="BA25"/>
  <c r="BB25"/>
  <c r="BC25"/>
  <c r="AW26"/>
  <c r="AX26"/>
  <c r="AY26"/>
  <c r="AZ26"/>
  <c r="BA26"/>
  <c r="BB26"/>
  <c r="BC26"/>
  <c r="AW27"/>
  <c r="AX27"/>
  <c r="AY27"/>
  <c r="AZ27"/>
  <c r="BA27"/>
  <c r="BB27"/>
  <c r="BC27"/>
  <c r="AW28"/>
  <c r="AX28"/>
  <c r="AY28"/>
  <c r="AZ28"/>
  <c r="BA28"/>
  <c r="BB28"/>
  <c r="BC28"/>
  <c r="AW29"/>
  <c r="AX29"/>
  <c r="AY29"/>
  <c r="AZ29"/>
  <c r="BA29"/>
  <c r="BB29"/>
  <c r="BC29"/>
  <c r="AW30"/>
  <c r="AX30"/>
  <c r="AY30"/>
  <c r="AZ30"/>
  <c r="BA30"/>
  <c r="BB30"/>
  <c r="BC30"/>
  <c r="BC11"/>
  <c r="BB11"/>
  <c r="BA11"/>
  <c r="AZ11"/>
  <c r="AY11"/>
  <c r="AX11"/>
  <c r="AW11"/>
  <c r="AN12"/>
  <c r="AO12"/>
  <c r="AP12"/>
  <c r="AQ12"/>
  <c r="AR12"/>
  <c r="AS12"/>
  <c r="AT12"/>
  <c r="AN13"/>
  <c r="AO13"/>
  <c r="AP13"/>
  <c r="AQ13"/>
  <c r="AR13"/>
  <c r="AS13"/>
  <c r="AT13"/>
  <c r="AN14"/>
  <c r="AO14"/>
  <c r="AP14"/>
  <c r="AQ14"/>
  <c r="AR14"/>
  <c r="AS14"/>
  <c r="AT14"/>
  <c r="AN15"/>
  <c r="AO15"/>
  <c r="AP15"/>
  <c r="AQ15"/>
  <c r="AR15"/>
  <c r="AS15"/>
  <c r="AT15"/>
  <c r="AN16"/>
  <c r="AO16"/>
  <c r="AP16"/>
  <c r="AQ16"/>
  <c r="AR16"/>
  <c r="AS16"/>
  <c r="AT16"/>
  <c r="AN17"/>
  <c r="AO17"/>
  <c r="AP17"/>
  <c r="AQ17"/>
  <c r="AR17"/>
  <c r="AS17"/>
  <c r="AT17"/>
  <c r="AN18"/>
  <c r="AO18"/>
  <c r="AP18"/>
  <c r="AQ18"/>
  <c r="AR18"/>
  <c r="AS18"/>
  <c r="AT18"/>
  <c r="AN19"/>
  <c r="AO19"/>
  <c r="AP19"/>
  <c r="AQ19"/>
  <c r="AR19"/>
  <c r="AS19"/>
  <c r="AT19"/>
  <c r="AN20"/>
  <c r="AO20"/>
  <c r="AP20"/>
  <c r="AQ20"/>
  <c r="AR20"/>
  <c r="AS20"/>
  <c r="AT20"/>
  <c r="AN21"/>
  <c r="AO21"/>
  <c r="AP21"/>
  <c r="AQ21"/>
  <c r="AR21"/>
  <c r="AS21"/>
  <c r="AT21"/>
  <c r="AN22"/>
  <c r="AO22"/>
  <c r="AP22"/>
  <c r="AQ22"/>
  <c r="AR22"/>
  <c r="AS22"/>
  <c r="AT22"/>
  <c r="AN23"/>
  <c r="AO23"/>
  <c r="AP23"/>
  <c r="AQ23"/>
  <c r="AR23"/>
  <c r="AS23"/>
  <c r="AT23"/>
  <c r="AN24"/>
  <c r="AO24"/>
  <c r="AP24"/>
  <c r="AQ24"/>
  <c r="AR24"/>
  <c r="AS24"/>
  <c r="AT24"/>
  <c r="AN25"/>
  <c r="AO25"/>
  <c r="AP25"/>
  <c r="AQ25"/>
  <c r="AR25"/>
  <c r="AS25"/>
  <c r="AT25"/>
  <c r="AN26"/>
  <c r="AO26"/>
  <c r="AP26"/>
  <c r="AQ26"/>
  <c r="AR26"/>
  <c r="AS26"/>
  <c r="AT26"/>
  <c r="AN27"/>
  <c r="AO27"/>
  <c r="AP27"/>
  <c r="AQ27"/>
  <c r="AR27"/>
  <c r="AS27"/>
  <c r="AT27"/>
  <c r="AN28"/>
  <c r="AO28"/>
  <c r="AP28"/>
  <c r="AQ28"/>
  <c r="AR28"/>
  <c r="AS28"/>
  <c r="AT28"/>
  <c r="AN29"/>
  <c r="AO29"/>
  <c r="AP29"/>
  <c r="AQ29"/>
  <c r="AR29"/>
  <c r="AS29"/>
  <c r="AT29"/>
  <c r="AN30"/>
  <c r="AO30"/>
  <c r="AP30"/>
  <c r="AQ30"/>
  <c r="AR30"/>
  <c r="AS30"/>
  <c r="AT30"/>
  <c r="AN31"/>
  <c r="AO31"/>
  <c r="AP31"/>
  <c r="AQ31"/>
  <c r="AR31"/>
  <c r="AS31"/>
  <c r="AT31"/>
  <c r="AN32"/>
  <c r="AO32"/>
  <c r="AP32"/>
  <c r="AQ32"/>
  <c r="AR32"/>
  <c r="AS32"/>
  <c r="AT32"/>
  <c r="AN33"/>
  <c r="AO33"/>
  <c r="AP33"/>
  <c r="AQ33"/>
  <c r="AR33"/>
  <c r="AS33"/>
  <c r="AT33"/>
  <c r="AN34"/>
  <c r="AO34"/>
  <c r="AP34"/>
  <c r="AQ34"/>
  <c r="AR34"/>
  <c r="AS34"/>
  <c r="AT34"/>
  <c r="AN35"/>
  <c r="AO35"/>
  <c r="AP35"/>
  <c r="AQ35"/>
  <c r="AR35"/>
  <c r="AS35"/>
  <c r="AT35"/>
  <c r="AN36"/>
  <c r="AO36"/>
  <c r="AP36"/>
  <c r="AQ36"/>
  <c r="AR36"/>
  <c r="AS36"/>
  <c r="AT36"/>
  <c r="AN37"/>
  <c r="AO37"/>
  <c r="AP37"/>
  <c r="AQ37"/>
  <c r="AR37"/>
  <c r="AS37"/>
  <c r="AT37"/>
  <c r="AN38"/>
  <c r="AO38"/>
  <c r="AP38"/>
  <c r="AQ38"/>
  <c r="AR38"/>
  <c r="AS38"/>
  <c r="AT38"/>
  <c r="AN39"/>
  <c r="AO39"/>
  <c r="AP39"/>
  <c r="AQ39"/>
  <c r="AR39"/>
  <c r="AS39"/>
  <c r="AT39"/>
  <c r="AN40"/>
  <c r="AO40"/>
  <c r="AP40"/>
  <c r="AQ40"/>
  <c r="AR40"/>
  <c r="AS40"/>
  <c r="AT40"/>
  <c r="AN41"/>
  <c r="AO41"/>
  <c r="AP41"/>
  <c r="AQ41"/>
  <c r="AR41"/>
  <c r="AS41"/>
  <c r="AT41"/>
  <c r="AN42"/>
  <c r="AO42"/>
  <c r="AP42"/>
  <c r="AQ42"/>
  <c r="AR42"/>
  <c r="AS42"/>
  <c r="AT42"/>
  <c r="AN43"/>
  <c r="AO43"/>
  <c r="AP43"/>
  <c r="AQ43"/>
  <c r="AR43"/>
  <c r="AS43"/>
  <c r="AT43"/>
  <c r="AN44"/>
  <c r="AO44"/>
  <c r="AP44"/>
  <c r="AQ44"/>
  <c r="AR44"/>
  <c r="AS44"/>
  <c r="AT44"/>
  <c r="AN45"/>
  <c r="AO45"/>
  <c r="AP45"/>
  <c r="AQ45"/>
  <c r="AR45"/>
  <c r="AS45"/>
  <c r="AT45"/>
  <c r="AN46"/>
  <c r="AO46"/>
  <c r="AP46"/>
  <c r="AQ46"/>
  <c r="AR46"/>
  <c r="AS46"/>
  <c r="AT46"/>
  <c r="AN47"/>
  <c r="AO47"/>
  <c r="AP47"/>
  <c r="AQ47"/>
  <c r="AR47"/>
  <c r="AS47"/>
  <c r="AT47"/>
  <c r="AN48"/>
  <c r="AO48"/>
  <c r="AP48"/>
  <c r="AQ48"/>
  <c r="AR48"/>
  <c r="AS48"/>
  <c r="AT48"/>
  <c r="AN49"/>
  <c r="AO49"/>
  <c r="AP49"/>
  <c r="AQ49"/>
  <c r="AR49"/>
  <c r="AS49"/>
  <c r="AT49"/>
  <c r="AN50"/>
  <c r="AO50"/>
  <c r="AP50"/>
  <c r="AQ50"/>
  <c r="AR50"/>
  <c r="AS50"/>
  <c r="AT50"/>
  <c r="AN51"/>
  <c r="AO51"/>
  <c r="AP51"/>
  <c r="AQ51"/>
  <c r="AR51"/>
  <c r="AS51"/>
  <c r="AT51"/>
  <c r="AN52"/>
  <c r="AO52"/>
  <c r="AP52"/>
  <c r="AQ52"/>
  <c r="AR52"/>
  <c r="AS52"/>
  <c r="AT52"/>
  <c r="AN53"/>
  <c r="AO53"/>
  <c r="AP53"/>
  <c r="AQ53"/>
  <c r="AR53"/>
  <c r="AS53"/>
  <c r="AT53"/>
  <c r="AN54"/>
  <c r="AO54"/>
  <c r="AP54"/>
  <c r="AQ54"/>
  <c r="AR54"/>
  <c r="AS54"/>
  <c r="AT54"/>
  <c r="AN55"/>
  <c r="AO55"/>
  <c r="AP55"/>
  <c r="AQ55"/>
  <c r="AR55"/>
  <c r="AS55"/>
  <c r="AT55"/>
  <c r="AN56"/>
  <c r="AO56"/>
  <c r="AP56"/>
  <c r="AQ56"/>
  <c r="AR56"/>
  <c r="AS56"/>
  <c r="AT56"/>
  <c r="AN57"/>
  <c r="AO57"/>
  <c r="AP57"/>
  <c r="AQ57"/>
  <c r="AR57"/>
  <c r="AS57"/>
  <c r="AT57"/>
  <c r="AN58"/>
  <c r="AO58"/>
  <c r="AP58"/>
  <c r="AQ58"/>
  <c r="AR58"/>
  <c r="AS58"/>
  <c r="AT58"/>
  <c r="AN59"/>
  <c r="AO59"/>
  <c r="AP59"/>
  <c r="AQ59"/>
  <c r="AR59"/>
  <c r="AS59"/>
  <c r="AT59"/>
  <c r="AN60"/>
  <c r="AO60"/>
  <c r="AP60"/>
  <c r="AQ60"/>
  <c r="AR60"/>
  <c r="AS60"/>
  <c r="AT60"/>
  <c r="AN61"/>
  <c r="AO61"/>
  <c r="AP61"/>
  <c r="AQ61"/>
  <c r="AR61"/>
  <c r="AS61"/>
  <c r="AT61"/>
  <c r="AN62"/>
  <c r="AO62"/>
  <c r="AP62"/>
  <c r="AQ62"/>
  <c r="AR62"/>
  <c r="AS62"/>
  <c r="AT62"/>
  <c r="AN63"/>
  <c r="AO63"/>
  <c r="AP63"/>
  <c r="AQ63"/>
  <c r="AR63"/>
  <c r="AS63"/>
  <c r="AT63"/>
  <c r="AN64"/>
  <c r="AO64"/>
  <c r="AP64"/>
  <c r="AQ64"/>
  <c r="AR64"/>
  <c r="AS64"/>
  <c r="AT64"/>
  <c r="AN65"/>
  <c r="AO65"/>
  <c r="AP65"/>
  <c r="AQ65"/>
  <c r="AR65"/>
  <c r="AS65"/>
  <c r="AT65"/>
  <c r="AN66"/>
  <c r="AO66"/>
  <c r="AP66"/>
  <c r="AQ66"/>
  <c r="AR66"/>
  <c r="AS66"/>
  <c r="AT66"/>
  <c r="AN67"/>
  <c r="AO67"/>
  <c r="AP67"/>
  <c r="AQ67"/>
  <c r="AR67"/>
  <c r="AS67"/>
  <c r="AT67"/>
  <c r="AN68"/>
  <c r="AO68"/>
  <c r="AP68"/>
  <c r="AQ68"/>
  <c r="AR68"/>
  <c r="AS68"/>
  <c r="AT68"/>
  <c r="AN69"/>
  <c r="AO69"/>
  <c r="AP69"/>
  <c r="AQ69"/>
  <c r="AR69"/>
  <c r="AS69"/>
  <c r="AT69"/>
  <c r="AN70"/>
  <c r="AO70"/>
  <c r="AP70"/>
  <c r="AQ70"/>
  <c r="AR70"/>
  <c r="AS70"/>
  <c r="AT70"/>
  <c r="AN71"/>
  <c r="AO71"/>
  <c r="AP71"/>
  <c r="AQ71"/>
  <c r="AR71"/>
  <c r="AS71"/>
  <c r="AT71"/>
  <c r="AN72"/>
  <c r="AO72"/>
  <c r="AP72"/>
  <c r="AQ72"/>
  <c r="AR72"/>
  <c r="AS72"/>
  <c r="AT72"/>
  <c r="AN73"/>
  <c r="AO73"/>
  <c r="AP73"/>
  <c r="AQ73"/>
  <c r="AR73"/>
  <c r="AS73"/>
  <c r="AT73"/>
  <c r="AN74"/>
  <c r="AO74"/>
  <c r="AP74"/>
  <c r="AQ74"/>
  <c r="AR74"/>
  <c r="AS74"/>
  <c r="AT74"/>
  <c r="AN75"/>
  <c r="AO75"/>
  <c r="AP75"/>
  <c r="AQ75"/>
  <c r="AR75"/>
  <c r="AS75"/>
  <c r="AT75"/>
  <c r="AN76"/>
  <c r="AO76"/>
  <c r="AP76"/>
  <c r="AQ76"/>
  <c r="AR76"/>
  <c r="AS76"/>
  <c r="AT76"/>
  <c r="AN77"/>
  <c r="AO77"/>
  <c r="AP77"/>
  <c r="AQ77"/>
  <c r="AR77"/>
  <c r="AS77"/>
  <c r="AT77"/>
  <c r="AN78"/>
  <c r="AO78"/>
  <c r="AP78"/>
  <c r="AQ78"/>
  <c r="AR78"/>
  <c r="AS78"/>
  <c r="AT78"/>
  <c r="AN79"/>
  <c r="AO79"/>
  <c r="AP79"/>
  <c r="AQ79"/>
  <c r="AR79"/>
  <c r="AS79"/>
  <c r="AT79"/>
  <c r="AN80"/>
  <c r="AO80"/>
  <c r="AP80"/>
  <c r="AQ80"/>
  <c r="AR80"/>
  <c r="AS80"/>
  <c r="AT80"/>
  <c r="AN81"/>
  <c r="AO81"/>
  <c r="AP81"/>
  <c r="AQ81"/>
  <c r="AR81"/>
  <c r="AS81"/>
  <c r="AT81"/>
  <c r="AN82"/>
  <c r="AO82"/>
  <c r="AP82"/>
  <c r="AQ82"/>
  <c r="AR82"/>
  <c r="AS82"/>
  <c r="AT82"/>
  <c r="AN83"/>
  <c r="AO83"/>
  <c r="AP83"/>
  <c r="AQ83"/>
  <c r="AR83"/>
  <c r="AS83"/>
  <c r="AT83"/>
  <c r="AN84"/>
  <c r="AO84"/>
  <c r="AP84"/>
  <c r="AQ84"/>
  <c r="AR84"/>
  <c r="AS84"/>
  <c r="AT84"/>
  <c r="AN85"/>
  <c r="AO85"/>
  <c r="AP85"/>
  <c r="AQ85"/>
  <c r="AR85"/>
  <c r="AS85"/>
  <c r="AT85"/>
  <c r="AN86"/>
  <c r="AO86"/>
  <c r="AP86"/>
  <c r="AQ86"/>
  <c r="AR86"/>
  <c r="AS86"/>
  <c r="AT86"/>
  <c r="AN87"/>
  <c r="AO87"/>
  <c r="AP87"/>
  <c r="AQ87"/>
  <c r="AR87"/>
  <c r="AS87"/>
  <c r="AT87"/>
  <c r="AN88"/>
  <c r="AO88"/>
  <c r="AP88"/>
  <c r="AQ88"/>
  <c r="AR88"/>
  <c r="AS88"/>
  <c r="AT88"/>
  <c r="AN89"/>
  <c r="AO89"/>
  <c r="AP89"/>
  <c r="AQ89"/>
  <c r="AR89"/>
  <c r="AS89"/>
  <c r="AT89"/>
  <c r="AN90"/>
  <c r="AO90"/>
  <c r="AP90"/>
  <c r="AQ90"/>
  <c r="AR90"/>
  <c r="AS90"/>
  <c r="AT90"/>
  <c r="AN91"/>
  <c r="AO91"/>
  <c r="AP91"/>
  <c r="AQ91"/>
  <c r="AR91"/>
  <c r="AS91"/>
  <c r="AT91"/>
  <c r="AN92"/>
  <c r="AO92"/>
  <c r="AP92"/>
  <c r="AQ92"/>
  <c r="AR92"/>
  <c r="AS92"/>
  <c r="AT92"/>
  <c r="AN93"/>
  <c r="AO93"/>
  <c r="AP93"/>
  <c r="AQ93"/>
  <c r="AR93"/>
  <c r="AS93"/>
  <c r="AT93"/>
  <c r="AN94"/>
  <c r="AO94"/>
  <c r="AP94"/>
  <c r="AQ94"/>
  <c r="AR94"/>
  <c r="AS94"/>
  <c r="AT94"/>
  <c r="AN95"/>
  <c r="AO95"/>
  <c r="AP95"/>
  <c r="AQ95"/>
  <c r="AR95"/>
  <c r="AS95"/>
  <c r="AT95"/>
  <c r="AN96"/>
  <c r="AO96"/>
  <c r="AP96"/>
  <c r="AQ96"/>
  <c r="AR96"/>
  <c r="AS96"/>
  <c r="AT96"/>
  <c r="AN97"/>
  <c r="AO97"/>
  <c r="AP97"/>
  <c r="AQ97"/>
  <c r="AR97"/>
  <c r="AS97"/>
  <c r="AT97"/>
  <c r="AN98"/>
  <c r="AO98"/>
  <c r="AP98"/>
  <c r="AQ98"/>
  <c r="AR98"/>
  <c r="AS98"/>
  <c r="AT98"/>
  <c r="AN99"/>
  <c r="AO99"/>
  <c r="AP99"/>
  <c r="AQ99"/>
  <c r="AR99"/>
  <c r="AS99"/>
  <c r="AT99"/>
  <c r="AN100"/>
  <c r="AO100"/>
  <c r="AP100"/>
  <c r="AQ100"/>
  <c r="AR100"/>
  <c r="AS100"/>
  <c r="AT100"/>
  <c r="AN101"/>
  <c r="AO101"/>
  <c r="AP101"/>
  <c r="AQ101"/>
  <c r="AR101"/>
  <c r="AS101"/>
  <c r="AT101"/>
  <c r="AN102"/>
  <c r="AO102"/>
  <c r="AP102"/>
  <c r="AQ102"/>
  <c r="AR102"/>
  <c r="AS102"/>
  <c r="AT102"/>
  <c r="AN103"/>
  <c r="AO103"/>
  <c r="AP103"/>
  <c r="AQ103"/>
  <c r="AR103"/>
  <c r="AS103"/>
  <c r="AT103"/>
  <c r="AN104"/>
  <c r="AO104"/>
  <c r="AP104"/>
  <c r="AQ104"/>
  <c r="AR104"/>
  <c r="AS104"/>
  <c r="AT104"/>
  <c r="AN105"/>
  <c r="AO105"/>
  <c r="AP105"/>
  <c r="AQ105"/>
  <c r="AR105"/>
  <c r="AS105"/>
  <c r="AT105"/>
  <c r="AN106"/>
  <c r="AO106"/>
  <c r="AP106"/>
  <c r="AQ106"/>
  <c r="AR106"/>
  <c r="AS106"/>
  <c r="AT106"/>
  <c r="AN107"/>
  <c r="AO107"/>
  <c r="AP107"/>
  <c r="AQ107"/>
  <c r="AR107"/>
  <c r="AS107"/>
  <c r="AT107"/>
  <c r="AN108"/>
  <c r="AO108"/>
  <c r="AP108"/>
  <c r="AQ108"/>
  <c r="AR108"/>
  <c r="AS108"/>
  <c r="AT108"/>
  <c r="AN109"/>
  <c r="AO109"/>
  <c r="AP109"/>
  <c r="AQ109"/>
  <c r="AR109"/>
  <c r="AS109"/>
  <c r="AT109"/>
  <c r="AN110"/>
  <c r="AO110"/>
  <c r="AP110"/>
  <c r="AQ110"/>
  <c r="AR110"/>
  <c r="AS110"/>
  <c r="AT110"/>
  <c r="AN111"/>
  <c r="AO111"/>
  <c r="AP111"/>
  <c r="AQ111"/>
  <c r="AR111"/>
  <c r="AS111"/>
  <c r="AT111"/>
  <c r="AN112"/>
  <c r="AO112"/>
  <c r="AP112"/>
  <c r="AQ112"/>
  <c r="AR112"/>
  <c r="AS112"/>
  <c r="AT112"/>
  <c r="AN113"/>
  <c r="AO113"/>
  <c r="AP113"/>
  <c r="AQ113"/>
  <c r="AR113"/>
  <c r="AS113"/>
  <c r="AT113"/>
  <c r="AN114"/>
  <c r="AO114"/>
  <c r="AP114"/>
  <c r="AQ114"/>
  <c r="AR114"/>
  <c r="AS114"/>
  <c r="AT114"/>
  <c r="AN115"/>
  <c r="AO115"/>
  <c r="AP115"/>
  <c r="AQ115"/>
  <c r="AR115"/>
  <c r="AS115"/>
  <c r="AT115"/>
  <c r="AN116"/>
  <c r="AO116"/>
  <c r="AP116"/>
  <c r="AQ116"/>
  <c r="AR116"/>
  <c r="AS116"/>
  <c r="AT116"/>
  <c r="AN117"/>
  <c r="AO117"/>
  <c r="AP117"/>
  <c r="AQ117"/>
  <c r="AR117"/>
  <c r="AS117"/>
  <c r="AT117"/>
  <c r="AN118"/>
  <c r="AO118"/>
  <c r="AP118"/>
  <c r="AQ118"/>
  <c r="AR118"/>
  <c r="AS118"/>
  <c r="AT118"/>
  <c r="AN119"/>
  <c r="AO119"/>
  <c r="AP119"/>
  <c r="AQ119"/>
  <c r="AR119"/>
  <c r="AS119"/>
  <c r="AT119"/>
  <c r="AN120"/>
  <c r="AO120"/>
  <c r="AP120"/>
  <c r="AQ120"/>
  <c r="AR120"/>
  <c r="AS120"/>
  <c r="AT120"/>
  <c r="AN121"/>
  <c r="AO121"/>
  <c r="AP121"/>
  <c r="AQ121"/>
  <c r="AR121"/>
  <c r="AS121"/>
  <c r="AT121"/>
  <c r="AN122"/>
  <c r="AO122"/>
  <c r="AP122"/>
  <c r="AQ122"/>
  <c r="AR122"/>
  <c r="AS122"/>
  <c r="AT122"/>
  <c r="AN123"/>
  <c r="AO123"/>
  <c r="AP123"/>
  <c r="AQ123"/>
  <c r="AR123"/>
  <c r="AS123"/>
  <c r="AT123"/>
  <c r="AN124"/>
  <c r="AO124"/>
  <c r="AP124"/>
  <c r="AQ124"/>
  <c r="AR124"/>
  <c r="AS124"/>
  <c r="AT124"/>
  <c r="AN125"/>
  <c r="AO125"/>
  <c r="AP125"/>
  <c r="AQ125"/>
  <c r="AR125"/>
  <c r="AS125"/>
  <c r="AT125"/>
  <c r="AN126"/>
  <c r="AO126"/>
  <c r="AP126"/>
  <c r="AQ126"/>
  <c r="AR126"/>
  <c r="AS126"/>
  <c r="AT126"/>
  <c r="AN127"/>
  <c r="AO127"/>
  <c r="AP127"/>
  <c r="AQ127"/>
  <c r="AR127"/>
  <c r="AS127"/>
  <c r="AT127"/>
  <c r="AN128"/>
  <c r="AO128"/>
  <c r="AP128"/>
  <c r="AQ128"/>
  <c r="AR128"/>
  <c r="AS128"/>
  <c r="AT128"/>
  <c r="AN129"/>
  <c r="AO129"/>
  <c r="AP129"/>
  <c r="AQ129"/>
  <c r="AR129"/>
  <c r="AS129"/>
  <c r="AT129"/>
  <c r="AN130"/>
  <c r="AO130"/>
  <c r="AP130"/>
  <c r="AQ130"/>
  <c r="AR130"/>
  <c r="AS130"/>
  <c r="AT130"/>
  <c r="AN131"/>
  <c r="AO131"/>
  <c r="AP131"/>
  <c r="AQ131"/>
  <c r="AR131"/>
  <c r="AS131"/>
  <c r="AT131"/>
  <c r="AN132"/>
  <c r="AO132"/>
  <c r="AP132"/>
  <c r="AQ132"/>
  <c r="AR132"/>
  <c r="AS132"/>
  <c r="AT132"/>
  <c r="AN133"/>
  <c r="AO133"/>
  <c r="AP133"/>
  <c r="AQ133"/>
  <c r="AR133"/>
  <c r="AS133"/>
  <c r="AT133"/>
  <c r="AN134"/>
  <c r="AO134"/>
  <c r="AP134"/>
  <c r="AQ134"/>
  <c r="AR134"/>
  <c r="AS134"/>
  <c r="AT134"/>
  <c r="AN135"/>
  <c r="AO135"/>
  <c r="AP135"/>
  <c r="AQ135"/>
  <c r="AR135"/>
  <c r="AS135"/>
  <c r="AT135"/>
  <c r="AN136"/>
  <c r="AO136"/>
  <c r="AP136"/>
  <c r="AQ136"/>
  <c r="AR136"/>
  <c r="AS136"/>
  <c r="AT136"/>
  <c r="AN137"/>
  <c r="AO137"/>
  <c r="AP137"/>
  <c r="AQ137"/>
  <c r="AR137"/>
  <c r="AS137"/>
  <c r="AT137"/>
  <c r="AN138"/>
  <c r="AO138"/>
  <c r="AP138"/>
  <c r="AQ138"/>
  <c r="AR138"/>
  <c r="AS138"/>
  <c r="AT138"/>
  <c r="AN139"/>
  <c r="AO139"/>
  <c r="AP139"/>
  <c r="AQ139"/>
  <c r="AR139"/>
  <c r="AS139"/>
  <c r="AT139"/>
  <c r="AN140"/>
  <c r="AO140"/>
  <c r="AP140"/>
  <c r="AQ140"/>
  <c r="AR140"/>
  <c r="AS140"/>
  <c r="AT140"/>
  <c r="AN141"/>
  <c r="AO141"/>
  <c r="AP141"/>
  <c r="AQ141"/>
  <c r="AR141"/>
  <c r="AS141"/>
  <c r="AT141"/>
  <c r="AN142"/>
  <c r="AO142"/>
  <c r="AP142"/>
  <c r="AQ142"/>
  <c r="AR142"/>
  <c r="AS142"/>
  <c r="AT142"/>
  <c r="AN143"/>
  <c r="AO143"/>
  <c r="AP143"/>
  <c r="AQ143"/>
  <c r="AR143"/>
  <c r="AS143"/>
  <c r="AT143"/>
  <c r="AN144"/>
  <c r="AO144"/>
  <c r="AP144"/>
  <c r="AQ144"/>
  <c r="AR144"/>
  <c r="AS144"/>
  <c r="AT144"/>
  <c r="AN145"/>
  <c r="AO145"/>
  <c r="AP145"/>
  <c r="AQ145"/>
  <c r="AR145"/>
  <c r="AS145"/>
  <c r="AT145"/>
  <c r="AN146"/>
  <c r="AO146"/>
  <c r="AP146"/>
  <c r="AQ146"/>
  <c r="AR146"/>
  <c r="AS146"/>
  <c r="AT146"/>
  <c r="AN147"/>
  <c r="AO147"/>
  <c r="AP147"/>
  <c r="AQ147"/>
  <c r="AR147"/>
  <c r="AS147"/>
  <c r="AT147"/>
  <c r="AN148"/>
  <c r="AO148"/>
  <c r="AP148"/>
  <c r="AQ148"/>
  <c r="AR148"/>
  <c r="AS148"/>
  <c r="AT148"/>
  <c r="AN149"/>
  <c r="AO149"/>
  <c r="AP149"/>
  <c r="AQ149"/>
  <c r="AR149"/>
  <c r="AS149"/>
  <c r="AT149"/>
  <c r="AN150"/>
  <c r="AO150"/>
  <c r="AP150"/>
  <c r="AQ150"/>
  <c r="AR150"/>
  <c r="AS150"/>
  <c r="AT150"/>
  <c r="AN151"/>
  <c r="AO151"/>
  <c r="AP151"/>
  <c r="AQ151"/>
  <c r="AR151"/>
  <c r="AS151"/>
  <c r="AT151"/>
  <c r="AN152"/>
  <c r="AO152"/>
  <c r="AP152"/>
  <c r="AQ152"/>
  <c r="AR152"/>
  <c r="AS152"/>
  <c r="AT152"/>
  <c r="AN153"/>
  <c r="AO153"/>
  <c r="AP153"/>
  <c r="AQ153"/>
  <c r="AR153"/>
  <c r="AS153"/>
  <c r="AT153"/>
  <c r="AN154"/>
  <c r="AO154"/>
  <c r="AP154"/>
  <c r="AQ154"/>
  <c r="AR154"/>
  <c r="AS154"/>
  <c r="AT154"/>
  <c r="AN155"/>
  <c r="AO155"/>
  <c r="AP155"/>
  <c r="AQ155"/>
  <c r="AR155"/>
  <c r="AS155"/>
  <c r="AT155"/>
  <c r="AN156"/>
  <c r="AO156"/>
  <c r="AP156"/>
  <c r="AQ156"/>
  <c r="AR156"/>
  <c r="AS156"/>
  <c r="AT156"/>
  <c r="AN157"/>
  <c r="AO157"/>
  <c r="AP157"/>
  <c r="AQ157"/>
  <c r="AR157"/>
  <c r="AS157"/>
  <c r="AT157"/>
  <c r="AN158"/>
  <c r="AO158"/>
  <c r="AP158"/>
  <c r="AQ158"/>
  <c r="AR158"/>
  <c r="AS158"/>
  <c r="AT158"/>
  <c r="AN159"/>
  <c r="AO159"/>
  <c r="AP159"/>
  <c r="AQ159"/>
  <c r="AR159"/>
  <c r="AS159"/>
  <c r="AT159"/>
  <c r="AN160"/>
  <c r="AO160"/>
  <c r="AP160"/>
  <c r="AQ160"/>
  <c r="AR160"/>
  <c r="AS160"/>
  <c r="AT160"/>
  <c r="AN161"/>
  <c r="AO161"/>
  <c r="AP161"/>
  <c r="AQ161"/>
  <c r="AR161"/>
  <c r="AS161"/>
  <c r="AT161"/>
  <c r="AN162"/>
  <c r="AO162"/>
  <c r="AP162"/>
  <c r="AQ162"/>
  <c r="AR162"/>
  <c r="AS162"/>
  <c r="AT162"/>
  <c r="AN163"/>
  <c r="AO163"/>
  <c r="AP163"/>
  <c r="AQ163"/>
  <c r="AR163"/>
  <c r="AS163"/>
  <c r="AT163"/>
  <c r="AN164"/>
  <c r="AO164"/>
  <c r="AP164"/>
  <c r="AQ164"/>
  <c r="AR164"/>
  <c r="AS164"/>
  <c r="AT164"/>
  <c r="AN165"/>
  <c r="AO165"/>
  <c r="AP165"/>
  <c r="AQ165"/>
  <c r="AR165"/>
  <c r="AS165"/>
  <c r="AT165"/>
  <c r="AN166"/>
  <c r="AO166"/>
  <c r="AP166"/>
  <c r="AQ166"/>
  <c r="AR166"/>
  <c r="AS166"/>
  <c r="AT166"/>
  <c r="AN167"/>
  <c r="AO167"/>
  <c r="AP167"/>
  <c r="AQ167"/>
  <c r="AR167"/>
  <c r="AS167"/>
  <c r="AT167"/>
  <c r="AN168"/>
  <c r="AO168"/>
  <c r="AP168"/>
  <c r="AQ168"/>
  <c r="AR168"/>
  <c r="AS168"/>
  <c r="AT168"/>
  <c r="AN169"/>
  <c r="AO169"/>
  <c r="AP169"/>
  <c r="AQ169"/>
  <c r="AR169"/>
  <c r="AS169"/>
  <c r="AT169"/>
  <c r="AN170"/>
  <c r="AO170"/>
  <c r="AP170"/>
  <c r="AQ170"/>
  <c r="AR170"/>
  <c r="AS170"/>
  <c r="AT170"/>
  <c r="AN171"/>
  <c r="AO171"/>
  <c r="AP171"/>
  <c r="AQ171"/>
  <c r="AR171"/>
  <c r="AS171"/>
  <c r="AT171"/>
  <c r="AN172"/>
  <c r="AO172"/>
  <c r="AP172"/>
  <c r="AQ172"/>
  <c r="AR172"/>
  <c r="AS172"/>
  <c r="AT172"/>
  <c r="AN173"/>
  <c r="AO173"/>
  <c r="AP173"/>
  <c r="AQ173"/>
  <c r="AR173"/>
  <c r="AS173"/>
  <c r="AT173"/>
  <c r="AN174"/>
  <c r="AO174"/>
  <c r="AP174"/>
  <c r="AQ174"/>
  <c r="AR174"/>
  <c r="AS174"/>
  <c r="AT174"/>
  <c r="AN175"/>
  <c r="AO175"/>
  <c r="AP175"/>
  <c r="AQ175"/>
  <c r="AR175"/>
  <c r="AS175"/>
  <c r="AT175"/>
  <c r="AN176"/>
  <c r="AO176"/>
  <c r="AP176"/>
  <c r="AQ176"/>
  <c r="AR176"/>
  <c r="AS176"/>
  <c r="AT176"/>
  <c r="AN177"/>
  <c r="AO177"/>
  <c r="AP177"/>
  <c r="AQ177"/>
  <c r="AR177"/>
  <c r="AS177"/>
  <c r="AT177"/>
  <c r="AN178"/>
  <c r="AO178"/>
  <c r="AP178"/>
  <c r="AQ178"/>
  <c r="AR178"/>
  <c r="AS178"/>
  <c r="AT178"/>
  <c r="AN179"/>
  <c r="AO179"/>
  <c r="AP179"/>
  <c r="AQ179"/>
  <c r="AR179"/>
  <c r="AS179"/>
  <c r="AT179"/>
  <c r="AN180"/>
  <c r="AO180"/>
  <c r="AP180"/>
  <c r="AQ180"/>
  <c r="AR180"/>
  <c r="AS180"/>
  <c r="AT180"/>
  <c r="AN181"/>
  <c r="AO181"/>
  <c r="AP181"/>
  <c r="AQ181"/>
  <c r="AR181"/>
  <c r="AS181"/>
  <c r="AT181"/>
  <c r="AN182"/>
  <c r="AO182"/>
  <c r="AP182"/>
  <c r="AQ182"/>
  <c r="AR182"/>
  <c r="AS182"/>
  <c r="AT182"/>
  <c r="AN183"/>
  <c r="AO183"/>
  <c r="AP183"/>
  <c r="AQ183"/>
  <c r="AR183"/>
  <c r="AS183"/>
  <c r="AT183"/>
  <c r="AN184"/>
  <c r="AO184"/>
  <c r="AP184"/>
  <c r="AQ184"/>
  <c r="AR184"/>
  <c r="AS184"/>
  <c r="AT184"/>
  <c r="AN185"/>
  <c r="AO185"/>
  <c r="AP185"/>
  <c r="AQ185"/>
  <c r="AR185"/>
  <c r="AS185"/>
  <c r="AT185"/>
  <c r="AN186"/>
  <c r="AO186"/>
  <c r="AP186"/>
  <c r="AQ186"/>
  <c r="AR186"/>
  <c r="AS186"/>
  <c r="AT186"/>
  <c r="AN187"/>
  <c r="AO187"/>
  <c r="AP187"/>
  <c r="AQ187"/>
  <c r="AR187"/>
  <c r="AS187"/>
  <c r="AT187"/>
  <c r="AN188"/>
  <c r="AO188"/>
  <c r="AP188"/>
  <c r="AQ188"/>
  <c r="AR188"/>
  <c r="AS188"/>
  <c r="AT188"/>
  <c r="AN189"/>
  <c r="AO189"/>
  <c r="AP189"/>
  <c r="AQ189"/>
  <c r="AR189"/>
  <c r="AS189"/>
  <c r="AT189"/>
  <c r="AN190"/>
  <c r="AO190"/>
  <c r="AP190"/>
  <c r="AQ190"/>
  <c r="AR190"/>
  <c r="AS190"/>
  <c r="AT190"/>
  <c r="AN191"/>
  <c r="AO191"/>
  <c r="AP191"/>
  <c r="AQ191"/>
  <c r="AR191"/>
  <c r="AS191"/>
  <c r="AT191"/>
  <c r="AN192"/>
  <c r="AO192"/>
  <c r="AP192"/>
  <c r="AQ192"/>
  <c r="AR192"/>
  <c r="AS192"/>
  <c r="AT192"/>
  <c r="AN193"/>
  <c r="AO193"/>
  <c r="AP193"/>
  <c r="AQ193"/>
  <c r="AR193"/>
  <c r="AS193"/>
  <c r="AT193"/>
  <c r="AN194"/>
  <c r="AO194"/>
  <c r="AP194"/>
  <c r="AQ194"/>
  <c r="AR194"/>
  <c r="AS194"/>
  <c r="AT194"/>
  <c r="AN195"/>
  <c r="AO195"/>
  <c r="AP195"/>
  <c r="AQ195"/>
  <c r="AR195"/>
  <c r="AS195"/>
  <c r="AT195"/>
  <c r="AN196"/>
  <c r="AO196"/>
  <c r="AP196"/>
  <c r="AQ196"/>
  <c r="AR196"/>
  <c r="AS196"/>
  <c r="AT196"/>
  <c r="AN197"/>
  <c r="AO197"/>
  <c r="AP197"/>
  <c r="AQ197"/>
  <c r="AR197"/>
  <c r="AS197"/>
  <c r="AT197"/>
  <c r="AN198"/>
  <c r="AO198"/>
  <c r="AP198"/>
  <c r="AQ198"/>
  <c r="AR198"/>
  <c r="AS198"/>
  <c r="AT198"/>
  <c r="AN199"/>
  <c r="AO199"/>
  <c r="AP199"/>
  <c r="AQ199"/>
  <c r="AR199"/>
  <c r="AS199"/>
  <c r="AT199"/>
  <c r="AN200"/>
  <c r="AO200"/>
  <c r="AP200"/>
  <c r="AQ200"/>
  <c r="AR200"/>
  <c r="AS200"/>
  <c r="AT200"/>
  <c r="AN201"/>
  <c r="AO201"/>
  <c r="AP201"/>
  <c r="AQ201"/>
  <c r="AR201"/>
  <c r="AS201"/>
  <c r="AT201"/>
  <c r="AN202"/>
  <c r="AO202"/>
  <c r="AP202"/>
  <c r="AQ202"/>
  <c r="AR202"/>
  <c r="AS202"/>
  <c r="AT202"/>
  <c r="AN203"/>
  <c r="AO203"/>
  <c r="AP203"/>
  <c r="AQ203"/>
  <c r="AR203"/>
  <c r="AS203"/>
  <c r="AT203"/>
  <c r="AN204"/>
  <c r="AO204"/>
  <c r="AP204"/>
  <c r="AQ204"/>
  <c r="AR204"/>
  <c r="AS204"/>
  <c r="AT204"/>
  <c r="AN205"/>
  <c r="AO205"/>
  <c r="AP205"/>
  <c r="AQ205"/>
  <c r="AR205"/>
  <c r="AS205"/>
  <c r="AT205"/>
  <c r="AN206"/>
  <c r="AO206"/>
  <c r="AP206"/>
  <c r="AQ206"/>
  <c r="AR206"/>
  <c r="AS206"/>
  <c r="AT206"/>
  <c r="AN207"/>
  <c r="AO207"/>
  <c r="AP207"/>
  <c r="AQ207"/>
  <c r="AR207"/>
  <c r="AS207"/>
  <c r="AT207"/>
  <c r="AN208"/>
  <c r="AO208"/>
  <c r="AP208"/>
  <c r="AQ208"/>
  <c r="AR208"/>
  <c r="AS208"/>
  <c r="AT208"/>
  <c r="AN209"/>
  <c r="AO209"/>
  <c r="AP209"/>
  <c r="AQ209"/>
  <c r="AR209"/>
  <c r="AS209"/>
  <c r="AT209"/>
  <c r="AN210"/>
  <c r="AO210"/>
  <c r="AP210"/>
  <c r="AQ210"/>
  <c r="AR210"/>
  <c r="AS210"/>
  <c r="AT210"/>
  <c r="AN211"/>
  <c r="AO211"/>
  <c r="AP211"/>
  <c r="AQ211"/>
  <c r="AR211"/>
  <c r="AS211"/>
  <c r="AT211"/>
  <c r="AN212"/>
  <c r="AO212"/>
  <c r="AP212"/>
  <c r="AQ212"/>
  <c r="AR212"/>
  <c r="AS212"/>
  <c r="AT212"/>
  <c r="AN213"/>
  <c r="AO213"/>
  <c r="AP213"/>
  <c r="AQ213"/>
  <c r="AR213"/>
  <c r="AS213"/>
  <c r="AT213"/>
  <c r="AN214"/>
  <c r="AO214"/>
  <c r="AP214"/>
  <c r="AQ214"/>
  <c r="AR214"/>
  <c r="AS214"/>
  <c r="AT214"/>
  <c r="AN215"/>
  <c r="AO215"/>
  <c r="AP215"/>
  <c r="AQ215"/>
  <c r="AR215"/>
  <c r="AS215"/>
  <c r="AT215"/>
  <c r="AN216"/>
  <c r="AO216"/>
  <c r="AP216"/>
  <c r="AQ216"/>
  <c r="AR216"/>
  <c r="AS216"/>
  <c r="AT216"/>
  <c r="AN217"/>
  <c r="AO217"/>
  <c r="AP217"/>
  <c r="AQ217"/>
  <c r="AR217"/>
  <c r="AS217"/>
  <c r="AT217"/>
  <c r="AN218"/>
  <c r="AO218"/>
  <c r="AP218"/>
  <c r="AQ218"/>
  <c r="AR218"/>
  <c r="AS218"/>
  <c r="AT218"/>
  <c r="AN219"/>
  <c r="AU219" s="1"/>
  <c r="AO219"/>
  <c r="AP219"/>
  <c r="AQ219"/>
  <c r="AR219"/>
  <c r="AS219"/>
  <c r="AT219"/>
  <c r="AN220"/>
  <c r="AO220"/>
  <c r="AP220"/>
  <c r="AQ220"/>
  <c r="AR220"/>
  <c r="AS220"/>
  <c r="AT220"/>
  <c r="AN221"/>
  <c r="AU221" s="1"/>
  <c r="AO221"/>
  <c r="AP221"/>
  <c r="AQ221"/>
  <c r="AR221"/>
  <c r="AS221"/>
  <c r="AT221"/>
  <c r="AN222"/>
  <c r="AO222"/>
  <c r="AP222"/>
  <c r="AQ222"/>
  <c r="AR222"/>
  <c r="AS222"/>
  <c r="AT222"/>
  <c r="AN223"/>
  <c r="AO223"/>
  <c r="AP223"/>
  <c r="AQ223"/>
  <c r="AR223"/>
  <c r="AS223"/>
  <c r="AT223"/>
  <c r="AN224"/>
  <c r="AO224"/>
  <c r="AP224"/>
  <c r="AQ224"/>
  <c r="AR224"/>
  <c r="AS224"/>
  <c r="AT224"/>
  <c r="AN225"/>
  <c r="AO225"/>
  <c r="AP225"/>
  <c r="AQ225"/>
  <c r="AR225"/>
  <c r="AS225"/>
  <c r="AT225"/>
  <c r="AN226"/>
  <c r="AO226"/>
  <c r="AP226"/>
  <c r="AQ226"/>
  <c r="AR226"/>
  <c r="AS226"/>
  <c r="AT226"/>
  <c r="AN227"/>
  <c r="AO227"/>
  <c r="AP227"/>
  <c r="AQ227"/>
  <c r="AR227"/>
  <c r="AS227"/>
  <c r="AT227"/>
  <c r="AN228"/>
  <c r="AO228"/>
  <c r="AP228"/>
  <c r="AQ228"/>
  <c r="AR228"/>
  <c r="AS228"/>
  <c r="AT228"/>
  <c r="AN229"/>
  <c r="AO229"/>
  <c r="AP229"/>
  <c r="AQ229"/>
  <c r="AR229"/>
  <c r="AS229"/>
  <c r="AT229"/>
  <c r="AN230"/>
  <c r="AO230"/>
  <c r="AP230"/>
  <c r="AQ230"/>
  <c r="AR230"/>
  <c r="AS230"/>
  <c r="AT230"/>
  <c r="AN231"/>
  <c r="AO231"/>
  <c r="AP231"/>
  <c r="AQ231"/>
  <c r="AR231"/>
  <c r="AS231"/>
  <c r="AT231"/>
  <c r="AN232"/>
  <c r="AO232"/>
  <c r="AP232"/>
  <c r="AQ232"/>
  <c r="AR232"/>
  <c r="AS232"/>
  <c r="AT232"/>
  <c r="AN233"/>
  <c r="AU233" s="1"/>
  <c r="AO233"/>
  <c r="AP233"/>
  <c r="AQ233"/>
  <c r="AR233"/>
  <c r="AS233"/>
  <c r="AT233"/>
  <c r="AN234"/>
  <c r="AO234"/>
  <c r="AP234"/>
  <c r="AQ234"/>
  <c r="AR234"/>
  <c r="AS234"/>
  <c r="AT234"/>
  <c r="AN235"/>
  <c r="AO235"/>
  <c r="AP235"/>
  <c r="AQ235"/>
  <c r="AR235"/>
  <c r="AS235"/>
  <c r="AT235"/>
  <c r="AN236"/>
  <c r="AO236"/>
  <c r="AP236"/>
  <c r="AQ236"/>
  <c r="AR236"/>
  <c r="AS236"/>
  <c r="AT236"/>
  <c r="AN237"/>
  <c r="AO237"/>
  <c r="AP237"/>
  <c r="AQ237"/>
  <c r="AR237"/>
  <c r="AS237"/>
  <c r="AT237"/>
  <c r="AN238"/>
  <c r="AO238"/>
  <c r="AP238"/>
  <c r="AQ238"/>
  <c r="AR238"/>
  <c r="AS238"/>
  <c r="AT238"/>
  <c r="AN239"/>
  <c r="AO239"/>
  <c r="AP239"/>
  <c r="AQ239"/>
  <c r="AR239"/>
  <c r="AS239"/>
  <c r="AT239"/>
  <c r="AN240"/>
  <c r="AO240"/>
  <c r="AP240"/>
  <c r="AQ240"/>
  <c r="AR240"/>
  <c r="AS240"/>
  <c r="AT240"/>
  <c r="AN241"/>
  <c r="AO241"/>
  <c r="AP241"/>
  <c r="AQ241"/>
  <c r="AR241"/>
  <c r="AS241"/>
  <c r="AT241"/>
  <c r="AN242"/>
  <c r="AO242"/>
  <c r="AP242"/>
  <c r="AQ242"/>
  <c r="AR242"/>
  <c r="AS242"/>
  <c r="AT242"/>
  <c r="AN243"/>
  <c r="AO243"/>
  <c r="AP243"/>
  <c r="AQ243"/>
  <c r="AR243"/>
  <c r="AS243"/>
  <c r="AT243"/>
  <c r="AN244"/>
  <c r="AO244"/>
  <c r="AP244"/>
  <c r="AQ244"/>
  <c r="AR244"/>
  <c r="AS244"/>
  <c r="AT244"/>
  <c r="AN245"/>
  <c r="AO245"/>
  <c r="AP245"/>
  <c r="AQ245"/>
  <c r="AR245"/>
  <c r="AS245"/>
  <c r="AT245"/>
  <c r="AN246"/>
  <c r="AO246"/>
  <c r="AP246"/>
  <c r="AQ246"/>
  <c r="AR246"/>
  <c r="AS246"/>
  <c r="AT246"/>
  <c r="AN247"/>
  <c r="AU247" s="1"/>
  <c r="BF247" s="1"/>
  <c r="AO247"/>
  <c r="AP247"/>
  <c r="AQ247"/>
  <c r="AR247"/>
  <c r="AS247"/>
  <c r="AT247"/>
  <c r="AN248"/>
  <c r="AO248"/>
  <c r="AP248"/>
  <c r="AQ248"/>
  <c r="AR248"/>
  <c r="AS248"/>
  <c r="AT248"/>
  <c r="AN249"/>
  <c r="AU249" s="1"/>
  <c r="BF249" s="1"/>
  <c r="AO249"/>
  <c r="AP249"/>
  <c r="AQ249"/>
  <c r="AR249"/>
  <c r="AS249"/>
  <c r="AT249"/>
  <c r="AN250"/>
  <c r="AO250"/>
  <c r="AP250"/>
  <c r="AQ250"/>
  <c r="AR250"/>
  <c r="AS250"/>
  <c r="AT250"/>
  <c r="AN251"/>
  <c r="AU251" s="1"/>
  <c r="BF251" s="1"/>
  <c r="AO251"/>
  <c r="AP251"/>
  <c r="AQ251"/>
  <c r="AR251"/>
  <c r="AS251"/>
  <c r="AT251"/>
  <c r="AN252"/>
  <c r="AO252"/>
  <c r="AP252"/>
  <c r="AQ252"/>
  <c r="AR252"/>
  <c r="AS252"/>
  <c r="AT252"/>
  <c r="AN253"/>
  <c r="AU253" s="1"/>
  <c r="BF253" s="1"/>
  <c r="AO253"/>
  <c r="AP253"/>
  <c r="AQ253"/>
  <c r="AR253"/>
  <c r="AS253"/>
  <c r="AT253"/>
  <c r="AN254"/>
  <c r="AO254"/>
  <c r="AP254"/>
  <c r="AQ254"/>
  <c r="AR254"/>
  <c r="AS254"/>
  <c r="AT254"/>
  <c r="AN255"/>
  <c r="AU255" s="1"/>
  <c r="BF255" s="1"/>
  <c r="AO255"/>
  <c r="AP255"/>
  <c r="AQ255"/>
  <c r="AR255"/>
  <c r="AS255"/>
  <c r="AT255"/>
  <c r="AN256"/>
  <c r="AU256" s="1"/>
  <c r="BF256" s="1"/>
  <c r="AO256"/>
  <c r="AP256"/>
  <c r="AQ256"/>
  <c r="AR256"/>
  <c r="AS256"/>
  <c r="AT256"/>
  <c r="AN257"/>
  <c r="AU257" s="1"/>
  <c r="BF257" s="1"/>
  <c r="AO257"/>
  <c r="AP257"/>
  <c r="AQ257"/>
  <c r="AR257"/>
  <c r="AS257"/>
  <c r="AT257"/>
  <c r="AN258"/>
  <c r="AU258" s="1"/>
  <c r="BF258" s="1"/>
  <c r="AO258"/>
  <c r="AP258"/>
  <c r="AQ258"/>
  <c r="AR258"/>
  <c r="AS258"/>
  <c r="AT258"/>
  <c r="AN259"/>
  <c r="AU259" s="1"/>
  <c r="BF259" s="1"/>
  <c r="AO259"/>
  <c r="AP259"/>
  <c r="AQ259"/>
  <c r="AR259"/>
  <c r="AS259"/>
  <c r="AT259"/>
  <c r="AN260"/>
  <c r="AU260" s="1"/>
  <c r="BF260" s="1"/>
  <c r="AO260"/>
  <c r="AP260"/>
  <c r="AQ260"/>
  <c r="AR260"/>
  <c r="AS260"/>
  <c r="AT260"/>
  <c r="AT11"/>
  <c r="AS11"/>
  <c r="AR11"/>
  <c r="AQ11"/>
  <c r="AP11"/>
  <c r="AO11"/>
  <c r="AN11"/>
  <c r="AU11" s="1"/>
  <c r="U8" l="1"/>
  <c r="W8" s="1"/>
  <c r="Y8" s="1"/>
  <c r="AA8" s="1"/>
  <c r="AC8" s="1"/>
  <c r="AU245"/>
  <c r="BF245" s="1"/>
  <c r="AU241"/>
  <c r="BF241" s="1"/>
  <c r="AU235"/>
  <c r="BF235" s="1"/>
  <c r="AU227"/>
  <c r="BF227" s="1"/>
  <c r="AU223"/>
  <c r="BF223" s="1"/>
  <c r="BF219"/>
  <c r="AU217"/>
  <c r="BF217" s="1"/>
  <c r="AU215"/>
  <c r="BF215" s="1"/>
  <c r="AU213"/>
  <c r="BF213" s="1"/>
  <c r="AU211"/>
  <c r="BF211" s="1"/>
  <c r="AU209"/>
  <c r="BF209" s="1"/>
  <c r="AU207"/>
  <c r="BF207" s="1"/>
  <c r="AU205"/>
  <c r="BF205" s="1"/>
  <c r="AU203"/>
  <c r="BF203" s="1"/>
  <c r="AU201"/>
  <c r="BF201" s="1"/>
  <c r="AU199"/>
  <c r="BF199" s="1"/>
  <c r="AU197"/>
  <c r="BF197" s="1"/>
  <c r="AU195"/>
  <c r="BF195" s="1"/>
  <c r="AU193"/>
  <c r="BF193" s="1"/>
  <c r="AU191"/>
  <c r="BF191" s="1"/>
  <c r="AU189"/>
  <c r="BF189" s="1"/>
  <c r="AU187"/>
  <c r="BF187" s="1"/>
  <c r="AU185"/>
  <c r="BF185" s="1"/>
  <c r="AU183"/>
  <c r="BF183" s="1"/>
  <c r="AU181"/>
  <c r="BF181" s="1"/>
  <c r="AU179"/>
  <c r="BF179" s="1"/>
  <c r="AU177"/>
  <c r="BF177" s="1"/>
  <c r="AU175"/>
  <c r="BF175" s="1"/>
  <c r="AU173"/>
  <c r="BF173" s="1"/>
  <c r="AU171"/>
  <c r="BF171" s="1"/>
  <c r="AU169"/>
  <c r="BF169" s="1"/>
  <c r="AU167"/>
  <c r="BF167" s="1"/>
  <c r="AU165"/>
  <c r="BF165" s="1"/>
  <c r="AU163"/>
  <c r="BF163" s="1"/>
  <c r="AU161"/>
  <c r="BF161" s="1"/>
  <c r="AU159"/>
  <c r="BF159" s="1"/>
  <c r="AU157"/>
  <c r="BF157" s="1"/>
  <c r="AU155"/>
  <c r="BF155" s="1"/>
  <c r="AU153"/>
  <c r="BF153" s="1"/>
  <c r="AU151"/>
  <c r="BF151" s="1"/>
  <c r="AU149"/>
  <c r="BF149" s="1"/>
  <c r="AU147"/>
  <c r="BF147" s="1"/>
  <c r="AU145"/>
  <c r="BF145" s="1"/>
  <c r="AU143"/>
  <c r="BF143" s="1"/>
  <c r="AU141"/>
  <c r="BF141" s="1"/>
  <c r="AU139"/>
  <c r="BF139" s="1"/>
  <c r="AU137"/>
  <c r="BF137" s="1"/>
  <c r="AU135"/>
  <c r="BF135" s="1"/>
  <c r="AU133"/>
  <c r="BF133" s="1"/>
  <c r="AU131"/>
  <c r="BF131" s="1"/>
  <c r="AU129"/>
  <c r="BF129" s="1"/>
  <c r="AU127"/>
  <c r="BF127" s="1"/>
  <c r="AU125"/>
  <c r="BF125" s="1"/>
  <c r="AU123"/>
  <c r="BF123" s="1"/>
  <c r="AU121"/>
  <c r="BF121" s="1"/>
  <c r="AU119"/>
  <c r="BF119" s="1"/>
  <c r="AU117"/>
  <c r="BF117" s="1"/>
  <c r="AU115"/>
  <c r="BF115" s="1"/>
  <c r="AU113"/>
  <c r="BF113" s="1"/>
  <c r="AU111"/>
  <c r="BF111" s="1"/>
  <c r="AU109"/>
  <c r="BF109" s="1"/>
  <c r="AU107"/>
  <c r="BF107" s="1"/>
  <c r="AU105"/>
  <c r="BF105" s="1"/>
  <c r="AU103"/>
  <c r="BF103" s="1"/>
  <c r="AU101"/>
  <c r="BF101" s="1"/>
  <c r="AU99"/>
  <c r="BF99" s="1"/>
  <c r="AU97"/>
  <c r="BF97" s="1"/>
  <c r="AU95"/>
  <c r="BF95" s="1"/>
  <c r="AU93"/>
  <c r="BF93" s="1"/>
  <c r="AU91"/>
  <c r="BF91" s="1"/>
  <c r="AU89"/>
  <c r="BF89" s="1"/>
  <c r="AU87"/>
  <c r="BF87" s="1"/>
  <c r="AU85"/>
  <c r="BF85" s="1"/>
  <c r="AU83"/>
  <c r="BF83" s="1"/>
  <c r="AU81"/>
  <c r="BF81" s="1"/>
  <c r="AU79"/>
  <c r="BF79" s="1"/>
  <c r="AU77"/>
  <c r="BF77" s="1"/>
  <c r="AU75"/>
  <c r="BF75" s="1"/>
  <c r="AU73"/>
  <c r="BF73" s="1"/>
  <c r="AU71"/>
  <c r="BF71" s="1"/>
  <c r="AU69"/>
  <c r="BF69" s="1"/>
  <c r="AU67"/>
  <c r="BF67" s="1"/>
  <c r="AU65"/>
  <c r="BF65" s="1"/>
  <c r="AU63"/>
  <c r="BF63" s="1"/>
  <c r="AU61"/>
  <c r="BF61" s="1"/>
  <c r="AU59"/>
  <c r="BF59" s="1"/>
  <c r="AU57"/>
  <c r="BF57" s="1"/>
  <c r="AU55"/>
  <c r="BF55" s="1"/>
  <c r="AU53"/>
  <c r="BF53" s="1"/>
  <c r="AU51"/>
  <c r="BF51" s="1"/>
  <c r="AU49"/>
  <c r="BF49" s="1"/>
  <c r="AU47"/>
  <c r="BF47" s="1"/>
  <c r="AU45"/>
  <c r="BF45" s="1"/>
  <c r="AU43"/>
  <c r="BF43" s="1"/>
  <c r="AU41"/>
  <c r="BF41" s="1"/>
  <c r="AU39"/>
  <c r="BF39" s="1"/>
  <c r="AU37"/>
  <c r="BF37" s="1"/>
  <c r="AU35"/>
  <c r="BF35" s="1"/>
  <c r="AU33"/>
  <c r="BF33" s="1"/>
  <c r="AU31"/>
  <c r="BF31" s="1"/>
  <c r="AU29"/>
  <c r="AU27"/>
  <c r="AU25"/>
  <c r="AU23"/>
  <c r="AU21"/>
  <c r="AU19"/>
  <c r="AU17"/>
  <c r="AU15"/>
  <c r="AU13"/>
  <c r="BD11"/>
  <c r="BF11" s="1"/>
  <c r="BD29"/>
  <c r="BD27"/>
  <c r="BD25"/>
  <c r="BD23"/>
  <c r="BD21"/>
  <c r="BD19"/>
  <c r="BD17"/>
  <c r="BD15"/>
  <c r="BD13"/>
  <c r="AU243"/>
  <c r="BF243" s="1"/>
  <c r="AU239"/>
  <c r="BF239" s="1"/>
  <c r="AU237"/>
  <c r="BF237" s="1"/>
  <c r="BF233"/>
  <c r="AU231"/>
  <c r="BF231" s="1"/>
  <c r="AU229"/>
  <c r="BF229" s="1"/>
  <c r="AU225"/>
  <c r="BF225" s="1"/>
  <c r="BF221"/>
  <c r="AU254"/>
  <c r="BF254" s="1"/>
  <c r="AU252"/>
  <c r="BF252" s="1"/>
  <c r="AU250"/>
  <c r="BF250" s="1"/>
  <c r="AU248"/>
  <c r="BF248" s="1"/>
  <c r="AU246"/>
  <c r="BF246" s="1"/>
  <c r="AU244"/>
  <c r="BF244" s="1"/>
  <c r="AU242"/>
  <c r="BF242" s="1"/>
  <c r="AU240"/>
  <c r="BF240" s="1"/>
  <c r="AU238"/>
  <c r="BF238" s="1"/>
  <c r="AU236"/>
  <c r="BF236" s="1"/>
  <c r="AU234"/>
  <c r="BF234" s="1"/>
  <c r="AU232"/>
  <c r="BF232" s="1"/>
  <c r="AU230"/>
  <c r="BF230" s="1"/>
  <c r="AU228"/>
  <c r="BF228" s="1"/>
  <c r="AU226"/>
  <c r="BF226" s="1"/>
  <c r="AU224"/>
  <c r="BF224" s="1"/>
  <c r="AU222"/>
  <c r="BF222" s="1"/>
  <c r="AU220"/>
  <c r="BF220" s="1"/>
  <c r="AU218"/>
  <c r="BF218" s="1"/>
  <c r="AU216"/>
  <c r="BF216" s="1"/>
  <c r="AU214"/>
  <c r="BF214" s="1"/>
  <c r="AU212"/>
  <c r="BF212" s="1"/>
  <c r="AU210"/>
  <c r="BF210" s="1"/>
  <c r="AU208"/>
  <c r="BF208" s="1"/>
  <c r="AU206"/>
  <c r="BF206" s="1"/>
  <c r="AU204"/>
  <c r="BF204" s="1"/>
  <c r="AU202"/>
  <c r="BF202" s="1"/>
  <c r="AU200"/>
  <c r="BF200" s="1"/>
  <c r="AU198"/>
  <c r="BF198" s="1"/>
  <c r="AU196"/>
  <c r="BF196" s="1"/>
  <c r="AU194"/>
  <c r="BF194" s="1"/>
  <c r="AU192"/>
  <c r="BF192" s="1"/>
  <c r="AU190"/>
  <c r="BF190" s="1"/>
  <c r="AU188"/>
  <c r="BF188" s="1"/>
  <c r="AU186"/>
  <c r="BF186" s="1"/>
  <c r="AU184"/>
  <c r="BF184" s="1"/>
  <c r="AU182"/>
  <c r="BF182" s="1"/>
  <c r="AU180"/>
  <c r="BF180" s="1"/>
  <c r="AU178"/>
  <c r="BF178" s="1"/>
  <c r="AU176"/>
  <c r="BF176" s="1"/>
  <c r="AU174"/>
  <c r="BF174" s="1"/>
  <c r="AU172"/>
  <c r="BF172" s="1"/>
  <c r="AU170"/>
  <c r="BF170" s="1"/>
  <c r="AU168"/>
  <c r="BF168" s="1"/>
  <c r="AU166"/>
  <c r="BF166" s="1"/>
  <c r="AU164"/>
  <c r="BF164" s="1"/>
  <c r="AU162"/>
  <c r="BF162" s="1"/>
  <c r="AU160"/>
  <c r="BF160" s="1"/>
  <c r="AU158"/>
  <c r="BF158" s="1"/>
  <c r="AU156"/>
  <c r="BF156" s="1"/>
  <c r="AU154"/>
  <c r="BF154" s="1"/>
  <c r="AU152"/>
  <c r="BF152" s="1"/>
  <c r="AU150"/>
  <c r="BF150" s="1"/>
  <c r="AU148"/>
  <c r="BF148" s="1"/>
  <c r="AU146"/>
  <c r="BF146" s="1"/>
  <c r="AU144"/>
  <c r="BF144" s="1"/>
  <c r="AU142"/>
  <c r="BF142" s="1"/>
  <c r="AU140"/>
  <c r="BF140" s="1"/>
  <c r="AU138"/>
  <c r="BF138" s="1"/>
  <c r="AU136"/>
  <c r="BF136" s="1"/>
  <c r="AU134"/>
  <c r="BF134" s="1"/>
  <c r="AU132"/>
  <c r="BF132" s="1"/>
  <c r="AU130"/>
  <c r="BF130" s="1"/>
  <c r="AU128"/>
  <c r="BF128" s="1"/>
  <c r="AU126"/>
  <c r="BF126" s="1"/>
  <c r="AU124"/>
  <c r="BF124" s="1"/>
  <c r="AU122"/>
  <c r="BF122" s="1"/>
  <c r="AU120"/>
  <c r="BF120" s="1"/>
  <c r="AU118"/>
  <c r="BF118" s="1"/>
  <c r="AU116"/>
  <c r="BF116" s="1"/>
  <c r="AU114"/>
  <c r="BF114" s="1"/>
  <c r="AU112"/>
  <c r="BF112" s="1"/>
  <c r="AU110"/>
  <c r="BF110" s="1"/>
  <c r="AU108"/>
  <c r="BF108" s="1"/>
  <c r="AU106"/>
  <c r="BF106" s="1"/>
  <c r="AU104"/>
  <c r="BF104" s="1"/>
  <c r="AU102"/>
  <c r="BF102" s="1"/>
  <c r="AU100"/>
  <c r="BF100" s="1"/>
  <c r="AU98"/>
  <c r="BF98" s="1"/>
  <c r="AU96"/>
  <c r="BF96" s="1"/>
  <c r="AU94"/>
  <c r="BF94" s="1"/>
  <c r="AU92"/>
  <c r="BF92" s="1"/>
  <c r="AU90"/>
  <c r="BF90" s="1"/>
  <c r="AU88"/>
  <c r="BF88" s="1"/>
  <c r="AU86"/>
  <c r="BF86" s="1"/>
  <c r="AU84"/>
  <c r="BF84" s="1"/>
  <c r="AU82"/>
  <c r="BF82" s="1"/>
  <c r="AU80"/>
  <c r="BF80" s="1"/>
  <c r="AU78"/>
  <c r="BF78" s="1"/>
  <c r="AU76"/>
  <c r="BF76" s="1"/>
  <c r="AU74"/>
  <c r="BF74" s="1"/>
  <c r="AU72"/>
  <c r="BF72" s="1"/>
  <c r="AU70"/>
  <c r="BF70" s="1"/>
  <c r="AU68"/>
  <c r="BF68" s="1"/>
  <c r="AU66"/>
  <c r="BF66" s="1"/>
  <c r="AU64"/>
  <c r="BF64" s="1"/>
  <c r="AU62"/>
  <c r="BF62" s="1"/>
  <c r="AU60"/>
  <c r="BF60" s="1"/>
  <c r="AU58"/>
  <c r="BF58" s="1"/>
  <c r="AU56"/>
  <c r="BF56" s="1"/>
  <c r="AU54"/>
  <c r="BF54" s="1"/>
  <c r="AU52"/>
  <c r="BF52" s="1"/>
  <c r="AU50"/>
  <c r="BF50" s="1"/>
  <c r="AU48"/>
  <c r="BF48" s="1"/>
  <c r="AU46"/>
  <c r="BF46" s="1"/>
  <c r="AU44"/>
  <c r="BF44" s="1"/>
  <c r="AU42"/>
  <c r="BF42" s="1"/>
  <c r="AU40"/>
  <c r="BF40" s="1"/>
  <c r="AU38"/>
  <c r="BF38" s="1"/>
  <c r="AU36"/>
  <c r="BF36" s="1"/>
  <c r="AU34"/>
  <c r="BF34" s="1"/>
  <c r="AU32"/>
  <c r="BF32" s="1"/>
  <c r="AU30"/>
  <c r="AU28"/>
  <c r="AU26"/>
  <c r="AU24"/>
  <c r="AU22"/>
  <c r="AU20"/>
  <c r="AU18"/>
  <c r="AU16"/>
  <c r="AU14"/>
  <c r="AU12"/>
  <c r="BD30"/>
  <c r="BD28"/>
  <c r="BD26"/>
  <c r="BD24"/>
  <c r="BD22"/>
  <c r="BD20"/>
  <c r="BD18"/>
  <c r="BD16"/>
  <c r="BD14"/>
  <c r="BD12"/>
  <c r="A10" i="32922"/>
  <c r="B10"/>
  <c r="I10"/>
  <c r="A11"/>
  <c r="B11"/>
  <c r="H11"/>
  <c r="I11"/>
  <c r="A12"/>
  <c r="B12"/>
  <c r="H12"/>
  <c r="I12"/>
  <c r="A13"/>
  <c r="B13"/>
  <c r="H13"/>
  <c r="A14"/>
  <c r="B14"/>
  <c r="H14"/>
  <c r="I14"/>
  <c r="A15"/>
  <c r="B15"/>
  <c r="H15"/>
  <c r="I15"/>
  <c r="A16"/>
  <c r="B16"/>
  <c r="H16"/>
  <c r="I16"/>
  <c r="A17"/>
  <c r="B17"/>
  <c r="H17"/>
  <c r="I17"/>
  <c r="A18"/>
  <c r="B18"/>
  <c r="H18"/>
  <c r="I18"/>
  <c r="A19"/>
  <c r="B19"/>
  <c r="H19"/>
  <c r="I19"/>
  <c r="A20"/>
  <c r="B20"/>
  <c r="H20"/>
  <c r="I20"/>
  <c r="A21"/>
  <c r="B21"/>
  <c r="H21"/>
  <c r="I21"/>
  <c r="A22"/>
  <c r="B22"/>
  <c r="H22"/>
  <c r="I22"/>
  <c r="A23"/>
  <c r="B23"/>
  <c r="H23"/>
  <c r="I23"/>
  <c r="A24"/>
  <c r="B24"/>
  <c r="H24"/>
  <c r="I24"/>
  <c r="A25"/>
  <c r="B25"/>
  <c r="H25"/>
  <c r="I25"/>
  <c r="A26"/>
  <c r="B26"/>
  <c r="H26"/>
  <c r="I26"/>
  <c r="A27"/>
  <c r="B27"/>
  <c r="H27"/>
  <c r="I27"/>
  <c r="A28"/>
  <c r="B28"/>
  <c r="H28"/>
  <c r="I28"/>
  <c r="A29"/>
  <c r="B29"/>
  <c r="H29"/>
  <c r="I29"/>
  <c r="A30"/>
  <c r="B30"/>
  <c r="H30"/>
  <c r="I30"/>
  <c r="A31"/>
  <c r="B31"/>
  <c r="H31"/>
  <c r="I31"/>
  <c r="A32"/>
  <c r="B32"/>
  <c r="H32"/>
  <c r="I32"/>
  <c r="A33"/>
  <c r="B33"/>
  <c r="H33"/>
  <c r="I33"/>
  <c r="A34"/>
  <c r="B34"/>
  <c r="H34"/>
  <c r="I34"/>
  <c r="A35"/>
  <c r="B35"/>
  <c r="H35"/>
  <c r="I35"/>
  <c r="A36"/>
  <c r="B36"/>
  <c r="H36"/>
  <c r="I36"/>
  <c r="A37"/>
  <c r="B37"/>
  <c r="H37"/>
  <c r="I37"/>
  <c r="A38"/>
  <c r="B38"/>
  <c r="H38"/>
  <c r="I38"/>
  <c r="A39"/>
  <c r="B39"/>
  <c r="H39"/>
  <c r="I39"/>
  <c r="A40"/>
  <c r="B40"/>
  <c r="H40"/>
  <c r="I40"/>
  <c r="A41"/>
  <c r="B41"/>
  <c r="H41"/>
  <c r="I41"/>
  <c r="A42"/>
  <c r="B42"/>
  <c r="H42"/>
  <c r="I42"/>
  <c r="A43"/>
  <c r="B43"/>
  <c r="H43"/>
  <c r="I43"/>
  <c r="A44"/>
  <c r="B44"/>
  <c r="H44"/>
  <c r="I44"/>
  <c r="A45"/>
  <c r="B45"/>
  <c r="H45"/>
  <c r="I45"/>
  <c r="A46"/>
  <c r="B46"/>
  <c r="H46"/>
  <c r="I46"/>
  <c r="A47"/>
  <c r="B47"/>
  <c r="H47"/>
  <c r="I47"/>
  <c r="A48"/>
  <c r="B48"/>
  <c r="H48"/>
  <c r="I48"/>
  <c r="A49"/>
  <c r="B49"/>
  <c r="H49"/>
  <c r="I49"/>
  <c r="A50"/>
  <c r="B50"/>
  <c r="H50"/>
  <c r="I50"/>
  <c r="A51"/>
  <c r="B51"/>
  <c r="H51"/>
  <c r="I51"/>
  <c r="A52"/>
  <c r="B52"/>
  <c r="H52"/>
  <c r="I52"/>
  <c r="A53"/>
  <c r="B53"/>
  <c r="H53"/>
  <c r="I53"/>
  <c r="A54"/>
  <c r="B54"/>
  <c r="H54"/>
  <c r="I54"/>
  <c r="A55"/>
  <c r="B55"/>
  <c r="H55"/>
  <c r="I55"/>
  <c r="A56"/>
  <c r="B56"/>
  <c r="H56"/>
  <c r="I56"/>
  <c r="A57"/>
  <c r="B57"/>
  <c r="H57"/>
  <c r="I57"/>
  <c r="A58"/>
  <c r="B58"/>
  <c r="H58"/>
  <c r="I58"/>
  <c r="A59"/>
  <c r="B59"/>
  <c r="H59"/>
  <c r="I59"/>
  <c r="A60"/>
  <c r="B60"/>
  <c r="H60"/>
  <c r="I60"/>
  <c r="A61"/>
  <c r="B61"/>
  <c r="H61"/>
  <c r="I61"/>
  <c r="A62"/>
  <c r="B62"/>
  <c r="H62"/>
  <c r="I62"/>
  <c r="A63"/>
  <c r="B63"/>
  <c r="H63"/>
  <c r="I63"/>
  <c r="A64"/>
  <c r="B64"/>
  <c r="H64"/>
  <c r="I64"/>
  <c r="A65"/>
  <c r="B65"/>
  <c r="H65"/>
  <c r="I65"/>
  <c r="A66"/>
  <c r="B66"/>
  <c r="H66"/>
  <c r="I66"/>
  <c r="A67"/>
  <c r="B67"/>
  <c r="H67"/>
  <c r="I67"/>
  <c r="A68"/>
  <c r="B68"/>
  <c r="H68"/>
  <c r="I68"/>
  <c r="A69"/>
  <c r="B69"/>
  <c r="H69"/>
  <c r="I69"/>
  <c r="A70"/>
  <c r="B70"/>
  <c r="H70"/>
  <c r="I70"/>
  <c r="A71"/>
  <c r="B71"/>
  <c r="H71"/>
  <c r="I71"/>
  <c r="A72"/>
  <c r="B72"/>
  <c r="H72"/>
  <c r="I72"/>
  <c r="A73"/>
  <c r="B73"/>
  <c r="H73"/>
  <c r="I73"/>
  <c r="A74"/>
  <c r="B74"/>
  <c r="H74"/>
  <c r="I74"/>
  <c r="A75"/>
  <c r="B75"/>
  <c r="H75"/>
  <c r="I75"/>
  <c r="A76"/>
  <c r="B76"/>
  <c r="H76"/>
  <c r="I76"/>
  <c r="A77"/>
  <c r="B77"/>
  <c r="H77"/>
  <c r="I77"/>
  <c r="A78"/>
  <c r="B78"/>
  <c r="H78"/>
  <c r="I78"/>
  <c r="A79"/>
  <c r="B79"/>
  <c r="H79"/>
  <c r="I79"/>
  <c r="A80"/>
  <c r="B80"/>
  <c r="H80"/>
  <c r="I80"/>
  <c r="A81"/>
  <c r="B81"/>
  <c r="H81"/>
  <c r="I81"/>
  <c r="A82"/>
  <c r="B82"/>
  <c r="H82"/>
  <c r="I82"/>
  <c r="A83"/>
  <c r="B83"/>
  <c r="H83"/>
  <c r="I83"/>
  <c r="A84"/>
  <c r="B84"/>
  <c r="H84"/>
  <c r="I84"/>
  <c r="A85"/>
  <c r="B85"/>
  <c r="H85"/>
  <c r="I85"/>
  <c r="A86"/>
  <c r="B86"/>
  <c r="H86"/>
  <c r="I86"/>
  <c r="A87"/>
  <c r="B87"/>
  <c r="H87"/>
  <c r="I87"/>
  <c r="A88"/>
  <c r="B88"/>
  <c r="H88"/>
  <c r="I88"/>
  <c r="A89"/>
  <c r="B89"/>
  <c r="H89"/>
  <c r="I89"/>
  <c r="A90"/>
  <c r="B90"/>
  <c r="H90"/>
  <c r="I90"/>
  <c r="A91"/>
  <c r="B91"/>
  <c r="H91"/>
  <c r="I91"/>
  <c r="A92"/>
  <c r="B92"/>
  <c r="H92"/>
  <c r="I92"/>
  <c r="A93"/>
  <c r="B93"/>
  <c r="H93"/>
  <c r="I93"/>
  <c r="A94"/>
  <c r="B94"/>
  <c r="H94"/>
  <c r="I94"/>
  <c r="A95"/>
  <c r="B95"/>
  <c r="H95"/>
  <c r="I95"/>
  <c r="A96"/>
  <c r="B96"/>
  <c r="H96"/>
  <c r="I96"/>
  <c r="A97"/>
  <c r="B97"/>
  <c r="H97"/>
  <c r="I97"/>
  <c r="A98"/>
  <c r="B98"/>
  <c r="H98"/>
  <c r="I98"/>
  <c r="A99"/>
  <c r="B99"/>
  <c r="H99"/>
  <c r="I99"/>
  <c r="A100"/>
  <c r="B100"/>
  <c r="H100"/>
  <c r="I100"/>
  <c r="A101"/>
  <c r="B101"/>
  <c r="H101"/>
  <c r="I101"/>
  <c r="A102"/>
  <c r="B102"/>
  <c r="H102"/>
  <c r="I102"/>
  <c r="A103"/>
  <c r="B103"/>
  <c r="H103"/>
  <c r="I103"/>
  <c r="A104"/>
  <c r="B104"/>
  <c r="H104"/>
  <c r="I104"/>
  <c r="A105"/>
  <c r="B105"/>
  <c r="H105"/>
  <c r="I105"/>
  <c r="A106"/>
  <c r="B106"/>
  <c r="H106"/>
  <c r="I106"/>
  <c r="A107"/>
  <c r="B107"/>
  <c r="H107"/>
  <c r="I107"/>
  <c r="A108"/>
  <c r="B108"/>
  <c r="H108"/>
  <c r="I108"/>
  <c r="A109"/>
  <c r="B109"/>
  <c r="H109"/>
  <c r="I109"/>
  <c r="A110"/>
  <c r="B110"/>
  <c r="H110"/>
  <c r="I110"/>
  <c r="A111"/>
  <c r="B111"/>
  <c r="H111"/>
  <c r="I111"/>
  <c r="A112"/>
  <c r="B112"/>
  <c r="H112"/>
  <c r="I112"/>
  <c r="A113"/>
  <c r="B113"/>
  <c r="H113"/>
  <c r="I113"/>
  <c r="A114"/>
  <c r="B114"/>
  <c r="H114"/>
  <c r="I114"/>
  <c r="A115"/>
  <c r="B115"/>
  <c r="H115"/>
  <c r="I115"/>
  <c r="A116"/>
  <c r="B116"/>
  <c r="H116"/>
  <c r="I116"/>
  <c r="A117"/>
  <c r="B117"/>
  <c r="H117"/>
  <c r="I117"/>
  <c r="A118"/>
  <c r="B118"/>
  <c r="H118"/>
  <c r="I118"/>
  <c r="A119"/>
  <c r="B119"/>
  <c r="H119"/>
  <c r="I119"/>
  <c r="A120"/>
  <c r="B120"/>
  <c r="H120"/>
  <c r="I120"/>
  <c r="A121"/>
  <c r="B121"/>
  <c r="H121"/>
  <c r="I121"/>
  <c r="A122"/>
  <c r="B122"/>
  <c r="H122"/>
  <c r="I122"/>
  <c r="A123"/>
  <c r="B123"/>
  <c r="H123"/>
  <c r="I123"/>
  <c r="A124"/>
  <c r="B124"/>
  <c r="H124"/>
  <c r="I124"/>
  <c r="A125"/>
  <c r="B125"/>
  <c r="H125"/>
  <c r="I125"/>
  <c r="A126"/>
  <c r="B126"/>
  <c r="H126"/>
  <c r="I126"/>
  <c r="A127"/>
  <c r="B127"/>
  <c r="H127"/>
  <c r="I127"/>
  <c r="A128"/>
  <c r="B128"/>
  <c r="H128"/>
  <c r="I128"/>
  <c r="A129"/>
  <c r="B129"/>
  <c r="H129"/>
  <c r="I129"/>
  <c r="A130"/>
  <c r="B130"/>
  <c r="H130"/>
  <c r="I130"/>
  <c r="A131"/>
  <c r="B131"/>
  <c r="H131"/>
  <c r="I131"/>
  <c r="A132"/>
  <c r="B132"/>
  <c r="H132"/>
  <c r="I132"/>
  <c r="A133"/>
  <c r="B133"/>
  <c r="H133"/>
  <c r="I133"/>
  <c r="A134"/>
  <c r="B134"/>
  <c r="H134"/>
  <c r="I134"/>
  <c r="A135"/>
  <c r="B135"/>
  <c r="H135"/>
  <c r="I135"/>
  <c r="A136"/>
  <c r="B136"/>
  <c r="H136"/>
  <c r="I136"/>
  <c r="A137"/>
  <c r="B137"/>
  <c r="H137"/>
  <c r="I137"/>
  <c r="A138"/>
  <c r="B138"/>
  <c r="H138"/>
  <c r="I138"/>
  <c r="A139"/>
  <c r="B139"/>
  <c r="H139"/>
  <c r="I139"/>
  <c r="A140"/>
  <c r="B140"/>
  <c r="H140"/>
  <c r="I140"/>
  <c r="A141"/>
  <c r="B141"/>
  <c r="H141"/>
  <c r="I141"/>
  <c r="A142"/>
  <c r="B142"/>
  <c r="H142"/>
  <c r="I142"/>
  <c r="A143"/>
  <c r="B143"/>
  <c r="H143"/>
  <c r="I143"/>
  <c r="A144"/>
  <c r="B144"/>
  <c r="H144"/>
  <c r="I144"/>
  <c r="A145"/>
  <c r="B145"/>
  <c r="H145"/>
  <c r="I145"/>
  <c r="A146"/>
  <c r="B146"/>
  <c r="H146"/>
  <c r="I146"/>
  <c r="A147"/>
  <c r="B147"/>
  <c r="H147"/>
  <c r="I147"/>
  <c r="A148"/>
  <c r="B148"/>
  <c r="H148"/>
  <c r="I148"/>
  <c r="A149"/>
  <c r="B149"/>
  <c r="H149"/>
  <c r="I149"/>
  <c r="A150"/>
  <c r="B150"/>
  <c r="H150"/>
  <c r="I150"/>
  <c r="A151"/>
  <c r="B151"/>
  <c r="H151"/>
  <c r="I151"/>
  <c r="A152"/>
  <c r="B152"/>
  <c r="H152"/>
  <c r="I152"/>
  <c r="A153"/>
  <c r="B153"/>
  <c r="H153"/>
  <c r="I153"/>
  <c r="A154"/>
  <c r="B154"/>
  <c r="H154"/>
  <c r="I154"/>
  <c r="A155"/>
  <c r="B155"/>
  <c r="H155"/>
  <c r="I155"/>
  <c r="A156"/>
  <c r="B156"/>
  <c r="H156"/>
  <c r="I156"/>
  <c r="A157"/>
  <c r="B157"/>
  <c r="H157"/>
  <c r="I157"/>
  <c r="A158"/>
  <c r="B158"/>
  <c r="H158"/>
  <c r="I158"/>
  <c r="A159"/>
  <c r="B159"/>
  <c r="H159"/>
  <c r="I159"/>
  <c r="A160"/>
  <c r="B160"/>
  <c r="H160"/>
  <c r="I160"/>
  <c r="A161"/>
  <c r="B161"/>
  <c r="H161"/>
  <c r="I161"/>
  <c r="A162"/>
  <c r="B162"/>
  <c r="H162"/>
  <c r="I162"/>
  <c r="A163"/>
  <c r="B163"/>
  <c r="H163"/>
  <c r="I163"/>
  <c r="A164"/>
  <c r="B164"/>
  <c r="H164"/>
  <c r="I164"/>
  <c r="A165"/>
  <c r="B165"/>
  <c r="H165"/>
  <c r="I165"/>
  <c r="A166"/>
  <c r="B166"/>
  <c r="H166"/>
  <c r="I166"/>
  <c r="A167"/>
  <c r="B167"/>
  <c r="H167"/>
  <c r="I167"/>
  <c r="A168"/>
  <c r="B168"/>
  <c r="H168"/>
  <c r="I168"/>
  <c r="A169"/>
  <c r="B169"/>
  <c r="H169"/>
  <c r="I169"/>
  <c r="A170"/>
  <c r="B170"/>
  <c r="H170"/>
  <c r="I170"/>
  <c r="A171"/>
  <c r="B171"/>
  <c r="H171"/>
  <c r="I171"/>
  <c r="A172"/>
  <c r="B172"/>
  <c r="H172"/>
  <c r="I172"/>
  <c r="A173"/>
  <c r="B173"/>
  <c r="H173"/>
  <c r="I173"/>
  <c r="A174"/>
  <c r="B174"/>
  <c r="H174"/>
  <c r="I174"/>
  <c r="A175"/>
  <c r="B175"/>
  <c r="H175"/>
  <c r="I175"/>
  <c r="A176"/>
  <c r="B176"/>
  <c r="H176"/>
  <c r="I176"/>
  <c r="A177"/>
  <c r="B177"/>
  <c r="H177"/>
  <c r="I177"/>
  <c r="A178"/>
  <c r="B178"/>
  <c r="H178"/>
  <c r="I178"/>
  <c r="A179"/>
  <c r="B179"/>
  <c r="H179"/>
  <c r="I179"/>
  <c r="A180"/>
  <c r="B180"/>
  <c r="H180"/>
  <c r="I180"/>
  <c r="A181"/>
  <c r="B181"/>
  <c r="H181"/>
  <c r="I181"/>
  <c r="A182"/>
  <c r="B182"/>
  <c r="H182"/>
  <c r="I182"/>
  <c r="A183"/>
  <c r="B183"/>
  <c r="H183"/>
  <c r="I183"/>
  <c r="A184"/>
  <c r="B184"/>
  <c r="H184"/>
  <c r="I184"/>
  <c r="A185"/>
  <c r="B185"/>
  <c r="H185"/>
  <c r="I185"/>
  <c r="A186"/>
  <c r="B186"/>
  <c r="H186"/>
  <c r="I186"/>
  <c r="A187"/>
  <c r="B187"/>
  <c r="H187"/>
  <c r="I187"/>
  <c r="A188"/>
  <c r="B188"/>
  <c r="H188"/>
  <c r="I188"/>
  <c r="A189"/>
  <c r="B189"/>
  <c r="H189"/>
  <c r="I189"/>
  <c r="A190"/>
  <c r="B190"/>
  <c r="H190"/>
  <c r="I190"/>
  <c r="A191"/>
  <c r="B191"/>
  <c r="H191"/>
  <c r="I191"/>
  <c r="A192"/>
  <c r="B192"/>
  <c r="H192"/>
  <c r="I192"/>
  <c r="A193"/>
  <c r="B193"/>
  <c r="H193"/>
  <c r="I193"/>
  <c r="A194"/>
  <c r="B194"/>
  <c r="H194"/>
  <c r="I194"/>
  <c r="A195"/>
  <c r="B195"/>
  <c r="H195"/>
  <c r="I195"/>
  <c r="A196"/>
  <c r="B196"/>
  <c r="H196"/>
  <c r="I196"/>
  <c r="A197"/>
  <c r="B197"/>
  <c r="H197"/>
  <c r="I197"/>
  <c r="A198"/>
  <c r="B198"/>
  <c r="H198"/>
  <c r="I198"/>
  <c r="A199"/>
  <c r="B199"/>
  <c r="H199"/>
  <c r="I199"/>
  <c r="A200"/>
  <c r="B200"/>
  <c r="H200"/>
  <c r="I200"/>
  <c r="A201"/>
  <c r="B201"/>
  <c r="H201"/>
  <c r="I201"/>
  <c r="A202"/>
  <c r="B202"/>
  <c r="H202"/>
  <c r="I202"/>
  <c r="A203"/>
  <c r="B203"/>
  <c r="H203"/>
  <c r="I203"/>
  <c r="A204"/>
  <c r="B204"/>
  <c r="H204"/>
  <c r="I204"/>
  <c r="A205"/>
  <c r="B205"/>
  <c r="H205"/>
  <c r="I205"/>
  <c r="A206"/>
  <c r="B206"/>
  <c r="H206"/>
  <c r="I206"/>
  <c r="A207"/>
  <c r="B207"/>
  <c r="H207"/>
  <c r="I207"/>
  <c r="A208"/>
  <c r="B208"/>
  <c r="H208"/>
  <c r="I208"/>
  <c r="A209"/>
  <c r="B209"/>
  <c r="H209"/>
  <c r="I209"/>
  <c r="A210"/>
  <c r="B210"/>
  <c r="H210"/>
  <c r="I210"/>
  <c r="A211"/>
  <c r="B211"/>
  <c r="H211"/>
  <c r="I211"/>
  <c r="A212"/>
  <c r="B212"/>
  <c r="H212"/>
  <c r="I212"/>
  <c r="A213"/>
  <c r="B213"/>
  <c r="H213"/>
  <c r="I213"/>
  <c r="A214"/>
  <c r="B214"/>
  <c r="H214"/>
  <c r="I214"/>
  <c r="A215"/>
  <c r="B215"/>
  <c r="H215"/>
  <c r="I215"/>
  <c r="A216"/>
  <c r="B216"/>
  <c r="H216"/>
  <c r="I216"/>
  <c r="A217"/>
  <c r="B217"/>
  <c r="H217"/>
  <c r="I217"/>
  <c r="A218"/>
  <c r="B218"/>
  <c r="H218"/>
  <c r="I218"/>
  <c r="A219"/>
  <c r="B219"/>
  <c r="H219"/>
  <c r="I219"/>
  <c r="A220"/>
  <c r="B220"/>
  <c r="H220"/>
  <c r="I220"/>
  <c r="A221"/>
  <c r="B221"/>
  <c r="H221"/>
  <c r="I221"/>
  <c r="A222"/>
  <c r="B222"/>
  <c r="H222"/>
  <c r="I222"/>
  <c r="A223"/>
  <c r="B223"/>
  <c r="H223"/>
  <c r="I223"/>
  <c r="A224"/>
  <c r="B224"/>
  <c r="H224"/>
  <c r="I224"/>
  <c r="A225"/>
  <c r="B225"/>
  <c r="H225"/>
  <c r="I225"/>
  <c r="A226"/>
  <c r="B226"/>
  <c r="H226"/>
  <c r="I226"/>
  <c r="A227"/>
  <c r="B227"/>
  <c r="H227"/>
  <c r="I227"/>
  <c r="A228"/>
  <c r="B228"/>
  <c r="H228"/>
  <c r="I228"/>
  <c r="A229"/>
  <c r="B229"/>
  <c r="H229"/>
  <c r="I229"/>
  <c r="A230"/>
  <c r="B230"/>
  <c r="H230"/>
  <c r="I230"/>
  <c r="A231"/>
  <c r="B231"/>
  <c r="H231"/>
  <c r="I231"/>
  <c r="A232"/>
  <c r="B232"/>
  <c r="H232"/>
  <c r="I232"/>
  <c r="A233"/>
  <c r="B233"/>
  <c r="H233"/>
  <c r="I233"/>
  <c r="A234"/>
  <c r="B234"/>
  <c r="H234"/>
  <c r="I234"/>
  <c r="A235"/>
  <c r="B235"/>
  <c r="H235"/>
  <c r="I235"/>
  <c r="A236"/>
  <c r="B236"/>
  <c r="H236"/>
  <c r="I236"/>
  <c r="A237"/>
  <c r="B237"/>
  <c r="H237"/>
  <c r="I237"/>
  <c r="A238"/>
  <c r="B238"/>
  <c r="H238"/>
  <c r="I238"/>
  <c r="A239"/>
  <c r="B239"/>
  <c r="H239"/>
  <c r="I239"/>
  <c r="A240"/>
  <c r="B240"/>
  <c r="H240"/>
  <c r="I240"/>
  <c r="A241"/>
  <c r="B241"/>
  <c r="H241"/>
  <c r="I241"/>
  <c r="A242"/>
  <c r="B242"/>
  <c r="H242"/>
  <c r="I242"/>
  <c r="A243"/>
  <c r="B243"/>
  <c r="H243"/>
  <c r="I243"/>
  <c r="A244"/>
  <c r="B244"/>
  <c r="H244"/>
  <c r="I244"/>
  <c r="A245"/>
  <c r="B245"/>
  <c r="H245"/>
  <c r="I245"/>
  <c r="A246"/>
  <c r="B246"/>
  <c r="H246"/>
  <c r="I246"/>
  <c r="A247"/>
  <c r="B247"/>
  <c r="H247"/>
  <c r="I247"/>
  <c r="A248"/>
  <c r="B248"/>
  <c r="H248"/>
  <c r="I248"/>
  <c r="A249"/>
  <c r="B249"/>
  <c r="H249"/>
  <c r="I249"/>
  <c r="A250"/>
  <c r="B250"/>
  <c r="H250"/>
  <c r="I250"/>
  <c r="A251"/>
  <c r="B251"/>
  <c r="H251"/>
  <c r="I251"/>
  <c r="A252"/>
  <c r="B252"/>
  <c r="H252"/>
  <c r="I252"/>
  <c r="A253"/>
  <c r="B253"/>
  <c r="H253"/>
  <c r="I253"/>
  <c r="A254"/>
  <c r="B254"/>
  <c r="H254"/>
  <c r="I254"/>
  <c r="A255"/>
  <c r="B255"/>
  <c r="H255"/>
  <c r="I255"/>
  <c r="A256"/>
  <c r="B256"/>
  <c r="H256"/>
  <c r="I256"/>
  <c r="A257"/>
  <c r="B257"/>
  <c r="H257"/>
  <c r="I257"/>
  <c r="A258"/>
  <c r="B258"/>
  <c r="H258"/>
  <c r="I258"/>
  <c r="A259"/>
  <c r="B259"/>
  <c r="H259"/>
  <c r="I259"/>
  <c r="A260"/>
  <c r="B260"/>
  <c r="H260"/>
  <c r="I260"/>
  <c r="A261"/>
  <c r="B261"/>
  <c r="H261"/>
  <c r="I261"/>
  <c r="A262"/>
  <c r="B262"/>
  <c r="H262"/>
  <c r="I262"/>
  <c r="A263"/>
  <c r="B263"/>
  <c r="H263"/>
  <c r="I263"/>
  <c r="A264"/>
  <c r="B264"/>
  <c r="H264"/>
  <c r="I264"/>
  <c r="A265"/>
  <c r="B265"/>
  <c r="H265"/>
  <c r="I265"/>
  <c r="A266"/>
  <c r="B266"/>
  <c r="H266"/>
  <c r="I266"/>
  <c r="A267"/>
  <c r="B267"/>
  <c r="H267"/>
  <c r="I267"/>
  <c r="A268"/>
  <c r="B268"/>
  <c r="H268"/>
  <c r="I268"/>
  <c r="A269"/>
  <c r="B269"/>
  <c r="H269"/>
  <c r="I269"/>
  <c r="A270"/>
  <c r="B270"/>
  <c r="H270"/>
  <c r="I270"/>
  <c r="A271"/>
  <c r="B271"/>
  <c r="H271"/>
  <c r="I271"/>
  <c r="A272"/>
  <c r="B272"/>
  <c r="H272"/>
  <c r="I272"/>
  <c r="A273"/>
  <c r="B273"/>
  <c r="H273"/>
  <c r="I273"/>
  <c r="A274"/>
  <c r="B274"/>
  <c r="H274"/>
  <c r="I274"/>
  <c r="A275"/>
  <c r="B275"/>
  <c r="H275"/>
  <c r="I275"/>
  <c r="A276"/>
  <c r="B276"/>
  <c r="H276"/>
  <c r="I276"/>
  <c r="A277"/>
  <c r="B277"/>
  <c r="H277"/>
  <c r="I277"/>
  <c r="A278"/>
  <c r="B278"/>
  <c r="H278"/>
  <c r="I278"/>
  <c r="A279"/>
  <c r="B279"/>
  <c r="H279"/>
  <c r="I279"/>
  <c r="A280"/>
  <c r="B280"/>
  <c r="H280"/>
  <c r="I280"/>
  <c r="A281"/>
  <c r="B281"/>
  <c r="H281"/>
  <c r="I281"/>
  <c r="A282"/>
  <c r="B282"/>
  <c r="H282"/>
  <c r="I282"/>
  <c r="A283"/>
  <c r="B283"/>
  <c r="H283"/>
  <c r="I283"/>
  <c r="A284"/>
  <c r="B284"/>
  <c r="H284"/>
  <c r="I284"/>
  <c r="A285"/>
  <c r="B285"/>
  <c r="H285"/>
  <c r="I285"/>
  <c r="A286"/>
  <c r="B286"/>
  <c r="H286"/>
  <c r="I286"/>
  <c r="A287"/>
  <c r="B287"/>
  <c r="H287"/>
  <c r="I287"/>
  <c r="A288"/>
  <c r="B288"/>
  <c r="H288"/>
  <c r="I288"/>
  <c r="A289"/>
  <c r="B289"/>
  <c r="H289"/>
  <c r="I289"/>
  <c r="A290"/>
  <c r="B290"/>
  <c r="H290"/>
  <c r="I290"/>
  <c r="A291"/>
  <c r="B291"/>
  <c r="H291"/>
  <c r="I291"/>
  <c r="A292"/>
  <c r="B292"/>
  <c r="H292"/>
  <c r="I292"/>
  <c r="A293"/>
  <c r="B293"/>
  <c r="H293"/>
  <c r="I293"/>
  <c r="A294"/>
  <c r="B294"/>
  <c r="H294"/>
  <c r="I294"/>
  <c r="A295"/>
  <c r="B295"/>
  <c r="H295"/>
  <c r="I295"/>
  <c r="A296"/>
  <c r="B296"/>
  <c r="H296"/>
  <c r="I296"/>
  <c r="A297"/>
  <c r="B297"/>
  <c r="H297"/>
  <c r="I297"/>
  <c r="A298"/>
  <c r="B298"/>
  <c r="H298"/>
  <c r="I298"/>
  <c r="A299"/>
  <c r="B299"/>
  <c r="H299"/>
  <c r="I299"/>
  <c r="A300"/>
  <c r="B300"/>
  <c r="H300"/>
  <c r="I300"/>
  <c r="A301"/>
  <c r="B301"/>
  <c r="H301"/>
  <c r="I301"/>
  <c r="A302"/>
  <c r="B302"/>
  <c r="H302"/>
  <c r="I302"/>
  <c r="A303"/>
  <c r="B303"/>
  <c r="H303"/>
  <c r="I303"/>
  <c r="A304"/>
  <c r="B304"/>
  <c r="H304"/>
  <c r="I304"/>
  <c r="A305"/>
  <c r="B305"/>
  <c r="H305"/>
  <c r="I305"/>
  <c r="A306"/>
  <c r="B306"/>
  <c r="H306"/>
  <c r="I306"/>
  <c r="A307"/>
  <c r="B307"/>
  <c r="H307"/>
  <c r="I307"/>
  <c r="A308"/>
  <c r="B308"/>
  <c r="H308"/>
  <c r="I308"/>
  <c r="A309"/>
  <c r="B309"/>
  <c r="H309"/>
  <c r="I309"/>
  <c r="A310"/>
  <c r="B310"/>
  <c r="H310"/>
  <c r="I310"/>
  <c r="A311"/>
  <c r="B311"/>
  <c r="H311"/>
  <c r="I311"/>
  <c r="A312"/>
  <c r="B312"/>
  <c r="H312"/>
  <c r="I312"/>
  <c r="A313"/>
  <c r="B313"/>
  <c r="H313"/>
  <c r="I313"/>
  <c r="A314"/>
  <c r="B314"/>
  <c r="H314"/>
  <c r="I314"/>
  <c r="A315"/>
  <c r="B315"/>
  <c r="H315"/>
  <c r="I315"/>
  <c r="A316"/>
  <c r="B316"/>
  <c r="H316"/>
  <c r="I316"/>
  <c r="A317"/>
  <c r="B317"/>
  <c r="H317"/>
  <c r="I317"/>
  <c r="A318"/>
  <c r="B318"/>
  <c r="H318"/>
  <c r="I318"/>
  <c r="A319"/>
  <c r="B319"/>
  <c r="H319"/>
  <c r="I319"/>
  <c r="A320"/>
  <c r="B320"/>
  <c r="H320"/>
  <c r="I320"/>
  <c r="A321"/>
  <c r="B321"/>
  <c r="H321"/>
  <c r="I321"/>
  <c r="A322"/>
  <c r="B322"/>
  <c r="H322"/>
  <c r="I322"/>
  <c r="A323"/>
  <c r="B323"/>
  <c r="H323"/>
  <c r="I323"/>
  <c r="A324"/>
  <c r="B324"/>
  <c r="H324"/>
  <c r="I324"/>
  <c r="A325"/>
  <c r="B325"/>
  <c r="H325"/>
  <c r="I325"/>
  <c r="A326"/>
  <c r="B326"/>
  <c r="H326"/>
  <c r="I326"/>
  <c r="A327"/>
  <c r="B327"/>
  <c r="H327"/>
  <c r="I327"/>
  <c r="A328"/>
  <c r="B328"/>
  <c r="H328"/>
  <c r="I328"/>
  <c r="A329"/>
  <c r="B329"/>
  <c r="H329"/>
  <c r="I329"/>
  <c r="A330"/>
  <c r="B330"/>
  <c r="H330"/>
  <c r="I330"/>
  <c r="A331"/>
  <c r="B331"/>
  <c r="H331"/>
  <c r="I331"/>
  <c r="A332"/>
  <c r="B332"/>
  <c r="H332"/>
  <c r="I332"/>
  <c r="A333"/>
  <c r="B333"/>
  <c r="H333"/>
  <c r="I333"/>
  <c r="A334"/>
  <c r="B334"/>
  <c r="H334"/>
  <c r="I334"/>
  <c r="A335"/>
  <c r="B335"/>
  <c r="H335"/>
  <c r="I335"/>
  <c r="A336"/>
  <c r="B336"/>
  <c r="H336"/>
  <c r="I336"/>
  <c r="A337"/>
  <c r="B337"/>
  <c r="H337"/>
  <c r="I337"/>
  <c r="A338"/>
  <c r="B338"/>
  <c r="H338"/>
  <c r="I338"/>
  <c r="A339"/>
  <c r="B339"/>
  <c r="H339"/>
  <c r="I339"/>
  <c r="A340"/>
  <c r="B340"/>
  <c r="H340"/>
  <c r="I340"/>
  <c r="A341"/>
  <c r="B341"/>
  <c r="H341"/>
  <c r="I341"/>
  <c r="A342"/>
  <c r="B342"/>
  <c r="H342"/>
  <c r="I342"/>
  <c r="A343"/>
  <c r="B343"/>
  <c r="H343"/>
  <c r="I343"/>
  <c r="A344"/>
  <c r="B344"/>
  <c r="H344"/>
  <c r="I344"/>
  <c r="A345"/>
  <c r="B345"/>
  <c r="H345"/>
  <c r="I345"/>
  <c r="A346"/>
  <c r="B346"/>
  <c r="H346"/>
  <c r="I346"/>
  <c r="A347"/>
  <c r="B347"/>
  <c r="H347"/>
  <c r="I347"/>
  <c r="A348"/>
  <c r="B348"/>
  <c r="H348"/>
  <c r="I348"/>
  <c r="A349"/>
  <c r="B349"/>
  <c r="H349"/>
  <c r="I349"/>
  <c r="A350"/>
  <c r="B350"/>
  <c r="H350"/>
  <c r="I350"/>
  <c r="A351"/>
  <c r="B351"/>
  <c r="H351"/>
  <c r="I351"/>
  <c r="A352"/>
  <c r="B352"/>
  <c r="H352"/>
  <c r="I352"/>
  <c r="A353"/>
  <c r="B353"/>
  <c r="H353"/>
  <c r="I353"/>
  <c r="A354"/>
  <c r="B354"/>
  <c r="H354"/>
  <c r="I354"/>
  <c r="A355"/>
  <c r="B355"/>
  <c r="H355"/>
  <c r="I355"/>
  <c r="A356"/>
  <c r="B356"/>
  <c r="H356"/>
  <c r="I356"/>
  <c r="A357"/>
  <c r="B357"/>
  <c r="H357"/>
  <c r="I357"/>
  <c r="A358"/>
  <c r="B358"/>
  <c r="H358"/>
  <c r="I358"/>
  <c r="A359"/>
  <c r="B359"/>
  <c r="H359"/>
  <c r="I359"/>
  <c r="A360"/>
  <c r="B360"/>
  <c r="H360"/>
  <c r="I360"/>
  <c r="A361"/>
  <c r="B361"/>
  <c r="H361"/>
  <c r="I361"/>
  <c r="A362"/>
  <c r="B362"/>
  <c r="H362"/>
  <c r="I362"/>
  <c r="A363"/>
  <c r="B363"/>
  <c r="H363"/>
  <c r="I363"/>
  <c r="A364"/>
  <c r="B364"/>
  <c r="H364"/>
  <c r="I364"/>
  <c r="A365"/>
  <c r="B365"/>
  <c r="H365"/>
  <c r="I365"/>
  <c r="A366"/>
  <c r="B366"/>
  <c r="H366"/>
  <c r="I366"/>
  <c r="A367"/>
  <c r="B367"/>
  <c r="H367"/>
  <c r="I367"/>
  <c r="A368"/>
  <c r="B368"/>
  <c r="H368"/>
  <c r="I368"/>
  <c r="A369"/>
  <c r="B369"/>
  <c r="H369"/>
  <c r="I369"/>
  <c r="A370"/>
  <c r="B370"/>
  <c r="H370"/>
  <c r="I370"/>
  <c r="A371"/>
  <c r="B371"/>
  <c r="H371"/>
  <c r="I371"/>
  <c r="A372"/>
  <c r="B372"/>
  <c r="H372"/>
  <c r="I372"/>
  <c r="A373"/>
  <c r="B373"/>
  <c r="H373"/>
  <c r="I373"/>
  <c r="A374"/>
  <c r="B374"/>
  <c r="H374"/>
  <c r="I374"/>
  <c r="A375"/>
  <c r="B375"/>
  <c r="H375"/>
  <c r="I375"/>
  <c r="A376"/>
  <c r="B376"/>
  <c r="H376"/>
  <c r="I376"/>
  <c r="A377"/>
  <c r="B377"/>
  <c r="H377"/>
  <c r="I377"/>
  <c r="A378"/>
  <c r="B378"/>
  <c r="H378"/>
  <c r="I378"/>
  <c r="A379"/>
  <c r="B379"/>
  <c r="H379"/>
  <c r="I379"/>
  <c r="A380"/>
  <c r="B380"/>
  <c r="H380"/>
  <c r="I380"/>
  <c r="A381"/>
  <c r="B381"/>
  <c r="H381"/>
  <c r="I381"/>
  <c r="A382"/>
  <c r="B382"/>
  <c r="H382"/>
  <c r="I382"/>
  <c r="A383"/>
  <c r="B383"/>
  <c r="H383"/>
  <c r="I383"/>
  <c r="A384"/>
  <c r="B384"/>
  <c r="H384"/>
  <c r="I384"/>
  <c r="A385"/>
  <c r="B385"/>
  <c r="H385"/>
  <c r="I385"/>
  <c r="A386"/>
  <c r="B386"/>
  <c r="H386"/>
  <c r="I386"/>
  <c r="A387"/>
  <c r="B387"/>
  <c r="H387"/>
  <c r="I387"/>
  <c r="A388"/>
  <c r="B388"/>
  <c r="H388"/>
  <c r="I388"/>
  <c r="A389"/>
  <c r="B389"/>
  <c r="H389"/>
  <c r="I389"/>
  <c r="A390"/>
  <c r="B390"/>
  <c r="H390"/>
  <c r="I390"/>
  <c r="A391"/>
  <c r="B391"/>
  <c r="H391"/>
  <c r="I391"/>
  <c r="A392"/>
  <c r="B392"/>
  <c r="H392"/>
  <c r="I392"/>
  <c r="A393"/>
  <c r="B393"/>
  <c r="H393"/>
  <c r="I393"/>
  <c r="A394"/>
  <c r="B394"/>
  <c r="H394"/>
  <c r="I394"/>
  <c r="A395"/>
  <c r="B395"/>
  <c r="H395"/>
  <c r="I395"/>
  <c r="A396"/>
  <c r="B396"/>
  <c r="H396"/>
  <c r="I396"/>
  <c r="A397"/>
  <c r="B397"/>
  <c r="H397"/>
  <c r="I397"/>
  <c r="A398"/>
  <c r="B398"/>
  <c r="H398"/>
  <c r="I398"/>
  <c r="A399"/>
  <c r="B399"/>
  <c r="H399"/>
  <c r="I399"/>
  <c r="A400"/>
  <c r="B400"/>
  <c r="H400"/>
  <c r="I400"/>
  <c r="A401"/>
  <c r="B401"/>
  <c r="H401"/>
  <c r="I401"/>
  <c r="A402"/>
  <c r="B402"/>
  <c r="H402"/>
  <c r="I402"/>
  <c r="A403"/>
  <c r="B403"/>
  <c r="H403"/>
  <c r="I403"/>
  <c r="A404"/>
  <c r="B404"/>
  <c r="H404"/>
  <c r="I404"/>
  <c r="A405"/>
  <c r="B405"/>
  <c r="H405"/>
  <c r="I405"/>
  <c r="A406"/>
  <c r="B406"/>
  <c r="H406"/>
  <c r="I406"/>
  <c r="A407"/>
  <c r="B407"/>
  <c r="H407"/>
  <c r="I407"/>
  <c r="A408"/>
  <c r="B408"/>
  <c r="H408"/>
  <c r="I408"/>
  <c r="A409"/>
  <c r="B409"/>
  <c r="H409"/>
  <c r="I409"/>
  <c r="A410"/>
  <c r="B410"/>
  <c r="H410"/>
  <c r="I410"/>
  <c r="A411"/>
  <c r="B411"/>
  <c r="H411"/>
  <c r="I411"/>
  <c r="A412"/>
  <c r="B412"/>
  <c r="H412"/>
  <c r="I412"/>
  <c r="A413"/>
  <c r="B413"/>
  <c r="H413"/>
  <c r="I413"/>
  <c r="A414"/>
  <c r="B414"/>
  <c r="H414"/>
  <c r="I414"/>
  <c r="A415"/>
  <c r="B415"/>
  <c r="H415"/>
  <c r="I415"/>
  <c r="A416"/>
  <c r="B416"/>
  <c r="H416"/>
  <c r="I416"/>
  <c r="A417"/>
  <c r="B417"/>
  <c r="H417"/>
  <c r="I417"/>
  <c r="A418"/>
  <c r="B418"/>
  <c r="H418"/>
  <c r="I418"/>
  <c r="A419"/>
  <c r="B419"/>
  <c r="H419"/>
  <c r="I419"/>
  <c r="A420"/>
  <c r="B420"/>
  <c r="H420"/>
  <c r="I420"/>
  <c r="A421"/>
  <c r="B421"/>
  <c r="H421"/>
  <c r="I421"/>
  <c r="A422"/>
  <c r="B422"/>
  <c r="H422"/>
  <c r="I422"/>
  <c r="A423"/>
  <c r="B423"/>
  <c r="H423"/>
  <c r="I423"/>
  <c r="A424"/>
  <c r="B424"/>
  <c r="H424"/>
  <c r="I424"/>
  <c r="A425"/>
  <c r="B425"/>
  <c r="H425"/>
  <c r="I425"/>
  <c r="A426"/>
  <c r="B426"/>
  <c r="H426"/>
  <c r="I426"/>
  <c r="A427"/>
  <c r="B427"/>
  <c r="H427"/>
  <c r="I427"/>
  <c r="A428"/>
  <c r="B428"/>
  <c r="H428"/>
  <c r="I428"/>
  <c r="A429"/>
  <c r="B429"/>
  <c r="H429"/>
  <c r="I429"/>
  <c r="A430"/>
  <c r="B430"/>
  <c r="H430"/>
  <c r="I430"/>
  <c r="A431"/>
  <c r="B431"/>
  <c r="H431"/>
  <c r="I431"/>
  <c r="A432"/>
  <c r="B432"/>
  <c r="H432"/>
  <c r="I432"/>
  <c r="A433"/>
  <c r="B433"/>
  <c r="H433"/>
  <c r="I433"/>
  <c r="A434"/>
  <c r="B434"/>
  <c r="H434"/>
  <c r="I434"/>
  <c r="A435"/>
  <c r="B435"/>
  <c r="H435"/>
  <c r="I435"/>
  <c r="A436"/>
  <c r="B436"/>
  <c r="H436"/>
  <c r="I436"/>
  <c r="A437"/>
  <c r="B437"/>
  <c r="H437"/>
  <c r="I437"/>
  <c r="A438"/>
  <c r="B438"/>
  <c r="H438"/>
  <c r="I438"/>
  <c r="A439"/>
  <c r="B439"/>
  <c r="H439"/>
  <c r="I439"/>
  <c r="A440"/>
  <c r="B440"/>
  <c r="H440"/>
  <c r="I440"/>
  <c r="A441"/>
  <c r="B441"/>
  <c r="H441"/>
  <c r="I441"/>
  <c r="A442"/>
  <c r="B442"/>
  <c r="H442"/>
  <c r="I442"/>
  <c r="A443"/>
  <c r="B443"/>
  <c r="H443"/>
  <c r="I443"/>
  <c r="A444"/>
  <c r="B444"/>
  <c r="H444"/>
  <c r="I444"/>
  <c r="A445"/>
  <c r="B445"/>
  <c r="H445"/>
  <c r="I445"/>
  <c r="A446"/>
  <c r="B446"/>
  <c r="H446"/>
  <c r="I446"/>
  <c r="A447"/>
  <c r="B447"/>
  <c r="H447"/>
  <c r="I447"/>
  <c r="A448"/>
  <c r="B448"/>
  <c r="H448"/>
  <c r="I448"/>
  <c r="A449"/>
  <c r="B449"/>
  <c r="H449"/>
  <c r="I449"/>
  <c r="A450"/>
  <c r="B450"/>
  <c r="H450"/>
  <c r="I450"/>
  <c r="A451"/>
  <c r="B451"/>
  <c r="H451"/>
  <c r="I451"/>
  <c r="A452"/>
  <c r="B452"/>
  <c r="H452"/>
  <c r="I452"/>
  <c r="A453"/>
  <c r="B453"/>
  <c r="H453"/>
  <c r="I453"/>
  <c r="A454"/>
  <c r="B454"/>
  <c r="H454"/>
  <c r="I454"/>
  <c r="A455"/>
  <c r="B455"/>
  <c r="H455"/>
  <c r="I455"/>
  <c r="A456"/>
  <c r="B456"/>
  <c r="H456"/>
  <c r="I456"/>
  <c r="A457"/>
  <c r="B457"/>
  <c r="H457"/>
  <c r="I457"/>
  <c r="A458"/>
  <c r="B458"/>
  <c r="H458"/>
  <c r="I458"/>
  <c r="A459"/>
  <c r="B459"/>
  <c r="H459"/>
  <c r="I459"/>
  <c r="A460"/>
  <c r="B460"/>
  <c r="H460"/>
  <c r="I460"/>
  <c r="A461"/>
  <c r="B461"/>
  <c r="H461"/>
  <c r="I461"/>
  <c r="A462"/>
  <c r="B462"/>
  <c r="H462"/>
  <c r="I462"/>
  <c r="A463"/>
  <c r="B463"/>
  <c r="H463"/>
  <c r="I463"/>
  <c r="A464"/>
  <c r="B464"/>
  <c r="H464"/>
  <c r="I464"/>
  <c r="A465"/>
  <c r="B465"/>
  <c r="H465"/>
  <c r="I465"/>
  <c r="A466"/>
  <c r="B466"/>
  <c r="H466"/>
  <c r="I466"/>
  <c r="A467"/>
  <c r="B467"/>
  <c r="H467"/>
  <c r="I467"/>
  <c r="A468"/>
  <c r="B468"/>
  <c r="H468"/>
  <c r="I468"/>
  <c r="A469"/>
  <c r="B469"/>
  <c r="H469"/>
  <c r="I469"/>
  <c r="A470"/>
  <c r="B470"/>
  <c r="H470"/>
  <c r="I470"/>
  <c r="A471"/>
  <c r="B471"/>
  <c r="H471"/>
  <c r="I471"/>
  <c r="A472"/>
  <c r="B472"/>
  <c r="H472"/>
  <c r="I472"/>
  <c r="A473"/>
  <c r="B473"/>
  <c r="H473"/>
  <c r="I473"/>
  <c r="A474"/>
  <c r="B474"/>
  <c r="H474"/>
  <c r="I474"/>
  <c r="A475"/>
  <c r="B475"/>
  <c r="H475"/>
  <c r="I475"/>
  <c r="A476"/>
  <c r="B476"/>
  <c r="H476"/>
  <c r="I476"/>
  <c r="A477"/>
  <c r="B477"/>
  <c r="H477"/>
  <c r="I477"/>
  <c r="A478"/>
  <c r="B478"/>
  <c r="H478"/>
  <c r="I478"/>
  <c r="A479"/>
  <c r="B479"/>
  <c r="H479"/>
  <c r="I479"/>
  <c r="A480"/>
  <c r="B480"/>
  <c r="H480"/>
  <c r="I480"/>
  <c r="A481"/>
  <c r="B481"/>
  <c r="H481"/>
  <c r="I481"/>
  <c r="A482"/>
  <c r="B482"/>
  <c r="H482"/>
  <c r="I482"/>
  <c r="A483"/>
  <c r="B483"/>
  <c r="H483"/>
  <c r="I483"/>
  <c r="A484"/>
  <c r="B484"/>
  <c r="H484"/>
  <c r="I484"/>
  <c r="A485"/>
  <c r="B485"/>
  <c r="H485"/>
  <c r="I485"/>
  <c r="A486"/>
  <c r="B486"/>
  <c r="H486"/>
  <c r="I486"/>
  <c r="A487"/>
  <c r="B487"/>
  <c r="H487"/>
  <c r="I487"/>
  <c r="A488"/>
  <c r="B488"/>
  <c r="H488"/>
  <c r="I488"/>
  <c r="A489"/>
  <c r="B489"/>
  <c r="H489"/>
  <c r="I489"/>
  <c r="A490"/>
  <c r="B490"/>
  <c r="H490"/>
  <c r="I490"/>
  <c r="A491"/>
  <c r="B491"/>
  <c r="H491"/>
  <c r="I491"/>
  <c r="A492"/>
  <c r="B492"/>
  <c r="H492"/>
  <c r="I492"/>
  <c r="A493"/>
  <c r="B493"/>
  <c r="H493"/>
  <c r="I493"/>
  <c r="A494"/>
  <c r="B494"/>
  <c r="H494"/>
  <c r="I494"/>
  <c r="A495"/>
  <c r="B495"/>
  <c r="H495"/>
  <c r="I495"/>
  <c r="A496"/>
  <c r="B496"/>
  <c r="H496"/>
  <c r="I496"/>
  <c r="A497"/>
  <c r="B497"/>
  <c r="H497"/>
  <c r="I497"/>
  <c r="A498"/>
  <c r="B498"/>
  <c r="H498"/>
  <c r="I498"/>
  <c r="A499"/>
  <c r="B499"/>
  <c r="H499"/>
  <c r="I499"/>
  <c r="A500"/>
  <c r="B500"/>
  <c r="H500"/>
  <c r="I500"/>
  <c r="A501"/>
  <c r="B501"/>
  <c r="H501"/>
  <c r="I501"/>
  <c r="A502"/>
  <c r="B502"/>
  <c r="H502"/>
  <c r="I502"/>
  <c r="A503"/>
  <c r="B503"/>
  <c r="H503"/>
  <c r="I503"/>
  <c r="A504"/>
  <c r="B504"/>
  <c r="H504"/>
  <c r="I504"/>
  <c r="A505"/>
  <c r="B505"/>
  <c r="H505"/>
  <c r="I505"/>
  <c r="A506"/>
  <c r="B506"/>
  <c r="H506"/>
  <c r="I506"/>
  <c r="A507"/>
  <c r="B507"/>
  <c r="H507"/>
  <c r="I507"/>
  <c r="A508"/>
  <c r="B508"/>
  <c r="H508"/>
  <c r="I508"/>
  <c r="A509"/>
  <c r="B509"/>
  <c r="H509"/>
  <c r="I509"/>
  <c r="A510"/>
  <c r="B510"/>
  <c r="H510"/>
  <c r="I510"/>
  <c r="A511"/>
  <c r="B511"/>
  <c r="H511"/>
  <c r="I511"/>
  <c r="A512"/>
  <c r="B512"/>
  <c r="H512"/>
  <c r="I512"/>
  <c r="A513"/>
  <c r="B513"/>
  <c r="H513"/>
  <c r="I513"/>
  <c r="A514"/>
  <c r="B514"/>
  <c r="H514"/>
  <c r="I514"/>
  <c r="A515"/>
  <c r="B515"/>
  <c r="H515"/>
  <c r="I515"/>
  <c r="A516"/>
  <c r="B516"/>
  <c r="H516"/>
  <c r="I516"/>
  <c r="A517"/>
  <c r="B517"/>
  <c r="H517"/>
  <c r="I517"/>
  <c r="A518"/>
  <c r="B518"/>
  <c r="H518"/>
  <c r="I518"/>
  <c r="A519"/>
  <c r="B519"/>
  <c r="H519"/>
  <c r="I519"/>
  <c r="A520"/>
  <c r="B520"/>
  <c r="H520"/>
  <c r="I520"/>
  <c r="A521"/>
  <c r="B521"/>
  <c r="H521"/>
  <c r="I521"/>
  <c r="A522"/>
  <c r="B522"/>
  <c r="H522"/>
  <c r="I522"/>
  <c r="A523"/>
  <c r="B523"/>
  <c r="H523"/>
  <c r="I523"/>
  <c r="A524"/>
  <c r="B524"/>
  <c r="H524"/>
  <c r="I524"/>
  <c r="A525"/>
  <c r="B525"/>
  <c r="H525"/>
  <c r="I525"/>
  <c r="A526"/>
  <c r="B526"/>
  <c r="H526"/>
  <c r="I526"/>
  <c r="A527"/>
  <c r="B527"/>
  <c r="H527"/>
  <c r="I527"/>
  <c r="A528"/>
  <c r="B528"/>
  <c r="H528"/>
  <c r="I528"/>
  <c r="A529"/>
  <c r="B529"/>
  <c r="H529"/>
  <c r="I529"/>
  <c r="A530"/>
  <c r="B530"/>
  <c r="H530"/>
  <c r="I530"/>
  <c r="A531"/>
  <c r="B531"/>
  <c r="H531"/>
  <c r="I531"/>
  <c r="A532"/>
  <c r="B532"/>
  <c r="H532"/>
  <c r="I532"/>
  <c r="A533"/>
  <c r="B533"/>
  <c r="H533"/>
  <c r="I533"/>
  <c r="A534"/>
  <c r="B534"/>
  <c r="H534"/>
  <c r="I534"/>
  <c r="A535"/>
  <c r="B535"/>
  <c r="H535"/>
  <c r="I535"/>
  <c r="A536"/>
  <c r="B536"/>
  <c r="H536"/>
  <c r="I536"/>
  <c r="A537"/>
  <c r="B537"/>
  <c r="H537"/>
  <c r="I537"/>
  <c r="A538"/>
  <c r="B538"/>
  <c r="H538"/>
  <c r="I538"/>
  <c r="A539"/>
  <c r="B539"/>
  <c r="H539"/>
  <c r="I539"/>
  <c r="A540"/>
  <c r="B540"/>
  <c r="H540"/>
  <c r="I540"/>
  <c r="A541"/>
  <c r="B541"/>
  <c r="H541"/>
  <c r="I541"/>
  <c r="A542"/>
  <c r="B542"/>
  <c r="H542"/>
  <c r="I542"/>
  <c r="A543"/>
  <c r="B543"/>
  <c r="H543"/>
  <c r="I543"/>
  <c r="A544"/>
  <c r="B544"/>
  <c r="H544"/>
  <c r="I544"/>
  <c r="A545"/>
  <c r="B545"/>
  <c r="H545"/>
  <c r="I545"/>
  <c r="A546"/>
  <c r="B546"/>
  <c r="H546"/>
  <c r="I546"/>
  <c r="A547"/>
  <c r="B547"/>
  <c r="H547"/>
  <c r="I547"/>
  <c r="A548"/>
  <c r="B548"/>
  <c r="H548"/>
  <c r="I548"/>
  <c r="A549"/>
  <c r="B549"/>
  <c r="H549"/>
  <c r="I549"/>
  <c r="A550"/>
  <c r="B550"/>
  <c r="H550"/>
  <c r="I550"/>
  <c r="A551"/>
  <c r="B551"/>
  <c r="H551"/>
  <c r="I551"/>
  <c r="A552"/>
  <c r="B552"/>
  <c r="H552"/>
  <c r="I552"/>
  <c r="A553"/>
  <c r="B553"/>
  <c r="H553"/>
  <c r="I553"/>
  <c r="A554"/>
  <c r="B554"/>
  <c r="H554"/>
  <c r="I554"/>
  <c r="A555"/>
  <c r="B555"/>
  <c r="H555"/>
  <c r="I555"/>
  <c r="A556"/>
  <c r="B556"/>
  <c r="H556"/>
  <c r="I556"/>
  <c r="A557"/>
  <c r="B557"/>
  <c r="H557"/>
  <c r="I557"/>
  <c r="A558"/>
  <c r="B558"/>
  <c r="H558"/>
  <c r="I558"/>
  <c r="A559"/>
  <c r="B559"/>
  <c r="H559"/>
  <c r="I559"/>
  <c r="A560"/>
  <c r="B560"/>
  <c r="H560"/>
  <c r="I560"/>
  <c r="A561"/>
  <c r="B561"/>
  <c r="H561"/>
  <c r="I561"/>
  <c r="A562"/>
  <c r="B562"/>
  <c r="H562"/>
  <c r="I562"/>
  <c r="A563"/>
  <c r="B563"/>
  <c r="H563"/>
  <c r="I563"/>
  <c r="A564"/>
  <c r="B564"/>
  <c r="H564"/>
  <c r="I564"/>
  <c r="A565"/>
  <c r="B565"/>
  <c r="H565"/>
  <c r="I565"/>
  <c r="A566"/>
  <c r="B566"/>
  <c r="H566"/>
  <c r="I566"/>
  <c r="A567"/>
  <c r="B567"/>
  <c r="H567"/>
  <c r="I567"/>
  <c r="A568"/>
  <c r="B568"/>
  <c r="H568"/>
  <c r="I568"/>
  <c r="A569"/>
  <c r="B569"/>
  <c r="H569"/>
  <c r="I569"/>
  <c r="A570"/>
  <c r="B570"/>
  <c r="H570"/>
  <c r="I570"/>
  <c r="A571"/>
  <c r="B571"/>
  <c r="H571"/>
  <c r="I571"/>
  <c r="A572"/>
  <c r="B572"/>
  <c r="H572"/>
  <c r="I572"/>
  <c r="A573"/>
  <c r="B573"/>
  <c r="H573"/>
  <c r="I573"/>
  <c r="A574"/>
  <c r="B574"/>
  <c r="H574"/>
  <c r="I574"/>
  <c r="A575"/>
  <c r="B575"/>
  <c r="H575"/>
  <c r="I575"/>
  <c r="A576"/>
  <c r="B576"/>
  <c r="H576"/>
  <c r="I576"/>
  <c r="A577"/>
  <c r="B577"/>
  <c r="H577"/>
  <c r="I577"/>
  <c r="A578"/>
  <c r="B578"/>
  <c r="H578"/>
  <c r="I578"/>
  <c r="A579"/>
  <c r="B579"/>
  <c r="H579"/>
  <c r="I579"/>
  <c r="A580"/>
  <c r="B580"/>
  <c r="H580"/>
  <c r="I580"/>
  <c r="A581"/>
  <c r="B581"/>
  <c r="H581"/>
  <c r="I581"/>
  <c r="A582"/>
  <c r="B582"/>
  <c r="H582"/>
  <c r="I582"/>
  <c r="A583"/>
  <c r="B583"/>
  <c r="H583"/>
  <c r="I583"/>
  <c r="A584"/>
  <c r="B584"/>
  <c r="H584"/>
  <c r="I584"/>
  <c r="A585"/>
  <c r="B585"/>
  <c r="H585"/>
  <c r="I585"/>
  <c r="A586"/>
  <c r="B586"/>
  <c r="H586"/>
  <c r="I586"/>
  <c r="A587"/>
  <c r="B587"/>
  <c r="H587"/>
  <c r="I587"/>
  <c r="A588"/>
  <c r="B588"/>
  <c r="H588"/>
  <c r="I588"/>
  <c r="A589"/>
  <c r="B589"/>
  <c r="H589"/>
  <c r="I589"/>
  <c r="A590"/>
  <c r="B590"/>
  <c r="H590"/>
  <c r="I590"/>
  <c r="A591"/>
  <c r="B591"/>
  <c r="H591"/>
  <c r="I591"/>
  <c r="A592"/>
  <c r="B592"/>
  <c r="H592"/>
  <c r="I592"/>
  <c r="A593"/>
  <c r="B593"/>
  <c r="H593"/>
  <c r="I593"/>
  <c r="A594"/>
  <c r="B594"/>
  <c r="H594"/>
  <c r="I594"/>
  <c r="A595"/>
  <c r="B595"/>
  <c r="H595"/>
  <c r="I595"/>
  <c r="A596"/>
  <c r="B596"/>
  <c r="H596"/>
  <c r="I596"/>
  <c r="A597"/>
  <c r="B597"/>
  <c r="H597"/>
  <c r="I597"/>
  <c r="A598"/>
  <c r="B598"/>
  <c r="H598"/>
  <c r="I598"/>
  <c r="A599"/>
  <c r="B599"/>
  <c r="H599"/>
  <c r="I599"/>
  <c r="A600"/>
  <c r="B600"/>
  <c r="H600"/>
  <c r="I600"/>
  <c r="A601"/>
  <c r="B601"/>
  <c r="H601"/>
  <c r="I601"/>
  <c r="A602"/>
  <c r="B602"/>
  <c r="H602"/>
  <c r="I602"/>
  <c r="A603"/>
  <c r="B603"/>
  <c r="H603"/>
  <c r="I603"/>
  <c r="A604"/>
  <c r="B604"/>
  <c r="H604"/>
  <c r="I604"/>
  <c r="A605"/>
  <c r="B605"/>
  <c r="H605"/>
  <c r="I605"/>
  <c r="A606"/>
  <c r="B606"/>
  <c r="H606"/>
  <c r="I606"/>
  <c r="A607"/>
  <c r="B607"/>
  <c r="H607"/>
  <c r="I607"/>
  <c r="A608"/>
  <c r="B608"/>
  <c r="H608"/>
  <c r="I608"/>
  <c r="A609"/>
  <c r="B609"/>
  <c r="H609"/>
  <c r="I609"/>
  <c r="A610"/>
  <c r="B610"/>
  <c r="H610"/>
  <c r="I610"/>
  <c r="A611"/>
  <c r="B611"/>
  <c r="H611"/>
  <c r="I611"/>
  <c r="A612"/>
  <c r="B612"/>
  <c r="H612"/>
  <c r="I612"/>
  <c r="A613"/>
  <c r="B613"/>
  <c r="H613"/>
  <c r="I613"/>
  <c r="A614"/>
  <c r="B614"/>
  <c r="H614"/>
  <c r="I614"/>
  <c r="A615"/>
  <c r="B615"/>
  <c r="H615"/>
  <c r="I615"/>
  <c r="A616"/>
  <c r="B616"/>
  <c r="H616"/>
  <c r="I616"/>
  <c r="A617"/>
  <c r="B617"/>
  <c r="H617"/>
  <c r="I617"/>
  <c r="A618"/>
  <c r="B618"/>
  <c r="H618"/>
  <c r="I618"/>
  <c r="A619"/>
  <c r="B619"/>
  <c r="H619"/>
  <c r="I619"/>
  <c r="A620"/>
  <c r="B620"/>
  <c r="H620"/>
  <c r="I620"/>
  <c r="A621"/>
  <c r="B621"/>
  <c r="H621"/>
  <c r="I621"/>
  <c r="A622"/>
  <c r="B622"/>
  <c r="H622"/>
  <c r="I622"/>
  <c r="A623"/>
  <c r="B623"/>
  <c r="H623"/>
  <c r="I623"/>
  <c r="A624"/>
  <c r="B624"/>
  <c r="H624"/>
  <c r="I624"/>
  <c r="A625"/>
  <c r="B625"/>
  <c r="H625"/>
  <c r="I625"/>
  <c r="A626"/>
  <c r="B626"/>
  <c r="H626"/>
  <c r="I626"/>
  <c r="A627"/>
  <c r="B627"/>
  <c r="H627"/>
  <c r="I627"/>
  <c r="A628"/>
  <c r="B628"/>
  <c r="H628"/>
  <c r="I628"/>
  <c r="A629"/>
  <c r="B629"/>
  <c r="H629"/>
  <c r="I629"/>
  <c r="A630"/>
  <c r="B630"/>
  <c r="H630"/>
  <c r="I630"/>
  <c r="A631"/>
  <c r="B631"/>
  <c r="H631"/>
  <c r="I631"/>
  <c r="A632"/>
  <c r="B632"/>
  <c r="H632"/>
  <c r="I632"/>
  <c r="A633"/>
  <c r="B633"/>
  <c r="H633"/>
  <c r="I633"/>
  <c r="A634"/>
  <c r="B634"/>
  <c r="H634"/>
  <c r="I634"/>
  <c r="A635"/>
  <c r="B635"/>
  <c r="H635"/>
  <c r="I635"/>
  <c r="A636"/>
  <c r="B636"/>
  <c r="H636"/>
  <c r="I636"/>
  <c r="A637"/>
  <c r="B637"/>
  <c r="H637"/>
  <c r="I637"/>
  <c r="A638"/>
  <c r="B638"/>
  <c r="H638"/>
  <c r="I638"/>
  <c r="A639"/>
  <c r="B639"/>
  <c r="H639"/>
  <c r="I639"/>
  <c r="A640"/>
  <c r="B640"/>
  <c r="H640"/>
  <c r="I640"/>
  <c r="A641"/>
  <c r="B641"/>
  <c r="H641"/>
  <c r="I641"/>
  <c r="A642"/>
  <c r="B642"/>
  <c r="H642"/>
  <c r="I642"/>
  <c r="A643"/>
  <c r="B643"/>
  <c r="H643"/>
  <c r="I643"/>
  <c r="A644"/>
  <c r="B644"/>
  <c r="H644"/>
  <c r="I644"/>
  <c r="A645"/>
  <c r="B645"/>
  <c r="H645"/>
  <c r="I645"/>
  <c r="A646"/>
  <c r="B646"/>
  <c r="H646"/>
  <c r="I646"/>
  <c r="A647"/>
  <c r="B647"/>
  <c r="H647"/>
  <c r="I647"/>
  <c r="A648"/>
  <c r="B648"/>
  <c r="H648"/>
  <c r="I648"/>
  <c r="A649"/>
  <c r="B649"/>
  <c r="H649"/>
  <c r="I649"/>
  <c r="A650"/>
  <c r="B650"/>
  <c r="H650"/>
  <c r="I650"/>
  <c r="A651"/>
  <c r="B651"/>
  <c r="H651"/>
  <c r="I651"/>
  <c r="A652"/>
  <c r="B652"/>
  <c r="H652"/>
  <c r="I652"/>
  <c r="A653"/>
  <c r="B653"/>
  <c r="H653"/>
  <c r="I653"/>
  <c r="A654"/>
  <c r="B654"/>
  <c r="H654"/>
  <c r="I654"/>
  <c r="A655"/>
  <c r="B655"/>
  <c r="H655"/>
  <c r="I655"/>
  <c r="A656"/>
  <c r="B656"/>
  <c r="H656"/>
  <c r="I656"/>
  <c r="A657"/>
  <c r="B657"/>
  <c r="H657"/>
  <c r="I657"/>
  <c r="A658"/>
  <c r="B658"/>
  <c r="H658"/>
  <c r="I658"/>
  <c r="A659"/>
  <c r="B659"/>
  <c r="H659"/>
  <c r="I659"/>
  <c r="A660"/>
  <c r="B660"/>
  <c r="H660"/>
  <c r="I660"/>
  <c r="A661"/>
  <c r="B661"/>
  <c r="H661"/>
  <c r="I661"/>
  <c r="A662"/>
  <c r="B662"/>
  <c r="H662"/>
  <c r="I662"/>
  <c r="A663"/>
  <c r="B663"/>
  <c r="H663"/>
  <c r="I663"/>
  <c r="A664"/>
  <c r="B664"/>
  <c r="H664"/>
  <c r="I664"/>
  <c r="A665"/>
  <c r="B665"/>
  <c r="H665"/>
  <c r="I665"/>
  <c r="A666"/>
  <c r="B666"/>
  <c r="H666"/>
  <c r="I666"/>
  <c r="A667"/>
  <c r="B667"/>
  <c r="H667"/>
  <c r="I667"/>
  <c r="A668"/>
  <c r="B668"/>
  <c r="H668"/>
  <c r="I668"/>
  <c r="A669"/>
  <c r="B669"/>
  <c r="H669"/>
  <c r="I669"/>
  <c r="A670"/>
  <c r="B670"/>
  <c r="H670"/>
  <c r="I670"/>
  <c r="A671"/>
  <c r="B671"/>
  <c r="H671"/>
  <c r="I671"/>
  <c r="A672"/>
  <c r="B672"/>
  <c r="H672"/>
  <c r="I672"/>
  <c r="A673"/>
  <c r="B673"/>
  <c r="H673"/>
  <c r="I673"/>
  <c r="A674"/>
  <c r="B674"/>
  <c r="H674"/>
  <c r="I674"/>
  <c r="A675"/>
  <c r="B675"/>
  <c r="H675"/>
  <c r="I675"/>
  <c r="A676"/>
  <c r="B676"/>
  <c r="H676"/>
  <c r="I676"/>
  <c r="A677"/>
  <c r="B677"/>
  <c r="H677"/>
  <c r="I677"/>
  <c r="A678"/>
  <c r="B678"/>
  <c r="H678"/>
  <c r="I678"/>
  <c r="A679"/>
  <c r="B679"/>
  <c r="H679"/>
  <c r="I679"/>
  <c r="A680"/>
  <c r="B680"/>
  <c r="H680"/>
  <c r="I680"/>
  <c r="A681"/>
  <c r="B681"/>
  <c r="H681"/>
  <c r="I681"/>
  <c r="A682"/>
  <c r="B682"/>
  <c r="H682"/>
  <c r="I682"/>
  <c r="A683"/>
  <c r="B683"/>
  <c r="H683"/>
  <c r="I683"/>
  <c r="A684"/>
  <c r="B684"/>
  <c r="H684"/>
  <c r="I684"/>
  <c r="A685"/>
  <c r="B685"/>
  <c r="H685"/>
  <c r="I685"/>
  <c r="A686"/>
  <c r="B686"/>
  <c r="H686"/>
  <c r="I686"/>
  <c r="A687"/>
  <c r="B687"/>
  <c r="H687"/>
  <c r="I687"/>
  <c r="A688"/>
  <c r="B688"/>
  <c r="H688"/>
  <c r="I688"/>
  <c r="A689"/>
  <c r="B689"/>
  <c r="H689"/>
  <c r="I689"/>
  <c r="A690"/>
  <c r="B690"/>
  <c r="H690"/>
  <c r="I690"/>
  <c r="A691"/>
  <c r="B691"/>
  <c r="H691"/>
  <c r="I691"/>
  <c r="A692"/>
  <c r="B692"/>
  <c r="H692"/>
  <c r="I692"/>
  <c r="A693"/>
  <c r="B693"/>
  <c r="H693"/>
  <c r="I693"/>
  <c r="A694"/>
  <c r="B694"/>
  <c r="H694"/>
  <c r="I694"/>
  <c r="A695"/>
  <c r="B695"/>
  <c r="H695"/>
  <c r="I695"/>
  <c r="A696"/>
  <c r="B696"/>
  <c r="H696"/>
  <c r="I696"/>
  <c r="A697"/>
  <c r="B697"/>
  <c r="H697"/>
  <c r="I697"/>
  <c r="A698"/>
  <c r="B698"/>
  <c r="H698"/>
  <c r="I698"/>
  <c r="A699"/>
  <c r="B699"/>
  <c r="H699"/>
  <c r="I699"/>
  <c r="A700"/>
  <c r="B700"/>
  <c r="H700"/>
  <c r="I700"/>
  <c r="A701"/>
  <c r="B701"/>
  <c r="H701"/>
  <c r="I701"/>
  <c r="A702"/>
  <c r="B702"/>
  <c r="H702"/>
  <c r="I702"/>
  <c r="A703"/>
  <c r="B703"/>
  <c r="H703"/>
  <c r="I703"/>
  <c r="A704"/>
  <c r="B704"/>
  <c r="H704"/>
  <c r="I704"/>
  <c r="A705"/>
  <c r="B705"/>
  <c r="H705"/>
  <c r="I705"/>
  <c r="A706"/>
  <c r="B706"/>
  <c r="H706"/>
  <c r="I706"/>
  <c r="A707"/>
  <c r="B707"/>
  <c r="H707"/>
  <c r="I707"/>
  <c r="A708"/>
  <c r="B708"/>
  <c r="H708"/>
  <c r="I708"/>
  <c r="A709"/>
  <c r="B709"/>
  <c r="H709"/>
  <c r="I709"/>
  <c r="A710"/>
  <c r="B710"/>
  <c r="H710"/>
  <c r="I710"/>
  <c r="A711"/>
  <c r="B711"/>
  <c r="H711"/>
  <c r="I711"/>
  <c r="A712"/>
  <c r="B712"/>
  <c r="H712"/>
  <c r="I712"/>
  <c r="A713"/>
  <c r="B713"/>
  <c r="H713"/>
  <c r="I713"/>
  <c r="A714"/>
  <c r="B714"/>
  <c r="H714"/>
  <c r="I714"/>
  <c r="A715"/>
  <c r="B715"/>
  <c r="H715"/>
  <c r="I715"/>
  <c r="A716"/>
  <c r="B716"/>
  <c r="H716"/>
  <c r="I716"/>
  <c r="A717"/>
  <c r="B717"/>
  <c r="H717"/>
  <c r="I717"/>
  <c r="A718"/>
  <c r="B718"/>
  <c r="H718"/>
  <c r="I718"/>
  <c r="A719"/>
  <c r="B719"/>
  <c r="H719"/>
  <c r="I719"/>
  <c r="A720"/>
  <c r="B720"/>
  <c r="H720"/>
  <c r="I720"/>
  <c r="A721"/>
  <c r="B721"/>
  <c r="H721"/>
  <c r="I721"/>
  <c r="A722"/>
  <c r="B722"/>
  <c r="H722"/>
  <c r="I722"/>
  <c r="A723"/>
  <c r="B723"/>
  <c r="H723"/>
  <c r="I723"/>
  <c r="A724"/>
  <c r="B724"/>
  <c r="H724"/>
  <c r="I724"/>
  <c r="A725"/>
  <c r="B725"/>
  <c r="H725"/>
  <c r="I725"/>
  <c r="A726"/>
  <c r="B726"/>
  <c r="H726"/>
  <c r="I726"/>
  <c r="A727"/>
  <c r="B727"/>
  <c r="H727"/>
  <c r="I727"/>
  <c r="A728"/>
  <c r="B728"/>
  <c r="H728"/>
  <c r="I728"/>
  <c r="A729"/>
  <c r="B729"/>
  <c r="H729"/>
  <c r="I729"/>
  <c r="A730"/>
  <c r="B730"/>
  <c r="H730"/>
  <c r="I730"/>
  <c r="A731"/>
  <c r="B731"/>
  <c r="H731"/>
  <c r="I731"/>
  <c r="A732"/>
  <c r="B732"/>
  <c r="H732"/>
  <c r="I732"/>
  <c r="A733"/>
  <c r="B733"/>
  <c r="H733"/>
  <c r="I733"/>
  <c r="A734"/>
  <c r="B734"/>
  <c r="H734"/>
  <c r="I734"/>
  <c r="A735"/>
  <c r="B735"/>
  <c r="H735"/>
  <c r="I735"/>
  <c r="A736"/>
  <c r="B736"/>
  <c r="H736"/>
  <c r="I736"/>
  <c r="A737"/>
  <c r="B737"/>
  <c r="H737"/>
  <c r="I737"/>
  <c r="A738"/>
  <c r="B738"/>
  <c r="H738"/>
  <c r="I738"/>
  <c r="A739"/>
  <c r="B739"/>
  <c r="H739"/>
  <c r="I739"/>
  <c r="A740"/>
  <c r="B740"/>
  <c r="H740"/>
  <c r="I740"/>
  <c r="A741"/>
  <c r="B741"/>
  <c r="H741"/>
  <c r="I741"/>
  <c r="A742"/>
  <c r="B742"/>
  <c r="H742"/>
  <c r="I742"/>
  <c r="A743"/>
  <c r="B743"/>
  <c r="H743"/>
  <c r="I743"/>
  <c r="A744"/>
  <c r="B744"/>
  <c r="H744"/>
  <c r="I744"/>
  <c r="A745"/>
  <c r="B745"/>
  <c r="H745"/>
  <c r="I745"/>
  <c r="A746"/>
  <c r="B746"/>
  <c r="H746"/>
  <c r="I746"/>
  <c r="A747"/>
  <c r="B747"/>
  <c r="H747"/>
  <c r="I747"/>
  <c r="A748"/>
  <c r="B748"/>
  <c r="H748"/>
  <c r="I748"/>
  <c r="A749"/>
  <c r="B749"/>
  <c r="H749"/>
  <c r="I749"/>
  <c r="A750"/>
  <c r="B750"/>
  <c r="H750"/>
  <c r="I750"/>
  <c r="A751"/>
  <c r="B751"/>
  <c r="H751"/>
  <c r="I751"/>
  <c r="A752"/>
  <c r="B752"/>
  <c r="H752"/>
  <c r="I752"/>
  <c r="A753"/>
  <c r="B753"/>
  <c r="H753"/>
  <c r="I753"/>
  <c r="A754"/>
  <c r="B754"/>
  <c r="H754"/>
  <c r="I754"/>
  <c r="A755"/>
  <c r="B755"/>
  <c r="H755"/>
  <c r="I755"/>
  <c r="A756"/>
  <c r="B756"/>
  <c r="H756"/>
  <c r="I756"/>
  <c r="A757"/>
  <c r="B757"/>
  <c r="H757"/>
  <c r="I757"/>
  <c r="A758"/>
  <c r="B758"/>
  <c r="H758"/>
  <c r="I758"/>
  <c r="A759"/>
  <c r="B759"/>
  <c r="H759"/>
  <c r="I759"/>
  <c r="A760"/>
  <c r="B760"/>
  <c r="H760"/>
  <c r="I760"/>
  <c r="A761"/>
  <c r="B761"/>
  <c r="H761"/>
  <c r="I761"/>
  <c r="A762"/>
  <c r="B762"/>
  <c r="H762"/>
  <c r="I762"/>
  <c r="A763"/>
  <c r="B763"/>
  <c r="H763"/>
  <c r="I763"/>
  <c r="A764"/>
  <c r="B764"/>
  <c r="H764"/>
  <c r="I764"/>
  <c r="A765"/>
  <c r="B765"/>
  <c r="H765"/>
  <c r="I765"/>
  <c r="A766"/>
  <c r="B766"/>
  <c r="H766"/>
  <c r="I766"/>
  <c r="A767"/>
  <c r="B767"/>
  <c r="H767"/>
  <c r="I767"/>
  <c r="A768"/>
  <c r="B768"/>
  <c r="H768"/>
  <c r="I768"/>
  <c r="A769"/>
  <c r="B769"/>
  <c r="H769"/>
  <c r="I769"/>
  <c r="A770"/>
  <c r="B770"/>
  <c r="H770"/>
  <c r="I770"/>
  <c r="A771"/>
  <c r="B771"/>
  <c r="H771"/>
  <c r="I771"/>
  <c r="A772"/>
  <c r="B772"/>
  <c r="H772"/>
  <c r="I772"/>
  <c r="A773"/>
  <c r="B773"/>
  <c r="H773"/>
  <c r="I773"/>
  <c r="A774"/>
  <c r="B774"/>
  <c r="H774"/>
  <c r="I774"/>
  <c r="A775"/>
  <c r="B775"/>
  <c r="H775"/>
  <c r="I775"/>
  <c r="A776"/>
  <c r="B776"/>
  <c r="H776"/>
  <c r="I776"/>
  <c r="A777"/>
  <c r="B777"/>
  <c r="H777"/>
  <c r="I777"/>
  <c r="A778"/>
  <c r="B778"/>
  <c r="H778"/>
  <c r="I778"/>
  <c r="A779"/>
  <c r="B779"/>
  <c r="H779"/>
  <c r="I779"/>
  <c r="A780"/>
  <c r="B780"/>
  <c r="H780"/>
  <c r="I780"/>
  <c r="A781"/>
  <c r="B781"/>
  <c r="H781"/>
  <c r="I781"/>
  <c r="A782"/>
  <c r="B782"/>
  <c r="H782"/>
  <c r="I782"/>
  <c r="A783"/>
  <c r="B783"/>
  <c r="H783"/>
  <c r="I783"/>
  <c r="A784"/>
  <c r="B784"/>
  <c r="H784"/>
  <c r="I784"/>
  <c r="A785"/>
  <c r="B785"/>
  <c r="H785"/>
  <c r="I785"/>
  <c r="A786"/>
  <c r="B786"/>
  <c r="H786"/>
  <c r="I786"/>
  <c r="A787"/>
  <c r="B787"/>
  <c r="H787"/>
  <c r="I787"/>
  <c r="A788"/>
  <c r="B788"/>
  <c r="H788"/>
  <c r="I788"/>
  <c r="A789"/>
  <c r="B789"/>
  <c r="H789"/>
  <c r="I789"/>
  <c r="A790"/>
  <c r="B790"/>
  <c r="H790"/>
  <c r="I790"/>
  <c r="A791"/>
  <c r="B791"/>
  <c r="H791"/>
  <c r="I791"/>
  <c r="A792"/>
  <c r="B792"/>
  <c r="H792"/>
  <c r="I792"/>
  <c r="A793"/>
  <c r="B793"/>
  <c r="H793"/>
  <c r="I793"/>
  <c r="A794"/>
  <c r="B794"/>
  <c r="H794"/>
  <c r="I794"/>
  <c r="A795"/>
  <c r="B795"/>
  <c r="H795"/>
  <c r="I795"/>
  <c r="A796"/>
  <c r="B796"/>
  <c r="H796"/>
  <c r="I796"/>
  <c r="A797"/>
  <c r="B797"/>
  <c r="H797"/>
  <c r="I797"/>
  <c r="A798"/>
  <c r="B798"/>
  <c r="H798"/>
  <c r="I798"/>
  <c r="A799"/>
  <c r="B799"/>
  <c r="H799"/>
  <c r="I799"/>
  <c r="A800"/>
  <c r="B800"/>
  <c r="H800"/>
  <c r="I800"/>
  <c r="A801"/>
  <c r="B801"/>
  <c r="H801"/>
  <c r="I801"/>
  <c r="A802"/>
  <c r="B802"/>
  <c r="H802"/>
  <c r="I802"/>
  <c r="A803"/>
  <c r="B803"/>
  <c r="H803"/>
  <c r="I803"/>
  <c r="A804"/>
  <c r="B804"/>
  <c r="H804"/>
  <c r="I804"/>
  <c r="A805"/>
  <c r="B805"/>
  <c r="H805"/>
  <c r="I805"/>
  <c r="A806"/>
  <c r="B806"/>
  <c r="H806"/>
  <c r="I806"/>
  <c r="A807"/>
  <c r="B807"/>
  <c r="H807"/>
  <c r="I807"/>
  <c r="A808"/>
  <c r="B808"/>
  <c r="H808"/>
  <c r="I808"/>
  <c r="A809"/>
  <c r="B809"/>
  <c r="H809"/>
  <c r="I809"/>
  <c r="A810"/>
  <c r="B810"/>
  <c r="H810"/>
  <c r="I810"/>
  <c r="A811"/>
  <c r="B811"/>
  <c r="H811"/>
  <c r="I811"/>
  <c r="A812"/>
  <c r="B812"/>
  <c r="H812"/>
  <c r="I812"/>
  <c r="A813"/>
  <c r="B813"/>
  <c r="H813"/>
  <c r="I813"/>
  <c r="A814"/>
  <c r="B814"/>
  <c r="H814"/>
  <c r="I814"/>
  <c r="A815"/>
  <c r="B815"/>
  <c r="H815"/>
  <c r="I815"/>
  <c r="A816"/>
  <c r="B816"/>
  <c r="H816"/>
  <c r="I816"/>
  <c r="A817"/>
  <c r="B817"/>
  <c r="H817"/>
  <c r="I817"/>
  <c r="A818"/>
  <c r="B818"/>
  <c r="H818"/>
  <c r="I818"/>
  <c r="A819"/>
  <c r="B819"/>
  <c r="H819"/>
  <c r="I819"/>
  <c r="A820"/>
  <c r="B820"/>
  <c r="H820"/>
  <c r="I820"/>
  <c r="A821"/>
  <c r="B821"/>
  <c r="H821"/>
  <c r="I821"/>
  <c r="A822"/>
  <c r="B822"/>
  <c r="H822"/>
  <c r="I822"/>
  <c r="A823"/>
  <c r="B823"/>
  <c r="H823"/>
  <c r="I823"/>
  <c r="A824"/>
  <c r="B824"/>
  <c r="H824"/>
  <c r="I824"/>
  <c r="A825"/>
  <c r="B825"/>
  <c r="H825"/>
  <c r="I825"/>
  <c r="A826"/>
  <c r="B826"/>
  <c r="H826"/>
  <c r="I826"/>
  <c r="A827"/>
  <c r="B827"/>
  <c r="H827"/>
  <c r="I827"/>
  <c r="A828"/>
  <c r="B828"/>
  <c r="H828"/>
  <c r="I828"/>
  <c r="A829"/>
  <c r="B829"/>
  <c r="H829"/>
  <c r="I829"/>
  <c r="A830"/>
  <c r="B830"/>
  <c r="H830"/>
  <c r="I830"/>
  <c r="A831"/>
  <c r="B831"/>
  <c r="H831"/>
  <c r="I831"/>
  <c r="A832"/>
  <c r="B832"/>
  <c r="H832"/>
  <c r="I832"/>
  <c r="A833"/>
  <c r="B833"/>
  <c r="H833"/>
  <c r="I833"/>
  <c r="A834"/>
  <c r="B834"/>
  <c r="H834"/>
  <c r="I834"/>
  <c r="A835"/>
  <c r="B835"/>
  <c r="H835"/>
  <c r="I835"/>
  <c r="A836"/>
  <c r="B836"/>
  <c r="H836"/>
  <c r="I836"/>
  <c r="A837"/>
  <c r="B837"/>
  <c r="H837"/>
  <c r="I837"/>
  <c r="A838"/>
  <c r="B838"/>
  <c r="H838"/>
  <c r="I838"/>
  <c r="A839"/>
  <c r="B839"/>
  <c r="H839"/>
  <c r="I839"/>
  <c r="A840"/>
  <c r="B840"/>
  <c r="H840"/>
  <c r="I840"/>
  <c r="A841"/>
  <c r="B841"/>
  <c r="H841"/>
  <c r="I841"/>
  <c r="A842"/>
  <c r="B842"/>
  <c r="H842"/>
  <c r="I842"/>
  <c r="A843"/>
  <c r="B843"/>
  <c r="H843"/>
  <c r="I843"/>
  <c r="A844"/>
  <c r="B844"/>
  <c r="H844"/>
  <c r="I844"/>
  <c r="A845"/>
  <c r="B845"/>
  <c r="H845"/>
  <c r="I845"/>
  <c r="A846"/>
  <c r="B846"/>
  <c r="H846"/>
  <c r="I846"/>
  <c r="A847"/>
  <c r="B847"/>
  <c r="H847"/>
  <c r="I847"/>
  <c r="A848"/>
  <c r="B848"/>
  <c r="H848"/>
  <c r="I848"/>
  <c r="A849"/>
  <c r="B849"/>
  <c r="H849"/>
  <c r="I849"/>
  <c r="A850"/>
  <c r="B850"/>
  <c r="H850"/>
  <c r="I850"/>
  <c r="A851"/>
  <c r="B851"/>
  <c r="H851"/>
  <c r="I851"/>
  <c r="A852"/>
  <c r="B852"/>
  <c r="H852"/>
  <c r="I852"/>
  <c r="A853"/>
  <c r="B853"/>
  <c r="H853"/>
  <c r="I853"/>
  <c r="A854"/>
  <c r="B854"/>
  <c r="H854"/>
  <c r="I854"/>
  <c r="A855"/>
  <c r="B855"/>
  <c r="H855"/>
  <c r="I855"/>
  <c r="A856"/>
  <c r="B856"/>
  <c r="H856"/>
  <c r="I856"/>
  <c r="A857"/>
  <c r="B857"/>
  <c r="H857"/>
  <c r="I857"/>
  <c r="A858"/>
  <c r="B858"/>
  <c r="H858"/>
  <c r="I858"/>
  <c r="A859"/>
  <c r="B859"/>
  <c r="H859"/>
  <c r="I859"/>
  <c r="A860"/>
  <c r="B860"/>
  <c r="H860"/>
  <c r="I860"/>
  <c r="A861"/>
  <c r="B861"/>
  <c r="H861"/>
  <c r="I861"/>
  <c r="A862"/>
  <c r="B862"/>
  <c r="H862"/>
  <c r="I862"/>
  <c r="A863"/>
  <c r="B863"/>
  <c r="H863"/>
  <c r="I863"/>
  <c r="A864"/>
  <c r="B864"/>
  <c r="H864"/>
  <c r="I864"/>
  <c r="A865"/>
  <c r="B865"/>
  <c r="H865"/>
  <c r="I865"/>
  <c r="A866"/>
  <c r="B866"/>
  <c r="H866"/>
  <c r="I866"/>
  <c r="A867"/>
  <c r="B867"/>
  <c r="H867"/>
  <c r="I867"/>
  <c r="A868"/>
  <c r="B868"/>
  <c r="H868"/>
  <c r="I868"/>
  <c r="A869"/>
  <c r="B869"/>
  <c r="H869"/>
  <c r="I869"/>
  <c r="A870"/>
  <c r="B870"/>
  <c r="H870"/>
  <c r="I870"/>
  <c r="A871"/>
  <c r="B871"/>
  <c r="H871"/>
  <c r="I871"/>
  <c r="A872"/>
  <c r="B872"/>
  <c r="H872"/>
  <c r="I872"/>
  <c r="A873"/>
  <c r="B873"/>
  <c r="H873"/>
  <c r="I873"/>
  <c r="A874"/>
  <c r="B874"/>
  <c r="H874"/>
  <c r="I874"/>
  <c r="A875"/>
  <c r="B875"/>
  <c r="H875"/>
  <c r="I875"/>
  <c r="A876"/>
  <c r="B876"/>
  <c r="H876"/>
  <c r="I876"/>
  <c r="A877"/>
  <c r="B877"/>
  <c r="H877"/>
  <c r="I877"/>
  <c r="A878"/>
  <c r="B878"/>
  <c r="H878"/>
  <c r="I878"/>
  <c r="A879"/>
  <c r="B879"/>
  <c r="H879"/>
  <c r="I879"/>
  <c r="A880"/>
  <c r="B880"/>
  <c r="H880"/>
  <c r="I880"/>
  <c r="A881"/>
  <c r="B881"/>
  <c r="H881"/>
  <c r="I881"/>
  <c r="A882"/>
  <c r="B882"/>
  <c r="H882"/>
  <c r="I882"/>
  <c r="A883"/>
  <c r="B883"/>
  <c r="H883"/>
  <c r="I883"/>
  <c r="A884"/>
  <c r="B884"/>
  <c r="H884"/>
  <c r="I884"/>
  <c r="A885"/>
  <c r="B885"/>
  <c r="H885"/>
  <c r="I885"/>
  <c r="A886"/>
  <c r="B886"/>
  <c r="H886"/>
  <c r="I886"/>
  <c r="A887"/>
  <c r="B887"/>
  <c r="H887"/>
  <c r="I887"/>
  <c r="A888"/>
  <c r="B888"/>
  <c r="H888"/>
  <c r="I888"/>
  <c r="A889"/>
  <c r="B889"/>
  <c r="H889"/>
  <c r="I889"/>
  <c r="A890"/>
  <c r="B890"/>
  <c r="H890"/>
  <c r="I890"/>
  <c r="A891"/>
  <c r="B891"/>
  <c r="H891"/>
  <c r="I891"/>
  <c r="A892"/>
  <c r="B892"/>
  <c r="H892"/>
  <c r="I892"/>
  <c r="A893"/>
  <c r="B893"/>
  <c r="H893"/>
  <c r="I893"/>
  <c r="A894"/>
  <c r="B894"/>
  <c r="H894"/>
  <c r="I894"/>
  <c r="A895"/>
  <c r="B895"/>
  <c r="H895"/>
  <c r="I895"/>
  <c r="A896"/>
  <c r="B896"/>
  <c r="H896"/>
  <c r="I896"/>
  <c r="A897"/>
  <c r="B897"/>
  <c r="H897"/>
  <c r="I897"/>
  <c r="A898"/>
  <c r="B898"/>
  <c r="H898"/>
  <c r="I898"/>
  <c r="A899"/>
  <c r="B899"/>
  <c r="H899"/>
  <c r="I899"/>
  <c r="A900"/>
  <c r="B900"/>
  <c r="H900"/>
  <c r="I900"/>
  <c r="A901"/>
  <c r="B901"/>
  <c r="H901"/>
  <c r="I901"/>
  <c r="A902"/>
  <c r="B902"/>
  <c r="H902"/>
  <c r="I902"/>
  <c r="A903"/>
  <c r="B903"/>
  <c r="H903"/>
  <c r="I903"/>
  <c r="A904"/>
  <c r="B904"/>
  <c r="H904"/>
  <c r="I904"/>
  <c r="A905"/>
  <c r="B905"/>
  <c r="H905"/>
  <c r="I905"/>
  <c r="A906"/>
  <c r="B906"/>
  <c r="H906"/>
  <c r="I906"/>
  <c r="A907"/>
  <c r="B907"/>
  <c r="H907"/>
  <c r="I907"/>
  <c r="A908"/>
  <c r="B908"/>
  <c r="H908"/>
  <c r="I908"/>
  <c r="A909"/>
  <c r="B909"/>
  <c r="H909"/>
  <c r="I909"/>
  <c r="A910"/>
  <c r="B910"/>
  <c r="H910"/>
  <c r="I910"/>
  <c r="A911"/>
  <c r="B911"/>
  <c r="H911"/>
  <c r="I911"/>
  <c r="A912"/>
  <c r="B912"/>
  <c r="H912"/>
  <c r="I912"/>
  <c r="A913"/>
  <c r="B913"/>
  <c r="H913"/>
  <c r="I913"/>
  <c r="A914"/>
  <c r="B914"/>
  <c r="H914"/>
  <c r="I914"/>
  <c r="A915"/>
  <c r="B915"/>
  <c r="H915"/>
  <c r="I915"/>
  <c r="A916"/>
  <c r="B916"/>
  <c r="H916"/>
  <c r="I916"/>
  <c r="A917"/>
  <c r="B917"/>
  <c r="H917"/>
  <c r="I917"/>
  <c r="A918"/>
  <c r="B918"/>
  <c r="H918"/>
  <c r="I918"/>
  <c r="A919"/>
  <c r="B919"/>
  <c r="H919"/>
  <c r="I919"/>
  <c r="A920"/>
  <c r="B920"/>
  <c r="H920"/>
  <c r="I920"/>
  <c r="A921"/>
  <c r="B921"/>
  <c r="H921"/>
  <c r="I921"/>
  <c r="A922"/>
  <c r="B922"/>
  <c r="H922"/>
  <c r="I922"/>
  <c r="A923"/>
  <c r="B923"/>
  <c r="H923"/>
  <c r="I923"/>
  <c r="A924"/>
  <c r="B924"/>
  <c r="H924"/>
  <c r="I924"/>
  <c r="A925"/>
  <c r="B925"/>
  <c r="H925"/>
  <c r="I925"/>
  <c r="A926"/>
  <c r="B926"/>
  <c r="H926"/>
  <c r="I926"/>
  <c r="A927"/>
  <c r="B927"/>
  <c r="H927"/>
  <c r="I927"/>
  <c r="A928"/>
  <c r="B928"/>
  <c r="H928"/>
  <c r="I928"/>
  <c r="A929"/>
  <c r="B929"/>
  <c r="H929"/>
  <c r="I929"/>
  <c r="A930"/>
  <c r="B930"/>
  <c r="H930"/>
  <c r="I930"/>
  <c r="A931"/>
  <c r="B931"/>
  <c r="H931"/>
  <c r="I931"/>
  <c r="A932"/>
  <c r="B932"/>
  <c r="H932"/>
  <c r="I932"/>
  <c r="A933"/>
  <c r="B933"/>
  <c r="H933"/>
  <c r="I933"/>
  <c r="A934"/>
  <c r="B934"/>
  <c r="H934"/>
  <c r="I934"/>
  <c r="A935"/>
  <c r="B935"/>
  <c r="H935"/>
  <c r="I935"/>
  <c r="A936"/>
  <c r="B936"/>
  <c r="H936"/>
  <c r="I936"/>
  <c r="A937"/>
  <c r="B937"/>
  <c r="H937"/>
  <c r="I937"/>
  <c r="A938"/>
  <c r="B938"/>
  <c r="H938"/>
  <c r="I938"/>
  <c r="A939"/>
  <c r="B939"/>
  <c r="H939"/>
  <c r="I939"/>
  <c r="A940"/>
  <c r="B940"/>
  <c r="H940"/>
  <c r="I940"/>
  <c r="A941"/>
  <c r="B941"/>
  <c r="H941"/>
  <c r="I941"/>
  <c r="A942"/>
  <c r="B942"/>
  <c r="H942"/>
  <c r="I942"/>
  <c r="A943"/>
  <c r="B943"/>
  <c r="H943"/>
  <c r="I943"/>
  <c r="A944"/>
  <c r="B944"/>
  <c r="H944"/>
  <c r="I944"/>
  <c r="A945"/>
  <c r="B945"/>
  <c r="H945"/>
  <c r="I945"/>
  <c r="A946"/>
  <c r="B946"/>
  <c r="H946"/>
  <c r="I946"/>
  <c r="A947"/>
  <c r="B947"/>
  <c r="H947"/>
  <c r="I947"/>
  <c r="A948"/>
  <c r="B948"/>
  <c r="H948"/>
  <c r="I948"/>
  <c r="A949"/>
  <c r="B949"/>
  <c r="H949"/>
  <c r="I949"/>
  <c r="A950"/>
  <c r="B950"/>
  <c r="H950"/>
  <c r="I950"/>
  <c r="A951"/>
  <c r="B951"/>
  <c r="H951"/>
  <c r="I951"/>
  <c r="A952"/>
  <c r="B952"/>
  <c r="H952"/>
  <c r="I952"/>
  <c r="A953"/>
  <c r="B953"/>
  <c r="H953"/>
  <c r="I953"/>
  <c r="A954"/>
  <c r="B954"/>
  <c r="H954"/>
  <c r="I954"/>
  <c r="A955"/>
  <c r="B955"/>
  <c r="H955"/>
  <c r="I955"/>
  <c r="A956"/>
  <c r="B956"/>
  <c r="H956"/>
  <c r="I956"/>
  <c r="A957"/>
  <c r="B957"/>
  <c r="H957"/>
  <c r="I957"/>
  <c r="A958"/>
  <c r="B958"/>
  <c r="H958"/>
  <c r="I958"/>
  <c r="A959"/>
  <c r="B959"/>
  <c r="H959"/>
  <c r="I959"/>
  <c r="A960"/>
  <c r="B960"/>
  <c r="H960"/>
  <c r="I960"/>
  <c r="A961"/>
  <c r="B961"/>
  <c r="H961"/>
  <c r="I961"/>
  <c r="A962"/>
  <c r="B962"/>
  <c r="H962"/>
  <c r="I962"/>
  <c r="A963"/>
  <c r="B963"/>
  <c r="H963"/>
  <c r="I963"/>
  <c r="A964"/>
  <c r="B964"/>
  <c r="H964"/>
  <c r="I964"/>
  <c r="A965"/>
  <c r="B965"/>
  <c r="H965"/>
  <c r="I965"/>
  <c r="A966"/>
  <c r="B966"/>
  <c r="H966"/>
  <c r="I966"/>
  <c r="A967"/>
  <c r="B967"/>
  <c r="H967"/>
  <c r="I967"/>
  <c r="A968"/>
  <c r="B968"/>
  <c r="H968"/>
  <c r="I968"/>
  <c r="A969"/>
  <c r="B969"/>
  <c r="H969"/>
  <c r="I969"/>
  <c r="A970"/>
  <c r="B970"/>
  <c r="H970"/>
  <c r="I970"/>
  <c r="A971"/>
  <c r="B971"/>
  <c r="H971"/>
  <c r="I971"/>
  <c r="A972"/>
  <c r="B972"/>
  <c r="H972"/>
  <c r="I972"/>
  <c r="A973"/>
  <c r="B973"/>
  <c r="H973"/>
  <c r="I973"/>
  <c r="A974"/>
  <c r="B974"/>
  <c r="H974"/>
  <c r="I974"/>
  <c r="A975"/>
  <c r="B975"/>
  <c r="H975"/>
  <c r="I975"/>
  <c r="A976"/>
  <c r="B976"/>
  <c r="H976"/>
  <c r="I976"/>
  <c r="A977"/>
  <c r="B977"/>
  <c r="H977"/>
  <c r="I977"/>
  <c r="A978"/>
  <c r="B978"/>
  <c r="H978"/>
  <c r="I978"/>
  <c r="A979"/>
  <c r="B979"/>
  <c r="H979"/>
  <c r="I979"/>
  <c r="A980"/>
  <c r="B980"/>
  <c r="H980"/>
  <c r="I980"/>
  <c r="A981"/>
  <c r="B981"/>
  <c r="H981"/>
  <c r="I981"/>
  <c r="A982"/>
  <c r="B982"/>
  <c r="H982"/>
  <c r="I982"/>
  <c r="A983"/>
  <c r="B983"/>
  <c r="H983"/>
  <c r="I983"/>
  <c r="A984"/>
  <c r="B984"/>
  <c r="H984"/>
  <c r="I984"/>
  <c r="A985"/>
  <c r="B985"/>
  <c r="H985"/>
  <c r="I985"/>
  <c r="A986"/>
  <c r="B986"/>
  <c r="H986"/>
  <c r="I986"/>
  <c r="A987"/>
  <c r="B987"/>
  <c r="H987"/>
  <c r="I987"/>
  <c r="A988"/>
  <c r="B988"/>
  <c r="H988"/>
  <c r="I988"/>
  <c r="A989"/>
  <c r="B989"/>
  <c r="H989"/>
  <c r="I989"/>
  <c r="A990"/>
  <c r="B990"/>
  <c r="H990"/>
  <c r="I990"/>
  <c r="A991"/>
  <c r="B991"/>
  <c r="H991"/>
  <c r="I991"/>
  <c r="A992"/>
  <c r="B992"/>
  <c r="H992"/>
  <c r="I992"/>
  <c r="A993"/>
  <c r="B993"/>
  <c r="H993"/>
  <c r="I993"/>
  <c r="A994"/>
  <c r="B994"/>
  <c r="H994"/>
  <c r="I994"/>
  <c r="A995"/>
  <c r="B995"/>
  <c r="H995"/>
  <c r="I995"/>
  <c r="A996"/>
  <c r="B996"/>
  <c r="H996"/>
  <c r="I996"/>
  <c r="A997"/>
  <c r="B997"/>
  <c r="H997"/>
  <c r="I997"/>
  <c r="A998"/>
  <c r="B998"/>
  <c r="H998"/>
  <c r="I998"/>
  <c r="A999"/>
  <c r="B999"/>
  <c r="H999"/>
  <c r="I999"/>
  <c r="A1000"/>
  <c r="B1000"/>
  <c r="H1000"/>
  <c r="I1000"/>
  <c r="A1001"/>
  <c r="B1001"/>
  <c r="H1001"/>
  <c r="I1001"/>
  <c r="A1002"/>
  <c r="B1002"/>
  <c r="H1002"/>
  <c r="I1002"/>
  <c r="A1003"/>
  <c r="B1003"/>
  <c r="H1003"/>
  <c r="I1003"/>
  <c r="A1004"/>
  <c r="B1004"/>
  <c r="H1004"/>
  <c r="I1004"/>
  <c r="A1005"/>
  <c r="B1005"/>
  <c r="H1005"/>
  <c r="I1005"/>
  <c r="A1006"/>
  <c r="B1006"/>
  <c r="H1006"/>
  <c r="I1006"/>
  <c r="A1007"/>
  <c r="B1007"/>
  <c r="H1007"/>
  <c r="I1007"/>
  <c r="A1008"/>
  <c r="B1008"/>
  <c r="H1008"/>
  <c r="I1008"/>
  <c r="A1009"/>
  <c r="B1009"/>
  <c r="H1009"/>
  <c r="I1009"/>
  <c r="A1010"/>
  <c r="B1010"/>
  <c r="H1010"/>
  <c r="I1010"/>
  <c r="A1011"/>
  <c r="B1011"/>
  <c r="H1011"/>
  <c r="I1011"/>
  <c r="A1012"/>
  <c r="B1012"/>
  <c r="H1012"/>
  <c r="I1012"/>
  <c r="A1013"/>
  <c r="B1013"/>
  <c r="H1013"/>
  <c r="I1013"/>
  <c r="A1014"/>
  <c r="B1014"/>
  <c r="H1014"/>
  <c r="I1014"/>
  <c r="A1015"/>
  <c r="B1015"/>
  <c r="H1015"/>
  <c r="I1015"/>
  <c r="A1016"/>
  <c r="B1016"/>
  <c r="H1016"/>
  <c r="I1016"/>
  <c r="A1017"/>
  <c r="B1017"/>
  <c r="H1017"/>
  <c r="I1017"/>
  <c r="A1018"/>
  <c r="B1018"/>
  <c r="H1018"/>
  <c r="I1018"/>
  <c r="A1019"/>
  <c r="B1019"/>
  <c r="H1019"/>
  <c r="I1019"/>
  <c r="A1020"/>
  <c r="B1020"/>
  <c r="H1020"/>
  <c r="I1020"/>
  <c r="A1021"/>
  <c r="B1021"/>
  <c r="H1021"/>
  <c r="I1021"/>
  <c r="A1022"/>
  <c r="B1022"/>
  <c r="H1022"/>
  <c r="I1022"/>
  <c r="A1023"/>
  <c r="B1023"/>
  <c r="H1023"/>
  <c r="I1023"/>
  <c r="A1024"/>
  <c r="B1024"/>
  <c r="H1024"/>
  <c r="I1024"/>
  <c r="A1025"/>
  <c r="B1025"/>
  <c r="H1025"/>
  <c r="I1025"/>
  <c r="A1026"/>
  <c r="B1026"/>
  <c r="H1026"/>
  <c r="I1026"/>
  <c r="A1027"/>
  <c r="B1027"/>
  <c r="H1027"/>
  <c r="I1027"/>
  <c r="A1028"/>
  <c r="B1028"/>
  <c r="H1028"/>
  <c r="I1028"/>
  <c r="A1029"/>
  <c r="B1029"/>
  <c r="H1029"/>
  <c r="I1029"/>
  <c r="A1030"/>
  <c r="B1030"/>
  <c r="H1030"/>
  <c r="I1030"/>
  <c r="A1031"/>
  <c r="B1031"/>
  <c r="H1031"/>
  <c r="I1031"/>
  <c r="A1032"/>
  <c r="B1032"/>
  <c r="H1032"/>
  <c r="I1032"/>
  <c r="A1033"/>
  <c r="B1033"/>
  <c r="H1033"/>
  <c r="I1033"/>
  <c r="A1034"/>
  <c r="B1034"/>
  <c r="H1034"/>
  <c r="I1034"/>
  <c r="A1035"/>
  <c r="B1035"/>
  <c r="H1035"/>
  <c r="I1035"/>
  <c r="A1036"/>
  <c r="B1036"/>
  <c r="H1036"/>
  <c r="I1036"/>
  <c r="A1037"/>
  <c r="B1037"/>
  <c r="H1037"/>
  <c r="I1037"/>
  <c r="A1038"/>
  <c r="B1038"/>
  <c r="H1038"/>
  <c r="I1038"/>
  <c r="A1039"/>
  <c r="B1039"/>
  <c r="H1039"/>
  <c r="I1039"/>
  <c r="A1040"/>
  <c r="B1040"/>
  <c r="H1040"/>
  <c r="I1040"/>
  <c r="A1041"/>
  <c r="B1041"/>
  <c r="H1041"/>
  <c r="I1041"/>
  <c r="A1042"/>
  <c r="B1042"/>
  <c r="H1042"/>
  <c r="I1042"/>
  <c r="A1043"/>
  <c r="B1043"/>
  <c r="H1043"/>
  <c r="I1043"/>
  <c r="A1044"/>
  <c r="B1044"/>
  <c r="H1044"/>
  <c r="I1044"/>
  <c r="A1045"/>
  <c r="B1045"/>
  <c r="H1045"/>
  <c r="I1045"/>
  <c r="A1046"/>
  <c r="B1046"/>
  <c r="H1046"/>
  <c r="I1046"/>
  <c r="A1047"/>
  <c r="B1047"/>
  <c r="H1047"/>
  <c r="I1047"/>
  <c r="A1048"/>
  <c r="B1048"/>
  <c r="H1048"/>
  <c r="I1048"/>
  <c r="A1049"/>
  <c r="B1049"/>
  <c r="H1049"/>
  <c r="I1049"/>
  <c r="A1050"/>
  <c r="B1050"/>
  <c r="H1050"/>
  <c r="I1050"/>
  <c r="A1051"/>
  <c r="B1051"/>
  <c r="H1051"/>
  <c r="I1051"/>
  <c r="A1052"/>
  <c r="B1052"/>
  <c r="H1052"/>
  <c r="I1052"/>
  <c r="A1053"/>
  <c r="B1053"/>
  <c r="H1053"/>
  <c r="I1053"/>
  <c r="A1054"/>
  <c r="B1054"/>
  <c r="H1054"/>
  <c r="I1054"/>
  <c r="A1055"/>
  <c r="B1055"/>
  <c r="H1055"/>
  <c r="I1055"/>
  <c r="A1056"/>
  <c r="B1056"/>
  <c r="H1056"/>
  <c r="I1056"/>
  <c r="A1057"/>
  <c r="B1057"/>
  <c r="H1057"/>
  <c r="I1057"/>
  <c r="A1058"/>
  <c r="B1058"/>
  <c r="H1058"/>
  <c r="I1058"/>
  <c r="A1059"/>
  <c r="B1059"/>
  <c r="H1059"/>
  <c r="I1059"/>
  <c r="A1060"/>
  <c r="B1060"/>
  <c r="H1060"/>
  <c r="I1060"/>
  <c r="A1061"/>
  <c r="B1061"/>
  <c r="H1061"/>
  <c r="I1061"/>
  <c r="A1062"/>
  <c r="B1062"/>
  <c r="H1062"/>
  <c r="I1062"/>
  <c r="A1063"/>
  <c r="B1063"/>
  <c r="H1063"/>
  <c r="I1063"/>
  <c r="A1064"/>
  <c r="B1064"/>
  <c r="H1064"/>
  <c r="I1064"/>
  <c r="A1065"/>
  <c r="B1065"/>
  <c r="H1065"/>
  <c r="I1065"/>
  <c r="A1066"/>
  <c r="B1066"/>
  <c r="H1066"/>
  <c r="I1066"/>
  <c r="A1067"/>
  <c r="B1067"/>
  <c r="H1067"/>
  <c r="I1067"/>
  <c r="A1068"/>
  <c r="B1068"/>
  <c r="H1068"/>
  <c r="I1068"/>
  <c r="A1069"/>
  <c r="B1069"/>
  <c r="H1069"/>
  <c r="I1069"/>
  <c r="A1070"/>
  <c r="B1070"/>
  <c r="H1070"/>
  <c r="I1070"/>
  <c r="A1071"/>
  <c r="B1071"/>
  <c r="H1071"/>
  <c r="I1071"/>
  <c r="A1072"/>
  <c r="B1072"/>
  <c r="H1072"/>
  <c r="I1072"/>
  <c r="A1073"/>
  <c r="B1073"/>
  <c r="H1073"/>
  <c r="I1073"/>
  <c r="A1074"/>
  <c r="B1074"/>
  <c r="H1074"/>
  <c r="I1074"/>
  <c r="A1075"/>
  <c r="B1075"/>
  <c r="H1075"/>
  <c r="I1075"/>
  <c r="A1076"/>
  <c r="B1076"/>
  <c r="H1076"/>
  <c r="I1076"/>
  <c r="A1077"/>
  <c r="B1077"/>
  <c r="H1077"/>
  <c r="I1077"/>
  <c r="A1078"/>
  <c r="B1078"/>
  <c r="H1078"/>
  <c r="I1078"/>
  <c r="A1079"/>
  <c r="B1079"/>
  <c r="H1079"/>
  <c r="I1079"/>
  <c r="A1080"/>
  <c r="B1080"/>
  <c r="H1080"/>
  <c r="I1080"/>
  <c r="A1081"/>
  <c r="B1081"/>
  <c r="H1081"/>
  <c r="I1081"/>
  <c r="A1082"/>
  <c r="B1082"/>
  <c r="H1082"/>
  <c r="I1082"/>
  <c r="A1083"/>
  <c r="B1083"/>
  <c r="H1083"/>
  <c r="I1083"/>
  <c r="A1084"/>
  <c r="B1084"/>
  <c r="H1084"/>
  <c r="I1084"/>
  <c r="A1085"/>
  <c r="B1085"/>
  <c r="H1085"/>
  <c r="I1085"/>
  <c r="A1086"/>
  <c r="B1086"/>
  <c r="H1086"/>
  <c r="I1086"/>
  <c r="A1087"/>
  <c r="B1087"/>
  <c r="H1087"/>
  <c r="I1087"/>
  <c r="A1088"/>
  <c r="B1088"/>
  <c r="H1088"/>
  <c r="I1088"/>
  <c r="A1089"/>
  <c r="B1089"/>
  <c r="H1089"/>
  <c r="I1089"/>
  <c r="A1090"/>
  <c r="B1090"/>
  <c r="H1090"/>
  <c r="I1090"/>
  <c r="A1091"/>
  <c r="B1091"/>
  <c r="H1091"/>
  <c r="I1091"/>
  <c r="A1092"/>
  <c r="B1092"/>
  <c r="H1092"/>
  <c r="I1092"/>
  <c r="A1093"/>
  <c r="B1093"/>
  <c r="H1093"/>
  <c r="I1093"/>
  <c r="A1094"/>
  <c r="B1094"/>
  <c r="H1094"/>
  <c r="I1094"/>
  <c r="A1095"/>
  <c r="B1095"/>
  <c r="H1095"/>
  <c r="I1095"/>
  <c r="A1096"/>
  <c r="B1096"/>
  <c r="H1096"/>
  <c r="I1096"/>
  <c r="A1097"/>
  <c r="B1097"/>
  <c r="I1097"/>
  <c r="A1098"/>
  <c r="B1098"/>
  <c r="H1098"/>
  <c r="I1098"/>
  <c r="A1099"/>
  <c r="B1099"/>
  <c r="H1099"/>
  <c r="I1099"/>
  <c r="A1100"/>
  <c r="B1100"/>
  <c r="H1100"/>
  <c r="I1100"/>
  <c r="A1101"/>
  <c r="B1101"/>
  <c r="H1101"/>
  <c r="I1101"/>
  <c r="A1102"/>
  <c r="B1102"/>
  <c r="H1102"/>
  <c r="I1102"/>
  <c r="A1103"/>
  <c r="B1103"/>
  <c r="H1103"/>
  <c r="I1103"/>
  <c r="A1104"/>
  <c r="B1104"/>
  <c r="H1104"/>
  <c r="I1104"/>
  <c r="A1105"/>
  <c r="B1105"/>
  <c r="H1105"/>
  <c r="I1105"/>
  <c r="A1106"/>
  <c r="B1106"/>
  <c r="H1106"/>
  <c r="I1106"/>
  <c r="A1107"/>
  <c r="B1107"/>
  <c r="H1107"/>
  <c r="I1107"/>
  <c r="A1108"/>
  <c r="B1108"/>
  <c r="H1108"/>
  <c r="I1108"/>
  <c r="A1109"/>
  <c r="B1109"/>
  <c r="H1109"/>
  <c r="I1109"/>
  <c r="A1110"/>
  <c r="B1110"/>
  <c r="H1110"/>
  <c r="I1110"/>
  <c r="A1111"/>
  <c r="B1111"/>
  <c r="H1111"/>
  <c r="I1111"/>
  <c r="A1112"/>
  <c r="B1112"/>
  <c r="H1112"/>
  <c r="I1112"/>
  <c r="A1113"/>
  <c r="B1113"/>
  <c r="H1113"/>
  <c r="I1113"/>
  <c r="A1114"/>
  <c r="B1114"/>
  <c r="H1114"/>
  <c r="I1114"/>
  <c r="A1115"/>
  <c r="B1115"/>
  <c r="H1115"/>
  <c r="I1115"/>
  <c r="A1116"/>
  <c r="B1116"/>
  <c r="H1116"/>
  <c r="I1116"/>
  <c r="A1117"/>
  <c r="B1117"/>
  <c r="H1117"/>
  <c r="I1117"/>
  <c r="A1118"/>
  <c r="B1118"/>
  <c r="H1118"/>
  <c r="I1118"/>
  <c r="A1119"/>
  <c r="B1119"/>
  <c r="H1119"/>
  <c r="I1119"/>
  <c r="A1120"/>
  <c r="B1120"/>
  <c r="H1120"/>
  <c r="I1120"/>
  <c r="A1121"/>
  <c r="B1121"/>
  <c r="H1121"/>
  <c r="I1121"/>
  <c r="A1122"/>
  <c r="B1122"/>
  <c r="H1122"/>
  <c r="I1122"/>
  <c r="A1123"/>
  <c r="B1123"/>
  <c r="H1123"/>
  <c r="I1123"/>
  <c r="A1124"/>
  <c r="B1124"/>
  <c r="H1124"/>
  <c r="I1124"/>
  <c r="A1125"/>
  <c r="B1125"/>
  <c r="H1125"/>
  <c r="I1125"/>
  <c r="A1126"/>
  <c r="B1126"/>
  <c r="H1126"/>
  <c r="I1126"/>
  <c r="A1127"/>
  <c r="B1127"/>
  <c r="H1127"/>
  <c r="I1127"/>
  <c r="A1128"/>
  <c r="B1128"/>
  <c r="H1128"/>
  <c r="I1128"/>
  <c r="A1129"/>
  <c r="B1129"/>
  <c r="H1129"/>
  <c r="I1129"/>
  <c r="A1130"/>
  <c r="B1130"/>
  <c r="H1130"/>
  <c r="I1130"/>
  <c r="A1131"/>
  <c r="B1131"/>
  <c r="H1131"/>
  <c r="I1131"/>
  <c r="A1132"/>
  <c r="B1132"/>
  <c r="H1132"/>
  <c r="I1132"/>
  <c r="A1133"/>
  <c r="B1133"/>
  <c r="H1133"/>
  <c r="I1133"/>
  <c r="A1134"/>
  <c r="B1134"/>
  <c r="H1134"/>
  <c r="I1134"/>
  <c r="A1135"/>
  <c r="B1135"/>
  <c r="H1135"/>
  <c r="I1135"/>
  <c r="A1136"/>
  <c r="B1136"/>
  <c r="H1136"/>
  <c r="I1136"/>
  <c r="A1137"/>
  <c r="B1137"/>
  <c r="H1137"/>
  <c r="I1137"/>
  <c r="A1138"/>
  <c r="B1138"/>
  <c r="H1138"/>
  <c r="I1138"/>
  <c r="A1139"/>
  <c r="B1139"/>
  <c r="H1139"/>
  <c r="I1139"/>
  <c r="A1140"/>
  <c r="B1140"/>
  <c r="H1140"/>
  <c r="I1140"/>
  <c r="A1141"/>
  <c r="B1141"/>
  <c r="H1141"/>
  <c r="I1141"/>
  <c r="A1142"/>
  <c r="B1142"/>
  <c r="H1142"/>
  <c r="I1142"/>
  <c r="A1143"/>
  <c r="B1143"/>
  <c r="H1143"/>
  <c r="I1143"/>
  <c r="A1144"/>
  <c r="B1144"/>
  <c r="H1144"/>
  <c r="I1144"/>
  <c r="A1145"/>
  <c r="B1145"/>
  <c r="H1145"/>
  <c r="I1145"/>
  <c r="A1146"/>
  <c r="B1146"/>
  <c r="H1146"/>
  <c r="I1146"/>
  <c r="A1147"/>
  <c r="B1147"/>
  <c r="H1147"/>
  <c r="I1147"/>
  <c r="A1148"/>
  <c r="B1148"/>
  <c r="H1148"/>
  <c r="I1148"/>
  <c r="A1149"/>
  <c r="B1149"/>
  <c r="H1149"/>
  <c r="I1149"/>
  <c r="A1150"/>
  <c r="B1150"/>
  <c r="H1150"/>
  <c r="I1150"/>
  <c r="A1151"/>
  <c r="B1151"/>
  <c r="H1151"/>
  <c r="I1151"/>
  <c r="A1152"/>
  <c r="B1152"/>
  <c r="H1152"/>
  <c r="I1152"/>
  <c r="A1153"/>
  <c r="B1153"/>
  <c r="H1153"/>
  <c r="I1153"/>
  <c r="A1154"/>
  <c r="B1154"/>
  <c r="H1154"/>
  <c r="I1154"/>
  <c r="A1155"/>
  <c r="B1155"/>
  <c r="H1155"/>
  <c r="I1155"/>
  <c r="A1156"/>
  <c r="B1156"/>
  <c r="H1156"/>
  <c r="I1156"/>
  <c r="A1157"/>
  <c r="B1157"/>
  <c r="H1157"/>
  <c r="I1157"/>
  <c r="A1158"/>
  <c r="B1158"/>
  <c r="H1158"/>
  <c r="I1158"/>
  <c r="A1159"/>
  <c r="B1159"/>
  <c r="H1159"/>
  <c r="I1159"/>
  <c r="A1160"/>
  <c r="B1160"/>
  <c r="H1160"/>
  <c r="I1160"/>
  <c r="A1161"/>
  <c r="B1161"/>
  <c r="H1161"/>
  <c r="I1161"/>
  <c r="A1162"/>
  <c r="B1162"/>
  <c r="H1162"/>
  <c r="I1162"/>
  <c r="A1163"/>
  <c r="B1163"/>
  <c r="H1163"/>
  <c r="I1163"/>
  <c r="A1164"/>
  <c r="B1164"/>
  <c r="H1164"/>
  <c r="I1164"/>
  <c r="A1165"/>
  <c r="B1165"/>
  <c r="H1165"/>
  <c r="I1165"/>
  <c r="A1166"/>
  <c r="B1166"/>
  <c r="H1166"/>
  <c r="I1166"/>
  <c r="A1167"/>
  <c r="B1167"/>
  <c r="H1167"/>
  <c r="I1167"/>
  <c r="A1168"/>
  <c r="B1168"/>
  <c r="H1168"/>
  <c r="I1168"/>
  <c r="A1169"/>
  <c r="B1169"/>
  <c r="H1169"/>
  <c r="I1169"/>
  <c r="A1170"/>
  <c r="B1170"/>
  <c r="H1170"/>
  <c r="I1170"/>
  <c r="A1171"/>
  <c r="B1171"/>
  <c r="H1171"/>
  <c r="I1171"/>
  <c r="A1172"/>
  <c r="B1172"/>
  <c r="H1172"/>
  <c r="I1172"/>
  <c r="A1173"/>
  <c r="B1173"/>
  <c r="H1173"/>
  <c r="I1173"/>
  <c r="A1174"/>
  <c r="B1174"/>
  <c r="H1174"/>
  <c r="I1174"/>
  <c r="A1175"/>
  <c r="B1175"/>
  <c r="H1175"/>
  <c r="I1175"/>
  <c r="A1176"/>
  <c r="B1176"/>
  <c r="H1176"/>
  <c r="I1176"/>
  <c r="A1177"/>
  <c r="B1177"/>
  <c r="H1177"/>
  <c r="I1177"/>
  <c r="A1178"/>
  <c r="B1178"/>
  <c r="H1178"/>
  <c r="I1178"/>
  <c r="A1179"/>
  <c r="B1179"/>
  <c r="H1179"/>
  <c r="I1179"/>
  <c r="A1180"/>
  <c r="B1180"/>
  <c r="H1180"/>
  <c r="I1180"/>
  <c r="A1181"/>
  <c r="B1181"/>
  <c r="H1181"/>
  <c r="I1181"/>
  <c r="A1182"/>
  <c r="B1182"/>
  <c r="H1182"/>
  <c r="I1182"/>
  <c r="A1183"/>
  <c r="B1183"/>
  <c r="H1183"/>
  <c r="I1183"/>
  <c r="A1184"/>
  <c r="B1184"/>
  <c r="H1184"/>
  <c r="I1184"/>
  <c r="A1185"/>
  <c r="B1185"/>
  <c r="H1185"/>
  <c r="I1185"/>
  <c r="A1186"/>
  <c r="B1186"/>
  <c r="H1186"/>
  <c r="I1186"/>
  <c r="A1187"/>
  <c r="B1187"/>
  <c r="H1187"/>
  <c r="I1187"/>
  <c r="A1188"/>
  <c r="B1188"/>
  <c r="H1188"/>
  <c r="I1188"/>
  <c r="A1189"/>
  <c r="B1189"/>
  <c r="H1189"/>
  <c r="I1189"/>
  <c r="A1190"/>
  <c r="B1190"/>
  <c r="H1190"/>
  <c r="I1190"/>
  <c r="A1191"/>
  <c r="B1191"/>
  <c r="H1191"/>
  <c r="I1191"/>
  <c r="A1192"/>
  <c r="B1192"/>
  <c r="H1192"/>
  <c r="I1192"/>
  <c r="A1193"/>
  <c r="B1193"/>
  <c r="H1193"/>
  <c r="I1193"/>
  <c r="A1194"/>
  <c r="B1194"/>
  <c r="H1194"/>
  <c r="I1194"/>
  <c r="A1195"/>
  <c r="B1195"/>
  <c r="H1195"/>
  <c r="I1195"/>
  <c r="A1196"/>
  <c r="B1196"/>
  <c r="H1196"/>
  <c r="I1196"/>
  <c r="A1197"/>
  <c r="B1197"/>
  <c r="H1197"/>
  <c r="I1197"/>
  <c r="A1198"/>
  <c r="B1198"/>
  <c r="H1198"/>
  <c r="I1198"/>
  <c r="A1199"/>
  <c r="B1199"/>
  <c r="H1199"/>
  <c r="I1199"/>
  <c r="A1200"/>
  <c r="B1200"/>
  <c r="H1200"/>
  <c r="I1200"/>
  <c r="A1201"/>
  <c r="B1201"/>
  <c r="H1201"/>
  <c r="I1201"/>
  <c r="A1202"/>
  <c r="B1202"/>
  <c r="H1202"/>
  <c r="I1202"/>
  <c r="A1203"/>
  <c r="B1203"/>
  <c r="H1203"/>
  <c r="I1203"/>
  <c r="A1204"/>
  <c r="B1204"/>
  <c r="H1204"/>
  <c r="I1204"/>
  <c r="A1205"/>
  <c r="B1205"/>
  <c r="H1205"/>
  <c r="I1205"/>
  <c r="A1206"/>
  <c r="B1206"/>
  <c r="H1206"/>
  <c r="I1206"/>
  <c r="A1207"/>
  <c r="B1207"/>
  <c r="H1207"/>
  <c r="I1207"/>
  <c r="A1208"/>
  <c r="B1208"/>
  <c r="H1208"/>
  <c r="I1208"/>
  <c r="A1209"/>
  <c r="B1209"/>
  <c r="H1209"/>
  <c r="I1209"/>
  <c r="A1210"/>
  <c r="B1210"/>
  <c r="H1210"/>
  <c r="I1210"/>
  <c r="A1211"/>
  <c r="B1211"/>
  <c r="H1211"/>
  <c r="I1211"/>
  <c r="A1212"/>
  <c r="B1212"/>
  <c r="H1212"/>
  <c r="I1212"/>
  <c r="A1213"/>
  <c r="B1213"/>
  <c r="H1213"/>
  <c r="I1213"/>
  <c r="A1214"/>
  <c r="B1214"/>
  <c r="H1214"/>
  <c r="I1214"/>
  <c r="A1215"/>
  <c r="B1215"/>
  <c r="H1215"/>
  <c r="I1215"/>
  <c r="A1216"/>
  <c r="B1216"/>
  <c r="H1216"/>
  <c r="I1216"/>
  <c r="A1217"/>
  <c r="B1217"/>
  <c r="H1217"/>
  <c r="I1217"/>
  <c r="A1218"/>
  <c r="B1218"/>
  <c r="H1218"/>
  <c r="I1218"/>
  <c r="A1219"/>
  <c r="B1219"/>
  <c r="H1219"/>
  <c r="I1219"/>
  <c r="A1220"/>
  <c r="B1220"/>
  <c r="H1220"/>
  <c r="I1220"/>
  <c r="A1221"/>
  <c r="B1221"/>
  <c r="H1221"/>
  <c r="I1221"/>
  <c r="A1222"/>
  <c r="B1222"/>
  <c r="H1222"/>
  <c r="I1222"/>
  <c r="A1223"/>
  <c r="B1223"/>
  <c r="H1223"/>
  <c r="I1223"/>
  <c r="A1224"/>
  <c r="B1224"/>
  <c r="H1224"/>
  <c r="I1224"/>
  <c r="A1225"/>
  <c r="B1225"/>
  <c r="H1225"/>
  <c r="I1225"/>
  <c r="A1226"/>
  <c r="B1226"/>
  <c r="H1226"/>
  <c r="I1226"/>
  <c r="A1227"/>
  <c r="B1227"/>
  <c r="H1227"/>
  <c r="I1227"/>
  <c r="A1228"/>
  <c r="B1228"/>
  <c r="H1228"/>
  <c r="I1228"/>
  <c r="A1229"/>
  <c r="B1229"/>
  <c r="H1229"/>
  <c r="I1229"/>
  <c r="A1230"/>
  <c r="B1230"/>
  <c r="H1230"/>
  <c r="I1230"/>
  <c r="A1231"/>
  <c r="B1231"/>
  <c r="H1231"/>
  <c r="I1231"/>
  <c r="A1232"/>
  <c r="B1232"/>
  <c r="H1232"/>
  <c r="I1232"/>
  <c r="A1233"/>
  <c r="B1233"/>
  <c r="H1233"/>
  <c r="I1233"/>
  <c r="A1234"/>
  <c r="B1234"/>
  <c r="H1234"/>
  <c r="I1234"/>
  <c r="A1235"/>
  <c r="B1235"/>
  <c r="H1235"/>
  <c r="I1235"/>
  <c r="A1236"/>
  <c r="B1236"/>
  <c r="H1236"/>
  <c r="I1236"/>
  <c r="A1237"/>
  <c r="B1237"/>
  <c r="H1237"/>
  <c r="I1237"/>
  <c r="A1238"/>
  <c r="B1238"/>
  <c r="H1238"/>
  <c r="I1238"/>
  <c r="A1239"/>
  <c r="B1239"/>
  <c r="H1239"/>
  <c r="I1239"/>
  <c r="A1240"/>
  <c r="B1240"/>
  <c r="H1240"/>
  <c r="I1240"/>
  <c r="A1241"/>
  <c r="B1241"/>
  <c r="H1241"/>
  <c r="I1241"/>
  <c r="A1242"/>
  <c r="B1242"/>
  <c r="H1242"/>
  <c r="I1242"/>
  <c r="A1243"/>
  <c r="B1243"/>
  <c r="H1243"/>
  <c r="I1243"/>
  <c r="A1244"/>
  <c r="B1244"/>
  <c r="H1244"/>
  <c r="I1244"/>
  <c r="A1245"/>
  <c r="B1245"/>
  <c r="H1245"/>
  <c r="I1245"/>
  <c r="A1246"/>
  <c r="B1246"/>
  <c r="H1246"/>
  <c r="I1246"/>
  <c r="A1247"/>
  <c r="B1247"/>
  <c r="H1247"/>
  <c r="I1247"/>
  <c r="A1248"/>
  <c r="B1248"/>
  <c r="H1248"/>
  <c r="I1248"/>
  <c r="A1249"/>
  <c r="B1249"/>
  <c r="H1249"/>
  <c r="I1249"/>
  <c r="A1250"/>
  <c r="B1250"/>
  <c r="H1250"/>
  <c r="I1250"/>
  <c r="A1251"/>
  <c r="B1251"/>
  <c r="H1251"/>
  <c r="I1251"/>
  <c r="A1252"/>
  <c r="B1252"/>
  <c r="H1252"/>
  <c r="I1252"/>
  <c r="A1253"/>
  <c r="B1253"/>
  <c r="H1253"/>
  <c r="I1253"/>
  <c r="A1254"/>
  <c r="B1254"/>
  <c r="H1254"/>
  <c r="I1254"/>
  <c r="A1255"/>
  <c r="B1255"/>
  <c r="H1255"/>
  <c r="I1255"/>
  <c r="A1256"/>
  <c r="B1256"/>
  <c r="H1256"/>
  <c r="I1256"/>
  <c r="A1257"/>
  <c r="B1257"/>
  <c r="H1257"/>
  <c r="I1257"/>
  <c r="A1258"/>
  <c r="B1258"/>
  <c r="H1258"/>
  <c r="I1258"/>
  <c r="A1259"/>
  <c r="B1259"/>
  <c r="H1259"/>
  <c r="I1259"/>
  <c r="A1260"/>
  <c r="B1260"/>
  <c r="H1260"/>
  <c r="I1260"/>
  <c r="A1261"/>
  <c r="B1261"/>
  <c r="H1261"/>
  <c r="I1261"/>
  <c r="A1262"/>
  <c r="B1262"/>
  <c r="H1262"/>
  <c r="I1262"/>
  <c r="A1263"/>
  <c r="B1263"/>
  <c r="H1263"/>
  <c r="I1263"/>
  <c r="A1264"/>
  <c r="B1264"/>
  <c r="H1264"/>
  <c r="I1264"/>
  <c r="A1265"/>
  <c r="B1265"/>
  <c r="H1265"/>
  <c r="I1265"/>
  <c r="A1266"/>
  <c r="B1266"/>
  <c r="H1266"/>
  <c r="I1266"/>
  <c r="A1267"/>
  <c r="B1267"/>
  <c r="H1267"/>
  <c r="I1267"/>
  <c r="A1268"/>
  <c r="B1268"/>
  <c r="H1268"/>
  <c r="I1268"/>
  <c r="A1269"/>
  <c r="B1269"/>
  <c r="H1269"/>
  <c r="I1269"/>
  <c r="A1270"/>
  <c r="B1270"/>
  <c r="H1270"/>
  <c r="I1270"/>
  <c r="A1271"/>
  <c r="B1271"/>
  <c r="H1271"/>
  <c r="I1271"/>
  <c r="A1272"/>
  <c r="B1272"/>
  <c r="H1272"/>
  <c r="I1272"/>
  <c r="A1273"/>
  <c r="B1273"/>
  <c r="H1273"/>
  <c r="I1273"/>
  <c r="A1274"/>
  <c r="B1274"/>
  <c r="H1274"/>
  <c r="I1274"/>
  <c r="A1275"/>
  <c r="B1275"/>
  <c r="H1275"/>
  <c r="I1275"/>
  <c r="A1276"/>
  <c r="B1276"/>
  <c r="H1276"/>
  <c r="I1276"/>
  <c r="A1277"/>
  <c r="B1277"/>
  <c r="H1277"/>
  <c r="I1277"/>
  <c r="A1278"/>
  <c r="B1278"/>
  <c r="H1278"/>
  <c r="I1278"/>
  <c r="A1279"/>
  <c r="B1279"/>
  <c r="H1279"/>
  <c r="I1279"/>
  <c r="A1280"/>
  <c r="B1280"/>
  <c r="H1280"/>
  <c r="I1280"/>
  <c r="A1281"/>
  <c r="B1281"/>
  <c r="H1281"/>
  <c r="I1281"/>
  <c r="A1282"/>
  <c r="B1282"/>
  <c r="H1282"/>
  <c r="I1282"/>
  <c r="A1283"/>
  <c r="B1283"/>
  <c r="H1283"/>
  <c r="I1283"/>
  <c r="A1284"/>
  <c r="B1284"/>
  <c r="H1284"/>
  <c r="I1284"/>
  <c r="A1285"/>
  <c r="B1285"/>
  <c r="H1285"/>
  <c r="I1285"/>
  <c r="A1286"/>
  <c r="B1286"/>
  <c r="H1286"/>
  <c r="I1286"/>
  <c r="A1287"/>
  <c r="B1287"/>
  <c r="H1287"/>
  <c r="I1287"/>
  <c r="A1288"/>
  <c r="B1288"/>
  <c r="H1288"/>
  <c r="I1288"/>
  <c r="A1289"/>
  <c r="B1289"/>
  <c r="H1289"/>
  <c r="I1289"/>
  <c r="A1290"/>
  <c r="B1290"/>
  <c r="H1290"/>
  <c r="I1290"/>
  <c r="A1291"/>
  <c r="B1291"/>
  <c r="H1291"/>
  <c r="I1291"/>
  <c r="A1292"/>
  <c r="B1292"/>
  <c r="H1292"/>
  <c r="I1292"/>
  <c r="A1293"/>
  <c r="B1293"/>
  <c r="H1293"/>
  <c r="I1293"/>
  <c r="A1294"/>
  <c r="B1294"/>
  <c r="H1294"/>
  <c r="I1294"/>
  <c r="A1295"/>
  <c r="B1295"/>
  <c r="H1295"/>
  <c r="I1295"/>
  <c r="A1296"/>
  <c r="B1296"/>
  <c r="H1296"/>
  <c r="I1296"/>
  <c r="A1297"/>
  <c r="B1297"/>
  <c r="H1297"/>
  <c r="I1297"/>
  <c r="A1298"/>
  <c r="B1298"/>
  <c r="H1298"/>
  <c r="I1298"/>
  <c r="A1299"/>
  <c r="B1299"/>
  <c r="H1299"/>
  <c r="I1299"/>
  <c r="A1300"/>
  <c r="B1300"/>
  <c r="H1300"/>
  <c r="I1300"/>
  <c r="A1301"/>
  <c r="B1301"/>
  <c r="H1301"/>
  <c r="I1301"/>
  <c r="A1302"/>
  <c r="B1302"/>
  <c r="H1302"/>
  <c r="I1302"/>
  <c r="A1303"/>
  <c r="B1303"/>
  <c r="H1303"/>
  <c r="I1303"/>
  <c r="A1304"/>
  <c r="B1304"/>
  <c r="H1304"/>
  <c r="I1304"/>
  <c r="A1305"/>
  <c r="B1305"/>
  <c r="H1305"/>
  <c r="I1305"/>
  <c r="A1306"/>
  <c r="B1306"/>
  <c r="H1306"/>
  <c r="I1306"/>
  <c r="A1307"/>
  <c r="B1307"/>
  <c r="H1307"/>
  <c r="I1307"/>
  <c r="A1308"/>
  <c r="B1308"/>
  <c r="H1308"/>
  <c r="I1308"/>
  <c r="A1309"/>
  <c r="B1309"/>
  <c r="H1309"/>
  <c r="I1309"/>
  <c r="A1310"/>
  <c r="B1310"/>
  <c r="H1310"/>
  <c r="I1310"/>
  <c r="A1311"/>
  <c r="B1311"/>
  <c r="H1311"/>
  <c r="I1311"/>
  <c r="A1312"/>
  <c r="B1312"/>
  <c r="H1312"/>
  <c r="I1312"/>
  <c r="A1313"/>
  <c r="B1313"/>
  <c r="H1313"/>
  <c r="I1313"/>
  <c r="A1314"/>
  <c r="B1314"/>
  <c r="H1314"/>
  <c r="I1314"/>
  <c r="A1315"/>
  <c r="B1315"/>
  <c r="H1315"/>
  <c r="I1315"/>
  <c r="A1316"/>
  <c r="B1316"/>
  <c r="H1316"/>
  <c r="I1316"/>
  <c r="A1317"/>
  <c r="B1317"/>
  <c r="H1317"/>
  <c r="I1317"/>
  <c r="A1318"/>
  <c r="B1318"/>
  <c r="H1318"/>
  <c r="I1318"/>
  <c r="A1319"/>
  <c r="B1319"/>
  <c r="H1319"/>
  <c r="I1319"/>
  <c r="A1320"/>
  <c r="B1320"/>
  <c r="H1320"/>
  <c r="I1320"/>
  <c r="A1321"/>
  <c r="B1321"/>
  <c r="H1321"/>
  <c r="I1321"/>
  <c r="A1322"/>
  <c r="B1322"/>
  <c r="H1322"/>
  <c r="I1322"/>
  <c r="B9"/>
  <c r="A9"/>
  <c r="AN10" i="32917"/>
  <c r="AW10" s="1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E97"/>
  <c r="AF97"/>
  <c r="AE98"/>
  <c r="AF98"/>
  <c r="AE99"/>
  <c r="AF99"/>
  <c r="AE100"/>
  <c r="AF100"/>
  <c r="AE101"/>
  <c r="AF101"/>
  <c r="AE102"/>
  <c r="AF102"/>
  <c r="AE103"/>
  <c r="AF103"/>
  <c r="AE104"/>
  <c r="AF104"/>
  <c r="AE105"/>
  <c r="AF105"/>
  <c r="AE106"/>
  <c r="AF106"/>
  <c r="AE107"/>
  <c r="AF107"/>
  <c r="AE108"/>
  <c r="AF108"/>
  <c r="AE109"/>
  <c r="AF109"/>
  <c r="AE110"/>
  <c r="AF110"/>
  <c r="AE111"/>
  <c r="AF111"/>
  <c r="AE112"/>
  <c r="AF112"/>
  <c r="AE113"/>
  <c r="AF113"/>
  <c r="AE114"/>
  <c r="AF114"/>
  <c r="AE115"/>
  <c r="AF115"/>
  <c r="AE116"/>
  <c r="AF116"/>
  <c r="AE117"/>
  <c r="AF117"/>
  <c r="AE118"/>
  <c r="AF118"/>
  <c r="AE119"/>
  <c r="AF119"/>
  <c r="AE120"/>
  <c r="AF120"/>
  <c r="AE121"/>
  <c r="AF121"/>
  <c r="AE122"/>
  <c r="AF122"/>
  <c r="AE123"/>
  <c r="AF123"/>
  <c r="AE124"/>
  <c r="AF124"/>
  <c r="AE125"/>
  <c r="AF125"/>
  <c r="AE126"/>
  <c r="AF126"/>
  <c r="AE127"/>
  <c r="AF127"/>
  <c r="AE128"/>
  <c r="AF128"/>
  <c r="AE129"/>
  <c r="AF129"/>
  <c r="AE130"/>
  <c r="AF130"/>
  <c r="AE131"/>
  <c r="AF131"/>
  <c r="AE132"/>
  <c r="AF132"/>
  <c r="AE133"/>
  <c r="AF133"/>
  <c r="AE134"/>
  <c r="AF134"/>
  <c r="AE135"/>
  <c r="AF135"/>
  <c r="AE136"/>
  <c r="AF136"/>
  <c r="AE137"/>
  <c r="AF137"/>
  <c r="AE138"/>
  <c r="AF138"/>
  <c r="AE139"/>
  <c r="AF139"/>
  <c r="AE140"/>
  <c r="AF140"/>
  <c r="AE141"/>
  <c r="AF141"/>
  <c r="AE142"/>
  <c r="AF142"/>
  <c r="AE143"/>
  <c r="AF143"/>
  <c r="AE144"/>
  <c r="AF144"/>
  <c r="AE145"/>
  <c r="AF145"/>
  <c r="AE146"/>
  <c r="AF146"/>
  <c r="AE147"/>
  <c r="AF147"/>
  <c r="AE148"/>
  <c r="AF148"/>
  <c r="AE149"/>
  <c r="AF149"/>
  <c r="AE150"/>
  <c r="AF150"/>
  <c r="AE151"/>
  <c r="AF151"/>
  <c r="AE152"/>
  <c r="AF152"/>
  <c r="AE153"/>
  <c r="AF153"/>
  <c r="AE154"/>
  <c r="AF154"/>
  <c r="AE155"/>
  <c r="AF155"/>
  <c r="AE156"/>
  <c r="AF156"/>
  <c r="AE157"/>
  <c r="AF157"/>
  <c r="AE158"/>
  <c r="AF158"/>
  <c r="AE159"/>
  <c r="AF159"/>
  <c r="AE160"/>
  <c r="AF160"/>
  <c r="AE161"/>
  <c r="AF161"/>
  <c r="AE162"/>
  <c r="AF162"/>
  <c r="AE163"/>
  <c r="AF163"/>
  <c r="AE164"/>
  <c r="AF164"/>
  <c r="AE165"/>
  <c r="AF165"/>
  <c r="AE166"/>
  <c r="AF166"/>
  <c r="AE167"/>
  <c r="AF167"/>
  <c r="AE168"/>
  <c r="AF168"/>
  <c r="AE169"/>
  <c r="AF169"/>
  <c r="AE170"/>
  <c r="AF170"/>
  <c r="AE171"/>
  <c r="AF171"/>
  <c r="AE172"/>
  <c r="AF172"/>
  <c r="AE173"/>
  <c r="AF173"/>
  <c r="AE174"/>
  <c r="AF174"/>
  <c r="AE175"/>
  <c r="AF175"/>
  <c r="AE176"/>
  <c r="AF176"/>
  <c r="AE177"/>
  <c r="AF177"/>
  <c r="AE178"/>
  <c r="AF178"/>
  <c r="AE179"/>
  <c r="AF179"/>
  <c r="AE180"/>
  <c r="AF180"/>
  <c r="AE181"/>
  <c r="AF181"/>
  <c r="AE182"/>
  <c r="AF182"/>
  <c r="AE183"/>
  <c r="AF183"/>
  <c r="AE184"/>
  <c r="AF184"/>
  <c r="AE185"/>
  <c r="AF185"/>
  <c r="AE186"/>
  <c r="AF186"/>
  <c r="AE187"/>
  <c r="AF187"/>
  <c r="AE188"/>
  <c r="AF188"/>
  <c r="AE189"/>
  <c r="AF189"/>
  <c r="AE190"/>
  <c r="AF190"/>
  <c r="AE191"/>
  <c r="AF191"/>
  <c r="AE192"/>
  <c r="AF192"/>
  <c r="AE193"/>
  <c r="AF193"/>
  <c r="AE194"/>
  <c r="AF194"/>
  <c r="AE195"/>
  <c r="AF195"/>
  <c r="AE196"/>
  <c r="AF196"/>
  <c r="AE197"/>
  <c r="AF197"/>
  <c r="AE198"/>
  <c r="AF198"/>
  <c r="AE199"/>
  <c r="AF199"/>
  <c r="AE200"/>
  <c r="AF200"/>
  <c r="AE201"/>
  <c r="AF201"/>
  <c r="AE202"/>
  <c r="AF202"/>
  <c r="AE203"/>
  <c r="AF203"/>
  <c r="AE204"/>
  <c r="AF204"/>
  <c r="AE205"/>
  <c r="AF205"/>
  <c r="AE206"/>
  <c r="AF206"/>
  <c r="AE207"/>
  <c r="AF207"/>
  <c r="AE208"/>
  <c r="AF208"/>
  <c r="AE209"/>
  <c r="AF209"/>
  <c r="AE210"/>
  <c r="AF210"/>
  <c r="AE211"/>
  <c r="AF211"/>
  <c r="AE212"/>
  <c r="AF212"/>
  <c r="AE213"/>
  <c r="AF213"/>
  <c r="AE214"/>
  <c r="AF214"/>
  <c r="AE215"/>
  <c r="AF215"/>
  <c r="AE216"/>
  <c r="AF216"/>
  <c r="AE217"/>
  <c r="AF217"/>
  <c r="AE218"/>
  <c r="AF218"/>
  <c r="AE219"/>
  <c r="AF219"/>
  <c r="AE220"/>
  <c r="AF220"/>
  <c r="AE221"/>
  <c r="AF221"/>
  <c r="AE222"/>
  <c r="AF222"/>
  <c r="AE223"/>
  <c r="AF223"/>
  <c r="AE224"/>
  <c r="AF224"/>
  <c r="AE225"/>
  <c r="AF225"/>
  <c r="AE226"/>
  <c r="AF226"/>
  <c r="AE227"/>
  <c r="AF227"/>
  <c r="AE228"/>
  <c r="AF228"/>
  <c r="AE229"/>
  <c r="AF229"/>
  <c r="AE230"/>
  <c r="AF230"/>
  <c r="AE231"/>
  <c r="AF231"/>
  <c r="AE232"/>
  <c r="AF232"/>
  <c r="AE233"/>
  <c r="AF233"/>
  <c r="AE234"/>
  <c r="AF234"/>
  <c r="AE235"/>
  <c r="AF235"/>
  <c r="AE236"/>
  <c r="AF236"/>
  <c r="AE237"/>
  <c r="AF237"/>
  <c r="AE238"/>
  <c r="AF238"/>
  <c r="AE239"/>
  <c r="AF239"/>
  <c r="AE240"/>
  <c r="AF240"/>
  <c r="AE241"/>
  <c r="AF241"/>
  <c r="AE242"/>
  <c r="AF242"/>
  <c r="AE243"/>
  <c r="AF243"/>
  <c r="AE244"/>
  <c r="AF244"/>
  <c r="AE245"/>
  <c r="AF245"/>
  <c r="AE246"/>
  <c r="AF246"/>
  <c r="AE247"/>
  <c r="AF247"/>
  <c r="AE248"/>
  <c r="AF248"/>
  <c r="AE249"/>
  <c r="AF249"/>
  <c r="AE250"/>
  <c r="AF250"/>
  <c r="AE251"/>
  <c r="AF251"/>
  <c r="AE252"/>
  <c r="AF252"/>
  <c r="AE253"/>
  <c r="AF253"/>
  <c r="AE254"/>
  <c r="AF254"/>
  <c r="AE255"/>
  <c r="AF255"/>
  <c r="AE256"/>
  <c r="AF256"/>
  <c r="AE257"/>
  <c r="AF257"/>
  <c r="AE258"/>
  <c r="AF258"/>
  <c r="AE259"/>
  <c r="AF259"/>
  <c r="AE260"/>
  <c r="AF260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F11"/>
  <c r="AE11"/>
  <c r="M111"/>
  <c r="N111"/>
  <c r="O111"/>
  <c r="M112"/>
  <c r="N112"/>
  <c r="O112"/>
  <c r="M113"/>
  <c r="N113"/>
  <c r="O113"/>
  <c r="M114"/>
  <c r="N114"/>
  <c r="O114"/>
  <c r="M115"/>
  <c r="N115"/>
  <c r="O115"/>
  <c r="M116"/>
  <c r="N116"/>
  <c r="O116"/>
  <c r="M117"/>
  <c r="N117"/>
  <c r="O117"/>
  <c r="M118"/>
  <c r="N118"/>
  <c r="O118"/>
  <c r="M119"/>
  <c r="N119"/>
  <c r="O119"/>
  <c r="M120"/>
  <c r="N120"/>
  <c r="O120"/>
  <c r="M121"/>
  <c r="N121"/>
  <c r="O121"/>
  <c r="M122"/>
  <c r="N122"/>
  <c r="O122"/>
  <c r="M123"/>
  <c r="N123"/>
  <c r="O123"/>
  <c r="M124"/>
  <c r="N124"/>
  <c r="O124"/>
  <c r="M125"/>
  <c r="N125"/>
  <c r="O125"/>
  <c r="M126"/>
  <c r="N126"/>
  <c r="O126"/>
  <c r="M127"/>
  <c r="N127"/>
  <c r="O127"/>
  <c r="M128"/>
  <c r="N128"/>
  <c r="O128"/>
  <c r="M129"/>
  <c r="N129"/>
  <c r="O129"/>
  <c r="M130"/>
  <c r="N130"/>
  <c r="O130"/>
  <c r="M131"/>
  <c r="N131"/>
  <c r="O131"/>
  <c r="M132"/>
  <c r="N132"/>
  <c r="O132"/>
  <c r="M133"/>
  <c r="N133"/>
  <c r="O133"/>
  <c r="M134"/>
  <c r="N134"/>
  <c r="O134"/>
  <c r="M135"/>
  <c r="N135"/>
  <c r="O135"/>
  <c r="M136"/>
  <c r="N136"/>
  <c r="O136"/>
  <c r="M137"/>
  <c r="N137"/>
  <c r="O137"/>
  <c r="M138"/>
  <c r="N138"/>
  <c r="O138"/>
  <c r="M139"/>
  <c r="N139"/>
  <c r="O139"/>
  <c r="M140"/>
  <c r="N140"/>
  <c r="O140"/>
  <c r="M141"/>
  <c r="N141"/>
  <c r="O141"/>
  <c r="M142"/>
  <c r="N142"/>
  <c r="O142"/>
  <c r="M143"/>
  <c r="N143"/>
  <c r="O143"/>
  <c r="M144"/>
  <c r="N144"/>
  <c r="O144"/>
  <c r="M145"/>
  <c r="N145"/>
  <c r="O145"/>
  <c r="M146"/>
  <c r="N146"/>
  <c r="O146"/>
  <c r="M147"/>
  <c r="N147"/>
  <c r="O147"/>
  <c r="M148"/>
  <c r="N148"/>
  <c r="O148"/>
  <c r="M149"/>
  <c r="N149"/>
  <c r="O149"/>
  <c r="M150"/>
  <c r="N150"/>
  <c r="O150"/>
  <c r="M151"/>
  <c r="N151"/>
  <c r="O151"/>
  <c r="M152"/>
  <c r="N152"/>
  <c r="O152"/>
  <c r="M153"/>
  <c r="N153"/>
  <c r="O153"/>
  <c r="M154"/>
  <c r="N154"/>
  <c r="O154"/>
  <c r="M155"/>
  <c r="N155"/>
  <c r="O155"/>
  <c r="M156"/>
  <c r="N156"/>
  <c r="O156"/>
  <c r="M157"/>
  <c r="N157"/>
  <c r="O157"/>
  <c r="M158"/>
  <c r="N158"/>
  <c r="O158"/>
  <c r="M159"/>
  <c r="N159"/>
  <c r="O159"/>
  <c r="M160"/>
  <c r="N160"/>
  <c r="O160"/>
  <c r="M161"/>
  <c r="N161"/>
  <c r="O161"/>
  <c r="M162"/>
  <c r="N162"/>
  <c r="O162"/>
  <c r="M163"/>
  <c r="N163"/>
  <c r="O163"/>
  <c r="M164"/>
  <c r="N164"/>
  <c r="O164"/>
  <c r="M165"/>
  <c r="N165"/>
  <c r="O165"/>
  <c r="M166"/>
  <c r="N166"/>
  <c r="O166"/>
  <c r="M167"/>
  <c r="N167"/>
  <c r="O167"/>
  <c r="M168"/>
  <c r="N168"/>
  <c r="O168"/>
  <c r="M169"/>
  <c r="N169"/>
  <c r="O169"/>
  <c r="M170"/>
  <c r="N170"/>
  <c r="O170"/>
  <c r="M171"/>
  <c r="N171"/>
  <c r="O171"/>
  <c r="M172"/>
  <c r="N172"/>
  <c r="O172"/>
  <c r="M173"/>
  <c r="N173"/>
  <c r="O173"/>
  <c r="M174"/>
  <c r="N174"/>
  <c r="O174"/>
  <c r="M175"/>
  <c r="N175"/>
  <c r="O175"/>
  <c r="M176"/>
  <c r="N176"/>
  <c r="O176"/>
  <c r="M177"/>
  <c r="N177"/>
  <c r="O177"/>
  <c r="M178"/>
  <c r="N178"/>
  <c r="O178"/>
  <c r="M179"/>
  <c r="N179"/>
  <c r="O179"/>
  <c r="M180"/>
  <c r="N180"/>
  <c r="O180"/>
  <c r="M181"/>
  <c r="N181"/>
  <c r="O181"/>
  <c r="M182"/>
  <c r="N182"/>
  <c r="O182"/>
  <c r="M183"/>
  <c r="N183"/>
  <c r="O183"/>
  <c r="M184"/>
  <c r="N184"/>
  <c r="O184"/>
  <c r="M185"/>
  <c r="N185"/>
  <c r="O185"/>
  <c r="M186"/>
  <c r="N186"/>
  <c r="O186"/>
  <c r="M187"/>
  <c r="N187"/>
  <c r="O187"/>
  <c r="M188"/>
  <c r="N188"/>
  <c r="O188"/>
  <c r="M189"/>
  <c r="N189"/>
  <c r="O189"/>
  <c r="M190"/>
  <c r="N190"/>
  <c r="O190"/>
  <c r="M191"/>
  <c r="N191"/>
  <c r="O191"/>
  <c r="M192"/>
  <c r="N192"/>
  <c r="O192"/>
  <c r="M193"/>
  <c r="N193"/>
  <c r="O193"/>
  <c r="M194"/>
  <c r="N194"/>
  <c r="O194"/>
  <c r="M195"/>
  <c r="N195"/>
  <c r="O195"/>
  <c r="M196"/>
  <c r="N196"/>
  <c r="O196"/>
  <c r="M197"/>
  <c r="N197"/>
  <c r="O197"/>
  <c r="M198"/>
  <c r="N198"/>
  <c r="O198"/>
  <c r="M199"/>
  <c r="N199"/>
  <c r="O199"/>
  <c r="M200"/>
  <c r="N200"/>
  <c r="O200"/>
  <c r="M201"/>
  <c r="N201"/>
  <c r="O201"/>
  <c r="M202"/>
  <c r="N202"/>
  <c r="O202"/>
  <c r="M203"/>
  <c r="N203"/>
  <c r="O203"/>
  <c r="M204"/>
  <c r="N204"/>
  <c r="O204"/>
  <c r="M205"/>
  <c r="N205"/>
  <c r="O205"/>
  <c r="M206"/>
  <c r="N206"/>
  <c r="O206"/>
  <c r="M207"/>
  <c r="N207"/>
  <c r="O207"/>
  <c r="M208"/>
  <c r="N208"/>
  <c r="O208"/>
  <c r="M209"/>
  <c r="N209"/>
  <c r="O209"/>
  <c r="M210"/>
  <c r="N210"/>
  <c r="O210"/>
  <c r="M211"/>
  <c r="N211"/>
  <c r="O211"/>
  <c r="M212"/>
  <c r="N212"/>
  <c r="O212"/>
  <c r="M213"/>
  <c r="N213"/>
  <c r="O213"/>
  <c r="M214"/>
  <c r="N214"/>
  <c r="O214"/>
  <c r="M215"/>
  <c r="N215"/>
  <c r="O215"/>
  <c r="M216"/>
  <c r="N216"/>
  <c r="O216"/>
  <c r="M217"/>
  <c r="N217"/>
  <c r="O217"/>
  <c r="M218"/>
  <c r="N218"/>
  <c r="O218"/>
  <c r="M219"/>
  <c r="N219"/>
  <c r="O219"/>
  <c r="M220"/>
  <c r="N220"/>
  <c r="O220"/>
  <c r="M221"/>
  <c r="N221"/>
  <c r="O221"/>
  <c r="M222"/>
  <c r="N222"/>
  <c r="O222"/>
  <c r="M223"/>
  <c r="N223"/>
  <c r="O223"/>
  <c r="M224"/>
  <c r="N224"/>
  <c r="O224"/>
  <c r="M225"/>
  <c r="N225"/>
  <c r="O225"/>
  <c r="M226"/>
  <c r="N226"/>
  <c r="O226"/>
  <c r="M227"/>
  <c r="N227"/>
  <c r="O227"/>
  <c r="M228"/>
  <c r="N228"/>
  <c r="O228"/>
  <c r="M229"/>
  <c r="N229"/>
  <c r="O229"/>
  <c r="M230"/>
  <c r="N230"/>
  <c r="O230"/>
  <c r="M231"/>
  <c r="N231"/>
  <c r="O231"/>
  <c r="M232"/>
  <c r="N232"/>
  <c r="O232"/>
  <c r="M233"/>
  <c r="N233"/>
  <c r="O233"/>
  <c r="M234"/>
  <c r="N234"/>
  <c r="O234"/>
  <c r="M235"/>
  <c r="N235"/>
  <c r="O235"/>
  <c r="M236"/>
  <c r="N236"/>
  <c r="O236"/>
  <c r="M237"/>
  <c r="N237"/>
  <c r="O237"/>
  <c r="M238"/>
  <c r="N238"/>
  <c r="O238"/>
  <c r="M239"/>
  <c r="N239"/>
  <c r="O239"/>
  <c r="M240"/>
  <c r="N240"/>
  <c r="O240"/>
  <c r="M241"/>
  <c r="N241"/>
  <c r="O241"/>
  <c r="M242"/>
  <c r="N242"/>
  <c r="O242"/>
  <c r="M243"/>
  <c r="N243"/>
  <c r="O243"/>
  <c r="M244"/>
  <c r="N244"/>
  <c r="O244"/>
  <c r="M245"/>
  <c r="N245"/>
  <c r="O245"/>
  <c r="M246"/>
  <c r="N246"/>
  <c r="O246"/>
  <c r="M247"/>
  <c r="N247"/>
  <c r="O247"/>
  <c r="M248"/>
  <c r="N248"/>
  <c r="O248"/>
  <c r="M249"/>
  <c r="N249"/>
  <c r="O249"/>
  <c r="M250"/>
  <c r="N250"/>
  <c r="O250"/>
  <c r="M251"/>
  <c r="N251"/>
  <c r="O251"/>
  <c r="M252"/>
  <c r="N252"/>
  <c r="O252"/>
  <c r="M253"/>
  <c r="N253"/>
  <c r="O253"/>
  <c r="M254"/>
  <c r="N254"/>
  <c r="O254"/>
  <c r="M255"/>
  <c r="N255"/>
  <c r="O255"/>
  <c r="M256"/>
  <c r="N256"/>
  <c r="O256"/>
  <c r="M257"/>
  <c r="N257"/>
  <c r="O257"/>
  <c r="M258"/>
  <c r="N258"/>
  <c r="O258"/>
  <c r="M259"/>
  <c r="N259"/>
  <c r="O259"/>
  <c r="M260"/>
  <c r="N260"/>
  <c r="O26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G9" i="32922" l="1"/>
  <c r="C9" s="1"/>
  <c r="BF15" i="32917"/>
  <c r="BF19"/>
  <c r="BF23"/>
  <c r="BF27"/>
  <c r="BF13"/>
  <c r="BF17"/>
  <c r="BF21"/>
  <c r="BF25"/>
  <c r="BF29"/>
  <c r="BF14"/>
  <c r="BF18"/>
  <c r="BF22"/>
  <c r="BF26"/>
  <c r="BF30"/>
  <c r="BF12"/>
  <c r="BF16"/>
  <c r="BF20"/>
  <c r="BF24"/>
  <c r="BF28"/>
  <c r="AO10"/>
  <c r="AX10" s="1"/>
  <c r="G1322" i="32922"/>
  <c r="C1322" s="1"/>
  <c r="G1320"/>
  <c r="C1320" s="1"/>
  <c r="G1318"/>
  <c r="C1318" s="1"/>
  <c r="G1316"/>
  <c r="C1316" s="1"/>
  <c r="G1314"/>
  <c r="C1314" s="1"/>
  <c r="G1312"/>
  <c r="C1312" s="1"/>
  <c r="G1310"/>
  <c r="C1310" s="1"/>
  <c r="G1308"/>
  <c r="C1308" s="1"/>
  <c r="G1306"/>
  <c r="C1306" s="1"/>
  <c r="G1304"/>
  <c r="C1304" s="1"/>
  <c r="G1302"/>
  <c r="C1302" s="1"/>
  <c r="G1300"/>
  <c r="C1300" s="1"/>
  <c r="G1298"/>
  <c r="C1298" s="1"/>
  <c r="G1296"/>
  <c r="C1296" s="1"/>
  <c r="G1294"/>
  <c r="C1294" s="1"/>
  <c r="G1292"/>
  <c r="C1292" s="1"/>
  <c r="G1290"/>
  <c r="C1290" s="1"/>
  <c r="G1288"/>
  <c r="C1288" s="1"/>
  <c r="G1286"/>
  <c r="C1286" s="1"/>
  <c r="G1284"/>
  <c r="C1284" s="1"/>
  <c r="G1282"/>
  <c r="C1282" s="1"/>
  <c r="G1280"/>
  <c r="C1280" s="1"/>
  <c r="G1278"/>
  <c r="C1278" s="1"/>
  <c r="G1276"/>
  <c r="C1276" s="1"/>
  <c r="G1274"/>
  <c r="C1274" s="1"/>
  <c r="G1272"/>
  <c r="C1272" s="1"/>
  <c r="G1270"/>
  <c r="C1270" s="1"/>
  <c r="G1268"/>
  <c r="C1268" s="1"/>
  <c r="G1266"/>
  <c r="C1266" s="1"/>
  <c r="G1264"/>
  <c r="C1264" s="1"/>
  <c r="G1262"/>
  <c r="C1262" s="1"/>
  <c r="G1260"/>
  <c r="C1260" s="1"/>
  <c r="G1258"/>
  <c r="C1258" s="1"/>
  <c r="G1256"/>
  <c r="C1256" s="1"/>
  <c r="G1254"/>
  <c r="C1254" s="1"/>
  <c r="G1252"/>
  <c r="C1252" s="1"/>
  <c r="G1250"/>
  <c r="C1250" s="1"/>
  <c r="G1248"/>
  <c r="C1248" s="1"/>
  <c r="G1246"/>
  <c r="C1246" s="1"/>
  <c r="G1244"/>
  <c r="C1244" s="1"/>
  <c r="G1242"/>
  <c r="C1242" s="1"/>
  <c r="G1240"/>
  <c r="C1240" s="1"/>
  <c r="G1238"/>
  <c r="C1238" s="1"/>
  <c r="G1236"/>
  <c r="C1236" s="1"/>
  <c r="G1234"/>
  <c r="C1234" s="1"/>
  <c r="G1232"/>
  <c r="C1232" s="1"/>
  <c r="G1230"/>
  <c r="C1230" s="1"/>
  <c r="G1228"/>
  <c r="C1228" s="1"/>
  <c r="G1226"/>
  <c r="C1226" s="1"/>
  <c r="G1224"/>
  <c r="C1224" s="1"/>
  <c r="G1222"/>
  <c r="C1222" s="1"/>
  <c r="G1220"/>
  <c r="C1220" s="1"/>
  <c r="G1218"/>
  <c r="C1218" s="1"/>
  <c r="G1216"/>
  <c r="C1216" s="1"/>
  <c r="G1214"/>
  <c r="C1214" s="1"/>
  <c r="G1212"/>
  <c r="C1212" s="1"/>
  <c r="G1210"/>
  <c r="C1210" s="1"/>
  <c r="G1208"/>
  <c r="C1208" s="1"/>
  <c r="G1206"/>
  <c r="C1206" s="1"/>
  <c r="G1204"/>
  <c r="C1204" s="1"/>
  <c r="G1202"/>
  <c r="C1202" s="1"/>
  <c r="G1200"/>
  <c r="C1200" s="1"/>
  <c r="G1198"/>
  <c r="C1198" s="1"/>
  <c r="G1196"/>
  <c r="C1196" s="1"/>
  <c r="G1194"/>
  <c r="C1194" s="1"/>
  <c r="G1192"/>
  <c r="C1192" s="1"/>
  <c r="G1190"/>
  <c r="C1190" s="1"/>
  <c r="G1188"/>
  <c r="C1188" s="1"/>
  <c r="G1186"/>
  <c r="C1186" s="1"/>
  <c r="G1184"/>
  <c r="C1184" s="1"/>
  <c r="G1182"/>
  <c r="C1182" s="1"/>
  <c r="G1180"/>
  <c r="C1180" s="1"/>
  <c r="G1178"/>
  <c r="C1178" s="1"/>
  <c r="G1176"/>
  <c r="C1176" s="1"/>
  <c r="G1174"/>
  <c r="C1174" s="1"/>
  <c r="G1172"/>
  <c r="C1172" s="1"/>
  <c r="G1170"/>
  <c r="C1170" s="1"/>
  <c r="G1168"/>
  <c r="C1168" s="1"/>
  <c r="G1166"/>
  <c r="C1166" s="1"/>
  <c r="G1164"/>
  <c r="C1164" s="1"/>
  <c r="G1162"/>
  <c r="C1162" s="1"/>
  <c r="G1160"/>
  <c r="C1160" s="1"/>
  <c r="G1158"/>
  <c r="C1158" s="1"/>
  <c r="G1156"/>
  <c r="C1156" s="1"/>
  <c r="G1154"/>
  <c r="C1154" s="1"/>
  <c r="G1152"/>
  <c r="C1152" s="1"/>
  <c r="G1150"/>
  <c r="C1150" s="1"/>
  <c r="G1148"/>
  <c r="C1148" s="1"/>
  <c r="G1146"/>
  <c r="C1146" s="1"/>
  <c r="G1144"/>
  <c r="C1144" s="1"/>
  <c r="G1142"/>
  <c r="C1142" s="1"/>
  <c r="G1140"/>
  <c r="C1140" s="1"/>
  <c r="G1138"/>
  <c r="C1138" s="1"/>
  <c r="F1138" s="1"/>
  <c r="G1136"/>
  <c r="C1136" s="1"/>
  <c r="G1134"/>
  <c r="C1134" s="1"/>
  <c r="G1132"/>
  <c r="C1132" s="1"/>
  <c r="G1130"/>
  <c r="C1130" s="1"/>
  <c r="G1128"/>
  <c r="C1128" s="1"/>
  <c r="G1126"/>
  <c r="C1126" s="1"/>
  <c r="G1124"/>
  <c r="C1124" s="1"/>
  <c r="G1122"/>
  <c r="C1122" s="1"/>
  <c r="G1120"/>
  <c r="C1120" s="1"/>
  <c r="G1118"/>
  <c r="C1118" s="1"/>
  <c r="G1116"/>
  <c r="C1116" s="1"/>
  <c r="G1114"/>
  <c r="C1114" s="1"/>
  <c r="G1112"/>
  <c r="C1112" s="1"/>
  <c r="G1110"/>
  <c r="C1110" s="1"/>
  <c r="G1108"/>
  <c r="C1108" s="1"/>
  <c r="G1106"/>
  <c r="C1106" s="1"/>
  <c r="G1104"/>
  <c r="C1104" s="1"/>
  <c r="G1102"/>
  <c r="C1102" s="1"/>
  <c r="G1100"/>
  <c r="C1100" s="1"/>
  <c r="G1098"/>
  <c r="C1098" s="1"/>
  <c r="G1096"/>
  <c r="C1096" s="1"/>
  <c r="G1094"/>
  <c r="C1094" s="1"/>
  <c r="G1092"/>
  <c r="C1092" s="1"/>
  <c r="G1090"/>
  <c r="C1090" s="1"/>
  <c r="G1088"/>
  <c r="C1088" s="1"/>
  <c r="G1086"/>
  <c r="C1086" s="1"/>
  <c r="G1084"/>
  <c r="C1084" s="1"/>
  <c r="G1082"/>
  <c r="C1082" s="1"/>
  <c r="G1080"/>
  <c r="C1080" s="1"/>
  <c r="G1078"/>
  <c r="C1078" s="1"/>
  <c r="G1076"/>
  <c r="C1076" s="1"/>
  <c r="G1074"/>
  <c r="C1074" s="1"/>
  <c r="G1072"/>
  <c r="C1072" s="1"/>
  <c r="G1070"/>
  <c r="C1070" s="1"/>
  <c r="G1068"/>
  <c r="C1068" s="1"/>
  <c r="G1066"/>
  <c r="C1066" s="1"/>
  <c r="G1064"/>
  <c r="C1064" s="1"/>
  <c r="G1062"/>
  <c r="C1062" s="1"/>
  <c r="G1060"/>
  <c r="C1060" s="1"/>
  <c r="G1058"/>
  <c r="C1058" s="1"/>
  <c r="G1056"/>
  <c r="C1056" s="1"/>
  <c r="G1054"/>
  <c r="C1054" s="1"/>
  <c r="G1052"/>
  <c r="C1052" s="1"/>
  <c r="G1050"/>
  <c r="C1050" s="1"/>
  <c r="G1048"/>
  <c r="C1048" s="1"/>
  <c r="G1046"/>
  <c r="C1046" s="1"/>
  <c r="G1044"/>
  <c r="C1044" s="1"/>
  <c r="G1042"/>
  <c r="C1042" s="1"/>
  <c r="G1040"/>
  <c r="C1040" s="1"/>
  <c r="G1038"/>
  <c r="C1038" s="1"/>
  <c r="G1036"/>
  <c r="C1036" s="1"/>
  <c r="G1034"/>
  <c r="C1034" s="1"/>
  <c r="G1032"/>
  <c r="C1032" s="1"/>
  <c r="G1030"/>
  <c r="C1030" s="1"/>
  <c r="G1321"/>
  <c r="C1321" s="1"/>
  <c r="G1319"/>
  <c r="C1319" s="1"/>
  <c r="G1317"/>
  <c r="C1317" s="1"/>
  <c r="G1315"/>
  <c r="C1315" s="1"/>
  <c r="G1313"/>
  <c r="C1313" s="1"/>
  <c r="G1311"/>
  <c r="C1311" s="1"/>
  <c r="G1309"/>
  <c r="C1309" s="1"/>
  <c r="G1307"/>
  <c r="C1307" s="1"/>
  <c r="G1305"/>
  <c r="C1305" s="1"/>
  <c r="G1303"/>
  <c r="C1303" s="1"/>
  <c r="G1301"/>
  <c r="C1301" s="1"/>
  <c r="G1299"/>
  <c r="C1299" s="1"/>
  <c r="G1297"/>
  <c r="C1297" s="1"/>
  <c r="G1295"/>
  <c r="C1295" s="1"/>
  <c r="G1293"/>
  <c r="C1293" s="1"/>
  <c r="G1291"/>
  <c r="C1291" s="1"/>
  <c r="G1289"/>
  <c r="C1289" s="1"/>
  <c r="G1287"/>
  <c r="C1287" s="1"/>
  <c r="G1285"/>
  <c r="C1285" s="1"/>
  <c r="G1283"/>
  <c r="C1283" s="1"/>
  <c r="G1281"/>
  <c r="C1281" s="1"/>
  <c r="G1279"/>
  <c r="C1279" s="1"/>
  <c r="G1277"/>
  <c r="C1277" s="1"/>
  <c r="G1275"/>
  <c r="C1275" s="1"/>
  <c r="G1273"/>
  <c r="C1273" s="1"/>
  <c r="G1271"/>
  <c r="C1271" s="1"/>
  <c r="G1269"/>
  <c r="C1269" s="1"/>
  <c r="G1267"/>
  <c r="C1267" s="1"/>
  <c r="G1265"/>
  <c r="C1265" s="1"/>
  <c r="G1263"/>
  <c r="C1263" s="1"/>
  <c r="G1261"/>
  <c r="C1261" s="1"/>
  <c r="G1259"/>
  <c r="C1259" s="1"/>
  <c r="G1257"/>
  <c r="C1257" s="1"/>
  <c r="G1255"/>
  <c r="C1255" s="1"/>
  <c r="G1253"/>
  <c r="C1253" s="1"/>
  <c r="G1251"/>
  <c r="C1251" s="1"/>
  <c r="G1249"/>
  <c r="C1249" s="1"/>
  <c r="G1247"/>
  <c r="C1247" s="1"/>
  <c r="G1245"/>
  <c r="C1245" s="1"/>
  <c r="G1243"/>
  <c r="C1243" s="1"/>
  <c r="G1241"/>
  <c r="C1241" s="1"/>
  <c r="G1239"/>
  <c r="C1239" s="1"/>
  <c r="G1237"/>
  <c r="C1237" s="1"/>
  <c r="G1235"/>
  <c r="C1235" s="1"/>
  <c r="G1233"/>
  <c r="C1233" s="1"/>
  <c r="G1231"/>
  <c r="C1231" s="1"/>
  <c r="G1229"/>
  <c r="C1229" s="1"/>
  <c r="G1227"/>
  <c r="C1227" s="1"/>
  <c r="G1225"/>
  <c r="C1225" s="1"/>
  <c r="G1223"/>
  <c r="C1223" s="1"/>
  <c r="G1221"/>
  <c r="C1221" s="1"/>
  <c r="G1219"/>
  <c r="C1219" s="1"/>
  <c r="G1217"/>
  <c r="C1217" s="1"/>
  <c r="G1215"/>
  <c r="C1215" s="1"/>
  <c r="G1213"/>
  <c r="C1213" s="1"/>
  <c r="G1211"/>
  <c r="C1211" s="1"/>
  <c r="G1209"/>
  <c r="C1209" s="1"/>
  <c r="G1207"/>
  <c r="C1207" s="1"/>
  <c r="G1205"/>
  <c r="C1205" s="1"/>
  <c r="G1203"/>
  <c r="C1203" s="1"/>
  <c r="G1201"/>
  <c r="C1201" s="1"/>
  <c r="G1199"/>
  <c r="C1199" s="1"/>
  <c r="G1197"/>
  <c r="C1197" s="1"/>
  <c r="G1195"/>
  <c r="C1195" s="1"/>
  <c r="G1193"/>
  <c r="C1193" s="1"/>
  <c r="G1191"/>
  <c r="C1191" s="1"/>
  <c r="G1189"/>
  <c r="C1189" s="1"/>
  <c r="G1187"/>
  <c r="C1187" s="1"/>
  <c r="G1185"/>
  <c r="C1185" s="1"/>
  <c r="G1183"/>
  <c r="C1183" s="1"/>
  <c r="G1181"/>
  <c r="C1181" s="1"/>
  <c r="G1179"/>
  <c r="C1179" s="1"/>
  <c r="G1177"/>
  <c r="C1177" s="1"/>
  <c r="G1175"/>
  <c r="C1175" s="1"/>
  <c r="G1173"/>
  <c r="C1173" s="1"/>
  <c r="G1171"/>
  <c r="C1171" s="1"/>
  <c r="G1169"/>
  <c r="C1169" s="1"/>
  <c r="G1167"/>
  <c r="C1167" s="1"/>
  <c r="G1165"/>
  <c r="C1165" s="1"/>
  <c r="G1163"/>
  <c r="C1163" s="1"/>
  <c r="G1161"/>
  <c r="C1161" s="1"/>
  <c r="G1159"/>
  <c r="C1159" s="1"/>
  <c r="G1157"/>
  <c r="C1157" s="1"/>
  <c r="G1155"/>
  <c r="C1155" s="1"/>
  <c r="G1153"/>
  <c r="C1153" s="1"/>
  <c r="G1151"/>
  <c r="C1151" s="1"/>
  <c r="G1149"/>
  <c r="C1149" s="1"/>
  <c r="G1147"/>
  <c r="C1147" s="1"/>
  <c r="G1145"/>
  <c r="C1145" s="1"/>
  <c r="G1143"/>
  <c r="C1143" s="1"/>
  <c r="G1141"/>
  <c r="C1141" s="1"/>
  <c r="G1139"/>
  <c r="C1139" s="1"/>
  <c r="F1139" s="1"/>
  <c r="G1137"/>
  <c r="C1137" s="1"/>
  <c r="G1135"/>
  <c r="C1135" s="1"/>
  <c r="G1133"/>
  <c r="C1133" s="1"/>
  <c r="G1131"/>
  <c r="C1131" s="1"/>
  <c r="G1129"/>
  <c r="C1129" s="1"/>
  <c r="G1127"/>
  <c r="C1127" s="1"/>
  <c r="G1125"/>
  <c r="C1125" s="1"/>
  <c r="G1123"/>
  <c r="C1123" s="1"/>
  <c r="G1121"/>
  <c r="C1121" s="1"/>
  <c r="G1119"/>
  <c r="C1119" s="1"/>
  <c r="G1117"/>
  <c r="C1117" s="1"/>
  <c r="G1115"/>
  <c r="C1115" s="1"/>
  <c r="G1113"/>
  <c r="C1113" s="1"/>
  <c r="G1111"/>
  <c r="C1111" s="1"/>
  <c r="G1109"/>
  <c r="C1109" s="1"/>
  <c r="G1107"/>
  <c r="C1107" s="1"/>
  <c r="G1105"/>
  <c r="C1105" s="1"/>
  <c r="G1103"/>
  <c r="C1103" s="1"/>
  <c r="G1101"/>
  <c r="C1101" s="1"/>
  <c r="G1099"/>
  <c r="C1099" s="1"/>
  <c r="G1097"/>
  <c r="C1097" s="1"/>
  <c r="G1095"/>
  <c r="C1095" s="1"/>
  <c r="G1093"/>
  <c r="C1093" s="1"/>
  <c r="G1091"/>
  <c r="C1091" s="1"/>
  <c r="G1089"/>
  <c r="C1089" s="1"/>
  <c r="G1087"/>
  <c r="C1087" s="1"/>
  <c r="G1085"/>
  <c r="C1085" s="1"/>
  <c r="G1083"/>
  <c r="C1083" s="1"/>
  <c r="G1081"/>
  <c r="C1081" s="1"/>
  <c r="G1079"/>
  <c r="C1079" s="1"/>
  <c r="G1077"/>
  <c r="C1077" s="1"/>
  <c r="G1075"/>
  <c r="C1075" s="1"/>
  <c r="G1073"/>
  <c r="C1073" s="1"/>
  <c r="G1071"/>
  <c r="C1071" s="1"/>
  <c r="G1069"/>
  <c r="C1069" s="1"/>
  <c r="G1067"/>
  <c r="C1067" s="1"/>
  <c r="G1065"/>
  <c r="C1065" s="1"/>
  <c r="G1063"/>
  <c r="C1063" s="1"/>
  <c r="G1061"/>
  <c r="C1061" s="1"/>
  <c r="G1059"/>
  <c r="C1059" s="1"/>
  <c r="G1057"/>
  <c r="C1057" s="1"/>
  <c r="G1055"/>
  <c r="C1055" s="1"/>
  <c r="G1053"/>
  <c r="C1053" s="1"/>
  <c r="G1051"/>
  <c r="C1051" s="1"/>
  <c r="G1049"/>
  <c r="C1049" s="1"/>
  <c r="G1047"/>
  <c r="C1047" s="1"/>
  <c r="G1045"/>
  <c r="C1045" s="1"/>
  <c r="G1043"/>
  <c r="C1043" s="1"/>
  <c r="G1041"/>
  <c r="C1041" s="1"/>
  <c r="G1039"/>
  <c r="C1039" s="1"/>
  <c r="G1037"/>
  <c r="C1037" s="1"/>
  <c r="G1035"/>
  <c r="C1035" s="1"/>
  <c r="G1033"/>
  <c r="C1033" s="1"/>
  <c r="G1031"/>
  <c r="C1031" s="1"/>
  <c r="G1029"/>
  <c r="C1029" s="1"/>
  <c r="G1028"/>
  <c r="C1028" s="1"/>
  <c r="G1026"/>
  <c r="C1026" s="1"/>
  <c r="G1024"/>
  <c r="C1024" s="1"/>
  <c r="G1022"/>
  <c r="C1022" s="1"/>
  <c r="G1020"/>
  <c r="C1020" s="1"/>
  <c r="G1018"/>
  <c r="C1018" s="1"/>
  <c r="G1016"/>
  <c r="C1016" s="1"/>
  <c r="G1014"/>
  <c r="C1014" s="1"/>
  <c r="G1012"/>
  <c r="C1012" s="1"/>
  <c r="G1010"/>
  <c r="C1010" s="1"/>
  <c r="G1008"/>
  <c r="C1008" s="1"/>
  <c r="G1006"/>
  <c r="C1006" s="1"/>
  <c r="G1004"/>
  <c r="C1004" s="1"/>
  <c r="G1002"/>
  <c r="C1002" s="1"/>
  <c r="G1000"/>
  <c r="C1000" s="1"/>
  <c r="G998"/>
  <c r="C998" s="1"/>
  <c r="G996"/>
  <c r="C996" s="1"/>
  <c r="G994"/>
  <c r="C994" s="1"/>
  <c r="G992"/>
  <c r="C992" s="1"/>
  <c r="G990"/>
  <c r="C990" s="1"/>
  <c r="G988"/>
  <c r="C988" s="1"/>
  <c r="G986"/>
  <c r="C986" s="1"/>
  <c r="G984"/>
  <c r="C984" s="1"/>
  <c r="G982"/>
  <c r="C982" s="1"/>
  <c r="G980"/>
  <c r="C980" s="1"/>
  <c r="G978"/>
  <c r="C978" s="1"/>
  <c r="G976"/>
  <c r="C976" s="1"/>
  <c r="G974"/>
  <c r="C974" s="1"/>
  <c r="G972"/>
  <c r="C972" s="1"/>
  <c r="G970"/>
  <c r="C970" s="1"/>
  <c r="G968"/>
  <c r="C968" s="1"/>
  <c r="G966"/>
  <c r="C966" s="1"/>
  <c r="G964"/>
  <c r="C964" s="1"/>
  <c r="G962"/>
  <c r="C962" s="1"/>
  <c r="G960"/>
  <c r="C960" s="1"/>
  <c r="G958"/>
  <c r="C958" s="1"/>
  <c r="G956"/>
  <c r="C956" s="1"/>
  <c r="G954"/>
  <c r="C954" s="1"/>
  <c r="G952"/>
  <c r="C952" s="1"/>
  <c r="G950"/>
  <c r="C950" s="1"/>
  <c r="G948"/>
  <c r="C948" s="1"/>
  <c r="G946"/>
  <c r="C946" s="1"/>
  <c r="G944"/>
  <c r="C944" s="1"/>
  <c r="G942"/>
  <c r="C942" s="1"/>
  <c r="G940"/>
  <c r="C940" s="1"/>
  <c r="G938"/>
  <c r="C938" s="1"/>
  <c r="G936"/>
  <c r="C936" s="1"/>
  <c r="G934"/>
  <c r="C934" s="1"/>
  <c r="G932"/>
  <c r="C932" s="1"/>
  <c r="G930"/>
  <c r="C930" s="1"/>
  <c r="G928"/>
  <c r="C928" s="1"/>
  <c r="G926"/>
  <c r="C926" s="1"/>
  <c r="G924"/>
  <c r="C924" s="1"/>
  <c r="G922"/>
  <c r="C922" s="1"/>
  <c r="G920"/>
  <c r="C920" s="1"/>
  <c r="G918"/>
  <c r="C918" s="1"/>
  <c r="G916"/>
  <c r="C916" s="1"/>
  <c r="G914"/>
  <c r="C914" s="1"/>
  <c r="G912"/>
  <c r="C912" s="1"/>
  <c r="G910"/>
  <c r="C910" s="1"/>
  <c r="G908"/>
  <c r="C908" s="1"/>
  <c r="G906"/>
  <c r="C906" s="1"/>
  <c r="G904"/>
  <c r="C904" s="1"/>
  <c r="G902"/>
  <c r="C902" s="1"/>
  <c r="G900"/>
  <c r="C900" s="1"/>
  <c r="G898"/>
  <c r="C898" s="1"/>
  <c r="G896"/>
  <c r="C896" s="1"/>
  <c r="G894"/>
  <c r="C894" s="1"/>
  <c r="G892"/>
  <c r="C892" s="1"/>
  <c r="G890"/>
  <c r="C890" s="1"/>
  <c r="G888"/>
  <c r="C888" s="1"/>
  <c r="G886"/>
  <c r="C886" s="1"/>
  <c r="G884"/>
  <c r="C884" s="1"/>
  <c r="G882"/>
  <c r="C882" s="1"/>
  <c r="G880"/>
  <c r="C880" s="1"/>
  <c r="G878"/>
  <c r="C878" s="1"/>
  <c r="G876"/>
  <c r="C876" s="1"/>
  <c r="G874"/>
  <c r="C874" s="1"/>
  <c r="G872"/>
  <c r="C872" s="1"/>
  <c r="G870"/>
  <c r="C870" s="1"/>
  <c r="G868"/>
  <c r="C868" s="1"/>
  <c r="G866"/>
  <c r="C866" s="1"/>
  <c r="G864"/>
  <c r="C864" s="1"/>
  <c r="G862"/>
  <c r="C862" s="1"/>
  <c r="G860"/>
  <c r="C860" s="1"/>
  <c r="G858"/>
  <c r="C858" s="1"/>
  <c r="G856"/>
  <c r="C856" s="1"/>
  <c r="G854"/>
  <c r="C854" s="1"/>
  <c r="G852"/>
  <c r="C852" s="1"/>
  <c r="G850"/>
  <c r="C850" s="1"/>
  <c r="G848"/>
  <c r="C848" s="1"/>
  <c r="G846"/>
  <c r="C846" s="1"/>
  <c r="G844"/>
  <c r="C844" s="1"/>
  <c r="G842"/>
  <c r="C842" s="1"/>
  <c r="G840"/>
  <c r="C840" s="1"/>
  <c r="G838"/>
  <c r="C838" s="1"/>
  <c r="G836"/>
  <c r="C836" s="1"/>
  <c r="G834"/>
  <c r="C834" s="1"/>
  <c r="G832"/>
  <c r="C832" s="1"/>
  <c r="G830"/>
  <c r="C830" s="1"/>
  <c r="G828"/>
  <c r="C828" s="1"/>
  <c r="G826"/>
  <c r="C826" s="1"/>
  <c r="G824"/>
  <c r="C824" s="1"/>
  <c r="G822"/>
  <c r="C822" s="1"/>
  <c r="G820"/>
  <c r="C820" s="1"/>
  <c r="G818"/>
  <c r="C818" s="1"/>
  <c r="G816"/>
  <c r="C816" s="1"/>
  <c r="G814"/>
  <c r="C814" s="1"/>
  <c r="G812"/>
  <c r="C812" s="1"/>
  <c r="G810"/>
  <c r="C810" s="1"/>
  <c r="G808"/>
  <c r="C808" s="1"/>
  <c r="G806"/>
  <c r="C806" s="1"/>
  <c r="G804"/>
  <c r="C804" s="1"/>
  <c r="G802"/>
  <c r="C802" s="1"/>
  <c r="G800"/>
  <c r="C800" s="1"/>
  <c r="G798"/>
  <c r="C798" s="1"/>
  <c r="G796"/>
  <c r="C796" s="1"/>
  <c r="G794"/>
  <c r="C794" s="1"/>
  <c r="G792"/>
  <c r="C792" s="1"/>
  <c r="G790"/>
  <c r="C790" s="1"/>
  <c r="G788"/>
  <c r="C788" s="1"/>
  <c r="G786"/>
  <c r="C786" s="1"/>
  <c r="G784"/>
  <c r="C784" s="1"/>
  <c r="G782"/>
  <c r="C782" s="1"/>
  <c r="G780"/>
  <c r="C780" s="1"/>
  <c r="G778"/>
  <c r="C778" s="1"/>
  <c r="G776"/>
  <c r="C776" s="1"/>
  <c r="G774"/>
  <c r="C774" s="1"/>
  <c r="G772"/>
  <c r="C772" s="1"/>
  <c r="G770"/>
  <c r="C770" s="1"/>
  <c r="G768"/>
  <c r="C768" s="1"/>
  <c r="G766"/>
  <c r="C766" s="1"/>
  <c r="G764"/>
  <c r="C764" s="1"/>
  <c r="G762"/>
  <c r="C762" s="1"/>
  <c r="G760"/>
  <c r="C760" s="1"/>
  <c r="G758"/>
  <c r="C758" s="1"/>
  <c r="G756"/>
  <c r="C756" s="1"/>
  <c r="G754"/>
  <c r="C754" s="1"/>
  <c r="G752"/>
  <c r="C752" s="1"/>
  <c r="G750"/>
  <c r="C750" s="1"/>
  <c r="G748"/>
  <c r="C748" s="1"/>
  <c r="G746"/>
  <c r="C746" s="1"/>
  <c r="G744"/>
  <c r="C744" s="1"/>
  <c r="G742"/>
  <c r="C742" s="1"/>
  <c r="G740"/>
  <c r="C740" s="1"/>
  <c r="G738"/>
  <c r="C738" s="1"/>
  <c r="G736"/>
  <c r="C736" s="1"/>
  <c r="G734"/>
  <c r="C734" s="1"/>
  <c r="G732"/>
  <c r="C732" s="1"/>
  <c r="G730"/>
  <c r="C730" s="1"/>
  <c r="G728"/>
  <c r="C728" s="1"/>
  <c r="G726"/>
  <c r="C726" s="1"/>
  <c r="G724"/>
  <c r="C724" s="1"/>
  <c r="G722"/>
  <c r="C722" s="1"/>
  <c r="G720"/>
  <c r="C720" s="1"/>
  <c r="G718"/>
  <c r="C718" s="1"/>
  <c r="G716"/>
  <c r="C716" s="1"/>
  <c r="G714"/>
  <c r="C714" s="1"/>
  <c r="G712"/>
  <c r="C712" s="1"/>
  <c r="G710"/>
  <c r="C710" s="1"/>
  <c r="G708"/>
  <c r="C708" s="1"/>
  <c r="G706"/>
  <c r="C706" s="1"/>
  <c r="G704"/>
  <c r="C704" s="1"/>
  <c r="G702"/>
  <c r="C702" s="1"/>
  <c r="G700"/>
  <c r="C700" s="1"/>
  <c r="G698"/>
  <c r="C698" s="1"/>
  <c r="G696"/>
  <c r="C696" s="1"/>
  <c r="G694"/>
  <c r="C694" s="1"/>
  <c r="G692"/>
  <c r="C692" s="1"/>
  <c r="G690"/>
  <c r="C690" s="1"/>
  <c r="G688"/>
  <c r="C688" s="1"/>
  <c r="G686"/>
  <c r="C686" s="1"/>
  <c r="G684"/>
  <c r="C684" s="1"/>
  <c r="G682"/>
  <c r="C682" s="1"/>
  <c r="G680"/>
  <c r="C680" s="1"/>
  <c r="G678"/>
  <c r="C678" s="1"/>
  <c r="G676"/>
  <c r="C676" s="1"/>
  <c r="G674"/>
  <c r="C674" s="1"/>
  <c r="G672"/>
  <c r="C672" s="1"/>
  <c r="G670"/>
  <c r="C670" s="1"/>
  <c r="G668"/>
  <c r="C668" s="1"/>
  <c r="G666"/>
  <c r="C666" s="1"/>
  <c r="G664"/>
  <c r="C664" s="1"/>
  <c r="G662"/>
  <c r="C662" s="1"/>
  <c r="G660"/>
  <c r="C660" s="1"/>
  <c r="G658"/>
  <c r="C658" s="1"/>
  <c r="G656"/>
  <c r="C656" s="1"/>
  <c r="G654"/>
  <c r="C654" s="1"/>
  <c r="G652"/>
  <c r="C652" s="1"/>
  <c r="G650"/>
  <c r="C650" s="1"/>
  <c r="G648"/>
  <c r="C648" s="1"/>
  <c r="G646"/>
  <c r="C646" s="1"/>
  <c r="G644"/>
  <c r="C644" s="1"/>
  <c r="G642"/>
  <c r="C642" s="1"/>
  <c r="G640"/>
  <c r="C640" s="1"/>
  <c r="G638"/>
  <c r="C638" s="1"/>
  <c r="G636"/>
  <c r="C636" s="1"/>
  <c r="G634"/>
  <c r="C634" s="1"/>
  <c r="G632"/>
  <c r="C632" s="1"/>
  <c r="G630"/>
  <c r="C630" s="1"/>
  <c r="G628"/>
  <c r="C628" s="1"/>
  <c r="G626"/>
  <c r="C626" s="1"/>
  <c r="G624"/>
  <c r="C624" s="1"/>
  <c r="G622"/>
  <c r="C622" s="1"/>
  <c r="G620"/>
  <c r="C620" s="1"/>
  <c r="G618"/>
  <c r="C618" s="1"/>
  <c r="G616"/>
  <c r="C616" s="1"/>
  <c r="G614"/>
  <c r="C614" s="1"/>
  <c r="G612"/>
  <c r="C612" s="1"/>
  <c r="G610"/>
  <c r="C610" s="1"/>
  <c r="G608"/>
  <c r="C608" s="1"/>
  <c r="G606"/>
  <c r="C606" s="1"/>
  <c r="G604"/>
  <c r="C604" s="1"/>
  <c r="G602"/>
  <c r="C602" s="1"/>
  <c r="G600"/>
  <c r="C600" s="1"/>
  <c r="G598"/>
  <c r="C598" s="1"/>
  <c r="G596"/>
  <c r="C596" s="1"/>
  <c r="G594"/>
  <c r="C594" s="1"/>
  <c r="G592"/>
  <c r="C592" s="1"/>
  <c r="G590"/>
  <c r="C590" s="1"/>
  <c r="G588"/>
  <c r="C588" s="1"/>
  <c r="G586"/>
  <c r="C586" s="1"/>
  <c r="G584"/>
  <c r="C584" s="1"/>
  <c r="G582"/>
  <c r="C582" s="1"/>
  <c r="G580"/>
  <c r="C580" s="1"/>
  <c r="G578"/>
  <c r="C578" s="1"/>
  <c r="G576"/>
  <c r="C576" s="1"/>
  <c r="G574"/>
  <c r="C574" s="1"/>
  <c r="G572"/>
  <c r="C572" s="1"/>
  <c r="G570"/>
  <c r="C570" s="1"/>
  <c r="G568"/>
  <c r="C568" s="1"/>
  <c r="G566"/>
  <c r="C566" s="1"/>
  <c r="G564"/>
  <c r="C564" s="1"/>
  <c r="G562"/>
  <c r="C562" s="1"/>
  <c r="G560"/>
  <c r="C560" s="1"/>
  <c r="G558"/>
  <c r="C558" s="1"/>
  <c r="G556"/>
  <c r="C556" s="1"/>
  <c r="G554"/>
  <c r="C554" s="1"/>
  <c r="G552"/>
  <c r="C552" s="1"/>
  <c r="G550"/>
  <c r="C550" s="1"/>
  <c r="G548"/>
  <c r="C548" s="1"/>
  <c r="G546"/>
  <c r="C546" s="1"/>
  <c r="G544"/>
  <c r="C544" s="1"/>
  <c r="G542"/>
  <c r="C542" s="1"/>
  <c r="G540"/>
  <c r="C540" s="1"/>
  <c r="G538"/>
  <c r="C538" s="1"/>
  <c r="G536"/>
  <c r="C536" s="1"/>
  <c r="G534"/>
  <c r="C534" s="1"/>
  <c r="G532"/>
  <c r="C532" s="1"/>
  <c r="G530"/>
  <c r="C530" s="1"/>
  <c r="G528"/>
  <c r="C528" s="1"/>
  <c r="G526"/>
  <c r="C526" s="1"/>
  <c r="G524"/>
  <c r="C524" s="1"/>
  <c r="G522"/>
  <c r="C522" s="1"/>
  <c r="G1027"/>
  <c r="C1027" s="1"/>
  <c r="G1025"/>
  <c r="C1025" s="1"/>
  <c r="G1023"/>
  <c r="C1023" s="1"/>
  <c r="G1021"/>
  <c r="C1021" s="1"/>
  <c r="G1019"/>
  <c r="C1019" s="1"/>
  <c r="G1017"/>
  <c r="C1017" s="1"/>
  <c r="G1015"/>
  <c r="C1015" s="1"/>
  <c r="G1013"/>
  <c r="C1013" s="1"/>
  <c r="G1011"/>
  <c r="C1011" s="1"/>
  <c r="G1009"/>
  <c r="C1009" s="1"/>
  <c r="G1007"/>
  <c r="C1007" s="1"/>
  <c r="G1005"/>
  <c r="C1005" s="1"/>
  <c r="G1003"/>
  <c r="C1003" s="1"/>
  <c r="G1001"/>
  <c r="C1001" s="1"/>
  <c r="G999"/>
  <c r="C999" s="1"/>
  <c r="G997"/>
  <c r="C997" s="1"/>
  <c r="G995"/>
  <c r="C995" s="1"/>
  <c r="G993"/>
  <c r="C993" s="1"/>
  <c r="G991"/>
  <c r="C991" s="1"/>
  <c r="G989"/>
  <c r="C989" s="1"/>
  <c r="G987"/>
  <c r="C987" s="1"/>
  <c r="G985"/>
  <c r="C985" s="1"/>
  <c r="G983"/>
  <c r="C983" s="1"/>
  <c r="G981"/>
  <c r="C981" s="1"/>
  <c r="G979"/>
  <c r="C979" s="1"/>
  <c r="G977"/>
  <c r="C977" s="1"/>
  <c r="G975"/>
  <c r="C975" s="1"/>
  <c r="G973"/>
  <c r="C973" s="1"/>
  <c r="G971"/>
  <c r="C971" s="1"/>
  <c r="G969"/>
  <c r="C969" s="1"/>
  <c r="G967"/>
  <c r="C967" s="1"/>
  <c r="G965"/>
  <c r="C965" s="1"/>
  <c r="G963"/>
  <c r="C963" s="1"/>
  <c r="G961"/>
  <c r="C961" s="1"/>
  <c r="G959"/>
  <c r="C959" s="1"/>
  <c r="G957"/>
  <c r="C957" s="1"/>
  <c r="G955"/>
  <c r="C955" s="1"/>
  <c r="G953"/>
  <c r="C953" s="1"/>
  <c r="G951"/>
  <c r="C951" s="1"/>
  <c r="G949"/>
  <c r="C949" s="1"/>
  <c r="G947"/>
  <c r="C947" s="1"/>
  <c r="G945"/>
  <c r="C945" s="1"/>
  <c r="G943"/>
  <c r="C943" s="1"/>
  <c r="G941"/>
  <c r="C941" s="1"/>
  <c r="G939"/>
  <c r="C939" s="1"/>
  <c r="G937"/>
  <c r="C937" s="1"/>
  <c r="G935"/>
  <c r="C935" s="1"/>
  <c r="G933"/>
  <c r="C933" s="1"/>
  <c r="G931"/>
  <c r="C931" s="1"/>
  <c r="G929"/>
  <c r="C929" s="1"/>
  <c r="G927"/>
  <c r="C927" s="1"/>
  <c r="G925"/>
  <c r="C925" s="1"/>
  <c r="G923"/>
  <c r="C923" s="1"/>
  <c r="G921"/>
  <c r="C921" s="1"/>
  <c r="G919"/>
  <c r="C919" s="1"/>
  <c r="G917"/>
  <c r="C917" s="1"/>
  <c r="G915"/>
  <c r="C915" s="1"/>
  <c r="G913"/>
  <c r="C913" s="1"/>
  <c r="G911"/>
  <c r="C911" s="1"/>
  <c r="G909"/>
  <c r="C909" s="1"/>
  <c r="G907"/>
  <c r="C907" s="1"/>
  <c r="G905"/>
  <c r="C905" s="1"/>
  <c r="G903"/>
  <c r="C903" s="1"/>
  <c r="G901"/>
  <c r="C901" s="1"/>
  <c r="G899"/>
  <c r="C899" s="1"/>
  <c r="G897"/>
  <c r="C897" s="1"/>
  <c r="G895"/>
  <c r="C895" s="1"/>
  <c r="G893"/>
  <c r="C893" s="1"/>
  <c r="G891"/>
  <c r="C891" s="1"/>
  <c r="G889"/>
  <c r="C889" s="1"/>
  <c r="G887"/>
  <c r="C887" s="1"/>
  <c r="G885"/>
  <c r="C885" s="1"/>
  <c r="G883"/>
  <c r="C883" s="1"/>
  <c r="G881"/>
  <c r="C881" s="1"/>
  <c r="G879"/>
  <c r="C879" s="1"/>
  <c r="G877"/>
  <c r="C877" s="1"/>
  <c r="G875"/>
  <c r="C875" s="1"/>
  <c r="G873"/>
  <c r="C873" s="1"/>
  <c r="G871"/>
  <c r="C871" s="1"/>
  <c r="G869"/>
  <c r="C869" s="1"/>
  <c r="G867"/>
  <c r="C867" s="1"/>
  <c r="G865"/>
  <c r="C865" s="1"/>
  <c r="G863"/>
  <c r="C863" s="1"/>
  <c r="G861"/>
  <c r="C861" s="1"/>
  <c r="G859"/>
  <c r="C859" s="1"/>
  <c r="G857"/>
  <c r="C857" s="1"/>
  <c r="G855"/>
  <c r="C855" s="1"/>
  <c r="G853"/>
  <c r="C853" s="1"/>
  <c r="G851"/>
  <c r="C851" s="1"/>
  <c r="G849"/>
  <c r="C849" s="1"/>
  <c r="G847"/>
  <c r="C847" s="1"/>
  <c r="G845"/>
  <c r="C845" s="1"/>
  <c r="G843"/>
  <c r="C843" s="1"/>
  <c r="G841"/>
  <c r="C841" s="1"/>
  <c r="G839"/>
  <c r="C839" s="1"/>
  <c r="G837"/>
  <c r="C837" s="1"/>
  <c r="G835"/>
  <c r="C835" s="1"/>
  <c r="G833"/>
  <c r="C833" s="1"/>
  <c r="G831"/>
  <c r="C831" s="1"/>
  <c r="G829"/>
  <c r="C829" s="1"/>
  <c r="G827"/>
  <c r="C827" s="1"/>
  <c r="G825"/>
  <c r="C825" s="1"/>
  <c r="G823"/>
  <c r="C823" s="1"/>
  <c r="G821"/>
  <c r="C821" s="1"/>
  <c r="G819"/>
  <c r="C819" s="1"/>
  <c r="G817"/>
  <c r="C817" s="1"/>
  <c r="G815"/>
  <c r="C815" s="1"/>
  <c r="G813"/>
  <c r="C813" s="1"/>
  <c r="G811"/>
  <c r="C811" s="1"/>
  <c r="G809"/>
  <c r="C809" s="1"/>
  <c r="G807"/>
  <c r="C807" s="1"/>
  <c r="G805"/>
  <c r="C805" s="1"/>
  <c r="G803"/>
  <c r="C803" s="1"/>
  <c r="G801"/>
  <c r="C801" s="1"/>
  <c r="G799"/>
  <c r="C799" s="1"/>
  <c r="G797"/>
  <c r="C797" s="1"/>
  <c r="G795"/>
  <c r="C795" s="1"/>
  <c r="G793"/>
  <c r="C793" s="1"/>
  <c r="G791"/>
  <c r="C791" s="1"/>
  <c r="G789"/>
  <c r="C789" s="1"/>
  <c r="G787"/>
  <c r="C787" s="1"/>
  <c r="G785"/>
  <c r="C785" s="1"/>
  <c r="G783"/>
  <c r="C783" s="1"/>
  <c r="G781"/>
  <c r="C781" s="1"/>
  <c r="G779"/>
  <c r="C779" s="1"/>
  <c r="G777"/>
  <c r="C777" s="1"/>
  <c r="G775"/>
  <c r="C775" s="1"/>
  <c r="G773"/>
  <c r="C773" s="1"/>
  <c r="G771"/>
  <c r="C771" s="1"/>
  <c r="G769"/>
  <c r="C769" s="1"/>
  <c r="G767"/>
  <c r="C767" s="1"/>
  <c r="G765"/>
  <c r="C765" s="1"/>
  <c r="G763"/>
  <c r="C763" s="1"/>
  <c r="G761"/>
  <c r="C761" s="1"/>
  <c r="G759"/>
  <c r="C759" s="1"/>
  <c r="G757"/>
  <c r="C757" s="1"/>
  <c r="G755"/>
  <c r="C755" s="1"/>
  <c r="G753"/>
  <c r="C753" s="1"/>
  <c r="G751"/>
  <c r="C751" s="1"/>
  <c r="G749"/>
  <c r="C749" s="1"/>
  <c r="G747"/>
  <c r="C747" s="1"/>
  <c r="G745"/>
  <c r="C745" s="1"/>
  <c r="G743"/>
  <c r="C743" s="1"/>
  <c r="G741"/>
  <c r="C741" s="1"/>
  <c r="G739"/>
  <c r="C739" s="1"/>
  <c r="G737"/>
  <c r="C737" s="1"/>
  <c r="G735"/>
  <c r="C735" s="1"/>
  <c r="G733"/>
  <c r="C733" s="1"/>
  <c r="G731"/>
  <c r="C731" s="1"/>
  <c r="G729"/>
  <c r="C729" s="1"/>
  <c r="G727"/>
  <c r="C727" s="1"/>
  <c r="G725"/>
  <c r="C725" s="1"/>
  <c r="G723"/>
  <c r="C723" s="1"/>
  <c r="G721"/>
  <c r="C721" s="1"/>
  <c r="G719"/>
  <c r="C719" s="1"/>
  <c r="G717"/>
  <c r="C717" s="1"/>
  <c r="G715"/>
  <c r="C715" s="1"/>
  <c r="G713"/>
  <c r="C713" s="1"/>
  <c r="G711"/>
  <c r="C711" s="1"/>
  <c r="G709"/>
  <c r="C709" s="1"/>
  <c r="G707"/>
  <c r="C707" s="1"/>
  <c r="G705"/>
  <c r="C705" s="1"/>
  <c r="G703"/>
  <c r="C703" s="1"/>
  <c r="G701"/>
  <c r="C701" s="1"/>
  <c r="G699"/>
  <c r="C699" s="1"/>
  <c r="G697"/>
  <c r="C697" s="1"/>
  <c r="G695"/>
  <c r="C695" s="1"/>
  <c r="G693"/>
  <c r="C693" s="1"/>
  <c r="G691"/>
  <c r="C691" s="1"/>
  <c r="G689"/>
  <c r="C689" s="1"/>
  <c r="G687"/>
  <c r="C687" s="1"/>
  <c r="G685"/>
  <c r="C685" s="1"/>
  <c r="G683"/>
  <c r="C683" s="1"/>
  <c r="G681"/>
  <c r="C681" s="1"/>
  <c r="G679"/>
  <c r="C679" s="1"/>
  <c r="G677"/>
  <c r="C677" s="1"/>
  <c r="G675"/>
  <c r="C675" s="1"/>
  <c r="G673"/>
  <c r="C673" s="1"/>
  <c r="G671"/>
  <c r="C671" s="1"/>
  <c r="G669"/>
  <c r="C669" s="1"/>
  <c r="G667"/>
  <c r="C667" s="1"/>
  <c r="G665"/>
  <c r="C665" s="1"/>
  <c r="G663"/>
  <c r="C663" s="1"/>
  <c r="G661"/>
  <c r="C661" s="1"/>
  <c r="G659"/>
  <c r="C659" s="1"/>
  <c r="G657"/>
  <c r="C657" s="1"/>
  <c r="G655"/>
  <c r="C655" s="1"/>
  <c r="G653"/>
  <c r="C653" s="1"/>
  <c r="G651"/>
  <c r="C651" s="1"/>
  <c r="G649"/>
  <c r="C649" s="1"/>
  <c r="G647"/>
  <c r="C647" s="1"/>
  <c r="G645"/>
  <c r="C645" s="1"/>
  <c r="G643"/>
  <c r="C643" s="1"/>
  <c r="G641"/>
  <c r="C641" s="1"/>
  <c r="G639"/>
  <c r="C639" s="1"/>
  <c r="G637"/>
  <c r="C637" s="1"/>
  <c r="G635"/>
  <c r="C635" s="1"/>
  <c r="G633"/>
  <c r="C633" s="1"/>
  <c r="G631"/>
  <c r="C631" s="1"/>
  <c r="G629"/>
  <c r="C629" s="1"/>
  <c r="G627"/>
  <c r="C627" s="1"/>
  <c r="G625"/>
  <c r="C625" s="1"/>
  <c r="G623"/>
  <c r="C623" s="1"/>
  <c r="G621"/>
  <c r="C621" s="1"/>
  <c r="G619"/>
  <c r="C619" s="1"/>
  <c r="G617"/>
  <c r="C617" s="1"/>
  <c r="G615"/>
  <c r="C615" s="1"/>
  <c r="G613"/>
  <c r="C613" s="1"/>
  <c r="G611"/>
  <c r="C611" s="1"/>
  <c r="G609"/>
  <c r="C609" s="1"/>
  <c r="G607"/>
  <c r="C607" s="1"/>
  <c r="G605"/>
  <c r="C605" s="1"/>
  <c r="G603"/>
  <c r="C603" s="1"/>
  <c r="G601"/>
  <c r="C601" s="1"/>
  <c r="G599"/>
  <c r="C599" s="1"/>
  <c r="G597"/>
  <c r="C597" s="1"/>
  <c r="G595"/>
  <c r="C595" s="1"/>
  <c r="G593"/>
  <c r="C593" s="1"/>
  <c r="G591"/>
  <c r="C591" s="1"/>
  <c r="G589"/>
  <c r="C589" s="1"/>
  <c r="G587"/>
  <c r="C587" s="1"/>
  <c r="G585"/>
  <c r="C585" s="1"/>
  <c r="G583"/>
  <c r="C583" s="1"/>
  <c r="G581"/>
  <c r="C581" s="1"/>
  <c r="G579"/>
  <c r="C579" s="1"/>
  <c r="G577"/>
  <c r="C577" s="1"/>
  <c r="G575"/>
  <c r="C575" s="1"/>
  <c r="G573"/>
  <c r="C573" s="1"/>
  <c r="G571"/>
  <c r="C571" s="1"/>
  <c r="G569"/>
  <c r="C569" s="1"/>
  <c r="G567"/>
  <c r="C567" s="1"/>
  <c r="G565"/>
  <c r="C565" s="1"/>
  <c r="G563"/>
  <c r="C563" s="1"/>
  <c r="G561"/>
  <c r="C561" s="1"/>
  <c r="G559"/>
  <c r="C559" s="1"/>
  <c r="G557"/>
  <c r="C557" s="1"/>
  <c r="G555"/>
  <c r="C555" s="1"/>
  <c r="G553"/>
  <c r="C553" s="1"/>
  <c r="G551"/>
  <c r="C551" s="1"/>
  <c r="G549"/>
  <c r="C549" s="1"/>
  <c r="G547"/>
  <c r="C547" s="1"/>
  <c r="G545"/>
  <c r="C545" s="1"/>
  <c r="G543"/>
  <c r="C543" s="1"/>
  <c r="G541"/>
  <c r="C541" s="1"/>
  <c r="G539"/>
  <c r="C539" s="1"/>
  <c r="G537"/>
  <c r="C537" s="1"/>
  <c r="G535"/>
  <c r="C535" s="1"/>
  <c r="G533"/>
  <c r="C533" s="1"/>
  <c r="G531"/>
  <c r="C531" s="1"/>
  <c r="G529"/>
  <c r="C529" s="1"/>
  <c r="G527"/>
  <c r="C527" s="1"/>
  <c r="G525"/>
  <c r="C525" s="1"/>
  <c r="G523"/>
  <c r="C523" s="1"/>
  <c r="G521"/>
  <c r="C521" s="1"/>
  <c r="G519"/>
  <c r="C519" s="1"/>
  <c r="G517"/>
  <c r="C517" s="1"/>
  <c r="G520"/>
  <c r="C520" s="1"/>
  <c r="G518"/>
  <c r="C518" s="1"/>
  <c r="G516"/>
  <c r="C516" s="1"/>
  <c r="G514"/>
  <c r="C514" s="1"/>
  <c r="G512"/>
  <c r="C512" s="1"/>
  <c r="G510"/>
  <c r="C510" s="1"/>
  <c r="G508"/>
  <c r="C508" s="1"/>
  <c r="G506"/>
  <c r="C506" s="1"/>
  <c r="G504"/>
  <c r="C504" s="1"/>
  <c r="G502"/>
  <c r="C502" s="1"/>
  <c r="G500"/>
  <c r="C500" s="1"/>
  <c r="G498"/>
  <c r="C498" s="1"/>
  <c r="G496"/>
  <c r="C496" s="1"/>
  <c r="G494"/>
  <c r="C494" s="1"/>
  <c r="G492"/>
  <c r="C492" s="1"/>
  <c r="G490"/>
  <c r="C490" s="1"/>
  <c r="G488"/>
  <c r="C488" s="1"/>
  <c r="G486"/>
  <c r="C486" s="1"/>
  <c r="G484"/>
  <c r="C484" s="1"/>
  <c r="G482"/>
  <c r="C482" s="1"/>
  <c r="G480"/>
  <c r="C480" s="1"/>
  <c r="G478"/>
  <c r="C478" s="1"/>
  <c r="G476"/>
  <c r="C476" s="1"/>
  <c r="G474"/>
  <c r="C474" s="1"/>
  <c r="G472"/>
  <c r="C472" s="1"/>
  <c r="G470"/>
  <c r="C470" s="1"/>
  <c r="G468"/>
  <c r="C468" s="1"/>
  <c r="G466"/>
  <c r="C466" s="1"/>
  <c r="G464"/>
  <c r="C464" s="1"/>
  <c r="G462"/>
  <c r="C462" s="1"/>
  <c r="G460"/>
  <c r="C460" s="1"/>
  <c r="G458"/>
  <c r="C458" s="1"/>
  <c r="G456"/>
  <c r="C456" s="1"/>
  <c r="G454"/>
  <c r="C454" s="1"/>
  <c r="G452"/>
  <c r="C452" s="1"/>
  <c r="G450"/>
  <c r="C450" s="1"/>
  <c r="G448"/>
  <c r="C448" s="1"/>
  <c r="G446"/>
  <c r="C446" s="1"/>
  <c r="G444"/>
  <c r="C444" s="1"/>
  <c r="G442"/>
  <c r="C442" s="1"/>
  <c r="G440"/>
  <c r="C440" s="1"/>
  <c r="G438"/>
  <c r="C438" s="1"/>
  <c r="G436"/>
  <c r="C436" s="1"/>
  <c r="G434"/>
  <c r="C434" s="1"/>
  <c r="G432"/>
  <c r="C432" s="1"/>
  <c r="G430"/>
  <c r="C430" s="1"/>
  <c r="G428"/>
  <c r="C428" s="1"/>
  <c r="G426"/>
  <c r="C426" s="1"/>
  <c r="G424"/>
  <c r="C424" s="1"/>
  <c r="G422"/>
  <c r="C422" s="1"/>
  <c r="G420"/>
  <c r="C420" s="1"/>
  <c r="G418"/>
  <c r="C418" s="1"/>
  <c r="G416"/>
  <c r="C416" s="1"/>
  <c r="G414"/>
  <c r="C414" s="1"/>
  <c r="G412"/>
  <c r="C412" s="1"/>
  <c r="G410"/>
  <c r="C410" s="1"/>
  <c r="G408"/>
  <c r="C408" s="1"/>
  <c r="G406"/>
  <c r="C406" s="1"/>
  <c r="G404"/>
  <c r="C404" s="1"/>
  <c r="G402"/>
  <c r="C402" s="1"/>
  <c r="G400"/>
  <c r="C400" s="1"/>
  <c r="G398"/>
  <c r="C398" s="1"/>
  <c r="G396"/>
  <c r="C396" s="1"/>
  <c r="G394"/>
  <c r="C394" s="1"/>
  <c r="G392"/>
  <c r="C392" s="1"/>
  <c r="G390"/>
  <c r="C390" s="1"/>
  <c r="G388"/>
  <c r="C388" s="1"/>
  <c r="G386"/>
  <c r="C386" s="1"/>
  <c r="G384"/>
  <c r="C384" s="1"/>
  <c r="G382"/>
  <c r="C382" s="1"/>
  <c r="G380"/>
  <c r="C380" s="1"/>
  <c r="G378"/>
  <c r="C378" s="1"/>
  <c r="G376"/>
  <c r="C376" s="1"/>
  <c r="G374"/>
  <c r="C374" s="1"/>
  <c r="G372"/>
  <c r="C372" s="1"/>
  <c r="G370"/>
  <c r="C370" s="1"/>
  <c r="G368"/>
  <c r="C368" s="1"/>
  <c r="G366"/>
  <c r="C366" s="1"/>
  <c r="G364"/>
  <c r="C364" s="1"/>
  <c r="G362"/>
  <c r="C362" s="1"/>
  <c r="G360"/>
  <c r="C360" s="1"/>
  <c r="G358"/>
  <c r="C358" s="1"/>
  <c r="G356"/>
  <c r="C356" s="1"/>
  <c r="G354"/>
  <c r="C354" s="1"/>
  <c r="G352"/>
  <c r="C352" s="1"/>
  <c r="G350"/>
  <c r="C350" s="1"/>
  <c r="G348"/>
  <c r="C348" s="1"/>
  <c r="G346"/>
  <c r="C346" s="1"/>
  <c r="G344"/>
  <c r="C344" s="1"/>
  <c r="G342"/>
  <c r="C342" s="1"/>
  <c r="G340"/>
  <c r="C340" s="1"/>
  <c r="G338"/>
  <c r="C338" s="1"/>
  <c r="G336"/>
  <c r="C336" s="1"/>
  <c r="G334"/>
  <c r="C334" s="1"/>
  <c r="G332"/>
  <c r="C332" s="1"/>
  <c r="G330"/>
  <c r="C330" s="1"/>
  <c r="G328"/>
  <c r="C328" s="1"/>
  <c r="G326"/>
  <c r="C326" s="1"/>
  <c r="G324"/>
  <c r="C324" s="1"/>
  <c r="G322"/>
  <c r="C322" s="1"/>
  <c r="G320"/>
  <c r="C320" s="1"/>
  <c r="G318"/>
  <c r="C318" s="1"/>
  <c r="G316"/>
  <c r="C316" s="1"/>
  <c r="G314"/>
  <c r="C314" s="1"/>
  <c r="G312"/>
  <c r="C312" s="1"/>
  <c r="G310"/>
  <c r="C310" s="1"/>
  <c r="G308"/>
  <c r="C308" s="1"/>
  <c r="G306"/>
  <c r="C306" s="1"/>
  <c r="G304"/>
  <c r="C304" s="1"/>
  <c r="G302"/>
  <c r="C302" s="1"/>
  <c r="G300"/>
  <c r="C300" s="1"/>
  <c r="G298"/>
  <c r="C298" s="1"/>
  <c r="G296"/>
  <c r="C296" s="1"/>
  <c r="G294"/>
  <c r="C294" s="1"/>
  <c r="G292"/>
  <c r="C292" s="1"/>
  <c r="G290"/>
  <c r="C290" s="1"/>
  <c r="G288"/>
  <c r="C288" s="1"/>
  <c r="G286"/>
  <c r="C286" s="1"/>
  <c r="G284"/>
  <c r="C284" s="1"/>
  <c r="G282"/>
  <c r="C282" s="1"/>
  <c r="G280"/>
  <c r="C280" s="1"/>
  <c r="G278"/>
  <c r="C278" s="1"/>
  <c r="G276"/>
  <c r="C276" s="1"/>
  <c r="G274"/>
  <c r="C274" s="1"/>
  <c r="G272"/>
  <c r="C272" s="1"/>
  <c r="G270"/>
  <c r="C270" s="1"/>
  <c r="G268"/>
  <c r="C268" s="1"/>
  <c r="G266"/>
  <c r="C266" s="1"/>
  <c r="G264"/>
  <c r="C264" s="1"/>
  <c r="G262"/>
  <c r="C262" s="1"/>
  <c r="G260"/>
  <c r="C260" s="1"/>
  <c r="G258"/>
  <c r="C258" s="1"/>
  <c r="G256"/>
  <c r="C256" s="1"/>
  <c r="G254"/>
  <c r="C254" s="1"/>
  <c r="G252"/>
  <c r="C252" s="1"/>
  <c r="G250"/>
  <c r="C250" s="1"/>
  <c r="G248"/>
  <c r="C248" s="1"/>
  <c r="G246"/>
  <c r="C246" s="1"/>
  <c r="G244"/>
  <c r="C244" s="1"/>
  <c r="G242"/>
  <c r="C242" s="1"/>
  <c r="G240"/>
  <c r="C240" s="1"/>
  <c r="G238"/>
  <c r="C238" s="1"/>
  <c r="G236"/>
  <c r="C236" s="1"/>
  <c r="G234"/>
  <c r="C234" s="1"/>
  <c r="G232"/>
  <c r="C232" s="1"/>
  <c r="G230"/>
  <c r="C230" s="1"/>
  <c r="G228"/>
  <c r="C228" s="1"/>
  <c r="G226"/>
  <c r="C226" s="1"/>
  <c r="G224"/>
  <c r="C224" s="1"/>
  <c r="G222"/>
  <c r="C222" s="1"/>
  <c r="G220"/>
  <c r="C220" s="1"/>
  <c r="G218"/>
  <c r="C218" s="1"/>
  <c r="G216"/>
  <c r="C216" s="1"/>
  <c r="G214"/>
  <c r="C214" s="1"/>
  <c r="G212"/>
  <c r="C212" s="1"/>
  <c r="G210"/>
  <c r="C210" s="1"/>
  <c r="G208"/>
  <c r="C208" s="1"/>
  <c r="G206"/>
  <c r="C206" s="1"/>
  <c r="G204"/>
  <c r="C204" s="1"/>
  <c r="G202"/>
  <c r="C202" s="1"/>
  <c r="G200"/>
  <c r="C200" s="1"/>
  <c r="G198"/>
  <c r="C198" s="1"/>
  <c r="G196"/>
  <c r="C196" s="1"/>
  <c r="G194"/>
  <c r="C194" s="1"/>
  <c r="G192"/>
  <c r="C192" s="1"/>
  <c r="G190"/>
  <c r="C190" s="1"/>
  <c r="G188"/>
  <c r="C188" s="1"/>
  <c r="G186"/>
  <c r="C186" s="1"/>
  <c r="G184"/>
  <c r="C184" s="1"/>
  <c r="G182"/>
  <c r="C182" s="1"/>
  <c r="G180"/>
  <c r="C180" s="1"/>
  <c r="G178"/>
  <c r="C178" s="1"/>
  <c r="G176"/>
  <c r="C176" s="1"/>
  <c r="G174"/>
  <c r="C174" s="1"/>
  <c r="G172"/>
  <c r="C172" s="1"/>
  <c r="G170"/>
  <c r="C170" s="1"/>
  <c r="G168"/>
  <c r="C168" s="1"/>
  <c r="G166"/>
  <c r="C166" s="1"/>
  <c r="G164"/>
  <c r="C164" s="1"/>
  <c r="G162"/>
  <c r="C162" s="1"/>
  <c r="G160"/>
  <c r="C160" s="1"/>
  <c r="G158"/>
  <c r="C158" s="1"/>
  <c r="G156"/>
  <c r="C156" s="1"/>
  <c r="G154"/>
  <c r="C154" s="1"/>
  <c r="G152"/>
  <c r="C152" s="1"/>
  <c r="G150"/>
  <c r="C150" s="1"/>
  <c r="G148"/>
  <c r="C148" s="1"/>
  <c r="G146"/>
  <c r="C146" s="1"/>
  <c r="G144"/>
  <c r="C144" s="1"/>
  <c r="G142"/>
  <c r="C142" s="1"/>
  <c r="G140"/>
  <c r="C140" s="1"/>
  <c r="G138"/>
  <c r="C138" s="1"/>
  <c r="G136"/>
  <c r="C136" s="1"/>
  <c r="G134"/>
  <c r="C134" s="1"/>
  <c r="G132"/>
  <c r="C132" s="1"/>
  <c r="G130"/>
  <c r="C130" s="1"/>
  <c r="G128"/>
  <c r="C128" s="1"/>
  <c r="G126"/>
  <c r="C126" s="1"/>
  <c r="G124"/>
  <c r="C124" s="1"/>
  <c r="G122"/>
  <c r="C122" s="1"/>
  <c r="G120"/>
  <c r="C120" s="1"/>
  <c r="G118"/>
  <c r="C118" s="1"/>
  <c r="G116"/>
  <c r="C116" s="1"/>
  <c r="G114"/>
  <c r="C114" s="1"/>
  <c r="G112"/>
  <c r="C112" s="1"/>
  <c r="G110"/>
  <c r="C110" s="1"/>
  <c r="G108"/>
  <c r="C108" s="1"/>
  <c r="G106"/>
  <c r="C106" s="1"/>
  <c r="G104"/>
  <c r="C104" s="1"/>
  <c r="G102"/>
  <c r="C102" s="1"/>
  <c r="G100"/>
  <c r="C100" s="1"/>
  <c r="G98"/>
  <c r="C98" s="1"/>
  <c r="G96"/>
  <c r="C96" s="1"/>
  <c r="G94"/>
  <c r="C94" s="1"/>
  <c r="G92"/>
  <c r="C92" s="1"/>
  <c r="G90"/>
  <c r="C90" s="1"/>
  <c r="G88"/>
  <c r="C88" s="1"/>
  <c r="G86"/>
  <c r="C86" s="1"/>
  <c r="G84"/>
  <c r="C84" s="1"/>
  <c r="G82"/>
  <c r="C82" s="1"/>
  <c r="G80"/>
  <c r="C80" s="1"/>
  <c r="G78"/>
  <c r="C78" s="1"/>
  <c r="G76"/>
  <c r="C76" s="1"/>
  <c r="G74"/>
  <c r="C74" s="1"/>
  <c r="G72"/>
  <c r="C72" s="1"/>
  <c r="G70"/>
  <c r="C70" s="1"/>
  <c r="G68"/>
  <c r="C68" s="1"/>
  <c r="G66"/>
  <c r="C66" s="1"/>
  <c r="G64"/>
  <c r="C64" s="1"/>
  <c r="G62"/>
  <c r="C62" s="1"/>
  <c r="G60"/>
  <c r="C60" s="1"/>
  <c r="G58"/>
  <c r="C58" s="1"/>
  <c r="G56"/>
  <c r="C56" s="1"/>
  <c r="G54"/>
  <c r="C54" s="1"/>
  <c r="G52"/>
  <c r="C52" s="1"/>
  <c r="G50"/>
  <c r="C50" s="1"/>
  <c r="G48"/>
  <c r="C48" s="1"/>
  <c r="G46"/>
  <c r="C46" s="1"/>
  <c r="G44"/>
  <c r="C44" s="1"/>
  <c r="G42"/>
  <c r="C42" s="1"/>
  <c r="G40"/>
  <c r="C40" s="1"/>
  <c r="G38"/>
  <c r="C38" s="1"/>
  <c r="G36"/>
  <c r="C36" s="1"/>
  <c r="G34"/>
  <c r="C34" s="1"/>
  <c r="G32"/>
  <c r="C32" s="1"/>
  <c r="G30"/>
  <c r="C30" s="1"/>
  <c r="G28"/>
  <c r="C28" s="1"/>
  <c r="G26"/>
  <c r="C26" s="1"/>
  <c r="G24"/>
  <c r="C24" s="1"/>
  <c r="G22"/>
  <c r="C22" s="1"/>
  <c r="G20"/>
  <c r="C20" s="1"/>
  <c r="G18"/>
  <c r="C18" s="1"/>
  <c r="G16"/>
  <c r="C16" s="1"/>
  <c r="G14"/>
  <c r="C14" s="1"/>
  <c r="G12"/>
  <c r="C12" s="1"/>
  <c r="G10"/>
  <c r="C10" s="1"/>
  <c r="G515"/>
  <c r="C515" s="1"/>
  <c r="G513"/>
  <c r="C513" s="1"/>
  <c r="G511"/>
  <c r="C511" s="1"/>
  <c r="G509"/>
  <c r="C509" s="1"/>
  <c r="G507"/>
  <c r="C507" s="1"/>
  <c r="G505"/>
  <c r="C505" s="1"/>
  <c r="G503"/>
  <c r="C503" s="1"/>
  <c r="G501"/>
  <c r="C501" s="1"/>
  <c r="G499"/>
  <c r="C499" s="1"/>
  <c r="G497"/>
  <c r="C497" s="1"/>
  <c r="G495"/>
  <c r="C495" s="1"/>
  <c r="G493"/>
  <c r="C493" s="1"/>
  <c r="G491"/>
  <c r="C491" s="1"/>
  <c r="G489"/>
  <c r="C489" s="1"/>
  <c r="G487"/>
  <c r="C487" s="1"/>
  <c r="G485"/>
  <c r="C485" s="1"/>
  <c r="G483"/>
  <c r="C483" s="1"/>
  <c r="G481"/>
  <c r="C481" s="1"/>
  <c r="G479"/>
  <c r="C479" s="1"/>
  <c r="G477"/>
  <c r="C477" s="1"/>
  <c r="G475"/>
  <c r="C475" s="1"/>
  <c r="G473"/>
  <c r="C473" s="1"/>
  <c r="G471"/>
  <c r="C471" s="1"/>
  <c r="G469"/>
  <c r="C469" s="1"/>
  <c r="G467"/>
  <c r="C467" s="1"/>
  <c r="G465"/>
  <c r="C465" s="1"/>
  <c r="G463"/>
  <c r="C463" s="1"/>
  <c r="G461"/>
  <c r="C461" s="1"/>
  <c r="G459"/>
  <c r="C459" s="1"/>
  <c r="G457"/>
  <c r="C457" s="1"/>
  <c r="G455"/>
  <c r="C455" s="1"/>
  <c r="G453"/>
  <c r="C453" s="1"/>
  <c r="G451"/>
  <c r="C451" s="1"/>
  <c r="G449"/>
  <c r="C449" s="1"/>
  <c r="G447"/>
  <c r="C447" s="1"/>
  <c r="G445"/>
  <c r="C445" s="1"/>
  <c r="G443"/>
  <c r="C443" s="1"/>
  <c r="G441"/>
  <c r="C441" s="1"/>
  <c r="G439"/>
  <c r="C439" s="1"/>
  <c r="G437"/>
  <c r="C437" s="1"/>
  <c r="G435"/>
  <c r="C435" s="1"/>
  <c r="G433"/>
  <c r="C433" s="1"/>
  <c r="G431"/>
  <c r="C431" s="1"/>
  <c r="G429"/>
  <c r="C429" s="1"/>
  <c r="G427"/>
  <c r="C427" s="1"/>
  <c r="G425"/>
  <c r="C425" s="1"/>
  <c r="G423"/>
  <c r="C423" s="1"/>
  <c r="G421"/>
  <c r="C421" s="1"/>
  <c r="G419"/>
  <c r="C419" s="1"/>
  <c r="G417"/>
  <c r="C417" s="1"/>
  <c r="G415"/>
  <c r="C415" s="1"/>
  <c r="G413"/>
  <c r="C413" s="1"/>
  <c r="G411"/>
  <c r="C411" s="1"/>
  <c r="G409"/>
  <c r="C409" s="1"/>
  <c r="G407"/>
  <c r="C407" s="1"/>
  <c r="G405"/>
  <c r="C405" s="1"/>
  <c r="G403"/>
  <c r="C403" s="1"/>
  <c r="G401"/>
  <c r="C401" s="1"/>
  <c r="G399"/>
  <c r="C399" s="1"/>
  <c r="G397"/>
  <c r="C397" s="1"/>
  <c r="G395"/>
  <c r="C395" s="1"/>
  <c r="G393"/>
  <c r="C393" s="1"/>
  <c r="G391"/>
  <c r="C391" s="1"/>
  <c r="G389"/>
  <c r="C389" s="1"/>
  <c r="G387"/>
  <c r="C387" s="1"/>
  <c r="G385"/>
  <c r="C385" s="1"/>
  <c r="G383"/>
  <c r="C383" s="1"/>
  <c r="G381"/>
  <c r="C381" s="1"/>
  <c r="G379"/>
  <c r="C379" s="1"/>
  <c r="G377"/>
  <c r="C377" s="1"/>
  <c r="G375"/>
  <c r="C375" s="1"/>
  <c r="G373"/>
  <c r="C373" s="1"/>
  <c r="G371"/>
  <c r="C371" s="1"/>
  <c r="G369"/>
  <c r="C369" s="1"/>
  <c r="G367"/>
  <c r="C367" s="1"/>
  <c r="G365"/>
  <c r="C365" s="1"/>
  <c r="G363"/>
  <c r="C363" s="1"/>
  <c r="G361"/>
  <c r="C361" s="1"/>
  <c r="G359"/>
  <c r="C359" s="1"/>
  <c r="G357"/>
  <c r="C357" s="1"/>
  <c r="G355"/>
  <c r="C355" s="1"/>
  <c r="G353"/>
  <c r="C353" s="1"/>
  <c r="G351"/>
  <c r="C351" s="1"/>
  <c r="G349"/>
  <c r="C349" s="1"/>
  <c r="G347"/>
  <c r="C347" s="1"/>
  <c r="G345"/>
  <c r="C345" s="1"/>
  <c r="G343"/>
  <c r="C343" s="1"/>
  <c r="G341"/>
  <c r="C341" s="1"/>
  <c r="G339"/>
  <c r="C339" s="1"/>
  <c r="G337"/>
  <c r="C337" s="1"/>
  <c r="G335"/>
  <c r="C335" s="1"/>
  <c r="G333"/>
  <c r="C333" s="1"/>
  <c r="G331"/>
  <c r="C331" s="1"/>
  <c r="G329"/>
  <c r="C329" s="1"/>
  <c r="G327"/>
  <c r="C327" s="1"/>
  <c r="G325"/>
  <c r="C325" s="1"/>
  <c r="G323"/>
  <c r="C323" s="1"/>
  <c r="G321"/>
  <c r="C321" s="1"/>
  <c r="G319"/>
  <c r="C319" s="1"/>
  <c r="G317"/>
  <c r="C317" s="1"/>
  <c r="G315"/>
  <c r="C315" s="1"/>
  <c r="G313"/>
  <c r="C313" s="1"/>
  <c r="G311"/>
  <c r="C311" s="1"/>
  <c r="G309"/>
  <c r="C309" s="1"/>
  <c r="G307"/>
  <c r="C307" s="1"/>
  <c r="G305"/>
  <c r="C305" s="1"/>
  <c r="G303"/>
  <c r="C303" s="1"/>
  <c r="G301"/>
  <c r="C301" s="1"/>
  <c r="G299"/>
  <c r="C299" s="1"/>
  <c r="G297"/>
  <c r="C297" s="1"/>
  <c r="G295"/>
  <c r="C295" s="1"/>
  <c r="G293"/>
  <c r="C293" s="1"/>
  <c r="G291"/>
  <c r="C291" s="1"/>
  <c r="G289"/>
  <c r="C289" s="1"/>
  <c r="G287"/>
  <c r="C287" s="1"/>
  <c r="G285"/>
  <c r="C285" s="1"/>
  <c r="G283"/>
  <c r="C283" s="1"/>
  <c r="G281"/>
  <c r="C281" s="1"/>
  <c r="G279"/>
  <c r="C279" s="1"/>
  <c r="G277"/>
  <c r="C277" s="1"/>
  <c r="G275"/>
  <c r="C275" s="1"/>
  <c r="G273"/>
  <c r="C273" s="1"/>
  <c r="G271"/>
  <c r="C271" s="1"/>
  <c r="G269"/>
  <c r="C269" s="1"/>
  <c r="G267"/>
  <c r="C267" s="1"/>
  <c r="G265"/>
  <c r="C265" s="1"/>
  <c r="G263"/>
  <c r="C263" s="1"/>
  <c r="G261"/>
  <c r="C261" s="1"/>
  <c r="G259"/>
  <c r="C259" s="1"/>
  <c r="G257"/>
  <c r="C257" s="1"/>
  <c r="G255"/>
  <c r="C255" s="1"/>
  <c r="G253"/>
  <c r="C253" s="1"/>
  <c r="G251"/>
  <c r="C251" s="1"/>
  <c r="G249"/>
  <c r="C249" s="1"/>
  <c r="G247"/>
  <c r="C247" s="1"/>
  <c r="G245"/>
  <c r="C245" s="1"/>
  <c r="G243"/>
  <c r="C243" s="1"/>
  <c r="G241"/>
  <c r="C241" s="1"/>
  <c r="G239"/>
  <c r="C239" s="1"/>
  <c r="G237"/>
  <c r="C237" s="1"/>
  <c r="G235"/>
  <c r="C235" s="1"/>
  <c r="G233"/>
  <c r="C233" s="1"/>
  <c r="G231"/>
  <c r="C231" s="1"/>
  <c r="G229"/>
  <c r="C229" s="1"/>
  <c r="G227"/>
  <c r="C227" s="1"/>
  <c r="G225"/>
  <c r="C225" s="1"/>
  <c r="G223"/>
  <c r="C223" s="1"/>
  <c r="G221"/>
  <c r="C221" s="1"/>
  <c r="G219"/>
  <c r="C219" s="1"/>
  <c r="G217"/>
  <c r="C217" s="1"/>
  <c r="G215"/>
  <c r="C215" s="1"/>
  <c r="G213"/>
  <c r="C213" s="1"/>
  <c r="G211"/>
  <c r="C211" s="1"/>
  <c r="G209"/>
  <c r="C209" s="1"/>
  <c r="G207"/>
  <c r="C207" s="1"/>
  <c r="G205"/>
  <c r="C205" s="1"/>
  <c r="G203"/>
  <c r="C203" s="1"/>
  <c r="G201"/>
  <c r="C201" s="1"/>
  <c r="G199"/>
  <c r="C199" s="1"/>
  <c r="G197"/>
  <c r="C197" s="1"/>
  <c r="G195"/>
  <c r="C195" s="1"/>
  <c r="G193"/>
  <c r="C193" s="1"/>
  <c r="G191"/>
  <c r="C191" s="1"/>
  <c r="G189"/>
  <c r="C189" s="1"/>
  <c r="G187"/>
  <c r="C187" s="1"/>
  <c r="G185"/>
  <c r="C185" s="1"/>
  <c r="G183"/>
  <c r="C183" s="1"/>
  <c r="G181"/>
  <c r="C181" s="1"/>
  <c r="G179"/>
  <c r="C179" s="1"/>
  <c r="G177"/>
  <c r="C177" s="1"/>
  <c r="G175"/>
  <c r="C175" s="1"/>
  <c r="G173"/>
  <c r="C173" s="1"/>
  <c r="G171"/>
  <c r="C171" s="1"/>
  <c r="G169"/>
  <c r="C169" s="1"/>
  <c r="G167"/>
  <c r="C167" s="1"/>
  <c r="G165"/>
  <c r="C165" s="1"/>
  <c r="G163"/>
  <c r="C163" s="1"/>
  <c r="G161"/>
  <c r="C161" s="1"/>
  <c r="G159"/>
  <c r="C159" s="1"/>
  <c r="G157"/>
  <c r="C157" s="1"/>
  <c r="G155"/>
  <c r="C155" s="1"/>
  <c r="G153"/>
  <c r="C153" s="1"/>
  <c r="G151"/>
  <c r="C151" s="1"/>
  <c r="G149"/>
  <c r="C149" s="1"/>
  <c r="G147"/>
  <c r="C147" s="1"/>
  <c r="G145"/>
  <c r="C145" s="1"/>
  <c r="G143"/>
  <c r="C143" s="1"/>
  <c r="G141"/>
  <c r="C141" s="1"/>
  <c r="G139"/>
  <c r="C139" s="1"/>
  <c r="G137"/>
  <c r="C137" s="1"/>
  <c r="G135"/>
  <c r="C135" s="1"/>
  <c r="G133"/>
  <c r="C133" s="1"/>
  <c r="G131"/>
  <c r="C131" s="1"/>
  <c r="G129"/>
  <c r="C129" s="1"/>
  <c r="G127"/>
  <c r="C127" s="1"/>
  <c r="G125"/>
  <c r="C125" s="1"/>
  <c r="G123"/>
  <c r="C123" s="1"/>
  <c r="G121"/>
  <c r="C121" s="1"/>
  <c r="G119"/>
  <c r="C119" s="1"/>
  <c r="G117"/>
  <c r="C117" s="1"/>
  <c r="G115"/>
  <c r="C115" s="1"/>
  <c r="G113"/>
  <c r="C113" s="1"/>
  <c r="G111"/>
  <c r="C111" s="1"/>
  <c r="G109"/>
  <c r="C109" s="1"/>
  <c r="G107"/>
  <c r="C107" s="1"/>
  <c r="G105"/>
  <c r="C105" s="1"/>
  <c r="G103"/>
  <c r="C103" s="1"/>
  <c r="G101"/>
  <c r="C101" s="1"/>
  <c r="G99"/>
  <c r="C99" s="1"/>
  <c r="G97"/>
  <c r="C97" s="1"/>
  <c r="G95"/>
  <c r="C95" s="1"/>
  <c r="G93"/>
  <c r="C93" s="1"/>
  <c r="G91"/>
  <c r="C91" s="1"/>
  <c r="G89"/>
  <c r="C89" s="1"/>
  <c r="G87"/>
  <c r="C87" s="1"/>
  <c r="G85"/>
  <c r="C85" s="1"/>
  <c r="G83"/>
  <c r="C83" s="1"/>
  <c r="G81"/>
  <c r="C81" s="1"/>
  <c r="G79"/>
  <c r="C79" s="1"/>
  <c r="G77"/>
  <c r="C77" s="1"/>
  <c r="G75"/>
  <c r="C75" s="1"/>
  <c r="G73"/>
  <c r="C73" s="1"/>
  <c r="G71"/>
  <c r="C71" s="1"/>
  <c r="G69"/>
  <c r="C69" s="1"/>
  <c r="G67"/>
  <c r="C67" s="1"/>
  <c r="G65"/>
  <c r="C65" s="1"/>
  <c r="G63"/>
  <c r="C63" s="1"/>
  <c r="G61"/>
  <c r="C61" s="1"/>
  <c r="G59"/>
  <c r="C59" s="1"/>
  <c r="G57"/>
  <c r="C57" s="1"/>
  <c r="G55"/>
  <c r="C55" s="1"/>
  <c r="G53"/>
  <c r="C53" s="1"/>
  <c r="G51"/>
  <c r="C51" s="1"/>
  <c r="G49"/>
  <c r="C49" s="1"/>
  <c r="G47"/>
  <c r="C47" s="1"/>
  <c r="G45"/>
  <c r="C45" s="1"/>
  <c r="G43"/>
  <c r="C43" s="1"/>
  <c r="G41"/>
  <c r="C41" s="1"/>
  <c r="G39"/>
  <c r="C39" s="1"/>
  <c r="G37"/>
  <c r="C37" s="1"/>
  <c r="G35"/>
  <c r="C35" s="1"/>
  <c r="G33"/>
  <c r="C33" s="1"/>
  <c r="G31"/>
  <c r="C31" s="1"/>
  <c r="G29"/>
  <c r="C29" s="1"/>
  <c r="G27"/>
  <c r="C27" s="1"/>
  <c r="G25"/>
  <c r="C25" s="1"/>
  <c r="G23"/>
  <c r="C23" s="1"/>
  <c r="G21"/>
  <c r="C21" s="1"/>
  <c r="G19"/>
  <c r="C19" s="1"/>
  <c r="G17"/>
  <c r="C17" s="1"/>
  <c r="G15"/>
  <c r="C15" s="1"/>
  <c r="C13"/>
  <c r="G11"/>
  <c r="C11" s="1"/>
  <c r="F1141" l="1"/>
  <c r="M1141"/>
  <c r="O1141"/>
  <c r="N1141"/>
  <c r="F1145"/>
  <c r="M1145"/>
  <c r="O1145"/>
  <c r="N1145"/>
  <c r="F1149"/>
  <c r="M1149"/>
  <c r="O1149"/>
  <c r="N1149"/>
  <c r="F1153"/>
  <c r="M1153"/>
  <c r="O1153"/>
  <c r="N1153"/>
  <c r="F1157"/>
  <c r="M1157"/>
  <c r="O1157"/>
  <c r="N1157"/>
  <c r="F1161"/>
  <c r="M1161"/>
  <c r="O1161"/>
  <c r="N1161"/>
  <c r="F1165"/>
  <c r="M1165"/>
  <c r="O1165"/>
  <c r="N1165"/>
  <c r="F1169"/>
  <c r="M1169"/>
  <c r="O1169"/>
  <c r="N1169"/>
  <c r="F1173"/>
  <c r="M1173"/>
  <c r="O1173"/>
  <c r="N1173"/>
  <c r="F1177"/>
  <c r="M1177"/>
  <c r="O1177"/>
  <c r="N1177"/>
  <c r="F1181"/>
  <c r="M1181"/>
  <c r="O1181"/>
  <c r="N1181"/>
  <c r="F1185"/>
  <c r="M1185"/>
  <c r="O1185"/>
  <c r="N1185"/>
  <c r="F1189"/>
  <c r="M1189"/>
  <c r="O1189"/>
  <c r="N1189"/>
  <c r="F1193"/>
  <c r="M1193"/>
  <c r="O1193"/>
  <c r="N1193"/>
  <c r="F1197"/>
  <c r="M1197"/>
  <c r="O1197"/>
  <c r="N1197"/>
  <c r="F1201"/>
  <c r="M1201"/>
  <c r="O1201"/>
  <c r="N1201"/>
  <c r="F1205"/>
  <c r="M1205"/>
  <c r="O1205"/>
  <c r="N1205"/>
  <c r="F1209"/>
  <c r="M1209"/>
  <c r="O1209"/>
  <c r="N1209"/>
  <c r="F1213"/>
  <c r="M1213"/>
  <c r="O1213"/>
  <c r="N1213"/>
  <c r="F1217"/>
  <c r="M1217"/>
  <c r="O1217"/>
  <c r="N1217"/>
  <c r="F1221"/>
  <c r="M1221"/>
  <c r="O1221"/>
  <c r="N1221"/>
  <c r="F1225"/>
  <c r="M1225"/>
  <c r="O1225"/>
  <c r="N1225"/>
  <c r="F1229"/>
  <c r="M1229"/>
  <c r="O1229"/>
  <c r="N1229"/>
  <c r="F1233"/>
  <c r="M1233"/>
  <c r="O1233"/>
  <c r="N1233"/>
  <c r="F1237"/>
  <c r="M1237"/>
  <c r="O1237"/>
  <c r="N1237"/>
  <c r="F1241"/>
  <c r="M1241"/>
  <c r="O1241"/>
  <c r="N1241"/>
  <c r="F1245"/>
  <c r="M1245"/>
  <c r="O1245"/>
  <c r="N1245"/>
  <c r="F1249"/>
  <c r="M1249"/>
  <c r="O1249"/>
  <c r="N1249"/>
  <c r="F1253"/>
  <c r="M1253"/>
  <c r="O1253"/>
  <c r="N1253"/>
  <c r="F1257"/>
  <c r="M1257"/>
  <c r="O1257"/>
  <c r="N1257"/>
  <c r="F1261"/>
  <c r="M1261"/>
  <c r="O1261"/>
  <c r="N1261"/>
  <c r="F1265"/>
  <c r="M1265"/>
  <c r="O1265"/>
  <c r="N1265"/>
  <c r="F1269"/>
  <c r="M1269"/>
  <c r="O1269"/>
  <c r="N1269"/>
  <c r="F1273"/>
  <c r="M1273"/>
  <c r="O1273"/>
  <c r="N1273"/>
  <c r="F1277"/>
  <c r="M1277"/>
  <c r="O1277"/>
  <c r="N1277"/>
  <c r="F1281"/>
  <c r="M1281"/>
  <c r="O1281"/>
  <c r="N1281"/>
  <c r="F1285"/>
  <c r="M1285"/>
  <c r="O1285"/>
  <c r="N1285"/>
  <c r="F1289"/>
  <c r="M1289"/>
  <c r="O1289"/>
  <c r="N1289"/>
  <c r="F1293"/>
  <c r="M1293"/>
  <c r="O1293"/>
  <c r="N1293"/>
  <c r="F1297"/>
  <c r="M1297"/>
  <c r="O1297"/>
  <c r="N1297"/>
  <c r="F1301"/>
  <c r="M1301"/>
  <c r="O1301"/>
  <c r="N1301"/>
  <c r="F1305"/>
  <c r="M1305"/>
  <c r="O1305"/>
  <c r="N1305"/>
  <c r="F1309"/>
  <c r="M1309"/>
  <c r="O1309"/>
  <c r="N1309"/>
  <c r="F1313"/>
  <c r="N1313"/>
  <c r="M1313"/>
  <c r="O1313"/>
  <c r="F1317"/>
  <c r="N1317"/>
  <c r="M1317"/>
  <c r="O1317"/>
  <c r="F1321"/>
  <c r="N1321"/>
  <c r="M1321"/>
  <c r="O1321"/>
  <c r="F1140"/>
  <c r="N1140"/>
  <c r="M1140"/>
  <c r="O1140"/>
  <c r="F1144"/>
  <c r="N1144"/>
  <c r="M1144"/>
  <c r="O1144"/>
  <c r="F1148"/>
  <c r="N1148"/>
  <c r="M1148"/>
  <c r="O1148"/>
  <c r="F1152"/>
  <c r="N1152"/>
  <c r="M1152"/>
  <c r="O1152"/>
  <c r="F1156"/>
  <c r="N1156"/>
  <c r="M1156"/>
  <c r="O1156"/>
  <c r="F1160"/>
  <c r="N1160"/>
  <c r="M1160"/>
  <c r="O1160"/>
  <c r="F1164"/>
  <c r="N1164"/>
  <c r="M1164"/>
  <c r="O1164"/>
  <c r="F1168"/>
  <c r="N1168"/>
  <c r="M1168"/>
  <c r="O1168"/>
  <c r="F1172"/>
  <c r="N1172"/>
  <c r="M1172"/>
  <c r="O1172"/>
  <c r="F1176"/>
  <c r="N1176"/>
  <c r="M1176"/>
  <c r="O1176"/>
  <c r="F1180"/>
  <c r="N1180"/>
  <c r="M1180"/>
  <c r="O1180"/>
  <c r="F1184"/>
  <c r="N1184"/>
  <c r="M1184"/>
  <c r="O1184"/>
  <c r="F1188"/>
  <c r="N1188"/>
  <c r="M1188"/>
  <c r="O1188"/>
  <c r="F1192"/>
  <c r="N1192"/>
  <c r="M1192"/>
  <c r="O1192"/>
  <c r="F1196"/>
  <c r="N1196"/>
  <c r="M1196"/>
  <c r="O1196"/>
  <c r="F1200"/>
  <c r="N1200"/>
  <c r="M1200"/>
  <c r="O1200"/>
  <c r="F1204"/>
  <c r="N1204"/>
  <c r="M1204"/>
  <c r="O1204"/>
  <c r="F1208"/>
  <c r="N1208"/>
  <c r="M1208"/>
  <c r="O1208"/>
  <c r="F1212"/>
  <c r="N1212"/>
  <c r="M1212"/>
  <c r="O1212"/>
  <c r="F1216"/>
  <c r="N1216"/>
  <c r="M1216"/>
  <c r="O1216"/>
  <c r="F1220"/>
  <c r="N1220"/>
  <c r="M1220"/>
  <c r="O1220"/>
  <c r="F1224"/>
  <c r="N1224"/>
  <c r="M1224"/>
  <c r="O1224"/>
  <c r="F1228"/>
  <c r="N1228"/>
  <c r="M1228"/>
  <c r="O1228"/>
  <c r="F1232"/>
  <c r="N1232"/>
  <c r="M1232"/>
  <c r="O1232"/>
  <c r="F1236"/>
  <c r="N1236"/>
  <c r="M1236"/>
  <c r="O1236"/>
  <c r="F1240"/>
  <c r="N1240"/>
  <c r="M1240"/>
  <c r="O1240"/>
  <c r="F1244"/>
  <c r="N1244"/>
  <c r="M1244"/>
  <c r="O1244"/>
  <c r="F1248"/>
  <c r="N1248"/>
  <c r="M1248"/>
  <c r="O1248"/>
  <c r="F1252"/>
  <c r="N1252"/>
  <c r="M1252"/>
  <c r="O1252"/>
  <c r="F1256"/>
  <c r="N1256"/>
  <c r="M1256"/>
  <c r="O1256"/>
  <c r="F1260"/>
  <c r="N1260"/>
  <c r="M1260"/>
  <c r="O1260"/>
  <c r="F1264"/>
  <c r="N1264"/>
  <c r="M1264"/>
  <c r="O1264"/>
  <c r="F1268"/>
  <c r="N1268"/>
  <c r="M1268"/>
  <c r="O1268"/>
  <c r="F1272"/>
  <c r="N1272"/>
  <c r="M1272"/>
  <c r="O1272"/>
  <c r="F1276"/>
  <c r="N1276"/>
  <c r="M1276"/>
  <c r="O1276"/>
  <c r="F1280"/>
  <c r="N1280"/>
  <c r="M1280"/>
  <c r="O1280"/>
  <c r="F1284"/>
  <c r="N1284"/>
  <c r="M1284"/>
  <c r="O1284"/>
  <c r="F1288"/>
  <c r="N1288"/>
  <c r="M1288"/>
  <c r="O1288"/>
  <c r="F1292"/>
  <c r="N1292"/>
  <c r="M1292"/>
  <c r="O1292"/>
  <c r="F1296"/>
  <c r="N1296"/>
  <c r="M1296"/>
  <c r="O1296"/>
  <c r="F1300"/>
  <c r="N1300"/>
  <c r="M1300"/>
  <c r="O1300"/>
  <c r="F1304"/>
  <c r="N1304"/>
  <c r="M1304"/>
  <c r="O1304"/>
  <c r="F1308"/>
  <c r="N1308"/>
  <c r="M1308"/>
  <c r="O1308"/>
  <c r="F1312"/>
  <c r="M1312"/>
  <c r="O1312"/>
  <c r="N1312"/>
  <c r="F1316"/>
  <c r="M1316"/>
  <c r="O1316"/>
  <c r="N1316"/>
  <c r="F1320"/>
  <c r="M1320"/>
  <c r="O1320"/>
  <c r="N1320"/>
  <c r="F1143"/>
  <c r="M1143"/>
  <c r="O1143"/>
  <c r="N1143"/>
  <c r="F1147"/>
  <c r="M1147"/>
  <c r="O1147"/>
  <c r="N1147"/>
  <c r="F1151"/>
  <c r="M1151"/>
  <c r="O1151"/>
  <c r="N1151"/>
  <c r="F1155"/>
  <c r="M1155"/>
  <c r="O1155"/>
  <c r="N1155"/>
  <c r="F1159"/>
  <c r="M1159"/>
  <c r="O1159"/>
  <c r="N1159"/>
  <c r="F1163"/>
  <c r="M1163"/>
  <c r="O1163"/>
  <c r="N1163"/>
  <c r="F1167"/>
  <c r="M1167"/>
  <c r="O1167"/>
  <c r="N1167"/>
  <c r="F1171"/>
  <c r="M1171"/>
  <c r="O1171"/>
  <c r="N1171"/>
  <c r="F1175"/>
  <c r="M1175"/>
  <c r="O1175"/>
  <c r="N1175"/>
  <c r="F1179"/>
  <c r="M1179"/>
  <c r="O1179"/>
  <c r="N1179"/>
  <c r="F1183"/>
  <c r="M1183"/>
  <c r="O1183"/>
  <c r="N1183"/>
  <c r="F1187"/>
  <c r="M1187"/>
  <c r="O1187"/>
  <c r="N1187"/>
  <c r="F1191"/>
  <c r="M1191"/>
  <c r="O1191"/>
  <c r="N1191"/>
  <c r="F1195"/>
  <c r="M1195"/>
  <c r="O1195"/>
  <c r="N1195"/>
  <c r="F1199"/>
  <c r="M1199"/>
  <c r="O1199"/>
  <c r="N1199"/>
  <c r="F1203"/>
  <c r="M1203"/>
  <c r="O1203"/>
  <c r="N1203"/>
  <c r="F1207"/>
  <c r="M1207"/>
  <c r="O1207"/>
  <c r="N1207"/>
  <c r="F1211"/>
  <c r="M1211"/>
  <c r="O1211"/>
  <c r="N1211"/>
  <c r="F1215"/>
  <c r="M1215"/>
  <c r="O1215"/>
  <c r="N1215"/>
  <c r="F1219"/>
  <c r="M1219"/>
  <c r="O1219"/>
  <c r="N1219"/>
  <c r="F1223"/>
  <c r="M1223"/>
  <c r="O1223"/>
  <c r="N1223"/>
  <c r="F1227"/>
  <c r="M1227"/>
  <c r="O1227"/>
  <c r="N1227"/>
  <c r="F1231"/>
  <c r="M1231"/>
  <c r="O1231"/>
  <c r="N1231"/>
  <c r="F1235"/>
  <c r="M1235"/>
  <c r="O1235"/>
  <c r="N1235"/>
  <c r="F1239"/>
  <c r="M1239"/>
  <c r="O1239"/>
  <c r="N1239"/>
  <c r="F1243"/>
  <c r="M1243"/>
  <c r="O1243"/>
  <c r="N1243"/>
  <c r="F1247"/>
  <c r="M1247"/>
  <c r="O1247"/>
  <c r="N1247"/>
  <c r="F1251"/>
  <c r="M1251"/>
  <c r="O1251"/>
  <c r="N1251"/>
  <c r="F1255"/>
  <c r="M1255"/>
  <c r="O1255"/>
  <c r="N1255"/>
  <c r="F1259"/>
  <c r="M1259"/>
  <c r="O1259"/>
  <c r="N1259"/>
  <c r="F1263"/>
  <c r="M1263"/>
  <c r="O1263"/>
  <c r="N1263"/>
  <c r="F1267"/>
  <c r="M1267"/>
  <c r="O1267"/>
  <c r="N1267"/>
  <c r="F1271"/>
  <c r="M1271"/>
  <c r="O1271"/>
  <c r="N1271"/>
  <c r="F1275"/>
  <c r="M1275"/>
  <c r="O1275"/>
  <c r="N1275"/>
  <c r="F1279"/>
  <c r="M1279"/>
  <c r="O1279"/>
  <c r="N1279"/>
  <c r="F1283"/>
  <c r="M1283"/>
  <c r="O1283"/>
  <c r="N1283"/>
  <c r="F1287"/>
  <c r="M1287"/>
  <c r="O1287"/>
  <c r="N1287"/>
  <c r="F1291"/>
  <c r="M1291"/>
  <c r="O1291"/>
  <c r="N1291"/>
  <c r="F1295"/>
  <c r="M1295"/>
  <c r="O1295"/>
  <c r="N1295"/>
  <c r="F1299"/>
  <c r="M1299"/>
  <c r="O1299"/>
  <c r="N1299"/>
  <c r="F1303"/>
  <c r="M1303"/>
  <c r="O1303"/>
  <c r="N1303"/>
  <c r="F1307"/>
  <c r="M1307"/>
  <c r="O1307"/>
  <c r="N1307"/>
  <c r="F1311"/>
  <c r="N1311"/>
  <c r="M1311"/>
  <c r="O1311"/>
  <c r="F1315"/>
  <c r="N1315"/>
  <c r="M1315"/>
  <c r="O1315"/>
  <c r="F1319"/>
  <c r="N1319"/>
  <c r="M1319"/>
  <c r="O1319"/>
  <c r="F1142"/>
  <c r="N1142"/>
  <c r="M1142"/>
  <c r="O1142"/>
  <c r="F1146"/>
  <c r="N1146"/>
  <c r="M1146"/>
  <c r="O1146"/>
  <c r="F1150"/>
  <c r="N1150"/>
  <c r="M1150"/>
  <c r="O1150"/>
  <c r="F1154"/>
  <c r="N1154"/>
  <c r="M1154"/>
  <c r="O1154"/>
  <c r="F1158"/>
  <c r="N1158"/>
  <c r="M1158"/>
  <c r="O1158"/>
  <c r="F1162"/>
  <c r="N1162"/>
  <c r="M1162"/>
  <c r="O1162"/>
  <c r="F1166"/>
  <c r="N1166"/>
  <c r="M1166"/>
  <c r="O1166"/>
  <c r="F1170"/>
  <c r="N1170"/>
  <c r="M1170"/>
  <c r="O1170"/>
  <c r="F1174"/>
  <c r="N1174"/>
  <c r="M1174"/>
  <c r="O1174"/>
  <c r="F1178"/>
  <c r="N1178"/>
  <c r="M1178"/>
  <c r="O1178"/>
  <c r="F1182"/>
  <c r="N1182"/>
  <c r="M1182"/>
  <c r="O1182"/>
  <c r="F1186"/>
  <c r="N1186"/>
  <c r="M1186"/>
  <c r="O1186"/>
  <c r="F1190"/>
  <c r="N1190"/>
  <c r="M1190"/>
  <c r="O1190"/>
  <c r="F1194"/>
  <c r="N1194"/>
  <c r="M1194"/>
  <c r="O1194"/>
  <c r="F1198"/>
  <c r="N1198"/>
  <c r="M1198"/>
  <c r="O1198"/>
  <c r="F1202"/>
  <c r="N1202"/>
  <c r="M1202"/>
  <c r="O1202"/>
  <c r="F1206"/>
  <c r="N1206"/>
  <c r="M1206"/>
  <c r="O1206"/>
  <c r="F1210"/>
  <c r="N1210"/>
  <c r="M1210"/>
  <c r="O1210"/>
  <c r="F1214"/>
  <c r="N1214"/>
  <c r="M1214"/>
  <c r="O1214"/>
  <c r="F1218"/>
  <c r="N1218"/>
  <c r="M1218"/>
  <c r="O1218"/>
  <c r="F1222"/>
  <c r="N1222"/>
  <c r="M1222"/>
  <c r="O1222"/>
  <c r="F1226"/>
  <c r="N1226"/>
  <c r="M1226"/>
  <c r="O1226"/>
  <c r="F1230"/>
  <c r="N1230"/>
  <c r="M1230"/>
  <c r="O1230"/>
  <c r="F1234"/>
  <c r="N1234"/>
  <c r="M1234"/>
  <c r="O1234"/>
  <c r="F1238"/>
  <c r="N1238"/>
  <c r="M1238"/>
  <c r="O1238"/>
  <c r="F1242"/>
  <c r="N1242"/>
  <c r="M1242"/>
  <c r="O1242"/>
  <c r="F1246"/>
  <c r="N1246"/>
  <c r="M1246"/>
  <c r="O1246"/>
  <c r="F1250"/>
  <c r="N1250"/>
  <c r="M1250"/>
  <c r="O1250"/>
  <c r="F1254"/>
  <c r="N1254"/>
  <c r="M1254"/>
  <c r="O1254"/>
  <c r="F1258"/>
  <c r="N1258"/>
  <c r="M1258"/>
  <c r="O1258"/>
  <c r="F1262"/>
  <c r="N1262"/>
  <c r="M1262"/>
  <c r="O1262"/>
  <c r="F1266"/>
  <c r="N1266"/>
  <c r="M1266"/>
  <c r="O1266"/>
  <c r="F1270"/>
  <c r="N1270"/>
  <c r="M1270"/>
  <c r="O1270"/>
  <c r="F1274"/>
  <c r="N1274"/>
  <c r="M1274"/>
  <c r="O1274"/>
  <c r="F1278"/>
  <c r="N1278"/>
  <c r="M1278"/>
  <c r="O1278"/>
  <c r="F1282"/>
  <c r="N1282"/>
  <c r="M1282"/>
  <c r="O1282"/>
  <c r="F1286"/>
  <c r="N1286"/>
  <c r="M1286"/>
  <c r="O1286"/>
  <c r="F1290"/>
  <c r="N1290"/>
  <c r="M1290"/>
  <c r="O1290"/>
  <c r="F1294"/>
  <c r="N1294"/>
  <c r="M1294"/>
  <c r="O1294"/>
  <c r="F1298"/>
  <c r="N1298"/>
  <c r="M1298"/>
  <c r="O1298"/>
  <c r="F1302"/>
  <c r="N1302"/>
  <c r="M1302"/>
  <c r="O1302"/>
  <c r="F1306"/>
  <c r="N1306"/>
  <c r="M1306"/>
  <c r="O1306"/>
  <c r="F1310"/>
  <c r="M1310"/>
  <c r="O1310"/>
  <c r="N1310"/>
  <c r="F1314"/>
  <c r="M1314"/>
  <c r="O1314"/>
  <c r="N1314"/>
  <c r="F1318"/>
  <c r="M1318"/>
  <c r="O1318"/>
  <c r="N1318"/>
  <c r="F1322"/>
  <c r="M1322"/>
  <c r="O1322"/>
  <c r="N1322"/>
  <c r="F11"/>
  <c r="F19"/>
  <c r="F23"/>
  <c r="F31"/>
  <c r="F39"/>
  <c r="F43"/>
  <c r="F51"/>
  <c r="F59"/>
  <c r="F67"/>
  <c r="F75"/>
  <c r="F83"/>
  <c r="F91"/>
  <c r="F103"/>
  <c r="F111"/>
  <c r="F119"/>
  <c r="F127"/>
  <c r="F135"/>
  <c r="F147"/>
  <c r="F151"/>
  <c r="F155"/>
  <c r="F163"/>
  <c r="F167"/>
  <c r="F171"/>
  <c r="F175"/>
  <c r="F179"/>
  <c r="F13"/>
  <c r="F17"/>
  <c r="F21"/>
  <c r="F25"/>
  <c r="F29"/>
  <c r="F33"/>
  <c r="F37"/>
  <c r="F41"/>
  <c r="F45"/>
  <c r="F49"/>
  <c r="F53"/>
  <c r="F57"/>
  <c r="F61"/>
  <c r="F65"/>
  <c r="F69"/>
  <c r="F73"/>
  <c r="F77"/>
  <c r="F81"/>
  <c r="F85"/>
  <c r="F89"/>
  <c r="F15"/>
  <c r="F27"/>
  <c r="F35"/>
  <c r="F47"/>
  <c r="F55"/>
  <c r="F63"/>
  <c r="F71"/>
  <c r="F79"/>
  <c r="F87"/>
  <c r="F95"/>
  <c r="F99"/>
  <c r="F107"/>
  <c r="F115"/>
  <c r="F123"/>
  <c r="F131"/>
  <c r="F139"/>
  <c r="F143"/>
  <c r="F159"/>
  <c r="F183"/>
  <c r="F187"/>
  <c r="F191"/>
  <c r="F195"/>
  <c r="F199"/>
  <c r="F203"/>
  <c r="F207"/>
  <c r="F211"/>
  <c r="F215"/>
  <c r="F219"/>
  <c r="F223"/>
  <c r="F227"/>
  <c r="F231"/>
  <c r="F235"/>
  <c r="F239"/>
  <c r="F243"/>
  <c r="F247"/>
  <c r="F251"/>
  <c r="F255"/>
  <c r="F259"/>
  <c r="F263"/>
  <c r="F267"/>
  <c r="F93"/>
  <c r="F97"/>
  <c r="F101"/>
  <c r="F105"/>
  <c r="F109"/>
  <c r="F113"/>
  <c r="F117"/>
  <c r="F121"/>
  <c r="F125"/>
  <c r="F129"/>
  <c r="F133"/>
  <c r="F137"/>
  <c r="F141"/>
  <c r="F145"/>
  <c r="F149"/>
  <c r="F153"/>
  <c r="F157"/>
  <c r="F161"/>
  <c r="F165"/>
  <c r="F169"/>
  <c r="F173"/>
  <c r="F177"/>
  <c r="F181"/>
  <c r="F185"/>
  <c r="F189"/>
  <c r="F193"/>
  <c r="F197"/>
  <c r="F201"/>
  <c r="F205"/>
  <c r="F209"/>
  <c r="F213"/>
  <c r="F217"/>
  <c r="F221"/>
  <c r="F225"/>
  <c r="F229"/>
  <c r="F233"/>
  <c r="F237"/>
  <c r="F241"/>
  <c r="F245"/>
  <c r="F249"/>
  <c r="F253"/>
  <c r="F257"/>
  <c r="F261"/>
  <c r="F265"/>
  <c r="F269"/>
  <c r="F273"/>
  <c r="F277"/>
  <c r="F281"/>
  <c r="F285"/>
  <c r="F289"/>
  <c r="M289"/>
  <c r="O289"/>
  <c r="N289"/>
  <c r="F293"/>
  <c r="F297"/>
  <c r="F301"/>
  <c r="F305"/>
  <c r="F309"/>
  <c r="F313"/>
  <c r="F317"/>
  <c r="F321"/>
  <c r="F325"/>
  <c r="F329"/>
  <c r="F333"/>
  <c r="F337"/>
  <c r="F341"/>
  <c r="F345"/>
  <c r="F349"/>
  <c r="F353"/>
  <c r="F357"/>
  <c r="F361"/>
  <c r="F365"/>
  <c r="F369"/>
  <c r="F373"/>
  <c r="F377"/>
  <c r="F381"/>
  <c r="F385"/>
  <c r="F389"/>
  <c r="F393"/>
  <c r="F397"/>
  <c r="F401"/>
  <c r="F405"/>
  <c r="F409"/>
  <c r="F413"/>
  <c r="F417"/>
  <c r="F421"/>
  <c r="F425"/>
  <c r="F429"/>
  <c r="F433"/>
  <c r="F437"/>
  <c r="F441"/>
  <c r="F445"/>
  <c r="F449"/>
  <c r="F453"/>
  <c r="F457"/>
  <c r="F461"/>
  <c r="F465"/>
  <c r="F469"/>
  <c r="F473"/>
  <c r="F477"/>
  <c r="F481"/>
  <c r="F485"/>
  <c r="F489"/>
  <c r="F493"/>
  <c r="F497"/>
  <c r="F501"/>
  <c r="F505"/>
  <c r="F509"/>
  <c r="F513"/>
  <c r="F14"/>
  <c r="F18"/>
  <c r="F22"/>
  <c r="F26"/>
  <c r="F30"/>
  <c r="F34"/>
  <c r="F38"/>
  <c r="F42"/>
  <c r="F46"/>
  <c r="F50"/>
  <c r="F54"/>
  <c r="F58"/>
  <c r="F62"/>
  <c r="F66"/>
  <c r="F70"/>
  <c r="F74"/>
  <c r="F78"/>
  <c r="F82"/>
  <c r="F86"/>
  <c r="F90"/>
  <c r="F94"/>
  <c r="F98"/>
  <c r="F102"/>
  <c r="F106"/>
  <c r="F110"/>
  <c r="F114"/>
  <c r="F118"/>
  <c r="F122"/>
  <c r="F126"/>
  <c r="F130"/>
  <c r="F134"/>
  <c r="F138"/>
  <c r="F142"/>
  <c r="F146"/>
  <c r="F150"/>
  <c r="F154"/>
  <c r="F158"/>
  <c r="F162"/>
  <c r="F166"/>
  <c r="F170"/>
  <c r="F174"/>
  <c r="F178"/>
  <c r="F182"/>
  <c r="F186"/>
  <c r="F190"/>
  <c r="F194"/>
  <c r="F198"/>
  <c r="F202"/>
  <c r="F206"/>
  <c r="F210"/>
  <c r="F214"/>
  <c r="F218"/>
  <c r="F222"/>
  <c r="F226"/>
  <c r="F230"/>
  <c r="F234"/>
  <c r="F238"/>
  <c r="F242"/>
  <c r="F246"/>
  <c r="F250"/>
  <c r="F254"/>
  <c r="F258"/>
  <c r="F262"/>
  <c r="F266"/>
  <c r="F270"/>
  <c r="F274"/>
  <c r="F278"/>
  <c r="F282"/>
  <c r="F286"/>
  <c r="F290"/>
  <c r="F294"/>
  <c r="F298"/>
  <c r="F302"/>
  <c r="F306"/>
  <c r="F310"/>
  <c r="F314"/>
  <c r="F318"/>
  <c r="F322"/>
  <c r="F326"/>
  <c r="F330"/>
  <c r="F334"/>
  <c r="F338"/>
  <c r="F342"/>
  <c r="F346"/>
  <c r="F350"/>
  <c r="F354"/>
  <c r="F358"/>
  <c r="F362"/>
  <c r="F366"/>
  <c r="F370"/>
  <c r="F374"/>
  <c r="F378"/>
  <c r="F382"/>
  <c r="F386"/>
  <c r="F390"/>
  <c r="F394"/>
  <c r="F398"/>
  <c r="F402"/>
  <c r="F406"/>
  <c r="F410"/>
  <c r="F414"/>
  <c r="F418"/>
  <c r="F422"/>
  <c r="F426"/>
  <c r="F430"/>
  <c r="F434"/>
  <c r="F438"/>
  <c r="F442"/>
  <c r="F446"/>
  <c r="F450"/>
  <c r="F454"/>
  <c r="F458"/>
  <c r="F462"/>
  <c r="F466"/>
  <c r="F470"/>
  <c r="F474"/>
  <c r="F478"/>
  <c r="F482"/>
  <c r="F486"/>
  <c r="F490"/>
  <c r="F494"/>
  <c r="F498"/>
  <c r="F502"/>
  <c r="F506"/>
  <c r="F510"/>
  <c r="F514"/>
  <c r="F518"/>
  <c r="F517"/>
  <c r="F521"/>
  <c r="F525"/>
  <c r="F529"/>
  <c r="F533"/>
  <c r="F537"/>
  <c r="F541"/>
  <c r="F545"/>
  <c r="F549"/>
  <c r="F553"/>
  <c r="F557"/>
  <c r="F561"/>
  <c r="F565"/>
  <c r="F569"/>
  <c r="F573"/>
  <c r="F577"/>
  <c r="F581"/>
  <c r="F585"/>
  <c r="F589"/>
  <c r="F593"/>
  <c r="F597"/>
  <c r="F601"/>
  <c r="F605"/>
  <c r="F609"/>
  <c r="F613"/>
  <c r="F617"/>
  <c r="F621"/>
  <c r="F625"/>
  <c r="F629"/>
  <c r="F633"/>
  <c r="F637"/>
  <c r="F641"/>
  <c r="F645"/>
  <c r="F649"/>
  <c r="F653"/>
  <c r="F657"/>
  <c r="F661"/>
  <c r="F665"/>
  <c r="F669"/>
  <c r="F673"/>
  <c r="F677"/>
  <c r="F681"/>
  <c r="F685"/>
  <c r="F689"/>
  <c r="F693"/>
  <c r="F697"/>
  <c r="F701"/>
  <c r="F705"/>
  <c r="F709"/>
  <c r="F713"/>
  <c r="F717"/>
  <c r="F721"/>
  <c r="F725"/>
  <c r="F729"/>
  <c r="E9"/>
  <c r="F9"/>
  <c r="M9"/>
  <c r="F271"/>
  <c r="F275"/>
  <c r="F279"/>
  <c r="F283"/>
  <c r="F287"/>
  <c r="F291"/>
  <c r="F295"/>
  <c r="F299"/>
  <c r="F303"/>
  <c r="F307"/>
  <c r="F311"/>
  <c r="F315"/>
  <c r="F319"/>
  <c r="F323"/>
  <c r="F327"/>
  <c r="F331"/>
  <c r="F335"/>
  <c r="F339"/>
  <c r="F343"/>
  <c r="F347"/>
  <c r="F351"/>
  <c r="F355"/>
  <c r="F359"/>
  <c r="F363"/>
  <c r="F367"/>
  <c r="F371"/>
  <c r="F375"/>
  <c r="F379"/>
  <c r="F383"/>
  <c r="F387"/>
  <c r="F391"/>
  <c r="F395"/>
  <c r="F399"/>
  <c r="F403"/>
  <c r="F407"/>
  <c r="F411"/>
  <c r="F415"/>
  <c r="F419"/>
  <c r="F423"/>
  <c r="F427"/>
  <c r="F431"/>
  <c r="F435"/>
  <c r="F439"/>
  <c r="F443"/>
  <c r="F447"/>
  <c r="F451"/>
  <c r="F455"/>
  <c r="F459"/>
  <c r="F463"/>
  <c r="F467"/>
  <c r="F471"/>
  <c r="F475"/>
  <c r="F479"/>
  <c r="F483"/>
  <c r="F487"/>
  <c r="F491"/>
  <c r="F495"/>
  <c r="F499"/>
  <c r="F503"/>
  <c r="F507"/>
  <c r="F511"/>
  <c r="F515"/>
  <c r="F12"/>
  <c r="F16"/>
  <c r="F20"/>
  <c r="F24"/>
  <c r="F28"/>
  <c r="F32"/>
  <c r="F36"/>
  <c r="F40"/>
  <c r="F44"/>
  <c r="F48"/>
  <c r="F52"/>
  <c r="F56"/>
  <c r="F60"/>
  <c r="F64"/>
  <c r="F68"/>
  <c r="F72"/>
  <c r="F76"/>
  <c r="F80"/>
  <c r="F84"/>
  <c r="F88"/>
  <c r="F92"/>
  <c r="F96"/>
  <c r="F100"/>
  <c r="F104"/>
  <c r="F108"/>
  <c r="F112"/>
  <c r="F116"/>
  <c r="F120"/>
  <c r="F124"/>
  <c r="F128"/>
  <c r="F132"/>
  <c r="F136"/>
  <c r="F140"/>
  <c r="F144"/>
  <c r="F148"/>
  <c r="F152"/>
  <c r="F156"/>
  <c r="F160"/>
  <c r="F164"/>
  <c r="F168"/>
  <c r="F172"/>
  <c r="F176"/>
  <c r="F180"/>
  <c r="F184"/>
  <c r="F188"/>
  <c r="F192"/>
  <c r="F196"/>
  <c r="F200"/>
  <c r="F204"/>
  <c r="F208"/>
  <c r="F212"/>
  <c r="F216"/>
  <c r="F220"/>
  <c r="F224"/>
  <c r="F228"/>
  <c r="F232"/>
  <c r="F236"/>
  <c r="F240"/>
  <c r="F244"/>
  <c r="F248"/>
  <c r="F252"/>
  <c r="F256"/>
  <c r="F260"/>
  <c r="F264"/>
  <c r="F268"/>
  <c r="F272"/>
  <c r="F276"/>
  <c r="F280"/>
  <c r="F284"/>
  <c r="F288"/>
  <c r="N288"/>
  <c r="M288"/>
  <c r="O288"/>
  <c r="F292"/>
  <c r="F296"/>
  <c r="F300"/>
  <c r="F304"/>
  <c r="F308"/>
  <c r="F312"/>
  <c r="F316"/>
  <c r="F320"/>
  <c r="F324"/>
  <c r="F328"/>
  <c r="F332"/>
  <c r="F336"/>
  <c r="F340"/>
  <c r="F344"/>
  <c r="F348"/>
  <c r="F352"/>
  <c r="F356"/>
  <c r="F360"/>
  <c r="F364"/>
  <c r="F368"/>
  <c r="F372"/>
  <c r="F376"/>
  <c r="F380"/>
  <c r="F384"/>
  <c r="F388"/>
  <c r="F392"/>
  <c r="F396"/>
  <c r="F400"/>
  <c r="F404"/>
  <c r="F408"/>
  <c r="F412"/>
  <c r="F416"/>
  <c r="F420"/>
  <c r="F424"/>
  <c r="F428"/>
  <c r="F432"/>
  <c r="F436"/>
  <c r="F440"/>
  <c r="F444"/>
  <c r="F448"/>
  <c r="F452"/>
  <c r="F456"/>
  <c r="F460"/>
  <c r="F464"/>
  <c r="F468"/>
  <c r="F472"/>
  <c r="F476"/>
  <c r="F480"/>
  <c r="F484"/>
  <c r="F488"/>
  <c r="F492"/>
  <c r="F496"/>
  <c r="F500"/>
  <c r="F504"/>
  <c r="F508"/>
  <c r="F512"/>
  <c r="F516"/>
  <c r="F520"/>
  <c r="F519"/>
  <c r="F523"/>
  <c r="F527"/>
  <c r="F531"/>
  <c r="F535"/>
  <c r="F539"/>
  <c r="F543"/>
  <c r="F547"/>
  <c r="F551"/>
  <c r="F555"/>
  <c r="F559"/>
  <c r="F563"/>
  <c r="F567"/>
  <c r="F571"/>
  <c r="F575"/>
  <c r="F579"/>
  <c r="F583"/>
  <c r="F587"/>
  <c r="F591"/>
  <c r="F595"/>
  <c r="F599"/>
  <c r="F603"/>
  <c r="F607"/>
  <c r="F611"/>
  <c r="F615"/>
  <c r="F619"/>
  <c r="F623"/>
  <c r="F627"/>
  <c r="F631"/>
  <c r="F635"/>
  <c r="F639"/>
  <c r="F643"/>
  <c r="F647"/>
  <c r="F651"/>
  <c r="F655"/>
  <c r="F659"/>
  <c r="F663"/>
  <c r="F667"/>
  <c r="F671"/>
  <c r="F675"/>
  <c r="F679"/>
  <c r="F683"/>
  <c r="F687"/>
  <c r="F691"/>
  <c r="F695"/>
  <c r="F699"/>
  <c r="F703"/>
  <c r="F707"/>
  <c r="F711"/>
  <c r="F715"/>
  <c r="F719"/>
  <c r="F723"/>
  <c r="F727"/>
  <c r="F731"/>
  <c r="F735"/>
  <c r="F739"/>
  <c r="F743"/>
  <c r="F747"/>
  <c r="F751"/>
  <c r="F755"/>
  <c r="F759"/>
  <c r="F763"/>
  <c r="F767"/>
  <c r="F771"/>
  <c r="F775"/>
  <c r="F779"/>
  <c r="F733"/>
  <c r="F737"/>
  <c r="F741"/>
  <c r="F745"/>
  <c r="F749"/>
  <c r="F753"/>
  <c r="F757"/>
  <c r="F761"/>
  <c r="F765"/>
  <c r="F769"/>
  <c r="F773"/>
  <c r="F777"/>
  <c r="F781"/>
  <c r="F785"/>
  <c r="F789"/>
  <c r="F793"/>
  <c r="F797"/>
  <c r="F801"/>
  <c r="F805"/>
  <c r="F809"/>
  <c r="F813"/>
  <c r="F817"/>
  <c r="F821"/>
  <c r="F825"/>
  <c r="F829"/>
  <c r="F833"/>
  <c r="F837"/>
  <c r="F841"/>
  <c r="F845"/>
  <c r="F849"/>
  <c r="F853"/>
  <c r="F857"/>
  <c r="F861"/>
  <c r="F865"/>
  <c r="F869"/>
  <c r="F873"/>
  <c r="F877"/>
  <c r="F881"/>
  <c r="F885"/>
  <c r="F889"/>
  <c r="F893"/>
  <c r="F897"/>
  <c r="F901"/>
  <c r="F905"/>
  <c r="M905"/>
  <c r="O905"/>
  <c r="N905"/>
  <c r="F909"/>
  <c r="F913"/>
  <c r="F917"/>
  <c r="F921"/>
  <c r="F925"/>
  <c r="F929"/>
  <c r="F933"/>
  <c r="F937"/>
  <c r="F941"/>
  <c r="F945"/>
  <c r="F949"/>
  <c r="F953"/>
  <c r="F957"/>
  <c r="F961"/>
  <c r="F965"/>
  <c r="F969"/>
  <c r="F973"/>
  <c r="F977"/>
  <c r="F981"/>
  <c r="F985"/>
  <c r="F989"/>
  <c r="F993"/>
  <c r="F997"/>
  <c r="F1001"/>
  <c r="F1005"/>
  <c r="F1009"/>
  <c r="F1013"/>
  <c r="F1017"/>
  <c r="F1021"/>
  <c r="F1025"/>
  <c r="F522"/>
  <c r="F526"/>
  <c r="F530"/>
  <c r="F534"/>
  <c r="F538"/>
  <c r="F542"/>
  <c r="F546"/>
  <c r="F550"/>
  <c r="F554"/>
  <c r="F558"/>
  <c r="F562"/>
  <c r="F566"/>
  <c r="F570"/>
  <c r="F574"/>
  <c r="F578"/>
  <c r="F582"/>
  <c r="F586"/>
  <c r="F590"/>
  <c r="F594"/>
  <c r="F598"/>
  <c r="F602"/>
  <c r="F606"/>
  <c r="F610"/>
  <c r="F614"/>
  <c r="F618"/>
  <c r="F622"/>
  <c r="F626"/>
  <c r="F630"/>
  <c r="F634"/>
  <c r="F638"/>
  <c r="F642"/>
  <c r="F646"/>
  <c r="F650"/>
  <c r="F654"/>
  <c r="F658"/>
  <c r="F662"/>
  <c r="F666"/>
  <c r="F670"/>
  <c r="F674"/>
  <c r="F678"/>
  <c r="F682"/>
  <c r="F686"/>
  <c r="F690"/>
  <c r="F694"/>
  <c r="F698"/>
  <c r="F702"/>
  <c r="F706"/>
  <c r="F710"/>
  <c r="F714"/>
  <c r="F718"/>
  <c r="F722"/>
  <c r="F726"/>
  <c r="F730"/>
  <c r="F734"/>
  <c r="F738"/>
  <c r="F742"/>
  <c r="F746"/>
  <c r="F750"/>
  <c r="F754"/>
  <c r="F758"/>
  <c r="F762"/>
  <c r="F766"/>
  <c r="F770"/>
  <c r="F774"/>
  <c r="F778"/>
  <c r="F782"/>
  <c r="F786"/>
  <c r="F790"/>
  <c r="F794"/>
  <c r="F798"/>
  <c r="F802"/>
  <c r="F806"/>
  <c r="F810"/>
  <c r="F814"/>
  <c r="F818"/>
  <c r="F822"/>
  <c r="F826"/>
  <c r="F830"/>
  <c r="F834"/>
  <c r="F838"/>
  <c r="F842"/>
  <c r="F846"/>
  <c r="F850"/>
  <c r="F854"/>
  <c r="F858"/>
  <c r="F862"/>
  <c r="F866"/>
  <c r="F870"/>
  <c r="F874"/>
  <c r="F878"/>
  <c r="F882"/>
  <c r="F886"/>
  <c r="F890"/>
  <c r="F894"/>
  <c r="F898"/>
  <c r="F902"/>
  <c r="F906"/>
  <c r="F910"/>
  <c r="F914"/>
  <c r="F918"/>
  <c r="F922"/>
  <c r="F926"/>
  <c r="F930"/>
  <c r="F934"/>
  <c r="F938"/>
  <c r="F942"/>
  <c r="F946"/>
  <c r="F950"/>
  <c r="F954"/>
  <c r="F958"/>
  <c r="F962"/>
  <c r="F966"/>
  <c r="F970"/>
  <c r="F974"/>
  <c r="F978"/>
  <c r="F982"/>
  <c r="F986"/>
  <c r="F990"/>
  <c r="F994"/>
  <c r="F998"/>
  <c r="F1002"/>
  <c r="F1006"/>
  <c r="F1010"/>
  <c r="F1014"/>
  <c r="F1018"/>
  <c r="F1022"/>
  <c r="F1026"/>
  <c r="F1029"/>
  <c r="F1033"/>
  <c r="F1037"/>
  <c r="F1041"/>
  <c r="F1045"/>
  <c r="F1049"/>
  <c r="F1053"/>
  <c r="F1057"/>
  <c r="F1061"/>
  <c r="F1065"/>
  <c r="F1069"/>
  <c r="F1073"/>
  <c r="F1077"/>
  <c r="F1081"/>
  <c r="F1085"/>
  <c r="F1089"/>
  <c r="F1093"/>
  <c r="F1097"/>
  <c r="F1101"/>
  <c r="F1105"/>
  <c r="F1109"/>
  <c r="F1113"/>
  <c r="F1117"/>
  <c r="F1121"/>
  <c r="F1125"/>
  <c r="F1129"/>
  <c r="F1133"/>
  <c r="F1137"/>
  <c r="F1032"/>
  <c r="F1036"/>
  <c r="F1040"/>
  <c r="F1044"/>
  <c r="F1048"/>
  <c r="F1052"/>
  <c r="F1056"/>
  <c r="F1060"/>
  <c r="F1064"/>
  <c r="F1068"/>
  <c r="F1072"/>
  <c r="F1076"/>
  <c r="F1080"/>
  <c r="F1084"/>
  <c r="F1088"/>
  <c r="F1092"/>
  <c r="F1096"/>
  <c r="F1100"/>
  <c r="F1104"/>
  <c r="F1108"/>
  <c r="F1112"/>
  <c r="F1116"/>
  <c r="F1120"/>
  <c r="F1124"/>
  <c r="F1128"/>
  <c r="F1132"/>
  <c r="F1136"/>
  <c r="F783"/>
  <c r="F787"/>
  <c r="F791"/>
  <c r="F795"/>
  <c r="F799"/>
  <c r="F803"/>
  <c r="F807"/>
  <c r="F811"/>
  <c r="F815"/>
  <c r="F819"/>
  <c r="F823"/>
  <c r="F827"/>
  <c r="F831"/>
  <c r="F835"/>
  <c r="F839"/>
  <c r="F843"/>
  <c r="F847"/>
  <c r="F851"/>
  <c r="F855"/>
  <c r="F859"/>
  <c r="F863"/>
  <c r="F867"/>
  <c r="F871"/>
  <c r="F875"/>
  <c r="F879"/>
  <c r="F883"/>
  <c r="F887"/>
  <c r="F891"/>
  <c r="F895"/>
  <c r="F899"/>
  <c r="F903"/>
  <c r="F907"/>
  <c r="F911"/>
  <c r="F915"/>
  <c r="F919"/>
  <c r="F923"/>
  <c r="F927"/>
  <c r="F931"/>
  <c r="F935"/>
  <c r="F939"/>
  <c r="F943"/>
  <c r="F947"/>
  <c r="F951"/>
  <c r="F955"/>
  <c r="F959"/>
  <c r="F963"/>
  <c r="F967"/>
  <c r="F971"/>
  <c r="F975"/>
  <c r="F979"/>
  <c r="F983"/>
  <c r="F987"/>
  <c r="F991"/>
  <c r="F995"/>
  <c r="F999"/>
  <c r="F1003"/>
  <c r="F1007"/>
  <c r="F1011"/>
  <c r="F1015"/>
  <c r="F1019"/>
  <c r="F1023"/>
  <c r="F1027"/>
  <c r="F524"/>
  <c r="F528"/>
  <c r="F532"/>
  <c r="F536"/>
  <c r="F540"/>
  <c r="F544"/>
  <c r="F548"/>
  <c r="F552"/>
  <c r="F556"/>
  <c r="F560"/>
  <c r="F564"/>
  <c r="F568"/>
  <c r="F572"/>
  <c r="F576"/>
  <c r="F580"/>
  <c r="F584"/>
  <c r="F588"/>
  <c r="F592"/>
  <c r="F596"/>
  <c r="F600"/>
  <c r="F604"/>
  <c r="F608"/>
  <c r="F612"/>
  <c r="F616"/>
  <c r="F620"/>
  <c r="F624"/>
  <c r="F628"/>
  <c r="F632"/>
  <c r="F636"/>
  <c r="F640"/>
  <c r="F644"/>
  <c r="F648"/>
  <c r="F652"/>
  <c r="F656"/>
  <c r="F660"/>
  <c r="F664"/>
  <c r="F668"/>
  <c r="F672"/>
  <c r="F676"/>
  <c r="F680"/>
  <c r="F684"/>
  <c r="F688"/>
  <c r="F692"/>
  <c r="F696"/>
  <c r="F700"/>
  <c r="F704"/>
  <c r="F708"/>
  <c r="F712"/>
  <c r="F716"/>
  <c r="F720"/>
  <c r="F724"/>
  <c r="F728"/>
  <c r="F732"/>
  <c r="F736"/>
  <c r="F740"/>
  <c r="F744"/>
  <c r="F748"/>
  <c r="F752"/>
  <c r="F756"/>
  <c r="F760"/>
  <c r="F764"/>
  <c r="F768"/>
  <c r="F772"/>
  <c r="F776"/>
  <c r="F780"/>
  <c r="F784"/>
  <c r="F788"/>
  <c r="F792"/>
  <c r="F796"/>
  <c r="F800"/>
  <c r="F804"/>
  <c r="F808"/>
  <c r="F812"/>
  <c r="F816"/>
  <c r="F820"/>
  <c r="F824"/>
  <c r="F828"/>
  <c r="F832"/>
  <c r="F836"/>
  <c r="F840"/>
  <c r="F844"/>
  <c r="F848"/>
  <c r="F852"/>
  <c r="F856"/>
  <c r="F860"/>
  <c r="F864"/>
  <c r="F868"/>
  <c r="F872"/>
  <c r="F876"/>
  <c r="F880"/>
  <c r="F884"/>
  <c r="F888"/>
  <c r="F892"/>
  <c r="F896"/>
  <c r="F900"/>
  <c r="F904"/>
  <c r="F908"/>
  <c r="F912"/>
  <c r="F916"/>
  <c r="F920"/>
  <c r="F924"/>
  <c r="F928"/>
  <c r="F932"/>
  <c r="F936"/>
  <c r="F940"/>
  <c r="F944"/>
  <c r="F948"/>
  <c r="F952"/>
  <c r="F956"/>
  <c r="F960"/>
  <c r="F964"/>
  <c r="F968"/>
  <c r="F972"/>
  <c r="F976"/>
  <c r="F980"/>
  <c r="F984"/>
  <c r="F988"/>
  <c r="F992"/>
  <c r="F996"/>
  <c r="F1000"/>
  <c r="F1004"/>
  <c r="F1008"/>
  <c r="F1012"/>
  <c r="F1016"/>
  <c r="F1020"/>
  <c r="F1024"/>
  <c r="F1028"/>
  <c r="F1031"/>
  <c r="F1035"/>
  <c r="F1039"/>
  <c r="F1043"/>
  <c r="F1047"/>
  <c r="F1051"/>
  <c r="F1055"/>
  <c r="F1059"/>
  <c r="F1063"/>
  <c r="F1067"/>
  <c r="F1071"/>
  <c r="F1075"/>
  <c r="F1079"/>
  <c r="F1083"/>
  <c r="F1087"/>
  <c r="F1091"/>
  <c r="F1095"/>
  <c r="F1099"/>
  <c r="F1103"/>
  <c r="F1107"/>
  <c r="F1111"/>
  <c r="F1115"/>
  <c r="F1119"/>
  <c r="F1123"/>
  <c r="F1127"/>
  <c r="F1131"/>
  <c r="F1135"/>
  <c r="F1030"/>
  <c r="F1034"/>
  <c r="F1038"/>
  <c r="F1042"/>
  <c r="F1046"/>
  <c r="F1050"/>
  <c r="F1054"/>
  <c r="F1058"/>
  <c r="F1062"/>
  <c r="F1066"/>
  <c r="F1070"/>
  <c r="F1074"/>
  <c r="F1078"/>
  <c r="F1082"/>
  <c r="F1086"/>
  <c r="F1090"/>
  <c r="F1094"/>
  <c r="F1098"/>
  <c r="F1102"/>
  <c r="F1106"/>
  <c r="F1110"/>
  <c r="F1114"/>
  <c r="F1118"/>
  <c r="F1122"/>
  <c r="F1126"/>
  <c r="F1130"/>
  <c r="F1134"/>
  <c r="O9"/>
  <c r="E10"/>
  <c r="E11" s="1"/>
  <c r="F10"/>
  <c r="K9"/>
  <c r="L1159"/>
  <c r="L1163"/>
  <c r="L1167"/>
  <c r="L1171"/>
  <c r="L1175"/>
  <c r="L1179"/>
  <c r="L1183"/>
  <c r="L1187"/>
  <c r="L1191"/>
  <c r="L1195"/>
  <c r="L1199"/>
  <c r="L1203"/>
  <c r="L1207"/>
  <c r="L1211"/>
  <c r="L1215"/>
  <c r="L1219"/>
  <c r="L1223"/>
  <c r="L1227"/>
  <c r="L1231"/>
  <c r="L1235"/>
  <c r="L1239"/>
  <c r="L1243"/>
  <c r="L1247"/>
  <c r="L1251"/>
  <c r="L1255"/>
  <c r="L1259"/>
  <c r="L1263"/>
  <c r="L1267"/>
  <c r="L1271"/>
  <c r="L1275"/>
  <c r="L1279"/>
  <c r="L1283"/>
  <c r="L1287"/>
  <c r="L1291"/>
  <c r="L1295"/>
  <c r="L1299"/>
  <c r="L1303"/>
  <c r="L1307"/>
  <c r="L1311"/>
  <c r="L1315"/>
  <c r="L1319"/>
  <c r="L1270"/>
  <c r="L1278"/>
  <c r="L1290"/>
  <c r="L1300"/>
  <c r="L1308"/>
  <c r="L1316"/>
  <c r="L1322"/>
  <c r="L1156"/>
  <c r="L1160"/>
  <c r="L1164"/>
  <c r="L1168"/>
  <c r="L1172"/>
  <c r="L1176"/>
  <c r="L1180"/>
  <c r="L1184"/>
  <c r="L1188"/>
  <c r="L1192"/>
  <c r="L1196"/>
  <c r="L1200"/>
  <c r="L1204"/>
  <c r="L1208"/>
  <c r="L1212"/>
  <c r="L1216"/>
  <c r="L1220"/>
  <c r="L1224"/>
  <c r="L1228"/>
  <c r="L1232"/>
  <c r="L1236"/>
  <c r="L1240"/>
  <c r="L1244"/>
  <c r="L1248"/>
  <c r="L1252"/>
  <c r="L1256"/>
  <c r="L1260"/>
  <c r="L1264"/>
  <c r="L1268"/>
  <c r="L1276"/>
  <c r="L1284"/>
  <c r="L1288"/>
  <c r="L1296"/>
  <c r="L1302"/>
  <c r="L1312"/>
  <c r="L1318"/>
  <c r="L1157"/>
  <c r="L1161"/>
  <c r="L1165"/>
  <c r="L1169"/>
  <c r="L1173"/>
  <c r="L1177"/>
  <c r="L1181"/>
  <c r="L1185"/>
  <c r="L1189"/>
  <c r="L1193"/>
  <c r="L1197"/>
  <c r="L1201"/>
  <c r="L1205"/>
  <c r="L1209"/>
  <c r="L1213"/>
  <c r="L1217"/>
  <c r="L1221"/>
  <c r="L1225"/>
  <c r="L1229"/>
  <c r="L1233"/>
  <c r="L1237"/>
  <c r="L1241"/>
  <c r="L1245"/>
  <c r="L1249"/>
  <c r="L1253"/>
  <c r="L1257"/>
  <c r="L1261"/>
  <c r="L1265"/>
  <c r="L1269"/>
  <c r="L1273"/>
  <c r="L1277"/>
  <c r="L1281"/>
  <c r="L1285"/>
  <c r="L1289"/>
  <c r="L1293"/>
  <c r="L1297"/>
  <c r="L1301"/>
  <c r="L1305"/>
  <c r="L1309"/>
  <c r="L1313"/>
  <c r="L1317"/>
  <c r="L1321"/>
  <c r="L1272"/>
  <c r="L1282"/>
  <c r="L1294"/>
  <c r="L1304"/>
  <c r="L1310"/>
  <c r="L1320"/>
  <c r="L1158"/>
  <c r="L1162"/>
  <c r="L1166"/>
  <c r="L1170"/>
  <c r="L1174"/>
  <c r="L1178"/>
  <c r="L1182"/>
  <c r="L1186"/>
  <c r="L1190"/>
  <c r="L1194"/>
  <c r="L1198"/>
  <c r="L1202"/>
  <c r="L1206"/>
  <c r="L1210"/>
  <c r="L1214"/>
  <c r="L1218"/>
  <c r="L1222"/>
  <c r="L1226"/>
  <c r="L1230"/>
  <c r="L1234"/>
  <c r="L1238"/>
  <c r="L1242"/>
  <c r="L1246"/>
  <c r="L1250"/>
  <c r="L1254"/>
  <c r="L1258"/>
  <c r="L1262"/>
  <c r="L1266"/>
  <c r="L1274"/>
  <c r="L1280"/>
  <c r="L1286"/>
  <c r="L1292"/>
  <c r="L1298"/>
  <c r="L1306"/>
  <c r="L1314"/>
  <c r="AP10" i="32917"/>
  <c r="AY10" s="1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60"/>
  <c r="AL61"/>
  <c r="AL62"/>
  <c r="AL63"/>
  <c r="AL64"/>
  <c r="AL65"/>
  <c r="AL66"/>
  <c r="AL67"/>
  <c r="AL68"/>
  <c r="AL69"/>
  <c r="AL70"/>
  <c r="AL71"/>
  <c r="AL72"/>
  <c r="AL73"/>
  <c r="AL74"/>
  <c r="AL75"/>
  <c r="AL76"/>
  <c r="AL77"/>
  <c r="AL78"/>
  <c r="AL79"/>
  <c r="AL80"/>
  <c r="AL81"/>
  <c r="AL82"/>
  <c r="AL83"/>
  <c r="AL84"/>
  <c r="AL85"/>
  <c r="AL86"/>
  <c r="AL87"/>
  <c r="AL88"/>
  <c r="AL89"/>
  <c r="AL90"/>
  <c r="AL91"/>
  <c r="AL92"/>
  <c r="AL93"/>
  <c r="AL94"/>
  <c r="AL9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AL161"/>
  <c r="AL162"/>
  <c r="AL163"/>
  <c r="AL164"/>
  <c r="AL165"/>
  <c r="AL166"/>
  <c r="AL167"/>
  <c r="AL168"/>
  <c r="AL169"/>
  <c r="AL170"/>
  <c r="AL171"/>
  <c r="AL172"/>
  <c r="AL173"/>
  <c r="AL174"/>
  <c r="AL175"/>
  <c r="AL176"/>
  <c r="AL177"/>
  <c r="AL178"/>
  <c r="AL179"/>
  <c r="AL180"/>
  <c r="AL181"/>
  <c r="AL182"/>
  <c r="AL183"/>
  <c r="AL184"/>
  <c r="AL185"/>
  <c r="AL186"/>
  <c r="AL187"/>
  <c r="AL188"/>
  <c r="AL189"/>
  <c r="AL190"/>
  <c r="AL191"/>
  <c r="AL192"/>
  <c r="AL193"/>
  <c r="AL194"/>
  <c r="AL195"/>
  <c r="AL196"/>
  <c r="AL197"/>
  <c r="AL198"/>
  <c r="AL199"/>
  <c r="AL200"/>
  <c r="AL201"/>
  <c r="AL202"/>
  <c r="AL203"/>
  <c r="AL204"/>
  <c r="AL205"/>
  <c r="AL206"/>
  <c r="AL207"/>
  <c r="AL208"/>
  <c r="AL209"/>
  <c r="AL210"/>
  <c r="AL211"/>
  <c r="AL212"/>
  <c r="AL213"/>
  <c r="AL214"/>
  <c r="AL215"/>
  <c r="AL216"/>
  <c r="AL217"/>
  <c r="AL218"/>
  <c r="AL219"/>
  <c r="AL220"/>
  <c r="AL221"/>
  <c r="AL222"/>
  <c r="AL223"/>
  <c r="AL224"/>
  <c r="AL225"/>
  <c r="AL226"/>
  <c r="AL227"/>
  <c r="AL228"/>
  <c r="AL229"/>
  <c r="AL230"/>
  <c r="AL231"/>
  <c r="AL232"/>
  <c r="AL233"/>
  <c r="AL234"/>
  <c r="AL235"/>
  <c r="AL236"/>
  <c r="AL237"/>
  <c r="AL238"/>
  <c r="AL239"/>
  <c r="AL240"/>
  <c r="AL241"/>
  <c r="AL242"/>
  <c r="AL243"/>
  <c r="AL244"/>
  <c r="AL245"/>
  <c r="AL246"/>
  <c r="AL247"/>
  <c r="AL248"/>
  <c r="AL249"/>
  <c r="AL250"/>
  <c r="AL251"/>
  <c r="AL252"/>
  <c r="AL253"/>
  <c r="AL254"/>
  <c r="AL255"/>
  <c r="AL256"/>
  <c r="AL257"/>
  <c r="AL258"/>
  <c r="AL259"/>
  <c r="AL260"/>
  <c r="AL12"/>
  <c r="AL13"/>
  <c r="AL14"/>
  <c r="AL15"/>
  <c r="AL16"/>
  <c r="AL17"/>
  <c r="AL18"/>
  <c r="AL19"/>
  <c r="AL20"/>
  <c r="AL21"/>
  <c r="AL22"/>
  <c r="AL23"/>
  <c r="AL24"/>
  <c r="AL11"/>
  <c r="E12" i="32922" l="1"/>
  <c r="M11"/>
  <c r="N11"/>
  <c r="O11"/>
  <c r="M10"/>
  <c r="N10"/>
  <c r="O10"/>
  <c r="N9"/>
  <c r="J9"/>
  <c r="J10"/>
  <c r="K10"/>
  <c r="AQ10" i="32917"/>
  <c r="L10" i="32922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E13" i="32922" l="1"/>
  <c r="N12"/>
  <c r="O12"/>
  <c r="M12"/>
  <c r="J11"/>
  <c r="AZ10" i="32917"/>
  <c r="L11" i="32922"/>
  <c r="AR10" i="32917"/>
  <c r="BA10" s="1"/>
  <c r="N109"/>
  <c r="M110"/>
  <c r="O110"/>
  <c r="L110"/>
  <c r="M109"/>
  <c r="O109"/>
  <c r="N110"/>
  <c r="L109"/>
  <c r="N108"/>
  <c r="L108"/>
  <c r="M108"/>
  <c r="O108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59"/>
  <c r="L61"/>
  <c r="L63"/>
  <c r="L65"/>
  <c r="L67"/>
  <c r="L69"/>
  <c r="L71"/>
  <c r="L73"/>
  <c r="L75"/>
  <c r="L77"/>
  <c r="L79"/>
  <c r="L81"/>
  <c r="L83"/>
  <c r="L85"/>
  <c r="L87"/>
  <c r="L89"/>
  <c r="L91"/>
  <c r="L93"/>
  <c r="L95"/>
  <c r="L97"/>
  <c r="L99"/>
  <c r="L101"/>
  <c r="L103"/>
  <c r="L105"/>
  <c r="L107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L22"/>
  <c r="L24"/>
  <c r="L26"/>
  <c r="L28"/>
  <c r="L30"/>
  <c r="L32"/>
  <c r="L34"/>
  <c r="L36"/>
  <c r="L38"/>
  <c r="L40"/>
  <c r="L42"/>
  <c r="L44"/>
  <c r="L46"/>
  <c r="L48"/>
  <c r="L50"/>
  <c r="L52"/>
  <c r="L54"/>
  <c r="L56"/>
  <c r="L58"/>
  <c r="L60"/>
  <c r="L62"/>
  <c r="L64"/>
  <c r="L66"/>
  <c r="L68"/>
  <c r="L70"/>
  <c r="L72"/>
  <c r="L74"/>
  <c r="L76"/>
  <c r="L78"/>
  <c r="L80"/>
  <c r="L82"/>
  <c r="L84"/>
  <c r="L86"/>
  <c r="L88"/>
  <c r="L90"/>
  <c r="L92"/>
  <c r="L94"/>
  <c r="L96"/>
  <c r="L98"/>
  <c r="L100"/>
  <c r="L102"/>
  <c r="L104"/>
  <c r="L106"/>
  <c r="M21"/>
  <c r="N22"/>
  <c r="N24"/>
  <c r="N26"/>
  <c r="N28"/>
  <c r="N30"/>
  <c r="N32"/>
  <c r="N34"/>
  <c r="N36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20"/>
  <c r="O21"/>
  <c r="O23"/>
  <c r="O25"/>
  <c r="O27"/>
  <c r="O29"/>
  <c r="O31"/>
  <c r="O33"/>
  <c r="O35"/>
  <c r="O37"/>
  <c r="O39"/>
  <c r="O41"/>
  <c r="O43"/>
  <c r="O45"/>
  <c r="O47"/>
  <c r="O49"/>
  <c r="O51"/>
  <c r="O53"/>
  <c r="O55"/>
  <c r="O57"/>
  <c r="O59"/>
  <c r="O61"/>
  <c r="O63"/>
  <c r="O65"/>
  <c r="O67"/>
  <c r="O69"/>
  <c r="O71"/>
  <c r="O73"/>
  <c r="O75"/>
  <c r="O77"/>
  <c r="O79"/>
  <c r="O81"/>
  <c r="O83"/>
  <c r="O85"/>
  <c r="O87"/>
  <c r="O89"/>
  <c r="O91"/>
  <c r="O93"/>
  <c r="O95"/>
  <c r="O97"/>
  <c r="O99"/>
  <c r="O101"/>
  <c r="O103"/>
  <c r="O105"/>
  <c r="O107"/>
  <c r="L20"/>
  <c r="N21"/>
  <c r="N23"/>
  <c r="N25"/>
  <c r="N27"/>
  <c r="N29"/>
  <c r="N31"/>
  <c r="N33"/>
  <c r="N35"/>
  <c r="N37"/>
  <c r="N39"/>
  <c r="N41"/>
  <c r="N43"/>
  <c r="N45"/>
  <c r="N47"/>
  <c r="N49"/>
  <c r="N51"/>
  <c r="N53"/>
  <c r="N55"/>
  <c r="N57"/>
  <c r="N59"/>
  <c r="N61"/>
  <c r="N63"/>
  <c r="N65"/>
  <c r="N67"/>
  <c r="N69"/>
  <c r="N71"/>
  <c r="N73"/>
  <c r="N75"/>
  <c r="N77"/>
  <c r="N79"/>
  <c r="N81"/>
  <c r="N83"/>
  <c r="N85"/>
  <c r="N87"/>
  <c r="N89"/>
  <c r="N91"/>
  <c r="N93"/>
  <c r="N95"/>
  <c r="N97"/>
  <c r="N99"/>
  <c r="N101"/>
  <c r="N103"/>
  <c r="N105"/>
  <c r="N107"/>
  <c r="M20"/>
  <c r="O20"/>
  <c r="O22"/>
  <c r="O24"/>
  <c r="O26"/>
  <c r="O28"/>
  <c r="O30"/>
  <c r="O32"/>
  <c r="O34"/>
  <c r="O36"/>
  <c r="O38"/>
  <c r="O40"/>
  <c r="O42"/>
  <c r="O44"/>
  <c r="O46"/>
  <c r="O48"/>
  <c r="O50"/>
  <c r="O52"/>
  <c r="O54"/>
  <c r="O56"/>
  <c r="O58"/>
  <c r="O60"/>
  <c r="O62"/>
  <c r="O64"/>
  <c r="O66"/>
  <c r="O68"/>
  <c r="O70"/>
  <c r="O72"/>
  <c r="O74"/>
  <c r="O76"/>
  <c r="O78"/>
  <c r="O80"/>
  <c r="O82"/>
  <c r="O84"/>
  <c r="O86"/>
  <c r="O88"/>
  <c r="O90"/>
  <c r="O92"/>
  <c r="O94"/>
  <c r="O96"/>
  <c r="O98"/>
  <c r="O100"/>
  <c r="O102"/>
  <c r="O104"/>
  <c r="O106"/>
  <c r="N19"/>
  <c r="M19"/>
  <c r="O19"/>
  <c r="L19"/>
  <c r="N18"/>
  <c r="L18"/>
  <c r="M18"/>
  <c r="O18"/>
  <c r="N17"/>
  <c r="M17"/>
  <c r="O17"/>
  <c r="L17"/>
  <c r="N16"/>
  <c r="L16"/>
  <c r="M16"/>
  <c r="O16"/>
  <c r="N15"/>
  <c r="M15"/>
  <c r="O15"/>
  <c r="L15"/>
  <c r="N14"/>
  <c r="L14"/>
  <c r="M14"/>
  <c r="O14"/>
  <c r="N13"/>
  <c r="M13"/>
  <c r="O13"/>
  <c r="L13"/>
  <c r="N12"/>
  <c r="L12"/>
  <c r="M12"/>
  <c r="O12"/>
  <c r="N11"/>
  <c r="L11"/>
  <c r="M11"/>
  <c r="O11"/>
  <c r="E14" i="32922" l="1"/>
  <c r="M13"/>
  <c r="N13"/>
  <c r="O13"/>
  <c r="J12"/>
  <c r="L12"/>
  <c r="K12"/>
  <c r="AS10" i="32917"/>
  <c r="L13" i="32922"/>
  <c r="E15" l="1"/>
  <c r="L15" s="1"/>
  <c r="M14"/>
  <c r="N14"/>
  <c r="O14"/>
  <c r="J14"/>
  <c r="J13"/>
  <c r="AT10" i="32917"/>
  <c r="BC10" s="1"/>
  <c r="K14" i="32922"/>
  <c r="BB10" i="32917"/>
  <c r="L14" i="32922"/>
  <c r="E16" l="1"/>
  <c r="M15"/>
  <c r="N15"/>
  <c r="O15"/>
  <c r="J16"/>
  <c r="J15"/>
  <c r="K15"/>
  <c r="K13"/>
  <c r="K11"/>
  <c r="K16"/>
  <c r="L16"/>
  <c r="E17" l="1"/>
  <c r="N16"/>
  <c r="O16"/>
  <c r="M16"/>
  <c r="J17"/>
  <c r="L17"/>
  <c r="K17"/>
  <c r="E18" l="1"/>
  <c r="M17"/>
  <c r="N17"/>
  <c r="O17"/>
  <c r="J18"/>
  <c r="K18"/>
  <c r="E19" l="1"/>
  <c r="M18"/>
  <c r="N18"/>
  <c r="O18"/>
  <c r="L18"/>
  <c r="J19"/>
  <c r="L19"/>
  <c r="K19"/>
  <c r="E20" l="1"/>
  <c r="M19"/>
  <c r="N19"/>
  <c r="O19"/>
  <c r="J20"/>
  <c r="K20"/>
  <c r="E21" l="1"/>
  <c r="J21" s="1"/>
  <c r="N20"/>
  <c r="O20"/>
  <c r="M20"/>
  <c r="L20"/>
  <c r="L21"/>
  <c r="K21" l="1"/>
  <c r="E22"/>
  <c r="L22" s="1"/>
  <c r="M21"/>
  <c r="N21"/>
  <c r="O21"/>
  <c r="J22"/>
  <c r="K22"/>
  <c r="E23" l="1"/>
  <c r="M22"/>
  <c r="N22"/>
  <c r="O22"/>
  <c r="J23"/>
  <c r="E24" l="1"/>
  <c r="M23"/>
  <c r="N23"/>
  <c r="O23"/>
  <c r="L23"/>
  <c r="K23"/>
  <c r="J24"/>
  <c r="K24"/>
  <c r="L24"/>
  <c r="E25" l="1"/>
  <c r="K25" s="1"/>
  <c r="N24"/>
  <c r="O24"/>
  <c r="M24"/>
  <c r="J25"/>
  <c r="L25"/>
  <c r="E26" l="1"/>
  <c r="M25"/>
  <c r="N25"/>
  <c r="O25"/>
  <c r="J26"/>
  <c r="K26"/>
  <c r="E27" l="1"/>
  <c r="M26"/>
  <c r="N26"/>
  <c r="O26"/>
  <c r="L26"/>
  <c r="J27"/>
  <c r="E28" l="1"/>
  <c r="M27"/>
  <c r="N27"/>
  <c r="O27"/>
  <c r="K27"/>
  <c r="L27"/>
  <c r="E29" l="1"/>
  <c r="N28"/>
  <c r="O28"/>
  <c r="M28"/>
  <c r="K28"/>
  <c r="J28"/>
  <c r="L28"/>
  <c r="E30" l="1"/>
  <c r="M29"/>
  <c r="N29"/>
  <c r="O29"/>
  <c r="K29"/>
  <c r="J29"/>
  <c r="L29"/>
  <c r="E31" l="1"/>
  <c r="M30"/>
  <c r="N30"/>
  <c r="O30"/>
  <c r="K30"/>
  <c r="J30"/>
  <c r="L30"/>
  <c r="E32" l="1"/>
  <c r="M31"/>
  <c r="N31"/>
  <c r="O31"/>
  <c r="K31"/>
  <c r="J31"/>
  <c r="L31"/>
  <c r="E33" l="1"/>
  <c r="N32"/>
  <c r="O32"/>
  <c r="M32"/>
  <c r="K32"/>
  <c r="J32"/>
  <c r="L32"/>
  <c r="E34" l="1"/>
  <c r="M33"/>
  <c r="N33"/>
  <c r="O33"/>
  <c r="K33"/>
  <c r="J33"/>
  <c r="L33"/>
  <c r="E35" l="1"/>
  <c r="M34"/>
  <c r="N34"/>
  <c r="O34"/>
  <c r="L34"/>
  <c r="K34"/>
  <c r="J34"/>
  <c r="E36" l="1"/>
  <c r="M35"/>
  <c r="N35"/>
  <c r="O35"/>
  <c r="K35"/>
  <c r="J35"/>
  <c r="L35"/>
  <c r="E37" l="1"/>
  <c r="N36"/>
  <c r="O36"/>
  <c r="M36"/>
  <c r="K36"/>
  <c r="J36"/>
  <c r="L36"/>
  <c r="E38" l="1"/>
  <c r="M37"/>
  <c r="N37"/>
  <c r="O37"/>
  <c r="K37"/>
  <c r="J37"/>
  <c r="L37"/>
  <c r="E39" l="1"/>
  <c r="M38"/>
  <c r="N38"/>
  <c r="O38"/>
  <c r="J38"/>
  <c r="K38"/>
  <c r="L38"/>
  <c r="E40" l="1"/>
  <c r="M39"/>
  <c r="N39"/>
  <c r="O39"/>
  <c r="J39"/>
  <c r="L39"/>
  <c r="K39"/>
  <c r="E41" l="1"/>
  <c r="N40"/>
  <c r="O40"/>
  <c r="M40"/>
  <c r="J40"/>
  <c r="L40"/>
  <c r="K40"/>
  <c r="E42" l="1"/>
  <c r="M41"/>
  <c r="N41"/>
  <c r="O41"/>
  <c r="K41"/>
  <c r="J41"/>
  <c r="L41"/>
  <c r="E43" l="1"/>
  <c r="M42"/>
  <c r="N42"/>
  <c r="O42"/>
  <c r="K42"/>
  <c r="J42"/>
  <c r="L42"/>
  <c r="E44" l="1"/>
  <c r="M43"/>
  <c r="N43"/>
  <c r="O43"/>
  <c r="K43"/>
  <c r="J43"/>
  <c r="L43"/>
  <c r="E45" l="1"/>
  <c r="N44"/>
  <c r="O44"/>
  <c r="M44"/>
  <c r="J44"/>
  <c r="L44"/>
  <c r="K44"/>
  <c r="E46" l="1"/>
  <c r="M45"/>
  <c r="N45"/>
  <c r="O45"/>
  <c r="K45"/>
  <c r="J45"/>
  <c r="E47" l="1"/>
  <c r="M46"/>
  <c r="N46"/>
  <c r="O46"/>
  <c r="K46"/>
  <c r="J46"/>
  <c r="L46"/>
  <c r="E48" l="1"/>
  <c r="M47"/>
  <c r="N47"/>
  <c r="O47"/>
  <c r="J47"/>
  <c r="L47"/>
  <c r="K47"/>
  <c r="E49" l="1"/>
  <c r="N48"/>
  <c r="O48"/>
  <c r="M48"/>
  <c r="K48"/>
  <c r="J48"/>
  <c r="L48"/>
  <c r="E50" l="1"/>
  <c r="M49"/>
  <c r="N49"/>
  <c r="O49"/>
  <c r="J49"/>
  <c r="L49"/>
  <c r="K49"/>
  <c r="E51" l="1"/>
  <c r="M50"/>
  <c r="N50"/>
  <c r="O50"/>
  <c r="J50"/>
  <c r="K50"/>
  <c r="L50"/>
  <c r="E52" l="1"/>
  <c r="M51"/>
  <c r="N51"/>
  <c r="O51"/>
  <c r="J51"/>
  <c r="L51"/>
  <c r="K51"/>
  <c r="E53" l="1"/>
  <c r="N52"/>
  <c r="O52"/>
  <c r="M52"/>
  <c r="L52"/>
  <c r="K52"/>
  <c r="J52"/>
  <c r="E54" l="1"/>
  <c r="M53"/>
  <c r="N53"/>
  <c r="O53"/>
  <c r="J53"/>
  <c r="L53"/>
  <c r="K53"/>
  <c r="E55" l="1"/>
  <c r="M54"/>
  <c r="N54"/>
  <c r="O54"/>
  <c r="K54"/>
  <c r="J54"/>
  <c r="L54"/>
  <c r="E56" l="1"/>
  <c r="M55"/>
  <c r="N55"/>
  <c r="O55"/>
  <c r="J55"/>
  <c r="L55"/>
  <c r="K55"/>
  <c r="E57" l="1"/>
  <c r="N56"/>
  <c r="O56"/>
  <c r="M56"/>
  <c r="K56"/>
  <c r="J56"/>
  <c r="L56"/>
  <c r="E58" l="1"/>
  <c r="M57"/>
  <c r="N57"/>
  <c r="O57"/>
  <c r="J57"/>
  <c r="L57"/>
  <c r="K57"/>
  <c r="E59" l="1"/>
  <c r="M58"/>
  <c r="N58"/>
  <c r="O58"/>
  <c r="J58"/>
  <c r="L58"/>
  <c r="K58"/>
  <c r="E60" l="1"/>
  <c r="M59"/>
  <c r="N59"/>
  <c r="O59"/>
  <c r="K59"/>
  <c r="J59"/>
  <c r="L59"/>
  <c r="E61" l="1"/>
  <c r="N60"/>
  <c r="O60"/>
  <c r="M60"/>
  <c r="K60"/>
  <c r="J60"/>
  <c r="L60"/>
  <c r="E62" l="1"/>
  <c r="M61"/>
  <c r="N61"/>
  <c r="O61"/>
  <c r="J61"/>
  <c r="L61"/>
  <c r="K61"/>
  <c r="E63" l="1"/>
  <c r="M62"/>
  <c r="N62"/>
  <c r="O62"/>
  <c r="K62"/>
  <c r="J62"/>
  <c r="L62"/>
  <c r="E64" l="1"/>
  <c r="M63"/>
  <c r="N63"/>
  <c r="O63"/>
  <c r="J63"/>
  <c r="L63"/>
  <c r="K63"/>
  <c r="E65" l="1"/>
  <c r="N64"/>
  <c r="O64"/>
  <c r="M64"/>
  <c r="J64"/>
  <c r="L64"/>
  <c r="K64"/>
  <c r="E66" l="1"/>
  <c r="M65"/>
  <c r="N65"/>
  <c r="O65"/>
  <c r="J65"/>
  <c r="L65"/>
  <c r="K65"/>
  <c r="E67" l="1"/>
  <c r="M66"/>
  <c r="N66"/>
  <c r="O66"/>
  <c r="J66"/>
  <c r="L66"/>
  <c r="K66"/>
  <c r="E68" l="1"/>
  <c r="M67"/>
  <c r="N67"/>
  <c r="O67"/>
  <c r="J67"/>
  <c r="L67"/>
  <c r="K67"/>
  <c r="E69" l="1"/>
  <c r="N68"/>
  <c r="O68"/>
  <c r="M68"/>
  <c r="J68"/>
  <c r="K68"/>
  <c r="L68"/>
  <c r="E70" l="1"/>
  <c r="M69"/>
  <c r="N69"/>
  <c r="O69"/>
  <c r="J69"/>
  <c r="L69"/>
  <c r="K69"/>
  <c r="E71" l="1"/>
  <c r="M70"/>
  <c r="N70"/>
  <c r="O70"/>
  <c r="K70"/>
  <c r="J70"/>
  <c r="L70"/>
  <c r="E72" l="1"/>
  <c r="M71"/>
  <c r="N71"/>
  <c r="O71"/>
  <c r="J71"/>
  <c r="L71"/>
  <c r="K71"/>
  <c r="E73" l="1"/>
  <c r="N72"/>
  <c r="O72"/>
  <c r="M72"/>
  <c r="J72"/>
  <c r="L72"/>
  <c r="K72"/>
  <c r="E74" l="1"/>
  <c r="M73"/>
  <c r="N73"/>
  <c r="O73"/>
  <c r="J73"/>
  <c r="L73"/>
  <c r="K73"/>
  <c r="E75" l="1"/>
  <c r="M74"/>
  <c r="N74"/>
  <c r="O74"/>
  <c r="J74"/>
  <c r="L74"/>
  <c r="K74"/>
  <c r="E76" l="1"/>
  <c r="M75"/>
  <c r="N75"/>
  <c r="O75"/>
  <c r="J75"/>
  <c r="L75"/>
  <c r="K75"/>
  <c r="E77" l="1"/>
  <c r="N76"/>
  <c r="O76"/>
  <c r="M76"/>
  <c r="J76"/>
  <c r="L76"/>
  <c r="K76"/>
  <c r="E78" l="1"/>
  <c r="M77"/>
  <c r="N77"/>
  <c r="O77"/>
  <c r="J77"/>
  <c r="L77"/>
  <c r="K77"/>
  <c r="E79" l="1"/>
  <c r="M78"/>
  <c r="N78"/>
  <c r="O78"/>
  <c r="J78"/>
  <c r="K78"/>
  <c r="L78"/>
  <c r="E80" l="1"/>
  <c r="M79"/>
  <c r="N79"/>
  <c r="O79"/>
  <c r="J79"/>
  <c r="L79"/>
  <c r="K79"/>
  <c r="E81" l="1"/>
  <c r="N80"/>
  <c r="O80"/>
  <c r="M80"/>
  <c r="L80"/>
  <c r="K80"/>
  <c r="J80"/>
  <c r="E82" l="1"/>
  <c r="M81"/>
  <c r="N81"/>
  <c r="O81"/>
  <c r="J81"/>
  <c r="L81"/>
  <c r="K81"/>
  <c r="E83" l="1"/>
  <c r="M82"/>
  <c r="N82"/>
  <c r="O82"/>
  <c r="K82"/>
  <c r="J82"/>
  <c r="L82"/>
  <c r="E84" l="1"/>
  <c r="M83"/>
  <c r="N83"/>
  <c r="O83"/>
  <c r="J83"/>
  <c r="L83"/>
  <c r="K83"/>
  <c r="E85" l="1"/>
  <c r="N84"/>
  <c r="O84"/>
  <c r="M84"/>
  <c r="K84"/>
  <c r="J84"/>
  <c r="L84"/>
  <c r="E86" l="1"/>
  <c r="M85"/>
  <c r="N85"/>
  <c r="O85"/>
  <c r="J85"/>
  <c r="L85"/>
  <c r="K85"/>
  <c r="E87" l="1"/>
  <c r="M86"/>
  <c r="N86"/>
  <c r="O86"/>
  <c r="K86"/>
  <c r="J86"/>
  <c r="L86"/>
  <c r="E88" l="1"/>
  <c r="M87"/>
  <c r="N87"/>
  <c r="O87"/>
  <c r="J87"/>
  <c r="L87"/>
  <c r="K87"/>
  <c r="E89" l="1"/>
  <c r="N88"/>
  <c r="O88"/>
  <c r="M88"/>
  <c r="L88"/>
  <c r="K88"/>
  <c r="J88"/>
  <c r="E90" l="1"/>
  <c r="M89"/>
  <c r="N89"/>
  <c r="O89"/>
  <c r="J89"/>
  <c r="L89"/>
  <c r="K89"/>
  <c r="E91" l="1"/>
  <c r="M90"/>
  <c r="N90"/>
  <c r="O90"/>
  <c r="K90"/>
  <c r="J90"/>
  <c r="L90"/>
  <c r="E92" l="1"/>
  <c r="M91"/>
  <c r="N91"/>
  <c r="O91"/>
  <c r="J91"/>
  <c r="L91"/>
  <c r="K91"/>
  <c r="E93" l="1"/>
  <c r="N92"/>
  <c r="O92"/>
  <c r="M92"/>
  <c r="K92"/>
  <c r="J92"/>
  <c r="L92"/>
  <c r="E94" l="1"/>
  <c r="M93"/>
  <c r="N93"/>
  <c r="O93"/>
  <c r="J93"/>
  <c r="L93"/>
  <c r="K93"/>
  <c r="E95" l="1"/>
  <c r="M94"/>
  <c r="N94"/>
  <c r="O94"/>
  <c r="J94"/>
  <c r="L94"/>
  <c r="K94"/>
  <c r="E96" l="1"/>
  <c r="M95"/>
  <c r="N95"/>
  <c r="O95"/>
  <c r="J95"/>
  <c r="L95"/>
  <c r="K95"/>
  <c r="E97" l="1"/>
  <c r="N96"/>
  <c r="O96"/>
  <c r="M96"/>
  <c r="J96"/>
  <c r="L96"/>
  <c r="K96"/>
  <c r="E98" l="1"/>
  <c r="M97"/>
  <c r="N97"/>
  <c r="O97"/>
  <c r="J97"/>
  <c r="L97"/>
  <c r="K97"/>
  <c r="E99" l="1"/>
  <c r="M98"/>
  <c r="N98"/>
  <c r="O98"/>
  <c r="K98"/>
  <c r="J98"/>
  <c r="L98"/>
  <c r="E100" l="1"/>
  <c r="M99"/>
  <c r="N99"/>
  <c r="O99"/>
  <c r="J99"/>
  <c r="L99"/>
  <c r="K99"/>
  <c r="E101" l="1"/>
  <c r="N100"/>
  <c r="O100"/>
  <c r="M100"/>
  <c r="K100"/>
  <c r="J100"/>
  <c r="L100"/>
  <c r="E102" l="1"/>
  <c r="M101"/>
  <c r="N101"/>
  <c r="O101"/>
  <c r="J101"/>
  <c r="L101"/>
  <c r="K101"/>
  <c r="E103" l="1"/>
  <c r="M102"/>
  <c r="N102"/>
  <c r="O102"/>
  <c r="K102"/>
  <c r="J102"/>
  <c r="L102"/>
  <c r="E104" l="1"/>
  <c r="M103"/>
  <c r="N103"/>
  <c r="O103"/>
  <c r="J103"/>
  <c r="L103"/>
  <c r="K103"/>
  <c r="E105" l="1"/>
  <c r="N104"/>
  <c r="O104"/>
  <c r="M104"/>
  <c r="J104"/>
  <c r="L104"/>
  <c r="K104"/>
  <c r="E106" l="1"/>
  <c r="M105"/>
  <c r="N105"/>
  <c r="O105"/>
  <c r="J105"/>
  <c r="L105"/>
  <c r="K105"/>
  <c r="E107" l="1"/>
  <c r="M106"/>
  <c r="N106"/>
  <c r="O106"/>
  <c r="L106"/>
  <c r="K106"/>
  <c r="J106"/>
  <c r="E108" l="1"/>
  <c r="M107"/>
  <c r="N107"/>
  <c r="O107"/>
  <c r="J107"/>
  <c r="L107"/>
  <c r="K107"/>
  <c r="E109" l="1"/>
  <c r="N108"/>
  <c r="O108"/>
  <c r="M108"/>
  <c r="J108"/>
  <c r="L108"/>
  <c r="K108"/>
  <c r="E110" l="1"/>
  <c r="M109"/>
  <c r="N109"/>
  <c r="O109"/>
  <c r="J109"/>
  <c r="L109"/>
  <c r="K109"/>
  <c r="E111" l="1"/>
  <c r="M110"/>
  <c r="N110"/>
  <c r="O110"/>
  <c r="J110"/>
  <c r="L110"/>
  <c r="K110"/>
  <c r="E112" l="1"/>
  <c r="M111"/>
  <c r="N111"/>
  <c r="O111"/>
  <c r="J111"/>
  <c r="L111"/>
  <c r="K111"/>
  <c r="E113" l="1"/>
  <c r="N112"/>
  <c r="O112"/>
  <c r="M112"/>
  <c r="K112"/>
  <c r="J112"/>
  <c r="L112"/>
  <c r="E114" l="1"/>
  <c r="M113"/>
  <c r="N113"/>
  <c r="O113"/>
  <c r="K113"/>
  <c r="J113"/>
  <c r="L113"/>
  <c r="E115" l="1"/>
  <c r="M114"/>
  <c r="N114"/>
  <c r="O114"/>
  <c r="K114"/>
  <c r="J114"/>
  <c r="L114"/>
  <c r="E116" l="1"/>
  <c r="M115"/>
  <c r="N115"/>
  <c r="O115"/>
  <c r="K115"/>
  <c r="J115"/>
  <c r="L115"/>
  <c r="E117" l="1"/>
  <c r="N116"/>
  <c r="O116"/>
  <c r="M116"/>
  <c r="K116"/>
  <c r="J116"/>
  <c r="L116"/>
  <c r="E118" l="1"/>
  <c r="M117"/>
  <c r="N117"/>
  <c r="O117"/>
  <c r="K117"/>
  <c r="J117"/>
  <c r="L117"/>
  <c r="E119" l="1"/>
  <c r="M118"/>
  <c r="N118"/>
  <c r="O118"/>
  <c r="J118"/>
  <c r="K118"/>
  <c r="L118"/>
  <c r="E120" l="1"/>
  <c r="M119"/>
  <c r="N119"/>
  <c r="O119"/>
  <c r="J119"/>
  <c r="K119"/>
  <c r="L119"/>
  <c r="E121" l="1"/>
  <c r="N120"/>
  <c r="O120"/>
  <c r="M120"/>
  <c r="J120"/>
  <c r="L120"/>
  <c r="K120"/>
  <c r="E122" l="1"/>
  <c r="M121"/>
  <c r="N121"/>
  <c r="O121"/>
  <c r="J121"/>
  <c r="K121"/>
  <c r="L121"/>
  <c r="E123" l="1"/>
  <c r="M122"/>
  <c r="N122"/>
  <c r="O122"/>
  <c r="J122"/>
  <c r="L122"/>
  <c r="K122"/>
  <c r="E124" l="1"/>
  <c r="M123"/>
  <c r="N123"/>
  <c r="O123"/>
  <c r="K123"/>
  <c r="J123"/>
  <c r="L123"/>
  <c r="E125" l="1"/>
  <c r="N124"/>
  <c r="O124"/>
  <c r="M124"/>
  <c r="K124"/>
  <c r="J124"/>
  <c r="L124"/>
  <c r="E126" l="1"/>
  <c r="M125"/>
  <c r="N125"/>
  <c r="O125"/>
  <c r="K125"/>
  <c r="J125"/>
  <c r="L125"/>
  <c r="E127" l="1"/>
  <c r="M126"/>
  <c r="N126"/>
  <c r="O126"/>
  <c r="K126"/>
  <c r="J126"/>
  <c r="L126"/>
  <c r="E128" l="1"/>
  <c r="M127"/>
  <c r="N127"/>
  <c r="O127"/>
  <c r="K127"/>
  <c r="J127"/>
  <c r="L127"/>
  <c r="E129" l="1"/>
  <c r="N128"/>
  <c r="O128"/>
  <c r="M128"/>
  <c r="J128"/>
  <c r="L128"/>
  <c r="K128"/>
  <c r="E130" l="1"/>
  <c r="M129"/>
  <c r="N129"/>
  <c r="O129"/>
  <c r="J129"/>
  <c r="L129"/>
  <c r="K129"/>
  <c r="E131" l="1"/>
  <c r="M130"/>
  <c r="N130"/>
  <c r="O130"/>
  <c r="K130"/>
  <c r="J130"/>
  <c r="L130"/>
  <c r="E132" l="1"/>
  <c r="M131"/>
  <c r="N131"/>
  <c r="O131"/>
  <c r="J131"/>
  <c r="L131"/>
  <c r="K131"/>
  <c r="E133" l="1"/>
  <c r="N132"/>
  <c r="O132"/>
  <c r="M132"/>
  <c r="J132"/>
  <c r="L132"/>
  <c r="K132"/>
  <c r="E134" l="1"/>
  <c r="M133"/>
  <c r="N133"/>
  <c r="O133"/>
  <c r="J133"/>
  <c r="L133"/>
  <c r="K133"/>
  <c r="E135" l="1"/>
  <c r="M134"/>
  <c r="N134"/>
  <c r="O134"/>
  <c r="J134"/>
  <c r="L134"/>
  <c r="K134"/>
  <c r="E136" l="1"/>
  <c r="M135"/>
  <c r="N135"/>
  <c r="O135"/>
  <c r="J135"/>
  <c r="L135"/>
  <c r="K135"/>
  <c r="E137" l="1"/>
  <c r="N136"/>
  <c r="O136"/>
  <c r="M136"/>
  <c r="J136"/>
  <c r="L136"/>
  <c r="K136"/>
  <c r="E138" l="1"/>
  <c r="M137"/>
  <c r="N137"/>
  <c r="O137"/>
  <c r="J137"/>
  <c r="L137"/>
  <c r="K137"/>
  <c r="E139" l="1"/>
  <c r="M138"/>
  <c r="N138"/>
  <c r="O138"/>
  <c r="J138"/>
  <c r="L138"/>
  <c r="K138"/>
  <c r="E140" l="1"/>
  <c r="M139"/>
  <c r="N139"/>
  <c r="O139"/>
  <c r="J139"/>
  <c r="L139"/>
  <c r="K139"/>
  <c r="E141" l="1"/>
  <c r="N140"/>
  <c r="O140"/>
  <c r="M140"/>
  <c r="J140"/>
  <c r="K140"/>
  <c r="L140"/>
  <c r="E142" l="1"/>
  <c r="M141"/>
  <c r="N141"/>
  <c r="O141"/>
  <c r="L141"/>
  <c r="K141"/>
  <c r="J141"/>
  <c r="E143" l="1"/>
  <c r="M142"/>
  <c r="N142"/>
  <c r="O142"/>
  <c r="J142"/>
  <c r="K142"/>
  <c r="L142"/>
  <c r="E144" l="1"/>
  <c r="M143"/>
  <c r="N143"/>
  <c r="O143"/>
  <c r="J143"/>
  <c r="L143"/>
  <c r="K143"/>
  <c r="E145" l="1"/>
  <c r="N144"/>
  <c r="O144"/>
  <c r="M144"/>
  <c r="K144"/>
  <c r="J144"/>
  <c r="L144"/>
  <c r="E146" l="1"/>
  <c r="M145"/>
  <c r="N145"/>
  <c r="O145"/>
  <c r="J145"/>
  <c r="L145"/>
  <c r="K145"/>
  <c r="E147" l="1"/>
  <c r="M146"/>
  <c r="N146"/>
  <c r="O146"/>
  <c r="J146"/>
  <c r="L146"/>
  <c r="K146"/>
  <c r="E148" l="1"/>
  <c r="M147"/>
  <c r="N147"/>
  <c r="O147"/>
  <c r="J147"/>
  <c r="L147"/>
  <c r="K147"/>
  <c r="E149" l="1"/>
  <c r="N148"/>
  <c r="O148"/>
  <c r="M148"/>
  <c r="J148"/>
  <c r="L148"/>
  <c r="K148"/>
  <c r="E150" l="1"/>
  <c r="M149"/>
  <c r="N149"/>
  <c r="O149"/>
  <c r="K149"/>
  <c r="J149"/>
  <c r="L149"/>
  <c r="E151" l="1"/>
  <c r="M150"/>
  <c r="N150"/>
  <c r="O150"/>
  <c r="J150"/>
  <c r="L150"/>
  <c r="K150"/>
  <c r="E152" l="1"/>
  <c r="M151"/>
  <c r="N151"/>
  <c r="O151"/>
  <c r="J151"/>
  <c r="K151"/>
  <c r="L151"/>
  <c r="E153" l="1"/>
  <c r="N152"/>
  <c r="O152"/>
  <c r="M152"/>
  <c r="J152"/>
  <c r="L152"/>
  <c r="K152"/>
  <c r="E154" l="1"/>
  <c r="M153"/>
  <c r="N153"/>
  <c r="O153"/>
  <c r="K153"/>
  <c r="J153"/>
  <c r="L153"/>
  <c r="E155" l="1"/>
  <c r="M154"/>
  <c r="N154"/>
  <c r="O154"/>
  <c r="J154"/>
  <c r="L154"/>
  <c r="K154"/>
  <c r="E156" l="1"/>
  <c r="M155"/>
  <c r="N155"/>
  <c r="O155"/>
  <c r="K155"/>
  <c r="J155"/>
  <c r="L155"/>
  <c r="E157" l="1"/>
  <c r="N156"/>
  <c r="O156"/>
  <c r="M156"/>
  <c r="J156"/>
  <c r="L156"/>
  <c r="K156"/>
  <c r="E158" l="1"/>
  <c r="M157"/>
  <c r="N157"/>
  <c r="O157"/>
  <c r="K157"/>
  <c r="J157"/>
  <c r="L157"/>
  <c r="E159" l="1"/>
  <c r="M158"/>
  <c r="N158"/>
  <c r="O158"/>
  <c r="J158"/>
  <c r="L158"/>
  <c r="K158"/>
  <c r="E160" l="1"/>
  <c r="M159"/>
  <c r="N159"/>
  <c r="O159"/>
  <c r="K159"/>
  <c r="J159"/>
  <c r="L159"/>
  <c r="E161" l="1"/>
  <c r="N160"/>
  <c r="O160"/>
  <c r="M160"/>
  <c r="J160"/>
  <c r="L160"/>
  <c r="K160"/>
  <c r="E162" l="1"/>
  <c r="M161"/>
  <c r="N161"/>
  <c r="O161"/>
  <c r="J161"/>
  <c r="L161"/>
  <c r="K161"/>
  <c r="E163" l="1"/>
  <c r="M162"/>
  <c r="N162"/>
  <c r="O162"/>
  <c r="J162"/>
  <c r="L162"/>
  <c r="K162"/>
  <c r="E164" l="1"/>
  <c r="M163"/>
  <c r="N163"/>
  <c r="O163"/>
  <c r="J163"/>
  <c r="K163"/>
  <c r="L163"/>
  <c r="E165" l="1"/>
  <c r="N164"/>
  <c r="O164"/>
  <c r="M164"/>
  <c r="J164"/>
  <c r="L164"/>
  <c r="K164"/>
  <c r="E166" l="1"/>
  <c r="M165"/>
  <c r="N165"/>
  <c r="O165"/>
  <c r="J165"/>
  <c r="K165"/>
  <c r="L165"/>
  <c r="E167" l="1"/>
  <c r="M166"/>
  <c r="N166"/>
  <c r="O166"/>
  <c r="J166"/>
  <c r="L166"/>
  <c r="K166"/>
  <c r="E168" l="1"/>
  <c r="M167"/>
  <c r="N167"/>
  <c r="O167"/>
  <c r="J167"/>
  <c r="L167"/>
  <c r="K167"/>
  <c r="E169" l="1"/>
  <c r="N168"/>
  <c r="O168"/>
  <c r="M168"/>
  <c r="J168"/>
  <c r="L168"/>
  <c r="K168"/>
  <c r="E170" l="1"/>
  <c r="M169"/>
  <c r="N169"/>
  <c r="O169"/>
  <c r="J169"/>
  <c r="L169"/>
  <c r="K169"/>
  <c r="E171" l="1"/>
  <c r="M170"/>
  <c r="N170"/>
  <c r="O170"/>
  <c r="J170"/>
  <c r="L170"/>
  <c r="K170"/>
  <c r="E172" l="1"/>
  <c r="M171"/>
  <c r="N171"/>
  <c r="O171"/>
  <c r="J171"/>
  <c r="L171"/>
  <c r="K171"/>
  <c r="E173" l="1"/>
  <c r="N172"/>
  <c r="O172"/>
  <c r="M172"/>
  <c r="K172"/>
  <c r="J172"/>
  <c r="L172"/>
  <c r="E174" l="1"/>
  <c r="M173"/>
  <c r="N173"/>
  <c r="O173"/>
  <c r="J173"/>
  <c r="L173"/>
  <c r="K173"/>
  <c r="E175" l="1"/>
  <c r="M174"/>
  <c r="N174"/>
  <c r="O174"/>
  <c r="K174"/>
  <c r="J174"/>
  <c r="L174"/>
  <c r="E176" l="1"/>
  <c r="M175"/>
  <c r="N175"/>
  <c r="O175"/>
  <c r="J175"/>
  <c r="L175"/>
  <c r="K175"/>
  <c r="E177" l="1"/>
  <c r="N176"/>
  <c r="O176"/>
  <c r="M176"/>
  <c r="K176"/>
  <c r="J176"/>
  <c r="L176"/>
  <c r="E178" l="1"/>
  <c r="M177"/>
  <c r="N177"/>
  <c r="O177"/>
  <c r="J177"/>
  <c r="L177"/>
  <c r="K177"/>
  <c r="E179" l="1"/>
  <c r="M178"/>
  <c r="N178"/>
  <c r="O178"/>
  <c r="J178"/>
  <c r="K178"/>
  <c r="L178"/>
  <c r="E180" l="1"/>
  <c r="M179"/>
  <c r="N179"/>
  <c r="O179"/>
  <c r="J179"/>
  <c r="L179"/>
  <c r="K179"/>
  <c r="E181" l="1"/>
  <c r="N180"/>
  <c r="O180"/>
  <c r="M180"/>
  <c r="K180"/>
  <c r="J180"/>
  <c r="L180"/>
  <c r="E182" l="1"/>
  <c r="M181"/>
  <c r="N181"/>
  <c r="O181"/>
  <c r="J181"/>
  <c r="L181"/>
  <c r="K181"/>
  <c r="E183" l="1"/>
  <c r="M182"/>
  <c r="N182"/>
  <c r="O182"/>
  <c r="J182"/>
  <c r="L182"/>
  <c r="K182"/>
  <c r="E184" l="1"/>
  <c r="M183"/>
  <c r="N183"/>
  <c r="O183"/>
  <c r="J183"/>
  <c r="L183"/>
  <c r="K183"/>
  <c r="E185" l="1"/>
  <c r="N184"/>
  <c r="O184"/>
  <c r="M184"/>
  <c r="K184"/>
  <c r="J184"/>
  <c r="L184"/>
  <c r="E186" l="1"/>
  <c r="M185"/>
  <c r="N185"/>
  <c r="O185"/>
  <c r="J185"/>
  <c r="L185"/>
  <c r="K185"/>
  <c r="E187" l="1"/>
  <c r="M186"/>
  <c r="N186"/>
  <c r="O186"/>
  <c r="J186"/>
  <c r="K186"/>
  <c r="L186"/>
  <c r="E188" l="1"/>
  <c r="M187"/>
  <c r="N187"/>
  <c r="O187"/>
  <c r="J187"/>
  <c r="L187"/>
  <c r="K187"/>
  <c r="E189" l="1"/>
  <c r="N188"/>
  <c r="O188"/>
  <c r="M188"/>
  <c r="K188"/>
  <c r="J188"/>
  <c r="L188"/>
  <c r="E190" l="1"/>
  <c r="M189"/>
  <c r="N189"/>
  <c r="O189"/>
  <c r="J189"/>
  <c r="L189"/>
  <c r="K189"/>
  <c r="E191" l="1"/>
  <c r="M190"/>
  <c r="N190"/>
  <c r="O190"/>
  <c r="J190"/>
  <c r="L190"/>
  <c r="K190"/>
  <c r="E192" l="1"/>
  <c r="M191"/>
  <c r="N191"/>
  <c r="O191"/>
  <c r="J191"/>
  <c r="L191"/>
  <c r="K191"/>
  <c r="E193" l="1"/>
  <c r="N192"/>
  <c r="O192"/>
  <c r="M192"/>
  <c r="K192"/>
  <c r="J192"/>
  <c r="L192"/>
  <c r="E194" l="1"/>
  <c r="M193"/>
  <c r="N193"/>
  <c r="O193"/>
  <c r="J193"/>
  <c r="L193"/>
  <c r="K193"/>
  <c r="M194" l="1"/>
  <c r="N194"/>
  <c r="O194"/>
  <c r="E195"/>
  <c r="J194"/>
  <c r="L194"/>
  <c r="K194"/>
  <c r="E196" l="1"/>
  <c r="M195"/>
  <c r="N195"/>
  <c r="O195"/>
  <c r="J195"/>
  <c r="L195"/>
  <c r="K195"/>
  <c r="E197" l="1"/>
  <c r="N196"/>
  <c r="O196"/>
  <c r="M196"/>
  <c r="J196"/>
  <c r="L196"/>
  <c r="K196"/>
  <c r="E198" l="1"/>
  <c r="M197"/>
  <c r="N197"/>
  <c r="O197"/>
  <c r="K197"/>
  <c r="J197"/>
  <c r="L197"/>
  <c r="E199" l="1"/>
  <c r="M198"/>
  <c r="N198"/>
  <c r="O198"/>
  <c r="J198"/>
  <c r="L198"/>
  <c r="K198"/>
  <c r="E200" l="1"/>
  <c r="M199"/>
  <c r="N199"/>
  <c r="O199"/>
  <c r="K199"/>
  <c r="J199"/>
  <c r="L199"/>
  <c r="E201" l="1"/>
  <c r="N200"/>
  <c r="O200"/>
  <c r="M200"/>
  <c r="J200"/>
  <c r="L200"/>
  <c r="K200"/>
  <c r="E202" l="1"/>
  <c r="M201"/>
  <c r="N201"/>
  <c r="O201"/>
  <c r="K201"/>
  <c r="J201"/>
  <c r="L201"/>
  <c r="E203" l="1"/>
  <c r="M202"/>
  <c r="N202"/>
  <c r="O202"/>
  <c r="J202"/>
  <c r="L202"/>
  <c r="K202"/>
  <c r="E204" l="1"/>
  <c r="M203"/>
  <c r="N203"/>
  <c r="O203"/>
  <c r="J203"/>
  <c r="L203"/>
  <c r="K203"/>
  <c r="E205" l="1"/>
  <c r="N204"/>
  <c r="O204"/>
  <c r="M204"/>
  <c r="J204"/>
  <c r="L204"/>
  <c r="K204"/>
  <c r="E206" l="1"/>
  <c r="M205"/>
  <c r="N205"/>
  <c r="O205"/>
  <c r="K205"/>
  <c r="J205"/>
  <c r="L205"/>
  <c r="E207" l="1"/>
  <c r="M206"/>
  <c r="N206"/>
  <c r="O206"/>
  <c r="J206"/>
  <c r="L206"/>
  <c r="K206"/>
  <c r="E208" l="1"/>
  <c r="M207"/>
  <c r="N207"/>
  <c r="O207"/>
  <c r="K207"/>
  <c r="J207"/>
  <c r="L207"/>
  <c r="E209" l="1"/>
  <c r="N208"/>
  <c r="O208"/>
  <c r="M208"/>
  <c r="J208"/>
  <c r="L208"/>
  <c r="K208"/>
  <c r="E210" l="1"/>
  <c r="M209"/>
  <c r="N209"/>
  <c r="O209"/>
  <c r="J209"/>
  <c r="K209"/>
  <c r="L209"/>
  <c r="E211" l="1"/>
  <c r="M210"/>
  <c r="N210"/>
  <c r="O210"/>
  <c r="J210"/>
  <c r="L210"/>
  <c r="K210"/>
  <c r="E212" l="1"/>
  <c r="M211"/>
  <c r="N211"/>
  <c r="O211"/>
  <c r="K211"/>
  <c r="J211"/>
  <c r="L211"/>
  <c r="E213" l="1"/>
  <c r="N212"/>
  <c r="O212"/>
  <c r="M212"/>
  <c r="J212"/>
  <c r="L212"/>
  <c r="K212"/>
  <c r="E214" l="1"/>
  <c r="M213"/>
  <c r="N213"/>
  <c r="O213"/>
  <c r="J213"/>
  <c r="K213"/>
  <c r="L213"/>
  <c r="E215" l="1"/>
  <c r="M214"/>
  <c r="N214"/>
  <c r="O214"/>
  <c r="J214"/>
  <c r="L214"/>
  <c r="K214"/>
  <c r="E216" l="1"/>
  <c r="M215"/>
  <c r="N215"/>
  <c r="O215"/>
  <c r="J215"/>
  <c r="L215"/>
  <c r="K215"/>
  <c r="E217" l="1"/>
  <c r="N216"/>
  <c r="O216"/>
  <c r="M216"/>
  <c r="K216"/>
  <c r="J216"/>
  <c r="L216"/>
  <c r="E218" l="1"/>
  <c r="M217"/>
  <c r="N217"/>
  <c r="O217"/>
  <c r="K217"/>
  <c r="J217"/>
  <c r="L217"/>
  <c r="E219" l="1"/>
  <c r="M218"/>
  <c r="N218"/>
  <c r="O218"/>
  <c r="J218"/>
  <c r="L218"/>
  <c r="K218"/>
  <c r="E220" l="1"/>
  <c r="M219"/>
  <c r="N219"/>
  <c r="O219"/>
  <c r="L219"/>
  <c r="K219"/>
  <c r="J219"/>
  <c r="E221" l="1"/>
  <c r="N220"/>
  <c r="O220"/>
  <c r="M220"/>
  <c r="J220"/>
  <c r="L220"/>
  <c r="K220"/>
  <c r="E222" l="1"/>
  <c r="M221"/>
  <c r="N221"/>
  <c r="O221"/>
  <c r="K221"/>
  <c r="J221"/>
  <c r="L221"/>
  <c r="E223" l="1"/>
  <c r="M222"/>
  <c r="N222"/>
  <c r="O222"/>
  <c r="J222"/>
  <c r="L222"/>
  <c r="K222"/>
  <c r="E224" l="1"/>
  <c r="M223"/>
  <c r="N223"/>
  <c r="O223"/>
  <c r="K223"/>
  <c r="J223"/>
  <c r="L223"/>
  <c r="E225" l="1"/>
  <c r="N224"/>
  <c r="O224"/>
  <c r="M224"/>
  <c r="J224"/>
  <c r="L224"/>
  <c r="K224"/>
  <c r="E226" l="1"/>
  <c r="M225"/>
  <c r="N225"/>
  <c r="O225"/>
  <c r="J225"/>
  <c r="L225"/>
  <c r="K225"/>
  <c r="E227" l="1"/>
  <c r="M226"/>
  <c r="N226"/>
  <c r="O226"/>
  <c r="J226"/>
  <c r="L226"/>
  <c r="K226"/>
  <c r="E228" l="1"/>
  <c r="M227"/>
  <c r="N227"/>
  <c r="O227"/>
  <c r="J227"/>
  <c r="L227"/>
  <c r="K227"/>
  <c r="E229" l="1"/>
  <c r="N228"/>
  <c r="O228"/>
  <c r="M228"/>
  <c r="J228"/>
  <c r="L228"/>
  <c r="K228"/>
  <c r="E230" l="1"/>
  <c r="M229"/>
  <c r="N229"/>
  <c r="O229"/>
  <c r="K229"/>
  <c r="J229"/>
  <c r="L229"/>
  <c r="E231" l="1"/>
  <c r="M230"/>
  <c r="N230"/>
  <c r="O230"/>
  <c r="J230"/>
  <c r="L230"/>
  <c r="K230"/>
  <c r="E232" l="1"/>
  <c r="M231"/>
  <c r="N231"/>
  <c r="O231"/>
  <c r="J231"/>
  <c r="K231"/>
  <c r="L231"/>
  <c r="E233" l="1"/>
  <c r="N232"/>
  <c r="O232"/>
  <c r="M232"/>
  <c r="J232"/>
  <c r="L232"/>
  <c r="K232"/>
  <c r="E234" l="1"/>
  <c r="M233"/>
  <c r="N233"/>
  <c r="O233"/>
  <c r="K233"/>
  <c r="J233"/>
  <c r="L233"/>
  <c r="E235" l="1"/>
  <c r="M234"/>
  <c r="N234"/>
  <c r="O234"/>
  <c r="J234"/>
  <c r="L234"/>
  <c r="K234"/>
  <c r="E236" l="1"/>
  <c r="M235"/>
  <c r="N235"/>
  <c r="O235"/>
  <c r="J235"/>
  <c r="K235"/>
  <c r="L235"/>
  <c r="E237" l="1"/>
  <c r="N236"/>
  <c r="O236"/>
  <c r="M236"/>
  <c r="J236"/>
  <c r="L236"/>
  <c r="K236"/>
  <c r="E238" l="1"/>
  <c r="M237"/>
  <c r="N237"/>
  <c r="O237"/>
  <c r="J237"/>
  <c r="K237"/>
  <c r="L237"/>
  <c r="E239" l="1"/>
  <c r="M238"/>
  <c r="N238"/>
  <c r="O238"/>
  <c r="J238"/>
  <c r="L238"/>
  <c r="K238"/>
  <c r="E240" l="1"/>
  <c r="M239"/>
  <c r="N239"/>
  <c r="O239"/>
  <c r="J239"/>
  <c r="L239"/>
  <c r="K239"/>
  <c r="E241" l="1"/>
  <c r="N240"/>
  <c r="O240"/>
  <c r="M240"/>
  <c r="J240"/>
  <c r="L240"/>
  <c r="K240"/>
  <c r="E242" l="1"/>
  <c r="M241"/>
  <c r="N241"/>
  <c r="O241"/>
  <c r="J241"/>
  <c r="L241"/>
  <c r="K241"/>
  <c r="E243" l="1"/>
  <c r="M242"/>
  <c r="N242"/>
  <c r="O242"/>
  <c r="J242"/>
  <c r="L242"/>
  <c r="K242"/>
  <c r="E244" l="1"/>
  <c r="M243"/>
  <c r="N243"/>
  <c r="O243"/>
  <c r="K243"/>
  <c r="J243"/>
  <c r="L243"/>
  <c r="E245" l="1"/>
  <c r="N244"/>
  <c r="O244"/>
  <c r="M244"/>
  <c r="J244"/>
  <c r="L244"/>
  <c r="K244"/>
  <c r="E246" l="1"/>
  <c r="M245"/>
  <c r="N245"/>
  <c r="O245"/>
  <c r="J245"/>
  <c r="K245"/>
  <c r="L245"/>
  <c r="E247" l="1"/>
  <c r="M246"/>
  <c r="N246"/>
  <c r="O246"/>
  <c r="J246"/>
  <c r="L246"/>
  <c r="K246"/>
  <c r="E248" l="1"/>
  <c r="M247"/>
  <c r="N247"/>
  <c r="O247"/>
  <c r="K247"/>
  <c r="J247"/>
  <c r="L247"/>
  <c r="E249" l="1"/>
  <c r="N248"/>
  <c r="O248"/>
  <c r="M248"/>
  <c r="J248"/>
  <c r="L248"/>
  <c r="K248"/>
  <c r="E250" l="1"/>
  <c r="M249"/>
  <c r="N249"/>
  <c r="O249"/>
  <c r="J249"/>
  <c r="K249"/>
  <c r="L249"/>
  <c r="E251" l="1"/>
  <c r="M250"/>
  <c r="N250"/>
  <c r="O250"/>
  <c r="J250"/>
  <c r="L250"/>
  <c r="K250"/>
  <c r="E252" l="1"/>
  <c r="M251"/>
  <c r="N251"/>
  <c r="O251"/>
  <c r="J251"/>
  <c r="K251"/>
  <c r="L251"/>
  <c r="E253" l="1"/>
  <c r="N252"/>
  <c r="O252"/>
  <c r="M252"/>
  <c r="J252"/>
  <c r="L252"/>
  <c r="K252"/>
  <c r="E254" l="1"/>
  <c r="M253"/>
  <c r="N253"/>
  <c r="O253"/>
  <c r="J253"/>
  <c r="L253"/>
  <c r="K253"/>
  <c r="E255" l="1"/>
  <c r="M254"/>
  <c r="N254"/>
  <c r="O254"/>
  <c r="J254"/>
  <c r="L254"/>
  <c r="K254"/>
  <c r="E256" l="1"/>
  <c r="M255"/>
  <c r="N255"/>
  <c r="O255"/>
  <c r="K255"/>
  <c r="J255"/>
  <c r="L255"/>
  <c r="E257" l="1"/>
  <c r="N256"/>
  <c r="O256"/>
  <c r="M256"/>
  <c r="J256"/>
  <c r="L256"/>
  <c r="K256"/>
  <c r="E258" l="1"/>
  <c r="M257"/>
  <c r="N257"/>
  <c r="O257"/>
  <c r="J257"/>
  <c r="L257"/>
  <c r="K257"/>
  <c r="E259" l="1"/>
  <c r="M258"/>
  <c r="N258"/>
  <c r="O258"/>
  <c r="J258"/>
  <c r="L258"/>
  <c r="K258"/>
  <c r="E260" l="1"/>
  <c r="M259"/>
  <c r="N259"/>
  <c r="O259"/>
  <c r="K259"/>
  <c r="J259"/>
  <c r="L259"/>
  <c r="E261" l="1"/>
  <c r="N260"/>
  <c r="O260"/>
  <c r="M260"/>
  <c r="J260"/>
  <c r="L260"/>
  <c r="K260"/>
  <c r="E262" l="1"/>
  <c r="M261"/>
  <c r="N261"/>
  <c r="O261"/>
  <c r="K261"/>
  <c r="J261"/>
  <c r="L261"/>
  <c r="E263" l="1"/>
  <c r="M262"/>
  <c r="N262"/>
  <c r="O262"/>
  <c r="J262"/>
  <c r="L262"/>
  <c r="K262"/>
  <c r="E264" l="1"/>
  <c r="M263"/>
  <c r="N263"/>
  <c r="O263"/>
  <c r="K263"/>
  <c r="J263"/>
  <c r="L263"/>
  <c r="E265" l="1"/>
  <c r="N264"/>
  <c r="O264"/>
  <c r="M264"/>
  <c r="J264"/>
  <c r="L264"/>
  <c r="K264"/>
  <c r="E266" l="1"/>
  <c r="M265"/>
  <c r="N265"/>
  <c r="O265"/>
  <c r="J265"/>
  <c r="L265"/>
  <c r="K265"/>
  <c r="E267" l="1"/>
  <c r="M266"/>
  <c r="N266"/>
  <c r="O266"/>
  <c r="J266"/>
  <c r="L266"/>
  <c r="K266"/>
  <c r="E268" l="1"/>
  <c r="M267"/>
  <c r="N267"/>
  <c r="O267"/>
  <c r="K267"/>
  <c r="J267"/>
  <c r="L267"/>
  <c r="E269" l="1"/>
  <c r="N268"/>
  <c r="O268"/>
  <c r="M268"/>
  <c r="K268"/>
  <c r="J268"/>
  <c r="L268"/>
  <c r="E270" l="1"/>
  <c r="M269"/>
  <c r="N269"/>
  <c r="O269"/>
  <c r="J269"/>
  <c r="L269"/>
  <c r="K269"/>
  <c r="E271" l="1"/>
  <c r="M270"/>
  <c r="N270"/>
  <c r="O270"/>
  <c r="K270"/>
  <c r="J270"/>
  <c r="L270"/>
  <c r="E272" l="1"/>
  <c r="M271"/>
  <c r="N271"/>
  <c r="O271"/>
  <c r="K271"/>
  <c r="J271"/>
  <c r="L271"/>
  <c r="E273" l="1"/>
  <c r="N272"/>
  <c r="O272"/>
  <c r="M272"/>
  <c r="K272"/>
  <c r="J272"/>
  <c r="L272"/>
  <c r="E274" l="1"/>
  <c r="M273"/>
  <c r="N273"/>
  <c r="O273"/>
  <c r="K273"/>
  <c r="J273"/>
  <c r="L273"/>
  <c r="E275" l="1"/>
  <c r="M274"/>
  <c r="N274"/>
  <c r="O274"/>
  <c r="K274"/>
  <c r="J274"/>
  <c r="L274"/>
  <c r="E276" l="1"/>
  <c r="M275"/>
  <c r="N275"/>
  <c r="O275"/>
  <c r="K275"/>
  <c r="J275"/>
  <c r="L275"/>
  <c r="E277" l="1"/>
  <c r="N276"/>
  <c r="O276"/>
  <c r="M276"/>
  <c r="K276"/>
  <c r="J276"/>
  <c r="L276"/>
  <c r="E278" l="1"/>
  <c r="M277"/>
  <c r="N277"/>
  <c r="O277"/>
  <c r="K277"/>
  <c r="J277"/>
  <c r="L277"/>
  <c r="E279" l="1"/>
  <c r="M278"/>
  <c r="N278"/>
  <c r="O278"/>
  <c r="K278"/>
  <c r="J278"/>
  <c r="L278"/>
  <c r="E280" l="1"/>
  <c r="M279"/>
  <c r="N279"/>
  <c r="O279"/>
  <c r="K279"/>
  <c r="J279"/>
  <c r="L279"/>
  <c r="E281" l="1"/>
  <c r="N280"/>
  <c r="O280"/>
  <c r="M280"/>
  <c r="J280"/>
  <c r="L280"/>
  <c r="K280"/>
  <c r="E282" l="1"/>
  <c r="M281"/>
  <c r="N281"/>
  <c r="O281"/>
  <c r="K281"/>
  <c r="J281"/>
  <c r="L281"/>
  <c r="E283" l="1"/>
  <c r="M282"/>
  <c r="N282"/>
  <c r="O282"/>
  <c r="J282"/>
  <c r="L282"/>
  <c r="K282"/>
  <c r="E284" l="1"/>
  <c r="M283"/>
  <c r="N283"/>
  <c r="O283"/>
  <c r="J283"/>
  <c r="L283"/>
  <c r="K283"/>
  <c r="E285" l="1"/>
  <c r="N284"/>
  <c r="O284"/>
  <c r="M284"/>
  <c r="J284"/>
  <c r="L284"/>
  <c r="K284"/>
  <c r="E286" l="1"/>
  <c r="M285"/>
  <c r="N285"/>
  <c r="O285"/>
  <c r="J285"/>
  <c r="K285"/>
  <c r="L285"/>
  <c r="E287" l="1"/>
  <c r="M286"/>
  <c r="N286"/>
  <c r="O286"/>
  <c r="J286"/>
  <c r="L286"/>
  <c r="K286"/>
  <c r="L288"/>
  <c r="E288" l="1"/>
  <c r="M287"/>
  <c r="N287"/>
  <c r="O287"/>
  <c r="K287"/>
  <c r="J287"/>
  <c r="L287"/>
  <c r="L289"/>
  <c r="E289" l="1"/>
  <c r="J288"/>
  <c r="K288"/>
  <c r="E290" l="1"/>
  <c r="J289"/>
  <c r="K289"/>
  <c r="E291" l="1"/>
  <c r="M290"/>
  <c r="N290"/>
  <c r="O290"/>
  <c r="K290"/>
  <c r="J290"/>
  <c r="L290"/>
  <c r="E292" l="1"/>
  <c r="M291"/>
  <c r="N291"/>
  <c r="O291"/>
  <c r="K291"/>
  <c r="J291"/>
  <c r="L291"/>
  <c r="E293" l="1"/>
  <c r="N292"/>
  <c r="O292"/>
  <c r="M292"/>
  <c r="L292"/>
  <c r="K292"/>
  <c r="J292"/>
  <c r="E294" l="1"/>
  <c r="M293"/>
  <c r="N293"/>
  <c r="O293"/>
  <c r="K293"/>
  <c r="J293"/>
  <c r="L293"/>
  <c r="E295" l="1"/>
  <c r="M294"/>
  <c r="N294"/>
  <c r="O294"/>
  <c r="J294"/>
  <c r="L294"/>
  <c r="K294"/>
  <c r="E296" l="1"/>
  <c r="M295"/>
  <c r="N295"/>
  <c r="O295"/>
  <c r="J295"/>
  <c r="K295"/>
  <c r="L295"/>
  <c r="E297" l="1"/>
  <c r="N296"/>
  <c r="O296"/>
  <c r="M296"/>
  <c r="J296"/>
  <c r="L296"/>
  <c r="K296"/>
  <c r="E298" l="1"/>
  <c r="M297"/>
  <c r="N297"/>
  <c r="O297"/>
  <c r="K297"/>
  <c r="J297"/>
  <c r="L297"/>
  <c r="E299" l="1"/>
  <c r="M298"/>
  <c r="N298"/>
  <c r="O298"/>
  <c r="J298"/>
  <c r="L298"/>
  <c r="K298"/>
  <c r="E300" l="1"/>
  <c r="M299"/>
  <c r="N299"/>
  <c r="O299"/>
  <c r="K299"/>
  <c r="J299"/>
  <c r="L299"/>
  <c r="E301" l="1"/>
  <c r="N300"/>
  <c r="O300"/>
  <c r="M300"/>
  <c r="J300"/>
  <c r="L300"/>
  <c r="K300"/>
  <c r="E302" l="1"/>
  <c r="M301"/>
  <c r="N301"/>
  <c r="O301"/>
  <c r="L301"/>
  <c r="K301"/>
  <c r="J301"/>
  <c r="E303" l="1"/>
  <c r="M302"/>
  <c r="N302"/>
  <c r="O302"/>
  <c r="J302"/>
  <c r="L302"/>
  <c r="K302"/>
  <c r="E304" l="1"/>
  <c r="M303"/>
  <c r="N303"/>
  <c r="O303"/>
  <c r="J303"/>
  <c r="K303"/>
  <c r="L303"/>
  <c r="E305" l="1"/>
  <c r="N304"/>
  <c r="O304"/>
  <c r="M304"/>
  <c r="J304"/>
  <c r="L304"/>
  <c r="K304"/>
  <c r="E306" l="1"/>
  <c r="M305"/>
  <c r="N305"/>
  <c r="O305"/>
  <c r="K305"/>
  <c r="J305"/>
  <c r="L305"/>
  <c r="E307" l="1"/>
  <c r="M306"/>
  <c r="N306"/>
  <c r="O306"/>
  <c r="J306"/>
  <c r="L306"/>
  <c r="K306"/>
  <c r="E308" l="1"/>
  <c r="M307"/>
  <c r="N307"/>
  <c r="O307"/>
  <c r="J307"/>
  <c r="L307"/>
  <c r="K307"/>
  <c r="E309" l="1"/>
  <c r="N308"/>
  <c r="O308"/>
  <c r="M308"/>
  <c r="J308"/>
  <c r="L308"/>
  <c r="K308"/>
  <c r="E310" l="1"/>
  <c r="M309"/>
  <c r="N309"/>
  <c r="O309"/>
  <c r="K309"/>
  <c r="J309"/>
  <c r="L309"/>
  <c r="E311" l="1"/>
  <c r="M310"/>
  <c r="N310"/>
  <c r="O310"/>
  <c r="J310"/>
  <c r="L310"/>
  <c r="K310"/>
  <c r="E312" l="1"/>
  <c r="M311"/>
  <c r="N311"/>
  <c r="O311"/>
  <c r="J311"/>
  <c r="K311"/>
  <c r="L311"/>
  <c r="E313" l="1"/>
  <c r="N312"/>
  <c r="O312"/>
  <c r="M312"/>
  <c r="J312"/>
  <c r="L312"/>
  <c r="K312"/>
  <c r="E314" l="1"/>
  <c r="M313"/>
  <c r="N313"/>
  <c r="O313"/>
  <c r="K313"/>
  <c r="J313"/>
  <c r="L313"/>
  <c r="E315" l="1"/>
  <c r="M314"/>
  <c r="N314"/>
  <c r="O314"/>
  <c r="J314"/>
  <c r="L314"/>
  <c r="K314"/>
  <c r="E316" l="1"/>
  <c r="M315"/>
  <c r="N315"/>
  <c r="O315"/>
  <c r="K315"/>
  <c r="J315"/>
  <c r="L315"/>
  <c r="E317" l="1"/>
  <c r="N316"/>
  <c r="O316"/>
  <c r="M316"/>
  <c r="J316"/>
  <c r="L316"/>
  <c r="K316"/>
  <c r="E318" l="1"/>
  <c r="M317"/>
  <c r="N317"/>
  <c r="O317"/>
  <c r="K317"/>
  <c r="J317"/>
  <c r="L317"/>
  <c r="E319" l="1"/>
  <c r="M318"/>
  <c r="N318"/>
  <c r="O318"/>
  <c r="J318"/>
  <c r="L318"/>
  <c r="K318"/>
  <c r="E320" l="1"/>
  <c r="M319"/>
  <c r="N319"/>
  <c r="O319"/>
  <c r="J319"/>
  <c r="L319"/>
  <c r="K319"/>
  <c r="E321" l="1"/>
  <c r="N320"/>
  <c r="O320"/>
  <c r="M320"/>
  <c r="J320"/>
  <c r="L320"/>
  <c r="K320"/>
  <c r="E322" l="1"/>
  <c r="M321"/>
  <c r="N321"/>
  <c r="O321"/>
  <c r="K321"/>
  <c r="J321"/>
  <c r="L321"/>
  <c r="E323" l="1"/>
  <c r="M322"/>
  <c r="N322"/>
  <c r="O322"/>
  <c r="J322"/>
  <c r="L322"/>
  <c r="K322"/>
  <c r="E324" l="1"/>
  <c r="M323"/>
  <c r="N323"/>
  <c r="O323"/>
  <c r="L323"/>
  <c r="K323"/>
  <c r="J323"/>
  <c r="E325" l="1"/>
  <c r="N324"/>
  <c r="O324"/>
  <c r="M324"/>
  <c r="K324"/>
  <c r="J324"/>
  <c r="L324"/>
  <c r="E326" l="1"/>
  <c r="M325"/>
  <c r="N325"/>
  <c r="O325"/>
  <c r="J325"/>
  <c r="L325"/>
  <c r="K325"/>
  <c r="E327" l="1"/>
  <c r="M326"/>
  <c r="N326"/>
  <c r="O326"/>
  <c r="J326"/>
  <c r="L326"/>
  <c r="K326"/>
  <c r="E328" l="1"/>
  <c r="M327"/>
  <c r="N327"/>
  <c r="O327"/>
  <c r="K327"/>
  <c r="J327"/>
  <c r="L327"/>
  <c r="E329" l="1"/>
  <c r="N328"/>
  <c r="O328"/>
  <c r="M328"/>
  <c r="J328"/>
  <c r="L328"/>
  <c r="K328"/>
  <c r="E330" l="1"/>
  <c r="M329"/>
  <c r="N329"/>
  <c r="O329"/>
  <c r="K329"/>
  <c r="J329"/>
  <c r="L329"/>
  <c r="E331" l="1"/>
  <c r="M330"/>
  <c r="N330"/>
  <c r="O330"/>
  <c r="J330"/>
  <c r="L330"/>
  <c r="K330"/>
  <c r="E332" l="1"/>
  <c r="M331"/>
  <c r="N331"/>
  <c r="O331"/>
  <c r="J331"/>
  <c r="K331"/>
  <c r="L331"/>
  <c r="E333" l="1"/>
  <c r="N332"/>
  <c r="O332"/>
  <c r="M332"/>
  <c r="J332"/>
  <c r="L332"/>
  <c r="K332"/>
  <c r="E334" l="1"/>
  <c r="M333"/>
  <c r="N333"/>
  <c r="O333"/>
  <c r="K333"/>
  <c r="J333"/>
  <c r="L333"/>
  <c r="E335" l="1"/>
  <c r="M334"/>
  <c r="N334"/>
  <c r="O334"/>
  <c r="J334"/>
  <c r="L334"/>
  <c r="K334"/>
  <c r="E336" l="1"/>
  <c r="M335"/>
  <c r="N335"/>
  <c r="O335"/>
  <c r="K335"/>
  <c r="J335"/>
  <c r="L335"/>
  <c r="E337" l="1"/>
  <c r="N336"/>
  <c r="O336"/>
  <c r="M336"/>
  <c r="J336"/>
  <c r="L336"/>
  <c r="K336"/>
  <c r="E338" l="1"/>
  <c r="M337"/>
  <c r="N337"/>
  <c r="O337"/>
  <c r="K337"/>
  <c r="J337"/>
  <c r="L337"/>
  <c r="E339" l="1"/>
  <c r="M338"/>
  <c r="N338"/>
  <c r="O338"/>
  <c r="J338"/>
  <c r="L338"/>
  <c r="K338"/>
  <c r="E340" l="1"/>
  <c r="M339"/>
  <c r="N339"/>
  <c r="O339"/>
  <c r="J339"/>
  <c r="L339"/>
  <c r="K339"/>
  <c r="E341" l="1"/>
  <c r="N340"/>
  <c r="O340"/>
  <c r="M340"/>
  <c r="J340"/>
  <c r="L340"/>
  <c r="K340"/>
  <c r="E342" l="1"/>
  <c r="M341"/>
  <c r="N341"/>
  <c r="O341"/>
  <c r="K341"/>
  <c r="L341"/>
  <c r="J341"/>
  <c r="E343" l="1"/>
  <c r="M342"/>
  <c r="N342"/>
  <c r="O342"/>
  <c r="J342"/>
  <c r="L342"/>
  <c r="K342"/>
  <c r="E344" l="1"/>
  <c r="M343"/>
  <c r="N343"/>
  <c r="O343"/>
  <c r="J343"/>
  <c r="L343"/>
  <c r="K343"/>
  <c r="E345" l="1"/>
  <c r="N344"/>
  <c r="O344"/>
  <c r="M344"/>
  <c r="J344"/>
  <c r="L344"/>
  <c r="K344"/>
  <c r="E346" l="1"/>
  <c r="M345"/>
  <c r="N345"/>
  <c r="O345"/>
  <c r="J345"/>
  <c r="K345"/>
  <c r="L345"/>
  <c r="E347" l="1"/>
  <c r="M346"/>
  <c r="N346"/>
  <c r="O346"/>
  <c r="J346"/>
  <c r="L346"/>
  <c r="K346"/>
  <c r="E348" l="1"/>
  <c r="M347"/>
  <c r="N347"/>
  <c r="O347"/>
  <c r="K347"/>
  <c r="J347"/>
  <c r="L347"/>
  <c r="E349" l="1"/>
  <c r="N348"/>
  <c r="O348"/>
  <c r="M348"/>
  <c r="J348"/>
  <c r="K348"/>
  <c r="L348"/>
  <c r="E350" l="1"/>
  <c r="M349"/>
  <c r="N349"/>
  <c r="O349"/>
  <c r="J349"/>
  <c r="L349"/>
  <c r="K349"/>
  <c r="E351" l="1"/>
  <c r="O350"/>
  <c r="M350"/>
  <c r="N350"/>
  <c r="K350"/>
  <c r="J350"/>
  <c r="L350"/>
  <c r="E352" l="1"/>
  <c r="N351"/>
  <c r="O351"/>
  <c r="M351"/>
  <c r="K351"/>
  <c r="J351"/>
  <c r="L351"/>
  <c r="E353" l="1"/>
  <c r="M352"/>
  <c r="N352"/>
  <c r="O352"/>
  <c r="J352"/>
  <c r="L352"/>
  <c r="K352"/>
  <c r="E354" l="1"/>
  <c r="N353"/>
  <c r="O353"/>
  <c r="M353"/>
  <c r="K353"/>
  <c r="J353"/>
  <c r="L353"/>
  <c r="E355" l="1"/>
  <c r="O354"/>
  <c r="M354"/>
  <c r="N354"/>
  <c r="J354"/>
  <c r="L354"/>
  <c r="K354"/>
  <c r="E356" l="1"/>
  <c r="N355"/>
  <c r="O355"/>
  <c r="M355"/>
  <c r="K355"/>
  <c r="J355"/>
  <c r="L355"/>
  <c r="E357" l="1"/>
  <c r="M356"/>
  <c r="N356"/>
  <c r="O356"/>
  <c r="J356"/>
  <c r="L356"/>
  <c r="K356"/>
  <c r="E358" l="1"/>
  <c r="N357"/>
  <c r="O357"/>
  <c r="M357"/>
  <c r="K357"/>
  <c r="J357"/>
  <c r="L357"/>
  <c r="E359" l="1"/>
  <c r="O358"/>
  <c r="M358"/>
  <c r="N358"/>
  <c r="J358"/>
  <c r="L358"/>
  <c r="K358"/>
  <c r="E360" l="1"/>
  <c r="N359"/>
  <c r="O359"/>
  <c r="M359"/>
  <c r="J359"/>
  <c r="L359"/>
  <c r="K359"/>
  <c r="E361" l="1"/>
  <c r="M360"/>
  <c r="N360"/>
  <c r="O360"/>
  <c r="J360"/>
  <c r="L360"/>
  <c r="K360"/>
  <c r="E362" l="1"/>
  <c r="N361"/>
  <c r="O361"/>
  <c r="M361"/>
  <c r="K361"/>
  <c r="J361"/>
  <c r="L361"/>
  <c r="E363" l="1"/>
  <c r="O362"/>
  <c r="M362"/>
  <c r="N362"/>
  <c r="J362"/>
  <c r="L362"/>
  <c r="K362"/>
  <c r="E364" l="1"/>
  <c r="N363"/>
  <c r="O363"/>
  <c r="M363"/>
  <c r="L363"/>
  <c r="K363"/>
  <c r="J363"/>
  <c r="E365" l="1"/>
  <c r="M364"/>
  <c r="N364"/>
  <c r="O364"/>
  <c r="J364"/>
  <c r="L364"/>
  <c r="K364"/>
  <c r="E366" l="1"/>
  <c r="N365"/>
  <c r="O365"/>
  <c r="M365"/>
  <c r="J365"/>
  <c r="L365"/>
  <c r="K365"/>
  <c r="E367" l="1"/>
  <c r="O366"/>
  <c r="M366"/>
  <c r="N366"/>
  <c r="J366"/>
  <c r="L366"/>
  <c r="K366"/>
  <c r="E368" l="1"/>
  <c r="N367"/>
  <c r="O367"/>
  <c r="M367"/>
  <c r="J367"/>
  <c r="L367"/>
  <c r="K367"/>
  <c r="E369" l="1"/>
  <c r="M368"/>
  <c r="N368"/>
  <c r="O368"/>
  <c r="J368"/>
  <c r="L368"/>
  <c r="K368"/>
  <c r="E370" l="1"/>
  <c r="N369"/>
  <c r="O369"/>
  <c r="M369"/>
  <c r="K369"/>
  <c r="J369"/>
  <c r="L369"/>
  <c r="E371" l="1"/>
  <c r="O370"/>
  <c r="M370"/>
  <c r="N370"/>
  <c r="J370"/>
  <c r="L370"/>
  <c r="K370"/>
  <c r="E372" l="1"/>
  <c r="N371"/>
  <c r="O371"/>
  <c r="M371"/>
  <c r="J371"/>
  <c r="L371"/>
  <c r="K371"/>
  <c r="E373" l="1"/>
  <c r="M372"/>
  <c r="N372"/>
  <c r="O372"/>
  <c r="J372"/>
  <c r="L372"/>
  <c r="K372"/>
  <c r="E374" l="1"/>
  <c r="N373"/>
  <c r="O373"/>
  <c r="M373"/>
  <c r="J373"/>
  <c r="L373"/>
  <c r="K373"/>
  <c r="E375" l="1"/>
  <c r="O374"/>
  <c r="M374"/>
  <c r="N374"/>
  <c r="J374"/>
  <c r="L374"/>
  <c r="K374"/>
  <c r="E376" l="1"/>
  <c r="N375"/>
  <c r="O375"/>
  <c r="M375"/>
  <c r="K375"/>
  <c r="J375"/>
  <c r="L375"/>
  <c r="E377" l="1"/>
  <c r="M376"/>
  <c r="N376"/>
  <c r="O376"/>
  <c r="K376"/>
  <c r="J376"/>
  <c r="L376"/>
  <c r="E378" l="1"/>
  <c r="N377"/>
  <c r="O377"/>
  <c r="M377"/>
  <c r="K377"/>
  <c r="J377"/>
  <c r="L377"/>
  <c r="E379" l="1"/>
  <c r="O378"/>
  <c r="M378"/>
  <c r="N378"/>
  <c r="J378"/>
  <c r="L378"/>
  <c r="K378"/>
  <c r="E380" l="1"/>
  <c r="N379"/>
  <c r="O379"/>
  <c r="M379"/>
  <c r="J379"/>
  <c r="K379"/>
  <c r="L379"/>
  <c r="E381" l="1"/>
  <c r="M380"/>
  <c r="N380"/>
  <c r="O380"/>
  <c r="J380"/>
  <c r="L380"/>
  <c r="K380"/>
  <c r="E382" l="1"/>
  <c r="N381"/>
  <c r="O381"/>
  <c r="M381"/>
  <c r="J381"/>
  <c r="K381"/>
  <c r="L381"/>
  <c r="E383" l="1"/>
  <c r="O382"/>
  <c r="M382"/>
  <c r="N382"/>
  <c r="J382"/>
  <c r="L382"/>
  <c r="K382"/>
  <c r="E384" l="1"/>
  <c r="N383"/>
  <c r="O383"/>
  <c r="M383"/>
  <c r="L383"/>
  <c r="K383"/>
  <c r="J383"/>
  <c r="E385" l="1"/>
  <c r="M384"/>
  <c r="N384"/>
  <c r="O384"/>
  <c r="J384"/>
  <c r="L384"/>
  <c r="K384"/>
  <c r="E386" l="1"/>
  <c r="N385"/>
  <c r="O385"/>
  <c r="M385"/>
  <c r="K385"/>
  <c r="J385"/>
  <c r="L385"/>
  <c r="E387" l="1"/>
  <c r="O386"/>
  <c r="M386"/>
  <c r="N386"/>
  <c r="J386"/>
  <c r="L386"/>
  <c r="K386"/>
  <c r="E388" l="1"/>
  <c r="N387"/>
  <c r="O387"/>
  <c r="M387"/>
  <c r="K387"/>
  <c r="J387"/>
  <c r="L387"/>
  <c r="E389" l="1"/>
  <c r="M388"/>
  <c r="N388"/>
  <c r="O388"/>
  <c r="J388"/>
  <c r="L388"/>
  <c r="K388"/>
  <c r="E390" l="1"/>
  <c r="N389"/>
  <c r="O389"/>
  <c r="M389"/>
  <c r="K389"/>
  <c r="J389"/>
  <c r="L389"/>
  <c r="E391" l="1"/>
  <c r="O390"/>
  <c r="M390"/>
  <c r="N390"/>
  <c r="J390"/>
  <c r="L390"/>
  <c r="K390"/>
  <c r="E392" l="1"/>
  <c r="N391"/>
  <c r="O391"/>
  <c r="M391"/>
  <c r="J391"/>
  <c r="L391"/>
  <c r="K391"/>
  <c r="E393" l="1"/>
  <c r="M392"/>
  <c r="N392"/>
  <c r="O392"/>
  <c r="J392"/>
  <c r="L392"/>
  <c r="K392"/>
  <c r="E394" l="1"/>
  <c r="N393"/>
  <c r="O393"/>
  <c r="M393"/>
  <c r="K393"/>
  <c r="J393"/>
  <c r="L393"/>
  <c r="E395" l="1"/>
  <c r="O394"/>
  <c r="M394"/>
  <c r="N394"/>
  <c r="J394"/>
  <c r="L394"/>
  <c r="K394"/>
  <c r="E396" l="1"/>
  <c r="N395"/>
  <c r="O395"/>
  <c r="M395"/>
  <c r="K395"/>
  <c r="J395"/>
  <c r="L395"/>
  <c r="E397" l="1"/>
  <c r="M396"/>
  <c r="N396"/>
  <c r="O396"/>
  <c r="K396"/>
  <c r="J396"/>
  <c r="L396"/>
  <c r="E398" l="1"/>
  <c r="N397"/>
  <c r="O397"/>
  <c r="M397"/>
  <c r="J397"/>
  <c r="L397"/>
  <c r="K397"/>
  <c r="E399" l="1"/>
  <c r="O398"/>
  <c r="M398"/>
  <c r="N398"/>
  <c r="L398"/>
  <c r="K398"/>
  <c r="J398"/>
  <c r="E400" l="1"/>
  <c r="N399"/>
  <c r="O399"/>
  <c r="M399"/>
  <c r="K399"/>
  <c r="J399"/>
  <c r="L399"/>
  <c r="E401" l="1"/>
  <c r="M400"/>
  <c r="N400"/>
  <c r="O400"/>
  <c r="L400"/>
  <c r="K400"/>
  <c r="J400"/>
  <c r="E402" l="1"/>
  <c r="N401"/>
  <c r="O401"/>
  <c r="M401"/>
  <c r="J401"/>
  <c r="L401"/>
  <c r="K401"/>
  <c r="E403" l="1"/>
  <c r="O402"/>
  <c r="M402"/>
  <c r="N402"/>
  <c r="K402"/>
  <c r="J402"/>
  <c r="L402"/>
  <c r="E404" l="1"/>
  <c r="N403"/>
  <c r="O403"/>
  <c r="M403"/>
  <c r="K403"/>
  <c r="J403"/>
  <c r="L403"/>
  <c r="E405" l="1"/>
  <c r="M404"/>
  <c r="N404"/>
  <c r="O404"/>
  <c r="K404"/>
  <c r="J404"/>
  <c r="L404"/>
  <c r="E406" l="1"/>
  <c r="N405"/>
  <c r="O405"/>
  <c r="M405"/>
  <c r="K405"/>
  <c r="J405"/>
  <c r="L405"/>
  <c r="E407" l="1"/>
  <c r="O406"/>
  <c r="M406"/>
  <c r="N406"/>
  <c r="K406"/>
  <c r="J406"/>
  <c r="L406"/>
  <c r="E408" l="1"/>
  <c r="N407"/>
  <c r="O407"/>
  <c r="M407"/>
  <c r="J407"/>
  <c r="L407"/>
  <c r="K407"/>
  <c r="E409" l="1"/>
  <c r="M408"/>
  <c r="N408"/>
  <c r="O408"/>
  <c r="K408"/>
  <c r="J408"/>
  <c r="L408"/>
  <c r="E410" l="1"/>
  <c r="N409"/>
  <c r="O409"/>
  <c r="M409"/>
  <c r="J409"/>
  <c r="L409"/>
  <c r="K409"/>
  <c r="E411" l="1"/>
  <c r="O410"/>
  <c r="M410"/>
  <c r="N410"/>
  <c r="K410"/>
  <c r="J410"/>
  <c r="L410"/>
  <c r="E412" l="1"/>
  <c r="N411"/>
  <c r="O411"/>
  <c r="M411"/>
  <c r="J411"/>
  <c r="K411"/>
  <c r="L411"/>
  <c r="E413" l="1"/>
  <c r="M412"/>
  <c r="N412"/>
  <c r="O412"/>
  <c r="L412"/>
  <c r="K412"/>
  <c r="J412"/>
  <c r="E414" l="1"/>
  <c r="N413"/>
  <c r="O413"/>
  <c r="M413"/>
  <c r="L413"/>
  <c r="K413"/>
  <c r="J413"/>
  <c r="E415" l="1"/>
  <c r="O414"/>
  <c r="M414"/>
  <c r="N414"/>
  <c r="K414"/>
  <c r="J414"/>
  <c r="L414"/>
  <c r="E416" l="1"/>
  <c r="N415"/>
  <c r="O415"/>
  <c r="M415"/>
  <c r="J415"/>
  <c r="K415"/>
  <c r="L415"/>
  <c r="E417" l="1"/>
  <c r="M416"/>
  <c r="N416"/>
  <c r="O416"/>
  <c r="K416"/>
  <c r="J416"/>
  <c r="L416"/>
  <c r="E418" l="1"/>
  <c r="N417"/>
  <c r="O417"/>
  <c r="M417"/>
  <c r="K417"/>
  <c r="J417"/>
  <c r="L417"/>
  <c r="E419" l="1"/>
  <c r="O418"/>
  <c r="M418"/>
  <c r="N418"/>
  <c r="K418"/>
  <c r="J418"/>
  <c r="L418"/>
  <c r="E420" l="1"/>
  <c r="N419"/>
  <c r="O419"/>
  <c r="M419"/>
  <c r="J419"/>
  <c r="K419"/>
  <c r="L419"/>
  <c r="E421" l="1"/>
  <c r="M420"/>
  <c r="N420"/>
  <c r="O420"/>
  <c r="K420"/>
  <c r="J420"/>
  <c r="L420"/>
  <c r="E422" l="1"/>
  <c r="N421"/>
  <c r="O421"/>
  <c r="M421"/>
  <c r="L421"/>
  <c r="K421"/>
  <c r="J421"/>
  <c r="E423" l="1"/>
  <c r="O422"/>
  <c r="M422"/>
  <c r="N422"/>
  <c r="K422"/>
  <c r="J422"/>
  <c r="L422"/>
  <c r="E424" l="1"/>
  <c r="N423"/>
  <c r="O423"/>
  <c r="M423"/>
  <c r="J423"/>
  <c r="K423"/>
  <c r="L423"/>
  <c r="E425" l="1"/>
  <c r="M424"/>
  <c r="N424"/>
  <c r="O424"/>
  <c r="J424"/>
  <c r="L424"/>
  <c r="K424"/>
  <c r="E426" l="1"/>
  <c r="N425"/>
  <c r="O425"/>
  <c r="M425"/>
  <c r="J425"/>
  <c r="L425"/>
  <c r="K425"/>
  <c r="E427" l="1"/>
  <c r="O426"/>
  <c r="M426"/>
  <c r="N426"/>
  <c r="K426"/>
  <c r="J426"/>
  <c r="L426"/>
  <c r="E428" l="1"/>
  <c r="N427"/>
  <c r="O427"/>
  <c r="M427"/>
  <c r="J427"/>
  <c r="L427"/>
  <c r="K427"/>
  <c r="E429" l="1"/>
  <c r="M428"/>
  <c r="N428"/>
  <c r="O428"/>
  <c r="J428"/>
  <c r="L428"/>
  <c r="K428"/>
  <c r="E430" l="1"/>
  <c r="N429"/>
  <c r="O429"/>
  <c r="M429"/>
  <c r="J429"/>
  <c r="L429"/>
  <c r="K429"/>
  <c r="E431" l="1"/>
  <c r="O430"/>
  <c r="M430"/>
  <c r="N430"/>
  <c r="J430"/>
  <c r="L430"/>
  <c r="K430"/>
  <c r="E432" l="1"/>
  <c r="N431"/>
  <c r="O431"/>
  <c r="M431"/>
  <c r="J431"/>
  <c r="K431"/>
  <c r="L431"/>
  <c r="E433" l="1"/>
  <c r="M432"/>
  <c r="N432"/>
  <c r="O432"/>
  <c r="J432"/>
  <c r="L432"/>
  <c r="K432"/>
  <c r="E434" l="1"/>
  <c r="N433"/>
  <c r="O433"/>
  <c r="M433"/>
  <c r="J433"/>
  <c r="L433"/>
  <c r="K433"/>
  <c r="E435" l="1"/>
  <c r="O434"/>
  <c r="M434"/>
  <c r="N434"/>
  <c r="J434"/>
  <c r="L434"/>
  <c r="K434"/>
  <c r="E436" l="1"/>
  <c r="N435"/>
  <c r="O435"/>
  <c r="M435"/>
  <c r="J435"/>
  <c r="L435"/>
  <c r="K435"/>
  <c r="E437" l="1"/>
  <c r="M436"/>
  <c r="N436"/>
  <c r="O436"/>
  <c r="J436"/>
  <c r="L436"/>
  <c r="K436"/>
  <c r="E438" l="1"/>
  <c r="N437"/>
  <c r="O437"/>
  <c r="M437"/>
  <c r="K437"/>
  <c r="J437"/>
  <c r="L437"/>
  <c r="E439" l="1"/>
  <c r="O438"/>
  <c r="M438"/>
  <c r="N438"/>
  <c r="J438"/>
  <c r="L438"/>
  <c r="K438"/>
  <c r="E440" l="1"/>
  <c r="N439"/>
  <c r="O439"/>
  <c r="M439"/>
  <c r="K439"/>
  <c r="J439"/>
  <c r="L439"/>
  <c r="E441" l="1"/>
  <c r="M440"/>
  <c r="N440"/>
  <c r="O440"/>
  <c r="J440"/>
  <c r="L440"/>
  <c r="K440"/>
  <c r="E442" l="1"/>
  <c r="N441"/>
  <c r="O441"/>
  <c r="M441"/>
  <c r="L441"/>
  <c r="K441"/>
  <c r="J441"/>
  <c r="E443" l="1"/>
  <c r="O442"/>
  <c r="M442"/>
  <c r="N442"/>
  <c r="J442"/>
  <c r="L442"/>
  <c r="K442"/>
  <c r="E444" l="1"/>
  <c r="N443"/>
  <c r="O443"/>
  <c r="M443"/>
  <c r="J443"/>
  <c r="K443"/>
  <c r="L443"/>
  <c r="E445" l="1"/>
  <c r="M444"/>
  <c r="N444"/>
  <c r="O444"/>
  <c r="J444"/>
  <c r="L444"/>
  <c r="K444"/>
  <c r="E446" l="1"/>
  <c r="N445"/>
  <c r="O445"/>
  <c r="M445"/>
  <c r="J445"/>
  <c r="K445"/>
  <c r="L445"/>
  <c r="E447" l="1"/>
  <c r="O446"/>
  <c r="M446"/>
  <c r="N446"/>
  <c r="K446"/>
  <c r="J446"/>
  <c r="L446"/>
  <c r="E448" l="1"/>
  <c r="N447"/>
  <c r="O447"/>
  <c r="M447"/>
  <c r="K447"/>
  <c r="J447"/>
  <c r="L447"/>
  <c r="E449" l="1"/>
  <c r="M448"/>
  <c r="N448"/>
  <c r="O448"/>
  <c r="K448"/>
  <c r="J448"/>
  <c r="L448"/>
  <c r="E450" l="1"/>
  <c r="N449"/>
  <c r="O449"/>
  <c r="M449"/>
  <c r="J449"/>
  <c r="L449"/>
  <c r="K449"/>
  <c r="E451" l="1"/>
  <c r="O450"/>
  <c r="M450"/>
  <c r="N450"/>
  <c r="L450"/>
  <c r="K450"/>
  <c r="J450"/>
  <c r="E452" l="1"/>
  <c r="N451"/>
  <c r="O451"/>
  <c r="M451"/>
  <c r="J451"/>
  <c r="L451"/>
  <c r="K451"/>
  <c r="E453" l="1"/>
  <c r="M452"/>
  <c r="N452"/>
  <c r="O452"/>
  <c r="K452"/>
  <c r="J452"/>
  <c r="L452"/>
  <c r="E454" l="1"/>
  <c r="N453"/>
  <c r="O453"/>
  <c r="M453"/>
  <c r="J453"/>
  <c r="K453"/>
  <c r="L453"/>
  <c r="E455" l="1"/>
  <c r="O454"/>
  <c r="M454"/>
  <c r="N454"/>
  <c r="J454"/>
  <c r="L454"/>
  <c r="K454"/>
  <c r="E456" l="1"/>
  <c r="N455"/>
  <c r="O455"/>
  <c r="M455"/>
  <c r="J455"/>
  <c r="K455"/>
  <c r="L455"/>
  <c r="E457" l="1"/>
  <c r="M456"/>
  <c r="N456"/>
  <c r="O456"/>
  <c r="J456"/>
  <c r="L456"/>
  <c r="K456"/>
  <c r="E458" l="1"/>
  <c r="N457"/>
  <c r="O457"/>
  <c r="M457"/>
  <c r="J457"/>
  <c r="L457"/>
  <c r="K457"/>
  <c r="E459" l="1"/>
  <c r="O458"/>
  <c r="M458"/>
  <c r="N458"/>
  <c r="J458"/>
  <c r="L458"/>
  <c r="K458"/>
  <c r="E460" l="1"/>
  <c r="N459"/>
  <c r="O459"/>
  <c r="M459"/>
  <c r="J459"/>
  <c r="K459"/>
  <c r="L459"/>
  <c r="E461" l="1"/>
  <c r="M460"/>
  <c r="N460"/>
  <c r="O460"/>
  <c r="J460"/>
  <c r="L460"/>
  <c r="K460"/>
  <c r="E462" l="1"/>
  <c r="N461"/>
  <c r="O461"/>
  <c r="M461"/>
  <c r="K461"/>
  <c r="J461"/>
  <c r="L461"/>
  <c r="E463" l="1"/>
  <c r="O462"/>
  <c r="M462"/>
  <c r="N462"/>
  <c r="J462"/>
  <c r="L462"/>
  <c r="K462"/>
  <c r="E464" l="1"/>
  <c r="N463"/>
  <c r="O463"/>
  <c r="M463"/>
  <c r="J463"/>
  <c r="L463"/>
  <c r="K463"/>
  <c r="M464" l="1"/>
  <c r="N464"/>
  <c r="O464"/>
  <c r="L464"/>
  <c r="E465"/>
  <c r="J464"/>
  <c r="K464"/>
  <c r="E466" l="1"/>
  <c r="N465"/>
  <c r="O465"/>
  <c r="M465"/>
  <c r="J465"/>
  <c r="L465"/>
  <c r="K465"/>
  <c r="E467" l="1"/>
  <c r="O466"/>
  <c r="M466"/>
  <c r="N466"/>
  <c r="K466"/>
  <c r="J466"/>
  <c r="L466"/>
  <c r="E468" l="1"/>
  <c r="N467"/>
  <c r="O467"/>
  <c r="M467"/>
  <c r="J467"/>
  <c r="L467"/>
  <c r="K467"/>
  <c r="E469" l="1"/>
  <c r="M468"/>
  <c r="N468"/>
  <c r="O468"/>
  <c r="J468"/>
  <c r="K468"/>
  <c r="L468"/>
  <c r="E470" l="1"/>
  <c r="N469"/>
  <c r="O469"/>
  <c r="M469"/>
  <c r="J469"/>
  <c r="L469"/>
  <c r="K469"/>
  <c r="E471" l="1"/>
  <c r="O470"/>
  <c r="M470"/>
  <c r="N470"/>
  <c r="J470"/>
  <c r="L470"/>
  <c r="K470"/>
  <c r="E472" l="1"/>
  <c r="N471"/>
  <c r="O471"/>
  <c r="M471"/>
  <c r="J471"/>
  <c r="L471"/>
  <c r="K471"/>
  <c r="E473" l="1"/>
  <c r="M472"/>
  <c r="N472"/>
  <c r="O472"/>
  <c r="L472"/>
  <c r="K472"/>
  <c r="J472"/>
  <c r="E474" l="1"/>
  <c r="N473"/>
  <c r="O473"/>
  <c r="M473"/>
  <c r="J473"/>
  <c r="L473"/>
  <c r="K473"/>
  <c r="E475" l="1"/>
  <c r="O474"/>
  <c r="M474"/>
  <c r="N474"/>
  <c r="L474"/>
  <c r="K474"/>
  <c r="J474"/>
  <c r="E476" l="1"/>
  <c r="N475"/>
  <c r="O475"/>
  <c r="M475"/>
  <c r="J475"/>
  <c r="L475"/>
  <c r="K475"/>
  <c r="E477" l="1"/>
  <c r="M476"/>
  <c r="N476"/>
  <c r="O476"/>
  <c r="J476"/>
  <c r="L476"/>
  <c r="K476"/>
  <c r="E478" l="1"/>
  <c r="N477"/>
  <c r="O477"/>
  <c r="M477"/>
  <c r="J477"/>
  <c r="L477"/>
  <c r="K477"/>
  <c r="E479" l="1"/>
  <c r="O478"/>
  <c r="M478"/>
  <c r="N478"/>
  <c r="J478"/>
  <c r="K478"/>
  <c r="L478"/>
  <c r="E480" l="1"/>
  <c r="N479"/>
  <c r="O479"/>
  <c r="M479"/>
  <c r="J479"/>
  <c r="L479"/>
  <c r="K479"/>
  <c r="E481" l="1"/>
  <c r="M480"/>
  <c r="N480"/>
  <c r="O480"/>
  <c r="J480"/>
  <c r="L480"/>
  <c r="K480"/>
  <c r="E482" l="1"/>
  <c r="N481"/>
  <c r="O481"/>
  <c r="M481"/>
  <c r="J481"/>
  <c r="L481"/>
  <c r="K481"/>
  <c r="E483" l="1"/>
  <c r="O482"/>
  <c r="M482"/>
  <c r="N482"/>
  <c r="J482"/>
  <c r="L482"/>
  <c r="K482"/>
  <c r="E484" l="1"/>
  <c r="N483"/>
  <c r="O483"/>
  <c r="M483"/>
  <c r="J483"/>
  <c r="L483"/>
  <c r="K483"/>
  <c r="E485" l="1"/>
  <c r="M484"/>
  <c r="N484"/>
  <c r="O484"/>
  <c r="K484"/>
  <c r="J484"/>
  <c r="L484"/>
  <c r="E486" l="1"/>
  <c r="N485"/>
  <c r="O485"/>
  <c r="M485"/>
  <c r="J485"/>
  <c r="L485"/>
  <c r="K485"/>
  <c r="E487" l="1"/>
  <c r="O486"/>
  <c r="M486"/>
  <c r="N486"/>
  <c r="K486"/>
  <c r="J486"/>
  <c r="L486"/>
  <c r="E488" l="1"/>
  <c r="N487"/>
  <c r="O487"/>
  <c r="M487"/>
  <c r="J487"/>
  <c r="L487"/>
  <c r="K487"/>
  <c r="E489" l="1"/>
  <c r="M488"/>
  <c r="N488"/>
  <c r="O488"/>
  <c r="J488"/>
  <c r="L488"/>
  <c r="K488"/>
  <c r="E490" l="1"/>
  <c r="N489"/>
  <c r="O489"/>
  <c r="M489"/>
  <c r="J489"/>
  <c r="L489"/>
  <c r="K489"/>
  <c r="E491" l="1"/>
  <c r="O490"/>
  <c r="M490"/>
  <c r="N490"/>
  <c r="J490"/>
  <c r="L490"/>
  <c r="K490"/>
  <c r="E492" l="1"/>
  <c r="N491"/>
  <c r="O491"/>
  <c r="M491"/>
  <c r="J491"/>
  <c r="K491"/>
  <c r="L491"/>
  <c r="M492" l="1"/>
  <c r="N492"/>
  <c r="O492"/>
  <c r="L492"/>
  <c r="E493"/>
  <c r="J492"/>
  <c r="K492"/>
  <c r="E494" l="1"/>
  <c r="N493"/>
  <c r="O493"/>
  <c r="M493"/>
  <c r="J493"/>
  <c r="L493"/>
  <c r="K493"/>
  <c r="E495" l="1"/>
  <c r="O494"/>
  <c r="M494"/>
  <c r="N494"/>
  <c r="K494"/>
  <c r="J494"/>
  <c r="L494"/>
  <c r="E496" l="1"/>
  <c r="N495"/>
  <c r="O495"/>
  <c r="M495"/>
  <c r="J495"/>
  <c r="L495"/>
  <c r="K495"/>
  <c r="E497" l="1"/>
  <c r="M496"/>
  <c r="N496"/>
  <c r="O496"/>
  <c r="K496"/>
  <c r="J496"/>
  <c r="L496"/>
  <c r="E498" l="1"/>
  <c r="N497"/>
  <c r="O497"/>
  <c r="M497"/>
  <c r="J497"/>
  <c r="L497"/>
  <c r="K497"/>
  <c r="E499" l="1"/>
  <c r="O498"/>
  <c r="M498"/>
  <c r="N498"/>
  <c r="L498"/>
  <c r="K498"/>
  <c r="J498"/>
  <c r="E500" l="1"/>
  <c r="N499"/>
  <c r="O499"/>
  <c r="M499"/>
  <c r="J499"/>
  <c r="L499"/>
  <c r="K499"/>
  <c r="E501" l="1"/>
  <c r="M500"/>
  <c r="N500"/>
  <c r="O500"/>
  <c r="J500"/>
  <c r="L500"/>
  <c r="K500"/>
  <c r="E502" l="1"/>
  <c r="N501"/>
  <c r="O501"/>
  <c r="M501"/>
  <c r="J501"/>
  <c r="L501"/>
  <c r="K501"/>
  <c r="E503" l="1"/>
  <c r="O502"/>
  <c r="M502"/>
  <c r="N502"/>
  <c r="L502"/>
  <c r="K502"/>
  <c r="J502"/>
  <c r="E504" l="1"/>
  <c r="N503"/>
  <c r="O503"/>
  <c r="M503"/>
  <c r="K503"/>
  <c r="J503"/>
  <c r="L503"/>
  <c r="E505" l="1"/>
  <c r="M504"/>
  <c r="N504"/>
  <c r="O504"/>
  <c r="K504"/>
  <c r="J504"/>
  <c r="L504"/>
  <c r="E506" l="1"/>
  <c r="N505"/>
  <c r="O505"/>
  <c r="M505"/>
  <c r="J505"/>
  <c r="K505"/>
  <c r="L505"/>
  <c r="E507" l="1"/>
  <c r="O506"/>
  <c r="M506"/>
  <c r="N506"/>
  <c r="L506"/>
  <c r="K506"/>
  <c r="J506"/>
  <c r="E508" l="1"/>
  <c r="N507"/>
  <c r="O507"/>
  <c r="M507"/>
  <c r="K507"/>
  <c r="J507"/>
  <c r="L507"/>
  <c r="E509" l="1"/>
  <c r="M508"/>
  <c r="N508"/>
  <c r="O508"/>
  <c r="J508"/>
  <c r="K508"/>
  <c r="L508"/>
  <c r="E510" l="1"/>
  <c r="N509"/>
  <c r="O509"/>
  <c r="M509"/>
  <c r="K509"/>
  <c r="J509"/>
  <c r="L509"/>
  <c r="E511" l="1"/>
  <c r="O510"/>
  <c r="M510"/>
  <c r="N510"/>
  <c r="J510"/>
  <c r="K510"/>
  <c r="L510"/>
  <c r="E512" l="1"/>
  <c r="N511"/>
  <c r="O511"/>
  <c r="M511"/>
  <c r="K511"/>
  <c r="J511"/>
  <c r="L511"/>
  <c r="E513" l="1"/>
  <c r="M512"/>
  <c r="N512"/>
  <c r="O512"/>
  <c r="K512"/>
  <c r="J512"/>
  <c r="L512"/>
  <c r="E514" l="1"/>
  <c r="N513"/>
  <c r="O513"/>
  <c r="M513"/>
  <c r="K513"/>
  <c r="J513"/>
  <c r="L513"/>
  <c r="E515" l="1"/>
  <c r="O514"/>
  <c r="M514"/>
  <c r="N514"/>
  <c r="J514"/>
  <c r="L514"/>
  <c r="K514"/>
  <c r="E516" l="1"/>
  <c r="N515"/>
  <c r="O515"/>
  <c r="M515"/>
  <c r="J515"/>
  <c r="K515"/>
  <c r="L515"/>
  <c r="E517" l="1"/>
  <c r="M516"/>
  <c r="N516"/>
  <c r="O516"/>
  <c r="K516"/>
  <c r="J516"/>
  <c r="L516"/>
  <c r="E518" l="1"/>
  <c r="M517"/>
  <c r="N517"/>
  <c r="O517"/>
  <c r="J517"/>
  <c r="L517"/>
  <c r="K517"/>
  <c r="E519" l="1"/>
  <c r="O518"/>
  <c r="M518"/>
  <c r="N518"/>
  <c r="J518"/>
  <c r="K518"/>
  <c r="L518"/>
  <c r="E520" l="1"/>
  <c r="N519"/>
  <c r="O519"/>
  <c r="M519"/>
  <c r="J519"/>
  <c r="L519"/>
  <c r="K519"/>
  <c r="E521" l="1"/>
  <c r="M520"/>
  <c r="N520"/>
  <c r="O520"/>
  <c r="J520"/>
  <c r="L520"/>
  <c r="K520"/>
  <c r="E522" l="1"/>
  <c r="M521"/>
  <c r="N521"/>
  <c r="O521"/>
  <c r="J521"/>
  <c r="L521"/>
  <c r="K521"/>
  <c r="E523" l="1"/>
  <c r="M522"/>
  <c r="N522"/>
  <c r="O522"/>
  <c r="L522"/>
  <c r="K522"/>
  <c r="J522"/>
  <c r="E524" l="1"/>
  <c r="N523"/>
  <c r="O523"/>
  <c r="M523"/>
  <c r="J523"/>
  <c r="L523"/>
  <c r="K523"/>
  <c r="E525" l="1"/>
  <c r="M524"/>
  <c r="N524"/>
  <c r="O524"/>
  <c r="J524"/>
  <c r="K524"/>
  <c r="L524"/>
  <c r="E526" l="1"/>
  <c r="M525"/>
  <c r="N525"/>
  <c r="O525"/>
  <c r="J525"/>
  <c r="L525"/>
  <c r="K525"/>
  <c r="E527" l="1"/>
  <c r="M526"/>
  <c r="N526"/>
  <c r="O526"/>
  <c r="J526"/>
  <c r="K526"/>
  <c r="L526"/>
  <c r="E528" l="1"/>
  <c r="N527"/>
  <c r="O527"/>
  <c r="M527"/>
  <c r="J527"/>
  <c r="L527"/>
  <c r="K527"/>
  <c r="E529" l="1"/>
  <c r="M528"/>
  <c r="N528"/>
  <c r="O528"/>
  <c r="K528"/>
  <c r="J528"/>
  <c r="L528"/>
  <c r="E530" l="1"/>
  <c r="M529"/>
  <c r="N529"/>
  <c r="O529"/>
  <c r="J529"/>
  <c r="L529"/>
  <c r="K529"/>
  <c r="E531" l="1"/>
  <c r="M530"/>
  <c r="N530"/>
  <c r="O530"/>
  <c r="K530"/>
  <c r="J530"/>
  <c r="L530"/>
  <c r="E532" l="1"/>
  <c r="N531"/>
  <c r="O531"/>
  <c r="M531"/>
  <c r="J531"/>
  <c r="L531"/>
  <c r="K531"/>
  <c r="E533" l="1"/>
  <c r="M532"/>
  <c r="N532"/>
  <c r="O532"/>
  <c r="K532"/>
  <c r="J532"/>
  <c r="L532"/>
  <c r="E534" l="1"/>
  <c r="M533"/>
  <c r="N533"/>
  <c r="O533"/>
  <c r="J533"/>
  <c r="L533"/>
  <c r="K533"/>
  <c r="E535" l="1"/>
  <c r="M534"/>
  <c r="N534"/>
  <c r="O534"/>
  <c r="J534"/>
  <c r="L534"/>
  <c r="K534"/>
  <c r="E536" l="1"/>
  <c r="N535"/>
  <c r="O535"/>
  <c r="M535"/>
  <c r="J535"/>
  <c r="L535"/>
  <c r="K535"/>
  <c r="E537" l="1"/>
  <c r="M536"/>
  <c r="N536"/>
  <c r="O536"/>
  <c r="K536"/>
  <c r="J536"/>
  <c r="L536"/>
  <c r="E538" l="1"/>
  <c r="M537"/>
  <c r="N537"/>
  <c r="O537"/>
  <c r="J537"/>
  <c r="L537"/>
  <c r="K537"/>
  <c r="E539" l="1"/>
  <c r="M538"/>
  <c r="N538"/>
  <c r="O538"/>
  <c r="K538"/>
  <c r="J538"/>
  <c r="L538"/>
  <c r="E540" l="1"/>
  <c r="N539"/>
  <c r="O539"/>
  <c r="M539"/>
  <c r="J539"/>
  <c r="L539"/>
  <c r="K539"/>
  <c r="E541" l="1"/>
  <c r="M540"/>
  <c r="N540"/>
  <c r="O540"/>
  <c r="K540"/>
  <c r="J540"/>
  <c r="L540"/>
  <c r="E542" l="1"/>
  <c r="M541"/>
  <c r="N541"/>
  <c r="O541"/>
  <c r="J541"/>
  <c r="L541"/>
  <c r="K541"/>
  <c r="E543" l="1"/>
  <c r="M542"/>
  <c r="N542"/>
  <c r="O542"/>
  <c r="L542"/>
  <c r="K542"/>
  <c r="J542"/>
  <c r="E544" l="1"/>
  <c r="N543"/>
  <c r="O543"/>
  <c r="M543"/>
  <c r="J543"/>
  <c r="L543"/>
  <c r="K543"/>
  <c r="E545" l="1"/>
  <c r="M544"/>
  <c r="N544"/>
  <c r="O544"/>
  <c r="L544"/>
  <c r="K544"/>
  <c r="J544"/>
  <c r="E546" l="1"/>
  <c r="M545"/>
  <c r="N545"/>
  <c r="O545"/>
  <c r="J545"/>
  <c r="L545"/>
  <c r="K545"/>
  <c r="E547" l="1"/>
  <c r="M546"/>
  <c r="N546"/>
  <c r="O546"/>
  <c r="K546"/>
  <c r="J546"/>
  <c r="L546"/>
  <c r="E548" l="1"/>
  <c r="N547"/>
  <c r="O547"/>
  <c r="M547"/>
  <c r="J547"/>
  <c r="L547"/>
  <c r="K547"/>
  <c r="E549" l="1"/>
  <c r="M548"/>
  <c r="N548"/>
  <c r="O548"/>
  <c r="L548"/>
  <c r="K548"/>
  <c r="J548"/>
  <c r="E550" l="1"/>
  <c r="M549"/>
  <c r="N549"/>
  <c r="O549"/>
  <c r="J549"/>
  <c r="L549"/>
  <c r="K549"/>
  <c r="E551" l="1"/>
  <c r="M550"/>
  <c r="N550"/>
  <c r="O550"/>
  <c r="K550"/>
  <c r="J550"/>
  <c r="L550"/>
  <c r="E552" l="1"/>
  <c r="N551"/>
  <c r="O551"/>
  <c r="M551"/>
  <c r="J551"/>
  <c r="L551"/>
  <c r="K551"/>
  <c r="E553" l="1"/>
  <c r="M552"/>
  <c r="N552"/>
  <c r="O552"/>
  <c r="K552"/>
  <c r="J552"/>
  <c r="L552"/>
  <c r="E554" l="1"/>
  <c r="M553"/>
  <c r="N553"/>
  <c r="O553"/>
  <c r="J553"/>
  <c r="L553"/>
  <c r="K553"/>
  <c r="E555" l="1"/>
  <c r="M554"/>
  <c r="N554"/>
  <c r="O554"/>
  <c r="L554"/>
  <c r="K554"/>
  <c r="J554"/>
  <c r="E556" l="1"/>
  <c r="N555"/>
  <c r="O555"/>
  <c r="M555"/>
  <c r="J555"/>
  <c r="L555"/>
  <c r="K555"/>
  <c r="E557" l="1"/>
  <c r="M556"/>
  <c r="N556"/>
  <c r="O556"/>
  <c r="L556"/>
  <c r="K556"/>
  <c r="J556"/>
  <c r="E558" l="1"/>
  <c r="M557"/>
  <c r="N557"/>
  <c r="O557"/>
  <c r="J557"/>
  <c r="L557"/>
  <c r="K557"/>
  <c r="E559" l="1"/>
  <c r="M558"/>
  <c r="N558"/>
  <c r="O558"/>
  <c r="K558"/>
  <c r="J558"/>
  <c r="L558"/>
  <c r="E560" l="1"/>
  <c r="N559"/>
  <c r="O559"/>
  <c r="M559"/>
  <c r="J559"/>
  <c r="L559"/>
  <c r="K559"/>
  <c r="E561" l="1"/>
  <c r="M560"/>
  <c r="N560"/>
  <c r="O560"/>
  <c r="J560"/>
  <c r="L560"/>
  <c r="K560"/>
  <c r="E562" l="1"/>
  <c r="M561"/>
  <c r="N561"/>
  <c r="O561"/>
  <c r="J561"/>
  <c r="L561"/>
  <c r="K561"/>
  <c r="E563" l="1"/>
  <c r="M562"/>
  <c r="N562"/>
  <c r="O562"/>
  <c r="K562"/>
  <c r="J562"/>
  <c r="L562"/>
  <c r="E564" l="1"/>
  <c r="N563"/>
  <c r="O563"/>
  <c r="M563"/>
  <c r="J563"/>
  <c r="L563"/>
  <c r="K563"/>
  <c r="E565" l="1"/>
  <c r="M564"/>
  <c r="N564"/>
  <c r="O564"/>
  <c r="K564"/>
  <c r="J564"/>
  <c r="L564"/>
  <c r="E566" l="1"/>
  <c r="M565"/>
  <c r="N565"/>
  <c r="O565"/>
  <c r="J565"/>
  <c r="L565"/>
  <c r="K565"/>
  <c r="E567" l="1"/>
  <c r="M566"/>
  <c r="N566"/>
  <c r="O566"/>
  <c r="J566"/>
  <c r="K566"/>
  <c r="L566"/>
  <c r="E568" l="1"/>
  <c r="N567"/>
  <c r="O567"/>
  <c r="M567"/>
  <c r="J567"/>
  <c r="L567"/>
  <c r="K567"/>
  <c r="E569" l="1"/>
  <c r="M568"/>
  <c r="N568"/>
  <c r="O568"/>
  <c r="K568"/>
  <c r="J568"/>
  <c r="L568"/>
  <c r="E570" l="1"/>
  <c r="M569"/>
  <c r="N569"/>
  <c r="O569"/>
  <c r="J569"/>
  <c r="L569"/>
  <c r="K569"/>
  <c r="E571" l="1"/>
  <c r="M570"/>
  <c r="N570"/>
  <c r="O570"/>
  <c r="L570"/>
  <c r="K570"/>
  <c r="J570"/>
  <c r="E572" l="1"/>
  <c r="N571"/>
  <c r="O571"/>
  <c r="M571"/>
  <c r="J571"/>
  <c r="L571"/>
  <c r="K571"/>
  <c r="E573" l="1"/>
  <c r="M572"/>
  <c r="N572"/>
  <c r="O572"/>
  <c r="J572"/>
  <c r="L572"/>
  <c r="K572"/>
  <c r="E574" l="1"/>
  <c r="M573"/>
  <c r="N573"/>
  <c r="O573"/>
  <c r="J573"/>
  <c r="K573"/>
  <c r="L573"/>
  <c r="E575" l="1"/>
  <c r="M574"/>
  <c r="N574"/>
  <c r="O574"/>
  <c r="J574"/>
  <c r="L574"/>
  <c r="K574"/>
  <c r="E576" l="1"/>
  <c r="N575"/>
  <c r="O575"/>
  <c r="M575"/>
  <c r="J575"/>
  <c r="L575"/>
  <c r="K575"/>
  <c r="E577" l="1"/>
  <c r="M576"/>
  <c r="N576"/>
  <c r="O576"/>
  <c r="J576"/>
  <c r="L576"/>
  <c r="K576"/>
  <c r="E578" l="1"/>
  <c r="M577"/>
  <c r="N577"/>
  <c r="O577"/>
  <c r="J577"/>
  <c r="L577"/>
  <c r="K577"/>
  <c r="E579" l="1"/>
  <c r="M578"/>
  <c r="N578"/>
  <c r="O578"/>
  <c r="J578"/>
  <c r="L578"/>
  <c r="K578"/>
  <c r="E580" l="1"/>
  <c r="N579"/>
  <c r="O579"/>
  <c r="M579"/>
  <c r="J579"/>
  <c r="L579"/>
  <c r="K579"/>
  <c r="E581" l="1"/>
  <c r="M580"/>
  <c r="N580"/>
  <c r="O580"/>
  <c r="J580"/>
  <c r="L580"/>
  <c r="K580"/>
  <c r="E582" l="1"/>
  <c r="M581"/>
  <c r="N581"/>
  <c r="O581"/>
  <c r="K581"/>
  <c r="J581"/>
  <c r="L581"/>
  <c r="E583" l="1"/>
  <c r="M582"/>
  <c r="N582"/>
  <c r="O582"/>
  <c r="J582"/>
  <c r="L582"/>
  <c r="K582"/>
  <c r="E584" l="1"/>
  <c r="N583"/>
  <c r="O583"/>
  <c r="M583"/>
  <c r="K583"/>
  <c r="J583"/>
  <c r="L583"/>
  <c r="E585" l="1"/>
  <c r="M584"/>
  <c r="N584"/>
  <c r="O584"/>
  <c r="L584"/>
  <c r="K584"/>
  <c r="J584"/>
  <c r="E586" l="1"/>
  <c r="M585"/>
  <c r="N585"/>
  <c r="O585"/>
  <c r="K585"/>
  <c r="J585"/>
  <c r="L585"/>
  <c r="E587" l="1"/>
  <c r="M586"/>
  <c r="N586"/>
  <c r="O586"/>
  <c r="J586"/>
  <c r="K586"/>
  <c r="L586"/>
  <c r="E588" l="1"/>
  <c r="N587"/>
  <c r="O587"/>
  <c r="M587"/>
  <c r="K587"/>
  <c r="J587"/>
  <c r="L587"/>
  <c r="E589" l="1"/>
  <c r="M588"/>
  <c r="N588"/>
  <c r="O588"/>
  <c r="J588"/>
  <c r="L588"/>
  <c r="K588"/>
  <c r="E590" l="1"/>
  <c r="M589"/>
  <c r="N589"/>
  <c r="O589"/>
  <c r="K589"/>
  <c r="J589"/>
  <c r="L589"/>
  <c r="E591" l="1"/>
  <c r="M590"/>
  <c r="N590"/>
  <c r="O590"/>
  <c r="K590"/>
  <c r="J590"/>
  <c r="L590"/>
  <c r="E592" l="1"/>
  <c r="N591"/>
  <c r="O591"/>
  <c r="M591"/>
  <c r="K591"/>
  <c r="J591"/>
  <c r="L591"/>
  <c r="E593" l="1"/>
  <c r="M592"/>
  <c r="N592"/>
  <c r="O592"/>
  <c r="L592"/>
  <c r="K592"/>
  <c r="J592"/>
  <c r="E594" l="1"/>
  <c r="M593"/>
  <c r="N593"/>
  <c r="O593"/>
  <c r="J593"/>
  <c r="L593"/>
  <c r="K593"/>
  <c r="E595" l="1"/>
  <c r="M594"/>
  <c r="N594"/>
  <c r="O594"/>
  <c r="J594"/>
  <c r="L594"/>
  <c r="K594"/>
  <c r="E596" l="1"/>
  <c r="N595"/>
  <c r="O595"/>
  <c r="M595"/>
  <c r="J595"/>
  <c r="L595"/>
  <c r="K595"/>
  <c r="E597" l="1"/>
  <c r="M596"/>
  <c r="N596"/>
  <c r="O596"/>
  <c r="J596"/>
  <c r="L596"/>
  <c r="K596"/>
  <c r="E598" l="1"/>
  <c r="M597"/>
  <c r="N597"/>
  <c r="O597"/>
  <c r="J597"/>
  <c r="L597"/>
  <c r="K597"/>
  <c r="E599" l="1"/>
  <c r="M598"/>
  <c r="N598"/>
  <c r="O598"/>
  <c r="K598"/>
  <c r="J598"/>
  <c r="L598"/>
  <c r="E600" l="1"/>
  <c r="N599"/>
  <c r="O599"/>
  <c r="M599"/>
  <c r="J599"/>
  <c r="L599"/>
  <c r="K599"/>
  <c r="E601" l="1"/>
  <c r="M600"/>
  <c r="N600"/>
  <c r="O600"/>
  <c r="L600"/>
  <c r="K600"/>
  <c r="J600"/>
  <c r="E602" l="1"/>
  <c r="M601"/>
  <c r="N601"/>
  <c r="O601"/>
  <c r="J601"/>
  <c r="L601"/>
  <c r="K601"/>
  <c r="E603" l="1"/>
  <c r="M602"/>
  <c r="N602"/>
  <c r="O602"/>
  <c r="L602"/>
  <c r="K602"/>
  <c r="J602"/>
  <c r="E604" l="1"/>
  <c r="N603"/>
  <c r="O603"/>
  <c r="M603"/>
  <c r="J603"/>
  <c r="L603"/>
  <c r="K603"/>
  <c r="E605" l="1"/>
  <c r="M604"/>
  <c r="N604"/>
  <c r="O604"/>
  <c r="K604"/>
  <c r="J604"/>
  <c r="L604"/>
  <c r="E606" l="1"/>
  <c r="M605"/>
  <c r="N605"/>
  <c r="O605"/>
  <c r="J605"/>
  <c r="L605"/>
  <c r="K605"/>
  <c r="E607" l="1"/>
  <c r="M606"/>
  <c r="N606"/>
  <c r="O606"/>
  <c r="J606"/>
  <c r="L606"/>
  <c r="K606"/>
  <c r="E608" l="1"/>
  <c r="N607"/>
  <c r="O607"/>
  <c r="M607"/>
  <c r="J607"/>
  <c r="L607"/>
  <c r="K607"/>
  <c r="E609" l="1"/>
  <c r="M608"/>
  <c r="N608"/>
  <c r="O608"/>
  <c r="K608"/>
  <c r="J608"/>
  <c r="L608"/>
  <c r="E610" l="1"/>
  <c r="M609"/>
  <c r="N609"/>
  <c r="O609"/>
  <c r="J609"/>
  <c r="L609"/>
  <c r="K609"/>
  <c r="E611" l="1"/>
  <c r="M610"/>
  <c r="N610"/>
  <c r="O610"/>
  <c r="J610"/>
  <c r="K610"/>
  <c r="L610"/>
  <c r="E612" l="1"/>
  <c r="N611"/>
  <c r="O611"/>
  <c r="M611"/>
  <c r="J611"/>
  <c r="L611"/>
  <c r="K611"/>
  <c r="E613" l="1"/>
  <c r="M612"/>
  <c r="N612"/>
  <c r="O612"/>
  <c r="L612"/>
  <c r="K612"/>
  <c r="J612"/>
  <c r="E614" l="1"/>
  <c r="M613"/>
  <c r="N613"/>
  <c r="O613"/>
  <c r="J613"/>
  <c r="L613"/>
  <c r="K613"/>
  <c r="E615" l="1"/>
  <c r="M614"/>
  <c r="N614"/>
  <c r="O614"/>
  <c r="J614"/>
  <c r="K614"/>
  <c r="L614"/>
  <c r="E616" l="1"/>
  <c r="N615"/>
  <c r="O615"/>
  <c r="M615"/>
  <c r="J615"/>
  <c r="L615"/>
  <c r="K615"/>
  <c r="E617" l="1"/>
  <c r="M616"/>
  <c r="N616"/>
  <c r="O616"/>
  <c r="K616"/>
  <c r="J616"/>
  <c r="L616"/>
  <c r="E618" l="1"/>
  <c r="M617"/>
  <c r="N617"/>
  <c r="O617"/>
  <c r="J617"/>
  <c r="L617"/>
  <c r="K617"/>
  <c r="E619" l="1"/>
  <c r="M618"/>
  <c r="N618"/>
  <c r="O618"/>
  <c r="K618"/>
  <c r="J618"/>
  <c r="L618"/>
  <c r="E620" l="1"/>
  <c r="N619"/>
  <c r="O619"/>
  <c r="M619"/>
  <c r="J619"/>
  <c r="L619"/>
  <c r="K619"/>
  <c r="E621" l="1"/>
  <c r="M620"/>
  <c r="N620"/>
  <c r="O620"/>
  <c r="K620"/>
  <c r="J620"/>
  <c r="L620"/>
  <c r="E622" l="1"/>
  <c r="M621"/>
  <c r="N621"/>
  <c r="O621"/>
  <c r="J621"/>
  <c r="L621"/>
  <c r="K621"/>
  <c r="E623" l="1"/>
  <c r="M622"/>
  <c r="N622"/>
  <c r="O622"/>
  <c r="L622"/>
  <c r="K622"/>
  <c r="J622"/>
  <c r="E624" l="1"/>
  <c r="N623"/>
  <c r="O623"/>
  <c r="M623"/>
  <c r="J623"/>
  <c r="L623"/>
  <c r="K623"/>
  <c r="E625" l="1"/>
  <c r="M624"/>
  <c r="N624"/>
  <c r="O624"/>
  <c r="K624"/>
  <c r="J624"/>
  <c r="L624"/>
  <c r="E626" l="1"/>
  <c r="M625"/>
  <c r="N625"/>
  <c r="O625"/>
  <c r="J625"/>
  <c r="L625"/>
  <c r="K625"/>
  <c r="E627" l="1"/>
  <c r="M626"/>
  <c r="N626"/>
  <c r="O626"/>
  <c r="J626"/>
  <c r="K626"/>
  <c r="L626"/>
  <c r="E628" l="1"/>
  <c r="N627"/>
  <c r="O627"/>
  <c r="M627"/>
  <c r="J627"/>
  <c r="L627"/>
  <c r="K627"/>
  <c r="E629" l="1"/>
  <c r="M628"/>
  <c r="N628"/>
  <c r="O628"/>
  <c r="K628"/>
  <c r="J628"/>
  <c r="L628"/>
  <c r="E630" l="1"/>
  <c r="M629"/>
  <c r="N629"/>
  <c r="O629"/>
  <c r="J629"/>
  <c r="L629"/>
  <c r="K629"/>
  <c r="E631" l="1"/>
  <c r="M630"/>
  <c r="N630"/>
  <c r="O630"/>
  <c r="K630"/>
  <c r="J630"/>
  <c r="L630"/>
  <c r="E632" l="1"/>
  <c r="N631"/>
  <c r="O631"/>
  <c r="M631"/>
  <c r="J631"/>
  <c r="L631"/>
  <c r="K631"/>
  <c r="E633" l="1"/>
  <c r="M632"/>
  <c r="N632"/>
  <c r="O632"/>
  <c r="K632"/>
  <c r="J632"/>
  <c r="L632"/>
  <c r="E634" l="1"/>
  <c r="M633"/>
  <c r="N633"/>
  <c r="O633"/>
  <c r="J633"/>
  <c r="L633"/>
  <c r="K633"/>
  <c r="E635" l="1"/>
  <c r="M634"/>
  <c r="N634"/>
  <c r="O634"/>
  <c r="L634"/>
  <c r="K634"/>
  <c r="J634"/>
  <c r="E636" l="1"/>
  <c r="N635"/>
  <c r="O635"/>
  <c r="M635"/>
  <c r="J635"/>
  <c r="L635"/>
  <c r="K635"/>
  <c r="E637" l="1"/>
  <c r="M636"/>
  <c r="N636"/>
  <c r="O636"/>
  <c r="K636"/>
  <c r="J636"/>
  <c r="L636"/>
  <c r="E638" l="1"/>
  <c r="M637"/>
  <c r="N637"/>
  <c r="O637"/>
  <c r="J637"/>
  <c r="L637"/>
  <c r="K637"/>
  <c r="E639" l="1"/>
  <c r="M638"/>
  <c r="N638"/>
  <c r="O638"/>
  <c r="J638"/>
  <c r="L638"/>
  <c r="K638"/>
  <c r="E640" l="1"/>
  <c r="N639"/>
  <c r="O639"/>
  <c r="M639"/>
  <c r="J639"/>
  <c r="L639"/>
  <c r="K639"/>
  <c r="E641" l="1"/>
  <c r="M640"/>
  <c r="N640"/>
  <c r="O640"/>
  <c r="K640"/>
  <c r="J640"/>
  <c r="L640"/>
  <c r="E642" l="1"/>
  <c r="M641"/>
  <c r="N641"/>
  <c r="O641"/>
  <c r="J641"/>
  <c r="L641"/>
  <c r="K641"/>
  <c r="E643" l="1"/>
  <c r="M642"/>
  <c r="N642"/>
  <c r="O642"/>
  <c r="L642"/>
  <c r="K642"/>
  <c r="J642"/>
  <c r="E644" l="1"/>
  <c r="N643"/>
  <c r="O643"/>
  <c r="M643"/>
  <c r="J643"/>
  <c r="L643"/>
  <c r="K643"/>
  <c r="E645" l="1"/>
  <c r="M644"/>
  <c r="N644"/>
  <c r="O644"/>
  <c r="L644"/>
  <c r="K644"/>
  <c r="J644"/>
  <c r="E646" l="1"/>
  <c r="M645"/>
  <c r="N645"/>
  <c r="O645"/>
  <c r="J645"/>
  <c r="L645"/>
  <c r="K645"/>
  <c r="E647" l="1"/>
  <c r="M646"/>
  <c r="N646"/>
  <c r="O646"/>
  <c r="L646"/>
  <c r="K646"/>
  <c r="J646"/>
  <c r="E648" l="1"/>
  <c r="N647"/>
  <c r="O647"/>
  <c r="M647"/>
  <c r="J647"/>
  <c r="L647"/>
  <c r="K647"/>
  <c r="E649" l="1"/>
  <c r="M648"/>
  <c r="N648"/>
  <c r="O648"/>
  <c r="J648"/>
  <c r="L648"/>
  <c r="K648"/>
  <c r="E650" l="1"/>
  <c r="M649"/>
  <c r="N649"/>
  <c r="O649"/>
  <c r="J649"/>
  <c r="L649"/>
  <c r="K649"/>
  <c r="E651" l="1"/>
  <c r="M650"/>
  <c r="N650"/>
  <c r="O650"/>
  <c r="J650"/>
  <c r="L650"/>
  <c r="K650"/>
  <c r="E652" l="1"/>
  <c r="N651"/>
  <c r="O651"/>
  <c r="M651"/>
  <c r="J651"/>
  <c r="L651"/>
  <c r="K651"/>
  <c r="E653" l="1"/>
  <c r="M652"/>
  <c r="N652"/>
  <c r="O652"/>
  <c r="K652"/>
  <c r="J652"/>
  <c r="L652"/>
  <c r="E654" l="1"/>
  <c r="M653"/>
  <c r="N653"/>
  <c r="O653"/>
  <c r="J653"/>
  <c r="L653"/>
  <c r="K653"/>
  <c r="E655" l="1"/>
  <c r="M654"/>
  <c r="N654"/>
  <c r="O654"/>
  <c r="J654"/>
  <c r="K654"/>
  <c r="L654"/>
  <c r="E656" l="1"/>
  <c r="N655"/>
  <c r="O655"/>
  <c r="M655"/>
  <c r="J655"/>
  <c r="L655"/>
  <c r="K655"/>
  <c r="E657" l="1"/>
  <c r="M656"/>
  <c r="N656"/>
  <c r="O656"/>
  <c r="K656"/>
  <c r="J656"/>
  <c r="L656"/>
  <c r="E658" l="1"/>
  <c r="M657"/>
  <c r="N657"/>
  <c r="O657"/>
  <c r="J657"/>
  <c r="L657"/>
  <c r="K657"/>
  <c r="E659" l="1"/>
  <c r="M658"/>
  <c r="N658"/>
  <c r="O658"/>
  <c r="J658"/>
  <c r="K658"/>
  <c r="L658"/>
  <c r="E660" l="1"/>
  <c r="N659"/>
  <c r="O659"/>
  <c r="M659"/>
  <c r="J659"/>
  <c r="L659"/>
  <c r="K659"/>
  <c r="E661" l="1"/>
  <c r="M660"/>
  <c r="N660"/>
  <c r="O660"/>
  <c r="J660"/>
  <c r="L660"/>
  <c r="K660"/>
  <c r="E662" l="1"/>
  <c r="M661"/>
  <c r="N661"/>
  <c r="O661"/>
  <c r="J661"/>
  <c r="K661"/>
  <c r="L661"/>
  <c r="O662" l="1"/>
  <c r="M662"/>
  <c r="N662"/>
  <c r="L662"/>
  <c r="E663"/>
  <c r="J662"/>
  <c r="K662"/>
  <c r="E664" l="1"/>
  <c r="N663"/>
  <c r="O663"/>
  <c r="M663"/>
  <c r="K663"/>
  <c r="J663"/>
  <c r="L663"/>
  <c r="E665" l="1"/>
  <c r="M664"/>
  <c r="N664"/>
  <c r="O664"/>
  <c r="K664"/>
  <c r="J664"/>
  <c r="L664"/>
  <c r="E666" l="1"/>
  <c r="M665"/>
  <c r="N665"/>
  <c r="O665"/>
  <c r="K665"/>
  <c r="J665"/>
  <c r="L665"/>
  <c r="E667" l="1"/>
  <c r="M666"/>
  <c r="N666"/>
  <c r="O666"/>
  <c r="K666"/>
  <c r="J666"/>
  <c r="L666"/>
  <c r="E668" l="1"/>
  <c r="N667"/>
  <c r="O667"/>
  <c r="M667"/>
  <c r="K667"/>
  <c r="J667"/>
  <c r="L667"/>
  <c r="E669" l="1"/>
  <c r="M668"/>
  <c r="N668"/>
  <c r="O668"/>
  <c r="J668"/>
  <c r="L668"/>
  <c r="K668"/>
  <c r="E670" l="1"/>
  <c r="M669"/>
  <c r="N669"/>
  <c r="O669"/>
  <c r="L669"/>
  <c r="K669"/>
  <c r="J669"/>
  <c r="E671" l="1"/>
  <c r="M670"/>
  <c r="N670"/>
  <c r="O670"/>
  <c r="J670"/>
  <c r="L670"/>
  <c r="K670"/>
  <c r="E672" l="1"/>
  <c r="N671"/>
  <c r="O671"/>
  <c r="M671"/>
  <c r="J671"/>
  <c r="K671"/>
  <c r="L671"/>
  <c r="E673" l="1"/>
  <c r="M672"/>
  <c r="N672"/>
  <c r="O672"/>
  <c r="K672"/>
  <c r="L672"/>
  <c r="J672"/>
  <c r="E674" l="1"/>
  <c r="M673"/>
  <c r="N673"/>
  <c r="O673"/>
  <c r="K673"/>
  <c r="J673"/>
  <c r="L673"/>
  <c r="E675" l="1"/>
  <c r="M674"/>
  <c r="N674"/>
  <c r="O674"/>
  <c r="J674"/>
  <c r="L674"/>
  <c r="K674"/>
  <c r="E676" l="1"/>
  <c r="N675"/>
  <c r="O675"/>
  <c r="M675"/>
  <c r="J675"/>
  <c r="K675"/>
  <c r="L675"/>
  <c r="E677" l="1"/>
  <c r="M676"/>
  <c r="N676"/>
  <c r="O676"/>
  <c r="L676"/>
  <c r="K676"/>
  <c r="J676"/>
  <c r="E678" l="1"/>
  <c r="M677"/>
  <c r="N677"/>
  <c r="O677"/>
  <c r="K677"/>
  <c r="J677"/>
  <c r="L677"/>
  <c r="E679" l="1"/>
  <c r="M678"/>
  <c r="N678"/>
  <c r="O678"/>
  <c r="J678"/>
  <c r="L678"/>
  <c r="K678"/>
  <c r="E680" l="1"/>
  <c r="N679"/>
  <c r="O679"/>
  <c r="M679"/>
  <c r="K679"/>
  <c r="J679"/>
  <c r="L679"/>
  <c r="E681" l="1"/>
  <c r="M680"/>
  <c r="N680"/>
  <c r="O680"/>
  <c r="L680"/>
  <c r="K680"/>
  <c r="J680"/>
  <c r="E682" l="1"/>
  <c r="M681"/>
  <c r="N681"/>
  <c r="O681"/>
  <c r="J681"/>
  <c r="L681"/>
  <c r="K681"/>
  <c r="E683" l="1"/>
  <c r="M682"/>
  <c r="N682"/>
  <c r="O682"/>
  <c r="J682"/>
  <c r="K682"/>
  <c r="L682"/>
  <c r="E684" l="1"/>
  <c r="N683"/>
  <c r="O683"/>
  <c r="M683"/>
  <c r="J683"/>
  <c r="L683"/>
  <c r="K683"/>
  <c r="E685" l="1"/>
  <c r="M684"/>
  <c r="N684"/>
  <c r="O684"/>
  <c r="J684"/>
  <c r="L684"/>
  <c r="K684"/>
  <c r="E686" l="1"/>
  <c r="M685"/>
  <c r="N685"/>
  <c r="O685"/>
  <c r="J685"/>
  <c r="L685"/>
  <c r="K685"/>
  <c r="E687" l="1"/>
  <c r="M686"/>
  <c r="N686"/>
  <c r="O686"/>
  <c r="L686"/>
  <c r="K686"/>
  <c r="J686"/>
  <c r="E688" l="1"/>
  <c r="N687"/>
  <c r="O687"/>
  <c r="M687"/>
  <c r="J687"/>
  <c r="L687"/>
  <c r="K687"/>
  <c r="E689" l="1"/>
  <c r="M688"/>
  <c r="N688"/>
  <c r="O688"/>
  <c r="K688"/>
  <c r="J688"/>
  <c r="L688"/>
  <c r="E690" l="1"/>
  <c r="M689"/>
  <c r="N689"/>
  <c r="O689"/>
  <c r="J689"/>
  <c r="L689"/>
  <c r="K689"/>
  <c r="E691" l="1"/>
  <c r="M690"/>
  <c r="N690"/>
  <c r="O690"/>
  <c r="J690"/>
  <c r="L690"/>
  <c r="K690"/>
  <c r="E692" l="1"/>
  <c r="N691"/>
  <c r="M691"/>
  <c r="O691"/>
  <c r="J691"/>
  <c r="L691"/>
  <c r="K691"/>
  <c r="E693" l="1"/>
  <c r="N692"/>
  <c r="O692"/>
  <c r="M692"/>
  <c r="L692"/>
  <c r="J692"/>
  <c r="K692"/>
  <c r="E694" l="1"/>
  <c r="O693"/>
  <c r="M693"/>
  <c r="N693"/>
  <c r="J693"/>
  <c r="L693"/>
  <c r="K693"/>
  <c r="E695" l="1"/>
  <c r="N694"/>
  <c r="O694"/>
  <c r="M694"/>
  <c r="J694"/>
  <c r="L694"/>
  <c r="K694"/>
  <c r="E696" l="1"/>
  <c r="M695"/>
  <c r="N695"/>
  <c r="O695"/>
  <c r="J695"/>
  <c r="L695"/>
  <c r="K695"/>
  <c r="E697" l="1"/>
  <c r="N696"/>
  <c r="O696"/>
  <c r="M696"/>
  <c r="L696"/>
  <c r="K696"/>
  <c r="J696"/>
  <c r="E698" l="1"/>
  <c r="O697"/>
  <c r="M697"/>
  <c r="N697"/>
  <c r="J697"/>
  <c r="L697"/>
  <c r="K697"/>
  <c r="E699" l="1"/>
  <c r="N698"/>
  <c r="O698"/>
  <c r="M698"/>
  <c r="K698"/>
  <c r="J698"/>
  <c r="L698"/>
  <c r="E700" l="1"/>
  <c r="M699"/>
  <c r="N699"/>
  <c r="O699"/>
  <c r="J699"/>
  <c r="L699"/>
  <c r="K699"/>
  <c r="E701" l="1"/>
  <c r="N700"/>
  <c r="O700"/>
  <c r="M700"/>
  <c r="J700"/>
  <c r="L700"/>
  <c r="K700"/>
  <c r="E702" l="1"/>
  <c r="O701"/>
  <c r="M701"/>
  <c r="N701"/>
  <c r="J701"/>
  <c r="L701"/>
  <c r="K701"/>
  <c r="E703" l="1"/>
  <c r="N702"/>
  <c r="O702"/>
  <c r="M702"/>
  <c r="L702"/>
  <c r="K702"/>
  <c r="J702"/>
  <c r="E704" l="1"/>
  <c r="M703"/>
  <c r="N703"/>
  <c r="O703"/>
  <c r="J703"/>
  <c r="L703"/>
  <c r="K703"/>
  <c r="E705" l="1"/>
  <c r="N704"/>
  <c r="O704"/>
  <c r="M704"/>
  <c r="L704"/>
  <c r="K704"/>
  <c r="J704"/>
  <c r="E706" l="1"/>
  <c r="O705"/>
  <c r="M705"/>
  <c r="N705"/>
  <c r="J705"/>
  <c r="L705"/>
  <c r="K705"/>
  <c r="E707" l="1"/>
  <c r="N706"/>
  <c r="O706"/>
  <c r="M706"/>
  <c r="J706"/>
  <c r="L706"/>
  <c r="K706"/>
  <c r="E708" l="1"/>
  <c r="M707"/>
  <c r="N707"/>
  <c r="O707"/>
  <c r="J707"/>
  <c r="L707"/>
  <c r="K707"/>
  <c r="E709" l="1"/>
  <c r="N708"/>
  <c r="O708"/>
  <c r="M708"/>
  <c r="J708"/>
  <c r="L708"/>
  <c r="K708"/>
  <c r="E710" l="1"/>
  <c r="O709"/>
  <c r="M709"/>
  <c r="N709"/>
  <c r="J709"/>
  <c r="L709"/>
  <c r="K709"/>
  <c r="E711" l="1"/>
  <c r="N710"/>
  <c r="O710"/>
  <c r="M710"/>
  <c r="K710"/>
  <c r="J710"/>
  <c r="L710"/>
  <c r="E712" l="1"/>
  <c r="M711"/>
  <c r="N711"/>
  <c r="O711"/>
  <c r="J711"/>
  <c r="L711"/>
  <c r="K711"/>
  <c r="E713" l="1"/>
  <c r="N712"/>
  <c r="O712"/>
  <c r="M712"/>
  <c r="L712"/>
  <c r="K712"/>
  <c r="J712"/>
  <c r="E714" l="1"/>
  <c r="O713"/>
  <c r="M713"/>
  <c r="N713"/>
  <c r="J713"/>
  <c r="L713"/>
  <c r="K713"/>
  <c r="E715" l="1"/>
  <c r="N714"/>
  <c r="O714"/>
  <c r="M714"/>
  <c r="J714"/>
  <c r="K714"/>
  <c r="L714"/>
  <c r="E716" l="1"/>
  <c r="M715"/>
  <c r="N715"/>
  <c r="O715"/>
  <c r="J715"/>
  <c r="L715"/>
  <c r="K715"/>
  <c r="E717" l="1"/>
  <c r="N716"/>
  <c r="O716"/>
  <c r="M716"/>
  <c r="K716"/>
  <c r="J716"/>
  <c r="L716"/>
  <c r="E718" l="1"/>
  <c r="O717"/>
  <c r="M717"/>
  <c r="N717"/>
  <c r="J717"/>
  <c r="L717"/>
  <c r="K717"/>
  <c r="E719" l="1"/>
  <c r="N718"/>
  <c r="O718"/>
  <c r="M718"/>
  <c r="K718"/>
  <c r="J718"/>
  <c r="L718"/>
  <c r="E720" l="1"/>
  <c r="M719"/>
  <c r="N719"/>
  <c r="O719"/>
  <c r="J719"/>
  <c r="L719"/>
  <c r="K719"/>
  <c r="E721" l="1"/>
  <c r="N720"/>
  <c r="O720"/>
  <c r="M720"/>
  <c r="J720"/>
  <c r="K720"/>
  <c r="L720"/>
  <c r="E722" l="1"/>
  <c r="O721"/>
  <c r="M721"/>
  <c r="N721"/>
  <c r="J721"/>
  <c r="L721"/>
  <c r="K721"/>
  <c r="E723" l="1"/>
  <c r="N722"/>
  <c r="O722"/>
  <c r="M722"/>
  <c r="K722"/>
  <c r="J722"/>
  <c r="L722"/>
  <c r="E724" l="1"/>
  <c r="M723"/>
  <c r="N723"/>
  <c r="O723"/>
  <c r="J723"/>
  <c r="L723"/>
  <c r="K723"/>
  <c r="E725" l="1"/>
  <c r="N724"/>
  <c r="O724"/>
  <c r="M724"/>
  <c r="L724"/>
  <c r="K724"/>
  <c r="J724"/>
  <c r="E726" l="1"/>
  <c r="O725"/>
  <c r="M725"/>
  <c r="N725"/>
  <c r="J725"/>
  <c r="L725"/>
  <c r="K725"/>
  <c r="E727" l="1"/>
  <c r="N726"/>
  <c r="O726"/>
  <c r="M726"/>
  <c r="J726"/>
  <c r="L726"/>
  <c r="K726"/>
  <c r="E728" l="1"/>
  <c r="M727"/>
  <c r="N727"/>
  <c r="O727"/>
  <c r="J727"/>
  <c r="L727"/>
  <c r="K727"/>
  <c r="E729" l="1"/>
  <c r="N728"/>
  <c r="O728"/>
  <c r="M728"/>
  <c r="L728"/>
  <c r="K728"/>
  <c r="J728"/>
  <c r="E730" l="1"/>
  <c r="O729"/>
  <c r="M729"/>
  <c r="N729"/>
  <c r="J729"/>
  <c r="L729"/>
  <c r="K729"/>
  <c r="E731" l="1"/>
  <c r="N730"/>
  <c r="O730"/>
  <c r="M730"/>
  <c r="K730"/>
  <c r="J730"/>
  <c r="L730"/>
  <c r="E732" l="1"/>
  <c r="M731"/>
  <c r="N731"/>
  <c r="O731"/>
  <c r="J731"/>
  <c r="L731"/>
  <c r="K731"/>
  <c r="E733" l="1"/>
  <c r="N732"/>
  <c r="O732"/>
  <c r="M732"/>
  <c r="L732"/>
  <c r="K732"/>
  <c r="J732"/>
  <c r="E734" l="1"/>
  <c r="M733"/>
  <c r="N733"/>
  <c r="O733"/>
  <c r="J733"/>
  <c r="L733"/>
  <c r="K733"/>
  <c r="E735" l="1"/>
  <c r="N734"/>
  <c r="O734"/>
  <c r="M734"/>
  <c r="K734"/>
  <c r="J734"/>
  <c r="L734"/>
  <c r="E736" l="1"/>
  <c r="M735"/>
  <c r="N735"/>
  <c r="O735"/>
  <c r="J735"/>
  <c r="L735"/>
  <c r="K735"/>
  <c r="E737" l="1"/>
  <c r="N736"/>
  <c r="O736"/>
  <c r="M736"/>
  <c r="K736"/>
  <c r="J736"/>
  <c r="L736"/>
  <c r="E738" l="1"/>
  <c r="M737"/>
  <c r="N737"/>
  <c r="O737"/>
  <c r="J737"/>
  <c r="K737"/>
  <c r="L737"/>
  <c r="M738" l="1"/>
  <c r="N738"/>
  <c r="O738"/>
  <c r="L738"/>
  <c r="E739"/>
  <c r="K738"/>
  <c r="J738"/>
  <c r="E740" l="1"/>
  <c r="M739"/>
  <c r="N739"/>
  <c r="O739"/>
  <c r="K739"/>
  <c r="J739"/>
  <c r="L739"/>
  <c r="E741" l="1"/>
  <c r="N740"/>
  <c r="O740"/>
  <c r="M740"/>
  <c r="K740"/>
  <c r="J740"/>
  <c r="L740"/>
  <c r="E742" l="1"/>
  <c r="M741"/>
  <c r="N741"/>
  <c r="O741"/>
  <c r="J741"/>
  <c r="L741"/>
  <c r="K741"/>
  <c r="E743" l="1"/>
  <c r="N742"/>
  <c r="O742"/>
  <c r="M742"/>
  <c r="J742"/>
  <c r="L742"/>
  <c r="K742"/>
  <c r="E744" l="1"/>
  <c r="M743"/>
  <c r="N743"/>
  <c r="O743"/>
  <c r="J743"/>
  <c r="L743"/>
  <c r="K743"/>
  <c r="E745" l="1"/>
  <c r="N744"/>
  <c r="O744"/>
  <c r="M744"/>
  <c r="J744"/>
  <c r="L744"/>
  <c r="K744"/>
  <c r="E746" l="1"/>
  <c r="M745"/>
  <c r="N745"/>
  <c r="O745"/>
  <c r="J745"/>
  <c r="L745"/>
  <c r="K745"/>
  <c r="E747" l="1"/>
  <c r="N746"/>
  <c r="O746"/>
  <c r="M746"/>
  <c r="K746"/>
  <c r="J746"/>
  <c r="L746"/>
  <c r="E748" l="1"/>
  <c r="M747"/>
  <c r="N747"/>
  <c r="O747"/>
  <c r="J747"/>
  <c r="L747"/>
  <c r="K747"/>
  <c r="E749" l="1"/>
  <c r="N748"/>
  <c r="O748"/>
  <c r="M748"/>
  <c r="K748"/>
  <c r="J748"/>
  <c r="L748"/>
  <c r="E750" l="1"/>
  <c r="M749"/>
  <c r="N749"/>
  <c r="O749"/>
  <c r="K749"/>
  <c r="J749"/>
  <c r="L749"/>
  <c r="E751" l="1"/>
  <c r="N750"/>
  <c r="O750"/>
  <c r="M750"/>
  <c r="J750"/>
  <c r="L750"/>
  <c r="K750"/>
  <c r="E752" l="1"/>
  <c r="M751"/>
  <c r="N751"/>
  <c r="O751"/>
  <c r="J751"/>
  <c r="L751"/>
  <c r="K751"/>
  <c r="E753" l="1"/>
  <c r="N752"/>
  <c r="O752"/>
  <c r="M752"/>
  <c r="J752"/>
  <c r="L752"/>
  <c r="K752"/>
  <c r="E754" l="1"/>
  <c r="M753"/>
  <c r="N753"/>
  <c r="O753"/>
  <c r="J753"/>
  <c r="L753"/>
  <c r="K753"/>
  <c r="E755" l="1"/>
  <c r="N754"/>
  <c r="O754"/>
  <c r="M754"/>
  <c r="K754"/>
  <c r="J754"/>
  <c r="L754"/>
  <c r="E756" l="1"/>
  <c r="M755"/>
  <c r="N755"/>
  <c r="O755"/>
  <c r="J755"/>
  <c r="L755"/>
  <c r="K755"/>
  <c r="E757" l="1"/>
  <c r="N756"/>
  <c r="O756"/>
  <c r="M756"/>
  <c r="K756"/>
  <c r="J756"/>
  <c r="L756"/>
  <c r="E758" l="1"/>
  <c r="M757"/>
  <c r="N757"/>
  <c r="O757"/>
  <c r="J757"/>
  <c r="L757"/>
  <c r="K757"/>
  <c r="E759" l="1"/>
  <c r="N758"/>
  <c r="O758"/>
  <c r="M758"/>
  <c r="J758"/>
  <c r="L758"/>
  <c r="K758"/>
  <c r="E760" l="1"/>
  <c r="M759"/>
  <c r="N759"/>
  <c r="O759"/>
  <c r="J759"/>
  <c r="K759"/>
  <c r="L759"/>
  <c r="E761" l="1"/>
  <c r="N760"/>
  <c r="O760"/>
  <c r="M760"/>
  <c r="J760"/>
  <c r="L760"/>
  <c r="K760"/>
  <c r="E762" l="1"/>
  <c r="M761"/>
  <c r="N761"/>
  <c r="O761"/>
  <c r="K761"/>
  <c r="J761"/>
  <c r="L761"/>
  <c r="E763" l="1"/>
  <c r="N762"/>
  <c r="O762"/>
  <c r="M762"/>
  <c r="J762"/>
  <c r="L762"/>
  <c r="K762"/>
  <c r="E764" l="1"/>
  <c r="M763"/>
  <c r="N763"/>
  <c r="O763"/>
  <c r="K763"/>
  <c r="J763"/>
  <c r="L763"/>
  <c r="E765" l="1"/>
  <c r="N764"/>
  <c r="O764"/>
  <c r="M764"/>
  <c r="J764"/>
  <c r="L764"/>
  <c r="K764"/>
  <c r="E766" l="1"/>
  <c r="M765"/>
  <c r="N765"/>
  <c r="O765"/>
  <c r="J765"/>
  <c r="L765"/>
  <c r="K765"/>
  <c r="E767" l="1"/>
  <c r="N766"/>
  <c r="O766"/>
  <c r="M766"/>
  <c r="J766"/>
  <c r="L766"/>
  <c r="K766"/>
  <c r="E768" l="1"/>
  <c r="M767"/>
  <c r="N767"/>
  <c r="O767"/>
  <c r="J767"/>
  <c r="L767"/>
  <c r="K767"/>
  <c r="E769" l="1"/>
  <c r="N768"/>
  <c r="O768"/>
  <c r="M768"/>
  <c r="J768"/>
  <c r="L768"/>
  <c r="K768"/>
  <c r="E770" l="1"/>
  <c r="M769"/>
  <c r="N769"/>
  <c r="O769"/>
  <c r="L769"/>
  <c r="K769"/>
  <c r="J769"/>
  <c r="E771" l="1"/>
  <c r="N770"/>
  <c r="O770"/>
  <c r="M770"/>
  <c r="J770"/>
  <c r="L770"/>
  <c r="K770"/>
  <c r="E772" l="1"/>
  <c r="M771"/>
  <c r="N771"/>
  <c r="O771"/>
  <c r="J771"/>
  <c r="L771"/>
  <c r="K771"/>
  <c r="E773" l="1"/>
  <c r="N772"/>
  <c r="O772"/>
  <c r="M772"/>
  <c r="K772"/>
  <c r="J772"/>
  <c r="L772"/>
  <c r="E774" l="1"/>
  <c r="M773"/>
  <c r="N773"/>
  <c r="O773"/>
  <c r="J773"/>
  <c r="K773"/>
  <c r="L773"/>
  <c r="E775" l="1"/>
  <c r="N774"/>
  <c r="O774"/>
  <c r="M774"/>
  <c r="K774"/>
  <c r="J774"/>
  <c r="L774"/>
  <c r="E776" l="1"/>
  <c r="M775"/>
  <c r="N775"/>
  <c r="O775"/>
  <c r="K775"/>
  <c r="J775"/>
  <c r="L775"/>
  <c r="E777" l="1"/>
  <c r="N776"/>
  <c r="O776"/>
  <c r="M776"/>
  <c r="J776"/>
  <c r="L776"/>
  <c r="K776"/>
  <c r="E778" l="1"/>
  <c r="M777"/>
  <c r="N777"/>
  <c r="O777"/>
  <c r="J777"/>
  <c r="L777"/>
  <c r="K777"/>
  <c r="E779" l="1"/>
  <c r="N778"/>
  <c r="O778"/>
  <c r="M778"/>
  <c r="J778"/>
  <c r="L778"/>
  <c r="K778"/>
  <c r="E780" l="1"/>
  <c r="M779"/>
  <c r="N779"/>
  <c r="O779"/>
  <c r="J779"/>
  <c r="L779"/>
  <c r="K779"/>
  <c r="E781" l="1"/>
  <c r="N780"/>
  <c r="O780"/>
  <c r="M780"/>
  <c r="J780"/>
  <c r="L780"/>
  <c r="K780"/>
  <c r="E782" l="1"/>
  <c r="M781"/>
  <c r="N781"/>
  <c r="O781"/>
  <c r="J781"/>
  <c r="L781"/>
  <c r="K781"/>
  <c r="E783" l="1"/>
  <c r="N782"/>
  <c r="O782"/>
  <c r="M782"/>
  <c r="J782"/>
  <c r="L782"/>
  <c r="K782"/>
  <c r="E784" l="1"/>
  <c r="M783"/>
  <c r="N783"/>
  <c r="O783"/>
  <c r="J783"/>
  <c r="K783"/>
  <c r="L783"/>
  <c r="E785" l="1"/>
  <c r="N784"/>
  <c r="O784"/>
  <c r="M784"/>
  <c r="J784"/>
  <c r="L784"/>
  <c r="K784"/>
  <c r="E786" l="1"/>
  <c r="M785"/>
  <c r="N785"/>
  <c r="O785"/>
  <c r="J785"/>
  <c r="L785"/>
  <c r="K785"/>
  <c r="E787" l="1"/>
  <c r="N786"/>
  <c r="O786"/>
  <c r="M786"/>
  <c r="J786"/>
  <c r="L786"/>
  <c r="K786"/>
  <c r="E788" l="1"/>
  <c r="M787"/>
  <c r="N787"/>
  <c r="O787"/>
  <c r="J787"/>
  <c r="L787"/>
  <c r="K787"/>
  <c r="E789" l="1"/>
  <c r="N788"/>
  <c r="O788"/>
  <c r="M788"/>
  <c r="J788"/>
  <c r="L788"/>
  <c r="K788"/>
  <c r="E790" l="1"/>
  <c r="M789"/>
  <c r="N789"/>
  <c r="O789"/>
  <c r="J789"/>
  <c r="L789"/>
  <c r="K789"/>
  <c r="E791" l="1"/>
  <c r="N790"/>
  <c r="O790"/>
  <c r="M790"/>
  <c r="J790"/>
  <c r="L790"/>
  <c r="K790"/>
  <c r="E792" l="1"/>
  <c r="M791"/>
  <c r="N791"/>
  <c r="O791"/>
  <c r="J791"/>
  <c r="L791"/>
  <c r="K791"/>
  <c r="E793" l="1"/>
  <c r="N792"/>
  <c r="O792"/>
  <c r="M792"/>
  <c r="J792"/>
  <c r="K792"/>
  <c r="L792"/>
  <c r="E794" l="1"/>
  <c r="M793"/>
  <c r="N793"/>
  <c r="O793"/>
  <c r="J793"/>
  <c r="L793"/>
  <c r="K793"/>
  <c r="E795" l="1"/>
  <c r="N794"/>
  <c r="O794"/>
  <c r="M794"/>
  <c r="K794"/>
  <c r="J794"/>
  <c r="L794"/>
  <c r="E796" l="1"/>
  <c r="M795"/>
  <c r="N795"/>
  <c r="O795"/>
  <c r="J795"/>
  <c r="L795"/>
  <c r="K795"/>
  <c r="E797" l="1"/>
  <c r="N796"/>
  <c r="O796"/>
  <c r="M796"/>
  <c r="J796"/>
  <c r="L796"/>
  <c r="K796"/>
  <c r="E798" l="1"/>
  <c r="M797"/>
  <c r="N797"/>
  <c r="O797"/>
  <c r="J797"/>
  <c r="L797"/>
  <c r="K797"/>
  <c r="E799" l="1"/>
  <c r="N798"/>
  <c r="O798"/>
  <c r="M798"/>
  <c r="J798"/>
  <c r="L798"/>
  <c r="K798"/>
  <c r="E800" l="1"/>
  <c r="M799"/>
  <c r="N799"/>
  <c r="O799"/>
  <c r="J799"/>
  <c r="L799"/>
  <c r="K799"/>
  <c r="E801" l="1"/>
  <c r="N800"/>
  <c r="O800"/>
  <c r="M800"/>
  <c r="K800"/>
  <c r="J800"/>
  <c r="L800"/>
  <c r="E802" l="1"/>
  <c r="M801"/>
  <c r="N801"/>
  <c r="O801"/>
  <c r="J801"/>
  <c r="L801"/>
  <c r="K801"/>
  <c r="E803" l="1"/>
  <c r="N802"/>
  <c r="O802"/>
  <c r="M802"/>
  <c r="L802"/>
  <c r="K802"/>
  <c r="J802"/>
  <c r="E804" l="1"/>
  <c r="M803"/>
  <c r="N803"/>
  <c r="O803"/>
  <c r="J803"/>
  <c r="L803"/>
  <c r="K803"/>
  <c r="E805" l="1"/>
  <c r="N804"/>
  <c r="O804"/>
  <c r="M804"/>
  <c r="J804"/>
  <c r="L804"/>
  <c r="K804"/>
  <c r="E806" l="1"/>
  <c r="M805"/>
  <c r="N805"/>
  <c r="O805"/>
  <c r="J805"/>
  <c r="L805"/>
  <c r="K805"/>
  <c r="E807" l="1"/>
  <c r="N806"/>
  <c r="O806"/>
  <c r="M806"/>
  <c r="J806"/>
  <c r="L806"/>
  <c r="K806"/>
  <c r="E808" l="1"/>
  <c r="M807"/>
  <c r="N807"/>
  <c r="O807"/>
  <c r="J807"/>
  <c r="L807"/>
  <c r="K807"/>
  <c r="E809" l="1"/>
  <c r="N808"/>
  <c r="O808"/>
  <c r="M808"/>
  <c r="J808"/>
  <c r="L808"/>
  <c r="K808"/>
  <c r="E810" l="1"/>
  <c r="M809"/>
  <c r="N809"/>
  <c r="O809"/>
  <c r="J809"/>
  <c r="L809"/>
  <c r="K809"/>
  <c r="E811" l="1"/>
  <c r="N810"/>
  <c r="O810"/>
  <c r="M810"/>
  <c r="J810"/>
  <c r="L810"/>
  <c r="K810"/>
  <c r="E812" l="1"/>
  <c r="M811"/>
  <c r="N811"/>
  <c r="O811"/>
  <c r="J811"/>
  <c r="L811"/>
  <c r="K811"/>
  <c r="E813" l="1"/>
  <c r="N812"/>
  <c r="O812"/>
  <c r="M812"/>
  <c r="J812"/>
  <c r="L812"/>
  <c r="K812"/>
  <c r="E814" l="1"/>
  <c r="M813"/>
  <c r="N813"/>
  <c r="O813"/>
  <c r="J813"/>
  <c r="K813"/>
  <c r="L813"/>
  <c r="E815" l="1"/>
  <c r="N814"/>
  <c r="O814"/>
  <c r="M814"/>
  <c r="J814"/>
  <c r="L814"/>
  <c r="K814"/>
  <c r="E816" l="1"/>
  <c r="M815"/>
  <c r="N815"/>
  <c r="O815"/>
  <c r="K815"/>
  <c r="J815"/>
  <c r="L815"/>
  <c r="E817" l="1"/>
  <c r="N816"/>
  <c r="O816"/>
  <c r="M816"/>
  <c r="J816"/>
  <c r="L816"/>
  <c r="K816"/>
  <c r="E818" l="1"/>
  <c r="M817"/>
  <c r="N817"/>
  <c r="O817"/>
  <c r="J817"/>
  <c r="L817"/>
  <c r="K817"/>
  <c r="E819" l="1"/>
  <c r="N818"/>
  <c r="O818"/>
  <c r="M818"/>
  <c r="J818"/>
  <c r="L818"/>
  <c r="K818"/>
  <c r="E820" l="1"/>
  <c r="M819"/>
  <c r="N819"/>
  <c r="O819"/>
  <c r="K819"/>
  <c r="J819"/>
  <c r="L819"/>
  <c r="E821" l="1"/>
  <c r="N820"/>
  <c r="O820"/>
  <c r="M820"/>
  <c r="J820"/>
  <c r="L820"/>
  <c r="K820"/>
  <c r="E822" l="1"/>
  <c r="M821"/>
  <c r="N821"/>
  <c r="O821"/>
  <c r="J821"/>
  <c r="L821"/>
  <c r="K821"/>
  <c r="E823" l="1"/>
  <c r="N822"/>
  <c r="O822"/>
  <c r="M822"/>
  <c r="K822"/>
  <c r="J822"/>
  <c r="L822"/>
  <c r="E824" l="1"/>
  <c r="M823"/>
  <c r="N823"/>
  <c r="O823"/>
  <c r="J823"/>
  <c r="L823"/>
  <c r="K823"/>
  <c r="E825" l="1"/>
  <c r="N824"/>
  <c r="O824"/>
  <c r="M824"/>
  <c r="J824"/>
  <c r="L824"/>
  <c r="K824"/>
  <c r="E826" l="1"/>
  <c r="M825"/>
  <c r="N825"/>
  <c r="O825"/>
  <c r="J825"/>
  <c r="L825"/>
  <c r="K825"/>
  <c r="E827" l="1"/>
  <c r="N826"/>
  <c r="O826"/>
  <c r="M826"/>
  <c r="J826"/>
  <c r="L826"/>
  <c r="K826"/>
  <c r="E828" l="1"/>
  <c r="M827"/>
  <c r="N827"/>
  <c r="O827"/>
  <c r="J827"/>
  <c r="L827"/>
  <c r="K827"/>
  <c r="E829" l="1"/>
  <c r="N828"/>
  <c r="O828"/>
  <c r="M828"/>
  <c r="K828"/>
  <c r="J828"/>
  <c r="L828"/>
  <c r="E830" l="1"/>
  <c r="M829"/>
  <c r="N829"/>
  <c r="O829"/>
  <c r="J829"/>
  <c r="L829"/>
  <c r="K829"/>
  <c r="E831" l="1"/>
  <c r="N830"/>
  <c r="O830"/>
  <c r="M830"/>
  <c r="J830"/>
  <c r="L830"/>
  <c r="K830"/>
  <c r="E832" l="1"/>
  <c r="M831"/>
  <c r="N831"/>
  <c r="O831"/>
  <c r="J831"/>
  <c r="L831"/>
  <c r="K831"/>
  <c r="E833" l="1"/>
  <c r="N832"/>
  <c r="O832"/>
  <c r="M832"/>
  <c r="J832"/>
  <c r="L832"/>
  <c r="K832"/>
  <c r="E834" l="1"/>
  <c r="M833"/>
  <c r="N833"/>
  <c r="O833"/>
  <c r="J833"/>
  <c r="L833"/>
  <c r="K833"/>
  <c r="E835" l="1"/>
  <c r="N834"/>
  <c r="O834"/>
  <c r="M834"/>
  <c r="J834"/>
  <c r="L834"/>
  <c r="K834"/>
  <c r="E836" l="1"/>
  <c r="M835"/>
  <c r="N835"/>
  <c r="O835"/>
  <c r="J835"/>
  <c r="L835"/>
  <c r="K835"/>
  <c r="E837" l="1"/>
  <c r="N836"/>
  <c r="O836"/>
  <c r="M836"/>
  <c r="J836"/>
  <c r="L836"/>
  <c r="K836"/>
  <c r="E838" l="1"/>
  <c r="M837"/>
  <c r="N837"/>
  <c r="O837"/>
  <c r="J837"/>
  <c r="L837"/>
  <c r="K837"/>
  <c r="E839" l="1"/>
  <c r="N838"/>
  <c r="O838"/>
  <c r="M838"/>
  <c r="J838"/>
  <c r="L838"/>
  <c r="K838"/>
  <c r="E840" l="1"/>
  <c r="M839"/>
  <c r="N839"/>
  <c r="O839"/>
  <c r="J839"/>
  <c r="L839"/>
  <c r="K839"/>
  <c r="E841" l="1"/>
  <c r="N840"/>
  <c r="O840"/>
  <c r="M840"/>
  <c r="K840"/>
  <c r="J840"/>
  <c r="L840"/>
  <c r="E842" l="1"/>
  <c r="M841"/>
  <c r="N841"/>
  <c r="O841"/>
  <c r="J841"/>
  <c r="L841"/>
  <c r="K841"/>
  <c r="E843" l="1"/>
  <c r="N842"/>
  <c r="O842"/>
  <c r="M842"/>
  <c r="K842"/>
  <c r="J842"/>
  <c r="L842"/>
  <c r="E844" l="1"/>
  <c r="M843"/>
  <c r="N843"/>
  <c r="O843"/>
  <c r="J843"/>
  <c r="L843"/>
  <c r="K843"/>
  <c r="E845" l="1"/>
  <c r="N844"/>
  <c r="O844"/>
  <c r="M844"/>
  <c r="L844"/>
  <c r="K844"/>
  <c r="J844"/>
  <c r="E846" l="1"/>
  <c r="M845"/>
  <c r="N845"/>
  <c r="O845"/>
  <c r="J845"/>
  <c r="L845"/>
  <c r="K845"/>
  <c r="E847" l="1"/>
  <c r="N846"/>
  <c r="O846"/>
  <c r="M846"/>
  <c r="J846"/>
  <c r="L846"/>
  <c r="K846"/>
  <c r="E848" l="1"/>
  <c r="M847"/>
  <c r="N847"/>
  <c r="O847"/>
  <c r="J847"/>
  <c r="L847"/>
  <c r="K847"/>
  <c r="E849" l="1"/>
  <c r="N848"/>
  <c r="O848"/>
  <c r="M848"/>
  <c r="L848"/>
  <c r="K848"/>
  <c r="J848"/>
  <c r="E850" l="1"/>
  <c r="M849"/>
  <c r="N849"/>
  <c r="O849"/>
  <c r="J849"/>
  <c r="L849"/>
  <c r="K849"/>
  <c r="E851" l="1"/>
  <c r="N850"/>
  <c r="O850"/>
  <c r="M850"/>
  <c r="J850"/>
  <c r="L850"/>
  <c r="K850"/>
  <c r="E852" l="1"/>
  <c r="M851"/>
  <c r="N851"/>
  <c r="O851"/>
  <c r="J851"/>
  <c r="L851"/>
  <c r="K851"/>
  <c r="E853" l="1"/>
  <c r="N852"/>
  <c r="O852"/>
  <c r="M852"/>
  <c r="J852"/>
  <c r="L852"/>
  <c r="K852"/>
  <c r="E854" l="1"/>
  <c r="M853"/>
  <c r="N853"/>
  <c r="O853"/>
  <c r="J853"/>
  <c r="L853"/>
  <c r="K853"/>
  <c r="E855" l="1"/>
  <c r="N854"/>
  <c r="O854"/>
  <c r="M854"/>
  <c r="K854"/>
  <c r="J854"/>
  <c r="L854"/>
  <c r="E856" l="1"/>
  <c r="M855"/>
  <c r="N855"/>
  <c r="O855"/>
  <c r="K855"/>
  <c r="J855"/>
  <c r="L855"/>
  <c r="E857" l="1"/>
  <c r="N856"/>
  <c r="O856"/>
  <c r="M856"/>
  <c r="J856"/>
  <c r="K856"/>
  <c r="L856"/>
  <c r="E858" l="1"/>
  <c r="M857"/>
  <c r="N857"/>
  <c r="O857"/>
  <c r="J857"/>
  <c r="K857"/>
  <c r="L857"/>
  <c r="E859" l="1"/>
  <c r="N858"/>
  <c r="O858"/>
  <c r="M858"/>
  <c r="J858"/>
  <c r="L858"/>
  <c r="K858"/>
  <c r="E860" l="1"/>
  <c r="M859"/>
  <c r="N859"/>
  <c r="O859"/>
  <c r="J859"/>
  <c r="K859"/>
  <c r="L859"/>
  <c r="E861" l="1"/>
  <c r="N860"/>
  <c r="O860"/>
  <c r="M860"/>
  <c r="J860"/>
  <c r="L860"/>
  <c r="K860"/>
  <c r="E862" l="1"/>
  <c r="M861"/>
  <c r="N861"/>
  <c r="O861"/>
  <c r="J861"/>
  <c r="L861"/>
  <c r="K861"/>
  <c r="E863" l="1"/>
  <c r="N862"/>
  <c r="O862"/>
  <c r="M862"/>
  <c r="K862"/>
  <c r="J862"/>
  <c r="L862"/>
  <c r="E864" l="1"/>
  <c r="M863"/>
  <c r="N863"/>
  <c r="O863"/>
  <c r="J863"/>
  <c r="L863"/>
  <c r="K863"/>
  <c r="E865" l="1"/>
  <c r="N864"/>
  <c r="O864"/>
  <c r="M864"/>
  <c r="J864"/>
  <c r="L864"/>
  <c r="K864"/>
  <c r="E866" l="1"/>
  <c r="M865"/>
  <c r="N865"/>
  <c r="O865"/>
  <c r="J865"/>
  <c r="L865"/>
  <c r="K865"/>
  <c r="E867" l="1"/>
  <c r="N866"/>
  <c r="O866"/>
  <c r="M866"/>
  <c r="J866"/>
  <c r="L866"/>
  <c r="K866"/>
  <c r="E868" l="1"/>
  <c r="M867"/>
  <c r="N867"/>
  <c r="O867"/>
  <c r="J867"/>
  <c r="L867"/>
  <c r="K867"/>
  <c r="E869" l="1"/>
  <c r="N868"/>
  <c r="O868"/>
  <c r="M868"/>
  <c r="J868"/>
  <c r="L868"/>
  <c r="K868"/>
  <c r="E870" l="1"/>
  <c r="M869"/>
  <c r="N869"/>
  <c r="O869"/>
  <c r="K869"/>
  <c r="J869"/>
  <c r="L869"/>
  <c r="E871" l="1"/>
  <c r="N870"/>
  <c r="O870"/>
  <c r="M870"/>
  <c r="K870"/>
  <c r="J870"/>
  <c r="L870"/>
  <c r="E872" l="1"/>
  <c r="M871"/>
  <c r="N871"/>
  <c r="O871"/>
  <c r="K871"/>
  <c r="J871"/>
  <c r="L871"/>
  <c r="E873" l="1"/>
  <c r="N872"/>
  <c r="O872"/>
  <c r="M872"/>
  <c r="K872"/>
  <c r="J872"/>
  <c r="L872"/>
  <c r="E874" l="1"/>
  <c r="M873"/>
  <c r="N873"/>
  <c r="O873"/>
  <c r="K873"/>
  <c r="J873"/>
  <c r="L873"/>
  <c r="E875" l="1"/>
  <c r="N874"/>
  <c r="O874"/>
  <c r="M874"/>
  <c r="K874"/>
  <c r="J874"/>
  <c r="L874"/>
  <c r="E876" l="1"/>
  <c r="M875"/>
  <c r="N875"/>
  <c r="O875"/>
  <c r="K875"/>
  <c r="J875"/>
  <c r="L875"/>
  <c r="E877" l="1"/>
  <c r="N876"/>
  <c r="O876"/>
  <c r="M876"/>
  <c r="K876"/>
  <c r="J876"/>
  <c r="L876"/>
  <c r="E878" l="1"/>
  <c r="M877"/>
  <c r="N877"/>
  <c r="O877"/>
  <c r="K877"/>
  <c r="J877"/>
  <c r="L877"/>
  <c r="E879" l="1"/>
  <c r="N878"/>
  <c r="O878"/>
  <c r="M878"/>
  <c r="K878"/>
  <c r="J878"/>
  <c r="L878"/>
  <c r="E880" l="1"/>
  <c r="M879"/>
  <c r="N879"/>
  <c r="O879"/>
  <c r="K879"/>
  <c r="J879"/>
  <c r="L879"/>
  <c r="E881" l="1"/>
  <c r="N880"/>
  <c r="O880"/>
  <c r="M880"/>
  <c r="K880"/>
  <c r="J880"/>
  <c r="L880"/>
  <c r="E882" l="1"/>
  <c r="M881"/>
  <c r="N881"/>
  <c r="O881"/>
  <c r="K881"/>
  <c r="J881"/>
  <c r="L881"/>
  <c r="E883" l="1"/>
  <c r="N882"/>
  <c r="O882"/>
  <c r="M882"/>
  <c r="K882"/>
  <c r="J882"/>
  <c r="L882"/>
  <c r="E884" l="1"/>
  <c r="M883"/>
  <c r="N883"/>
  <c r="O883"/>
  <c r="L883"/>
  <c r="J883"/>
  <c r="K883"/>
  <c r="E885" l="1"/>
  <c r="N884"/>
  <c r="O884"/>
  <c r="M884"/>
  <c r="K884"/>
  <c r="J884"/>
  <c r="L884"/>
  <c r="E886" l="1"/>
  <c r="M885"/>
  <c r="N885"/>
  <c r="O885"/>
  <c r="K885"/>
  <c r="J885"/>
  <c r="L885"/>
  <c r="E887" l="1"/>
  <c r="N886"/>
  <c r="O886"/>
  <c r="M886"/>
  <c r="K886"/>
  <c r="J886"/>
  <c r="L886"/>
  <c r="E888" l="1"/>
  <c r="M887"/>
  <c r="N887"/>
  <c r="O887"/>
  <c r="K887"/>
  <c r="J887"/>
  <c r="L887"/>
  <c r="E889" l="1"/>
  <c r="N888"/>
  <c r="O888"/>
  <c r="M888"/>
  <c r="J888"/>
  <c r="L888"/>
  <c r="K888"/>
  <c r="E890" l="1"/>
  <c r="M889"/>
  <c r="N889"/>
  <c r="O889"/>
  <c r="J889"/>
  <c r="L889"/>
  <c r="K889"/>
  <c r="E891" l="1"/>
  <c r="N890"/>
  <c r="O890"/>
  <c r="M890"/>
  <c r="J890"/>
  <c r="L890"/>
  <c r="K890"/>
  <c r="E892" l="1"/>
  <c r="M891"/>
  <c r="N891"/>
  <c r="O891"/>
  <c r="J891"/>
  <c r="L891"/>
  <c r="K891"/>
  <c r="E893" l="1"/>
  <c r="N892"/>
  <c r="O892"/>
  <c r="M892"/>
  <c r="J892"/>
  <c r="L892"/>
  <c r="K892"/>
  <c r="E894" l="1"/>
  <c r="M893"/>
  <c r="N893"/>
  <c r="O893"/>
  <c r="J893"/>
  <c r="L893"/>
  <c r="K893"/>
  <c r="E895" l="1"/>
  <c r="N894"/>
  <c r="O894"/>
  <c r="M894"/>
  <c r="J894"/>
  <c r="L894"/>
  <c r="K894"/>
  <c r="E896" l="1"/>
  <c r="M895"/>
  <c r="N895"/>
  <c r="O895"/>
  <c r="J895"/>
  <c r="L895"/>
  <c r="K895"/>
  <c r="E897" l="1"/>
  <c r="N896"/>
  <c r="O896"/>
  <c r="M896"/>
  <c r="K896"/>
  <c r="J896"/>
  <c r="L896"/>
  <c r="E898" l="1"/>
  <c r="M897"/>
  <c r="N897"/>
  <c r="O897"/>
  <c r="K897"/>
  <c r="J897"/>
  <c r="L897"/>
  <c r="E899" l="1"/>
  <c r="N898"/>
  <c r="O898"/>
  <c r="M898"/>
  <c r="J898"/>
  <c r="L898"/>
  <c r="K898"/>
  <c r="E900" l="1"/>
  <c r="M899"/>
  <c r="N899"/>
  <c r="O899"/>
  <c r="J899"/>
  <c r="L899"/>
  <c r="K899"/>
  <c r="E901" l="1"/>
  <c r="N900"/>
  <c r="O900"/>
  <c r="M900"/>
  <c r="J900"/>
  <c r="L900"/>
  <c r="K900"/>
  <c r="E902" l="1"/>
  <c r="M901"/>
  <c r="N901"/>
  <c r="O901"/>
  <c r="K901"/>
  <c r="J901"/>
  <c r="L901"/>
  <c r="E903" l="1"/>
  <c r="N902"/>
  <c r="O902"/>
  <c r="M902"/>
  <c r="J902"/>
  <c r="L902"/>
  <c r="K902"/>
  <c r="E904" l="1"/>
  <c r="M903"/>
  <c r="N903"/>
  <c r="O903"/>
  <c r="J903"/>
  <c r="L903"/>
  <c r="K903"/>
  <c r="L905"/>
  <c r="E905" l="1"/>
  <c r="N904"/>
  <c r="O904"/>
  <c r="M904"/>
  <c r="J904"/>
  <c r="L904"/>
  <c r="K904"/>
  <c r="E906" l="1"/>
  <c r="J905"/>
  <c r="K905"/>
  <c r="E907" l="1"/>
  <c r="N906"/>
  <c r="O906"/>
  <c r="M906"/>
  <c r="K906"/>
  <c r="J906"/>
  <c r="L906"/>
  <c r="E908" l="1"/>
  <c r="M907"/>
  <c r="N907"/>
  <c r="O907"/>
  <c r="K907"/>
  <c r="J907"/>
  <c r="L907"/>
  <c r="E909" l="1"/>
  <c r="N908"/>
  <c r="O908"/>
  <c r="M908"/>
  <c r="K908"/>
  <c r="J908"/>
  <c r="L908"/>
  <c r="E910" l="1"/>
  <c r="M909"/>
  <c r="N909"/>
  <c r="O909"/>
  <c r="K909"/>
  <c r="J909"/>
  <c r="L909"/>
  <c r="E911" l="1"/>
  <c r="N910"/>
  <c r="O910"/>
  <c r="M910"/>
  <c r="K910"/>
  <c r="J910"/>
  <c r="L910"/>
  <c r="E912" l="1"/>
  <c r="M911"/>
  <c r="N911"/>
  <c r="O911"/>
  <c r="K911"/>
  <c r="J911"/>
  <c r="L911"/>
  <c r="E913" l="1"/>
  <c r="N912"/>
  <c r="O912"/>
  <c r="M912"/>
  <c r="K912"/>
  <c r="J912"/>
  <c r="L912"/>
  <c r="E914" l="1"/>
  <c r="M913"/>
  <c r="N913"/>
  <c r="O913"/>
  <c r="K913"/>
  <c r="J913"/>
  <c r="L913"/>
  <c r="E915" l="1"/>
  <c r="N914"/>
  <c r="O914"/>
  <c r="M914"/>
  <c r="J914"/>
  <c r="L914"/>
  <c r="K914"/>
  <c r="E916" l="1"/>
  <c r="M915"/>
  <c r="N915"/>
  <c r="O915"/>
  <c r="J915"/>
  <c r="L915"/>
  <c r="K915"/>
  <c r="E917" l="1"/>
  <c r="N916"/>
  <c r="O916"/>
  <c r="M916"/>
  <c r="J916"/>
  <c r="L916"/>
  <c r="K916"/>
  <c r="E918" l="1"/>
  <c r="M917"/>
  <c r="N917"/>
  <c r="O917"/>
  <c r="J917"/>
  <c r="L917"/>
  <c r="K917"/>
  <c r="E919" l="1"/>
  <c r="N918"/>
  <c r="O918"/>
  <c r="M918"/>
  <c r="J918"/>
  <c r="L918"/>
  <c r="K918"/>
  <c r="E920" l="1"/>
  <c r="M919"/>
  <c r="N919"/>
  <c r="O919"/>
  <c r="J919"/>
  <c r="L919"/>
  <c r="K919"/>
  <c r="E921" l="1"/>
  <c r="N920"/>
  <c r="O920"/>
  <c r="M920"/>
  <c r="K920"/>
  <c r="J920"/>
  <c r="L920"/>
  <c r="E922" l="1"/>
  <c r="M921"/>
  <c r="N921"/>
  <c r="O921"/>
  <c r="J921"/>
  <c r="L921"/>
  <c r="K921"/>
  <c r="E923" l="1"/>
  <c r="N922"/>
  <c r="O922"/>
  <c r="M922"/>
  <c r="J922"/>
  <c r="L922"/>
  <c r="K922"/>
  <c r="E924" l="1"/>
  <c r="M923"/>
  <c r="N923"/>
  <c r="O923"/>
  <c r="K923"/>
  <c r="J923"/>
  <c r="L923"/>
  <c r="E925" l="1"/>
  <c r="N924"/>
  <c r="O924"/>
  <c r="M924"/>
  <c r="K924"/>
  <c r="J924"/>
  <c r="L924"/>
  <c r="E926" l="1"/>
  <c r="M925"/>
  <c r="N925"/>
  <c r="O925"/>
  <c r="J925"/>
  <c r="L925"/>
  <c r="K925"/>
  <c r="E927" l="1"/>
  <c r="N926"/>
  <c r="O926"/>
  <c r="M926"/>
  <c r="J926"/>
  <c r="L926"/>
  <c r="K926"/>
  <c r="E928" l="1"/>
  <c r="M927"/>
  <c r="N927"/>
  <c r="O927"/>
  <c r="J927"/>
  <c r="L927"/>
  <c r="K927"/>
  <c r="E929" l="1"/>
  <c r="N928"/>
  <c r="O928"/>
  <c r="M928"/>
  <c r="J928"/>
  <c r="L928"/>
  <c r="K928"/>
  <c r="E930" l="1"/>
  <c r="M929"/>
  <c r="N929"/>
  <c r="O929"/>
  <c r="J929"/>
  <c r="L929"/>
  <c r="K929"/>
  <c r="E931" l="1"/>
  <c r="N930"/>
  <c r="O930"/>
  <c r="M930"/>
  <c r="J930"/>
  <c r="L930"/>
  <c r="K930"/>
  <c r="E932" l="1"/>
  <c r="M931"/>
  <c r="N931"/>
  <c r="O931"/>
  <c r="J931"/>
  <c r="L931"/>
  <c r="K931"/>
  <c r="E933" l="1"/>
  <c r="N932"/>
  <c r="O932"/>
  <c r="M932"/>
  <c r="K932"/>
  <c r="J932"/>
  <c r="L932"/>
  <c r="E934" l="1"/>
  <c r="M933"/>
  <c r="N933"/>
  <c r="O933"/>
  <c r="K933"/>
  <c r="J933"/>
  <c r="L933"/>
  <c r="E935" l="1"/>
  <c r="N934"/>
  <c r="O934"/>
  <c r="M934"/>
  <c r="K934"/>
  <c r="J934"/>
  <c r="L934"/>
  <c r="E936" l="1"/>
  <c r="M935"/>
  <c r="N935"/>
  <c r="O935"/>
  <c r="K935"/>
  <c r="J935"/>
  <c r="L935"/>
  <c r="E937" l="1"/>
  <c r="N936"/>
  <c r="O936"/>
  <c r="M936"/>
  <c r="K936"/>
  <c r="J936"/>
  <c r="L936"/>
  <c r="E938" l="1"/>
  <c r="M937"/>
  <c r="N937"/>
  <c r="O937"/>
  <c r="K937"/>
  <c r="J937"/>
  <c r="L937"/>
  <c r="E939" l="1"/>
  <c r="N938"/>
  <c r="O938"/>
  <c r="M938"/>
  <c r="K938"/>
  <c r="J938"/>
  <c r="L938"/>
  <c r="E940" l="1"/>
  <c r="M939"/>
  <c r="N939"/>
  <c r="O939"/>
  <c r="K939"/>
  <c r="J939"/>
  <c r="L939"/>
  <c r="E941" l="1"/>
  <c r="N940"/>
  <c r="O940"/>
  <c r="M940"/>
  <c r="K940"/>
  <c r="J940"/>
  <c r="L940"/>
  <c r="E942" l="1"/>
  <c r="M941"/>
  <c r="N941"/>
  <c r="O941"/>
  <c r="J941"/>
  <c r="L941"/>
  <c r="K941"/>
  <c r="E943" l="1"/>
  <c r="N942"/>
  <c r="O942"/>
  <c r="M942"/>
  <c r="J942"/>
  <c r="L942"/>
  <c r="K942"/>
  <c r="E944" l="1"/>
  <c r="M943"/>
  <c r="N943"/>
  <c r="O943"/>
  <c r="J943"/>
  <c r="L943"/>
  <c r="K943"/>
  <c r="E945" l="1"/>
  <c r="N944"/>
  <c r="O944"/>
  <c r="M944"/>
  <c r="J944"/>
  <c r="L944"/>
  <c r="K944"/>
  <c r="E946" l="1"/>
  <c r="M945"/>
  <c r="N945"/>
  <c r="O945"/>
  <c r="J945"/>
  <c r="L945"/>
  <c r="K945"/>
  <c r="E947" l="1"/>
  <c r="N946"/>
  <c r="O946"/>
  <c r="M946"/>
  <c r="J946"/>
  <c r="L946"/>
  <c r="K946"/>
  <c r="E948" l="1"/>
  <c r="M947"/>
  <c r="N947"/>
  <c r="O947"/>
  <c r="J947"/>
  <c r="L947"/>
  <c r="K947"/>
  <c r="E949" l="1"/>
  <c r="N948"/>
  <c r="O948"/>
  <c r="M948"/>
  <c r="J948"/>
  <c r="L948"/>
  <c r="K948"/>
  <c r="E950" l="1"/>
  <c r="M949"/>
  <c r="N949"/>
  <c r="O949"/>
  <c r="J949"/>
  <c r="L949"/>
  <c r="K949"/>
  <c r="E951" l="1"/>
  <c r="N950"/>
  <c r="O950"/>
  <c r="M950"/>
  <c r="K950"/>
  <c r="J950"/>
  <c r="L950"/>
  <c r="E952" l="1"/>
  <c r="M951"/>
  <c r="N951"/>
  <c r="O951"/>
  <c r="K951"/>
  <c r="J951"/>
  <c r="L951"/>
  <c r="E953" l="1"/>
  <c r="N952"/>
  <c r="O952"/>
  <c r="M952"/>
  <c r="K952"/>
  <c r="J952"/>
  <c r="L952"/>
  <c r="E954" l="1"/>
  <c r="M953"/>
  <c r="N953"/>
  <c r="O953"/>
  <c r="K953"/>
  <c r="J953"/>
  <c r="L953"/>
  <c r="E955" l="1"/>
  <c r="N954"/>
  <c r="O954"/>
  <c r="M954"/>
  <c r="K954"/>
  <c r="J954"/>
  <c r="L954"/>
  <c r="E956" l="1"/>
  <c r="M955"/>
  <c r="N955"/>
  <c r="O955"/>
  <c r="K955"/>
  <c r="J955"/>
  <c r="L955"/>
  <c r="E957" l="1"/>
  <c r="N956"/>
  <c r="O956"/>
  <c r="M956"/>
  <c r="K956"/>
  <c r="J956"/>
  <c r="L956"/>
  <c r="E958" l="1"/>
  <c r="M957"/>
  <c r="N957"/>
  <c r="O957"/>
  <c r="K957"/>
  <c r="J957"/>
  <c r="L957"/>
  <c r="E959" l="1"/>
  <c r="N958"/>
  <c r="O958"/>
  <c r="M958"/>
  <c r="J958"/>
  <c r="K958"/>
  <c r="L958"/>
  <c r="E960" l="1"/>
  <c r="M959"/>
  <c r="N959"/>
  <c r="O959"/>
  <c r="K959"/>
  <c r="J959"/>
  <c r="L959"/>
  <c r="E961" l="1"/>
  <c r="N960"/>
  <c r="O960"/>
  <c r="M960"/>
  <c r="K960"/>
  <c r="J960"/>
  <c r="L960"/>
  <c r="E962" l="1"/>
  <c r="M961"/>
  <c r="N961"/>
  <c r="O961"/>
  <c r="K961"/>
  <c r="J961"/>
  <c r="L961"/>
  <c r="E963" l="1"/>
  <c r="N962"/>
  <c r="O962"/>
  <c r="M962"/>
  <c r="K962"/>
  <c r="J962"/>
  <c r="L962"/>
  <c r="E964" l="1"/>
  <c r="M963"/>
  <c r="N963"/>
  <c r="O963"/>
  <c r="K963"/>
  <c r="J963"/>
  <c r="L963"/>
  <c r="E965" l="1"/>
  <c r="N964"/>
  <c r="O964"/>
  <c r="M964"/>
  <c r="K964"/>
  <c r="J964"/>
  <c r="L964"/>
  <c r="E966" l="1"/>
  <c r="M965"/>
  <c r="N965"/>
  <c r="O965"/>
  <c r="K965"/>
  <c r="J965"/>
  <c r="L965"/>
  <c r="E967" l="1"/>
  <c r="N966"/>
  <c r="O966"/>
  <c r="M966"/>
  <c r="K966"/>
  <c r="J966"/>
  <c r="L966"/>
  <c r="E968" l="1"/>
  <c r="M967"/>
  <c r="N967"/>
  <c r="O967"/>
  <c r="K967"/>
  <c r="J967"/>
  <c r="L967"/>
  <c r="E969" l="1"/>
  <c r="N968"/>
  <c r="O968"/>
  <c r="M968"/>
  <c r="K968"/>
  <c r="J968"/>
  <c r="L968"/>
  <c r="E970" l="1"/>
  <c r="M969"/>
  <c r="N969"/>
  <c r="O969"/>
  <c r="K969"/>
  <c r="J969"/>
  <c r="L969"/>
  <c r="E971" l="1"/>
  <c r="N970"/>
  <c r="O970"/>
  <c r="M970"/>
  <c r="K970"/>
  <c r="J970"/>
  <c r="L970"/>
  <c r="E972" l="1"/>
  <c r="M971"/>
  <c r="N971"/>
  <c r="O971"/>
  <c r="K971"/>
  <c r="J971"/>
  <c r="L971"/>
  <c r="E973" l="1"/>
  <c r="N972"/>
  <c r="O972"/>
  <c r="M972"/>
  <c r="K972"/>
  <c r="J972"/>
  <c r="L972"/>
  <c r="E974" l="1"/>
  <c r="M973"/>
  <c r="N973"/>
  <c r="O973"/>
  <c r="K973"/>
  <c r="J973"/>
  <c r="L973"/>
  <c r="E975" l="1"/>
  <c r="N974"/>
  <c r="O974"/>
  <c r="M974"/>
  <c r="J974"/>
  <c r="L974"/>
  <c r="K974"/>
  <c r="E976" l="1"/>
  <c r="M975"/>
  <c r="N975"/>
  <c r="O975"/>
  <c r="J975"/>
  <c r="L975"/>
  <c r="K975"/>
  <c r="E977" l="1"/>
  <c r="N976"/>
  <c r="O976"/>
  <c r="M976"/>
  <c r="J976"/>
  <c r="L976"/>
  <c r="K976"/>
  <c r="E978" l="1"/>
  <c r="M977"/>
  <c r="N977"/>
  <c r="O977"/>
  <c r="K977"/>
  <c r="J977"/>
  <c r="L977"/>
  <c r="E979" l="1"/>
  <c r="N978"/>
  <c r="O978"/>
  <c r="M978"/>
  <c r="K978"/>
  <c r="J978"/>
  <c r="L978"/>
  <c r="E980" l="1"/>
  <c r="M979"/>
  <c r="N979"/>
  <c r="O979"/>
  <c r="J979"/>
  <c r="L979"/>
  <c r="K979"/>
  <c r="E981" l="1"/>
  <c r="N980"/>
  <c r="O980"/>
  <c r="M980"/>
  <c r="L980"/>
  <c r="K980"/>
  <c r="J980"/>
  <c r="E982" l="1"/>
  <c r="M981"/>
  <c r="N981"/>
  <c r="O981"/>
  <c r="J981"/>
  <c r="L981"/>
  <c r="K981"/>
  <c r="E983" l="1"/>
  <c r="N982"/>
  <c r="O982"/>
  <c r="M982"/>
  <c r="J982"/>
  <c r="L982"/>
  <c r="K982"/>
  <c r="E984" l="1"/>
  <c r="M983"/>
  <c r="N983"/>
  <c r="O983"/>
  <c r="J983"/>
  <c r="L983"/>
  <c r="K983"/>
  <c r="E985" l="1"/>
  <c r="N984"/>
  <c r="O984"/>
  <c r="M984"/>
  <c r="J984"/>
  <c r="K984"/>
  <c r="L984"/>
  <c r="E986" l="1"/>
  <c r="M985"/>
  <c r="N985"/>
  <c r="O985"/>
  <c r="J985"/>
  <c r="L985"/>
  <c r="K985"/>
  <c r="E987" l="1"/>
  <c r="N986"/>
  <c r="O986"/>
  <c r="M986"/>
  <c r="K986"/>
  <c r="J986"/>
  <c r="L986"/>
  <c r="E988" l="1"/>
  <c r="M987"/>
  <c r="N987"/>
  <c r="O987"/>
  <c r="K987"/>
  <c r="J987"/>
  <c r="L987"/>
  <c r="E989" l="1"/>
  <c r="N988"/>
  <c r="O988"/>
  <c r="M988"/>
  <c r="K988"/>
  <c r="J988"/>
  <c r="L988"/>
  <c r="E990" l="1"/>
  <c r="M989"/>
  <c r="N989"/>
  <c r="O989"/>
  <c r="K989"/>
  <c r="J989"/>
  <c r="L989"/>
  <c r="E991" l="1"/>
  <c r="N990"/>
  <c r="O990"/>
  <c r="M990"/>
  <c r="K990"/>
  <c r="J990"/>
  <c r="L990"/>
  <c r="E992" l="1"/>
  <c r="M991"/>
  <c r="N991"/>
  <c r="O991"/>
  <c r="K991"/>
  <c r="J991"/>
  <c r="L991"/>
  <c r="E993" l="1"/>
  <c r="N992"/>
  <c r="O992"/>
  <c r="M992"/>
  <c r="K992"/>
  <c r="J992"/>
  <c r="L992"/>
  <c r="E994" l="1"/>
  <c r="M993"/>
  <c r="N993"/>
  <c r="O993"/>
  <c r="K993"/>
  <c r="J993"/>
  <c r="L993"/>
  <c r="E995" l="1"/>
  <c r="N994"/>
  <c r="O994"/>
  <c r="M994"/>
  <c r="J994"/>
  <c r="K994"/>
  <c r="L994"/>
  <c r="E996" l="1"/>
  <c r="M995"/>
  <c r="N995"/>
  <c r="O995"/>
  <c r="K995"/>
  <c r="J995"/>
  <c r="L995"/>
  <c r="E997" l="1"/>
  <c r="N996"/>
  <c r="O996"/>
  <c r="M996"/>
  <c r="J996"/>
  <c r="L996"/>
  <c r="K996"/>
  <c r="E998" l="1"/>
  <c r="M997"/>
  <c r="N997"/>
  <c r="O997"/>
  <c r="J997"/>
  <c r="K997"/>
  <c r="L997"/>
  <c r="E999" l="1"/>
  <c r="N998"/>
  <c r="O998"/>
  <c r="M998"/>
  <c r="L998"/>
  <c r="K998"/>
  <c r="J998"/>
  <c r="E1000" l="1"/>
  <c r="M999"/>
  <c r="N999"/>
  <c r="O999"/>
  <c r="J999"/>
  <c r="L999"/>
  <c r="K999"/>
  <c r="E1001" l="1"/>
  <c r="N1000"/>
  <c r="O1000"/>
  <c r="M1000"/>
  <c r="J1000"/>
  <c r="K1000"/>
  <c r="L1000"/>
  <c r="E1002" l="1"/>
  <c r="M1001"/>
  <c r="N1001"/>
  <c r="O1001"/>
  <c r="K1001"/>
  <c r="J1001"/>
  <c r="L1001"/>
  <c r="E1003" l="1"/>
  <c r="N1002"/>
  <c r="O1002"/>
  <c r="M1002"/>
  <c r="J1002"/>
  <c r="L1002"/>
  <c r="K1002"/>
  <c r="E1004" l="1"/>
  <c r="M1003"/>
  <c r="N1003"/>
  <c r="O1003"/>
  <c r="J1003"/>
  <c r="L1003"/>
  <c r="K1003"/>
  <c r="E1005" l="1"/>
  <c r="N1004"/>
  <c r="O1004"/>
  <c r="M1004"/>
  <c r="K1004"/>
  <c r="J1004"/>
  <c r="L1004"/>
  <c r="E1006" l="1"/>
  <c r="M1005"/>
  <c r="N1005"/>
  <c r="O1005"/>
  <c r="K1005"/>
  <c r="J1005"/>
  <c r="L1005"/>
  <c r="E1007" l="1"/>
  <c r="N1006"/>
  <c r="O1006"/>
  <c r="M1006"/>
  <c r="K1006"/>
  <c r="J1006"/>
  <c r="L1006"/>
  <c r="E1008" l="1"/>
  <c r="M1007"/>
  <c r="N1007"/>
  <c r="O1007"/>
  <c r="K1007"/>
  <c r="J1007"/>
  <c r="L1007"/>
  <c r="E1009" l="1"/>
  <c r="N1008"/>
  <c r="O1008"/>
  <c r="M1008"/>
  <c r="J1008"/>
  <c r="K1008"/>
  <c r="L1008"/>
  <c r="E1010" l="1"/>
  <c r="M1009"/>
  <c r="N1009"/>
  <c r="O1009"/>
  <c r="J1009"/>
  <c r="L1009"/>
  <c r="K1009"/>
  <c r="E1011" l="1"/>
  <c r="N1010"/>
  <c r="O1010"/>
  <c r="M1010"/>
  <c r="J1010"/>
  <c r="L1010"/>
  <c r="K1010"/>
  <c r="E1012" l="1"/>
  <c r="M1011"/>
  <c r="N1011"/>
  <c r="O1011"/>
  <c r="J1011"/>
  <c r="L1011"/>
  <c r="K1011"/>
  <c r="E1013" l="1"/>
  <c r="N1012"/>
  <c r="O1012"/>
  <c r="M1012"/>
  <c r="K1012"/>
  <c r="J1012"/>
  <c r="L1012"/>
  <c r="E1014" l="1"/>
  <c r="M1013"/>
  <c r="N1013"/>
  <c r="O1013"/>
  <c r="J1013"/>
  <c r="L1013"/>
  <c r="K1013"/>
  <c r="E1015" l="1"/>
  <c r="N1014"/>
  <c r="O1014"/>
  <c r="M1014"/>
  <c r="J1014"/>
  <c r="L1014"/>
  <c r="K1014"/>
  <c r="E1016" l="1"/>
  <c r="M1015"/>
  <c r="N1015"/>
  <c r="O1015"/>
  <c r="J1015"/>
  <c r="L1015"/>
  <c r="K1015"/>
  <c r="E1017" l="1"/>
  <c r="N1016"/>
  <c r="O1016"/>
  <c r="M1016"/>
  <c r="K1016"/>
  <c r="J1016"/>
  <c r="L1016"/>
  <c r="E1018" l="1"/>
  <c r="M1017"/>
  <c r="N1017"/>
  <c r="O1017"/>
  <c r="J1017"/>
  <c r="L1017"/>
  <c r="K1017"/>
  <c r="E1019" l="1"/>
  <c r="N1018"/>
  <c r="O1018"/>
  <c r="M1018"/>
  <c r="J1018"/>
  <c r="L1018"/>
  <c r="K1018"/>
  <c r="E1020" l="1"/>
  <c r="M1019"/>
  <c r="N1019"/>
  <c r="O1019"/>
  <c r="J1019"/>
  <c r="L1019"/>
  <c r="K1019"/>
  <c r="E1021" l="1"/>
  <c r="N1020"/>
  <c r="O1020"/>
  <c r="M1020"/>
  <c r="J1020"/>
  <c r="L1020"/>
  <c r="K1020"/>
  <c r="E1022" l="1"/>
  <c r="M1021"/>
  <c r="N1021"/>
  <c r="O1021"/>
  <c r="J1021"/>
  <c r="L1021"/>
  <c r="K1021"/>
  <c r="E1023" l="1"/>
  <c r="N1022"/>
  <c r="O1022"/>
  <c r="M1022"/>
  <c r="J1022"/>
  <c r="L1022"/>
  <c r="K1022"/>
  <c r="E1024" l="1"/>
  <c r="M1023"/>
  <c r="N1023"/>
  <c r="O1023"/>
  <c r="J1023"/>
  <c r="L1023"/>
  <c r="K1023"/>
  <c r="E1025" l="1"/>
  <c r="N1024"/>
  <c r="O1024"/>
  <c r="M1024"/>
  <c r="J1024"/>
  <c r="L1024"/>
  <c r="K1024"/>
  <c r="E1026" l="1"/>
  <c r="M1025"/>
  <c r="N1025"/>
  <c r="O1025"/>
  <c r="J1025"/>
  <c r="L1025"/>
  <c r="K1025"/>
  <c r="E1027" l="1"/>
  <c r="N1026"/>
  <c r="O1026"/>
  <c r="M1026"/>
  <c r="J1026"/>
  <c r="L1026"/>
  <c r="K1026"/>
  <c r="E1028" l="1"/>
  <c r="M1027"/>
  <c r="N1027"/>
  <c r="O1027"/>
  <c r="J1027"/>
  <c r="L1027"/>
  <c r="K1027"/>
  <c r="E1029" l="1"/>
  <c r="N1028"/>
  <c r="O1028"/>
  <c r="M1028"/>
  <c r="J1028"/>
  <c r="L1028"/>
  <c r="K1028"/>
  <c r="E1030" l="1"/>
  <c r="M1029"/>
  <c r="N1029"/>
  <c r="O1029"/>
  <c r="J1029"/>
  <c r="L1029"/>
  <c r="K1029"/>
  <c r="E1031" l="1"/>
  <c r="N1030"/>
  <c r="O1030"/>
  <c r="M1030"/>
  <c r="J1030"/>
  <c r="L1030"/>
  <c r="K1030"/>
  <c r="E1032" l="1"/>
  <c r="M1031"/>
  <c r="N1031"/>
  <c r="O1031"/>
  <c r="K1031"/>
  <c r="J1031"/>
  <c r="L1031"/>
  <c r="E1033" l="1"/>
  <c r="M1032"/>
  <c r="N1032"/>
  <c r="O1032"/>
  <c r="K1032"/>
  <c r="J1032"/>
  <c r="L1032"/>
  <c r="E1034" l="1"/>
  <c r="M1033"/>
  <c r="N1033"/>
  <c r="O1033"/>
  <c r="J1033"/>
  <c r="L1033"/>
  <c r="K1033"/>
  <c r="E1035" l="1"/>
  <c r="N1034"/>
  <c r="M1034"/>
  <c r="O1034"/>
  <c r="J1034"/>
  <c r="K1034"/>
  <c r="L1034"/>
  <c r="E1036" l="1"/>
  <c r="M1035"/>
  <c r="N1035"/>
  <c r="O1035"/>
  <c r="J1035"/>
  <c r="L1035"/>
  <c r="K1035"/>
  <c r="E1037" l="1"/>
  <c r="M1036"/>
  <c r="N1036"/>
  <c r="O1036"/>
  <c r="J1036"/>
  <c r="L1036"/>
  <c r="K1036"/>
  <c r="E1038" l="1"/>
  <c r="M1037"/>
  <c r="N1037"/>
  <c r="O1037"/>
  <c r="J1037"/>
  <c r="L1037"/>
  <c r="K1037"/>
  <c r="E1039" l="1"/>
  <c r="N1038"/>
  <c r="M1038"/>
  <c r="O1038"/>
  <c r="J1038"/>
  <c r="L1038"/>
  <c r="K1038"/>
  <c r="E1040" l="1"/>
  <c r="M1039"/>
  <c r="N1039"/>
  <c r="O1039"/>
  <c r="J1039"/>
  <c r="L1039"/>
  <c r="K1039"/>
  <c r="E1041" l="1"/>
  <c r="M1040"/>
  <c r="N1040"/>
  <c r="O1040"/>
  <c r="J1040"/>
  <c r="L1040"/>
  <c r="K1040"/>
  <c r="E1042" l="1"/>
  <c r="M1041"/>
  <c r="N1041"/>
  <c r="O1041"/>
  <c r="J1041"/>
  <c r="L1041"/>
  <c r="K1041"/>
  <c r="E1043" l="1"/>
  <c r="N1042"/>
  <c r="M1042"/>
  <c r="O1042"/>
  <c r="J1042"/>
  <c r="L1042"/>
  <c r="K1042"/>
  <c r="E1044" l="1"/>
  <c r="M1043"/>
  <c r="N1043"/>
  <c r="O1043"/>
  <c r="J1043"/>
  <c r="L1043"/>
  <c r="K1043"/>
  <c r="E1045" l="1"/>
  <c r="M1044"/>
  <c r="N1044"/>
  <c r="O1044"/>
  <c r="J1044"/>
  <c r="L1044"/>
  <c r="K1044"/>
  <c r="E1046" l="1"/>
  <c r="M1045"/>
  <c r="N1045"/>
  <c r="O1045"/>
  <c r="J1045"/>
  <c r="L1045"/>
  <c r="K1045"/>
  <c r="E1047" l="1"/>
  <c r="N1046"/>
  <c r="M1046"/>
  <c r="O1046"/>
  <c r="J1046"/>
  <c r="L1046"/>
  <c r="K1046"/>
  <c r="E1048" l="1"/>
  <c r="M1047"/>
  <c r="N1047"/>
  <c r="O1047"/>
  <c r="K1047"/>
  <c r="J1047"/>
  <c r="L1047"/>
  <c r="E1049" l="1"/>
  <c r="M1048"/>
  <c r="N1048"/>
  <c r="O1048"/>
  <c r="J1048"/>
  <c r="L1048"/>
  <c r="K1048"/>
  <c r="E1050" l="1"/>
  <c r="M1049"/>
  <c r="N1049"/>
  <c r="O1049"/>
  <c r="J1049"/>
  <c r="L1049"/>
  <c r="K1049"/>
  <c r="E1051" l="1"/>
  <c r="N1050"/>
  <c r="M1050"/>
  <c r="O1050"/>
  <c r="J1050"/>
  <c r="L1050"/>
  <c r="K1050"/>
  <c r="E1052" l="1"/>
  <c r="M1051"/>
  <c r="N1051"/>
  <c r="O1051"/>
  <c r="J1051"/>
  <c r="L1051"/>
  <c r="K1051"/>
  <c r="E1053" l="1"/>
  <c r="M1052"/>
  <c r="N1052"/>
  <c r="O1052"/>
  <c r="J1052"/>
  <c r="L1052"/>
  <c r="K1052"/>
  <c r="E1054" l="1"/>
  <c r="M1053"/>
  <c r="N1053"/>
  <c r="O1053"/>
  <c r="J1053"/>
  <c r="L1053"/>
  <c r="K1053"/>
  <c r="E1055" l="1"/>
  <c r="N1054"/>
  <c r="M1054"/>
  <c r="O1054"/>
  <c r="J1054"/>
  <c r="L1054"/>
  <c r="K1054"/>
  <c r="E1056" l="1"/>
  <c r="M1055"/>
  <c r="N1055"/>
  <c r="O1055"/>
  <c r="J1055"/>
  <c r="L1055"/>
  <c r="K1055"/>
  <c r="E1057" l="1"/>
  <c r="M1056"/>
  <c r="N1056"/>
  <c r="O1056"/>
  <c r="K1056"/>
  <c r="J1056"/>
  <c r="L1056"/>
  <c r="E1058" l="1"/>
  <c r="M1057"/>
  <c r="N1057"/>
  <c r="O1057"/>
  <c r="K1057"/>
  <c r="J1057"/>
  <c r="L1057"/>
  <c r="E1059" l="1"/>
  <c r="N1058"/>
  <c r="M1058"/>
  <c r="O1058"/>
  <c r="J1058"/>
  <c r="K1058"/>
  <c r="L1058"/>
  <c r="E1060" l="1"/>
  <c r="M1059"/>
  <c r="N1059"/>
  <c r="O1059"/>
  <c r="J1059"/>
  <c r="L1059"/>
  <c r="K1059"/>
  <c r="E1061" l="1"/>
  <c r="M1060"/>
  <c r="N1060"/>
  <c r="O1060"/>
  <c r="J1060"/>
  <c r="L1060"/>
  <c r="K1060"/>
  <c r="E1062" l="1"/>
  <c r="M1061"/>
  <c r="N1061"/>
  <c r="O1061"/>
  <c r="J1061"/>
  <c r="L1061"/>
  <c r="K1061"/>
  <c r="E1063" l="1"/>
  <c r="N1062"/>
  <c r="M1062"/>
  <c r="O1062"/>
  <c r="J1062"/>
  <c r="L1062"/>
  <c r="K1062"/>
  <c r="E1064" l="1"/>
  <c r="M1063"/>
  <c r="N1063"/>
  <c r="O1063"/>
  <c r="J1063"/>
  <c r="L1063"/>
  <c r="K1063"/>
  <c r="E1065" l="1"/>
  <c r="M1064"/>
  <c r="N1064"/>
  <c r="O1064"/>
  <c r="J1064"/>
  <c r="L1064"/>
  <c r="K1064"/>
  <c r="E1066" l="1"/>
  <c r="M1065"/>
  <c r="N1065"/>
  <c r="O1065"/>
  <c r="K1065"/>
  <c r="J1065"/>
  <c r="L1065"/>
  <c r="E1067" l="1"/>
  <c r="N1066"/>
  <c r="M1066"/>
  <c r="O1066"/>
  <c r="J1066"/>
  <c r="L1066"/>
  <c r="K1066"/>
  <c r="E1068" l="1"/>
  <c r="M1067"/>
  <c r="N1067"/>
  <c r="O1067"/>
  <c r="J1067"/>
  <c r="L1067"/>
  <c r="K1067"/>
  <c r="E1069" l="1"/>
  <c r="M1068"/>
  <c r="N1068"/>
  <c r="O1068"/>
  <c r="J1068"/>
  <c r="L1068"/>
  <c r="K1068"/>
  <c r="E1070" l="1"/>
  <c r="M1069"/>
  <c r="N1069"/>
  <c r="O1069"/>
  <c r="J1069"/>
  <c r="L1069"/>
  <c r="K1069"/>
  <c r="E1071" l="1"/>
  <c r="N1070"/>
  <c r="M1070"/>
  <c r="O1070"/>
  <c r="J1070"/>
  <c r="L1070"/>
  <c r="K1070"/>
  <c r="E1072" l="1"/>
  <c r="N1071"/>
  <c r="O1071"/>
  <c r="M1071"/>
  <c r="J1071"/>
  <c r="L1071"/>
  <c r="K1071"/>
  <c r="E1073" l="1"/>
  <c r="O1072"/>
  <c r="M1072"/>
  <c r="N1072"/>
  <c r="J1072"/>
  <c r="L1072"/>
  <c r="K1072"/>
  <c r="E1074" l="1"/>
  <c r="N1073"/>
  <c r="O1073"/>
  <c r="M1073"/>
  <c r="J1073"/>
  <c r="L1073"/>
  <c r="K1073"/>
  <c r="E1075" l="1"/>
  <c r="M1074"/>
  <c r="N1074"/>
  <c r="O1074"/>
  <c r="K1074"/>
  <c r="J1074"/>
  <c r="L1074"/>
  <c r="E1076" l="1"/>
  <c r="N1075"/>
  <c r="O1075"/>
  <c r="M1075"/>
  <c r="J1075"/>
  <c r="L1075"/>
  <c r="K1075"/>
  <c r="E1077" l="1"/>
  <c r="O1076"/>
  <c r="M1076"/>
  <c r="N1076"/>
  <c r="J1076"/>
  <c r="L1076"/>
  <c r="K1076"/>
  <c r="E1078" l="1"/>
  <c r="N1077"/>
  <c r="O1077"/>
  <c r="M1077"/>
  <c r="J1077"/>
  <c r="L1077"/>
  <c r="K1077"/>
  <c r="E1079" l="1"/>
  <c r="M1078"/>
  <c r="N1078"/>
  <c r="O1078"/>
  <c r="J1078"/>
  <c r="L1078"/>
  <c r="K1078"/>
  <c r="E1080" l="1"/>
  <c r="N1079"/>
  <c r="O1079"/>
  <c r="M1079"/>
  <c r="J1079"/>
  <c r="L1079"/>
  <c r="K1079"/>
  <c r="E1081" l="1"/>
  <c r="O1080"/>
  <c r="M1080"/>
  <c r="N1080"/>
  <c r="J1080"/>
  <c r="L1080"/>
  <c r="K1080"/>
  <c r="E1082" l="1"/>
  <c r="N1081"/>
  <c r="O1081"/>
  <c r="M1081"/>
  <c r="K1081"/>
  <c r="J1081"/>
  <c r="L1081"/>
  <c r="E1083" l="1"/>
  <c r="M1082"/>
  <c r="N1082"/>
  <c r="O1082"/>
  <c r="J1082"/>
  <c r="L1082"/>
  <c r="K1082"/>
  <c r="E1084" l="1"/>
  <c r="N1083"/>
  <c r="O1083"/>
  <c r="M1083"/>
  <c r="K1083"/>
  <c r="J1083"/>
  <c r="L1083"/>
  <c r="E1085" l="1"/>
  <c r="O1084"/>
  <c r="M1084"/>
  <c r="N1084"/>
  <c r="J1084"/>
  <c r="L1084"/>
  <c r="K1084"/>
  <c r="E1086" l="1"/>
  <c r="N1085"/>
  <c r="O1085"/>
  <c r="M1085"/>
  <c r="J1085"/>
  <c r="L1085"/>
  <c r="K1085"/>
  <c r="E1087" l="1"/>
  <c r="M1086"/>
  <c r="N1086"/>
  <c r="O1086"/>
  <c r="J1086"/>
  <c r="L1086"/>
  <c r="K1086"/>
  <c r="E1088" l="1"/>
  <c r="N1087"/>
  <c r="O1087"/>
  <c r="M1087"/>
  <c r="J1087"/>
  <c r="L1087"/>
  <c r="K1087"/>
  <c r="E1089" l="1"/>
  <c r="O1088"/>
  <c r="M1088"/>
  <c r="N1088"/>
  <c r="J1088"/>
  <c r="L1088"/>
  <c r="K1088"/>
  <c r="E1090" l="1"/>
  <c r="N1089"/>
  <c r="O1089"/>
  <c r="M1089"/>
  <c r="J1089"/>
  <c r="L1089"/>
  <c r="K1089"/>
  <c r="E1091" l="1"/>
  <c r="M1090"/>
  <c r="N1090"/>
  <c r="O1090"/>
  <c r="J1090"/>
  <c r="K1090"/>
  <c r="L1090"/>
  <c r="N1091" l="1"/>
  <c r="O1091"/>
  <c r="M1091"/>
  <c r="L1091"/>
  <c r="E1092"/>
  <c r="J1091"/>
  <c r="K1091"/>
  <c r="E1093" l="1"/>
  <c r="O1092"/>
  <c r="M1092"/>
  <c r="N1092"/>
  <c r="K1092"/>
  <c r="J1092"/>
  <c r="L1092"/>
  <c r="E1094" l="1"/>
  <c r="N1093"/>
  <c r="O1093"/>
  <c r="M1093"/>
  <c r="J1093"/>
  <c r="L1093"/>
  <c r="K1093"/>
  <c r="E1095" l="1"/>
  <c r="M1094"/>
  <c r="N1094"/>
  <c r="O1094"/>
  <c r="J1094"/>
  <c r="L1094"/>
  <c r="K1094"/>
  <c r="E1096" l="1"/>
  <c r="N1095"/>
  <c r="O1095"/>
  <c r="M1095"/>
  <c r="J1095"/>
  <c r="K1095"/>
  <c r="L1095"/>
  <c r="E1097" l="1"/>
  <c r="O1096"/>
  <c r="M1096"/>
  <c r="N1096"/>
  <c r="J1096"/>
  <c r="L1096"/>
  <c r="K1096"/>
  <c r="E1098" l="1"/>
  <c r="N1097"/>
  <c r="O1097"/>
  <c r="M1097"/>
  <c r="J1097"/>
  <c r="L1097"/>
  <c r="K1097"/>
  <c r="E1099" l="1"/>
  <c r="M1098"/>
  <c r="N1098"/>
  <c r="O1098"/>
  <c r="K1098"/>
  <c r="J1098"/>
  <c r="L1098"/>
  <c r="E1100" l="1"/>
  <c r="N1099"/>
  <c r="O1099"/>
  <c r="M1099"/>
  <c r="J1099"/>
  <c r="L1099"/>
  <c r="K1099"/>
  <c r="E1101" l="1"/>
  <c r="O1100"/>
  <c r="M1100"/>
  <c r="N1100"/>
  <c r="J1100"/>
  <c r="L1100"/>
  <c r="K1100"/>
  <c r="E1102" l="1"/>
  <c r="N1101"/>
  <c r="O1101"/>
  <c r="M1101"/>
  <c r="K1101"/>
  <c r="J1101"/>
  <c r="L1101"/>
  <c r="E1103" l="1"/>
  <c r="M1102"/>
  <c r="N1102"/>
  <c r="O1102"/>
  <c r="J1102"/>
  <c r="L1102"/>
  <c r="K1102"/>
  <c r="E1104" l="1"/>
  <c r="N1103"/>
  <c r="O1103"/>
  <c r="M1103"/>
  <c r="J1103"/>
  <c r="L1103"/>
  <c r="K1103"/>
  <c r="E1105" l="1"/>
  <c r="O1104"/>
  <c r="M1104"/>
  <c r="N1104"/>
  <c r="J1104"/>
  <c r="L1104"/>
  <c r="K1104"/>
  <c r="E1106" l="1"/>
  <c r="N1105"/>
  <c r="O1105"/>
  <c r="M1105"/>
  <c r="J1105"/>
  <c r="K1105"/>
  <c r="L1105"/>
  <c r="E1107" l="1"/>
  <c r="M1106"/>
  <c r="N1106"/>
  <c r="O1106"/>
  <c r="J1106"/>
  <c r="L1106"/>
  <c r="K1106"/>
  <c r="E1108" l="1"/>
  <c r="N1107"/>
  <c r="O1107"/>
  <c r="M1107"/>
  <c r="J1107"/>
  <c r="L1107"/>
  <c r="K1107"/>
  <c r="E1109" l="1"/>
  <c r="O1108"/>
  <c r="M1108"/>
  <c r="N1108"/>
  <c r="J1108"/>
  <c r="L1108"/>
  <c r="K1108"/>
  <c r="E1110" l="1"/>
  <c r="N1109"/>
  <c r="O1109"/>
  <c r="M1109"/>
  <c r="J1109"/>
  <c r="L1109"/>
  <c r="K1109"/>
  <c r="E1111" l="1"/>
  <c r="M1110"/>
  <c r="N1110"/>
  <c r="O1110"/>
  <c r="J1110"/>
  <c r="L1110"/>
  <c r="K1110"/>
  <c r="E1112" l="1"/>
  <c r="N1111"/>
  <c r="O1111"/>
  <c r="M1111"/>
  <c r="J1111"/>
  <c r="L1111"/>
  <c r="K1111"/>
  <c r="E1113" l="1"/>
  <c r="O1112"/>
  <c r="M1112"/>
  <c r="N1112"/>
  <c r="J1112"/>
  <c r="L1112"/>
  <c r="K1112"/>
  <c r="E1114" l="1"/>
  <c r="N1113"/>
  <c r="O1113"/>
  <c r="M1113"/>
  <c r="J1113"/>
  <c r="L1113"/>
  <c r="K1113"/>
  <c r="E1115" l="1"/>
  <c r="M1114"/>
  <c r="N1114"/>
  <c r="O1114"/>
  <c r="J1114"/>
  <c r="L1114"/>
  <c r="K1114"/>
  <c r="E1116" l="1"/>
  <c r="N1115"/>
  <c r="O1115"/>
  <c r="M1115"/>
  <c r="J1115"/>
  <c r="L1115"/>
  <c r="K1115"/>
  <c r="E1117" l="1"/>
  <c r="O1116"/>
  <c r="M1116"/>
  <c r="N1116"/>
  <c r="J1116"/>
  <c r="L1116"/>
  <c r="K1116"/>
  <c r="E1118" l="1"/>
  <c r="N1117"/>
  <c r="O1117"/>
  <c r="M1117"/>
  <c r="J1117"/>
  <c r="L1117"/>
  <c r="K1117"/>
  <c r="E1119" l="1"/>
  <c r="M1118"/>
  <c r="N1118"/>
  <c r="O1118"/>
  <c r="J1118"/>
  <c r="L1118"/>
  <c r="K1118"/>
  <c r="E1120" l="1"/>
  <c r="N1119"/>
  <c r="O1119"/>
  <c r="M1119"/>
  <c r="K1119"/>
  <c r="J1119"/>
  <c r="L1119"/>
  <c r="E1121" l="1"/>
  <c r="O1120"/>
  <c r="M1120"/>
  <c r="N1120"/>
  <c r="J1120"/>
  <c r="L1120"/>
  <c r="K1120"/>
  <c r="E1122" l="1"/>
  <c r="N1121"/>
  <c r="O1121"/>
  <c r="M1121"/>
  <c r="K1121"/>
  <c r="J1121"/>
  <c r="L1121"/>
  <c r="E1123" l="1"/>
  <c r="M1122"/>
  <c r="N1122"/>
  <c r="O1122"/>
  <c r="J1122"/>
  <c r="L1122"/>
  <c r="K1122"/>
  <c r="E1124" l="1"/>
  <c r="N1123"/>
  <c r="O1123"/>
  <c r="M1123"/>
  <c r="J1123"/>
  <c r="L1123"/>
  <c r="K1123"/>
  <c r="E1125" l="1"/>
  <c r="O1124"/>
  <c r="M1124"/>
  <c r="N1124"/>
  <c r="J1124"/>
  <c r="L1124"/>
  <c r="K1124"/>
  <c r="E1126" l="1"/>
  <c r="N1125"/>
  <c r="O1125"/>
  <c r="M1125"/>
  <c r="J1125"/>
  <c r="L1125"/>
  <c r="K1125"/>
  <c r="E1127" l="1"/>
  <c r="M1126"/>
  <c r="N1126"/>
  <c r="O1126"/>
  <c r="J1126"/>
  <c r="L1126"/>
  <c r="K1126"/>
  <c r="E1128" l="1"/>
  <c r="N1127"/>
  <c r="O1127"/>
  <c r="M1127"/>
  <c r="J1127"/>
  <c r="L1127"/>
  <c r="K1127"/>
  <c r="E1129" l="1"/>
  <c r="O1128"/>
  <c r="M1128"/>
  <c r="N1128"/>
  <c r="J1128"/>
  <c r="L1128"/>
  <c r="K1128"/>
  <c r="E1130" l="1"/>
  <c r="N1129"/>
  <c r="O1129"/>
  <c r="M1129"/>
  <c r="J1129"/>
  <c r="L1129"/>
  <c r="K1129"/>
  <c r="E1131" l="1"/>
  <c r="M1130"/>
  <c r="N1130"/>
  <c r="O1130"/>
  <c r="J1130"/>
  <c r="L1130"/>
  <c r="K1130"/>
  <c r="E1132" l="1"/>
  <c r="N1131"/>
  <c r="O1131"/>
  <c r="M1131"/>
  <c r="J1131"/>
  <c r="L1131"/>
  <c r="K1131"/>
  <c r="E1133" l="1"/>
  <c r="O1132"/>
  <c r="M1132"/>
  <c r="N1132"/>
  <c r="J1132"/>
  <c r="L1132"/>
  <c r="K1132"/>
  <c r="E1134" l="1"/>
  <c r="N1133"/>
  <c r="O1133"/>
  <c r="M1133"/>
  <c r="L1133"/>
  <c r="K1133"/>
  <c r="J1133"/>
  <c r="E1135" l="1"/>
  <c r="M1134"/>
  <c r="N1134"/>
  <c r="O1134"/>
  <c r="J1134"/>
  <c r="L1134"/>
  <c r="K1134"/>
  <c r="E1136" l="1"/>
  <c r="N1135"/>
  <c r="O1135"/>
  <c r="M1135"/>
  <c r="K1135"/>
  <c r="J1135"/>
  <c r="L1135"/>
  <c r="E1137" l="1"/>
  <c r="O1136"/>
  <c r="M1136"/>
  <c r="N1136"/>
  <c r="J1136"/>
  <c r="L1136"/>
  <c r="K1136"/>
  <c r="E1138" l="1"/>
  <c r="N1137"/>
  <c r="M1137"/>
  <c r="O1137"/>
  <c r="K1137"/>
  <c r="J1137"/>
  <c r="L1137"/>
  <c r="E1139" l="1"/>
  <c r="O1138"/>
  <c r="N1138"/>
  <c r="M1138"/>
  <c r="J1138"/>
  <c r="L1138"/>
  <c r="K1138"/>
  <c r="L1140"/>
  <c r="E1140" l="1"/>
  <c r="M1139"/>
  <c r="N1139"/>
  <c r="O1139"/>
  <c r="K1139"/>
  <c r="J1139"/>
  <c r="L1139"/>
  <c r="L1141"/>
  <c r="E1141" l="1"/>
  <c r="J1140"/>
  <c r="K1140"/>
  <c r="L1142"/>
  <c r="E1142" l="1"/>
  <c r="J1141"/>
  <c r="K1141"/>
  <c r="L1143"/>
  <c r="E1143" l="1"/>
  <c r="J1142"/>
  <c r="K1142"/>
  <c r="L1144"/>
  <c r="E1144" l="1"/>
  <c r="J1143"/>
  <c r="K1143"/>
  <c r="L1145"/>
  <c r="E1145" l="1"/>
  <c r="J1144"/>
  <c r="K1144"/>
  <c r="L1146"/>
  <c r="E1146" l="1"/>
  <c r="J1145"/>
  <c r="K1145"/>
  <c r="L1147"/>
  <c r="E1147" l="1"/>
  <c r="J1146"/>
  <c r="K1146"/>
  <c r="L1148"/>
  <c r="E1148" l="1"/>
  <c r="J1147"/>
  <c r="K1147"/>
  <c r="L1149"/>
  <c r="E1149" l="1"/>
  <c r="J1148"/>
  <c r="K1148"/>
  <c r="L1150"/>
  <c r="E1150" l="1"/>
  <c r="J1149"/>
  <c r="K1149"/>
  <c r="L1151"/>
  <c r="E1151" l="1"/>
  <c r="J1150"/>
  <c r="K1150"/>
  <c r="L1152"/>
  <c r="E1152" l="1"/>
  <c r="J1151"/>
  <c r="K1151"/>
  <c r="L1153"/>
  <c r="E1153" l="1"/>
  <c r="J1152"/>
  <c r="K1152"/>
  <c r="L1154"/>
  <c r="E1154" l="1"/>
  <c r="J1153"/>
  <c r="K1153"/>
  <c r="L1155"/>
  <c r="E1155" l="1"/>
  <c r="J1154"/>
  <c r="K1154"/>
  <c r="E1156" l="1"/>
  <c r="J1155"/>
  <c r="K1155"/>
  <c r="E1157" l="1"/>
  <c r="J1156"/>
  <c r="K1156"/>
  <c r="E1158" l="1"/>
  <c r="J1157"/>
  <c r="K1157"/>
  <c r="E1159" l="1"/>
  <c r="J1158"/>
  <c r="K1158"/>
  <c r="E1160" l="1"/>
  <c r="J1159"/>
  <c r="K1159"/>
  <c r="E1161" l="1"/>
  <c r="J1160"/>
  <c r="K1160"/>
  <c r="E1162" l="1"/>
  <c r="J1161"/>
  <c r="K1161"/>
  <c r="E1163" l="1"/>
  <c r="J1162"/>
  <c r="K1162"/>
  <c r="E1164" l="1"/>
  <c r="J1163"/>
  <c r="K1163"/>
  <c r="E1165" l="1"/>
  <c r="J1164"/>
  <c r="K1164"/>
  <c r="E1166" l="1"/>
  <c r="J1165"/>
  <c r="K1165"/>
  <c r="E1167" l="1"/>
  <c r="J1166"/>
  <c r="K1166"/>
  <c r="E1168" l="1"/>
  <c r="J1167"/>
  <c r="K1167"/>
  <c r="E1169" l="1"/>
  <c r="J1168"/>
  <c r="K1168"/>
  <c r="E1170" l="1"/>
  <c r="J1169"/>
  <c r="K1169"/>
  <c r="E1171" l="1"/>
  <c r="J1170"/>
  <c r="K1170"/>
  <c r="E1172" l="1"/>
  <c r="J1171"/>
  <c r="K1171"/>
  <c r="E1173" l="1"/>
  <c r="J1172"/>
  <c r="K1172"/>
  <c r="E1174" l="1"/>
  <c r="J1173"/>
  <c r="K1173"/>
  <c r="E1175" l="1"/>
  <c r="J1174"/>
  <c r="K1174"/>
  <c r="E1176" l="1"/>
  <c r="J1175"/>
  <c r="K1175"/>
  <c r="E1177" l="1"/>
  <c r="J1176"/>
  <c r="K1176"/>
  <c r="E1178" l="1"/>
  <c r="J1177"/>
  <c r="K1177"/>
  <c r="E1179" l="1"/>
  <c r="J1178"/>
  <c r="K1178"/>
  <c r="E1180" l="1"/>
  <c r="J1179"/>
  <c r="K1179"/>
  <c r="E1181" l="1"/>
  <c r="J1180"/>
  <c r="K1180"/>
  <c r="E1182" l="1"/>
  <c r="J1181"/>
  <c r="K1181"/>
  <c r="E1183" l="1"/>
  <c r="J1182"/>
  <c r="K1182"/>
  <c r="E1184" l="1"/>
  <c r="J1183"/>
  <c r="K1183"/>
  <c r="E1185" l="1"/>
  <c r="J1184"/>
  <c r="K1184"/>
  <c r="E1186" l="1"/>
  <c r="J1185"/>
  <c r="K1185"/>
  <c r="E1187" l="1"/>
  <c r="J1186"/>
  <c r="K1186"/>
  <c r="E1188" l="1"/>
  <c r="J1187"/>
  <c r="K1187"/>
  <c r="E1189" l="1"/>
  <c r="J1188"/>
  <c r="K1188"/>
  <c r="E1190" l="1"/>
  <c r="J1189"/>
  <c r="K1189"/>
  <c r="E1191" l="1"/>
  <c r="J1190"/>
  <c r="K1190"/>
  <c r="E1192" l="1"/>
  <c r="J1191"/>
  <c r="K1191"/>
  <c r="E1193" l="1"/>
  <c r="J1192"/>
  <c r="K1192"/>
  <c r="E1194" l="1"/>
  <c r="J1193"/>
  <c r="K1193"/>
  <c r="E1195" l="1"/>
  <c r="J1194"/>
  <c r="K1194"/>
  <c r="E1196" l="1"/>
  <c r="J1195"/>
  <c r="K1195"/>
  <c r="E1197" l="1"/>
  <c r="J1196"/>
  <c r="K1196"/>
  <c r="E1198" l="1"/>
  <c r="J1197"/>
  <c r="K1197"/>
  <c r="E1199" l="1"/>
  <c r="J1198"/>
  <c r="K1198"/>
  <c r="E1200" l="1"/>
  <c r="J1199"/>
  <c r="K1199"/>
  <c r="E1201" l="1"/>
  <c r="J1200"/>
  <c r="K1200"/>
  <c r="E1202" l="1"/>
  <c r="J1201"/>
  <c r="K1201"/>
  <c r="E1203" l="1"/>
  <c r="J1202"/>
  <c r="K1202"/>
  <c r="E1204" l="1"/>
  <c r="J1203"/>
  <c r="K1203"/>
  <c r="E1205" l="1"/>
  <c r="J1204"/>
  <c r="K1204"/>
  <c r="E1206" l="1"/>
  <c r="J1205"/>
  <c r="K1205"/>
  <c r="E1207" l="1"/>
  <c r="J1206"/>
  <c r="K1206"/>
  <c r="E1208" l="1"/>
  <c r="J1207"/>
  <c r="K1207"/>
  <c r="E1209" l="1"/>
  <c r="J1208"/>
  <c r="K1208"/>
  <c r="E1210" l="1"/>
  <c r="J1209"/>
  <c r="K1209"/>
  <c r="E1211" l="1"/>
  <c r="J1210"/>
  <c r="K1210"/>
  <c r="E1212" l="1"/>
  <c r="J1211"/>
  <c r="K1211"/>
  <c r="E1213" l="1"/>
  <c r="J1212"/>
  <c r="K1212"/>
  <c r="E1214" l="1"/>
  <c r="J1213"/>
  <c r="K1213"/>
  <c r="E1215" l="1"/>
  <c r="J1214"/>
  <c r="K1214"/>
  <c r="E1216" l="1"/>
  <c r="J1215"/>
  <c r="K1215"/>
  <c r="E1217" l="1"/>
  <c r="J1216"/>
  <c r="K1216"/>
  <c r="E1218" l="1"/>
  <c r="J1217"/>
  <c r="K1217"/>
  <c r="E1219" l="1"/>
  <c r="J1218"/>
  <c r="K1218"/>
  <c r="E1220" l="1"/>
  <c r="J1219"/>
  <c r="K1219"/>
  <c r="E1221" l="1"/>
  <c r="J1220"/>
  <c r="K1220"/>
  <c r="E1222" l="1"/>
  <c r="J1221"/>
  <c r="K1221"/>
  <c r="E1223" l="1"/>
  <c r="J1222"/>
  <c r="K1222"/>
  <c r="E1224" l="1"/>
  <c r="J1223"/>
  <c r="K1223"/>
  <c r="E1225" l="1"/>
  <c r="J1224"/>
  <c r="K1224"/>
  <c r="E1226" l="1"/>
  <c r="J1225"/>
  <c r="K1225"/>
  <c r="E1227" l="1"/>
  <c r="J1226"/>
  <c r="K1226"/>
  <c r="E1228" l="1"/>
  <c r="J1227"/>
  <c r="K1227"/>
  <c r="E1229" l="1"/>
  <c r="J1228"/>
  <c r="K1228"/>
  <c r="E1230" l="1"/>
  <c r="J1229"/>
  <c r="K1229"/>
  <c r="E1231" l="1"/>
  <c r="J1230"/>
  <c r="K1230"/>
  <c r="E1232" l="1"/>
  <c r="J1231"/>
  <c r="K1231"/>
  <c r="E1233" l="1"/>
  <c r="J1232"/>
  <c r="K1232"/>
  <c r="E1234" l="1"/>
  <c r="J1233"/>
  <c r="K1233"/>
  <c r="E1235" l="1"/>
  <c r="J1234"/>
  <c r="K1234"/>
  <c r="E1236" l="1"/>
  <c r="J1235"/>
  <c r="K1235"/>
  <c r="E1237" l="1"/>
  <c r="J1236"/>
  <c r="K1236"/>
  <c r="E1238" l="1"/>
  <c r="J1237"/>
  <c r="K1237"/>
  <c r="E1239" l="1"/>
  <c r="J1238"/>
  <c r="K1238"/>
  <c r="E1240" l="1"/>
  <c r="J1239"/>
  <c r="K1239"/>
  <c r="E1241" l="1"/>
  <c r="J1240"/>
  <c r="K1240"/>
  <c r="E1242" l="1"/>
  <c r="J1241"/>
  <c r="K1241"/>
  <c r="E1243" l="1"/>
  <c r="J1242"/>
  <c r="K1242"/>
  <c r="E1244" l="1"/>
  <c r="J1243"/>
  <c r="K1243"/>
  <c r="E1245" l="1"/>
  <c r="J1244"/>
  <c r="K1244"/>
  <c r="E1246" l="1"/>
  <c r="J1245"/>
  <c r="K1245"/>
  <c r="E1247" l="1"/>
  <c r="J1246"/>
  <c r="K1246"/>
  <c r="E1248" l="1"/>
  <c r="J1247"/>
  <c r="K1247"/>
  <c r="E1249" l="1"/>
  <c r="J1248"/>
  <c r="K1248"/>
  <c r="E1250" l="1"/>
  <c r="J1249"/>
  <c r="K1249"/>
  <c r="E1251" l="1"/>
  <c r="J1250"/>
  <c r="K1250"/>
  <c r="E1252" l="1"/>
  <c r="J1251"/>
  <c r="K1251"/>
  <c r="E1253" l="1"/>
  <c r="J1252"/>
  <c r="K1252"/>
  <c r="E1254" l="1"/>
  <c r="J1253"/>
  <c r="K1253"/>
  <c r="E1255" l="1"/>
  <c r="J1254"/>
  <c r="K1254"/>
  <c r="E1256" l="1"/>
  <c r="J1255"/>
  <c r="K1255"/>
  <c r="E1257" l="1"/>
  <c r="J1256"/>
  <c r="K1256"/>
  <c r="E1258" l="1"/>
  <c r="J1257"/>
  <c r="K1257"/>
  <c r="E1259" l="1"/>
  <c r="J1258"/>
  <c r="K1258"/>
  <c r="E1260" l="1"/>
  <c r="J1259"/>
  <c r="K1259"/>
  <c r="E1261" l="1"/>
  <c r="J1260"/>
  <c r="K1260"/>
  <c r="E1262" l="1"/>
  <c r="J1261"/>
  <c r="K1261"/>
  <c r="E1263" l="1"/>
  <c r="J1262"/>
  <c r="K1262"/>
  <c r="E1264" l="1"/>
  <c r="J1263"/>
  <c r="K1263"/>
  <c r="E1265" l="1"/>
  <c r="J1264"/>
  <c r="K1264"/>
  <c r="E1266" l="1"/>
  <c r="J1265"/>
  <c r="K1265"/>
  <c r="E1267" l="1"/>
  <c r="J1266"/>
  <c r="K1266"/>
  <c r="E1268" l="1"/>
  <c r="J1267"/>
  <c r="K1267"/>
  <c r="E1269" l="1"/>
  <c r="J1268"/>
  <c r="K1268"/>
  <c r="E1270" l="1"/>
  <c r="J1269"/>
  <c r="K1269"/>
  <c r="E1271" l="1"/>
  <c r="J1270"/>
  <c r="K1270"/>
  <c r="E1272" l="1"/>
  <c r="J1271"/>
  <c r="K1271"/>
  <c r="E1273" l="1"/>
  <c r="J1272"/>
  <c r="K1272"/>
  <c r="E1274" l="1"/>
  <c r="J1273"/>
  <c r="K1273"/>
  <c r="E1275" l="1"/>
  <c r="J1274"/>
  <c r="K1274"/>
  <c r="E1276" l="1"/>
  <c r="J1275"/>
  <c r="K1275"/>
  <c r="E1277" l="1"/>
  <c r="J1276"/>
  <c r="K1276"/>
  <c r="E1278" l="1"/>
  <c r="J1277"/>
  <c r="K1277"/>
  <c r="E1279" l="1"/>
  <c r="J1278"/>
  <c r="K1278"/>
  <c r="E1280" l="1"/>
  <c r="J1279"/>
  <c r="K1279"/>
  <c r="E1281" l="1"/>
  <c r="J1280"/>
  <c r="K1280"/>
  <c r="E1282" l="1"/>
  <c r="J1281"/>
  <c r="K1281"/>
  <c r="E1283" l="1"/>
  <c r="J1282"/>
  <c r="K1282"/>
  <c r="E1284" l="1"/>
  <c r="J1283"/>
  <c r="K1283"/>
  <c r="E1285" l="1"/>
  <c r="J1284"/>
  <c r="K1284"/>
  <c r="E1286" l="1"/>
  <c r="J1285"/>
  <c r="K1285"/>
  <c r="E1287" l="1"/>
  <c r="J1286"/>
  <c r="K1286"/>
  <c r="E1288" l="1"/>
  <c r="J1287"/>
  <c r="K1287"/>
  <c r="E1289" l="1"/>
  <c r="J1288"/>
  <c r="K1288"/>
  <c r="E1290" l="1"/>
  <c r="J1289"/>
  <c r="K1289"/>
  <c r="E1291" l="1"/>
  <c r="J1290"/>
  <c r="K1290"/>
  <c r="E1292" l="1"/>
  <c r="J1291"/>
  <c r="K1291"/>
  <c r="E1293" l="1"/>
  <c r="J1292"/>
  <c r="K1292"/>
  <c r="E1294" l="1"/>
  <c r="J1293"/>
  <c r="K1293"/>
  <c r="E1295" l="1"/>
  <c r="J1294"/>
  <c r="K1294"/>
  <c r="E1296" l="1"/>
  <c r="J1295"/>
  <c r="K1295"/>
  <c r="E1297" l="1"/>
  <c r="J1296"/>
  <c r="K1296"/>
  <c r="E1298" l="1"/>
  <c r="J1297"/>
  <c r="K1297"/>
  <c r="E1299" l="1"/>
  <c r="J1298"/>
  <c r="K1298"/>
  <c r="E1300" l="1"/>
  <c r="J1299"/>
  <c r="K1299"/>
  <c r="E1301" l="1"/>
  <c r="J1300"/>
  <c r="K1300"/>
  <c r="E1302" l="1"/>
  <c r="J1301"/>
  <c r="K1301"/>
  <c r="E1303" l="1"/>
  <c r="J1302"/>
  <c r="K1302"/>
  <c r="E1304" l="1"/>
  <c r="J1303"/>
  <c r="K1303"/>
  <c r="E1305" l="1"/>
  <c r="J1304"/>
  <c r="K1304"/>
  <c r="E1306" l="1"/>
  <c r="J1305"/>
  <c r="K1305"/>
  <c r="E1307" l="1"/>
  <c r="J1306"/>
  <c r="K1306"/>
  <c r="E1308" l="1"/>
  <c r="J1307"/>
  <c r="K1307"/>
  <c r="E1309" l="1"/>
  <c r="J1308"/>
  <c r="K1308"/>
  <c r="E1310" l="1"/>
  <c r="J1309"/>
  <c r="K1309"/>
  <c r="E1311" l="1"/>
  <c r="J1310"/>
  <c r="K1310"/>
  <c r="E1312" l="1"/>
  <c r="J1311"/>
  <c r="K1311"/>
  <c r="E1313" l="1"/>
  <c r="J1312"/>
  <c r="K1312"/>
  <c r="E1314" l="1"/>
  <c r="J1313"/>
  <c r="K1313"/>
  <c r="E1315" l="1"/>
  <c r="J1314"/>
  <c r="K1314"/>
  <c r="E1316" l="1"/>
  <c r="J1315"/>
  <c r="K1315"/>
  <c r="E1317" l="1"/>
  <c r="J1316"/>
  <c r="K1316"/>
  <c r="E1318" l="1"/>
  <c r="J1317"/>
  <c r="K1317"/>
  <c r="E1319" l="1"/>
  <c r="J1318"/>
  <c r="K1318"/>
  <c r="E1320" l="1"/>
  <c r="J1319"/>
  <c r="K1319"/>
  <c r="E1321" l="1"/>
  <c r="J1320"/>
  <c r="K1320"/>
  <c r="E1322" l="1"/>
  <c r="J1321"/>
  <c r="K1321"/>
  <c r="J1322" l="1"/>
  <c r="K1322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<sst xmlns="http://schemas.openxmlformats.org/spreadsheetml/2006/main" count="10858" uniqueCount="1437">
  <si>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</si>
  <si>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</si>
  <si>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</si>
  <si>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</si>
  <si>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</si>
  <si>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</si>
  <si>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</si>
  <si>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</si>
  <si>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</si>
  <si>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</si>
  <si>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</si>
  <si>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</si>
  <si>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</si>
  <si>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</si>
  <si>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</si>
  <si>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</si>
  <si>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</si>
  <si>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</si>
  <si>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</si>
  <si>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</si>
  <si>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</si>
  <si>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</si>
  <si>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</si>
  <si>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</si>
  <si>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</si>
  <si>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</si>
  <si>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</si>
  <si>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</si>
  <si>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</si>
  <si>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</si>
  <si>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</si>
  <si>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</si>
  <si>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</si>
  <si>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</si>
  <si>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</si>
  <si>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</si>
  <si>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</si>
  <si>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</si>
  <si>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</si>
  <si>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</si>
  <si>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</si>
  <si>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</si>
  <si>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</si>
  <si>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</si>
  <si>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</si>
  <si>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</si>
  <si>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</si>
  <si>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</si>
  <si>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</si>
  <si>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</si>
  <si>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</si>
  <si>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</si>
  <si>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</si>
  <si>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</si>
  <si>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</si>
  <si>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</si>
  <si>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</si>
  <si>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</si>
  <si>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</si>
  <si>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</si>
  <si>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</si>
  <si>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</si>
  <si>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</si>
  <si>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</si>
  <si>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</si>
  <si>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</si>
  <si>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</si>
  <si>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</si>
  <si>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</si>
  <si>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</si>
  <si>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</si>
  <si>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</si>
  <si>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</si>
  <si>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</si>
  <si>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</si>
  <si>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</si>
  <si>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</si>
  <si>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</si>
  <si>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</si>
  <si>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</si>
  <si>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</si>
  <si>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</si>
  <si>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</si>
  <si>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</si>
  <si>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</si>
  <si>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</si>
  <si>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</si>
  <si>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</si>
  <si>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</si>
  <si>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</si>
  <si>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</si>
  <si>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</si>
  <si>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</si>
  <si>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</si>
  <si>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</si>
  <si>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</si>
  <si>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</si>
  <si>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</si>
  <si>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</si>
  <si>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</si>
  <si>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</si>
  <si>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</si>
  <si>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</si>
  <si>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</si>
  <si>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</si>
  <si>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</si>
  <si>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</si>
  <si>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</si>
  <si>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</si>
  <si>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</si>
  <si>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</si>
  <si>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</si>
  <si>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</si>
  <si>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</si>
  <si>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</si>
  <si>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</si>
  <si>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</si>
  <si>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</si>
  <si>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</si>
  <si>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</si>
  <si>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</si>
  <si>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</si>
  <si>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</si>
  <si>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</si>
  <si>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</si>
  <si>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</si>
  <si>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</si>
  <si>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</si>
  <si>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</si>
  <si>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</si>
  <si>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</si>
  <si>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</si>
  <si>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</si>
  <si>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</si>
  <si>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</si>
  <si>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</si>
  <si>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</si>
  <si>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</si>
  <si>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</si>
  <si>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</si>
  <si>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</si>
  <si>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</si>
  <si>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</si>
  <si>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</si>
  <si>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</si>
  <si>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</si>
  <si>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</si>
  <si>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</si>
  <si>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</si>
  <si>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</si>
  <si>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</si>
  <si>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</si>
  <si>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</si>
  <si>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</si>
  <si>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</si>
  <si>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</si>
  <si>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</si>
  <si>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</si>
  <si>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</si>
  <si>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</si>
  <si>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</si>
  <si>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</si>
  <si>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</si>
  <si>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</si>
  <si>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</si>
  <si>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</si>
  <si>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</si>
  <si>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</si>
  <si>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</si>
  <si>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</si>
  <si>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</si>
  <si>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</si>
  <si>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</si>
  <si>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</si>
  <si>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</si>
  <si>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</si>
  <si>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</si>
  <si>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</si>
  <si>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</si>
  <si>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</si>
  <si>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</si>
  <si>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</si>
  <si>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</si>
  <si>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</si>
  <si>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</si>
  <si>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</si>
  <si>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</si>
  <si>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</si>
  <si>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</si>
  <si>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</si>
  <si>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</si>
  <si>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</si>
  <si>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</si>
  <si>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</si>
  <si>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</si>
  <si>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</si>
  <si>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</si>
  <si>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</si>
  <si>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</si>
  <si>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</si>
  <si>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</si>
  <si>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</si>
  <si>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</si>
  <si>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</si>
  <si>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</si>
  <si>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</si>
  <si>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</si>
  <si>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</si>
  <si>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</si>
  <si>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</si>
  <si>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</si>
  <si>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</si>
  <si>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</si>
  <si>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</si>
  <si>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</si>
  <si>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</si>
  <si>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</si>
  <si>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</si>
  <si>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</si>
  <si>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</si>
  <si>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</si>
  <si>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</si>
  <si>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</si>
  <si>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</si>
  <si>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</si>
  <si>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</si>
  <si>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</si>
  <si>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</si>
  <si>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</si>
  <si>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</si>
  <si>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</si>
  <si>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</si>
  <si>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</si>
  <si>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</si>
  <si>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</si>
  <si>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</si>
  <si>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</si>
  <si>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</si>
  <si>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</si>
  <si>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</si>
  <si>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</si>
  <si>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</si>
  <si>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</si>
  <si>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</si>
  <si>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</si>
  <si>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</si>
  <si>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</si>
  <si>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</si>
  <si>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</si>
  <si>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</si>
  <si>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</si>
  <si>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</si>
  <si>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</si>
  <si>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</si>
  <si>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</si>
  <si>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</si>
  <si>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</si>
  <si>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</si>
  <si>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</si>
  <si>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</si>
  <si>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</si>
  <si>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</si>
  <si>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</si>
  <si>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</si>
  <si>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</si>
  <si>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</si>
  <si>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</si>
  <si>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</si>
  <si>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</si>
  <si>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</si>
  <si>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</si>
  <si>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</si>
  <si>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</si>
  <si>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</si>
  <si>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</si>
  <si>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</si>
  <si>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</si>
  <si>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</si>
  <si>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</si>
  <si>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</si>
  <si>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</si>
  <si>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</si>
  <si>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</si>
  <si>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</si>
  <si>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</si>
  <si>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</si>
  <si>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</si>
  <si>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</si>
  <si>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</si>
  <si>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</si>
  <si>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</si>
  <si>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</si>
  <si>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</si>
  <si>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</si>
  <si>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</si>
  <si>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</si>
  <si>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</si>
  <si>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</si>
  <si>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</si>
  <si>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</si>
  <si>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</si>
  <si>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</si>
  <si>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</si>
  <si>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</si>
  <si>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</si>
  <si>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</si>
  <si>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</si>
  <si>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</si>
  <si>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</si>
  <si>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</si>
  <si>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</si>
  <si>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</si>
  <si>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</si>
  <si>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</si>
  <si>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</si>
  <si>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</si>
  <si>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</si>
  <si>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</si>
  <si>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</si>
  <si>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</si>
  <si>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</si>
  <si>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</si>
  <si>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</si>
  <si>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</si>
  <si>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</si>
  <si>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</si>
  <si>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</si>
  <si>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</si>
  <si>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</si>
  <si>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</si>
  <si>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</si>
  <si>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</si>
  <si>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</si>
  <si>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</si>
  <si>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</si>
  <si>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</si>
  <si>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</si>
  <si>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</si>
  <si>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</si>
  <si>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</si>
  <si>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</si>
  <si>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</si>
  <si>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</si>
  <si>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</si>
  <si>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</si>
  <si>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</si>
  <si>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</si>
  <si>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</si>
  <si>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</si>
  <si>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</si>
  <si>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</si>
  <si>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</si>
  <si>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</si>
  <si>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</si>
  <si>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</si>
  <si>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</si>
  <si>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</si>
  <si>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</si>
  <si>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</si>
  <si>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</si>
  <si>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</si>
  <si>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</si>
  <si>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</si>
  <si>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</si>
  <si>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</si>
  <si>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</si>
  <si>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</si>
  <si>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</si>
  <si>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</si>
  <si>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</si>
  <si>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</si>
  <si>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</si>
  <si>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</si>
  <si>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</si>
  <si>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</si>
  <si>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</si>
  <si>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</si>
  <si>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</si>
  <si>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</si>
  <si>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</si>
  <si>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</si>
  <si>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</si>
  <si>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</si>
  <si>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</si>
  <si>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</si>
  <si>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</si>
  <si>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</si>
  <si>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</si>
  <si>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</si>
  <si>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</si>
  <si>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</si>
  <si>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</si>
  <si>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</si>
  <si>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</si>
  <si>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</si>
  <si>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</si>
  <si>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</si>
  <si>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</si>
  <si>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</si>
  <si>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</si>
  <si>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</si>
  <si>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</si>
  <si>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</si>
  <si>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</si>
  <si>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</si>
  <si>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</si>
  <si>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</si>
  <si>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</si>
  <si>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</si>
  <si>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</si>
  <si>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</si>
  <si>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</si>
  <si>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</si>
  <si>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</si>
  <si>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</si>
  <si>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</si>
  <si>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</si>
  <si>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</si>
  <si>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</si>
  <si>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</si>
  <si>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</si>
  <si>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</si>
  <si>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</si>
  <si>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</si>
  <si>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</si>
  <si>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</si>
  <si>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</si>
  <si>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</si>
  <si>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</si>
  <si>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</si>
  <si>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</si>
  <si>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</si>
  <si>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</si>
  <si>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</si>
  <si>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</si>
  <si>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</si>
  <si>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</si>
  <si>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</si>
  <si>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</si>
  <si>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</si>
  <si>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</si>
  <si>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</si>
  <si>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</si>
  <si>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</si>
  <si>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</si>
  <si>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</si>
  <si>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</si>
  <si>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</si>
  <si>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</si>
  <si>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</si>
  <si>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</si>
  <si>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</si>
  <si>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</si>
  <si>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</si>
  <si>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</si>
  <si>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</si>
  <si>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</si>
  <si>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</si>
  <si>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</si>
  <si>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</si>
  <si>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</si>
  <si>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</si>
  <si>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</si>
  <si>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</si>
  <si>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</si>
  <si>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</si>
  <si>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</si>
  <si>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</si>
  <si>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</si>
  <si>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</si>
  <si>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</si>
  <si>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</si>
  <si>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</si>
  <si>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</si>
  <si>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</si>
  <si>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</si>
  <si>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</si>
  <si>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</si>
  <si>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</si>
  <si>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</si>
  <si>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</si>
  <si>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</si>
  <si>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</si>
  <si>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</si>
  <si>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</si>
  <si>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</si>
  <si>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</si>
  <si>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</si>
  <si>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</si>
  <si>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</si>
  <si>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</si>
  <si>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</si>
  <si>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</si>
  <si>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</si>
  <si>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</si>
  <si>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</si>
  <si>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</si>
  <si>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</si>
  <si>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</si>
  <si>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</si>
  <si>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</si>
  <si>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</si>
  <si>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</si>
  <si>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</si>
  <si>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</si>
  <si>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</si>
  <si>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</si>
  <si>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</si>
  <si>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</si>
  <si>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</si>
  <si>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</si>
  <si>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</si>
  <si>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</si>
  <si>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</si>
  <si>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</si>
  <si>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</si>
  <si>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</si>
  <si>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</si>
  <si>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</si>
  <si>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</si>
  <si>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</si>
  <si>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</si>
  <si>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</si>
  <si>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</si>
  <si>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</si>
  <si>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</si>
  <si>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</si>
  <si>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</si>
  <si>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</si>
  <si>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</si>
  <si>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</si>
  <si>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</si>
  <si>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</si>
  <si>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</si>
  <si>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</si>
  <si>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</si>
  <si>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</si>
  <si>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</si>
  <si>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</si>
  <si>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</si>
  <si>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</si>
  <si>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</si>
  <si>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</si>
  <si>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</si>
  <si>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</si>
  <si>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</si>
  <si>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</si>
  <si>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</si>
  <si>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</si>
  <si>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</si>
  <si>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</si>
  <si>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</si>
  <si>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</si>
  <si>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</si>
  <si>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</si>
  <si>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</si>
  <si>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</si>
  <si>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</si>
  <si>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</si>
  <si>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</si>
  <si>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</si>
  <si>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</si>
  <si>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</si>
  <si>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</si>
  <si>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</si>
  <si>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</si>
  <si>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</si>
  <si>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</si>
  <si>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</si>
  <si>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</si>
  <si>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</si>
  <si>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</si>
  <si>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</si>
  <si>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</si>
  <si>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</si>
  <si>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</si>
  <si>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</si>
  <si>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</si>
  <si>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</si>
  <si>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</si>
  <si>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</si>
  <si>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</si>
  <si>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</si>
  <si>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</si>
  <si>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</si>
  <si>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</si>
  <si>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</si>
  <si>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</si>
  <si>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</si>
  <si>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</si>
  <si>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</si>
  <si>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</si>
  <si>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</si>
  <si>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</si>
  <si>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</si>
  <si>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</si>
  <si>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</si>
  <si>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</si>
  <si>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</si>
  <si>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</si>
  <si>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</si>
  <si>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</si>
  <si>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</si>
  <si>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</si>
  <si>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</si>
  <si>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</si>
  <si>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</si>
  <si>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</si>
  <si>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</si>
  <si>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</si>
  <si>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</si>
  <si>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</si>
  <si>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</si>
  <si>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</si>
  <si>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</si>
  <si>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</si>
  <si>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</si>
  <si>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</si>
  <si>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</si>
  <si>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</si>
  <si>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</si>
  <si>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</si>
  <si>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</si>
  <si>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</si>
  <si>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</si>
  <si>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</si>
  <si>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</si>
  <si>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</si>
  <si>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</si>
  <si>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</si>
  <si>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</si>
  <si>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</si>
  <si>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</si>
  <si>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</si>
  <si>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</si>
  <si>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</si>
  <si>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</si>
  <si>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</si>
  <si>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</si>
  <si>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</si>
  <si>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</si>
  <si>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</si>
  <si>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</si>
  <si>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</si>
  <si>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</si>
  <si>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</si>
  <si>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</si>
  <si>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</si>
  <si>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</si>
  <si>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</si>
  <si>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</si>
  <si>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</si>
  <si>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</si>
  <si>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</si>
  <si>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</si>
  <si>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</si>
  <si>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</si>
  <si>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</si>
  <si>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</si>
  <si>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</si>
  <si>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</si>
  <si>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</si>
  <si>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</si>
  <si>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</si>
  <si>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</si>
  <si>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</si>
  <si>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</si>
  <si>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</si>
  <si>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</si>
  <si>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</si>
  <si>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</si>
  <si>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</si>
  <si>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</si>
  <si>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</si>
  <si>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</si>
  <si>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</si>
  <si>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</si>
  <si>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</si>
  <si>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</si>
  <si>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</si>
  <si>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</si>
  <si>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</si>
  <si>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</si>
  <si>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</si>
  <si>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</si>
  <si>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</si>
  <si>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</si>
  <si>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</si>
  <si>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</si>
  <si>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</si>
  <si>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</si>
  <si>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</si>
  <si>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</si>
  <si>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</si>
  <si>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</si>
  <si>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</si>
  <si>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</si>
  <si>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</si>
  <si>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</si>
  <si>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</si>
  <si>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</si>
  <si>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</si>
  <si>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</si>
  <si>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</si>
  <si>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</si>
  <si>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</si>
  <si>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</si>
  <si>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</si>
  <si>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</si>
  <si>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</si>
  <si>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</si>
  <si>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</si>
  <si>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</si>
  <si>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</si>
  <si>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</si>
  <si>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</si>
  <si>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</si>
  <si>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</si>
  <si>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</si>
  <si>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</si>
  <si>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</si>
  <si>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</si>
  <si>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</si>
  <si>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</si>
  <si>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</si>
  <si>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</si>
  <si>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</si>
  <si>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</si>
  <si>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</si>
  <si>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</si>
  <si>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</si>
  <si>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</si>
  <si>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</si>
  <si>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</si>
  <si>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</si>
  <si>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</si>
  <si>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</si>
  <si>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</si>
  <si>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</si>
  <si>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</si>
  <si>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</si>
  <si>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</si>
  <si>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</si>
  <si>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</si>
  <si>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</si>
  <si>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</si>
  <si>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</si>
  <si>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</si>
  <si>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</si>
  <si>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</si>
  <si>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</si>
  <si>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</si>
  <si>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</si>
  <si>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</si>
  <si>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</si>
  <si>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</si>
  <si>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</si>
  <si>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</si>
  <si>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</si>
  <si>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</si>
  <si>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</si>
  <si>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</si>
  <si>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</si>
  <si>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</si>
  <si>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</si>
  <si>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</si>
  <si>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</si>
  <si>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</si>
  <si>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</si>
  <si>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</si>
  <si>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</si>
  <si>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</si>
  <si>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</si>
  <si>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</si>
  <si>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</si>
  <si>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</si>
  <si>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</si>
  <si>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</si>
  <si>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</si>
  <si>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</si>
  <si>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</si>
  <si>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</si>
  <si>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</si>
  <si>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</si>
  <si>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</si>
  <si>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</si>
  <si>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</si>
  <si>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</si>
  <si>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</si>
  <si>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</si>
  <si>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</si>
  <si>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</si>
  <si>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</si>
  <si>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</si>
  <si>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</si>
  <si>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</si>
  <si>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</si>
  <si>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</si>
  <si>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</si>
  <si>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</si>
  <si>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</si>
  <si>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</si>
  <si>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</si>
  <si>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</si>
  <si>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</si>
  <si>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</si>
  <si>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</si>
  <si>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</si>
  <si>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</si>
  <si>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</si>
  <si>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</si>
  <si>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</si>
  <si>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</si>
  <si>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</si>
  <si>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</si>
  <si>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</si>
  <si>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</si>
  <si>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</si>
  <si>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</si>
  <si>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</si>
  <si>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</si>
  <si>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</si>
  <si>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</si>
  <si>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</si>
  <si>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</si>
  <si>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</si>
  <si>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</si>
  <si>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</si>
  <si>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</si>
  <si>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</si>
  <si>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</si>
  <si>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</si>
  <si>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</si>
  <si>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</si>
  <si>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</si>
  <si>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</si>
  <si>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</si>
  <si>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</si>
  <si>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</si>
  <si>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</si>
  <si>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</si>
  <si>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</si>
  <si>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</si>
  <si>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</si>
  <si>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</si>
  <si>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</si>
  <si>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</si>
  <si>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</si>
  <si>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</si>
  <si>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</si>
  <si>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</si>
  <si>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</si>
  <si>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</si>
  <si>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</si>
  <si>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</si>
  <si>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</si>
  <si>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</si>
  <si>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</si>
  <si>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</si>
  <si>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</si>
  <si>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</si>
  <si>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</si>
  <si>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</si>
  <si>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</si>
  <si>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</si>
  <si>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</si>
  <si>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</si>
  <si>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</si>
  <si>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</si>
  <si>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</si>
  <si>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</si>
  <si>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</si>
  <si>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</si>
  <si>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</si>
  <si>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</si>
  <si>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</si>
  <si>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</si>
  <si>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</si>
  <si>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</si>
  <si>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</si>
  <si>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</si>
  <si>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</si>
  <si>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</si>
  <si>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</si>
  <si>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</si>
  <si>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</si>
  <si>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</si>
  <si>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</si>
  <si>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</si>
  <si>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</si>
  <si>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</si>
  <si>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</si>
  <si>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</si>
  <si>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</si>
  <si>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</si>
  <si>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</si>
  <si>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</si>
  <si>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</si>
  <si>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</si>
  <si>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</si>
  <si>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</si>
  <si>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</si>
  <si>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</si>
  <si>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</si>
  <si>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</si>
  <si>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</si>
  <si>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</si>
  <si>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</si>
  <si>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</si>
  <si>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</si>
  <si>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</si>
  <si>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</si>
  <si>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</si>
  <si>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</si>
  <si>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</si>
  <si>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</si>
  <si>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</si>
  <si>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</si>
  <si>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</si>
  <si>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</si>
  <si>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</si>
  <si>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</si>
  <si>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</si>
  <si>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</si>
  <si>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</si>
  <si>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</si>
  <si>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</si>
  <si>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</si>
  <si>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</si>
  <si>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</si>
  <si>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</si>
  <si>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</si>
  <si>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</si>
  <si>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</si>
  <si>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</si>
  <si>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</si>
  <si>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</si>
  <si>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</si>
  <si>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</si>
  <si>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</si>
  <si>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</si>
  <si>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</si>
  <si>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</si>
  <si>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</si>
  <si>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</si>
  <si>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</si>
  <si>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</si>
  <si>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</si>
  <si>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</si>
  <si>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</si>
  <si>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</si>
  <si>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</si>
  <si>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</si>
  <si>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</si>
  <si>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</si>
  <si>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</si>
  <si>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</si>
  <si>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</si>
  <si>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</si>
  <si>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</si>
  <si>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</si>
  <si>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</si>
  <si>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</si>
  <si>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</si>
  <si>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</si>
  <si>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</si>
  <si>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</si>
  <si>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</si>
  <si>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</si>
  <si>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</si>
  <si>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</si>
  <si>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</si>
  <si>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</si>
  <si>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</si>
  <si>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</si>
  <si>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</si>
  <si>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</si>
  <si>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</si>
  <si>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</si>
  <si>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</si>
  <si>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</si>
  <si>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</si>
  <si>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</si>
  <si>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</si>
  <si>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</si>
  <si>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</si>
  <si>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</si>
  <si>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</si>
  <si>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</si>
  <si>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</si>
  <si>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</si>
  <si>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</si>
  <si>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</si>
  <si>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</si>
  <si>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</si>
  <si>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</si>
  <si>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</si>
  <si>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</si>
  <si>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</si>
  <si>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</si>
  <si>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</si>
  <si>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</si>
  <si>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</si>
  <si>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</si>
  <si>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</si>
  <si>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</si>
  <si>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</si>
  <si>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</si>
  <si>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</si>
  <si>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</si>
  <si>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</si>
  <si>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</si>
  <si>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</si>
  <si>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</si>
  <si>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</si>
  <si>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</si>
  <si>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</si>
  <si>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</si>
  <si>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</si>
  <si>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</si>
  <si>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</si>
  <si>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</si>
  <si>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</si>
  <si>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</si>
  <si>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</si>
  <si>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</si>
  <si>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</si>
  <si>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</si>
  <si>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</si>
  <si>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</si>
  <si>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</si>
  <si>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</si>
  <si>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</si>
  <si>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</si>
  <si>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</si>
  <si>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</si>
  <si>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</si>
  <si>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</si>
  <si>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</si>
  <si>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</si>
  <si>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</si>
  <si>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</si>
  <si>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</si>
  <si>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</si>
  <si>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</si>
  <si>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</si>
  <si>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</si>
  <si>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</si>
  <si>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</si>
  <si>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</si>
  <si>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</si>
  <si>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</si>
  <si>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</si>
  <si>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</si>
  <si>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</si>
  <si>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</si>
  <si>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</si>
  <si>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</si>
  <si>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</si>
  <si>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</si>
  <si>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</si>
  <si>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</si>
  <si>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</si>
  <si>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</si>
  <si>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</si>
  <si>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</si>
  <si>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</si>
  <si>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</si>
  <si>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</si>
  <si>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</si>
  <si>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</si>
  <si>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</si>
  <si>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</si>
  <si>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</si>
  <si>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</si>
  <si>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</si>
  <si>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</si>
  <si>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</si>
  <si>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</si>
  <si>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</si>
  <si>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</si>
  <si>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</si>
  <si>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</si>
  <si>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</si>
  <si>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</si>
  <si>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</si>
  <si>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</si>
  <si>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</si>
  <si>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</si>
  <si>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</si>
  <si>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</si>
  <si>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</si>
  <si>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</si>
  <si>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</si>
  <si>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</si>
  <si>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</si>
  <si>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</si>
  <si>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</si>
  <si>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</si>
  <si>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</si>
  <si>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</si>
  <si>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</si>
  <si>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</si>
  <si>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</si>
  <si>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</si>
  <si>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</si>
  <si>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</si>
  <si>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</si>
  <si>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</si>
  <si>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</si>
  <si>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</si>
  <si>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</si>
  <si>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</si>
  <si>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</si>
  <si>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</si>
  <si>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</si>
  <si>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</si>
  <si>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</si>
  <si>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</si>
  <si>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</si>
  <si>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</si>
  <si>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</si>
  <si>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</si>
  <si>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</si>
  <si>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</si>
  <si>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</si>
  <si>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</si>
  <si>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</si>
  <si>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</si>
  <si>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</si>
  <si>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</si>
  <si>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</si>
  <si>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</si>
  <si>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</si>
  <si>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</si>
  <si>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</si>
  <si>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</si>
  <si>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</si>
  <si>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</si>
  <si>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</si>
  <si>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</si>
  <si>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</si>
  <si>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</si>
  <si>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</si>
  <si>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</si>
  <si>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</si>
  <si>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</si>
  <si>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</si>
  <si>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</si>
  <si>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</si>
  <si>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</si>
  <si>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</si>
  <si>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</si>
  <si>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</si>
  <si>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</si>
  <si>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</si>
  <si>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</si>
  <si>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</si>
  <si>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</si>
  <si>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</si>
  <si>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</si>
  <si>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</si>
  <si>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</si>
  <si>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</si>
  <si>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</si>
  <si>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</si>
  <si>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</si>
  <si>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</si>
  <si>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</si>
  <si>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</si>
  <si>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</si>
  <si>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</si>
  <si>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</si>
  <si>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</si>
  <si>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</si>
  <si>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</si>
  <si>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</si>
  <si>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</si>
  <si>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</si>
  <si>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</si>
  <si>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</si>
  <si>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</si>
  <si>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</si>
  <si>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</si>
  <si>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</si>
  <si>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</si>
  <si>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</si>
  <si>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</si>
  <si>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</si>
  <si>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</si>
  <si>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</si>
  <si>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</si>
  <si>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</si>
  <si>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</si>
  <si>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</si>
  <si>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</si>
  <si>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</si>
  <si>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</si>
  <si>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</si>
  <si>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</si>
  <si>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</si>
  <si>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</si>
  <si>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</si>
  <si>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</si>
  <si>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</si>
  <si>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</si>
  <si>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</si>
  <si>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</si>
  <si>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</si>
  <si>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</si>
  <si>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</si>
  <si>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</si>
  <si>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</si>
  <si>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</si>
  <si>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</si>
  <si>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</si>
  <si>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</si>
  <si>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</si>
  <si>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</si>
  <si>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</si>
  <si>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</si>
  <si>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</si>
  <si>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</si>
  <si>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</si>
  <si>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</si>
  <si>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</si>
  <si>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</si>
  <si>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</si>
  <si>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</si>
  <si>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</si>
  <si>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</si>
  <si>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</si>
  <si>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</si>
  <si>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</si>
  <si>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</si>
  <si>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</si>
  <si>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</si>
  <si>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</si>
  <si>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</si>
  <si>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</si>
  <si>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</si>
  <si>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</si>
  <si>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</si>
  <si>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</si>
  <si>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</si>
  <si>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</si>
  <si>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</si>
  <si>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</si>
  <si>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</si>
  <si>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</si>
  <si>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</si>
  <si>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</si>
  <si>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</si>
  <si>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</si>
  <si>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</si>
  <si>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</si>
  <si>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</si>
  <si>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</si>
  <si>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</si>
  <si>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</si>
  <si>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</si>
  <si>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</si>
  <si>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</si>
  <si>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</si>
  <si>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</si>
  <si>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</si>
  <si>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</si>
  <si>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</si>
  <si>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</si>
  <si>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</si>
  <si>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</si>
  <si>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</si>
  <si>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</si>
  <si>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</si>
  <si>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</si>
  <si>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</si>
  <si>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</si>
  <si>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</si>
  <si>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</si>
  <si>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</si>
  <si>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</si>
  <si>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</si>
  <si>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</si>
  <si>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</si>
  <si>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</si>
  <si>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</si>
  <si>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</si>
  <si>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</si>
  <si>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</si>
  <si>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</si>
  <si>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</si>
  <si>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</si>
  <si>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</si>
  <si>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</si>
  <si>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</si>
  <si>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</si>
  <si>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</si>
  <si>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</si>
  <si>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</si>
  <si>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</si>
  <si>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</si>
  <si>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</si>
  <si>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</si>
  <si>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</si>
  <si>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</si>
  <si>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</si>
  <si>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</si>
  <si>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</si>
  <si>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</si>
  <si>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</si>
  <si>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</si>
  <si>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ZUBICUETA</t>
  </si>
  <si>
    <t xml:space="preserve">NICOLAS </t>
  </si>
  <si>
    <t>NICOLAS NARVAI ZUBICUETA</t>
  </si>
  <si>
    <t>NARVAI ZUBICUETA NICOLAS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</si>
  <si>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</si>
  <si>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</si>
  <si>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</si>
  <si>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</si>
  <si>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</si>
  <si>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</si>
  <si>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</si>
  <si>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</si>
  <si>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</si>
  <si>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</si>
  <si>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</si>
  <si>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</si>
  <si>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</si>
  <si>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</si>
  <si>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</si>
  <si>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</si>
  <si>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</si>
  <si>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</si>
  <si>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</si>
  <si>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</si>
  <si>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</si>
  <si>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Llegada</t>
  </si>
  <si>
    <t>Salida</t>
  </si>
  <si>
    <t>Admin</t>
  </si>
  <si>
    <t>Valores</t>
  </si>
  <si>
    <t>llegada</t>
  </si>
  <si>
    <t>salida</t>
  </si>
  <si>
    <t>turno</t>
  </si>
  <si>
    <t>nombre</t>
  </si>
  <si>
    <t>Total general</t>
  </si>
  <si>
    <t>0</t>
  </si>
  <si>
    <t>Hora llegada</t>
  </si>
  <si>
    <t>Horas a trabajar</t>
  </si>
  <si>
    <t>Trainee</t>
  </si>
  <si>
    <t>ZURA</t>
  </si>
  <si>
    <t>Operario Almacenamiento</t>
  </si>
  <si>
    <t>23.040.236-1</t>
  </si>
  <si>
    <t>11.267.622-8</t>
  </si>
  <si>
    <t xml:space="preserve">JOSE </t>
  </si>
  <si>
    <t>JOSE MATURANA RIOS</t>
  </si>
  <si>
    <t>MATURANA RIOS JOSE</t>
  </si>
  <si>
    <t>16.558.908-4</t>
  </si>
  <si>
    <t xml:space="preserve">ROJAS </t>
  </si>
  <si>
    <t>MARCELO ROJAS MUÑOZ</t>
  </si>
  <si>
    <t>ROJAS MUÑOZ MARCELO</t>
  </si>
  <si>
    <t>Preparación insumo Lo Espejo</t>
  </si>
  <si>
    <t>Analista Inventario</t>
  </si>
  <si>
    <t>16.380.050-0</t>
  </si>
  <si>
    <t>Ajuse formato</t>
  </si>
  <si>
    <t>Preparación de planta</t>
  </si>
  <si>
    <t xml:space="preserve">Preparación de insumos para inicio planta </t>
  </si>
  <si>
    <t>Ordenamiento de la bodega para inventario</t>
  </si>
  <si>
    <t>Control Bodega Insumos</t>
  </si>
  <si>
    <t>Preparación de insumos para inicio planta y ordenamiento</t>
  </si>
  <si>
    <t>Encargado de marcado de cajas</t>
  </si>
  <si>
    <t>Cubre turno de M. Diaz por permiso</t>
  </si>
  <si>
    <t>Cubre turno por falta de personal. (desvinculación)</t>
  </si>
  <si>
    <t>Reunión inventario de etiquetas</t>
  </si>
  <si>
    <t>Control Consumos</t>
  </si>
  <si>
    <t>Trabajo extraordinario en planta Lo Espejo</t>
  </si>
  <si>
    <t>Cubre turno de C. Reinoso, esta se encuentra en planta LE</t>
  </si>
  <si>
    <t>Entrega de ropa y dia sábado enológicos</t>
  </si>
  <si>
    <t>15.05.2011</t>
  </si>
  <si>
    <t>Nº pers2.</t>
  </si>
  <si>
    <t>preparacion planta</t>
  </si>
  <si>
    <t>mantencion</t>
  </si>
  <si>
    <t>Feriados</t>
  </si>
  <si>
    <t>HORAS 50</t>
  </si>
  <si>
    <t>HORAS 100</t>
  </si>
  <si>
    <t>hora 50</t>
  </si>
  <si>
    <t>hora 100</t>
  </si>
  <si>
    <t>Horas de trabajo</t>
  </si>
  <si>
    <t>Hora salida</t>
  </si>
  <si>
    <t>Horas ya trabajadas</t>
  </si>
  <si>
    <t>Horas extras Sap</t>
  </si>
  <si>
    <t>Horas al 50%</t>
  </si>
  <si>
    <t>Horas al 100%</t>
  </si>
  <si>
    <t>Preparaciones</t>
  </si>
  <si>
    <t>Mantenciones</t>
  </si>
  <si>
    <t>Feriado</t>
  </si>
  <si>
    <t>Sap</t>
  </si>
  <si>
    <t>Horas de ingreso</t>
  </si>
  <si>
    <t>Lunes</t>
  </si>
  <si>
    <t>Martes</t>
  </si>
  <si>
    <t>Miércoles</t>
  </si>
  <si>
    <t>Jueves</t>
  </si>
  <si>
    <t>Viernes</t>
  </si>
  <si>
    <t>Sábado</t>
  </si>
  <si>
    <t>Domingo</t>
  </si>
  <si>
    <t>Mes</t>
  </si>
  <si>
    <t>Variable</t>
  </si>
  <si>
    <t>Junio</t>
  </si>
  <si>
    <t>Enero</t>
  </si>
  <si>
    <t>Febrero</t>
  </si>
  <si>
    <t>Marzo</t>
  </si>
  <si>
    <t>Abril</t>
  </si>
  <si>
    <t>Mayo</t>
  </si>
  <si>
    <t>Julio</t>
  </si>
  <si>
    <t>Agosto</t>
  </si>
  <si>
    <t>Septiembre</t>
  </si>
  <si>
    <t>Octubre</t>
  </si>
  <si>
    <t>Noviembre</t>
  </si>
  <si>
    <t>Diciembre</t>
  </si>
  <si>
    <t>Dia</t>
  </si>
  <si>
    <t>14005685-7</t>
  </si>
  <si>
    <t>11.04.2011</t>
  </si>
  <si>
    <t>P10</t>
  </si>
  <si>
    <t>P20</t>
  </si>
  <si>
    <t>12.04.2011</t>
  </si>
  <si>
    <t>13.04.2011</t>
  </si>
  <si>
    <t>14.04.2011</t>
  </si>
  <si>
    <t>15.04.2011</t>
  </si>
  <si>
    <t>16.04.2011</t>
  </si>
  <si>
    <t>17.04.2011</t>
  </si>
  <si>
    <t>JONATHAN JESUS</t>
  </si>
  <si>
    <t>ALBERTO AGUSTIN</t>
  </si>
  <si>
    <t>MARCELO ALEJANDRO</t>
  </si>
  <si>
    <t>-</t>
  </si>
  <si>
    <t>18.04.2011</t>
  </si>
  <si>
    <t>fecha contab</t>
  </si>
  <si>
    <t>Fecha real</t>
  </si>
  <si>
    <t>v</t>
  </si>
</sst>
</file>

<file path=xl/styles.xml><?xml version="1.0" encoding="utf-8"?>
<styleSheet xmlns="http://schemas.openxmlformats.org/spreadsheetml/2006/main">
  <numFmts count="5">
    <numFmt numFmtId="164" formatCode="_-[$€-2]* #,##0.00_-;\-[$€-2]* #,##0.00_-;_-[$€-2]* &quot;-&quot;??_-"/>
    <numFmt numFmtId="165" formatCode="dd/mmmm/yyyy"/>
    <numFmt numFmtId="166" formatCode="########\-#"/>
    <numFmt numFmtId="167" formatCode="mmmm"/>
    <numFmt numFmtId="168" formatCode="[$-F400]h:mm:ss\ AM/PM"/>
  </numFmts>
  <fonts count="35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  <font>
      <b/>
      <sz val="10"/>
      <name val="Arial"/>
      <family val="2"/>
    </font>
    <font>
      <sz val="9"/>
      <name val="Comic Sans MS"/>
      <family val="4"/>
    </font>
    <font>
      <sz val="8"/>
      <name val="Comic Sans MS"/>
      <family val="4"/>
    </font>
    <font>
      <b/>
      <sz val="9"/>
      <color rgb="FFFF0000"/>
      <name val="Book Antiqua"/>
      <family val="1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4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135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0" fontId="0" fillId="27" borderId="0" xfId="0" applyFill="1"/>
    <xf numFmtId="0" fontId="0" fillId="0" borderId="0" xfId="0" pivotButton="1"/>
    <xf numFmtId="0" fontId="21" fillId="32" borderId="11" xfId="0" applyFont="1" applyFill="1" applyBorder="1" applyAlignment="1">
      <alignment horizontal="left"/>
    </xf>
    <xf numFmtId="0" fontId="21" fillId="32" borderId="11" xfId="0" applyFont="1" applyFill="1" applyBorder="1" applyAlignment="1">
      <alignment horizontal="center"/>
    </xf>
    <xf numFmtId="46" fontId="0" fillId="0" borderId="0" xfId="0" applyNumberFormat="1"/>
    <xf numFmtId="46" fontId="0" fillId="0" borderId="11" xfId="0" applyNumberFormat="1" applyBorder="1" applyAlignment="1">
      <alignment horizontal="center"/>
    </xf>
    <xf numFmtId="0" fontId="0" fillId="0" borderId="0" xfId="0" applyFill="1"/>
    <xf numFmtId="46" fontId="0" fillId="0" borderId="11" xfId="0" applyNumberFormat="1" applyBorder="1"/>
    <xf numFmtId="165" fontId="0" fillId="0" borderId="0" xfId="0" applyNumberFormat="1"/>
    <xf numFmtId="165" fontId="0" fillId="0" borderId="11" xfId="0" applyNumberFormat="1" applyBorder="1"/>
    <xf numFmtId="0" fontId="1" fillId="0" borderId="0" xfId="0" applyFont="1"/>
    <xf numFmtId="14" fontId="0" fillId="0" borderId="11" xfId="0" applyNumberFormat="1" applyFill="1" applyBorder="1"/>
    <xf numFmtId="0" fontId="0" fillId="0" borderId="0" xfId="0" applyAlignment="1">
      <alignment horizontal="center"/>
    </xf>
    <xf numFmtId="46" fontId="0" fillId="27" borderId="0" xfId="0" applyNumberFormat="1" applyFill="1"/>
    <xf numFmtId="1" fontId="1" fillId="0" borderId="11" xfId="0" applyNumberFormat="1" applyFont="1" applyFill="1" applyBorder="1" applyAlignment="1">
      <alignment horizontal="center"/>
    </xf>
    <xf numFmtId="46" fontId="0" fillId="27" borderId="0" xfId="0" applyNumberFormat="1" applyFill="1" applyAlignment="1">
      <alignment horizontal="center"/>
    </xf>
    <xf numFmtId="0" fontId="31" fillId="0" borderId="0" xfId="0" applyFont="1"/>
    <xf numFmtId="0" fontId="31" fillId="0" borderId="11" xfId="0" applyFont="1" applyBorder="1"/>
    <xf numFmtId="0" fontId="33" fillId="0" borderId="11" xfId="0" applyFont="1" applyFill="1" applyBorder="1" applyAlignment="1">
      <alignment horizontal="left"/>
    </xf>
    <xf numFmtId="0" fontId="33" fillId="28" borderId="11" xfId="0" applyFont="1" applyFill="1" applyBorder="1" applyAlignment="1">
      <alignment horizontal="left"/>
    </xf>
    <xf numFmtId="0" fontId="32" fillId="28" borderId="11" xfId="0" applyFont="1" applyFill="1" applyBorder="1" applyAlignment="1">
      <alignment horizontal="left"/>
    </xf>
    <xf numFmtId="0" fontId="33" fillId="0" borderId="11" xfId="0" applyFont="1" applyFill="1" applyBorder="1"/>
    <xf numFmtId="0" fontId="32" fillId="0" borderId="11" xfId="0" applyFont="1" applyFill="1" applyBorder="1" applyAlignment="1">
      <alignment horizontal="left"/>
    </xf>
    <xf numFmtId="0" fontId="33" fillId="0" borderId="17" xfId="0" applyFont="1" applyFill="1" applyBorder="1" applyAlignment="1">
      <alignment horizontal="left"/>
    </xf>
    <xf numFmtId="1" fontId="0" fillId="0" borderId="0" xfId="0" applyNumberFormat="1"/>
    <xf numFmtId="21" fontId="0" fillId="0" borderId="11" xfId="0" applyNumberFormat="1" applyBorder="1"/>
    <xf numFmtId="0" fontId="0" fillId="0" borderId="11" xfId="0" applyFill="1" applyBorder="1"/>
    <xf numFmtId="21" fontId="0" fillId="0" borderId="11" xfId="0" applyNumberFormat="1" applyFill="1" applyBorder="1"/>
    <xf numFmtId="0" fontId="0" fillId="27" borderId="11" xfId="0" applyFill="1" applyBorder="1"/>
    <xf numFmtId="21" fontId="0" fillId="27" borderId="11" xfId="0" applyNumberFormat="1" applyFill="1" applyBorder="1"/>
    <xf numFmtId="167" fontId="0" fillId="0" borderId="0" xfId="0" applyNumberFormat="1"/>
    <xf numFmtId="46" fontId="0" fillId="32" borderId="0" xfId="0" applyNumberFormat="1" applyFill="1" applyAlignment="1">
      <alignment horizontal="center"/>
    </xf>
    <xf numFmtId="168" fontId="0" fillId="0" borderId="0" xfId="0" applyNumberFormat="1"/>
    <xf numFmtId="0" fontId="0" fillId="0" borderId="0" xfId="0" applyFont="1" applyFill="1" applyBorder="1"/>
    <xf numFmtId="0" fontId="0" fillId="0" borderId="11" xfId="0" applyFont="1" applyFill="1" applyBorder="1"/>
    <xf numFmtId="46" fontId="0" fillId="33" borderId="0" xfId="0" applyNumberFormat="1" applyFill="1"/>
    <xf numFmtId="0" fontId="1" fillId="0" borderId="11" xfId="0" applyFont="1" applyBorder="1"/>
    <xf numFmtId="168" fontId="0" fillId="0" borderId="11" xfId="0" applyNumberFormat="1" applyBorder="1"/>
    <xf numFmtId="46" fontId="0" fillId="0" borderId="0" xfId="0" applyNumberFormat="1" applyFill="1"/>
    <xf numFmtId="46" fontId="0" fillId="0" borderId="0" xfId="0" applyNumberFormat="1" applyFill="1" applyAlignment="1">
      <alignment horizontal="center"/>
    </xf>
    <xf numFmtId="46" fontId="0" fillId="0" borderId="0" xfId="0" pivotButton="1" applyNumberFormat="1"/>
    <xf numFmtId="46" fontId="0" fillId="34" borderId="0" xfId="0" applyNumberFormat="1" applyFill="1"/>
    <xf numFmtId="46" fontId="0" fillId="35" borderId="0" xfId="0" applyNumberFormat="1" applyFill="1" applyAlignment="1">
      <alignment wrapText="1"/>
    </xf>
    <xf numFmtId="46" fontId="0" fillId="35" borderId="0" xfId="0" applyNumberFormat="1" applyFill="1"/>
    <xf numFmtId="0" fontId="0" fillId="35" borderId="0" xfId="0" applyFill="1" applyAlignment="1">
      <alignment wrapText="1"/>
    </xf>
    <xf numFmtId="46" fontId="0" fillId="27" borderId="0" xfId="0" applyNumberFormat="1" applyFill="1" applyAlignment="1">
      <alignment wrapText="1"/>
    </xf>
    <xf numFmtId="46" fontId="0" fillId="36" borderId="0" xfId="0" applyNumberFormat="1" applyFill="1" applyAlignment="1">
      <alignment wrapText="1"/>
    </xf>
    <xf numFmtId="46" fontId="0" fillId="36" borderId="0" xfId="0" applyNumberFormat="1" applyFill="1"/>
    <xf numFmtId="46" fontId="0" fillId="33" borderId="0" xfId="0" applyNumberFormat="1" applyFill="1" applyAlignment="1">
      <alignment wrapText="1"/>
    </xf>
    <xf numFmtId="0" fontId="27" fillId="32" borderId="11" xfId="0" applyFont="1" applyFill="1" applyBorder="1" applyAlignment="1">
      <alignment horizontal="right"/>
    </xf>
    <xf numFmtId="0" fontId="27" fillId="32" borderId="11" xfId="0" applyNumberFormat="1" applyFont="1" applyFill="1" applyBorder="1" applyAlignment="1">
      <alignment horizontal="right"/>
    </xf>
    <xf numFmtId="46" fontId="0" fillId="0" borderId="0" xfId="0" applyNumberForma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0" fillId="32" borderId="11" xfId="0" applyFont="1" applyFill="1" applyBorder="1" applyAlignment="1">
      <alignment horizontal="center"/>
    </xf>
    <xf numFmtId="0" fontId="30" fillId="32" borderId="19" xfId="0" applyFont="1" applyFill="1" applyBorder="1" applyAlignment="1">
      <alignment horizontal="center"/>
    </xf>
    <xf numFmtId="166" fontId="31" fillId="0" borderId="11" xfId="0" applyNumberFormat="1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4" fillId="37" borderId="11" xfId="0" applyFont="1" applyFill="1" applyBorder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38" borderId="0" xfId="0" applyFill="1"/>
    <xf numFmtId="14" fontId="0" fillId="38" borderId="0" xfId="0" applyNumberFormat="1" applyFill="1"/>
    <xf numFmtId="21" fontId="0" fillId="38" borderId="0" xfId="0" applyNumberFormat="1" applyFill="1"/>
    <xf numFmtId="14" fontId="0" fillId="0" borderId="0" xfId="0" applyNumberFormat="1" applyFill="1"/>
    <xf numFmtId="21" fontId="0" fillId="0" borderId="0" xfId="0" applyNumberFormat="1" applyFill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5" fontId="29" fillId="24" borderId="16" xfId="0" applyNumberFormat="1" applyFont="1" applyFill="1" applyBorder="1" applyAlignment="1">
      <alignment horizontal="center"/>
    </xf>
    <xf numFmtId="165" fontId="29" fillId="24" borderId="15" xfId="0" applyNumberFormat="1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46" fontId="1" fillId="0" borderId="20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11">
    <dxf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wrapText="1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esias" refreshedDate="40686.363072453707" createdVersion="3" refreshedVersion="3" minRefreshableVersion="3" recordCount="1314">
  <cacheSource type="worksheet">
    <worksheetSource ref="A8:O1322" sheet="Control informe Kelly"/>
  </cacheSource>
  <cacheFields count="17">
    <cacheField name="Rut" numFmtId="46">
      <sharedItems count="107">
        <s v="05.080.993-5"/>
        <s v="05.267.317-8"/>
        <s v="05.989.878-7"/>
        <s v="06.528.911-3"/>
        <s v="07.481.602-9"/>
        <s v="07.721.223-K"/>
        <s v="07.760.886-9"/>
        <s v="07.815.607-4"/>
        <s v="07.816.535-9"/>
        <s v="07.816.805-6"/>
        <s v="07.913.597-6"/>
        <s v="07.916.907-2"/>
        <s v="07.944.613-0"/>
        <s v="08.245.727-5"/>
        <s v="08.283.277-7"/>
        <s v="08.454.836-7"/>
        <s v="08.465.592-9"/>
        <s v="08.618.882-1"/>
        <s v="08.809.784-K"/>
        <s v="09.068.490-6"/>
        <s v="09.148.214-2"/>
        <s v="09.571.017-4"/>
        <s v="09.741.880-2"/>
        <s v="09.748.915-7"/>
        <s v="09.774.031-3"/>
        <s v="09.832.710-K"/>
        <s v="09.989.723-6"/>
        <s v="10.042.860-1"/>
        <s v="10.116.815-8"/>
        <s v="10.168.958-1"/>
        <s v="10.173.910-4"/>
        <s v="10.199.755-3"/>
        <s v="10.311.290-7"/>
        <s v="10.407.614-9"/>
        <s v="10.572.816-6"/>
        <s v="10.835.391-0"/>
        <s v="10.849.486-7"/>
        <s v="10.869.222-7"/>
        <s v="10.970.380-K"/>
        <s v="11.124.307-7"/>
        <s v="11.267.594-9"/>
        <s v="11.306.351-3"/>
        <s v="11.325.204-9"/>
        <s v="11.347.053-4"/>
        <s v="11.370.436-5"/>
        <s v="11.523.497-8"/>
        <s v="11.656.057-7"/>
        <s v="11.659.510-9"/>
        <s v="11.660.411-6"/>
        <s v="12.020.450-5"/>
        <s v="12.093.149-0"/>
        <s v="12.093.228-4"/>
        <s v="12.210.109-0"/>
        <s v="12.500.119-K"/>
        <s v="12.677.439-7"/>
        <s v="13.045.231-0"/>
        <s v="13.100.464-8"/>
        <s v="13.236.100-2"/>
        <s v="13.295.279-5"/>
        <s v="13.486.907-0"/>
        <s v="13.557.248-9"/>
        <s v="13.681.026-K"/>
        <s v="13.701.209-K"/>
        <s v="13.769.935-4"/>
        <s v="13.834.251-4"/>
        <s v="13.899.407-4"/>
        <s v="14.005.587-5"/>
        <s v="14.017.495-5"/>
        <s v="14.095.347-4"/>
        <s v="14.181.387-0"/>
        <s v="14.185.109-8"/>
        <s v="14.336.364-3"/>
        <s v="15.102.640-0"/>
        <s v="15.327.501-7"/>
        <s v="15.437.429-9"/>
        <s v="15.439.409-5"/>
        <s v="15.441.831-8"/>
        <s v="15.444.951-5"/>
        <s v="15.445.100-5"/>
        <s v="15.449.281-K"/>
        <s v="15.533.689-7"/>
        <s v="15.891.790-4"/>
        <s v="16.031.949-6"/>
        <s v="16.132.065-K"/>
        <s v="16149604-"/>
        <s v="16.169.301-4"/>
        <s v="16.266.817-K"/>
        <s v="16.268.829-4"/>
        <s v="16.380.050-0"/>
        <s v="16.413.939-5"/>
        <s v="16.441.340-3"/>
        <s v="16.649.200-9"/>
        <s v="16.691.386-1"/>
        <s v="16.697.450-K"/>
        <s v="17.002.272-6"/>
        <s v="17.065.312-2"/>
        <s v="17.245.009-1"/>
        <s v="17.542.884-4"/>
        <s v="17.609.782-5"/>
        <s v="17.929.108-8"/>
        <s v="20.342.651-8"/>
        <s v="22.637.242-3"/>
        <s v=""/>
        <s v="10.933.716-1" u="1"/>
        <s v="09.048.185-1" u="1"/>
        <s v="12.647.009-6" u="1"/>
        <s v="11.873.201-4" u="1"/>
      </sharedItems>
    </cacheField>
    <cacheField name="nombre" numFmtId="46">
      <sharedItems count="107">
        <s v="FIGUEROA NILO CARLOS"/>
        <s v="DUARTE BECERRA LUIS "/>
        <s v="FIGUEROA PAVEZ NELLY E."/>
        <s v="PINO MARTINEZ CARLOS"/>
        <s v="NARVAI RIVERA JORGE PATRICIO"/>
        <s v="QUIROZ VENEGAS JOSE MANUEL "/>
        <s v="ALBORNOZ ROA OSCAR ALFREDO"/>
        <s v="CUEVAS ORDENES PATRICIO HERNAN"/>
        <s v="CERONI  PIZARRO,CARLOS"/>
        <s v="PINTO  FLORES,JULIO CESAR"/>
        <s v="RAMIREZ ROJAS JOSE"/>
        <s v="RUBIO CASTRO MARCOS"/>
        <s v="DIAZ CASTRO MIGUEL ANGEL"/>
        <s v="SALINAS CUEVAS JUAN"/>
        <s v="ARANCIBIA VILLAROEL LEONALDO ALFREDO"/>
        <s v="CARES LOPEZ BRIGIDA DEL CARMEN"/>
        <s v="CASTAÑEDA  SANHUEZA,JUAN A"/>
        <s v="SANDOVAL ACUÑA VICTOR H."/>
        <s v="AGUILERA  LABRIN,CARLOS ANTONIO"/>
        <s v="GONZALEZ DEL VALLE DARIO RODOLFO"/>
        <s v="BAEZA REYES JORGE"/>
        <s v="GALLARDO CASTRO MIGUEL FRANCISCO"/>
        <s v="REINOSO SALAS LAURA CECILIA"/>
        <s v="HERNANDEZ FLORES VICTOR MANUEL"/>
        <s v="CACERES VASQUEZ VICTOR"/>
        <s v="CARO RODRIGUEZ OMAR FCO"/>
        <s v="HERNANDEZ CESPEDES FRANKLIN LEONEL"/>
        <s v="QUIROGA GARCIA LUIS ABRAHAM"/>
        <s v="BUSTOS JARA TERESA DE LAS NIEVES"/>
        <s v="RAMIREZ VASQUEZ RAUL"/>
        <s v="ARSENDIGA PALMA FELIX EXEQUIEL"/>
        <s v="HERNANDEZ GONZALEZ QUINTIN ROBERTO"/>
        <s v="VIDAL  ATENAS,RICARDO V."/>
        <s v="MORA MORA CARLOS ALEJANDRO"/>
        <s v="VARGAS MORENO MARCO ANTONIO"/>
        <s v="SANCHEZ VASQUEZ DANIEL PATRICIO"/>
        <s v="VALDENEGRO  GARRIDO, ELVIO"/>
        <s v="MADRID PINTO MARCO ANTONIO"/>
        <s v="LEIVA MUÑOZ JUAN ENRIQUE"/>
        <s v="MUÑOZ QUENPUL JOSE ENRIQUE"/>
        <s v="ESPINOZA MORENO JOAQUIN"/>
        <s v="MANQUIAN NORIEGA RUBEN MARCO"/>
        <s v="ALVARADO MARTINEZ LUIS ALBERTO"/>
        <s v="CRUZ ROMERO LUISA ISABEL"/>
        <s v="MARDONES ALVARADO LUIS HUMBERTO"/>
        <s v="NARVAI DIAZ LUIS"/>
        <s v="IBAÑEZ GRANIFO PAOLO CESAR"/>
        <s v="MUÑOZ MUÑOZ CLAUDIO ARTURO"/>
        <s v="CORTES HERRERA SIXTO PATRICIO"/>
        <s v="PINEDA PEREZ ROBERTO"/>
        <s v="CONTRERAS CORTES ANGEL GUILLERMO"/>
        <s v="ARANCIBIA NIETO CRISTIAN"/>
        <s v="ESCOBAR RIVERA ROBERTO FERNANDO"/>
        <s v="SANCHEZ TORRES FREDDY"/>
        <s v="AEDO MUÑOZ ANDRES RAUL"/>
        <s v="ARANCIBIA SILVA FELIPE"/>
        <s v="GALLARDO  OYARCE,JOSE A."/>
        <s v="BUSTAMANTE GONZALEZ MARCO ANTONIO"/>
        <s v="TOLEDO YENEVES JUAN OSVALDO"/>
        <s v="MALDONADO DIAZ MIGUEL"/>
        <s v="BERRIOS LOPEZ OSCAR MAURICIO"/>
        <s v="OYANEDEL COFRE JULIO HERNAN"/>
        <s v="SANCHEZ TORRES MARCELINO JHONATTAN"/>
        <s v="LEDESMA ARRIAGADA GONZALO"/>
        <s v="MILLAN HERRERA MARIA ELIANA"/>
        <s v="BUSTAMANTE GONZALEZ MAURICIO ANDRES"/>
        <s v="RODRIGUEZ TORO GERARDO ALBERTO"/>
        <s v="OYARCE DIAZ CARLOS EUGENIO"/>
        <s v="CAÑOLES VERA ANDRES NICOLAS"/>
        <s v="DEL RIO TRONCOSO JORGE ANDRES"/>
        <s v="REYES FUENZALIDA GUILLERMO ANTONIO"/>
        <s v="HERRERA PALMA ARIEL"/>
        <s v="MARDONES ROJAS LUIS ARTURO"/>
        <s v="VASQUEZ MONTECINO LEONARDO"/>
        <s v="NADEAU JOFRE JULIO"/>
        <s v="BRAVO SALAMANCA MARICEL ANDREA"/>
        <s v="VALDERRAMA CAÑAS ROBERTO MARIO"/>
        <s v="PLAZA ARAYA MIGUEL ANTONIO"/>
        <s v="MACAYA MOSCOSO FELIPE ANDRES"/>
        <s v="DURAN MIRANDA ROBERTO FABIAN"/>
        <s v="DURAN  BRAVO, ROBERTO"/>
        <s v="SALINAS SALDIA LUIS ALBERTO"/>
        <s v="ESPINOZA MORENO JONATHAN"/>
        <s v="GALLARDO LUCERO EMERSON"/>
        <s v="POBLETE SANDOVAL RODRIGO "/>
        <s v="ÑANCUCHEO MARIQUEO JOSE MAURICIO"/>
        <s v="PEREZ PADILLA RODRIGO ALEJANDRO"/>
        <s v="MORALES DIAZ SLBERTO"/>
        <s v="FLORES ARANDA MARCELO"/>
        <s v="ESPINOZA MATURANA FABIAN"/>
        <s v="ORMAZABAL CACERES LUIS HERNAN"/>
        <s v="MARTINEZ RIVERA VICTOR ALFONSO"/>
        <s v="SANDOVAL ALTAMIRANO LORENZO "/>
        <s v="REYES ESPINOZA NATALIA BELEN"/>
        <s v="GARCES MUÑOZ JUAN DIEGO ALEXIS"/>
        <s v="GALVEZ CERNA ARIEL ALFREDO"/>
        <s v="ROJAS SALAMANCA RODRIGO ALEJANDRO"/>
        <s v="CASTILLO  AHUMADA FRANCISCO"/>
        <s v="ALVAREZ REYES CRISTIAN DANIEL"/>
        <s v="DONOSO SANTIBAÑEZ CRISTIAN ALFREDO"/>
        <s v="PEREZ SALAZAR CARLOS PATRICIO"/>
        <s v="ALVAREZ CONTRERAS MARISOL"/>
        <s v=""/>
        <s v="SALAZAR FREYHOFER PAULO " u="1"/>
        <s v="RIVEROS  RIFFO, HERNANDO" u="1"/>
        <s v="LEMUS VELIZ CARLOS" u="1"/>
        <s v="GARCIA DIAZ PABLO HORACIO" u="1"/>
      </sharedItems>
    </cacheField>
    <cacheField name="fecha contab" numFmtId="14">
      <sharedItems containsDate="1" containsMixedTypes="1" minDate="1899-12-30T00:00:00" maxDate="1899-12-31T00:00:00" count="9">
        <s v="11.04.2011"/>
        <s v="12.04.2011"/>
        <s v="13.04.2011"/>
        <s v="14.04.2011"/>
        <s v="15.04.2011"/>
        <s v="16.04.2011"/>
        <s v="17.04.2011"/>
        <s v="18.04.2011"/>
        <d v="1899-12-30T00:00:00"/>
      </sharedItems>
    </cacheField>
    <cacheField name="Fecha real" numFmtId="14">
      <sharedItems/>
    </cacheField>
    <cacheField name="0" numFmtId="1">
      <sharedItems containsSemiMixedTypes="0" containsString="0" containsNumber="1" containsInteger="1" minValue="1" maxValue="935" count="93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 u="1"/>
        <n v="908" u="1"/>
        <n v="843" u="1"/>
        <n v="778" u="1"/>
        <n v="713" u="1"/>
        <n v="648" u="1"/>
        <n v="583" u="1"/>
        <n v="909" u="1"/>
        <n v="844" u="1"/>
        <n v="779" u="1"/>
        <n v="714" u="1"/>
        <n v="649" u="1"/>
        <n v="584" u="1"/>
        <n v="910" u="1"/>
        <n v="845" u="1"/>
        <n v="780" u="1"/>
        <n v="715" u="1"/>
        <n v="650" u="1"/>
        <n v="585" u="1"/>
        <n v="911" u="1"/>
        <n v="846" u="1"/>
        <n v="781" u="1"/>
        <n v="716" u="1"/>
        <n v="651" u="1"/>
        <n v="586" u="1"/>
        <n v="912" u="1"/>
        <n v="847" u="1"/>
        <n v="782" u="1"/>
        <n v="717" u="1"/>
        <n v="652" u="1"/>
        <n v="587" u="1"/>
        <n v="913" u="1"/>
        <n v="848" u="1"/>
        <n v="783" u="1"/>
        <n v="718" u="1"/>
        <n v="653" u="1"/>
        <n v="588" u="1"/>
        <n v="914" u="1"/>
        <n v="849" u="1"/>
        <n v="784" u="1"/>
        <n v="719" u="1"/>
        <n v="654" u="1"/>
        <n v="589" u="1"/>
        <n v="915" u="1"/>
        <n v="850" u="1"/>
        <n v="785" u="1"/>
        <n v="720" u="1"/>
        <n v="655" u="1"/>
        <n v="590" u="1"/>
        <n v="916" u="1"/>
        <n v="851" u="1"/>
        <n v="786" u="1"/>
        <n v="721" u="1"/>
        <n v="656" u="1"/>
        <n v="591" u="1"/>
        <n v="917" u="1"/>
        <n v="852" u="1"/>
        <n v="787" u="1"/>
        <n v="722" u="1"/>
        <n v="657" u="1"/>
        <n v="592" u="1"/>
        <n v="918" u="1"/>
        <n v="853" u="1"/>
        <n v="788" u="1"/>
        <n v="723" u="1"/>
        <n v="658" u="1"/>
        <n v="593" u="1"/>
        <n v="919" u="1"/>
        <n v="854" u="1"/>
        <n v="789" u="1"/>
        <n v="724" u="1"/>
        <n v="659" u="1"/>
        <n v="594" u="1"/>
        <n v="920" u="1"/>
        <n v="855" u="1"/>
        <n v="790" u="1"/>
        <n v="725" u="1"/>
        <n v="660" u="1"/>
        <n v="595" u="1"/>
        <n v="921" u="1"/>
        <n v="856" u="1"/>
        <n v="791" u="1"/>
        <n v="726" u="1"/>
        <n v="661" u="1"/>
        <n v="596" u="1"/>
        <n v="922" u="1"/>
        <n v="857" u="1"/>
        <n v="792" u="1"/>
        <n v="727" u="1"/>
        <n v="662" u="1"/>
        <n v="597" u="1"/>
        <n v="923" u="1"/>
        <n v="858" u="1"/>
        <n v="793" u="1"/>
        <n v="728" u="1"/>
        <n v="663" u="1"/>
        <n v="598" u="1"/>
        <n v="924" u="1"/>
        <n v="859" u="1"/>
        <n v="794" u="1"/>
        <n v="729" u="1"/>
        <n v="664" u="1"/>
        <n v="599" u="1"/>
        <n v="925" u="1"/>
        <n v="860" u="1"/>
        <n v="795" u="1"/>
        <n v="730" u="1"/>
        <n v="665" u="1"/>
        <n v="600" u="1"/>
        <n v="926" u="1"/>
        <n v="861" u="1"/>
        <n v="796" u="1"/>
        <n v="731" u="1"/>
        <n v="666" u="1"/>
        <n v="601" u="1"/>
        <n v="927" u="1"/>
        <n v="862" u="1"/>
        <n v="797" u="1"/>
        <n v="732" u="1"/>
        <n v="667" u="1"/>
        <n v="602" u="1"/>
        <n v="928" u="1"/>
        <n v="863" u="1"/>
        <n v="798" u="1"/>
        <n v="733" u="1"/>
        <n v="668" u="1"/>
        <n v="603" u="1"/>
        <n v="929" u="1"/>
        <n v="864" u="1"/>
        <n v="799" u="1"/>
        <n v="734" u="1"/>
        <n v="669" u="1"/>
        <n v="604" u="1"/>
        <n v="930" u="1"/>
        <n v="865" u="1"/>
        <n v="800" u="1"/>
        <n v="735" u="1"/>
        <n v="670" u="1"/>
        <n v="605" u="1"/>
        <n v="931" u="1"/>
        <n v="866" u="1"/>
        <n v="801" u="1"/>
        <n v="736" u="1"/>
        <n v="671" u="1"/>
        <n v="606" u="1"/>
        <n v="932" u="1"/>
        <n v="867" u="1"/>
        <n v="802" u="1"/>
        <n v="737" u="1"/>
        <n v="672" u="1"/>
        <n v="607" u="1"/>
        <n v="933" u="1"/>
        <n v="868" u="1"/>
        <n v="803" u="1"/>
        <n v="738" u="1"/>
        <n v="673" u="1"/>
        <n v="608" u="1"/>
        <n v="934" u="1"/>
        <n v="869" u="1"/>
        <n v="804" u="1"/>
        <n v="739" u="1"/>
        <n v="674" u="1"/>
        <n v="609" u="1"/>
        <n v="935" u="1"/>
        <n v="870" u="1"/>
        <n v="805" u="1"/>
        <n v="740" u="1"/>
        <n v="675" u="1"/>
        <n v="610" u="1"/>
        <n v="871" u="1"/>
        <n v="806" u="1"/>
        <n v="741" u="1"/>
        <n v="676" u="1"/>
        <n v="611" u="1"/>
        <n v="872" u="1"/>
        <n v="807" u="1"/>
        <n v="742" u="1"/>
        <n v="677" u="1"/>
        <n v="612" u="1"/>
        <n v="873" u="1"/>
        <n v="808" u="1"/>
        <n v="743" u="1"/>
        <n v="678" u="1"/>
        <n v="613" u="1"/>
        <n v="874" u="1"/>
        <n v="809" u="1"/>
        <n v="744" u="1"/>
        <n v="679" u="1"/>
        <n v="614" u="1"/>
        <n v="875" u="1"/>
        <n v="810" u="1"/>
        <n v="745" u="1"/>
        <n v="680" u="1"/>
        <n v="615" u="1"/>
        <n v="876" u="1"/>
        <n v="811" u="1"/>
        <n v="746" u="1"/>
        <n v="681" u="1"/>
        <n v="616" u="1"/>
        <n v="877" u="1"/>
        <n v="812" u="1"/>
        <n v="747" u="1"/>
        <n v="682" u="1"/>
        <n v="617" u="1"/>
        <n v="878" u="1"/>
        <n v="813" u="1"/>
        <n v="748" u="1"/>
        <n v="683" u="1"/>
        <n v="618" u="1"/>
        <n v="879" u="1"/>
        <n v="814" u="1"/>
        <n v="749" u="1"/>
        <n v="684" u="1"/>
        <n v="619" u="1"/>
        <n v="880" u="1"/>
        <n v="815" u="1"/>
        <n v="750" u="1"/>
        <n v="685" u="1"/>
        <n v="620" u="1"/>
        <n v="881" u="1"/>
        <n v="816" u="1"/>
        <n v="751" u="1"/>
        <n v="686" u="1"/>
        <n v="621" u="1"/>
        <n v="882" u="1"/>
        <n v="817" u="1"/>
        <n v="752" u="1"/>
        <n v="687" u="1"/>
        <n v="622" u="1"/>
        <n v="883" u="1"/>
        <n v="818" u="1"/>
        <n v="753" u="1"/>
        <n v="688" u="1"/>
        <n v="623" u="1"/>
        <n v="884" u="1"/>
        <n v="819" u="1"/>
        <n v="754" u="1"/>
        <n v="689" u="1"/>
        <n v="624" u="1"/>
        <n v="885" u="1"/>
        <n v="820" u="1"/>
        <n v="755" u="1"/>
        <n v="690" u="1"/>
        <n v="625" u="1"/>
        <n v="886" u="1"/>
        <n v="821" u="1"/>
        <n v="756" u="1"/>
        <n v="691" u="1"/>
        <n v="626" u="1"/>
        <n v="887" u="1"/>
        <n v="822" u="1"/>
        <n v="757" u="1"/>
        <n v="692" u="1"/>
        <n v="627" u="1"/>
        <n v="888" u="1"/>
        <n v="823" u="1"/>
        <n v="758" u="1"/>
        <n v="693" u="1"/>
        <n v="628" u="1"/>
        <n v="889" u="1"/>
        <n v="824" u="1"/>
        <n v="759" u="1"/>
        <n v="694" u="1"/>
        <n v="629" u="1"/>
        <n v="890" u="1"/>
        <n v="825" u="1"/>
        <n v="760" u="1"/>
        <n v="695" u="1"/>
        <n v="630" u="1"/>
        <n v="891" u="1"/>
        <n v="826" u="1"/>
        <n v="761" u="1"/>
        <n v="696" u="1"/>
        <n v="631" u="1"/>
        <n v="892" u="1"/>
        <n v="827" u="1"/>
        <n v="762" u="1"/>
        <n v="697" u="1"/>
        <n v="632" u="1"/>
        <n v="893" u="1"/>
        <n v="828" u="1"/>
        <n v="763" u="1"/>
        <n v="698" u="1"/>
        <n v="633" u="1"/>
        <n v="894" u="1"/>
        <n v="829" u="1"/>
        <n v="764" u="1"/>
        <n v="699" u="1"/>
        <n v="634" u="1"/>
        <n v="895" u="1"/>
        <n v="830" u="1"/>
        <n v="765" u="1"/>
        <n v="700" u="1"/>
        <n v="635" u="1"/>
        <n v="896" u="1"/>
        <n v="831" u="1"/>
        <n v="766" u="1"/>
        <n v="701" u="1"/>
        <n v="636" u="1"/>
        <n v="897" u="1"/>
        <n v="832" u="1"/>
        <n v="767" u="1"/>
        <n v="702" u="1"/>
        <n v="637" u="1"/>
        <n v="898" u="1"/>
        <n v="833" u="1"/>
        <n v="768" u="1"/>
        <n v="703" u="1"/>
        <n v="638" u="1"/>
        <n v="899" u="1"/>
        <n v="834" u="1"/>
        <n v="769" u="1"/>
        <n v="704" u="1"/>
        <n v="639" u="1"/>
        <n v="900" u="1"/>
        <n v="835" u="1"/>
        <n v="770" u="1"/>
        <n v="705" u="1"/>
        <n v="640" u="1"/>
        <n v="901" u="1"/>
        <n v="836" u="1"/>
        <n v="771" u="1"/>
        <n v="706" u="1"/>
        <n v="641" u="1"/>
        <n v="902" u="1"/>
        <n v="837" u="1"/>
        <n v="772" u="1"/>
        <n v="707" u="1"/>
        <n v="642" u="1"/>
        <n v="903" u="1"/>
        <n v="838" u="1"/>
        <n v="773" u="1"/>
        <n v="708" u="1"/>
        <n v="643" u="1"/>
        <n v="904" u="1"/>
        <n v="839" u="1"/>
        <n v="774" u="1"/>
        <n v="709" u="1"/>
        <n v="644" u="1"/>
        <n v="905" u="1"/>
        <n v="840" u="1"/>
        <n v="775" u="1"/>
        <n v="710" u="1"/>
        <n v="645" u="1"/>
        <n v="906" u="1"/>
        <n v="841" u="1"/>
        <n v="776" u="1"/>
        <n v="711" u="1"/>
        <n v="646" u="1"/>
        <n v="907" u="1"/>
        <n v="842" u="1"/>
        <n v="777" u="1"/>
        <n v="712" u="1"/>
        <n v="647" u="1"/>
      </sharedItems>
    </cacheField>
    <cacheField name="Dia" numFmtId="1">
      <sharedItems containsBlank="1" count="10">
        <s v="Lunes"/>
        <s v="Martes"/>
        <s v="Miércoles"/>
        <s v="Jueves"/>
        <s v="Viernes"/>
        <s v="Sábado"/>
        <s v="Domingo"/>
        <s v="v"/>
        <s v="" u="1"/>
        <m u="1"/>
      </sharedItems>
    </cacheField>
    <cacheField name="turno" numFmtId="46">
      <sharedItems count="6">
        <s v="Turno B"/>
        <s v="Admin"/>
        <s v="no esta ingresado"/>
        <s v="Turno C"/>
        <s v="Turno A"/>
        <s v="Variable" u="1"/>
      </sharedItems>
    </cacheField>
    <cacheField name="llegada" numFmtId="46">
      <sharedItems containsDate="1" containsMixedTypes="1" minDate="1899-12-30T00:01:33" maxDate="1899-12-30T23:59:52"/>
    </cacheField>
    <cacheField name="salida" numFmtId="46">
      <sharedItems containsDate="1" containsMixedTypes="1" minDate="1899-12-30T07:14:00" maxDate="1899-12-30T22:55:13"/>
    </cacheField>
    <cacheField name="hora 50" numFmtId="46">
      <sharedItems containsDate="1" containsMixedTypes="1" minDate="1899-12-30T01:00:00" maxDate="1899-12-30T06:00:00"/>
    </cacheField>
    <cacheField name="hora 100" numFmtId="46">
      <sharedItems containsDate="1" containsMixedTypes="1" minDate="1899-12-30T07:30:00" maxDate="1899-12-30T07:30:00"/>
    </cacheField>
    <cacheField name="Horas a trabajar" numFmtId="46">
      <sharedItems containsDate="1" containsMixedTypes="1" minDate="1899-12-30T00:00:00" maxDate="1899-12-30T10:00:00"/>
    </cacheField>
    <cacheField name="preparacion planta" numFmtId="46">
      <sharedItems containsDate="1" containsMixedTypes="1" minDate="1899-12-30T07:30:00" maxDate="1899-12-30T07:30:00"/>
    </cacheField>
    <cacheField name="mantencion" numFmtId="168">
      <sharedItems/>
    </cacheField>
    <cacheField name="Feriados" numFmtId="168">
      <sharedItems/>
    </cacheField>
    <cacheField name="Horas trabajadas" numFmtId="0" formula="IF(llegada&gt;salida,(salida+0.5)-(llegada-0.5),salida-llegada)" databaseField="0"/>
    <cacheField name="Horas extras" numFmtId="0" formula="'Horas trabajadas'-'Horas a trabajar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14">
  <r>
    <x v="0"/>
    <x v="0"/>
    <x v="0"/>
    <s v="11.04.2011"/>
    <x v="0"/>
    <x v="0"/>
    <x v="0"/>
    <s v=""/>
    <d v="1899-12-30T22:30:44"/>
    <s v=""/>
    <s v=""/>
    <d v="1899-12-30T07:30:00"/>
    <s v=""/>
    <s v=""/>
    <s v=""/>
  </r>
  <r>
    <x v="0"/>
    <x v="0"/>
    <x v="0"/>
    <s v="11.04.2011"/>
    <x v="0"/>
    <x v="0"/>
    <x v="0"/>
    <d v="1899-12-30T14:24:50"/>
    <s v=""/>
    <s v=""/>
    <s v=""/>
    <d v="1899-12-30T00:00:00"/>
    <s v=""/>
    <s v=""/>
    <s v=""/>
  </r>
  <r>
    <x v="0"/>
    <x v="0"/>
    <x v="1"/>
    <s v="12.04.2011"/>
    <x v="1"/>
    <x v="1"/>
    <x v="0"/>
    <s v=""/>
    <d v="1899-12-30T22:29:02"/>
    <s v=""/>
    <s v=""/>
    <d v="1899-12-30T07:30:00"/>
    <s v=""/>
    <s v=""/>
    <s v=""/>
  </r>
  <r>
    <x v="0"/>
    <x v="0"/>
    <x v="1"/>
    <s v="12.04.2011"/>
    <x v="1"/>
    <x v="1"/>
    <x v="0"/>
    <d v="1899-12-30T14:15:35"/>
    <s v=""/>
    <s v=""/>
    <s v=""/>
    <d v="1899-12-30T00:00:00"/>
    <s v=""/>
    <s v=""/>
    <s v=""/>
  </r>
  <r>
    <x v="0"/>
    <x v="0"/>
    <x v="2"/>
    <s v="13.04.2011"/>
    <x v="2"/>
    <x v="2"/>
    <x v="0"/>
    <s v=""/>
    <d v="1899-12-30T20:24:16"/>
    <s v=""/>
    <s v=""/>
    <d v="1899-12-30T07:30:00"/>
    <s v=""/>
    <s v=""/>
    <s v=""/>
  </r>
  <r>
    <x v="0"/>
    <x v="0"/>
    <x v="2"/>
    <s v="13.04.2011"/>
    <x v="2"/>
    <x v="2"/>
    <x v="0"/>
    <d v="1899-12-30T14:24:28"/>
    <s v=""/>
    <s v=""/>
    <s v=""/>
    <d v="1899-12-30T00:00:00"/>
    <s v=""/>
    <s v=""/>
    <s v=""/>
  </r>
  <r>
    <x v="0"/>
    <x v="0"/>
    <x v="3"/>
    <s v="14.04.2011"/>
    <x v="3"/>
    <x v="3"/>
    <x v="0"/>
    <s v=""/>
    <d v="1899-12-30T22:30:04"/>
    <s v=""/>
    <s v=""/>
    <d v="1899-12-30T07:30:00"/>
    <s v=""/>
    <s v=""/>
    <s v=""/>
  </r>
  <r>
    <x v="0"/>
    <x v="0"/>
    <x v="3"/>
    <s v="14.04.2011"/>
    <x v="3"/>
    <x v="3"/>
    <x v="0"/>
    <d v="1899-12-30T14:24:35"/>
    <s v=""/>
    <s v=""/>
    <s v=""/>
    <d v="1899-12-30T00:00:00"/>
    <s v=""/>
    <s v=""/>
    <s v=""/>
  </r>
  <r>
    <x v="0"/>
    <x v="0"/>
    <x v="4"/>
    <s v="15.04.2011"/>
    <x v="4"/>
    <x v="4"/>
    <x v="0"/>
    <s v=""/>
    <d v="1899-12-30T22:30:02"/>
    <s v=""/>
    <s v=""/>
    <d v="1899-12-30T07:30:00"/>
    <s v=""/>
    <s v=""/>
    <s v=""/>
  </r>
  <r>
    <x v="0"/>
    <x v="0"/>
    <x v="4"/>
    <s v="15.04.2011"/>
    <x v="4"/>
    <x v="4"/>
    <x v="0"/>
    <d v="1899-12-30T14:57:16"/>
    <s v=""/>
    <s v=""/>
    <s v=""/>
    <d v="1899-12-30T00:00:00"/>
    <s v=""/>
    <s v=""/>
    <s v=""/>
  </r>
  <r>
    <x v="0"/>
    <x v="0"/>
    <x v="5"/>
    <s v="16.04.2011"/>
    <x v="5"/>
    <x v="5"/>
    <x v="0"/>
    <s v=""/>
    <d v="1899-12-30T22:30:57"/>
    <s v=""/>
    <s v=""/>
    <d v="1899-12-30T07:30:00"/>
    <s v=""/>
    <s v=""/>
    <s v=""/>
  </r>
  <r>
    <x v="0"/>
    <x v="0"/>
    <x v="5"/>
    <s v="16.04.2011"/>
    <x v="5"/>
    <x v="5"/>
    <x v="0"/>
    <d v="1899-12-30T14:16:28"/>
    <s v=""/>
    <s v=""/>
    <s v=""/>
    <d v="1899-12-30T00:00:00"/>
    <s v=""/>
    <s v=""/>
    <s v=""/>
  </r>
  <r>
    <x v="1"/>
    <x v="1"/>
    <x v="0"/>
    <s v="11.04.2011"/>
    <x v="6"/>
    <x v="0"/>
    <x v="1"/>
    <s v=""/>
    <d v="1899-12-30T17:28:44"/>
    <s v=""/>
    <s v=""/>
    <d v="1899-12-30T10:00:00"/>
    <s v=""/>
    <s v=""/>
    <s v=""/>
  </r>
  <r>
    <x v="1"/>
    <x v="1"/>
    <x v="0"/>
    <s v="11.04.2011"/>
    <x v="6"/>
    <x v="0"/>
    <x v="1"/>
    <d v="1899-12-30T06:52:50"/>
    <s v=""/>
    <s v=""/>
    <s v=""/>
    <d v="1899-12-30T00:00:00"/>
    <s v=""/>
    <s v=""/>
    <s v=""/>
  </r>
  <r>
    <x v="1"/>
    <x v="1"/>
    <x v="1"/>
    <s v="12.04.2011"/>
    <x v="7"/>
    <x v="1"/>
    <x v="1"/>
    <s v=""/>
    <d v="1899-12-30T17:25:43"/>
    <s v=""/>
    <s v=""/>
    <d v="1899-12-30T10:00:00"/>
    <s v=""/>
    <s v=""/>
    <s v=""/>
  </r>
  <r>
    <x v="1"/>
    <x v="1"/>
    <x v="1"/>
    <s v="12.04.2011"/>
    <x v="7"/>
    <x v="1"/>
    <x v="1"/>
    <d v="1899-12-30T07:11:31"/>
    <s v=""/>
    <s v=""/>
    <s v=""/>
    <d v="1899-12-30T00:00:00"/>
    <s v=""/>
    <s v=""/>
    <s v=""/>
  </r>
  <r>
    <x v="1"/>
    <x v="1"/>
    <x v="2"/>
    <s v="13.04.2011"/>
    <x v="8"/>
    <x v="2"/>
    <x v="1"/>
    <s v=""/>
    <d v="1899-12-30T17:39:22"/>
    <s v=""/>
    <s v=""/>
    <d v="1899-12-30T10:00:00"/>
    <s v=""/>
    <s v=""/>
    <s v=""/>
  </r>
  <r>
    <x v="1"/>
    <x v="1"/>
    <x v="2"/>
    <s v="13.04.2011"/>
    <x v="8"/>
    <x v="2"/>
    <x v="1"/>
    <d v="1899-12-30T06:53:13"/>
    <s v=""/>
    <s v=""/>
    <s v=""/>
    <d v="1899-12-30T00:00:00"/>
    <s v=""/>
    <s v=""/>
    <s v=""/>
  </r>
  <r>
    <x v="1"/>
    <x v="1"/>
    <x v="3"/>
    <s v="14.04.2011"/>
    <x v="9"/>
    <x v="3"/>
    <x v="1"/>
    <s v=""/>
    <d v="1899-12-30T17:30:10"/>
    <s v=""/>
    <s v=""/>
    <d v="1899-12-30T10:00:00"/>
    <s v=""/>
    <s v=""/>
    <s v=""/>
  </r>
  <r>
    <x v="1"/>
    <x v="1"/>
    <x v="3"/>
    <s v="14.04.2011"/>
    <x v="9"/>
    <x v="3"/>
    <x v="1"/>
    <d v="1899-12-30T06:54:13"/>
    <s v=""/>
    <s v=""/>
    <s v=""/>
    <d v="1899-12-30T00:00:00"/>
    <s v=""/>
    <s v=""/>
    <s v=""/>
  </r>
  <r>
    <x v="1"/>
    <x v="1"/>
    <x v="4"/>
    <s v="15.04.2011"/>
    <x v="10"/>
    <x v="4"/>
    <x v="1"/>
    <s v=""/>
    <d v="1899-12-30T20:53:24"/>
    <d v="1899-12-30T03:00:00"/>
    <s v=""/>
    <d v="1899-12-30T10:00:00"/>
    <s v=""/>
    <s v=""/>
    <s v=""/>
  </r>
  <r>
    <x v="1"/>
    <x v="1"/>
    <x v="4"/>
    <s v="15.04.2011"/>
    <x v="10"/>
    <x v="4"/>
    <x v="1"/>
    <d v="1899-12-30T06:49:03"/>
    <s v=""/>
    <s v=""/>
    <s v=""/>
    <d v="1899-12-30T00:00:00"/>
    <s v=""/>
    <s v=""/>
    <s v=""/>
  </r>
  <r>
    <x v="1"/>
    <x v="1"/>
    <x v="5"/>
    <s v="16.04.2011"/>
    <x v="11"/>
    <x v="5"/>
    <x v="1"/>
    <s v=""/>
    <d v="1899-12-30T13:45:06"/>
    <d v="1899-12-30T06:00:00"/>
    <s v=""/>
    <d v="1899-12-30T10:00:00"/>
    <s v=""/>
    <s v=""/>
    <s v=""/>
  </r>
  <r>
    <x v="1"/>
    <x v="1"/>
    <x v="5"/>
    <s v="16.04.2011"/>
    <x v="11"/>
    <x v="5"/>
    <x v="1"/>
    <d v="1899-12-30T07:23:23"/>
    <s v=""/>
    <s v=""/>
    <s v=""/>
    <d v="1899-12-30T00:00:00"/>
    <s v=""/>
    <s v=""/>
    <s v=""/>
  </r>
  <r>
    <x v="2"/>
    <x v="2"/>
    <x v="0"/>
    <s v="11.04.2011"/>
    <x v="12"/>
    <x v="0"/>
    <x v="0"/>
    <s v=""/>
    <d v="1899-12-30T22:34:17"/>
    <s v=""/>
    <s v=""/>
    <d v="1899-12-30T07:30:00"/>
    <s v=""/>
    <s v=""/>
    <s v=""/>
  </r>
  <r>
    <x v="2"/>
    <x v="2"/>
    <x v="0"/>
    <s v="11.04.2011"/>
    <x v="12"/>
    <x v="0"/>
    <x v="0"/>
    <d v="1899-12-30T14:34:50"/>
    <s v=""/>
    <s v=""/>
    <s v=""/>
    <d v="1899-12-30T00:00:00"/>
    <s v=""/>
    <s v=""/>
    <s v=""/>
  </r>
  <r>
    <x v="2"/>
    <x v="2"/>
    <x v="1"/>
    <s v="12.04.2011"/>
    <x v="13"/>
    <x v="1"/>
    <x v="0"/>
    <s v=""/>
    <d v="1899-12-30T22:40:41"/>
    <s v=""/>
    <s v=""/>
    <d v="1899-12-30T07:30:00"/>
    <s v=""/>
    <s v=""/>
    <s v=""/>
  </r>
  <r>
    <x v="2"/>
    <x v="2"/>
    <x v="1"/>
    <s v="12.04.2011"/>
    <x v="13"/>
    <x v="1"/>
    <x v="0"/>
    <d v="1899-12-30T14:35:03"/>
    <s v=""/>
    <s v=""/>
    <s v=""/>
    <d v="1899-12-30T00:00:00"/>
    <s v=""/>
    <s v=""/>
    <s v=""/>
  </r>
  <r>
    <x v="2"/>
    <x v="2"/>
    <x v="2"/>
    <s v="13.04.2011"/>
    <x v="14"/>
    <x v="2"/>
    <x v="0"/>
    <s v=""/>
    <d v="1899-12-30T22:34:45"/>
    <s v=""/>
    <s v=""/>
    <d v="1899-12-30T07:30:00"/>
    <s v=""/>
    <s v=""/>
    <s v=""/>
  </r>
  <r>
    <x v="2"/>
    <x v="2"/>
    <x v="2"/>
    <s v="13.04.2011"/>
    <x v="14"/>
    <x v="2"/>
    <x v="0"/>
    <d v="1899-12-30T14:38:10"/>
    <s v=""/>
    <s v=""/>
    <s v=""/>
    <d v="1899-12-30T00:00:00"/>
    <s v=""/>
    <s v=""/>
    <s v=""/>
  </r>
  <r>
    <x v="2"/>
    <x v="2"/>
    <x v="3"/>
    <s v="14.04.2011"/>
    <x v="15"/>
    <x v="3"/>
    <x v="0"/>
    <s v=""/>
    <d v="1899-12-30T15:07:15"/>
    <s v=""/>
    <s v=""/>
    <d v="1899-12-30T07:30:00"/>
    <s v=""/>
    <s v=""/>
    <s v=""/>
  </r>
  <r>
    <x v="2"/>
    <x v="2"/>
    <x v="3"/>
    <s v="14.04.2011"/>
    <x v="15"/>
    <x v="3"/>
    <x v="0"/>
    <d v="1899-12-30T07:10:43"/>
    <s v=""/>
    <s v=""/>
    <s v=""/>
    <d v="1899-12-30T00:00:00"/>
    <s v=""/>
    <s v=""/>
    <s v=""/>
  </r>
  <r>
    <x v="2"/>
    <x v="2"/>
    <x v="4"/>
    <s v="15.04.2011"/>
    <x v="16"/>
    <x v="4"/>
    <x v="0"/>
    <s v=""/>
    <d v="1899-12-30T22:32:33"/>
    <s v=""/>
    <s v=""/>
    <d v="1899-12-30T07:30:00"/>
    <s v=""/>
    <s v=""/>
    <s v=""/>
  </r>
  <r>
    <x v="2"/>
    <x v="2"/>
    <x v="4"/>
    <s v="15.04.2011"/>
    <x v="16"/>
    <x v="4"/>
    <x v="0"/>
    <d v="1899-12-30T14:35:02"/>
    <s v=""/>
    <s v=""/>
    <s v=""/>
    <d v="1899-12-30T00:00:00"/>
    <s v=""/>
    <s v=""/>
    <s v=""/>
  </r>
  <r>
    <x v="2"/>
    <x v="2"/>
    <x v="5"/>
    <s v="16.04.2011"/>
    <x v="17"/>
    <x v="5"/>
    <x v="0"/>
    <s v=""/>
    <d v="1899-12-30T19:29:39"/>
    <s v=""/>
    <s v=""/>
    <d v="1899-12-30T07:30:00"/>
    <s v=""/>
    <s v=""/>
    <s v=""/>
  </r>
  <r>
    <x v="2"/>
    <x v="2"/>
    <x v="5"/>
    <s v="16.04.2011"/>
    <x v="17"/>
    <x v="5"/>
    <x v="0"/>
    <d v="1899-12-30T11:46:51"/>
    <s v=""/>
    <s v=""/>
    <s v=""/>
    <d v="1899-12-30T00:00:00"/>
    <s v=""/>
    <s v=""/>
    <s v=""/>
  </r>
  <r>
    <x v="3"/>
    <x v="3"/>
    <x v="0"/>
    <s v="11.04.2011"/>
    <x v="18"/>
    <x v="0"/>
    <x v="2"/>
    <s v=""/>
    <d v="1899-12-30T15:10:24"/>
    <s v=""/>
    <s v=""/>
    <s v=""/>
    <s v=""/>
    <s v=""/>
    <s v=""/>
  </r>
  <r>
    <x v="3"/>
    <x v="3"/>
    <x v="0"/>
    <s v="11.04.2011"/>
    <x v="18"/>
    <x v="0"/>
    <x v="2"/>
    <d v="1899-12-30T07:01:21"/>
    <s v=""/>
    <s v=""/>
    <s v=""/>
    <d v="1899-12-30T00:00:00"/>
    <s v=""/>
    <s v=""/>
    <s v=""/>
  </r>
  <r>
    <x v="3"/>
    <x v="3"/>
    <x v="1"/>
    <s v="12.04.2011"/>
    <x v="19"/>
    <x v="1"/>
    <x v="2"/>
    <s v=""/>
    <d v="1899-12-30T15:21:12"/>
    <s v=""/>
    <s v=""/>
    <s v=""/>
    <s v=""/>
    <s v=""/>
    <s v=""/>
  </r>
  <r>
    <x v="3"/>
    <x v="3"/>
    <x v="1"/>
    <s v="12.04.2011"/>
    <x v="19"/>
    <x v="1"/>
    <x v="2"/>
    <d v="1899-12-30T07:01:10"/>
    <s v=""/>
    <s v=""/>
    <s v=""/>
    <d v="1899-12-30T00:00:00"/>
    <s v=""/>
    <s v=""/>
    <s v=""/>
  </r>
  <r>
    <x v="3"/>
    <x v="3"/>
    <x v="2"/>
    <s v="13.04.2011"/>
    <x v="20"/>
    <x v="2"/>
    <x v="2"/>
    <s v=""/>
    <d v="1899-12-30T15:04:45"/>
    <s v=""/>
    <s v=""/>
    <s v=""/>
    <s v=""/>
    <s v=""/>
    <s v=""/>
  </r>
  <r>
    <x v="3"/>
    <x v="3"/>
    <x v="2"/>
    <s v="13.04.2011"/>
    <x v="20"/>
    <x v="2"/>
    <x v="2"/>
    <d v="1899-12-30T07:01:59"/>
    <s v=""/>
    <s v=""/>
    <s v=""/>
    <d v="1899-12-30T00:00:00"/>
    <s v=""/>
    <s v=""/>
    <s v=""/>
  </r>
  <r>
    <x v="3"/>
    <x v="3"/>
    <x v="3"/>
    <s v="14.04.2011"/>
    <x v="21"/>
    <x v="3"/>
    <x v="2"/>
    <s v=""/>
    <d v="1899-12-30T15:17:24"/>
    <s v=""/>
    <s v=""/>
    <s v=""/>
    <s v=""/>
    <s v=""/>
    <s v=""/>
  </r>
  <r>
    <x v="3"/>
    <x v="3"/>
    <x v="3"/>
    <s v="14.04.2011"/>
    <x v="21"/>
    <x v="3"/>
    <x v="2"/>
    <d v="1899-12-30T07:01:39"/>
    <s v=""/>
    <s v=""/>
    <s v=""/>
    <d v="1899-12-30T00:00:00"/>
    <s v=""/>
    <s v=""/>
    <s v=""/>
  </r>
  <r>
    <x v="3"/>
    <x v="3"/>
    <x v="4"/>
    <s v="15.04.2011"/>
    <x v="22"/>
    <x v="4"/>
    <x v="2"/>
    <s v=""/>
    <d v="1899-12-30T15:25:33"/>
    <s v=""/>
    <s v=""/>
    <s v=""/>
    <s v=""/>
    <s v=""/>
    <s v=""/>
  </r>
  <r>
    <x v="3"/>
    <x v="3"/>
    <x v="4"/>
    <s v="15.04.2011"/>
    <x v="22"/>
    <x v="4"/>
    <x v="2"/>
    <d v="1899-12-30T07:03:15"/>
    <s v=""/>
    <s v=""/>
    <s v=""/>
    <d v="1899-12-30T00:00:00"/>
    <s v=""/>
    <s v=""/>
    <s v=""/>
  </r>
  <r>
    <x v="3"/>
    <x v="3"/>
    <x v="5"/>
    <s v="16.04.2011"/>
    <x v="23"/>
    <x v="5"/>
    <x v="2"/>
    <s v=""/>
    <d v="1899-12-30T15:11:25"/>
    <s v=""/>
    <s v=""/>
    <s v=""/>
    <s v=""/>
    <s v=""/>
    <s v=""/>
  </r>
  <r>
    <x v="3"/>
    <x v="3"/>
    <x v="5"/>
    <s v="16.04.2011"/>
    <x v="23"/>
    <x v="5"/>
    <x v="2"/>
    <d v="1899-12-30T07:02:26"/>
    <s v=""/>
    <s v=""/>
    <s v=""/>
    <d v="1899-12-30T00:00:00"/>
    <s v=""/>
    <s v=""/>
    <s v=""/>
  </r>
  <r>
    <x v="4"/>
    <x v="4"/>
    <x v="0"/>
    <s v="11.04.2011"/>
    <x v="24"/>
    <x v="0"/>
    <x v="0"/>
    <s v=""/>
    <d v="1899-12-30T22:38:02"/>
    <s v=""/>
    <s v=""/>
    <d v="1899-12-30T07:30:00"/>
    <s v=""/>
    <s v=""/>
    <s v=""/>
  </r>
  <r>
    <x v="4"/>
    <x v="4"/>
    <x v="0"/>
    <s v="11.04.2011"/>
    <x v="24"/>
    <x v="0"/>
    <x v="0"/>
    <d v="1899-12-30T14:36:02"/>
    <s v=""/>
    <s v=""/>
    <s v=""/>
    <d v="1899-12-30T00:00:00"/>
    <s v=""/>
    <s v=""/>
    <s v=""/>
  </r>
  <r>
    <x v="4"/>
    <x v="4"/>
    <x v="1"/>
    <s v="12.04.2011"/>
    <x v="25"/>
    <x v="1"/>
    <x v="0"/>
    <s v=""/>
    <d v="1899-12-30T22:39:50"/>
    <s v=""/>
    <s v=""/>
    <d v="1899-12-30T07:30:00"/>
    <s v=""/>
    <s v=""/>
    <s v=""/>
  </r>
  <r>
    <x v="4"/>
    <x v="4"/>
    <x v="1"/>
    <s v="12.04.2011"/>
    <x v="25"/>
    <x v="1"/>
    <x v="0"/>
    <d v="1899-12-30T14:35:46"/>
    <s v=""/>
    <s v=""/>
    <s v=""/>
    <d v="1899-12-30T00:00:00"/>
    <s v=""/>
    <s v=""/>
    <s v=""/>
  </r>
  <r>
    <x v="4"/>
    <x v="4"/>
    <x v="2"/>
    <s v="13.04.2011"/>
    <x v="26"/>
    <x v="2"/>
    <x v="0"/>
    <s v=""/>
    <d v="1899-12-30T22:34:05"/>
    <s v=""/>
    <s v=""/>
    <d v="1899-12-30T07:30:00"/>
    <s v=""/>
    <s v=""/>
    <s v=""/>
  </r>
  <r>
    <x v="4"/>
    <x v="4"/>
    <x v="2"/>
    <s v="13.04.2011"/>
    <x v="26"/>
    <x v="2"/>
    <x v="0"/>
    <d v="1899-12-30T14:37:37"/>
    <s v=""/>
    <s v=""/>
    <s v=""/>
    <d v="1899-12-30T00:00:00"/>
    <s v=""/>
    <s v=""/>
    <s v=""/>
  </r>
  <r>
    <x v="4"/>
    <x v="4"/>
    <x v="3"/>
    <s v="14.04.2011"/>
    <x v="27"/>
    <x v="3"/>
    <x v="0"/>
    <s v=""/>
    <d v="1899-12-30T22:39:13"/>
    <s v=""/>
    <s v=""/>
    <d v="1899-12-30T07:30:00"/>
    <s v=""/>
    <s v=""/>
    <s v=""/>
  </r>
  <r>
    <x v="4"/>
    <x v="4"/>
    <x v="3"/>
    <s v="14.04.2011"/>
    <x v="27"/>
    <x v="3"/>
    <x v="0"/>
    <d v="1899-12-30T14:42:02"/>
    <s v=""/>
    <s v=""/>
    <s v=""/>
    <d v="1899-12-30T00:00:00"/>
    <s v=""/>
    <s v=""/>
    <s v=""/>
  </r>
  <r>
    <x v="4"/>
    <x v="4"/>
    <x v="4"/>
    <s v="15.04.2011"/>
    <x v="28"/>
    <x v="4"/>
    <x v="0"/>
    <s v=""/>
    <d v="1899-12-30T22:38:56"/>
    <s v=""/>
    <s v=""/>
    <d v="1899-12-30T07:30:00"/>
    <s v=""/>
    <s v=""/>
    <s v=""/>
  </r>
  <r>
    <x v="4"/>
    <x v="4"/>
    <x v="4"/>
    <s v="15.04.2011"/>
    <x v="28"/>
    <x v="4"/>
    <x v="0"/>
    <d v="1899-12-30T14:49:55"/>
    <s v=""/>
    <s v=""/>
    <s v=""/>
    <d v="1899-12-30T00:00:00"/>
    <s v=""/>
    <s v=""/>
    <s v=""/>
  </r>
  <r>
    <x v="4"/>
    <x v="4"/>
    <x v="5"/>
    <s v="16.04.2011"/>
    <x v="29"/>
    <x v="5"/>
    <x v="0"/>
    <s v=""/>
    <d v="1899-12-30T17:28:45"/>
    <s v=""/>
    <s v=""/>
    <d v="1899-12-30T07:30:00"/>
    <s v=""/>
    <s v=""/>
    <s v=""/>
  </r>
  <r>
    <x v="4"/>
    <x v="4"/>
    <x v="5"/>
    <s v="16.04.2011"/>
    <x v="29"/>
    <x v="5"/>
    <x v="0"/>
    <d v="1899-12-30T10:18:04"/>
    <s v=""/>
    <s v=""/>
    <s v=""/>
    <d v="1899-12-30T00:00:00"/>
    <s v=""/>
    <s v=""/>
    <s v=""/>
  </r>
  <r>
    <x v="5"/>
    <x v="5"/>
    <x v="1"/>
    <s v="11.04.2011"/>
    <x v="30"/>
    <x v="1"/>
    <x v="3"/>
    <d v="1899-12-30T22:03:47"/>
    <s v=""/>
    <s v=""/>
    <s v=""/>
    <d v="1899-12-30T09:00:00"/>
    <s v=""/>
    <s v=""/>
    <s v=""/>
  </r>
  <r>
    <x v="5"/>
    <x v="5"/>
    <x v="1"/>
    <s v="12.04.2011"/>
    <x v="30"/>
    <x v="1"/>
    <x v="3"/>
    <s v=""/>
    <d v="1899-12-30T07:37:04"/>
    <s v=""/>
    <s v=""/>
    <d v="1899-12-30T00:00:00"/>
    <s v=""/>
    <s v=""/>
    <s v=""/>
  </r>
  <r>
    <x v="5"/>
    <x v="5"/>
    <x v="2"/>
    <s v="12.04.2011"/>
    <x v="31"/>
    <x v="2"/>
    <x v="3"/>
    <d v="1899-12-30T22:02:12"/>
    <s v=""/>
    <s v=""/>
    <s v=""/>
    <d v="1899-12-30T09:00:00"/>
    <s v=""/>
    <s v=""/>
    <s v=""/>
  </r>
  <r>
    <x v="5"/>
    <x v="5"/>
    <x v="2"/>
    <s v="13.04.2011"/>
    <x v="31"/>
    <x v="2"/>
    <x v="3"/>
    <s v=""/>
    <d v="1899-12-30T07:36:27"/>
    <s v=""/>
    <s v=""/>
    <d v="1899-12-30T00:00:00"/>
    <s v=""/>
    <s v=""/>
    <s v=""/>
  </r>
  <r>
    <x v="5"/>
    <x v="5"/>
    <x v="3"/>
    <s v="13.04.2011"/>
    <x v="32"/>
    <x v="3"/>
    <x v="3"/>
    <d v="1899-12-30T22:02:04"/>
    <s v=""/>
    <s v=""/>
    <s v=""/>
    <d v="1899-12-30T09:00:00"/>
    <s v=""/>
    <s v=""/>
    <s v=""/>
  </r>
  <r>
    <x v="5"/>
    <x v="5"/>
    <x v="3"/>
    <s v="14.04.2011"/>
    <x v="32"/>
    <x v="3"/>
    <x v="3"/>
    <s v=""/>
    <d v="1899-12-30T07:40:50"/>
    <s v=""/>
    <s v=""/>
    <d v="1899-12-30T00:00:00"/>
    <s v=""/>
    <s v=""/>
    <s v=""/>
  </r>
  <r>
    <x v="5"/>
    <x v="5"/>
    <x v="4"/>
    <s v="14.04.2011"/>
    <x v="33"/>
    <x v="4"/>
    <x v="3"/>
    <d v="1899-12-30T22:04:03"/>
    <s v=""/>
    <s v=""/>
    <s v=""/>
    <d v="1899-12-30T09:00:00"/>
    <s v=""/>
    <s v=""/>
    <s v=""/>
  </r>
  <r>
    <x v="5"/>
    <x v="5"/>
    <x v="4"/>
    <s v="15.04.2011"/>
    <x v="33"/>
    <x v="4"/>
    <x v="3"/>
    <s v=""/>
    <d v="1899-12-30T07:36:55"/>
    <s v=""/>
    <s v=""/>
    <d v="1899-12-30T00:00:00"/>
    <s v=""/>
    <s v=""/>
    <s v=""/>
  </r>
  <r>
    <x v="5"/>
    <x v="5"/>
    <x v="5"/>
    <s v="15.04.2011"/>
    <x v="34"/>
    <x v="5"/>
    <x v="3"/>
    <d v="1899-12-30T22:07:24"/>
    <s v=""/>
    <s v=""/>
    <s v=""/>
    <d v="1899-12-30T09:00:00"/>
    <s v=""/>
    <s v=""/>
    <s v=""/>
  </r>
  <r>
    <x v="5"/>
    <x v="5"/>
    <x v="5"/>
    <s v="16.04.2011"/>
    <x v="34"/>
    <x v="5"/>
    <x v="3"/>
    <s v=""/>
    <d v="1899-12-30T07:34:35"/>
    <s v=""/>
    <s v=""/>
    <d v="1899-12-30T00:00:00"/>
    <s v=""/>
    <s v=""/>
    <s v=""/>
  </r>
  <r>
    <x v="6"/>
    <x v="6"/>
    <x v="0"/>
    <s v="11.04.2011"/>
    <x v="35"/>
    <x v="0"/>
    <x v="4"/>
    <s v=""/>
    <d v="1899-12-30T19:28:37"/>
    <d v="1899-12-30T02:00:00"/>
    <s v=""/>
    <d v="1899-12-30T07:30:00"/>
    <s v=""/>
    <s v=""/>
    <s v=""/>
  </r>
  <r>
    <x v="6"/>
    <x v="6"/>
    <x v="0"/>
    <s v="11.04.2011"/>
    <x v="35"/>
    <x v="0"/>
    <x v="4"/>
    <d v="1899-12-30T07:25:56"/>
    <s v=""/>
    <s v=""/>
    <s v=""/>
    <d v="1899-12-30T00:00:00"/>
    <s v=""/>
    <s v=""/>
    <s v=""/>
  </r>
  <r>
    <x v="6"/>
    <x v="6"/>
    <x v="1"/>
    <s v="12.04.2011"/>
    <x v="36"/>
    <x v="1"/>
    <x v="4"/>
    <s v=""/>
    <d v="1899-12-30T19:32:38"/>
    <d v="1899-12-30T02:00:00"/>
    <s v=""/>
    <d v="1899-12-30T07:30:00"/>
    <s v=""/>
    <s v=""/>
    <s v=""/>
  </r>
  <r>
    <x v="6"/>
    <x v="6"/>
    <x v="1"/>
    <s v="12.04.2011"/>
    <x v="36"/>
    <x v="1"/>
    <x v="4"/>
    <d v="1899-12-30T07:27:13"/>
    <s v=""/>
    <s v=""/>
    <s v=""/>
    <d v="1899-12-30T00:00:00"/>
    <s v=""/>
    <s v=""/>
    <s v=""/>
  </r>
  <r>
    <x v="6"/>
    <x v="6"/>
    <x v="2"/>
    <s v="13.04.2011"/>
    <x v="37"/>
    <x v="2"/>
    <x v="4"/>
    <s v=""/>
    <d v="1899-12-30T19:24:09"/>
    <d v="1899-12-30T02:00:00"/>
    <s v=""/>
    <d v="1899-12-30T07:30:00"/>
    <s v=""/>
    <s v=""/>
    <s v=""/>
  </r>
  <r>
    <x v="6"/>
    <x v="6"/>
    <x v="2"/>
    <s v="13.04.2011"/>
    <x v="37"/>
    <x v="2"/>
    <x v="4"/>
    <d v="1899-12-30T07:20:25"/>
    <s v=""/>
    <s v=""/>
    <s v=""/>
    <d v="1899-12-30T00:00:00"/>
    <s v=""/>
    <s v=""/>
    <s v=""/>
  </r>
  <r>
    <x v="6"/>
    <x v="6"/>
    <x v="3"/>
    <s v="14.04.2011"/>
    <x v="38"/>
    <x v="3"/>
    <x v="4"/>
    <s v=""/>
    <d v="1899-12-30T19:28:21"/>
    <d v="1899-12-30T02:00:00"/>
    <s v=""/>
    <d v="1899-12-30T07:30:00"/>
    <s v=""/>
    <s v=""/>
    <s v=""/>
  </r>
  <r>
    <x v="6"/>
    <x v="6"/>
    <x v="3"/>
    <s v="14.04.2011"/>
    <x v="38"/>
    <x v="3"/>
    <x v="4"/>
    <d v="1899-12-30T07:22:06"/>
    <s v=""/>
    <s v=""/>
    <s v=""/>
    <d v="1899-12-30T00:00:00"/>
    <s v=""/>
    <s v=""/>
    <s v=""/>
  </r>
  <r>
    <x v="6"/>
    <x v="6"/>
    <x v="4"/>
    <s v="15.04.2011"/>
    <x v="39"/>
    <x v="4"/>
    <x v="4"/>
    <s v=""/>
    <d v="1899-12-30T19:26:25"/>
    <d v="1899-12-30T02:00:00"/>
    <s v=""/>
    <d v="1899-12-30T07:30:00"/>
    <s v=""/>
    <s v=""/>
    <s v=""/>
  </r>
  <r>
    <x v="6"/>
    <x v="6"/>
    <x v="4"/>
    <s v="15.04.2011"/>
    <x v="39"/>
    <x v="4"/>
    <x v="4"/>
    <d v="1899-12-30T07:16:22"/>
    <s v=""/>
    <s v=""/>
    <s v=""/>
    <d v="1899-12-30T00:00:00"/>
    <s v=""/>
    <s v=""/>
    <s v=""/>
  </r>
  <r>
    <x v="7"/>
    <x v="7"/>
    <x v="0"/>
    <s v="11.04.2011"/>
    <x v="40"/>
    <x v="0"/>
    <x v="0"/>
    <s v=""/>
    <d v="1899-12-30T15:07:39"/>
    <s v=""/>
    <s v=""/>
    <d v="1899-12-30T07:30:00"/>
    <s v=""/>
    <s v=""/>
    <s v=""/>
  </r>
  <r>
    <x v="7"/>
    <x v="7"/>
    <x v="0"/>
    <s v="11.04.2011"/>
    <x v="40"/>
    <x v="0"/>
    <x v="0"/>
    <d v="1899-12-30T06:43:21"/>
    <s v=""/>
    <s v=""/>
    <s v=""/>
    <d v="1899-12-30T00:00:00"/>
    <s v=""/>
    <s v=""/>
    <s v=""/>
  </r>
  <r>
    <x v="7"/>
    <x v="7"/>
    <x v="1"/>
    <s v="12.04.2011"/>
    <x v="41"/>
    <x v="1"/>
    <x v="0"/>
    <s v=""/>
    <d v="1899-12-30T15:10:58"/>
    <s v=""/>
    <s v=""/>
    <d v="1899-12-30T07:30:00"/>
    <s v=""/>
    <s v=""/>
    <s v=""/>
  </r>
  <r>
    <x v="7"/>
    <x v="7"/>
    <x v="1"/>
    <s v="12.04.2011"/>
    <x v="41"/>
    <x v="1"/>
    <x v="0"/>
    <d v="1899-12-30T06:56:43"/>
    <s v=""/>
    <s v=""/>
    <s v=""/>
    <d v="1899-12-30T00:00:00"/>
    <s v=""/>
    <s v=""/>
    <s v=""/>
  </r>
  <r>
    <x v="7"/>
    <x v="7"/>
    <x v="2"/>
    <s v="13.04.2011"/>
    <x v="42"/>
    <x v="2"/>
    <x v="0"/>
    <s v=""/>
    <d v="1899-12-30T15:15:25"/>
    <s v=""/>
    <s v=""/>
    <d v="1899-12-30T07:30:00"/>
    <s v=""/>
    <s v=""/>
    <s v=""/>
  </r>
  <r>
    <x v="7"/>
    <x v="7"/>
    <x v="2"/>
    <s v="13.04.2011"/>
    <x v="42"/>
    <x v="2"/>
    <x v="0"/>
    <d v="1899-12-30T06:39:08"/>
    <s v=""/>
    <s v=""/>
    <s v=""/>
    <d v="1899-12-30T00:00:00"/>
    <s v=""/>
    <s v=""/>
    <s v=""/>
  </r>
  <r>
    <x v="7"/>
    <x v="7"/>
    <x v="3"/>
    <s v="14.04.2011"/>
    <x v="43"/>
    <x v="3"/>
    <x v="0"/>
    <s v=""/>
    <d v="1899-12-30T15:15:47"/>
    <s v=""/>
    <s v=""/>
    <d v="1899-12-30T07:30:00"/>
    <s v=""/>
    <s v=""/>
    <s v=""/>
  </r>
  <r>
    <x v="7"/>
    <x v="7"/>
    <x v="3"/>
    <s v="14.04.2011"/>
    <x v="43"/>
    <x v="3"/>
    <x v="0"/>
    <d v="1899-12-30T06:39:08"/>
    <s v=""/>
    <s v=""/>
    <s v=""/>
    <d v="1899-12-30T00:00:00"/>
    <s v=""/>
    <s v=""/>
    <s v=""/>
  </r>
  <r>
    <x v="7"/>
    <x v="7"/>
    <x v="4"/>
    <s v="15.04.2011"/>
    <x v="44"/>
    <x v="4"/>
    <x v="0"/>
    <s v=""/>
    <d v="1899-12-30T15:15:41"/>
    <s v=""/>
    <s v=""/>
    <d v="1899-12-30T07:30:00"/>
    <s v=""/>
    <s v=""/>
    <s v=""/>
  </r>
  <r>
    <x v="7"/>
    <x v="7"/>
    <x v="4"/>
    <s v="15.04.2011"/>
    <x v="44"/>
    <x v="4"/>
    <x v="0"/>
    <d v="1899-12-30T06:49:40"/>
    <s v=""/>
    <s v=""/>
    <s v=""/>
    <d v="1899-12-30T00:00:00"/>
    <s v=""/>
    <s v=""/>
    <s v=""/>
  </r>
  <r>
    <x v="7"/>
    <x v="7"/>
    <x v="5"/>
    <s v="16.04.2011"/>
    <x v="45"/>
    <x v="5"/>
    <x v="0"/>
    <s v=""/>
    <d v="1899-12-30T22:31:03"/>
    <s v=""/>
    <s v=""/>
    <d v="1899-12-30T07:30:00"/>
    <s v=""/>
    <s v=""/>
    <s v=""/>
  </r>
  <r>
    <x v="7"/>
    <x v="7"/>
    <x v="5"/>
    <s v="16.04.2011"/>
    <x v="45"/>
    <x v="5"/>
    <x v="0"/>
    <d v="1899-12-30T14:29:13"/>
    <s v=""/>
    <s v=""/>
    <s v=""/>
    <d v="1899-12-30T00:00:00"/>
    <s v=""/>
    <s v=""/>
    <s v=""/>
  </r>
  <r>
    <x v="8"/>
    <x v="8"/>
    <x v="0"/>
    <s v="11.04.2011"/>
    <x v="46"/>
    <x v="0"/>
    <x v="2"/>
    <s v=""/>
    <d v="1899-12-30T15:00:35"/>
    <s v=""/>
    <s v=""/>
    <s v=""/>
    <s v=""/>
    <s v=""/>
    <s v=""/>
  </r>
  <r>
    <x v="8"/>
    <x v="8"/>
    <x v="0"/>
    <s v="11.04.2011"/>
    <x v="46"/>
    <x v="0"/>
    <x v="2"/>
    <d v="1899-12-30T07:23:40"/>
    <s v=""/>
    <s v=""/>
    <s v=""/>
    <d v="1899-12-30T00:00:00"/>
    <s v=""/>
    <s v=""/>
    <s v=""/>
  </r>
  <r>
    <x v="8"/>
    <x v="8"/>
    <x v="2"/>
    <s v="13.04.2011"/>
    <x v="47"/>
    <x v="2"/>
    <x v="2"/>
    <s v=""/>
    <d v="1899-12-30T15:06:44"/>
    <s v=""/>
    <s v=""/>
    <s v=""/>
    <s v=""/>
    <s v=""/>
    <s v=""/>
  </r>
  <r>
    <x v="8"/>
    <x v="8"/>
    <x v="2"/>
    <s v="13.04.2011"/>
    <x v="47"/>
    <x v="2"/>
    <x v="2"/>
    <d v="1899-12-30T07:19:30"/>
    <s v=""/>
    <s v=""/>
    <s v=""/>
    <d v="1899-12-30T00:00:00"/>
    <s v=""/>
    <s v=""/>
    <s v=""/>
  </r>
  <r>
    <x v="8"/>
    <x v="8"/>
    <x v="3"/>
    <s v="14.04.2011"/>
    <x v="48"/>
    <x v="3"/>
    <x v="2"/>
    <s v=""/>
    <d v="1899-12-30T15:05:20"/>
    <s v=""/>
    <s v=""/>
    <s v=""/>
    <s v=""/>
    <s v=""/>
    <s v=""/>
  </r>
  <r>
    <x v="8"/>
    <x v="8"/>
    <x v="3"/>
    <s v="14.04.2011"/>
    <x v="48"/>
    <x v="3"/>
    <x v="2"/>
    <d v="1899-12-30T07:19:00"/>
    <s v=""/>
    <s v=""/>
    <s v=""/>
    <d v="1899-12-30T00:00:00"/>
    <s v=""/>
    <s v=""/>
    <s v=""/>
  </r>
  <r>
    <x v="8"/>
    <x v="8"/>
    <x v="4"/>
    <s v="15.04.2011"/>
    <x v="49"/>
    <x v="4"/>
    <x v="2"/>
    <s v=""/>
    <d v="1899-12-30T15:05:15"/>
    <s v=""/>
    <s v=""/>
    <s v=""/>
    <s v=""/>
    <s v=""/>
    <s v=""/>
  </r>
  <r>
    <x v="8"/>
    <x v="8"/>
    <x v="4"/>
    <s v="15.04.2011"/>
    <x v="49"/>
    <x v="4"/>
    <x v="2"/>
    <d v="1899-12-30T07:26:33"/>
    <s v=""/>
    <s v=""/>
    <s v=""/>
    <d v="1899-12-30T00:00:00"/>
    <s v=""/>
    <s v=""/>
    <s v=""/>
  </r>
  <r>
    <x v="8"/>
    <x v="8"/>
    <x v="5"/>
    <s v="16.04.2011"/>
    <x v="50"/>
    <x v="5"/>
    <x v="2"/>
    <s v=""/>
    <d v="1899-12-30T15:05:36"/>
    <s v=""/>
    <s v=""/>
    <s v=""/>
    <s v=""/>
    <s v=""/>
    <s v=""/>
  </r>
  <r>
    <x v="8"/>
    <x v="8"/>
    <x v="5"/>
    <s v="16.04.2011"/>
    <x v="50"/>
    <x v="5"/>
    <x v="2"/>
    <d v="1899-12-30T07:20:31"/>
    <s v=""/>
    <s v=""/>
    <s v=""/>
    <d v="1899-12-30T00:00:00"/>
    <s v=""/>
    <s v=""/>
    <s v=""/>
  </r>
  <r>
    <x v="9"/>
    <x v="9"/>
    <x v="0"/>
    <s v="11.04.2011"/>
    <x v="51"/>
    <x v="0"/>
    <x v="2"/>
    <d v="1899-12-30T21:59:30"/>
    <s v=""/>
    <s v=""/>
    <s v=""/>
    <s v=""/>
    <s v=""/>
    <s v=""/>
    <s v=""/>
  </r>
  <r>
    <x v="9"/>
    <x v="9"/>
    <x v="1"/>
    <s v="12.04.2011"/>
    <x v="52"/>
    <x v="1"/>
    <x v="2"/>
    <s v=""/>
    <d v="1899-12-30T07:47:01"/>
    <s v=""/>
    <s v=""/>
    <s v=""/>
    <s v=""/>
    <s v=""/>
    <s v=""/>
  </r>
  <r>
    <x v="9"/>
    <x v="9"/>
    <x v="1"/>
    <s v="12.04.2011"/>
    <x v="52"/>
    <x v="1"/>
    <x v="2"/>
    <d v="1899-12-30T21:56:36"/>
    <s v=""/>
    <s v=""/>
    <s v=""/>
    <d v="1899-12-30T00:00:00"/>
    <s v=""/>
    <s v=""/>
    <s v=""/>
  </r>
  <r>
    <x v="9"/>
    <x v="9"/>
    <x v="2"/>
    <s v="13.04.2011"/>
    <x v="53"/>
    <x v="2"/>
    <x v="2"/>
    <s v=""/>
    <d v="1899-12-30T07:43:16"/>
    <s v=""/>
    <s v=""/>
    <s v=""/>
    <s v=""/>
    <s v=""/>
    <s v=""/>
  </r>
  <r>
    <x v="9"/>
    <x v="9"/>
    <x v="2"/>
    <s v="13.04.2011"/>
    <x v="53"/>
    <x v="2"/>
    <x v="2"/>
    <d v="1899-12-30T21:56:07"/>
    <s v=""/>
    <s v=""/>
    <s v=""/>
    <d v="1899-12-30T00:00:00"/>
    <s v=""/>
    <s v=""/>
    <s v=""/>
  </r>
  <r>
    <x v="9"/>
    <x v="9"/>
    <x v="3"/>
    <s v="14.04.2011"/>
    <x v="54"/>
    <x v="3"/>
    <x v="2"/>
    <s v=""/>
    <d v="1899-12-30T07:45:20"/>
    <s v=""/>
    <s v=""/>
    <s v=""/>
    <s v=""/>
    <s v=""/>
    <s v=""/>
  </r>
  <r>
    <x v="9"/>
    <x v="9"/>
    <x v="3"/>
    <s v="14.04.2011"/>
    <x v="54"/>
    <x v="3"/>
    <x v="2"/>
    <d v="1899-12-30T21:58:43"/>
    <s v=""/>
    <s v=""/>
    <s v=""/>
    <d v="1899-12-30T00:00:00"/>
    <s v=""/>
    <s v=""/>
    <s v=""/>
  </r>
  <r>
    <x v="9"/>
    <x v="9"/>
    <x v="4"/>
    <s v="15.04.2011"/>
    <x v="55"/>
    <x v="4"/>
    <x v="2"/>
    <s v=""/>
    <d v="1899-12-30T07:44:21"/>
    <s v=""/>
    <s v=""/>
    <s v=""/>
    <s v=""/>
    <s v=""/>
    <s v=""/>
  </r>
  <r>
    <x v="9"/>
    <x v="9"/>
    <x v="4"/>
    <s v="15.04.2011"/>
    <x v="55"/>
    <x v="4"/>
    <x v="2"/>
    <d v="1899-12-30T21:56:46"/>
    <s v=""/>
    <s v=""/>
    <s v=""/>
    <d v="1899-12-30T00:00:00"/>
    <s v=""/>
    <s v=""/>
    <s v=""/>
  </r>
  <r>
    <x v="9"/>
    <x v="9"/>
    <x v="5"/>
    <s v="16.04.2011"/>
    <x v="56"/>
    <x v="5"/>
    <x v="2"/>
    <s v=""/>
    <d v="1899-12-30T07:46:29"/>
    <s v=""/>
    <s v=""/>
    <s v=""/>
    <s v=""/>
    <s v=""/>
    <s v=""/>
  </r>
  <r>
    <x v="10"/>
    <x v="10"/>
    <x v="0"/>
    <s v="11.04.2011"/>
    <x v="57"/>
    <x v="0"/>
    <x v="4"/>
    <s v=""/>
    <d v="1899-12-30T15:12:57"/>
    <s v=""/>
    <s v=""/>
    <d v="1899-12-30T07:30:00"/>
    <s v=""/>
    <s v=""/>
    <s v=""/>
  </r>
  <r>
    <x v="10"/>
    <x v="10"/>
    <x v="0"/>
    <s v="11.04.2011"/>
    <x v="57"/>
    <x v="0"/>
    <x v="4"/>
    <d v="1899-12-30T06:58:20"/>
    <s v=""/>
    <s v=""/>
    <s v=""/>
    <d v="1899-12-30T00:00:00"/>
    <s v=""/>
    <s v=""/>
    <s v=""/>
  </r>
  <r>
    <x v="10"/>
    <x v="10"/>
    <x v="1"/>
    <s v="12.04.2011"/>
    <x v="58"/>
    <x v="1"/>
    <x v="4"/>
    <s v=""/>
    <d v="1899-12-30T16:59:14"/>
    <d v="1899-12-30T02:00:00"/>
    <s v=""/>
    <d v="1899-12-30T07:30:00"/>
    <s v=""/>
    <s v=""/>
    <s v=""/>
  </r>
  <r>
    <x v="10"/>
    <x v="10"/>
    <x v="1"/>
    <s v="12.04.2011"/>
    <x v="58"/>
    <x v="1"/>
    <x v="4"/>
    <d v="1899-12-30T06:58:04"/>
    <s v=""/>
    <s v=""/>
    <s v=""/>
    <d v="1899-12-30T00:00:00"/>
    <s v=""/>
    <s v=""/>
    <s v=""/>
  </r>
  <r>
    <x v="10"/>
    <x v="10"/>
    <x v="2"/>
    <s v="13.04.2011"/>
    <x v="59"/>
    <x v="2"/>
    <x v="4"/>
    <s v=""/>
    <d v="1899-12-30T16:23:26"/>
    <d v="1899-12-30T02:00:00"/>
    <s v=""/>
    <d v="1899-12-30T07:30:00"/>
    <s v=""/>
    <s v=""/>
    <s v=""/>
  </r>
  <r>
    <x v="10"/>
    <x v="10"/>
    <x v="2"/>
    <s v="13.04.2011"/>
    <x v="59"/>
    <x v="2"/>
    <x v="4"/>
    <d v="1899-12-30T06:56:09"/>
    <s v=""/>
    <s v=""/>
    <s v=""/>
    <d v="1899-12-30T00:00:00"/>
    <s v=""/>
    <s v=""/>
    <s v=""/>
  </r>
  <r>
    <x v="10"/>
    <x v="10"/>
    <x v="3"/>
    <s v="14.04.2011"/>
    <x v="60"/>
    <x v="3"/>
    <x v="4"/>
    <s v=""/>
    <d v="1899-12-30T15:15:42"/>
    <s v=""/>
    <s v=""/>
    <d v="1899-12-30T07:30:00"/>
    <s v=""/>
    <s v=""/>
    <s v=""/>
  </r>
  <r>
    <x v="10"/>
    <x v="10"/>
    <x v="3"/>
    <s v="14.04.2011"/>
    <x v="60"/>
    <x v="3"/>
    <x v="4"/>
    <d v="1899-12-30T07:06:35"/>
    <s v=""/>
    <s v=""/>
    <s v=""/>
    <d v="1899-12-30T00:00:00"/>
    <s v=""/>
    <s v=""/>
    <s v=""/>
  </r>
  <r>
    <x v="10"/>
    <x v="10"/>
    <x v="4"/>
    <s v="15.04.2011"/>
    <x v="61"/>
    <x v="4"/>
    <x v="4"/>
    <s v=""/>
    <d v="1899-12-30T15:16:43"/>
    <s v=""/>
    <s v=""/>
    <d v="1899-12-30T07:30:00"/>
    <s v=""/>
    <s v=""/>
    <s v=""/>
  </r>
  <r>
    <x v="10"/>
    <x v="10"/>
    <x v="4"/>
    <s v="15.04.2011"/>
    <x v="61"/>
    <x v="4"/>
    <x v="4"/>
    <d v="1899-12-30T07:06:42"/>
    <s v=""/>
    <s v=""/>
    <s v=""/>
    <d v="1899-12-30T00:00:00"/>
    <s v=""/>
    <s v=""/>
    <s v=""/>
  </r>
  <r>
    <x v="10"/>
    <x v="10"/>
    <x v="5"/>
    <s v="16.04.2011"/>
    <x v="62"/>
    <x v="5"/>
    <x v="4"/>
    <s v=""/>
    <d v="1899-12-30T15:13:37"/>
    <s v=""/>
    <s v=""/>
    <d v="1899-12-30T07:30:00"/>
    <s v=""/>
    <s v=""/>
    <s v=""/>
  </r>
  <r>
    <x v="10"/>
    <x v="10"/>
    <x v="5"/>
    <s v="16.04.2011"/>
    <x v="62"/>
    <x v="5"/>
    <x v="4"/>
    <d v="1899-12-30T06:59:53"/>
    <s v=""/>
    <s v=""/>
    <s v=""/>
    <d v="1899-12-30T00:00:00"/>
    <s v=""/>
    <s v=""/>
    <s v=""/>
  </r>
  <r>
    <x v="10"/>
    <x v="10"/>
    <x v="6"/>
    <s v="17.04.2011"/>
    <x v="63"/>
    <x v="6"/>
    <x v="4"/>
    <d v="1899-12-30T22:27:09"/>
    <s v=""/>
    <s v=""/>
    <s v=""/>
    <d v="1899-12-30T07:30:00"/>
    <s v=""/>
    <s v=""/>
    <s v=""/>
  </r>
  <r>
    <x v="11"/>
    <x v="11"/>
    <x v="0"/>
    <s v="11.04.2011"/>
    <x v="64"/>
    <x v="0"/>
    <x v="1"/>
    <s v=""/>
    <d v="1899-12-30T08:03:38"/>
    <s v=""/>
    <d v="1899-12-30T07:30:00"/>
    <d v="1899-12-30T10:00:00"/>
    <d v="1899-12-30T07:30:00"/>
    <s v=""/>
    <s v=""/>
  </r>
  <r>
    <x v="11"/>
    <x v="11"/>
    <x v="1"/>
    <s v="12.04.2011"/>
    <x v="65"/>
    <x v="1"/>
    <x v="1"/>
    <s v=""/>
    <d v="1899-12-30T18:43:00"/>
    <s v=""/>
    <s v=""/>
    <d v="1899-12-30T10:00:00"/>
    <s v=""/>
    <s v=""/>
    <s v=""/>
  </r>
  <r>
    <x v="11"/>
    <x v="11"/>
    <x v="1"/>
    <s v="12.04.2011"/>
    <x v="65"/>
    <x v="1"/>
    <x v="1"/>
    <d v="1899-12-30T07:15:15"/>
    <s v=""/>
    <s v=""/>
    <s v=""/>
    <d v="1899-12-30T00:00:00"/>
    <s v=""/>
    <s v=""/>
    <s v=""/>
  </r>
  <r>
    <x v="11"/>
    <x v="11"/>
    <x v="2"/>
    <s v="13.04.2011"/>
    <x v="66"/>
    <x v="2"/>
    <x v="1"/>
    <s v=""/>
    <d v="1899-12-30T18:47:58"/>
    <s v=""/>
    <s v=""/>
    <d v="1899-12-30T10:00:00"/>
    <s v=""/>
    <s v=""/>
    <s v=""/>
  </r>
  <r>
    <x v="11"/>
    <x v="11"/>
    <x v="2"/>
    <s v="13.04.2011"/>
    <x v="66"/>
    <x v="2"/>
    <x v="1"/>
    <d v="1899-12-30T07:17:12"/>
    <s v=""/>
    <s v=""/>
    <s v=""/>
    <d v="1899-12-30T00:00:00"/>
    <s v=""/>
    <s v=""/>
    <s v=""/>
  </r>
  <r>
    <x v="11"/>
    <x v="11"/>
    <x v="3"/>
    <s v="14.04.2011"/>
    <x v="67"/>
    <x v="3"/>
    <x v="1"/>
    <s v=""/>
    <d v="1899-12-30T18:42:39"/>
    <s v=""/>
    <s v=""/>
    <d v="1899-12-30T10:00:00"/>
    <s v=""/>
    <s v=""/>
    <s v=""/>
  </r>
  <r>
    <x v="11"/>
    <x v="11"/>
    <x v="3"/>
    <s v="14.04.2011"/>
    <x v="67"/>
    <x v="3"/>
    <x v="1"/>
    <d v="1899-12-30T08:19:41"/>
    <s v=""/>
    <s v=""/>
    <s v=""/>
    <d v="1899-12-30T00:00:00"/>
    <s v=""/>
    <s v=""/>
    <s v=""/>
  </r>
  <r>
    <x v="11"/>
    <x v="11"/>
    <x v="4"/>
    <s v="15.04.2011"/>
    <x v="68"/>
    <x v="4"/>
    <x v="1"/>
    <s v=""/>
    <d v="1899-12-30T18:07:44"/>
    <s v=""/>
    <s v=""/>
    <d v="1899-12-30T10:00:00"/>
    <s v=""/>
    <s v=""/>
    <s v=""/>
  </r>
  <r>
    <x v="11"/>
    <x v="11"/>
    <x v="4"/>
    <s v="15.04.2011"/>
    <x v="68"/>
    <x v="4"/>
    <x v="1"/>
    <d v="1899-12-30T07:18:22"/>
    <s v=""/>
    <s v=""/>
    <s v=""/>
    <d v="1899-12-30T00:00:00"/>
    <s v=""/>
    <s v=""/>
    <s v=""/>
  </r>
  <r>
    <x v="11"/>
    <x v="11"/>
    <x v="6"/>
    <s v="17.04.2011"/>
    <x v="69"/>
    <x v="6"/>
    <x v="1"/>
    <d v="1899-12-30T23:59:52"/>
    <s v=""/>
    <s v=""/>
    <s v=""/>
    <d v="1899-12-30T10:00:00"/>
    <s v=""/>
    <s v=""/>
    <s v=""/>
  </r>
  <r>
    <x v="12"/>
    <x v="12"/>
    <x v="0"/>
    <s v="11.04.2011"/>
    <x v="70"/>
    <x v="0"/>
    <x v="4"/>
    <s v=""/>
    <d v="1899-12-30T15:04:23"/>
    <s v=""/>
    <s v=""/>
    <d v="1899-12-30T07:30:00"/>
    <s v=""/>
    <s v=""/>
    <s v=""/>
  </r>
  <r>
    <x v="12"/>
    <x v="12"/>
    <x v="0"/>
    <s v="11.04.2011"/>
    <x v="70"/>
    <x v="0"/>
    <x v="4"/>
    <d v="1899-12-30T07:04:49"/>
    <s v=""/>
    <s v=""/>
    <s v=""/>
    <d v="1899-12-30T00:00:00"/>
    <s v=""/>
    <s v=""/>
    <s v=""/>
  </r>
  <r>
    <x v="12"/>
    <x v="12"/>
    <x v="1"/>
    <s v="12.04.2011"/>
    <x v="71"/>
    <x v="1"/>
    <x v="4"/>
    <s v=""/>
    <d v="1899-12-30T15:06:51"/>
    <s v=""/>
    <s v=""/>
    <d v="1899-12-30T07:30:00"/>
    <s v=""/>
    <s v=""/>
    <s v=""/>
  </r>
  <r>
    <x v="12"/>
    <x v="12"/>
    <x v="1"/>
    <s v="12.04.2011"/>
    <x v="71"/>
    <x v="1"/>
    <x v="4"/>
    <d v="1899-12-30T07:06:00"/>
    <s v=""/>
    <s v=""/>
    <s v=""/>
    <d v="1899-12-30T00:00:00"/>
    <s v=""/>
    <s v=""/>
    <s v=""/>
  </r>
  <r>
    <x v="12"/>
    <x v="12"/>
    <x v="2"/>
    <s v="13.04.2011"/>
    <x v="72"/>
    <x v="2"/>
    <x v="4"/>
    <s v=""/>
    <d v="1899-12-30T15:05:56"/>
    <s v=""/>
    <s v=""/>
    <d v="1899-12-30T07:30:00"/>
    <s v=""/>
    <s v=""/>
    <s v=""/>
  </r>
  <r>
    <x v="12"/>
    <x v="12"/>
    <x v="2"/>
    <s v="13.04.2011"/>
    <x v="72"/>
    <x v="2"/>
    <x v="4"/>
    <d v="1899-12-30T07:05:33"/>
    <s v=""/>
    <s v=""/>
    <s v=""/>
    <d v="1899-12-30T00:00:00"/>
    <s v=""/>
    <s v=""/>
    <s v=""/>
  </r>
  <r>
    <x v="12"/>
    <x v="12"/>
    <x v="3"/>
    <s v="14.04.2011"/>
    <x v="73"/>
    <x v="3"/>
    <x v="4"/>
    <s v=""/>
    <d v="1899-12-30T15:03:41"/>
    <s v=""/>
    <s v=""/>
    <d v="1899-12-30T07:30:00"/>
    <s v=""/>
    <s v=""/>
    <s v=""/>
  </r>
  <r>
    <x v="12"/>
    <x v="12"/>
    <x v="3"/>
    <s v="14.04.2011"/>
    <x v="73"/>
    <x v="3"/>
    <x v="4"/>
    <d v="1899-12-30T07:03:57"/>
    <s v=""/>
    <s v=""/>
    <s v=""/>
    <d v="1899-12-30T00:00:00"/>
    <s v=""/>
    <s v=""/>
    <s v=""/>
  </r>
  <r>
    <x v="12"/>
    <x v="12"/>
    <x v="4"/>
    <s v="15.04.2011"/>
    <x v="74"/>
    <x v="4"/>
    <x v="4"/>
    <s v=""/>
    <d v="1899-12-30T15:08:42"/>
    <s v=""/>
    <s v=""/>
    <d v="1899-12-30T07:30:00"/>
    <s v=""/>
    <s v=""/>
    <s v=""/>
  </r>
  <r>
    <x v="12"/>
    <x v="12"/>
    <x v="4"/>
    <s v="15.04.2011"/>
    <x v="74"/>
    <x v="4"/>
    <x v="4"/>
    <d v="1899-12-30T07:04:30"/>
    <s v=""/>
    <s v=""/>
    <s v=""/>
    <d v="1899-12-30T00:00:00"/>
    <s v=""/>
    <s v=""/>
    <s v=""/>
  </r>
  <r>
    <x v="12"/>
    <x v="12"/>
    <x v="5"/>
    <s v="16.04.2011"/>
    <x v="75"/>
    <x v="5"/>
    <x v="4"/>
    <s v=""/>
    <d v="1899-12-30T15:01:31"/>
    <s v=""/>
    <s v=""/>
    <d v="1899-12-30T07:30:00"/>
    <s v=""/>
    <s v=""/>
    <s v=""/>
  </r>
  <r>
    <x v="12"/>
    <x v="12"/>
    <x v="5"/>
    <s v="16.04.2011"/>
    <x v="75"/>
    <x v="5"/>
    <x v="4"/>
    <d v="1899-12-30T07:03:38"/>
    <s v=""/>
    <s v=""/>
    <s v=""/>
    <d v="1899-12-30T00:00:00"/>
    <s v=""/>
    <s v=""/>
    <s v=""/>
  </r>
  <r>
    <x v="13"/>
    <x v="13"/>
    <x v="0"/>
    <s v="11.04.2011"/>
    <x v="76"/>
    <x v="0"/>
    <x v="4"/>
    <s v=""/>
    <d v="1899-12-30T15:20:03"/>
    <s v=""/>
    <s v=""/>
    <d v="1899-12-30T07:30:00"/>
    <s v=""/>
    <s v=""/>
    <s v=""/>
  </r>
  <r>
    <x v="13"/>
    <x v="13"/>
    <x v="0"/>
    <s v="11.04.2011"/>
    <x v="76"/>
    <x v="0"/>
    <x v="4"/>
    <d v="1899-12-30T07:04:45"/>
    <s v=""/>
    <s v=""/>
    <s v=""/>
    <d v="1899-12-30T00:00:00"/>
    <s v=""/>
    <s v=""/>
    <s v=""/>
  </r>
  <r>
    <x v="13"/>
    <x v="13"/>
    <x v="1"/>
    <s v="12.04.2011"/>
    <x v="77"/>
    <x v="1"/>
    <x v="4"/>
    <s v=""/>
    <d v="1899-12-30T15:15:56"/>
    <s v=""/>
    <s v=""/>
    <d v="1899-12-30T07:30:00"/>
    <s v=""/>
    <s v=""/>
    <s v=""/>
  </r>
  <r>
    <x v="13"/>
    <x v="13"/>
    <x v="1"/>
    <s v="12.04.2011"/>
    <x v="77"/>
    <x v="1"/>
    <x v="4"/>
    <d v="1899-12-30T07:04:21"/>
    <s v=""/>
    <s v=""/>
    <s v=""/>
    <d v="1899-12-30T00:00:00"/>
    <s v=""/>
    <s v=""/>
    <s v=""/>
  </r>
  <r>
    <x v="13"/>
    <x v="13"/>
    <x v="2"/>
    <s v="13.04.2011"/>
    <x v="78"/>
    <x v="2"/>
    <x v="4"/>
    <s v=""/>
    <d v="1899-12-30T15:49:55"/>
    <s v=""/>
    <s v=""/>
    <d v="1899-12-30T07:30:00"/>
    <s v=""/>
    <s v=""/>
    <s v=""/>
  </r>
  <r>
    <x v="13"/>
    <x v="13"/>
    <x v="2"/>
    <s v="13.04.2011"/>
    <x v="78"/>
    <x v="2"/>
    <x v="4"/>
    <d v="1899-12-30T07:03:40"/>
    <s v=""/>
    <s v=""/>
    <s v=""/>
    <d v="1899-12-30T00:00:00"/>
    <s v=""/>
    <s v=""/>
    <s v=""/>
  </r>
  <r>
    <x v="13"/>
    <x v="13"/>
    <x v="3"/>
    <s v="14.04.2011"/>
    <x v="79"/>
    <x v="3"/>
    <x v="4"/>
    <s v=""/>
    <d v="1899-12-30T15:15:55"/>
    <s v=""/>
    <s v=""/>
    <d v="1899-12-30T07:30:00"/>
    <s v=""/>
    <s v=""/>
    <s v=""/>
  </r>
  <r>
    <x v="13"/>
    <x v="13"/>
    <x v="3"/>
    <s v="14.04.2011"/>
    <x v="79"/>
    <x v="3"/>
    <x v="4"/>
    <d v="1899-12-30T07:02:53"/>
    <s v=""/>
    <s v=""/>
    <s v=""/>
    <d v="1899-12-30T00:00:00"/>
    <s v=""/>
    <s v=""/>
    <s v=""/>
  </r>
  <r>
    <x v="13"/>
    <x v="13"/>
    <x v="4"/>
    <s v="15.04.2011"/>
    <x v="80"/>
    <x v="4"/>
    <x v="4"/>
    <s v=""/>
    <d v="1899-12-30T15:19:38"/>
    <s v=""/>
    <s v=""/>
    <d v="1899-12-30T07:30:00"/>
    <s v=""/>
    <s v=""/>
    <s v=""/>
  </r>
  <r>
    <x v="13"/>
    <x v="13"/>
    <x v="4"/>
    <s v="15.04.2011"/>
    <x v="80"/>
    <x v="4"/>
    <x v="4"/>
    <d v="1899-12-30T07:04:37"/>
    <s v=""/>
    <s v=""/>
    <s v=""/>
    <d v="1899-12-30T00:00:00"/>
    <s v=""/>
    <s v=""/>
    <s v=""/>
  </r>
  <r>
    <x v="13"/>
    <x v="13"/>
    <x v="5"/>
    <s v="16.04.2011"/>
    <x v="81"/>
    <x v="5"/>
    <x v="4"/>
    <s v=""/>
    <d v="1899-12-30T15:38:05"/>
    <s v=""/>
    <s v=""/>
    <d v="1899-12-30T07:30:00"/>
    <s v=""/>
    <s v=""/>
    <s v=""/>
  </r>
  <r>
    <x v="13"/>
    <x v="13"/>
    <x v="5"/>
    <s v="16.04.2011"/>
    <x v="81"/>
    <x v="5"/>
    <x v="4"/>
    <d v="1899-12-30T07:03:03"/>
    <s v=""/>
    <s v=""/>
    <s v=""/>
    <d v="1899-12-30T00:00:00"/>
    <s v=""/>
    <s v=""/>
    <s v=""/>
  </r>
  <r>
    <x v="13"/>
    <x v="13"/>
    <x v="6"/>
    <s v="17.04.2011"/>
    <x v="82"/>
    <x v="6"/>
    <x v="4"/>
    <d v="1899-12-30T23:48:34"/>
    <s v=""/>
    <s v=""/>
    <s v=""/>
    <d v="1899-12-30T07:30:00"/>
    <s v=""/>
    <s v=""/>
    <s v=""/>
  </r>
  <r>
    <x v="14"/>
    <x v="14"/>
    <x v="0"/>
    <s v="11.04.2011"/>
    <x v="83"/>
    <x v="0"/>
    <x v="4"/>
    <s v=""/>
    <d v="1899-12-30T15:11:22"/>
    <s v=""/>
    <s v=""/>
    <d v="1899-12-30T07:30:00"/>
    <s v=""/>
    <s v=""/>
    <s v=""/>
  </r>
  <r>
    <x v="14"/>
    <x v="14"/>
    <x v="0"/>
    <s v="11.04.2011"/>
    <x v="83"/>
    <x v="0"/>
    <x v="4"/>
    <d v="1899-12-30T07:01:40"/>
    <s v=""/>
    <s v=""/>
    <s v=""/>
    <d v="1899-12-30T00:00:00"/>
    <s v=""/>
    <s v=""/>
    <s v=""/>
  </r>
  <r>
    <x v="14"/>
    <x v="14"/>
    <x v="1"/>
    <s v="12.04.2011"/>
    <x v="84"/>
    <x v="1"/>
    <x v="4"/>
    <s v=""/>
    <d v="1899-12-30T17:21:04"/>
    <d v="1899-12-30T02:00:00"/>
    <s v=""/>
    <d v="1899-12-30T07:30:00"/>
    <s v=""/>
    <s v=""/>
    <s v=""/>
  </r>
  <r>
    <x v="14"/>
    <x v="14"/>
    <x v="1"/>
    <s v="12.04.2011"/>
    <x v="84"/>
    <x v="1"/>
    <x v="4"/>
    <d v="1899-12-30T07:01:06"/>
    <s v=""/>
    <s v=""/>
    <s v=""/>
    <d v="1899-12-30T00:00:00"/>
    <s v=""/>
    <s v=""/>
    <s v=""/>
  </r>
  <r>
    <x v="14"/>
    <x v="14"/>
    <x v="2"/>
    <s v="13.04.2011"/>
    <x v="85"/>
    <x v="2"/>
    <x v="4"/>
    <s v=""/>
    <d v="1899-12-30T17:40:17"/>
    <d v="1899-12-30T02:00:00"/>
    <s v=""/>
    <d v="1899-12-30T07:30:00"/>
    <s v=""/>
    <s v=""/>
    <s v=""/>
  </r>
  <r>
    <x v="14"/>
    <x v="14"/>
    <x v="2"/>
    <s v="13.04.2011"/>
    <x v="85"/>
    <x v="2"/>
    <x v="4"/>
    <d v="1899-12-30T07:17:46"/>
    <s v=""/>
    <s v=""/>
    <s v=""/>
    <d v="1899-12-30T00:00:00"/>
    <s v=""/>
    <s v=""/>
    <s v=""/>
  </r>
  <r>
    <x v="14"/>
    <x v="14"/>
    <x v="3"/>
    <s v="14.04.2011"/>
    <x v="86"/>
    <x v="3"/>
    <x v="4"/>
    <s v=""/>
    <d v="1899-12-30T17:40:33"/>
    <d v="1899-12-30T02:00:00"/>
    <s v=""/>
    <d v="1899-12-30T07:30:00"/>
    <s v=""/>
    <s v=""/>
    <s v=""/>
  </r>
  <r>
    <x v="14"/>
    <x v="14"/>
    <x v="3"/>
    <s v="14.04.2011"/>
    <x v="86"/>
    <x v="3"/>
    <x v="4"/>
    <d v="1899-12-30T07:15:16"/>
    <s v=""/>
    <s v=""/>
    <s v=""/>
    <d v="1899-12-30T00:00:00"/>
    <s v=""/>
    <s v=""/>
    <s v=""/>
  </r>
  <r>
    <x v="14"/>
    <x v="14"/>
    <x v="4"/>
    <s v="15.04.2011"/>
    <x v="87"/>
    <x v="4"/>
    <x v="4"/>
    <s v=""/>
    <d v="1899-12-30T17:25:13"/>
    <d v="1899-12-30T02:00:00"/>
    <s v=""/>
    <d v="1899-12-30T07:30:00"/>
    <s v=""/>
    <s v=""/>
    <s v=""/>
  </r>
  <r>
    <x v="14"/>
    <x v="14"/>
    <x v="4"/>
    <s v="15.04.2011"/>
    <x v="87"/>
    <x v="4"/>
    <x v="4"/>
    <d v="1899-12-30T07:03:18"/>
    <s v=""/>
    <s v=""/>
    <s v=""/>
    <d v="1899-12-30T00:00:00"/>
    <s v=""/>
    <s v=""/>
    <s v=""/>
  </r>
  <r>
    <x v="14"/>
    <x v="14"/>
    <x v="5"/>
    <s v="16.04.2011"/>
    <x v="88"/>
    <x v="5"/>
    <x v="4"/>
    <s v=""/>
    <d v="1899-12-30T15:09:31"/>
    <s v=""/>
    <s v=""/>
    <d v="1899-12-30T07:30:00"/>
    <s v=""/>
    <s v=""/>
    <s v=""/>
  </r>
  <r>
    <x v="14"/>
    <x v="14"/>
    <x v="5"/>
    <s v="16.04.2011"/>
    <x v="88"/>
    <x v="5"/>
    <x v="4"/>
    <d v="1899-12-30T07:02:17"/>
    <s v=""/>
    <s v=""/>
    <s v=""/>
    <d v="1899-12-30T00:00:00"/>
    <s v=""/>
    <s v=""/>
    <s v=""/>
  </r>
  <r>
    <x v="15"/>
    <x v="15"/>
    <x v="0"/>
    <s v="11.04.2011"/>
    <x v="89"/>
    <x v="0"/>
    <x v="0"/>
    <s v=""/>
    <d v="1899-12-30T22:43:35"/>
    <s v=""/>
    <s v=""/>
    <d v="1899-12-30T07:30:00"/>
    <s v=""/>
    <s v=""/>
    <s v=""/>
  </r>
  <r>
    <x v="15"/>
    <x v="15"/>
    <x v="0"/>
    <s v="11.04.2011"/>
    <x v="89"/>
    <x v="0"/>
    <x v="0"/>
    <d v="1899-12-30T14:34:57"/>
    <s v=""/>
    <s v=""/>
    <s v=""/>
    <d v="1899-12-30T00:00:00"/>
    <s v=""/>
    <s v=""/>
    <s v=""/>
  </r>
  <r>
    <x v="15"/>
    <x v="15"/>
    <x v="1"/>
    <s v="12.04.2011"/>
    <x v="90"/>
    <x v="1"/>
    <x v="0"/>
    <s v=""/>
    <d v="1899-12-30T22:42:11"/>
    <s v=""/>
    <s v=""/>
    <d v="1899-12-30T07:30:00"/>
    <s v=""/>
    <s v=""/>
    <s v=""/>
  </r>
  <r>
    <x v="15"/>
    <x v="15"/>
    <x v="1"/>
    <s v="12.04.2011"/>
    <x v="90"/>
    <x v="1"/>
    <x v="0"/>
    <d v="1899-12-30T14:31:13"/>
    <s v=""/>
    <s v=""/>
    <s v=""/>
    <d v="1899-12-30T00:00:00"/>
    <s v=""/>
    <s v=""/>
    <s v=""/>
  </r>
  <r>
    <x v="15"/>
    <x v="15"/>
    <x v="2"/>
    <s v="13.04.2011"/>
    <x v="91"/>
    <x v="2"/>
    <x v="0"/>
    <s v=""/>
    <d v="1899-12-30T22:41:16"/>
    <s v=""/>
    <s v=""/>
    <d v="1899-12-30T07:30:00"/>
    <s v=""/>
    <s v=""/>
    <s v=""/>
  </r>
  <r>
    <x v="15"/>
    <x v="15"/>
    <x v="2"/>
    <s v="13.04.2011"/>
    <x v="91"/>
    <x v="2"/>
    <x v="0"/>
    <d v="1899-12-30T14:34:03"/>
    <s v=""/>
    <s v=""/>
    <s v=""/>
    <d v="1899-12-30T00:00:00"/>
    <s v=""/>
    <s v=""/>
    <s v=""/>
  </r>
  <r>
    <x v="15"/>
    <x v="15"/>
    <x v="3"/>
    <s v="14.04.2011"/>
    <x v="92"/>
    <x v="3"/>
    <x v="0"/>
    <s v=""/>
    <d v="1899-12-30T22:47:26"/>
    <s v=""/>
    <s v=""/>
    <d v="1899-12-30T07:30:00"/>
    <s v=""/>
    <s v=""/>
    <s v=""/>
  </r>
  <r>
    <x v="15"/>
    <x v="15"/>
    <x v="3"/>
    <s v="14.04.2011"/>
    <x v="92"/>
    <x v="3"/>
    <x v="0"/>
    <d v="1899-12-30T14:34:00"/>
    <s v=""/>
    <s v=""/>
    <s v=""/>
    <d v="1899-12-30T00:00:00"/>
    <s v=""/>
    <s v=""/>
    <s v=""/>
  </r>
  <r>
    <x v="15"/>
    <x v="15"/>
    <x v="4"/>
    <s v="15.04.2011"/>
    <x v="93"/>
    <x v="4"/>
    <x v="0"/>
    <s v=""/>
    <d v="1899-12-30T22:45:36"/>
    <s v=""/>
    <s v=""/>
    <d v="1899-12-30T07:30:00"/>
    <s v=""/>
    <s v=""/>
    <s v=""/>
  </r>
  <r>
    <x v="15"/>
    <x v="15"/>
    <x v="4"/>
    <s v="15.04.2011"/>
    <x v="93"/>
    <x v="4"/>
    <x v="0"/>
    <d v="1899-12-30T14:33:27"/>
    <s v=""/>
    <s v=""/>
    <s v=""/>
    <d v="1899-12-30T00:00:00"/>
    <s v=""/>
    <s v=""/>
    <s v=""/>
  </r>
  <r>
    <x v="15"/>
    <x v="15"/>
    <x v="5"/>
    <s v="16.04.2011"/>
    <x v="94"/>
    <x v="5"/>
    <x v="0"/>
    <s v=""/>
    <d v="1899-12-30T22:48:24"/>
    <s v=""/>
    <s v=""/>
    <d v="1899-12-30T07:30:00"/>
    <s v=""/>
    <s v=""/>
    <s v=""/>
  </r>
  <r>
    <x v="15"/>
    <x v="15"/>
    <x v="5"/>
    <s v="16.04.2011"/>
    <x v="94"/>
    <x v="5"/>
    <x v="0"/>
    <d v="1899-12-30T14:42:14"/>
    <s v=""/>
    <s v=""/>
    <s v=""/>
    <d v="1899-12-30T00:00:00"/>
    <s v=""/>
    <s v=""/>
    <s v=""/>
  </r>
  <r>
    <x v="16"/>
    <x v="16"/>
    <x v="0"/>
    <s v="11.04.2011"/>
    <x v="95"/>
    <x v="0"/>
    <x v="3"/>
    <s v=""/>
    <d v="1899-12-30T07:43:07"/>
    <s v=""/>
    <d v="1899-12-30T07:30:00"/>
    <d v="1899-12-30T09:00:00"/>
    <d v="1899-12-30T07:30:00"/>
    <s v=""/>
    <s v=""/>
  </r>
  <r>
    <x v="16"/>
    <x v="16"/>
    <x v="1"/>
    <s v="11.04.2011"/>
    <x v="96"/>
    <x v="1"/>
    <x v="3"/>
    <d v="1899-12-30T22:05:10"/>
    <s v=""/>
    <s v=""/>
    <s v=""/>
    <d v="1899-12-30T09:00:00"/>
    <s v=""/>
    <s v=""/>
    <s v=""/>
  </r>
  <r>
    <x v="16"/>
    <x v="16"/>
    <x v="1"/>
    <s v="12.04.2011"/>
    <x v="96"/>
    <x v="1"/>
    <x v="3"/>
    <s v=""/>
    <d v="1899-12-30T07:44:35"/>
    <s v=""/>
    <s v=""/>
    <d v="1899-12-30T00:00:00"/>
    <s v=""/>
    <s v=""/>
    <s v=""/>
  </r>
  <r>
    <x v="16"/>
    <x v="16"/>
    <x v="2"/>
    <s v="12.04.2011"/>
    <x v="97"/>
    <x v="2"/>
    <x v="3"/>
    <d v="1899-12-30T22:02:24"/>
    <s v=""/>
    <s v=""/>
    <s v=""/>
    <d v="1899-12-30T09:00:00"/>
    <s v=""/>
    <s v=""/>
    <s v=""/>
  </r>
  <r>
    <x v="16"/>
    <x v="16"/>
    <x v="2"/>
    <s v="13.04.2011"/>
    <x v="97"/>
    <x v="2"/>
    <x v="3"/>
    <s v=""/>
    <d v="1899-12-30T07:41:11"/>
    <s v=""/>
    <s v=""/>
    <d v="1899-12-30T00:00:00"/>
    <s v=""/>
    <s v=""/>
    <s v=""/>
  </r>
  <r>
    <x v="16"/>
    <x v="16"/>
    <x v="3"/>
    <s v="13.04.2011"/>
    <x v="98"/>
    <x v="3"/>
    <x v="3"/>
    <d v="1899-12-30T22:11:29"/>
    <s v=""/>
    <s v=""/>
    <s v=""/>
    <d v="1899-12-30T09:00:00"/>
    <s v=""/>
    <s v=""/>
    <s v=""/>
  </r>
  <r>
    <x v="16"/>
    <x v="16"/>
    <x v="3"/>
    <s v="14.04.2011"/>
    <x v="98"/>
    <x v="3"/>
    <x v="3"/>
    <s v=""/>
    <d v="1899-12-30T07:44:29"/>
    <s v=""/>
    <s v=""/>
    <d v="1899-12-30T00:00:00"/>
    <s v=""/>
    <s v=""/>
    <s v=""/>
  </r>
  <r>
    <x v="16"/>
    <x v="16"/>
    <x v="4"/>
    <s v="14.04.2011"/>
    <x v="99"/>
    <x v="4"/>
    <x v="3"/>
    <d v="1899-12-30T22:04:08"/>
    <s v=""/>
    <s v=""/>
    <s v=""/>
    <d v="1899-12-30T09:00:00"/>
    <s v=""/>
    <s v=""/>
    <s v=""/>
  </r>
  <r>
    <x v="16"/>
    <x v="16"/>
    <x v="4"/>
    <s v="15.04.2011"/>
    <x v="99"/>
    <x v="4"/>
    <x v="3"/>
    <s v=""/>
    <d v="1899-12-30T07:47:16"/>
    <s v=""/>
    <s v=""/>
    <d v="1899-12-30T00:00:00"/>
    <s v=""/>
    <s v=""/>
    <s v=""/>
  </r>
  <r>
    <x v="16"/>
    <x v="16"/>
    <x v="5"/>
    <s v="15.04.2011"/>
    <x v="100"/>
    <x v="5"/>
    <x v="3"/>
    <d v="1899-12-30T22:04:47"/>
    <s v=""/>
    <s v=""/>
    <s v=""/>
    <d v="1899-12-30T09:00:00"/>
    <s v=""/>
    <s v=""/>
    <s v=""/>
  </r>
  <r>
    <x v="16"/>
    <x v="16"/>
    <x v="5"/>
    <s v="16.04.2011"/>
    <x v="100"/>
    <x v="5"/>
    <x v="3"/>
    <s v=""/>
    <d v="1899-12-30T07:47:56"/>
    <s v=""/>
    <s v=""/>
    <d v="1899-12-30T00:00:00"/>
    <s v=""/>
    <s v=""/>
    <s v=""/>
  </r>
  <r>
    <x v="17"/>
    <x v="17"/>
    <x v="0"/>
    <s v="11.04.2011"/>
    <x v="101"/>
    <x v="0"/>
    <x v="0"/>
    <s v=""/>
    <d v="1899-12-30T22:38:28"/>
    <s v=""/>
    <s v=""/>
    <d v="1899-12-30T07:30:00"/>
    <s v=""/>
    <s v=""/>
    <s v=""/>
  </r>
  <r>
    <x v="17"/>
    <x v="17"/>
    <x v="0"/>
    <s v="11.04.2011"/>
    <x v="101"/>
    <x v="0"/>
    <x v="0"/>
    <d v="1899-12-30T14:46:55"/>
    <s v=""/>
    <s v=""/>
    <s v=""/>
    <d v="1899-12-30T00:00:00"/>
    <s v=""/>
    <s v=""/>
    <s v=""/>
  </r>
  <r>
    <x v="17"/>
    <x v="17"/>
    <x v="1"/>
    <s v="12.04.2011"/>
    <x v="102"/>
    <x v="1"/>
    <x v="0"/>
    <s v=""/>
    <d v="1899-12-30T22:35:20"/>
    <s v=""/>
    <s v=""/>
    <d v="1899-12-30T07:30:00"/>
    <s v=""/>
    <s v=""/>
    <s v=""/>
  </r>
  <r>
    <x v="17"/>
    <x v="17"/>
    <x v="1"/>
    <s v="12.04.2011"/>
    <x v="102"/>
    <x v="1"/>
    <x v="0"/>
    <d v="1899-12-30T14:48:47"/>
    <s v=""/>
    <s v=""/>
    <s v=""/>
    <d v="1899-12-30T00:00:00"/>
    <s v=""/>
    <s v=""/>
    <s v=""/>
  </r>
  <r>
    <x v="17"/>
    <x v="17"/>
    <x v="2"/>
    <s v="13.04.2011"/>
    <x v="103"/>
    <x v="2"/>
    <x v="0"/>
    <s v=""/>
    <d v="1899-12-30T22:22:48"/>
    <s v=""/>
    <s v=""/>
    <d v="1899-12-30T07:30:00"/>
    <s v=""/>
    <s v=""/>
    <s v=""/>
  </r>
  <r>
    <x v="17"/>
    <x v="17"/>
    <x v="2"/>
    <s v="13.04.2011"/>
    <x v="103"/>
    <x v="2"/>
    <x v="0"/>
    <d v="1899-12-30T14:52:23"/>
    <s v=""/>
    <s v=""/>
    <s v=""/>
    <d v="1899-12-30T00:00:00"/>
    <s v=""/>
    <s v=""/>
    <s v=""/>
  </r>
  <r>
    <x v="17"/>
    <x v="17"/>
    <x v="3"/>
    <s v="14.04.2011"/>
    <x v="104"/>
    <x v="3"/>
    <x v="0"/>
    <s v=""/>
    <d v="1899-12-30T22:40:29"/>
    <s v=""/>
    <s v=""/>
    <d v="1899-12-30T07:30:00"/>
    <s v=""/>
    <s v=""/>
    <s v=""/>
  </r>
  <r>
    <x v="17"/>
    <x v="17"/>
    <x v="3"/>
    <s v="14.04.2011"/>
    <x v="104"/>
    <x v="3"/>
    <x v="0"/>
    <d v="1899-12-30T14:51:02"/>
    <s v=""/>
    <s v=""/>
    <s v=""/>
    <d v="1899-12-30T00:00:00"/>
    <s v=""/>
    <s v=""/>
    <s v=""/>
  </r>
  <r>
    <x v="17"/>
    <x v="17"/>
    <x v="4"/>
    <s v="15.04.2011"/>
    <x v="105"/>
    <x v="4"/>
    <x v="0"/>
    <s v=""/>
    <d v="1899-12-30T22:40:22"/>
    <s v=""/>
    <s v=""/>
    <d v="1899-12-30T07:30:00"/>
    <s v=""/>
    <s v=""/>
    <s v=""/>
  </r>
  <r>
    <x v="17"/>
    <x v="17"/>
    <x v="4"/>
    <s v="15.04.2011"/>
    <x v="105"/>
    <x v="4"/>
    <x v="0"/>
    <d v="1899-12-30T14:48:27"/>
    <s v=""/>
    <s v=""/>
    <s v=""/>
    <d v="1899-12-30T00:00:00"/>
    <s v=""/>
    <s v=""/>
    <s v=""/>
  </r>
  <r>
    <x v="17"/>
    <x v="17"/>
    <x v="5"/>
    <s v="16.04.2011"/>
    <x v="106"/>
    <x v="5"/>
    <x v="0"/>
    <s v=""/>
    <d v="1899-12-30T22:21:51"/>
    <s v=""/>
    <s v=""/>
    <d v="1899-12-30T07:30:00"/>
    <s v=""/>
    <s v=""/>
    <s v=""/>
  </r>
  <r>
    <x v="17"/>
    <x v="17"/>
    <x v="5"/>
    <s v="16.04.2011"/>
    <x v="106"/>
    <x v="5"/>
    <x v="0"/>
    <d v="1899-12-30T14:49:40"/>
    <s v=""/>
    <s v=""/>
    <s v=""/>
    <d v="1899-12-30T00:00:00"/>
    <s v=""/>
    <s v=""/>
    <s v=""/>
  </r>
  <r>
    <x v="18"/>
    <x v="18"/>
    <x v="0"/>
    <s v="11.04.2011"/>
    <x v="107"/>
    <x v="0"/>
    <x v="2"/>
    <s v=""/>
    <d v="1899-12-30T22:44:05"/>
    <s v=""/>
    <s v=""/>
    <s v=""/>
    <s v=""/>
    <s v=""/>
    <s v=""/>
  </r>
  <r>
    <x v="18"/>
    <x v="18"/>
    <x v="0"/>
    <s v="11.04.2011"/>
    <x v="107"/>
    <x v="0"/>
    <x v="2"/>
    <d v="1899-12-30T14:32:35"/>
    <s v=""/>
    <s v=""/>
    <s v=""/>
    <d v="1899-12-30T00:00:00"/>
    <s v=""/>
    <s v=""/>
    <s v=""/>
  </r>
  <r>
    <x v="18"/>
    <x v="18"/>
    <x v="1"/>
    <s v="12.04.2011"/>
    <x v="108"/>
    <x v="1"/>
    <x v="2"/>
    <s v=""/>
    <d v="1899-12-30T22:42:44"/>
    <s v=""/>
    <s v=""/>
    <s v=""/>
    <s v=""/>
    <s v=""/>
    <s v=""/>
  </r>
  <r>
    <x v="18"/>
    <x v="18"/>
    <x v="1"/>
    <s v="12.04.2011"/>
    <x v="108"/>
    <x v="1"/>
    <x v="2"/>
    <d v="1899-12-30T14:29:41"/>
    <s v=""/>
    <s v=""/>
    <s v=""/>
    <d v="1899-12-30T00:00:00"/>
    <s v=""/>
    <s v=""/>
    <s v=""/>
  </r>
  <r>
    <x v="18"/>
    <x v="18"/>
    <x v="2"/>
    <s v="13.04.2011"/>
    <x v="109"/>
    <x v="2"/>
    <x v="2"/>
    <s v=""/>
    <d v="1899-12-30T22:46:28"/>
    <s v=""/>
    <s v=""/>
    <s v=""/>
    <s v=""/>
    <s v=""/>
    <s v=""/>
  </r>
  <r>
    <x v="18"/>
    <x v="18"/>
    <x v="2"/>
    <s v="13.04.2011"/>
    <x v="109"/>
    <x v="2"/>
    <x v="2"/>
    <d v="1899-12-30T14:33:15"/>
    <s v=""/>
    <s v=""/>
    <s v=""/>
    <d v="1899-12-30T00:00:00"/>
    <s v=""/>
    <s v=""/>
    <s v=""/>
  </r>
  <r>
    <x v="18"/>
    <x v="18"/>
    <x v="3"/>
    <s v="14.04.2011"/>
    <x v="110"/>
    <x v="3"/>
    <x v="2"/>
    <s v=""/>
    <d v="1899-12-30T22:46:18"/>
    <s v=""/>
    <s v=""/>
    <s v=""/>
    <s v=""/>
    <s v=""/>
    <s v=""/>
  </r>
  <r>
    <x v="18"/>
    <x v="18"/>
    <x v="3"/>
    <s v="14.04.2011"/>
    <x v="110"/>
    <x v="3"/>
    <x v="2"/>
    <d v="1899-12-30T14:30:08"/>
    <s v=""/>
    <s v=""/>
    <s v=""/>
    <d v="1899-12-30T00:00:00"/>
    <s v=""/>
    <s v=""/>
    <s v=""/>
  </r>
  <r>
    <x v="18"/>
    <x v="18"/>
    <x v="4"/>
    <s v="15.04.2011"/>
    <x v="111"/>
    <x v="4"/>
    <x v="2"/>
    <s v=""/>
    <d v="1899-12-30T22:44:45"/>
    <s v=""/>
    <s v=""/>
    <s v=""/>
    <s v=""/>
    <s v=""/>
    <s v=""/>
  </r>
  <r>
    <x v="18"/>
    <x v="18"/>
    <x v="4"/>
    <s v="15.04.2011"/>
    <x v="111"/>
    <x v="4"/>
    <x v="2"/>
    <d v="1899-12-30T14:34:31"/>
    <s v=""/>
    <s v=""/>
    <s v=""/>
    <d v="1899-12-30T00:00:00"/>
    <s v=""/>
    <s v=""/>
    <s v=""/>
  </r>
  <r>
    <x v="18"/>
    <x v="18"/>
    <x v="5"/>
    <s v="16.04.2011"/>
    <x v="112"/>
    <x v="5"/>
    <x v="2"/>
    <s v=""/>
    <d v="1899-12-30T22:48:33"/>
    <s v=""/>
    <s v=""/>
    <s v=""/>
    <s v=""/>
    <s v=""/>
    <s v=""/>
  </r>
  <r>
    <x v="18"/>
    <x v="18"/>
    <x v="5"/>
    <s v="16.04.2011"/>
    <x v="112"/>
    <x v="5"/>
    <x v="2"/>
    <d v="1899-12-30T14:28:56"/>
    <s v=""/>
    <s v=""/>
    <s v=""/>
    <d v="1899-12-30T00:00:00"/>
    <s v=""/>
    <s v=""/>
    <s v=""/>
  </r>
  <r>
    <x v="19"/>
    <x v="19"/>
    <x v="0"/>
    <s v="11.04.2011"/>
    <x v="113"/>
    <x v="0"/>
    <x v="4"/>
    <s v=""/>
    <d v="1899-12-30T15:04:57"/>
    <s v=""/>
    <s v=""/>
    <d v="1899-12-30T07:30:00"/>
    <s v=""/>
    <s v=""/>
    <s v=""/>
  </r>
  <r>
    <x v="19"/>
    <x v="19"/>
    <x v="0"/>
    <s v="11.04.2011"/>
    <x v="113"/>
    <x v="0"/>
    <x v="4"/>
    <d v="1899-12-30T07:06:46"/>
    <s v=""/>
    <s v=""/>
    <s v=""/>
    <d v="1899-12-30T00:00:00"/>
    <s v=""/>
    <s v=""/>
    <s v=""/>
  </r>
  <r>
    <x v="19"/>
    <x v="19"/>
    <x v="1"/>
    <s v="12.04.2011"/>
    <x v="114"/>
    <x v="1"/>
    <x v="4"/>
    <s v=""/>
    <d v="1899-12-30T15:02:23"/>
    <s v=""/>
    <s v=""/>
    <d v="1899-12-30T07:30:00"/>
    <s v=""/>
    <s v=""/>
    <s v=""/>
  </r>
  <r>
    <x v="19"/>
    <x v="19"/>
    <x v="1"/>
    <s v="12.04.2011"/>
    <x v="114"/>
    <x v="1"/>
    <x v="4"/>
    <d v="1899-12-30T07:05:15"/>
    <s v=""/>
    <s v=""/>
    <s v=""/>
    <d v="1899-12-30T00:00:00"/>
    <s v=""/>
    <s v=""/>
    <s v=""/>
  </r>
  <r>
    <x v="19"/>
    <x v="19"/>
    <x v="2"/>
    <s v="13.04.2011"/>
    <x v="115"/>
    <x v="2"/>
    <x v="4"/>
    <s v=""/>
    <d v="1899-12-30T15:21:00"/>
    <s v=""/>
    <s v=""/>
    <d v="1899-12-30T07:30:00"/>
    <s v=""/>
    <s v=""/>
    <s v=""/>
  </r>
  <r>
    <x v="19"/>
    <x v="19"/>
    <x v="2"/>
    <s v="13.04.2011"/>
    <x v="115"/>
    <x v="2"/>
    <x v="4"/>
    <d v="1899-12-30T07:05:03"/>
    <s v=""/>
    <s v=""/>
    <s v=""/>
    <d v="1899-12-30T00:00:00"/>
    <s v=""/>
    <s v=""/>
    <s v=""/>
  </r>
  <r>
    <x v="19"/>
    <x v="19"/>
    <x v="3"/>
    <s v="14.04.2011"/>
    <x v="116"/>
    <x v="3"/>
    <x v="4"/>
    <s v=""/>
    <d v="1899-12-30T15:09:47"/>
    <s v=""/>
    <s v=""/>
    <d v="1899-12-30T07:30:00"/>
    <s v=""/>
    <s v=""/>
    <s v=""/>
  </r>
  <r>
    <x v="19"/>
    <x v="19"/>
    <x v="3"/>
    <s v="14.04.2011"/>
    <x v="116"/>
    <x v="3"/>
    <x v="4"/>
    <d v="1899-12-30T07:04:10"/>
    <s v=""/>
    <s v=""/>
    <s v=""/>
    <d v="1899-12-30T00:00:00"/>
    <s v=""/>
    <s v=""/>
    <s v=""/>
  </r>
  <r>
    <x v="19"/>
    <x v="19"/>
    <x v="4"/>
    <s v="15.04.2011"/>
    <x v="117"/>
    <x v="4"/>
    <x v="4"/>
    <s v=""/>
    <d v="1899-12-30T15:08:36"/>
    <s v=""/>
    <s v=""/>
    <d v="1899-12-30T07:30:00"/>
    <s v=""/>
    <s v=""/>
    <s v=""/>
  </r>
  <r>
    <x v="19"/>
    <x v="19"/>
    <x v="4"/>
    <s v="15.04.2011"/>
    <x v="117"/>
    <x v="4"/>
    <x v="4"/>
    <d v="1899-12-30T07:05:33"/>
    <s v=""/>
    <s v=""/>
    <s v=""/>
    <d v="1899-12-30T00:00:00"/>
    <s v=""/>
    <s v=""/>
    <s v=""/>
  </r>
  <r>
    <x v="19"/>
    <x v="19"/>
    <x v="5"/>
    <s v="16.04.2011"/>
    <x v="118"/>
    <x v="5"/>
    <x v="4"/>
    <s v=""/>
    <d v="1899-12-30T15:01:58"/>
    <s v=""/>
    <s v=""/>
    <d v="1899-12-30T07:30:00"/>
    <s v=""/>
    <s v=""/>
    <s v=""/>
  </r>
  <r>
    <x v="19"/>
    <x v="19"/>
    <x v="5"/>
    <s v="16.04.2011"/>
    <x v="118"/>
    <x v="5"/>
    <x v="4"/>
    <d v="1899-12-30T07:03:29"/>
    <s v=""/>
    <s v=""/>
    <s v=""/>
    <d v="1899-12-30T00:00:00"/>
    <s v=""/>
    <s v=""/>
    <s v=""/>
  </r>
  <r>
    <x v="20"/>
    <x v="20"/>
    <x v="0"/>
    <s v="11.04.2011"/>
    <x v="119"/>
    <x v="0"/>
    <x v="0"/>
    <s v=""/>
    <d v="1899-12-30T22:34:47"/>
    <s v=""/>
    <s v=""/>
    <d v="1899-12-30T07:30:00"/>
    <s v=""/>
    <s v=""/>
    <s v=""/>
  </r>
  <r>
    <x v="20"/>
    <x v="20"/>
    <x v="0"/>
    <s v="11.04.2011"/>
    <x v="119"/>
    <x v="0"/>
    <x v="0"/>
    <d v="1899-12-30T14:36:50"/>
    <s v=""/>
    <s v=""/>
    <s v=""/>
    <d v="1899-12-30T00:00:00"/>
    <s v=""/>
    <s v=""/>
    <s v=""/>
  </r>
  <r>
    <x v="20"/>
    <x v="20"/>
    <x v="1"/>
    <s v="12.04.2011"/>
    <x v="120"/>
    <x v="1"/>
    <x v="0"/>
    <s v=""/>
    <d v="1899-12-30T22:27:20"/>
    <s v=""/>
    <s v=""/>
    <d v="1899-12-30T07:30:00"/>
    <s v=""/>
    <s v=""/>
    <s v=""/>
  </r>
  <r>
    <x v="20"/>
    <x v="20"/>
    <x v="1"/>
    <s v="12.04.2011"/>
    <x v="120"/>
    <x v="1"/>
    <x v="0"/>
    <d v="1899-12-30T14:31:07"/>
    <s v=""/>
    <s v=""/>
    <s v=""/>
    <d v="1899-12-30T00:00:00"/>
    <s v=""/>
    <s v=""/>
    <s v=""/>
  </r>
  <r>
    <x v="20"/>
    <x v="20"/>
    <x v="2"/>
    <s v="13.04.2011"/>
    <x v="121"/>
    <x v="2"/>
    <x v="0"/>
    <s v=""/>
    <d v="1899-12-30T22:31:17"/>
    <s v=""/>
    <s v=""/>
    <d v="1899-12-30T07:30:00"/>
    <s v=""/>
    <s v=""/>
    <s v=""/>
  </r>
  <r>
    <x v="20"/>
    <x v="20"/>
    <x v="2"/>
    <s v="13.04.2011"/>
    <x v="121"/>
    <x v="2"/>
    <x v="0"/>
    <d v="1899-12-30T14:34:08"/>
    <s v=""/>
    <s v=""/>
    <s v=""/>
    <d v="1899-12-30T00:00:00"/>
    <s v=""/>
    <s v=""/>
    <s v=""/>
  </r>
  <r>
    <x v="20"/>
    <x v="20"/>
    <x v="3"/>
    <s v="14.04.2011"/>
    <x v="122"/>
    <x v="3"/>
    <x v="0"/>
    <s v=""/>
    <d v="1899-12-30T22:36:24"/>
    <s v=""/>
    <s v=""/>
    <d v="1899-12-30T07:30:00"/>
    <s v=""/>
    <s v=""/>
    <s v=""/>
  </r>
  <r>
    <x v="20"/>
    <x v="20"/>
    <x v="3"/>
    <s v="14.04.2011"/>
    <x v="122"/>
    <x v="3"/>
    <x v="0"/>
    <d v="1899-12-30T14:33:52"/>
    <s v=""/>
    <s v=""/>
    <s v=""/>
    <d v="1899-12-30T00:00:00"/>
    <s v=""/>
    <s v=""/>
    <s v=""/>
  </r>
  <r>
    <x v="20"/>
    <x v="20"/>
    <x v="4"/>
    <s v="15.04.2011"/>
    <x v="123"/>
    <x v="4"/>
    <x v="0"/>
    <s v=""/>
    <d v="1899-12-30T22:34:46"/>
    <s v=""/>
    <s v=""/>
    <d v="1899-12-30T07:30:00"/>
    <s v=""/>
    <s v=""/>
    <s v=""/>
  </r>
  <r>
    <x v="20"/>
    <x v="20"/>
    <x v="4"/>
    <s v="15.04.2011"/>
    <x v="123"/>
    <x v="4"/>
    <x v="0"/>
    <d v="1899-12-30T14:32:18"/>
    <s v=""/>
    <s v=""/>
    <s v=""/>
    <d v="1899-12-30T00:00:00"/>
    <s v=""/>
    <s v=""/>
    <s v=""/>
  </r>
  <r>
    <x v="20"/>
    <x v="20"/>
    <x v="5"/>
    <s v="16.04.2011"/>
    <x v="124"/>
    <x v="5"/>
    <x v="0"/>
    <s v=""/>
    <d v="1899-12-30T22:34:52"/>
    <s v=""/>
    <s v=""/>
    <d v="1899-12-30T07:30:00"/>
    <s v=""/>
    <s v=""/>
    <s v=""/>
  </r>
  <r>
    <x v="20"/>
    <x v="20"/>
    <x v="5"/>
    <s v="16.04.2011"/>
    <x v="124"/>
    <x v="5"/>
    <x v="0"/>
    <d v="1899-12-30T14:42:18"/>
    <s v=""/>
    <s v=""/>
    <s v=""/>
    <d v="1899-12-30T00:00:00"/>
    <s v=""/>
    <s v=""/>
    <s v=""/>
  </r>
  <r>
    <x v="21"/>
    <x v="21"/>
    <x v="0"/>
    <s v="11.04.2011"/>
    <x v="125"/>
    <x v="0"/>
    <x v="4"/>
    <s v=""/>
    <d v="1899-12-30T15:24:00"/>
    <s v=""/>
    <s v=""/>
    <d v="1899-12-30T07:30:00"/>
    <s v=""/>
    <s v=""/>
    <s v=""/>
  </r>
  <r>
    <x v="21"/>
    <x v="21"/>
    <x v="0"/>
    <s v="11.04.2011"/>
    <x v="125"/>
    <x v="0"/>
    <x v="4"/>
    <d v="1899-12-30T07:25:15"/>
    <s v=""/>
    <s v=""/>
    <s v=""/>
    <d v="1899-12-30T00:00:00"/>
    <s v=""/>
    <s v=""/>
    <s v=""/>
  </r>
  <r>
    <x v="21"/>
    <x v="21"/>
    <x v="1"/>
    <s v="12.04.2011"/>
    <x v="126"/>
    <x v="1"/>
    <x v="4"/>
    <s v=""/>
    <d v="1899-12-30T15:22:38"/>
    <s v=""/>
    <s v=""/>
    <d v="1899-12-30T07:30:00"/>
    <s v=""/>
    <s v=""/>
    <s v=""/>
  </r>
  <r>
    <x v="21"/>
    <x v="21"/>
    <x v="1"/>
    <s v="12.04.2011"/>
    <x v="126"/>
    <x v="1"/>
    <x v="4"/>
    <d v="1899-12-30T07:10:03"/>
    <s v=""/>
    <s v=""/>
    <s v=""/>
    <d v="1899-12-30T00:00:00"/>
    <s v=""/>
    <s v=""/>
    <s v=""/>
  </r>
  <r>
    <x v="21"/>
    <x v="21"/>
    <x v="2"/>
    <s v="13.04.2011"/>
    <x v="127"/>
    <x v="2"/>
    <x v="4"/>
    <s v=""/>
    <d v="1899-12-30T15:24:01"/>
    <s v=""/>
    <s v=""/>
    <d v="1899-12-30T07:30:00"/>
    <s v=""/>
    <s v=""/>
    <s v=""/>
  </r>
  <r>
    <x v="21"/>
    <x v="21"/>
    <x v="2"/>
    <s v="13.04.2011"/>
    <x v="127"/>
    <x v="2"/>
    <x v="4"/>
    <d v="1899-12-30T07:17:29"/>
    <s v=""/>
    <s v=""/>
    <s v=""/>
    <d v="1899-12-30T00:00:00"/>
    <s v=""/>
    <s v=""/>
    <s v=""/>
  </r>
  <r>
    <x v="21"/>
    <x v="21"/>
    <x v="3"/>
    <s v="14.04.2011"/>
    <x v="128"/>
    <x v="3"/>
    <x v="4"/>
    <s v=""/>
    <d v="1899-12-30T15:19:13"/>
    <s v=""/>
    <s v=""/>
    <d v="1899-12-30T07:30:00"/>
    <s v=""/>
    <s v=""/>
    <s v=""/>
  </r>
  <r>
    <x v="21"/>
    <x v="21"/>
    <x v="3"/>
    <s v="14.04.2011"/>
    <x v="128"/>
    <x v="3"/>
    <x v="4"/>
    <d v="1899-12-30T07:35:07"/>
    <s v=""/>
    <s v=""/>
    <s v=""/>
    <d v="1899-12-30T00:00:00"/>
    <s v=""/>
    <s v=""/>
    <s v=""/>
  </r>
  <r>
    <x v="21"/>
    <x v="21"/>
    <x v="4"/>
    <s v="15.04.2011"/>
    <x v="129"/>
    <x v="4"/>
    <x v="4"/>
    <s v=""/>
    <d v="1899-12-30T15:25:11"/>
    <s v=""/>
    <s v=""/>
    <d v="1899-12-30T07:30:00"/>
    <s v=""/>
    <s v=""/>
    <s v=""/>
  </r>
  <r>
    <x v="21"/>
    <x v="21"/>
    <x v="4"/>
    <s v="15.04.2011"/>
    <x v="129"/>
    <x v="4"/>
    <x v="4"/>
    <d v="1899-12-30T07:19:32"/>
    <s v=""/>
    <s v=""/>
    <s v=""/>
    <d v="1899-12-30T00:00:00"/>
    <s v=""/>
    <s v=""/>
    <s v=""/>
  </r>
  <r>
    <x v="21"/>
    <x v="21"/>
    <x v="5"/>
    <s v="16.04.2011"/>
    <x v="130"/>
    <x v="5"/>
    <x v="4"/>
    <s v=""/>
    <d v="1899-12-30T15:33:30"/>
    <s v=""/>
    <s v=""/>
    <d v="1899-12-30T07:30:00"/>
    <s v=""/>
    <s v=""/>
    <s v=""/>
  </r>
  <r>
    <x v="21"/>
    <x v="21"/>
    <x v="5"/>
    <s v="16.04.2011"/>
    <x v="130"/>
    <x v="5"/>
    <x v="4"/>
    <d v="1899-12-30T08:25:22"/>
    <s v=""/>
    <s v=""/>
    <s v=""/>
    <d v="1899-12-30T00:00:00"/>
    <s v=""/>
    <s v=""/>
    <s v=""/>
  </r>
  <r>
    <x v="22"/>
    <x v="22"/>
    <x v="0"/>
    <s v="11.04.2011"/>
    <x v="131"/>
    <x v="0"/>
    <x v="4"/>
    <s v=""/>
    <d v="1899-12-30T15:16:10"/>
    <s v=""/>
    <s v=""/>
    <d v="1899-12-30T07:30:00"/>
    <s v=""/>
    <s v=""/>
    <s v=""/>
  </r>
  <r>
    <x v="22"/>
    <x v="22"/>
    <x v="0"/>
    <s v="11.04.2011"/>
    <x v="131"/>
    <x v="0"/>
    <x v="4"/>
    <d v="1899-12-30T07:35:56"/>
    <s v=""/>
    <s v=""/>
    <s v=""/>
    <d v="1899-12-30T00:00:00"/>
    <s v=""/>
    <s v=""/>
    <s v=""/>
  </r>
  <r>
    <x v="22"/>
    <x v="22"/>
    <x v="1"/>
    <s v="12.04.2011"/>
    <x v="132"/>
    <x v="1"/>
    <x v="4"/>
    <s v=""/>
    <d v="1899-12-30T15:13:29"/>
    <s v=""/>
    <s v=""/>
    <d v="1899-12-30T07:30:00"/>
    <s v=""/>
    <s v=""/>
    <s v=""/>
  </r>
  <r>
    <x v="22"/>
    <x v="22"/>
    <x v="1"/>
    <s v="12.04.2011"/>
    <x v="132"/>
    <x v="1"/>
    <x v="4"/>
    <d v="1899-12-30T07:23:58"/>
    <s v=""/>
    <s v=""/>
    <s v=""/>
    <d v="1899-12-30T00:00:00"/>
    <s v=""/>
    <s v=""/>
    <s v=""/>
  </r>
  <r>
    <x v="22"/>
    <x v="22"/>
    <x v="2"/>
    <s v="13.04.2011"/>
    <x v="133"/>
    <x v="2"/>
    <x v="4"/>
    <s v=""/>
    <d v="1899-12-30T15:14:15"/>
    <s v=""/>
    <s v=""/>
    <d v="1899-12-30T07:30:00"/>
    <s v=""/>
    <s v=""/>
    <s v=""/>
  </r>
  <r>
    <x v="22"/>
    <x v="22"/>
    <x v="2"/>
    <s v="13.04.2011"/>
    <x v="133"/>
    <x v="2"/>
    <x v="4"/>
    <d v="1899-12-30T07:04:04"/>
    <s v=""/>
    <s v=""/>
    <s v=""/>
    <d v="1899-12-30T00:00:00"/>
    <s v=""/>
    <s v=""/>
    <s v=""/>
  </r>
  <r>
    <x v="22"/>
    <x v="22"/>
    <x v="3"/>
    <s v="14.04.2011"/>
    <x v="134"/>
    <x v="3"/>
    <x v="4"/>
    <s v=""/>
    <d v="1899-12-30T22:38:04"/>
    <s v=""/>
    <s v=""/>
    <d v="1899-12-30T07:30:00"/>
    <s v=""/>
    <s v=""/>
    <s v=""/>
  </r>
  <r>
    <x v="22"/>
    <x v="22"/>
    <x v="3"/>
    <s v="14.04.2011"/>
    <x v="134"/>
    <x v="3"/>
    <x v="4"/>
    <d v="1899-12-30T14:41:51"/>
    <s v=""/>
    <s v=""/>
    <s v=""/>
    <d v="1899-12-30T00:00:00"/>
    <s v=""/>
    <s v=""/>
    <s v=""/>
  </r>
  <r>
    <x v="22"/>
    <x v="22"/>
    <x v="4"/>
    <s v="15.04.2011"/>
    <x v="135"/>
    <x v="4"/>
    <x v="4"/>
    <s v=""/>
    <d v="1899-12-30T15:06:36"/>
    <s v=""/>
    <s v=""/>
    <d v="1899-12-30T07:30:00"/>
    <s v=""/>
    <s v=""/>
    <s v=""/>
  </r>
  <r>
    <x v="22"/>
    <x v="22"/>
    <x v="4"/>
    <s v="15.04.2011"/>
    <x v="135"/>
    <x v="4"/>
    <x v="4"/>
    <d v="1899-12-30T07:04:49"/>
    <s v=""/>
    <s v=""/>
    <s v=""/>
    <d v="1899-12-30T00:00:00"/>
    <s v=""/>
    <s v=""/>
    <s v=""/>
  </r>
  <r>
    <x v="23"/>
    <x v="23"/>
    <x v="0"/>
    <s v="11.04.2011"/>
    <x v="136"/>
    <x v="0"/>
    <x v="0"/>
    <s v=""/>
    <d v="1899-12-30T22:39:18"/>
    <s v=""/>
    <s v=""/>
    <d v="1899-12-30T07:30:00"/>
    <s v=""/>
    <s v=""/>
    <s v=""/>
  </r>
  <r>
    <x v="23"/>
    <x v="23"/>
    <x v="0"/>
    <s v="11.04.2011"/>
    <x v="136"/>
    <x v="0"/>
    <x v="0"/>
    <d v="1899-12-30T14:39:54"/>
    <s v=""/>
    <s v=""/>
    <s v=""/>
    <d v="1899-12-30T00:00:00"/>
    <s v=""/>
    <s v=""/>
    <s v=""/>
  </r>
  <r>
    <x v="23"/>
    <x v="23"/>
    <x v="1"/>
    <s v="12.04.2011"/>
    <x v="137"/>
    <x v="1"/>
    <x v="0"/>
    <s v=""/>
    <d v="1899-12-30T15:12:52"/>
    <s v=""/>
    <s v=""/>
    <d v="1899-12-30T07:30:00"/>
    <s v=""/>
    <s v=""/>
    <s v=""/>
  </r>
  <r>
    <x v="23"/>
    <x v="23"/>
    <x v="1"/>
    <s v="12.04.2011"/>
    <x v="137"/>
    <x v="1"/>
    <x v="0"/>
    <d v="1899-12-30T07:43:02"/>
    <s v=""/>
    <s v=""/>
    <s v=""/>
    <d v="1899-12-30T00:00:00"/>
    <s v=""/>
    <s v=""/>
    <s v=""/>
  </r>
  <r>
    <x v="23"/>
    <x v="23"/>
    <x v="2"/>
    <s v="13.04.2011"/>
    <x v="138"/>
    <x v="2"/>
    <x v="0"/>
    <s v=""/>
    <d v="1899-12-30T22:36:39"/>
    <s v=""/>
    <s v=""/>
    <d v="1899-12-30T07:30:00"/>
    <s v=""/>
    <s v=""/>
    <s v=""/>
  </r>
  <r>
    <x v="23"/>
    <x v="23"/>
    <x v="2"/>
    <s v="13.04.2011"/>
    <x v="138"/>
    <x v="2"/>
    <x v="0"/>
    <d v="1899-12-30T15:00:31"/>
    <s v=""/>
    <s v=""/>
    <s v=""/>
    <d v="1899-12-30T00:00:00"/>
    <s v=""/>
    <s v=""/>
    <s v=""/>
  </r>
  <r>
    <x v="23"/>
    <x v="23"/>
    <x v="3"/>
    <s v="14.04.2011"/>
    <x v="139"/>
    <x v="3"/>
    <x v="0"/>
    <s v=""/>
    <d v="1899-12-30T22:41:09"/>
    <s v=""/>
    <s v=""/>
    <d v="1899-12-30T07:30:00"/>
    <s v=""/>
    <s v=""/>
    <s v=""/>
  </r>
  <r>
    <x v="23"/>
    <x v="23"/>
    <x v="3"/>
    <s v="14.04.2011"/>
    <x v="139"/>
    <x v="3"/>
    <x v="0"/>
    <d v="1899-12-30T14:27:38"/>
    <s v=""/>
    <s v=""/>
    <s v=""/>
    <d v="1899-12-30T00:00:00"/>
    <s v=""/>
    <s v=""/>
    <s v=""/>
  </r>
  <r>
    <x v="23"/>
    <x v="23"/>
    <x v="4"/>
    <s v="15.04.2011"/>
    <x v="140"/>
    <x v="4"/>
    <x v="0"/>
    <s v=""/>
    <d v="1899-12-30T15:21:04"/>
    <s v=""/>
    <s v=""/>
    <d v="1899-12-30T07:30:00"/>
    <s v=""/>
    <s v=""/>
    <s v=""/>
  </r>
  <r>
    <x v="23"/>
    <x v="23"/>
    <x v="4"/>
    <s v="15.04.2011"/>
    <x v="140"/>
    <x v="4"/>
    <x v="0"/>
    <d v="1899-12-30T07:43:55"/>
    <s v=""/>
    <s v=""/>
    <s v=""/>
    <d v="1899-12-30T00:00:00"/>
    <s v=""/>
    <s v=""/>
    <s v=""/>
  </r>
  <r>
    <x v="23"/>
    <x v="23"/>
    <x v="5"/>
    <s v="16.04.2011"/>
    <x v="141"/>
    <x v="5"/>
    <x v="0"/>
    <s v=""/>
    <d v="1899-12-30T22:30:03"/>
    <s v=""/>
    <s v=""/>
    <d v="1899-12-30T07:30:00"/>
    <s v=""/>
    <s v=""/>
    <s v=""/>
  </r>
  <r>
    <x v="23"/>
    <x v="23"/>
    <x v="5"/>
    <s v="16.04.2011"/>
    <x v="141"/>
    <x v="5"/>
    <x v="0"/>
    <d v="1899-12-30T15:28:11"/>
    <s v=""/>
    <s v=""/>
    <s v=""/>
    <d v="1899-12-30T00:00:00"/>
    <s v=""/>
    <s v=""/>
    <s v=""/>
  </r>
  <r>
    <x v="24"/>
    <x v="24"/>
    <x v="0"/>
    <s v="11.04.2011"/>
    <x v="142"/>
    <x v="0"/>
    <x v="0"/>
    <s v=""/>
    <d v="1899-12-30T07:57:14"/>
    <s v=""/>
    <d v="1899-12-30T07:30:00"/>
    <d v="1899-12-30T07:30:00"/>
    <d v="1899-12-30T07:30:00"/>
    <s v=""/>
    <s v=""/>
  </r>
  <r>
    <x v="24"/>
    <x v="24"/>
    <x v="0"/>
    <s v="11.04.2011"/>
    <x v="142"/>
    <x v="0"/>
    <x v="0"/>
    <s v=""/>
    <d v="1899-12-30T22:37:07"/>
    <s v=""/>
    <s v=""/>
    <d v="1899-12-30T00:00:00"/>
    <s v=""/>
    <s v=""/>
    <s v=""/>
  </r>
  <r>
    <x v="24"/>
    <x v="24"/>
    <x v="0"/>
    <s v="11.04.2011"/>
    <x v="143"/>
    <x v="0"/>
    <x v="0"/>
    <d v="1899-12-30T00:13:08"/>
    <s v=""/>
    <s v=""/>
    <d v="1899-12-30T07:30:00"/>
    <d v="1899-12-30T00:00:00"/>
    <s v=""/>
    <s v=""/>
    <s v=""/>
  </r>
  <r>
    <x v="24"/>
    <x v="24"/>
    <x v="0"/>
    <s v="11.04.2011"/>
    <x v="143"/>
    <x v="0"/>
    <x v="0"/>
    <d v="1899-12-30T14:50:39"/>
    <s v=""/>
    <s v=""/>
    <s v=""/>
    <d v="1899-12-30T00:00:00"/>
    <s v=""/>
    <s v=""/>
    <s v=""/>
  </r>
  <r>
    <x v="24"/>
    <x v="24"/>
    <x v="1"/>
    <s v="12.04.2011"/>
    <x v="144"/>
    <x v="1"/>
    <x v="0"/>
    <s v=""/>
    <d v="1899-12-30T22:37:40"/>
    <s v=""/>
    <s v=""/>
    <d v="1899-12-30T07:30:00"/>
    <s v=""/>
    <s v=""/>
    <s v=""/>
  </r>
  <r>
    <x v="24"/>
    <x v="24"/>
    <x v="1"/>
    <s v="12.04.2011"/>
    <x v="144"/>
    <x v="1"/>
    <x v="0"/>
    <d v="1899-12-30T14:31:57"/>
    <s v=""/>
    <s v=""/>
    <s v=""/>
    <d v="1899-12-30T00:00:00"/>
    <s v=""/>
    <s v=""/>
    <s v=""/>
  </r>
  <r>
    <x v="24"/>
    <x v="24"/>
    <x v="2"/>
    <s v="13.04.2011"/>
    <x v="145"/>
    <x v="2"/>
    <x v="0"/>
    <s v=""/>
    <d v="1899-12-30T22:38:19"/>
    <s v=""/>
    <s v=""/>
    <d v="1899-12-30T07:30:00"/>
    <s v=""/>
    <s v=""/>
    <s v=""/>
  </r>
  <r>
    <x v="24"/>
    <x v="24"/>
    <x v="2"/>
    <s v="13.04.2011"/>
    <x v="145"/>
    <x v="2"/>
    <x v="0"/>
    <d v="1899-12-30T14:36:01"/>
    <s v=""/>
    <s v=""/>
    <s v=""/>
    <d v="1899-12-30T00:00:00"/>
    <s v=""/>
    <s v=""/>
    <s v=""/>
  </r>
  <r>
    <x v="24"/>
    <x v="24"/>
    <x v="3"/>
    <s v="14.04.2011"/>
    <x v="146"/>
    <x v="3"/>
    <x v="0"/>
    <s v=""/>
    <d v="1899-12-30T22:41:41"/>
    <s v=""/>
    <s v=""/>
    <d v="1899-12-30T07:30:00"/>
    <s v=""/>
    <s v=""/>
    <s v=""/>
  </r>
  <r>
    <x v="24"/>
    <x v="24"/>
    <x v="3"/>
    <s v="14.04.2011"/>
    <x v="146"/>
    <x v="3"/>
    <x v="0"/>
    <d v="1899-12-30T14:34:05"/>
    <s v=""/>
    <s v=""/>
    <s v=""/>
    <d v="1899-12-30T00:00:00"/>
    <s v=""/>
    <s v=""/>
    <s v=""/>
  </r>
  <r>
    <x v="24"/>
    <x v="24"/>
    <x v="4"/>
    <s v="15.04.2011"/>
    <x v="147"/>
    <x v="4"/>
    <x v="0"/>
    <s v=""/>
    <d v="1899-12-30T22:45:27"/>
    <s v=""/>
    <s v=""/>
    <d v="1899-12-30T07:30:00"/>
    <s v=""/>
    <s v=""/>
    <s v=""/>
  </r>
  <r>
    <x v="24"/>
    <x v="24"/>
    <x v="4"/>
    <s v="15.04.2011"/>
    <x v="147"/>
    <x v="4"/>
    <x v="0"/>
    <d v="1899-12-30T14:33:23"/>
    <s v=""/>
    <s v=""/>
    <s v=""/>
    <d v="1899-12-30T00:00:00"/>
    <s v=""/>
    <s v=""/>
    <s v=""/>
  </r>
  <r>
    <x v="24"/>
    <x v="24"/>
    <x v="5"/>
    <s v="16.04.2011"/>
    <x v="148"/>
    <x v="5"/>
    <x v="0"/>
    <s v=""/>
    <d v="1899-12-30T15:47:37"/>
    <s v=""/>
    <s v=""/>
    <d v="1899-12-30T07:30:00"/>
    <s v=""/>
    <s v=""/>
    <s v=""/>
  </r>
  <r>
    <x v="24"/>
    <x v="24"/>
    <x v="5"/>
    <s v="16.04.2011"/>
    <x v="148"/>
    <x v="5"/>
    <x v="0"/>
    <d v="1899-12-30T14:34:57"/>
    <s v=""/>
    <s v=""/>
    <s v=""/>
    <d v="1899-12-30T00:00:00"/>
    <s v=""/>
    <s v=""/>
    <s v=""/>
  </r>
  <r>
    <x v="25"/>
    <x v="25"/>
    <x v="0"/>
    <s v="11.04.2011"/>
    <x v="149"/>
    <x v="0"/>
    <x v="4"/>
    <s v=""/>
    <d v="1899-12-30T17:27:32"/>
    <s v=""/>
    <s v=""/>
    <d v="1899-12-30T07:30:00"/>
    <s v=""/>
    <s v=""/>
    <s v=""/>
  </r>
  <r>
    <x v="25"/>
    <x v="25"/>
    <x v="0"/>
    <s v="11.04.2011"/>
    <x v="149"/>
    <x v="0"/>
    <x v="4"/>
    <d v="1899-12-30T07:12:13"/>
    <s v=""/>
    <s v=""/>
    <s v=""/>
    <d v="1899-12-30T00:00:00"/>
    <s v=""/>
    <s v=""/>
    <s v=""/>
  </r>
  <r>
    <x v="25"/>
    <x v="25"/>
    <x v="1"/>
    <s v="12.04.2011"/>
    <x v="150"/>
    <x v="1"/>
    <x v="4"/>
    <s v=""/>
    <d v="1899-12-30T17:25:53"/>
    <s v=""/>
    <s v=""/>
    <d v="1899-12-30T07:30:00"/>
    <s v=""/>
    <s v=""/>
    <s v=""/>
  </r>
  <r>
    <x v="25"/>
    <x v="25"/>
    <x v="1"/>
    <s v="12.04.2011"/>
    <x v="150"/>
    <x v="1"/>
    <x v="4"/>
    <d v="1899-12-30T07:20:45"/>
    <s v=""/>
    <s v=""/>
    <s v=""/>
    <d v="1899-12-30T00:00:00"/>
    <s v=""/>
    <s v=""/>
    <s v=""/>
  </r>
  <r>
    <x v="25"/>
    <x v="25"/>
    <x v="2"/>
    <s v="13.04.2011"/>
    <x v="151"/>
    <x v="2"/>
    <x v="4"/>
    <s v=""/>
    <d v="1899-12-30T17:35:55"/>
    <s v=""/>
    <s v=""/>
    <d v="1899-12-30T07:30:00"/>
    <s v=""/>
    <s v=""/>
    <s v=""/>
  </r>
  <r>
    <x v="25"/>
    <x v="25"/>
    <x v="2"/>
    <s v="13.04.2011"/>
    <x v="151"/>
    <x v="2"/>
    <x v="4"/>
    <d v="1899-12-30T07:14:23"/>
    <s v=""/>
    <s v=""/>
    <s v=""/>
    <d v="1899-12-30T00:00:00"/>
    <s v=""/>
    <s v=""/>
    <s v=""/>
  </r>
  <r>
    <x v="25"/>
    <x v="25"/>
    <x v="3"/>
    <s v="14.04.2011"/>
    <x v="152"/>
    <x v="3"/>
    <x v="4"/>
    <s v=""/>
    <d v="1899-12-30T18:20:56"/>
    <s v=""/>
    <s v=""/>
    <d v="1899-12-30T07:30:00"/>
    <s v=""/>
    <s v=""/>
    <s v=""/>
  </r>
  <r>
    <x v="25"/>
    <x v="25"/>
    <x v="3"/>
    <s v="14.04.2011"/>
    <x v="152"/>
    <x v="3"/>
    <x v="4"/>
    <d v="1899-12-30T07:14:21"/>
    <s v=""/>
    <s v=""/>
    <s v=""/>
    <d v="1899-12-30T00:00:00"/>
    <s v=""/>
    <s v=""/>
    <s v=""/>
  </r>
  <r>
    <x v="25"/>
    <x v="25"/>
    <x v="4"/>
    <s v="15.04.2011"/>
    <x v="153"/>
    <x v="4"/>
    <x v="4"/>
    <s v=""/>
    <d v="1899-12-30T17:20:10"/>
    <s v=""/>
    <s v=""/>
    <d v="1899-12-30T07:30:00"/>
    <s v=""/>
    <s v=""/>
    <s v=""/>
  </r>
  <r>
    <x v="25"/>
    <x v="25"/>
    <x v="4"/>
    <s v="15.04.2011"/>
    <x v="153"/>
    <x v="4"/>
    <x v="4"/>
    <d v="1899-12-30T07:21:40"/>
    <s v=""/>
    <s v=""/>
    <s v=""/>
    <d v="1899-12-30T00:00:00"/>
    <s v=""/>
    <s v=""/>
    <s v=""/>
  </r>
  <r>
    <x v="26"/>
    <x v="26"/>
    <x v="0"/>
    <s v="11.04.2011"/>
    <x v="154"/>
    <x v="0"/>
    <x v="4"/>
    <s v=""/>
    <d v="1899-12-30T15:08:55"/>
    <s v=""/>
    <s v=""/>
    <d v="1899-12-30T07:30:00"/>
    <s v=""/>
    <s v=""/>
    <s v=""/>
  </r>
  <r>
    <x v="26"/>
    <x v="26"/>
    <x v="0"/>
    <s v="11.04.2011"/>
    <x v="154"/>
    <x v="0"/>
    <x v="4"/>
    <d v="1899-12-30T07:21:49"/>
    <s v=""/>
    <s v=""/>
    <s v=""/>
    <d v="1899-12-30T00:00:00"/>
    <s v=""/>
    <s v=""/>
    <s v=""/>
  </r>
  <r>
    <x v="26"/>
    <x v="26"/>
    <x v="1"/>
    <s v="12.04.2011"/>
    <x v="155"/>
    <x v="1"/>
    <x v="4"/>
    <s v=""/>
    <d v="1899-12-30T15:14:34"/>
    <s v=""/>
    <s v=""/>
    <d v="1899-12-30T07:30:00"/>
    <s v=""/>
    <s v=""/>
    <s v=""/>
  </r>
  <r>
    <x v="26"/>
    <x v="26"/>
    <x v="1"/>
    <s v="12.04.2011"/>
    <x v="155"/>
    <x v="1"/>
    <x v="4"/>
    <d v="1899-12-30T07:07:46"/>
    <s v=""/>
    <s v=""/>
    <s v=""/>
    <d v="1899-12-30T00:00:00"/>
    <s v=""/>
    <s v=""/>
    <s v=""/>
  </r>
  <r>
    <x v="26"/>
    <x v="26"/>
    <x v="2"/>
    <s v="13.04.2011"/>
    <x v="156"/>
    <x v="2"/>
    <x v="4"/>
    <s v=""/>
    <d v="1899-12-30T15:13:53"/>
    <s v=""/>
    <s v=""/>
    <d v="1899-12-30T07:30:00"/>
    <s v=""/>
    <s v=""/>
    <s v=""/>
  </r>
  <r>
    <x v="26"/>
    <x v="26"/>
    <x v="2"/>
    <s v="13.04.2011"/>
    <x v="156"/>
    <x v="2"/>
    <x v="4"/>
    <d v="1899-12-30T07:05:36"/>
    <s v=""/>
    <s v=""/>
    <s v=""/>
    <d v="1899-12-30T00:00:00"/>
    <s v=""/>
    <s v=""/>
    <s v=""/>
  </r>
  <r>
    <x v="26"/>
    <x v="26"/>
    <x v="3"/>
    <s v="14.04.2011"/>
    <x v="157"/>
    <x v="3"/>
    <x v="4"/>
    <s v=""/>
    <d v="1899-12-30T15:06:36"/>
    <s v=""/>
    <s v=""/>
    <d v="1899-12-30T07:30:00"/>
    <s v=""/>
    <s v=""/>
    <s v=""/>
  </r>
  <r>
    <x v="26"/>
    <x v="26"/>
    <x v="3"/>
    <s v="14.04.2011"/>
    <x v="157"/>
    <x v="3"/>
    <x v="4"/>
    <d v="1899-12-30T06:57:21"/>
    <s v=""/>
    <s v=""/>
    <s v=""/>
    <d v="1899-12-30T00:00:00"/>
    <s v=""/>
    <s v=""/>
    <s v=""/>
  </r>
  <r>
    <x v="26"/>
    <x v="26"/>
    <x v="4"/>
    <s v="15.04.2011"/>
    <x v="158"/>
    <x v="4"/>
    <x v="4"/>
    <s v=""/>
    <d v="1899-12-30T15:20:07"/>
    <s v=""/>
    <s v=""/>
    <d v="1899-12-30T07:30:00"/>
    <s v=""/>
    <s v=""/>
    <s v=""/>
  </r>
  <r>
    <x v="26"/>
    <x v="26"/>
    <x v="4"/>
    <s v="15.04.2011"/>
    <x v="158"/>
    <x v="4"/>
    <x v="4"/>
    <d v="1899-12-30T07:05:46"/>
    <s v=""/>
    <s v=""/>
    <s v=""/>
    <d v="1899-12-30T00:00:00"/>
    <s v=""/>
    <s v=""/>
    <s v=""/>
  </r>
  <r>
    <x v="26"/>
    <x v="26"/>
    <x v="5"/>
    <s v="16.04.2011"/>
    <x v="159"/>
    <x v="5"/>
    <x v="4"/>
    <s v=""/>
    <d v="1899-12-30T15:14:12"/>
    <s v=""/>
    <s v=""/>
    <d v="1899-12-30T07:30:00"/>
    <s v=""/>
    <s v=""/>
    <s v=""/>
  </r>
  <r>
    <x v="26"/>
    <x v="26"/>
    <x v="5"/>
    <s v="16.04.2011"/>
    <x v="159"/>
    <x v="5"/>
    <x v="4"/>
    <d v="1899-12-30T07:25:22"/>
    <s v=""/>
    <s v=""/>
    <s v=""/>
    <d v="1899-12-30T00:00:00"/>
    <s v=""/>
    <s v=""/>
    <s v=""/>
  </r>
  <r>
    <x v="27"/>
    <x v="27"/>
    <x v="0"/>
    <s v="11.04.2011"/>
    <x v="160"/>
    <x v="0"/>
    <x v="2"/>
    <s v=""/>
    <d v="1899-12-30T15:16:44"/>
    <s v=""/>
    <s v=""/>
    <s v=""/>
    <s v=""/>
    <s v=""/>
    <s v=""/>
  </r>
  <r>
    <x v="27"/>
    <x v="27"/>
    <x v="0"/>
    <s v="11.04.2011"/>
    <x v="160"/>
    <x v="0"/>
    <x v="2"/>
    <d v="1899-12-30T07:07:18"/>
    <s v=""/>
    <s v=""/>
    <s v=""/>
    <d v="1899-12-30T00:00:00"/>
    <s v=""/>
    <s v=""/>
    <s v=""/>
  </r>
  <r>
    <x v="27"/>
    <x v="27"/>
    <x v="1"/>
    <s v="12.04.2011"/>
    <x v="161"/>
    <x v="1"/>
    <x v="2"/>
    <s v=""/>
    <d v="1899-12-30T15:16:11"/>
    <s v=""/>
    <s v=""/>
    <s v=""/>
    <s v=""/>
    <s v=""/>
    <s v=""/>
  </r>
  <r>
    <x v="27"/>
    <x v="27"/>
    <x v="1"/>
    <s v="12.04.2011"/>
    <x v="161"/>
    <x v="1"/>
    <x v="2"/>
    <d v="1899-12-30T07:05:11"/>
    <s v=""/>
    <s v=""/>
    <s v=""/>
    <d v="1899-12-30T00:00:00"/>
    <s v=""/>
    <s v=""/>
    <s v=""/>
  </r>
  <r>
    <x v="27"/>
    <x v="27"/>
    <x v="2"/>
    <s v="13.04.2011"/>
    <x v="162"/>
    <x v="2"/>
    <x v="2"/>
    <s v=""/>
    <d v="1899-12-30T15:20:14"/>
    <s v=""/>
    <s v=""/>
    <s v=""/>
    <s v=""/>
    <s v=""/>
    <s v=""/>
  </r>
  <r>
    <x v="27"/>
    <x v="27"/>
    <x v="2"/>
    <s v="13.04.2011"/>
    <x v="162"/>
    <x v="2"/>
    <x v="2"/>
    <d v="1899-12-30T07:05:29"/>
    <s v=""/>
    <s v=""/>
    <s v=""/>
    <d v="1899-12-30T00:00:00"/>
    <s v=""/>
    <s v=""/>
    <s v=""/>
  </r>
  <r>
    <x v="27"/>
    <x v="27"/>
    <x v="3"/>
    <s v="14.04.2011"/>
    <x v="163"/>
    <x v="3"/>
    <x v="2"/>
    <s v=""/>
    <d v="1899-12-30T15:16:51"/>
    <s v=""/>
    <s v=""/>
    <s v=""/>
    <s v=""/>
    <s v=""/>
    <s v=""/>
  </r>
  <r>
    <x v="27"/>
    <x v="27"/>
    <x v="3"/>
    <s v="14.04.2011"/>
    <x v="163"/>
    <x v="3"/>
    <x v="2"/>
    <d v="1899-12-30T07:04:16"/>
    <s v=""/>
    <s v=""/>
    <s v=""/>
    <d v="1899-12-30T00:00:00"/>
    <s v=""/>
    <s v=""/>
    <s v=""/>
  </r>
  <r>
    <x v="27"/>
    <x v="27"/>
    <x v="4"/>
    <s v="15.04.2011"/>
    <x v="164"/>
    <x v="4"/>
    <x v="2"/>
    <s v=""/>
    <d v="1899-12-30T15:22:07"/>
    <s v=""/>
    <s v=""/>
    <s v=""/>
    <s v=""/>
    <s v=""/>
    <s v=""/>
  </r>
  <r>
    <x v="27"/>
    <x v="27"/>
    <x v="4"/>
    <s v="15.04.2011"/>
    <x v="164"/>
    <x v="4"/>
    <x v="2"/>
    <d v="1899-12-30T07:05:42"/>
    <s v=""/>
    <s v=""/>
    <s v=""/>
    <d v="1899-12-30T00:00:00"/>
    <s v=""/>
    <s v=""/>
    <s v=""/>
  </r>
  <r>
    <x v="27"/>
    <x v="27"/>
    <x v="5"/>
    <s v="16.04.2011"/>
    <x v="165"/>
    <x v="5"/>
    <x v="2"/>
    <s v=""/>
    <d v="1899-12-30T15:22:12"/>
    <s v=""/>
    <s v=""/>
    <s v=""/>
    <s v=""/>
    <s v=""/>
    <s v=""/>
  </r>
  <r>
    <x v="27"/>
    <x v="27"/>
    <x v="5"/>
    <s v="16.04.2011"/>
    <x v="165"/>
    <x v="5"/>
    <x v="2"/>
    <d v="1899-12-30T07:04:15"/>
    <s v=""/>
    <s v=""/>
    <s v=""/>
    <d v="1899-12-30T00:00:00"/>
    <s v=""/>
    <s v=""/>
    <s v=""/>
  </r>
  <r>
    <x v="28"/>
    <x v="28"/>
    <x v="0"/>
    <s v="11.04.2011"/>
    <x v="166"/>
    <x v="0"/>
    <x v="4"/>
    <s v=""/>
    <d v="1899-12-30T15:10:11"/>
    <s v=""/>
    <s v=""/>
    <d v="1899-12-30T07:30:00"/>
    <s v=""/>
    <s v=""/>
    <s v=""/>
  </r>
  <r>
    <x v="28"/>
    <x v="28"/>
    <x v="0"/>
    <s v="11.04.2011"/>
    <x v="166"/>
    <x v="0"/>
    <x v="4"/>
    <d v="1899-12-30T06:58:29"/>
    <s v=""/>
    <s v=""/>
    <s v=""/>
    <d v="1899-12-30T00:00:00"/>
    <s v=""/>
    <s v=""/>
    <s v=""/>
  </r>
  <r>
    <x v="28"/>
    <x v="28"/>
    <x v="1"/>
    <s v="12.04.2011"/>
    <x v="167"/>
    <x v="1"/>
    <x v="4"/>
    <s v=""/>
    <d v="1899-12-30T15:13:13"/>
    <s v=""/>
    <s v=""/>
    <d v="1899-12-30T07:30:00"/>
    <s v=""/>
    <s v=""/>
    <s v=""/>
  </r>
  <r>
    <x v="28"/>
    <x v="28"/>
    <x v="1"/>
    <s v="12.04.2011"/>
    <x v="167"/>
    <x v="1"/>
    <x v="4"/>
    <d v="1899-12-30T06:58:31"/>
    <s v=""/>
    <s v=""/>
    <s v=""/>
    <d v="1899-12-30T00:00:00"/>
    <s v=""/>
    <s v=""/>
    <s v=""/>
  </r>
  <r>
    <x v="28"/>
    <x v="28"/>
    <x v="2"/>
    <s v="13.04.2011"/>
    <x v="168"/>
    <x v="2"/>
    <x v="4"/>
    <s v=""/>
    <d v="1899-12-30T15:15:33"/>
    <s v=""/>
    <s v=""/>
    <d v="1899-12-30T07:30:00"/>
    <s v=""/>
    <s v=""/>
    <s v=""/>
  </r>
  <r>
    <x v="28"/>
    <x v="28"/>
    <x v="2"/>
    <s v="13.04.2011"/>
    <x v="168"/>
    <x v="2"/>
    <x v="4"/>
    <d v="1899-12-30T06:56:13"/>
    <s v=""/>
    <s v=""/>
    <s v=""/>
    <d v="1899-12-30T00:00:00"/>
    <s v=""/>
    <s v=""/>
    <s v=""/>
  </r>
  <r>
    <x v="28"/>
    <x v="28"/>
    <x v="3"/>
    <s v="14.04.2011"/>
    <x v="169"/>
    <x v="3"/>
    <x v="4"/>
    <s v=""/>
    <d v="1899-12-30T15:11:12"/>
    <s v=""/>
    <s v=""/>
    <d v="1899-12-30T07:30:00"/>
    <s v=""/>
    <s v=""/>
    <s v=""/>
  </r>
  <r>
    <x v="28"/>
    <x v="28"/>
    <x v="3"/>
    <s v="14.04.2011"/>
    <x v="169"/>
    <x v="3"/>
    <x v="4"/>
    <d v="1899-12-30T07:11:10"/>
    <s v=""/>
    <s v=""/>
    <s v=""/>
    <d v="1899-12-30T00:00:00"/>
    <s v=""/>
    <s v=""/>
    <s v=""/>
  </r>
  <r>
    <x v="28"/>
    <x v="28"/>
    <x v="4"/>
    <s v="15.04.2011"/>
    <x v="170"/>
    <x v="4"/>
    <x v="4"/>
    <s v=""/>
    <d v="1899-12-30T15:16:16"/>
    <s v=""/>
    <s v=""/>
    <d v="1899-12-30T07:30:00"/>
    <s v=""/>
    <s v=""/>
    <s v=""/>
  </r>
  <r>
    <x v="28"/>
    <x v="28"/>
    <x v="4"/>
    <s v="15.04.2011"/>
    <x v="170"/>
    <x v="4"/>
    <x v="4"/>
    <d v="1899-12-30T07:02:34"/>
    <s v=""/>
    <s v=""/>
    <s v=""/>
    <d v="1899-12-30T00:00:00"/>
    <s v=""/>
    <s v=""/>
    <s v=""/>
  </r>
  <r>
    <x v="28"/>
    <x v="28"/>
    <x v="5"/>
    <s v="16.04.2011"/>
    <x v="171"/>
    <x v="5"/>
    <x v="4"/>
    <s v=""/>
    <d v="1899-12-30T15:17:58"/>
    <s v=""/>
    <s v=""/>
    <d v="1899-12-30T07:30:00"/>
    <s v=""/>
    <s v=""/>
    <s v=""/>
  </r>
  <r>
    <x v="28"/>
    <x v="28"/>
    <x v="5"/>
    <s v="16.04.2011"/>
    <x v="171"/>
    <x v="5"/>
    <x v="4"/>
    <d v="1899-12-30T06:59:57"/>
    <s v=""/>
    <s v=""/>
    <s v=""/>
    <d v="1899-12-30T00:00:00"/>
    <s v=""/>
    <s v=""/>
    <s v=""/>
  </r>
  <r>
    <x v="29"/>
    <x v="29"/>
    <x v="0"/>
    <s v="11.04.2011"/>
    <x v="172"/>
    <x v="0"/>
    <x v="0"/>
    <s v=""/>
    <d v="1899-12-30T22:41:48"/>
    <s v=""/>
    <s v=""/>
    <d v="1899-12-30T07:30:00"/>
    <s v=""/>
    <s v=""/>
    <s v=""/>
  </r>
  <r>
    <x v="29"/>
    <x v="29"/>
    <x v="0"/>
    <s v="11.04.2011"/>
    <x v="172"/>
    <x v="0"/>
    <x v="0"/>
    <d v="1899-12-30T14:34:31"/>
    <s v=""/>
    <s v=""/>
    <s v=""/>
    <d v="1899-12-30T00:00:00"/>
    <s v=""/>
    <s v=""/>
    <s v=""/>
  </r>
  <r>
    <x v="29"/>
    <x v="29"/>
    <x v="1"/>
    <s v="12.04.2011"/>
    <x v="173"/>
    <x v="1"/>
    <x v="0"/>
    <s v=""/>
    <d v="1899-12-30T22:43:51"/>
    <s v=""/>
    <s v=""/>
    <d v="1899-12-30T07:30:00"/>
    <s v=""/>
    <s v=""/>
    <s v=""/>
  </r>
  <r>
    <x v="29"/>
    <x v="29"/>
    <x v="1"/>
    <s v="12.04.2011"/>
    <x v="173"/>
    <x v="1"/>
    <x v="0"/>
    <d v="1899-12-30T14:33:42"/>
    <s v=""/>
    <s v=""/>
    <s v=""/>
    <d v="1899-12-30T00:00:00"/>
    <s v=""/>
    <s v=""/>
    <s v=""/>
  </r>
  <r>
    <x v="29"/>
    <x v="29"/>
    <x v="2"/>
    <s v="13.04.2011"/>
    <x v="174"/>
    <x v="2"/>
    <x v="0"/>
    <s v=""/>
    <d v="1899-12-30T22:42:45"/>
    <s v=""/>
    <s v=""/>
    <d v="1899-12-30T07:30:00"/>
    <s v=""/>
    <s v=""/>
    <s v=""/>
  </r>
  <r>
    <x v="29"/>
    <x v="29"/>
    <x v="2"/>
    <s v="13.04.2011"/>
    <x v="174"/>
    <x v="2"/>
    <x v="0"/>
    <d v="1899-12-30T15:02:33"/>
    <s v=""/>
    <s v=""/>
    <s v=""/>
    <d v="1899-12-30T00:00:00"/>
    <s v=""/>
    <s v=""/>
    <s v=""/>
  </r>
  <r>
    <x v="29"/>
    <x v="29"/>
    <x v="3"/>
    <s v="14.04.2011"/>
    <x v="175"/>
    <x v="3"/>
    <x v="0"/>
    <s v=""/>
    <d v="1899-12-30T22:49:17"/>
    <s v=""/>
    <s v=""/>
    <d v="1899-12-30T07:30:00"/>
    <s v=""/>
    <s v=""/>
    <s v=""/>
  </r>
  <r>
    <x v="29"/>
    <x v="29"/>
    <x v="3"/>
    <s v="14.04.2011"/>
    <x v="175"/>
    <x v="3"/>
    <x v="0"/>
    <d v="1899-12-30T14:35:14"/>
    <s v=""/>
    <s v=""/>
    <s v=""/>
    <d v="1899-12-30T00:00:00"/>
    <s v=""/>
    <s v=""/>
    <s v=""/>
  </r>
  <r>
    <x v="29"/>
    <x v="29"/>
    <x v="4"/>
    <s v="15.04.2011"/>
    <x v="176"/>
    <x v="4"/>
    <x v="0"/>
    <s v=""/>
    <d v="1899-12-30T22:43:59"/>
    <s v=""/>
    <s v=""/>
    <d v="1899-12-30T07:30:00"/>
    <s v=""/>
    <s v=""/>
    <s v=""/>
  </r>
  <r>
    <x v="29"/>
    <x v="29"/>
    <x v="4"/>
    <s v="15.04.2011"/>
    <x v="176"/>
    <x v="4"/>
    <x v="0"/>
    <d v="1899-12-30T14:37:09"/>
    <s v=""/>
    <s v=""/>
    <s v=""/>
    <d v="1899-12-30T00:00:00"/>
    <s v=""/>
    <s v=""/>
    <s v=""/>
  </r>
  <r>
    <x v="30"/>
    <x v="30"/>
    <x v="0"/>
    <s v="11.04.2011"/>
    <x v="177"/>
    <x v="0"/>
    <x v="0"/>
    <s v=""/>
    <d v="1899-12-30T22:30:32"/>
    <s v=""/>
    <s v=""/>
    <d v="1899-12-30T07:30:00"/>
    <s v=""/>
    <s v=""/>
    <s v=""/>
  </r>
  <r>
    <x v="30"/>
    <x v="30"/>
    <x v="0"/>
    <s v="11.04.2011"/>
    <x v="177"/>
    <x v="0"/>
    <x v="0"/>
    <d v="1899-12-30T14:44:42"/>
    <s v=""/>
    <s v=""/>
    <s v=""/>
    <d v="1899-12-30T00:00:00"/>
    <s v=""/>
    <s v=""/>
    <s v=""/>
  </r>
  <r>
    <x v="30"/>
    <x v="30"/>
    <x v="1"/>
    <s v="12.04.2011"/>
    <x v="178"/>
    <x v="1"/>
    <x v="0"/>
    <s v=""/>
    <d v="1899-12-30T22:27:33"/>
    <s v=""/>
    <s v=""/>
    <d v="1899-12-30T07:30:00"/>
    <s v=""/>
    <s v=""/>
    <s v=""/>
  </r>
  <r>
    <x v="30"/>
    <x v="30"/>
    <x v="1"/>
    <s v="12.04.2011"/>
    <x v="178"/>
    <x v="1"/>
    <x v="0"/>
    <d v="1899-12-30T14:48:37"/>
    <s v=""/>
    <s v=""/>
    <s v=""/>
    <d v="1899-12-30T00:00:00"/>
    <s v=""/>
    <s v=""/>
    <s v=""/>
  </r>
  <r>
    <x v="30"/>
    <x v="30"/>
    <x v="2"/>
    <s v="13.04.2011"/>
    <x v="179"/>
    <x v="2"/>
    <x v="0"/>
    <s v=""/>
    <d v="1899-12-30T22:25:04"/>
    <s v=""/>
    <s v=""/>
    <d v="1899-12-30T07:30:00"/>
    <s v=""/>
    <s v=""/>
    <s v=""/>
  </r>
  <r>
    <x v="30"/>
    <x v="30"/>
    <x v="2"/>
    <s v="13.04.2011"/>
    <x v="179"/>
    <x v="2"/>
    <x v="0"/>
    <d v="1899-12-30T14:50:47"/>
    <s v=""/>
    <s v=""/>
    <s v=""/>
    <d v="1899-12-30T00:00:00"/>
    <s v=""/>
    <s v=""/>
    <s v=""/>
  </r>
  <r>
    <x v="30"/>
    <x v="30"/>
    <x v="3"/>
    <s v="14.04.2011"/>
    <x v="180"/>
    <x v="3"/>
    <x v="0"/>
    <s v=""/>
    <d v="1899-12-30T22:27:17"/>
    <s v=""/>
    <s v=""/>
    <d v="1899-12-30T07:30:00"/>
    <s v=""/>
    <s v=""/>
    <s v=""/>
  </r>
  <r>
    <x v="30"/>
    <x v="30"/>
    <x v="3"/>
    <s v="14.04.2011"/>
    <x v="180"/>
    <x v="3"/>
    <x v="0"/>
    <d v="1899-12-30T14:52:40"/>
    <s v=""/>
    <s v=""/>
    <s v=""/>
    <d v="1899-12-30T00:00:00"/>
    <s v=""/>
    <s v=""/>
    <s v=""/>
  </r>
  <r>
    <x v="30"/>
    <x v="30"/>
    <x v="4"/>
    <s v="15.04.2011"/>
    <x v="181"/>
    <x v="4"/>
    <x v="0"/>
    <s v=""/>
    <d v="1899-12-30T22:25:42"/>
    <s v=""/>
    <s v=""/>
    <d v="1899-12-30T07:30:00"/>
    <s v=""/>
    <s v=""/>
    <s v=""/>
  </r>
  <r>
    <x v="30"/>
    <x v="30"/>
    <x v="4"/>
    <s v="15.04.2011"/>
    <x v="181"/>
    <x v="4"/>
    <x v="0"/>
    <d v="1899-12-30T14:51:16"/>
    <s v=""/>
    <s v=""/>
    <s v=""/>
    <d v="1899-12-30T00:00:00"/>
    <s v=""/>
    <s v=""/>
    <s v=""/>
  </r>
  <r>
    <x v="30"/>
    <x v="30"/>
    <x v="5"/>
    <s v="16.04.2011"/>
    <x v="182"/>
    <x v="5"/>
    <x v="0"/>
    <s v=""/>
    <d v="1899-12-30T22:25:32"/>
    <s v=""/>
    <s v=""/>
    <d v="1899-12-30T07:30:00"/>
    <s v=""/>
    <s v=""/>
    <s v=""/>
  </r>
  <r>
    <x v="30"/>
    <x v="30"/>
    <x v="5"/>
    <s v="16.04.2011"/>
    <x v="182"/>
    <x v="5"/>
    <x v="0"/>
    <d v="1899-12-30T14:49:44"/>
    <s v=""/>
    <s v=""/>
    <s v=""/>
    <d v="1899-12-30T00:00:00"/>
    <s v=""/>
    <s v=""/>
    <s v=""/>
  </r>
  <r>
    <x v="31"/>
    <x v="31"/>
    <x v="1"/>
    <s v="11.04.2011"/>
    <x v="183"/>
    <x v="1"/>
    <x v="3"/>
    <d v="1899-12-30T22:06:38"/>
    <s v=""/>
    <s v=""/>
    <s v=""/>
    <d v="1899-12-30T09:00:00"/>
    <s v=""/>
    <s v=""/>
    <s v=""/>
  </r>
  <r>
    <x v="31"/>
    <x v="31"/>
    <x v="1"/>
    <s v="12.04.2011"/>
    <x v="183"/>
    <x v="1"/>
    <x v="3"/>
    <s v=""/>
    <d v="1899-12-30T07:47:30"/>
    <s v=""/>
    <s v=""/>
    <d v="1899-12-30T00:00:00"/>
    <s v=""/>
    <s v=""/>
    <s v=""/>
  </r>
  <r>
    <x v="31"/>
    <x v="31"/>
    <x v="2"/>
    <s v="12.04.2011"/>
    <x v="184"/>
    <x v="2"/>
    <x v="3"/>
    <d v="1899-12-30T22:03:21"/>
    <s v=""/>
    <s v=""/>
    <s v=""/>
    <d v="1899-12-30T09:00:00"/>
    <s v=""/>
    <s v=""/>
    <s v=""/>
  </r>
  <r>
    <x v="31"/>
    <x v="31"/>
    <x v="2"/>
    <s v="13.04.2011"/>
    <x v="184"/>
    <x v="2"/>
    <x v="3"/>
    <s v=""/>
    <d v="1899-12-30T07:48:04"/>
    <s v=""/>
    <s v=""/>
    <d v="1899-12-30T00:00:00"/>
    <s v=""/>
    <s v=""/>
    <s v=""/>
  </r>
  <r>
    <x v="31"/>
    <x v="31"/>
    <x v="3"/>
    <s v="13.04.2011"/>
    <x v="185"/>
    <x v="3"/>
    <x v="3"/>
    <d v="1899-12-30T22:06:43"/>
    <s v=""/>
    <s v=""/>
    <s v=""/>
    <d v="1899-12-30T09:00:00"/>
    <s v=""/>
    <s v=""/>
    <s v=""/>
  </r>
  <r>
    <x v="31"/>
    <x v="31"/>
    <x v="3"/>
    <s v="14.04.2011"/>
    <x v="185"/>
    <x v="3"/>
    <x v="3"/>
    <s v=""/>
    <d v="1899-12-30T07:50:03"/>
    <s v=""/>
    <s v=""/>
    <d v="1899-12-30T00:00:00"/>
    <s v=""/>
    <s v=""/>
    <s v=""/>
  </r>
  <r>
    <x v="31"/>
    <x v="31"/>
    <x v="4"/>
    <s v="14.04.2011"/>
    <x v="186"/>
    <x v="4"/>
    <x v="3"/>
    <d v="1899-12-30T22:04:56"/>
    <s v=""/>
    <s v=""/>
    <s v=""/>
    <d v="1899-12-30T09:00:00"/>
    <s v=""/>
    <s v=""/>
    <s v=""/>
  </r>
  <r>
    <x v="31"/>
    <x v="31"/>
    <x v="4"/>
    <s v="15.04.2011"/>
    <x v="186"/>
    <x v="4"/>
    <x v="3"/>
    <s v=""/>
    <d v="1899-12-30T07:49:46"/>
    <s v=""/>
    <s v=""/>
    <d v="1899-12-30T00:00:00"/>
    <s v=""/>
    <s v=""/>
    <s v=""/>
  </r>
  <r>
    <x v="31"/>
    <x v="31"/>
    <x v="5"/>
    <s v="15.04.2011"/>
    <x v="187"/>
    <x v="5"/>
    <x v="3"/>
    <d v="1899-12-30T22:04:54"/>
    <s v=""/>
    <s v=""/>
    <s v=""/>
    <d v="1899-12-30T09:00:00"/>
    <s v=""/>
    <s v=""/>
    <s v=""/>
  </r>
  <r>
    <x v="31"/>
    <x v="31"/>
    <x v="5"/>
    <s v="16.04.2011"/>
    <x v="187"/>
    <x v="5"/>
    <x v="3"/>
    <s v=""/>
    <d v="1899-12-30T07:50:37"/>
    <s v=""/>
    <s v=""/>
    <d v="1899-12-30T00:00:00"/>
    <s v=""/>
    <s v=""/>
    <s v=""/>
  </r>
  <r>
    <x v="32"/>
    <x v="32"/>
    <x v="0"/>
    <s v="11.04.2011"/>
    <x v="188"/>
    <x v="0"/>
    <x v="2"/>
    <s v=""/>
    <d v="1899-12-30T22:43:41"/>
    <s v=""/>
    <s v=""/>
    <s v=""/>
    <s v=""/>
    <s v=""/>
    <s v=""/>
  </r>
  <r>
    <x v="32"/>
    <x v="32"/>
    <x v="0"/>
    <s v="11.04.2011"/>
    <x v="188"/>
    <x v="0"/>
    <x v="2"/>
    <d v="1899-12-30T14:33:14"/>
    <s v=""/>
    <s v=""/>
    <s v=""/>
    <d v="1899-12-30T00:00:00"/>
    <s v=""/>
    <s v=""/>
    <s v=""/>
  </r>
  <r>
    <x v="32"/>
    <x v="32"/>
    <x v="1"/>
    <s v="12.04.2011"/>
    <x v="189"/>
    <x v="1"/>
    <x v="2"/>
    <s v=""/>
    <d v="1899-12-30T22:41:59"/>
    <s v=""/>
    <s v=""/>
    <s v=""/>
    <s v=""/>
    <s v=""/>
    <s v=""/>
  </r>
  <r>
    <x v="32"/>
    <x v="32"/>
    <x v="1"/>
    <s v="12.04.2011"/>
    <x v="189"/>
    <x v="1"/>
    <x v="2"/>
    <d v="1899-12-30T14:33:06"/>
    <s v=""/>
    <s v=""/>
    <s v=""/>
    <d v="1899-12-30T00:00:00"/>
    <s v=""/>
    <s v=""/>
    <s v=""/>
  </r>
  <r>
    <x v="32"/>
    <x v="32"/>
    <x v="2"/>
    <s v="13.04.2011"/>
    <x v="190"/>
    <x v="2"/>
    <x v="2"/>
    <s v=""/>
    <d v="1899-12-30T22:43:20"/>
    <s v=""/>
    <s v=""/>
    <s v=""/>
    <s v=""/>
    <s v=""/>
    <s v=""/>
  </r>
  <r>
    <x v="32"/>
    <x v="32"/>
    <x v="2"/>
    <s v="13.04.2011"/>
    <x v="190"/>
    <x v="2"/>
    <x v="2"/>
    <d v="1899-12-30T14:36:18"/>
    <s v=""/>
    <s v=""/>
    <s v=""/>
    <d v="1899-12-30T00:00:00"/>
    <s v=""/>
    <s v=""/>
    <s v=""/>
  </r>
  <r>
    <x v="32"/>
    <x v="32"/>
    <x v="3"/>
    <s v="14.04.2011"/>
    <x v="191"/>
    <x v="3"/>
    <x v="2"/>
    <s v=""/>
    <d v="1899-12-30T22:46:37"/>
    <s v=""/>
    <s v=""/>
    <s v=""/>
    <s v=""/>
    <s v=""/>
    <s v=""/>
  </r>
  <r>
    <x v="32"/>
    <x v="32"/>
    <x v="3"/>
    <s v="14.04.2011"/>
    <x v="191"/>
    <x v="3"/>
    <x v="2"/>
    <d v="1899-12-30T14:33:28"/>
    <s v=""/>
    <s v=""/>
    <s v=""/>
    <d v="1899-12-30T00:00:00"/>
    <s v=""/>
    <s v=""/>
    <s v=""/>
  </r>
  <r>
    <x v="32"/>
    <x v="32"/>
    <x v="4"/>
    <s v="15.04.2011"/>
    <x v="192"/>
    <x v="4"/>
    <x v="2"/>
    <s v=""/>
    <d v="1899-12-30T22:44:04"/>
    <s v=""/>
    <s v=""/>
    <s v=""/>
    <s v=""/>
    <s v=""/>
    <s v=""/>
  </r>
  <r>
    <x v="32"/>
    <x v="32"/>
    <x v="4"/>
    <s v="15.04.2011"/>
    <x v="192"/>
    <x v="4"/>
    <x v="2"/>
    <d v="1899-12-30T14:36:56"/>
    <s v=""/>
    <s v=""/>
    <s v=""/>
    <d v="1899-12-30T00:00:00"/>
    <s v=""/>
    <s v=""/>
    <s v=""/>
  </r>
  <r>
    <x v="32"/>
    <x v="32"/>
    <x v="5"/>
    <s v="16.04.2011"/>
    <x v="193"/>
    <x v="5"/>
    <x v="2"/>
    <s v=""/>
    <d v="1899-12-30T22:48:09"/>
    <s v=""/>
    <s v=""/>
    <s v=""/>
    <s v=""/>
    <s v=""/>
    <s v=""/>
  </r>
  <r>
    <x v="32"/>
    <x v="32"/>
    <x v="5"/>
    <s v="16.04.2011"/>
    <x v="193"/>
    <x v="5"/>
    <x v="2"/>
    <d v="1899-12-30T14:48:18"/>
    <s v=""/>
    <s v=""/>
    <s v=""/>
    <d v="1899-12-30T00:00:00"/>
    <s v=""/>
    <s v=""/>
    <s v=""/>
  </r>
  <r>
    <x v="33"/>
    <x v="33"/>
    <x v="1"/>
    <s v="11.04.2011"/>
    <x v="194"/>
    <x v="1"/>
    <x v="3"/>
    <d v="1899-12-30T21:59:12"/>
    <s v=""/>
    <s v=""/>
    <s v=""/>
    <d v="1899-12-30T09:00:00"/>
    <s v=""/>
    <s v=""/>
    <s v=""/>
  </r>
  <r>
    <x v="33"/>
    <x v="33"/>
    <x v="1"/>
    <s v="12.04.2011"/>
    <x v="194"/>
    <x v="1"/>
    <x v="3"/>
    <s v=""/>
    <d v="1899-12-30T07:35:37"/>
    <s v=""/>
    <s v=""/>
    <d v="1899-12-30T00:00:00"/>
    <s v=""/>
    <s v=""/>
    <s v=""/>
  </r>
  <r>
    <x v="33"/>
    <x v="33"/>
    <x v="2"/>
    <s v="12.04.2011"/>
    <x v="195"/>
    <x v="2"/>
    <x v="3"/>
    <d v="1899-12-30T21:54:56"/>
    <s v=""/>
    <s v=""/>
    <s v=""/>
    <d v="1899-12-30T09:00:00"/>
    <s v=""/>
    <s v=""/>
    <s v=""/>
  </r>
  <r>
    <x v="33"/>
    <x v="33"/>
    <x v="2"/>
    <s v="13.04.2011"/>
    <x v="195"/>
    <x v="2"/>
    <x v="3"/>
    <s v=""/>
    <d v="1899-12-30T07:36:18"/>
    <s v=""/>
    <s v=""/>
    <d v="1899-12-30T00:00:00"/>
    <s v=""/>
    <s v=""/>
    <s v=""/>
  </r>
  <r>
    <x v="33"/>
    <x v="33"/>
    <x v="3"/>
    <s v="13.04.2011"/>
    <x v="196"/>
    <x v="3"/>
    <x v="3"/>
    <d v="1899-12-30T21:54:23"/>
    <s v=""/>
    <s v=""/>
    <s v=""/>
    <d v="1899-12-30T09:00:00"/>
    <s v=""/>
    <s v=""/>
    <s v=""/>
  </r>
  <r>
    <x v="33"/>
    <x v="33"/>
    <x v="3"/>
    <s v="14.04.2011"/>
    <x v="196"/>
    <x v="3"/>
    <x v="3"/>
    <s v=""/>
    <d v="1899-12-30T07:41:22"/>
    <s v=""/>
    <s v=""/>
    <d v="1899-12-30T00:00:00"/>
    <s v=""/>
    <s v=""/>
    <s v=""/>
  </r>
  <r>
    <x v="33"/>
    <x v="33"/>
    <x v="4"/>
    <s v="14.04.2011"/>
    <x v="197"/>
    <x v="4"/>
    <x v="3"/>
    <d v="1899-12-30T21:56:42"/>
    <s v=""/>
    <s v=""/>
    <s v=""/>
    <d v="1899-12-30T09:00:00"/>
    <s v=""/>
    <s v=""/>
    <s v=""/>
  </r>
  <r>
    <x v="33"/>
    <x v="33"/>
    <x v="4"/>
    <s v="15.04.2011"/>
    <x v="197"/>
    <x v="4"/>
    <x v="3"/>
    <s v=""/>
    <d v="1899-12-30T07:41:07"/>
    <s v=""/>
    <s v=""/>
    <d v="1899-12-30T00:00:00"/>
    <s v=""/>
    <s v=""/>
    <s v=""/>
  </r>
  <r>
    <x v="33"/>
    <x v="33"/>
    <x v="5"/>
    <s v="15.04.2011"/>
    <x v="198"/>
    <x v="5"/>
    <x v="3"/>
    <d v="1899-12-30T22:01:08"/>
    <s v=""/>
    <s v=""/>
    <s v=""/>
    <d v="1899-12-30T09:00:00"/>
    <s v=""/>
    <s v=""/>
    <s v=""/>
  </r>
  <r>
    <x v="33"/>
    <x v="33"/>
    <x v="5"/>
    <s v="16.04.2011"/>
    <x v="198"/>
    <x v="5"/>
    <x v="3"/>
    <s v=""/>
    <d v="1899-12-30T07:41:34"/>
    <s v=""/>
    <s v=""/>
    <d v="1899-12-30T00:00:00"/>
    <s v=""/>
    <s v=""/>
    <s v=""/>
  </r>
  <r>
    <x v="34"/>
    <x v="34"/>
    <x v="0"/>
    <s v="11.04.2011"/>
    <x v="199"/>
    <x v="0"/>
    <x v="0"/>
    <s v=""/>
    <d v="1899-12-30T22:50:39"/>
    <s v=""/>
    <s v=""/>
    <d v="1899-12-30T07:30:00"/>
    <s v=""/>
    <s v=""/>
    <s v=""/>
  </r>
  <r>
    <x v="34"/>
    <x v="34"/>
    <x v="0"/>
    <s v="11.04.2011"/>
    <x v="199"/>
    <x v="0"/>
    <x v="0"/>
    <d v="1899-12-30T14:34:07"/>
    <s v=""/>
    <s v=""/>
    <s v=""/>
    <d v="1899-12-30T00:00:00"/>
    <s v=""/>
    <s v=""/>
    <s v=""/>
  </r>
  <r>
    <x v="34"/>
    <x v="34"/>
    <x v="1"/>
    <s v="12.04.2011"/>
    <x v="200"/>
    <x v="1"/>
    <x v="0"/>
    <s v=""/>
    <d v="1899-12-30T22:45:37"/>
    <s v=""/>
    <s v=""/>
    <d v="1899-12-30T07:30:00"/>
    <s v=""/>
    <s v=""/>
    <s v=""/>
  </r>
  <r>
    <x v="34"/>
    <x v="34"/>
    <x v="1"/>
    <s v="12.04.2011"/>
    <x v="200"/>
    <x v="1"/>
    <x v="0"/>
    <d v="1899-12-30T14:33:53"/>
    <s v=""/>
    <s v=""/>
    <s v=""/>
    <d v="1899-12-30T00:00:00"/>
    <s v=""/>
    <s v=""/>
    <s v=""/>
  </r>
  <r>
    <x v="34"/>
    <x v="34"/>
    <x v="2"/>
    <s v="13.04.2011"/>
    <x v="201"/>
    <x v="2"/>
    <x v="0"/>
    <s v=""/>
    <d v="1899-12-30T22:44:10"/>
    <s v=""/>
    <s v=""/>
    <d v="1899-12-30T07:30:00"/>
    <s v=""/>
    <s v=""/>
    <s v=""/>
  </r>
  <r>
    <x v="34"/>
    <x v="34"/>
    <x v="2"/>
    <s v="13.04.2011"/>
    <x v="201"/>
    <x v="2"/>
    <x v="0"/>
    <d v="1899-12-30T14:36:43"/>
    <s v=""/>
    <s v=""/>
    <s v=""/>
    <d v="1899-12-30T00:00:00"/>
    <s v=""/>
    <s v=""/>
    <s v=""/>
  </r>
  <r>
    <x v="34"/>
    <x v="34"/>
    <x v="3"/>
    <s v="14.04.2011"/>
    <x v="202"/>
    <x v="3"/>
    <x v="0"/>
    <s v=""/>
    <d v="1899-12-30T22:44:11"/>
    <s v=""/>
    <s v=""/>
    <d v="1899-12-30T07:30:00"/>
    <s v=""/>
    <s v=""/>
    <s v=""/>
  </r>
  <r>
    <x v="34"/>
    <x v="34"/>
    <x v="3"/>
    <s v="14.04.2011"/>
    <x v="202"/>
    <x v="3"/>
    <x v="0"/>
    <d v="1899-12-30T14:35:25"/>
    <s v=""/>
    <s v=""/>
    <s v=""/>
    <d v="1899-12-30T00:00:00"/>
    <s v=""/>
    <s v=""/>
    <s v=""/>
  </r>
  <r>
    <x v="34"/>
    <x v="34"/>
    <x v="4"/>
    <s v="15.04.2011"/>
    <x v="203"/>
    <x v="4"/>
    <x v="0"/>
    <s v=""/>
    <d v="1899-12-30T22:47:12"/>
    <s v=""/>
    <s v=""/>
    <d v="1899-12-30T07:30:00"/>
    <s v=""/>
    <s v=""/>
    <s v=""/>
  </r>
  <r>
    <x v="34"/>
    <x v="34"/>
    <x v="4"/>
    <s v="15.04.2011"/>
    <x v="203"/>
    <x v="4"/>
    <x v="0"/>
    <d v="1899-12-30T14:37:30"/>
    <s v=""/>
    <s v=""/>
    <s v=""/>
    <d v="1899-12-30T00:00:00"/>
    <s v=""/>
    <s v=""/>
    <s v=""/>
  </r>
  <r>
    <x v="34"/>
    <x v="34"/>
    <x v="5"/>
    <s v="16.04.2011"/>
    <x v="204"/>
    <x v="5"/>
    <x v="0"/>
    <s v=""/>
    <d v="1899-12-30T22:45:25"/>
    <s v=""/>
    <s v=""/>
    <d v="1899-12-30T07:30:00"/>
    <s v=""/>
    <s v=""/>
    <s v=""/>
  </r>
  <r>
    <x v="34"/>
    <x v="34"/>
    <x v="5"/>
    <s v="16.04.2011"/>
    <x v="204"/>
    <x v="5"/>
    <x v="0"/>
    <d v="1899-12-30T14:48:22"/>
    <s v=""/>
    <s v=""/>
    <s v=""/>
    <d v="1899-12-30T00:00:00"/>
    <s v=""/>
    <s v=""/>
    <s v=""/>
  </r>
  <r>
    <x v="35"/>
    <x v="35"/>
    <x v="0"/>
    <s v="11.04.2011"/>
    <x v="205"/>
    <x v="0"/>
    <x v="4"/>
    <s v=""/>
    <d v="1899-12-30T15:12:40"/>
    <s v=""/>
    <s v=""/>
    <d v="1899-12-30T07:30:00"/>
    <s v=""/>
    <s v=""/>
    <s v=""/>
  </r>
  <r>
    <x v="35"/>
    <x v="35"/>
    <x v="0"/>
    <s v="11.04.2011"/>
    <x v="205"/>
    <x v="0"/>
    <x v="4"/>
    <d v="1899-12-30T07:59:15"/>
    <s v=""/>
    <s v=""/>
    <s v=""/>
    <d v="1899-12-30T00:00:00"/>
    <s v=""/>
    <s v=""/>
    <s v=""/>
  </r>
  <r>
    <x v="35"/>
    <x v="35"/>
    <x v="1"/>
    <s v="12.04.2011"/>
    <x v="206"/>
    <x v="1"/>
    <x v="4"/>
    <s v=""/>
    <d v="1899-12-30T15:02:29"/>
    <s v=""/>
    <s v=""/>
    <d v="1899-12-30T07:30:00"/>
    <s v=""/>
    <s v=""/>
    <s v=""/>
  </r>
  <r>
    <x v="35"/>
    <x v="35"/>
    <x v="1"/>
    <s v="12.04.2011"/>
    <x v="206"/>
    <x v="1"/>
    <x v="4"/>
    <d v="1899-12-30T07:18:41"/>
    <s v=""/>
    <s v=""/>
    <s v=""/>
    <d v="1899-12-30T00:00:00"/>
    <s v=""/>
    <s v=""/>
    <s v=""/>
  </r>
  <r>
    <x v="35"/>
    <x v="35"/>
    <x v="2"/>
    <s v="13.04.2011"/>
    <x v="207"/>
    <x v="2"/>
    <x v="4"/>
    <s v=""/>
    <d v="1899-12-30T15:21:48"/>
    <s v=""/>
    <s v=""/>
    <d v="1899-12-30T07:30:00"/>
    <s v=""/>
    <s v=""/>
    <s v=""/>
  </r>
  <r>
    <x v="35"/>
    <x v="35"/>
    <x v="2"/>
    <s v="13.04.2011"/>
    <x v="207"/>
    <x v="2"/>
    <x v="4"/>
    <d v="1899-12-30T07:17:03"/>
    <s v=""/>
    <s v=""/>
    <s v=""/>
    <d v="1899-12-30T00:00:00"/>
    <s v=""/>
    <s v=""/>
    <s v=""/>
  </r>
  <r>
    <x v="35"/>
    <x v="35"/>
    <x v="3"/>
    <s v="14.04.2011"/>
    <x v="208"/>
    <x v="3"/>
    <x v="4"/>
    <s v=""/>
    <d v="1899-12-30T15:16:13"/>
    <s v=""/>
    <s v=""/>
    <d v="1899-12-30T07:30:00"/>
    <s v=""/>
    <s v=""/>
    <s v=""/>
  </r>
  <r>
    <x v="35"/>
    <x v="35"/>
    <x v="3"/>
    <s v="14.04.2011"/>
    <x v="208"/>
    <x v="3"/>
    <x v="4"/>
    <d v="1899-12-30T07:12:35"/>
    <s v=""/>
    <s v=""/>
    <s v=""/>
    <d v="1899-12-30T00:00:00"/>
    <s v=""/>
    <s v=""/>
    <s v=""/>
  </r>
  <r>
    <x v="35"/>
    <x v="35"/>
    <x v="4"/>
    <s v="15.04.2011"/>
    <x v="209"/>
    <x v="4"/>
    <x v="4"/>
    <s v=""/>
    <d v="1899-12-30T15:08:07"/>
    <s v=""/>
    <s v=""/>
    <d v="1899-12-30T07:30:00"/>
    <s v=""/>
    <s v=""/>
    <s v=""/>
  </r>
  <r>
    <x v="35"/>
    <x v="35"/>
    <x v="4"/>
    <s v="15.04.2011"/>
    <x v="209"/>
    <x v="4"/>
    <x v="4"/>
    <d v="1899-12-30T08:07:37"/>
    <s v=""/>
    <s v=""/>
    <s v=""/>
    <d v="1899-12-30T00:00:00"/>
    <s v=""/>
    <s v=""/>
    <s v=""/>
  </r>
  <r>
    <x v="35"/>
    <x v="35"/>
    <x v="5"/>
    <s v="16.04.2011"/>
    <x v="210"/>
    <x v="5"/>
    <x v="4"/>
    <s v=""/>
    <d v="1899-12-30T15:03:50"/>
    <s v=""/>
    <s v=""/>
    <d v="1899-12-30T07:30:00"/>
    <s v=""/>
    <s v=""/>
    <s v=""/>
  </r>
  <r>
    <x v="35"/>
    <x v="35"/>
    <x v="5"/>
    <s v="16.04.2011"/>
    <x v="210"/>
    <x v="5"/>
    <x v="4"/>
    <d v="1899-12-30T07:25:44"/>
    <s v=""/>
    <s v=""/>
    <s v=""/>
    <d v="1899-12-30T00:00:00"/>
    <s v=""/>
    <s v=""/>
    <s v=""/>
  </r>
  <r>
    <x v="36"/>
    <x v="36"/>
    <x v="0"/>
    <s v="11.04.2011"/>
    <x v="211"/>
    <x v="0"/>
    <x v="2"/>
    <s v=""/>
    <d v="1899-12-30T22:46:53"/>
    <s v=""/>
    <s v=""/>
    <s v=""/>
    <s v=""/>
    <s v=""/>
    <s v=""/>
  </r>
  <r>
    <x v="36"/>
    <x v="36"/>
    <x v="0"/>
    <s v="11.04.2011"/>
    <x v="211"/>
    <x v="0"/>
    <x v="2"/>
    <d v="1899-12-30T14:33:04"/>
    <s v=""/>
    <s v=""/>
    <s v=""/>
    <d v="1899-12-30T00:00:00"/>
    <s v=""/>
    <s v=""/>
    <s v=""/>
  </r>
  <r>
    <x v="36"/>
    <x v="36"/>
    <x v="1"/>
    <s v="12.04.2011"/>
    <x v="212"/>
    <x v="1"/>
    <x v="2"/>
    <s v=""/>
    <d v="1899-12-30T22:45:49"/>
    <s v=""/>
    <s v=""/>
    <s v=""/>
    <s v=""/>
    <s v=""/>
    <s v=""/>
  </r>
  <r>
    <x v="36"/>
    <x v="36"/>
    <x v="1"/>
    <s v="12.04.2011"/>
    <x v="212"/>
    <x v="1"/>
    <x v="2"/>
    <d v="1899-12-30T14:30:01"/>
    <s v=""/>
    <s v=""/>
    <s v=""/>
    <d v="1899-12-30T00:00:00"/>
    <s v=""/>
    <s v=""/>
    <s v=""/>
  </r>
  <r>
    <x v="36"/>
    <x v="36"/>
    <x v="2"/>
    <s v="13.04.2011"/>
    <x v="213"/>
    <x v="2"/>
    <x v="2"/>
    <s v=""/>
    <d v="1899-12-30T22:47:57"/>
    <s v=""/>
    <s v=""/>
    <s v=""/>
    <s v=""/>
    <s v=""/>
    <s v=""/>
  </r>
  <r>
    <x v="36"/>
    <x v="36"/>
    <x v="2"/>
    <s v="13.04.2011"/>
    <x v="213"/>
    <x v="2"/>
    <x v="2"/>
    <d v="1899-12-30T13:01:21"/>
    <s v=""/>
    <s v=""/>
    <s v=""/>
    <d v="1899-12-30T00:00:00"/>
    <s v=""/>
    <s v=""/>
    <s v=""/>
  </r>
  <r>
    <x v="36"/>
    <x v="36"/>
    <x v="3"/>
    <s v="14.04.2011"/>
    <x v="214"/>
    <x v="3"/>
    <x v="2"/>
    <s v=""/>
    <d v="1899-12-30T22:48:09"/>
    <s v=""/>
    <s v=""/>
    <s v=""/>
    <s v=""/>
    <s v=""/>
    <s v=""/>
  </r>
  <r>
    <x v="36"/>
    <x v="36"/>
    <x v="3"/>
    <s v="14.04.2011"/>
    <x v="214"/>
    <x v="3"/>
    <x v="2"/>
    <d v="1899-12-30T14:30:34"/>
    <s v=""/>
    <s v=""/>
    <s v=""/>
    <d v="1899-12-30T00:00:00"/>
    <s v=""/>
    <s v=""/>
    <s v=""/>
  </r>
  <r>
    <x v="36"/>
    <x v="36"/>
    <x v="4"/>
    <s v="15.04.2011"/>
    <x v="215"/>
    <x v="4"/>
    <x v="2"/>
    <s v=""/>
    <d v="1899-12-30T22:48:07"/>
    <s v=""/>
    <s v=""/>
    <s v=""/>
    <s v=""/>
    <s v=""/>
    <s v=""/>
  </r>
  <r>
    <x v="36"/>
    <x v="36"/>
    <x v="4"/>
    <s v="15.04.2011"/>
    <x v="215"/>
    <x v="4"/>
    <x v="2"/>
    <d v="1899-12-30T14:34:53"/>
    <s v=""/>
    <s v=""/>
    <s v=""/>
    <d v="1899-12-30T00:00:00"/>
    <s v=""/>
    <s v=""/>
    <s v=""/>
  </r>
  <r>
    <x v="36"/>
    <x v="36"/>
    <x v="5"/>
    <s v="16.04.2011"/>
    <x v="216"/>
    <x v="5"/>
    <x v="2"/>
    <s v=""/>
    <d v="1899-12-30T22:55:13"/>
    <s v=""/>
    <s v=""/>
    <s v=""/>
    <s v=""/>
    <s v=""/>
    <s v=""/>
  </r>
  <r>
    <x v="36"/>
    <x v="36"/>
    <x v="5"/>
    <s v="16.04.2011"/>
    <x v="216"/>
    <x v="5"/>
    <x v="2"/>
    <d v="1899-12-30T14:45:39"/>
    <s v=""/>
    <s v=""/>
    <s v=""/>
    <d v="1899-12-30T00:00:00"/>
    <s v=""/>
    <s v=""/>
    <s v=""/>
  </r>
  <r>
    <x v="37"/>
    <x v="37"/>
    <x v="1"/>
    <s v="12.04.2011"/>
    <x v="217"/>
    <x v="1"/>
    <x v="0"/>
    <s v=""/>
    <d v="1899-12-30T22:27:40"/>
    <s v=""/>
    <s v=""/>
    <d v="1899-12-30T07:30:00"/>
    <s v=""/>
    <s v=""/>
    <s v=""/>
  </r>
  <r>
    <x v="37"/>
    <x v="37"/>
    <x v="1"/>
    <s v="12.04.2011"/>
    <x v="217"/>
    <x v="1"/>
    <x v="0"/>
    <d v="1899-12-30T14:48:42"/>
    <s v=""/>
    <s v=""/>
    <s v=""/>
    <d v="1899-12-30T00:00:00"/>
    <s v=""/>
    <s v=""/>
    <s v=""/>
  </r>
  <r>
    <x v="37"/>
    <x v="37"/>
    <x v="2"/>
    <s v="13.04.2011"/>
    <x v="218"/>
    <x v="2"/>
    <x v="0"/>
    <s v=""/>
    <d v="1899-12-30T22:25:23"/>
    <s v=""/>
    <s v=""/>
    <d v="1899-12-30T07:30:00"/>
    <s v=""/>
    <s v=""/>
    <s v=""/>
  </r>
  <r>
    <x v="37"/>
    <x v="37"/>
    <x v="2"/>
    <s v="13.04.2011"/>
    <x v="218"/>
    <x v="2"/>
    <x v="0"/>
    <d v="1899-12-30T14:50:53"/>
    <s v=""/>
    <s v=""/>
    <s v=""/>
    <d v="1899-12-30T00:00:00"/>
    <s v=""/>
    <s v=""/>
    <s v=""/>
  </r>
  <r>
    <x v="37"/>
    <x v="37"/>
    <x v="3"/>
    <s v="14.04.2011"/>
    <x v="219"/>
    <x v="3"/>
    <x v="0"/>
    <s v=""/>
    <d v="1899-12-30T22:27:25"/>
    <s v=""/>
    <s v=""/>
    <d v="1899-12-30T07:30:00"/>
    <s v=""/>
    <s v=""/>
    <s v=""/>
  </r>
  <r>
    <x v="37"/>
    <x v="37"/>
    <x v="3"/>
    <s v="14.04.2011"/>
    <x v="219"/>
    <x v="3"/>
    <x v="0"/>
    <d v="1899-12-30T14:52:50"/>
    <s v=""/>
    <s v=""/>
    <s v=""/>
    <d v="1899-12-30T00:00:00"/>
    <s v=""/>
    <s v=""/>
    <s v=""/>
  </r>
  <r>
    <x v="37"/>
    <x v="37"/>
    <x v="4"/>
    <s v="15.04.2011"/>
    <x v="220"/>
    <x v="4"/>
    <x v="0"/>
    <s v=""/>
    <d v="1899-12-30T22:25:56"/>
    <s v=""/>
    <s v=""/>
    <d v="1899-12-30T07:30:00"/>
    <s v=""/>
    <s v=""/>
    <s v=""/>
  </r>
  <r>
    <x v="37"/>
    <x v="37"/>
    <x v="4"/>
    <s v="15.04.2011"/>
    <x v="220"/>
    <x v="4"/>
    <x v="0"/>
    <d v="1899-12-30T14:51:31"/>
    <s v=""/>
    <s v=""/>
    <s v=""/>
    <d v="1899-12-30T00:00:00"/>
    <s v=""/>
    <s v=""/>
    <s v=""/>
  </r>
  <r>
    <x v="37"/>
    <x v="37"/>
    <x v="5"/>
    <s v="16.04.2011"/>
    <x v="221"/>
    <x v="5"/>
    <x v="0"/>
    <s v=""/>
    <d v="1899-12-30T22:25:43"/>
    <s v=""/>
    <s v=""/>
    <d v="1899-12-30T07:30:00"/>
    <s v=""/>
    <s v=""/>
    <s v=""/>
  </r>
  <r>
    <x v="37"/>
    <x v="37"/>
    <x v="5"/>
    <s v="16.04.2011"/>
    <x v="221"/>
    <x v="5"/>
    <x v="0"/>
    <d v="1899-12-30T14:38:21"/>
    <s v=""/>
    <s v=""/>
    <s v=""/>
    <d v="1899-12-30T00:00:00"/>
    <s v=""/>
    <s v=""/>
    <s v=""/>
  </r>
  <r>
    <x v="38"/>
    <x v="38"/>
    <x v="1"/>
    <s v="11.04.2011"/>
    <x v="222"/>
    <x v="1"/>
    <x v="3"/>
    <d v="1899-12-30T22:15:57"/>
    <s v=""/>
    <s v=""/>
    <s v=""/>
    <d v="1899-12-30T09:00:00"/>
    <s v=""/>
    <s v=""/>
    <s v=""/>
  </r>
  <r>
    <x v="38"/>
    <x v="38"/>
    <x v="1"/>
    <s v="12.04.2011"/>
    <x v="222"/>
    <x v="1"/>
    <x v="3"/>
    <s v=""/>
    <d v="1899-12-30T07:35:30"/>
    <s v=""/>
    <s v=""/>
    <d v="1899-12-30T00:00:00"/>
    <s v=""/>
    <s v=""/>
    <s v=""/>
  </r>
  <r>
    <x v="38"/>
    <x v="38"/>
    <x v="2"/>
    <s v="12.04.2011"/>
    <x v="223"/>
    <x v="2"/>
    <x v="3"/>
    <d v="1899-12-30T22:18:03"/>
    <s v=""/>
    <s v=""/>
    <s v=""/>
    <d v="1899-12-30T09:00:00"/>
    <s v=""/>
    <s v=""/>
    <s v=""/>
  </r>
  <r>
    <x v="38"/>
    <x v="38"/>
    <x v="2"/>
    <s v="13.04.2011"/>
    <x v="223"/>
    <x v="2"/>
    <x v="3"/>
    <s v=""/>
    <d v="1899-12-30T07:35:45"/>
    <s v=""/>
    <s v=""/>
    <d v="1899-12-30T00:00:00"/>
    <s v=""/>
    <s v=""/>
    <s v=""/>
  </r>
  <r>
    <x v="38"/>
    <x v="38"/>
    <x v="3"/>
    <s v="13.04.2011"/>
    <x v="224"/>
    <x v="3"/>
    <x v="3"/>
    <d v="1899-12-30T22:15:13"/>
    <s v=""/>
    <s v=""/>
    <s v=""/>
    <d v="1899-12-30T09:00:00"/>
    <s v=""/>
    <s v=""/>
    <s v=""/>
  </r>
  <r>
    <x v="38"/>
    <x v="38"/>
    <x v="3"/>
    <s v="14.04.2011"/>
    <x v="224"/>
    <x v="3"/>
    <x v="3"/>
    <s v=""/>
    <d v="1899-12-30T07:33:39"/>
    <s v=""/>
    <s v=""/>
    <d v="1899-12-30T00:00:00"/>
    <s v=""/>
    <s v=""/>
    <s v=""/>
  </r>
  <r>
    <x v="38"/>
    <x v="38"/>
    <x v="4"/>
    <s v="14.04.2011"/>
    <x v="225"/>
    <x v="4"/>
    <x v="3"/>
    <d v="1899-12-30T22:18:58"/>
    <s v=""/>
    <s v=""/>
    <s v=""/>
    <d v="1899-12-30T09:00:00"/>
    <s v=""/>
    <s v=""/>
    <s v=""/>
  </r>
  <r>
    <x v="38"/>
    <x v="38"/>
    <x v="4"/>
    <s v="15.04.2011"/>
    <x v="225"/>
    <x v="4"/>
    <x v="3"/>
    <s v=""/>
    <d v="1899-12-30T07:37:50"/>
    <s v=""/>
    <s v=""/>
    <d v="1899-12-30T00:00:00"/>
    <s v=""/>
    <s v=""/>
    <s v=""/>
  </r>
  <r>
    <x v="38"/>
    <x v="38"/>
    <x v="5"/>
    <s v="15.04.2011"/>
    <x v="226"/>
    <x v="5"/>
    <x v="3"/>
    <d v="1899-12-30T22:18:58"/>
    <s v=""/>
    <s v=""/>
    <s v=""/>
    <d v="1899-12-30T09:00:00"/>
    <s v=""/>
    <s v=""/>
    <s v=""/>
  </r>
  <r>
    <x v="38"/>
    <x v="38"/>
    <x v="5"/>
    <s v="16.04.2011"/>
    <x v="226"/>
    <x v="5"/>
    <x v="3"/>
    <s v=""/>
    <d v="1899-12-30T07:36:08"/>
    <s v=""/>
    <s v=""/>
    <d v="1899-12-30T00:00:00"/>
    <s v=""/>
    <s v=""/>
    <s v=""/>
  </r>
  <r>
    <x v="39"/>
    <x v="39"/>
    <x v="1"/>
    <s v="11.04.2011"/>
    <x v="227"/>
    <x v="1"/>
    <x v="3"/>
    <d v="1899-12-30T22:04:06"/>
    <s v=""/>
    <s v=""/>
    <s v=""/>
    <d v="1899-12-30T09:00:00"/>
    <s v=""/>
    <s v=""/>
    <s v=""/>
  </r>
  <r>
    <x v="39"/>
    <x v="39"/>
    <x v="1"/>
    <s v="12.04.2011"/>
    <x v="227"/>
    <x v="1"/>
    <x v="3"/>
    <s v=""/>
    <d v="1899-12-30T07:47:12"/>
    <s v=""/>
    <s v=""/>
    <d v="1899-12-30T00:00:00"/>
    <s v=""/>
    <s v=""/>
    <s v=""/>
  </r>
  <r>
    <x v="39"/>
    <x v="39"/>
    <x v="2"/>
    <s v="12.04.2011"/>
    <x v="228"/>
    <x v="2"/>
    <x v="3"/>
    <d v="1899-12-30T22:02:16"/>
    <s v=""/>
    <s v=""/>
    <s v=""/>
    <d v="1899-12-30T09:00:00"/>
    <s v=""/>
    <s v=""/>
    <s v=""/>
  </r>
  <r>
    <x v="39"/>
    <x v="39"/>
    <x v="2"/>
    <s v="13.04.2011"/>
    <x v="228"/>
    <x v="2"/>
    <x v="3"/>
    <s v=""/>
    <d v="1899-12-30T07:49:34"/>
    <s v=""/>
    <s v=""/>
    <d v="1899-12-30T00:00:00"/>
    <s v=""/>
    <s v=""/>
    <s v=""/>
  </r>
  <r>
    <x v="39"/>
    <x v="39"/>
    <x v="3"/>
    <s v="13.04.2011"/>
    <x v="229"/>
    <x v="3"/>
    <x v="3"/>
    <d v="1899-12-30T22:02:13"/>
    <s v=""/>
    <s v=""/>
    <s v=""/>
    <d v="1899-12-30T09:00:00"/>
    <s v=""/>
    <s v=""/>
    <s v=""/>
  </r>
  <r>
    <x v="39"/>
    <x v="39"/>
    <x v="3"/>
    <s v="14.04.2011"/>
    <x v="229"/>
    <x v="3"/>
    <x v="3"/>
    <s v=""/>
    <d v="1899-12-30T07:51:49"/>
    <s v=""/>
    <s v=""/>
    <d v="1899-12-30T00:00:00"/>
    <s v=""/>
    <s v=""/>
    <s v=""/>
  </r>
  <r>
    <x v="39"/>
    <x v="39"/>
    <x v="4"/>
    <s v="14.04.2011"/>
    <x v="230"/>
    <x v="4"/>
    <x v="3"/>
    <d v="1899-12-30T22:03:58"/>
    <s v=""/>
    <s v=""/>
    <s v=""/>
    <d v="1899-12-30T09:00:00"/>
    <s v=""/>
    <s v=""/>
    <s v=""/>
  </r>
  <r>
    <x v="39"/>
    <x v="39"/>
    <x v="4"/>
    <s v="14.04.2011"/>
    <x v="230"/>
    <x v="4"/>
    <x v="3"/>
    <d v="1899-12-30T22:14:57"/>
    <s v=""/>
    <s v=""/>
    <s v=""/>
    <d v="1899-12-30T00:00:00"/>
    <s v=""/>
    <s v=""/>
    <s v=""/>
  </r>
  <r>
    <x v="39"/>
    <x v="39"/>
    <x v="4"/>
    <s v="15.04.2011"/>
    <x v="231"/>
    <x v="4"/>
    <x v="3"/>
    <s v=""/>
    <d v="1899-12-30T07:46:27"/>
    <s v=""/>
    <s v=""/>
    <d v="1899-12-30T00:00:00"/>
    <s v=""/>
    <s v=""/>
    <s v=""/>
  </r>
  <r>
    <x v="39"/>
    <x v="39"/>
    <x v="5"/>
    <s v="15.04.2011"/>
    <x v="232"/>
    <x v="5"/>
    <x v="3"/>
    <d v="1899-12-30T22:06:08"/>
    <s v=""/>
    <s v=""/>
    <s v=""/>
    <d v="1899-12-30T09:00:00"/>
    <s v=""/>
    <s v=""/>
    <s v=""/>
  </r>
  <r>
    <x v="39"/>
    <x v="39"/>
    <x v="5"/>
    <s v="16.04.2011"/>
    <x v="232"/>
    <x v="5"/>
    <x v="3"/>
    <s v=""/>
    <d v="1899-12-30T07:49:07"/>
    <s v=""/>
    <s v=""/>
    <d v="1899-12-30T00:00:00"/>
    <s v=""/>
    <s v=""/>
    <s v=""/>
  </r>
  <r>
    <x v="40"/>
    <x v="40"/>
    <x v="0"/>
    <s v="11.04.2011"/>
    <x v="233"/>
    <x v="0"/>
    <x v="1"/>
    <s v=""/>
    <d v="1899-12-30T19:23:20"/>
    <d v="1899-12-30T02:00:00"/>
    <s v=""/>
    <d v="1899-12-30T10:00:00"/>
    <s v=""/>
    <s v=""/>
    <s v=""/>
  </r>
  <r>
    <x v="40"/>
    <x v="40"/>
    <x v="0"/>
    <s v="11.04.2011"/>
    <x v="233"/>
    <x v="0"/>
    <x v="1"/>
    <d v="1899-12-30T06:58:09"/>
    <s v=""/>
    <s v=""/>
    <s v=""/>
    <d v="1899-12-30T00:00:00"/>
    <s v=""/>
    <s v=""/>
    <s v=""/>
  </r>
  <r>
    <x v="40"/>
    <x v="40"/>
    <x v="1"/>
    <s v="12.04.2011"/>
    <x v="234"/>
    <x v="1"/>
    <x v="1"/>
    <s v=""/>
    <d v="1899-12-30T19:14:23"/>
    <d v="1899-12-30T02:00:00"/>
    <s v=""/>
    <d v="1899-12-30T10:00:00"/>
    <s v=""/>
    <s v=""/>
    <s v=""/>
  </r>
  <r>
    <x v="40"/>
    <x v="40"/>
    <x v="1"/>
    <s v="12.04.2011"/>
    <x v="234"/>
    <x v="1"/>
    <x v="1"/>
    <d v="1899-12-30T06:58:00"/>
    <s v=""/>
    <s v=""/>
    <s v=""/>
    <d v="1899-12-30T00:00:00"/>
    <s v=""/>
    <s v=""/>
    <s v=""/>
  </r>
  <r>
    <x v="40"/>
    <x v="40"/>
    <x v="2"/>
    <s v="13.04.2011"/>
    <x v="235"/>
    <x v="2"/>
    <x v="1"/>
    <s v=""/>
    <d v="1899-12-30T19:24:02"/>
    <d v="1899-12-30T02:00:00"/>
    <s v=""/>
    <d v="1899-12-30T10:00:00"/>
    <s v=""/>
    <s v=""/>
    <s v=""/>
  </r>
  <r>
    <x v="40"/>
    <x v="40"/>
    <x v="2"/>
    <s v="13.04.2011"/>
    <x v="235"/>
    <x v="2"/>
    <x v="1"/>
    <d v="1899-12-30T07:05:25"/>
    <s v=""/>
    <s v=""/>
    <s v=""/>
    <d v="1899-12-30T00:00:00"/>
    <s v=""/>
    <s v=""/>
    <s v=""/>
  </r>
  <r>
    <x v="40"/>
    <x v="40"/>
    <x v="3"/>
    <s v="14.04.2011"/>
    <x v="236"/>
    <x v="3"/>
    <x v="1"/>
    <s v=""/>
    <d v="1899-12-30T19:27:49"/>
    <d v="1899-12-30T02:00:00"/>
    <s v=""/>
    <d v="1899-12-30T10:00:00"/>
    <s v=""/>
    <s v=""/>
    <s v=""/>
  </r>
  <r>
    <x v="40"/>
    <x v="40"/>
    <x v="3"/>
    <s v="14.04.2011"/>
    <x v="236"/>
    <x v="3"/>
    <x v="1"/>
    <d v="1899-12-30T07:11:22"/>
    <s v=""/>
    <s v=""/>
    <s v=""/>
    <d v="1899-12-30T00:00:00"/>
    <s v=""/>
    <s v=""/>
    <s v=""/>
  </r>
  <r>
    <x v="40"/>
    <x v="40"/>
    <x v="4"/>
    <s v="15.04.2011"/>
    <x v="237"/>
    <x v="4"/>
    <x v="1"/>
    <s v=""/>
    <d v="1899-12-30T17:33:46"/>
    <s v=""/>
    <s v=""/>
    <d v="1899-12-30T10:00:00"/>
    <s v=""/>
    <s v=""/>
    <s v=""/>
  </r>
  <r>
    <x v="40"/>
    <x v="40"/>
    <x v="4"/>
    <s v="15.04.2011"/>
    <x v="237"/>
    <x v="4"/>
    <x v="1"/>
    <d v="1899-12-30T07:01:57"/>
    <s v=""/>
    <s v=""/>
    <s v=""/>
    <d v="1899-12-30T00:00:00"/>
    <s v=""/>
    <s v=""/>
    <s v=""/>
  </r>
  <r>
    <x v="41"/>
    <x v="41"/>
    <x v="0"/>
    <s v="11.04.2011"/>
    <x v="238"/>
    <x v="0"/>
    <x v="4"/>
    <s v=""/>
    <d v="1899-12-30T15:18:20"/>
    <s v=""/>
    <s v=""/>
    <d v="1899-12-30T07:30:00"/>
    <s v=""/>
    <s v=""/>
    <s v=""/>
  </r>
  <r>
    <x v="41"/>
    <x v="41"/>
    <x v="0"/>
    <s v="11.04.2011"/>
    <x v="238"/>
    <x v="0"/>
    <x v="4"/>
    <d v="1899-12-30T06:22:38"/>
    <s v=""/>
    <s v=""/>
    <s v=""/>
    <d v="1899-12-30T00:00:00"/>
    <s v=""/>
    <s v=""/>
    <s v=""/>
  </r>
  <r>
    <x v="41"/>
    <x v="41"/>
    <x v="1"/>
    <s v="12.04.2011"/>
    <x v="239"/>
    <x v="1"/>
    <x v="4"/>
    <s v=""/>
    <d v="1899-12-30T15:12:27"/>
    <s v=""/>
    <s v=""/>
    <d v="1899-12-30T07:30:00"/>
    <s v=""/>
    <s v=""/>
    <s v=""/>
  </r>
  <r>
    <x v="41"/>
    <x v="41"/>
    <x v="1"/>
    <s v="12.04.2011"/>
    <x v="239"/>
    <x v="1"/>
    <x v="4"/>
    <d v="1899-12-30T06:27:41"/>
    <s v=""/>
    <s v=""/>
    <s v=""/>
    <d v="1899-12-30T00:00:00"/>
    <s v=""/>
    <s v=""/>
    <s v=""/>
  </r>
  <r>
    <x v="41"/>
    <x v="41"/>
    <x v="2"/>
    <s v="13.04.2011"/>
    <x v="240"/>
    <x v="2"/>
    <x v="4"/>
    <s v=""/>
    <d v="1899-12-30T15:14:54"/>
    <s v=""/>
    <s v=""/>
    <d v="1899-12-30T07:30:00"/>
    <s v=""/>
    <s v=""/>
    <s v=""/>
  </r>
  <r>
    <x v="41"/>
    <x v="41"/>
    <x v="2"/>
    <s v="13.04.2011"/>
    <x v="240"/>
    <x v="2"/>
    <x v="4"/>
    <d v="1899-12-30T06:31:52"/>
    <s v=""/>
    <s v=""/>
    <s v=""/>
    <d v="1899-12-30T00:00:00"/>
    <s v=""/>
    <s v=""/>
    <s v=""/>
  </r>
  <r>
    <x v="41"/>
    <x v="41"/>
    <x v="3"/>
    <s v="14.04.2011"/>
    <x v="241"/>
    <x v="3"/>
    <x v="4"/>
    <s v=""/>
    <d v="1899-12-30T15:16:37"/>
    <s v=""/>
    <s v=""/>
    <d v="1899-12-30T07:30:00"/>
    <s v=""/>
    <s v=""/>
    <s v=""/>
  </r>
  <r>
    <x v="41"/>
    <x v="41"/>
    <x v="3"/>
    <s v="14.04.2011"/>
    <x v="241"/>
    <x v="3"/>
    <x v="4"/>
    <d v="1899-12-30T06:32:40"/>
    <s v=""/>
    <s v=""/>
    <s v=""/>
    <d v="1899-12-30T00:00:00"/>
    <s v=""/>
    <s v=""/>
    <s v=""/>
  </r>
  <r>
    <x v="41"/>
    <x v="41"/>
    <x v="4"/>
    <s v="15.04.2011"/>
    <x v="242"/>
    <x v="4"/>
    <x v="4"/>
    <s v=""/>
    <d v="1899-12-30T15:12:59"/>
    <s v=""/>
    <s v=""/>
    <d v="1899-12-30T07:30:00"/>
    <s v=""/>
    <s v=""/>
    <s v=""/>
  </r>
  <r>
    <x v="41"/>
    <x v="41"/>
    <x v="4"/>
    <s v="15.04.2011"/>
    <x v="242"/>
    <x v="4"/>
    <x v="4"/>
    <d v="1899-12-30T06:35:15"/>
    <s v=""/>
    <s v=""/>
    <s v=""/>
    <d v="1899-12-30T00:00:00"/>
    <s v=""/>
    <s v=""/>
    <s v=""/>
  </r>
  <r>
    <x v="41"/>
    <x v="41"/>
    <x v="5"/>
    <s v="16.04.2011"/>
    <x v="243"/>
    <x v="5"/>
    <x v="4"/>
    <s v=""/>
    <d v="1899-12-30T15:11:15"/>
    <s v=""/>
    <s v=""/>
    <d v="1899-12-30T07:30:00"/>
    <s v=""/>
    <s v=""/>
    <s v=""/>
  </r>
  <r>
    <x v="41"/>
    <x v="41"/>
    <x v="5"/>
    <s v="16.04.2011"/>
    <x v="243"/>
    <x v="5"/>
    <x v="4"/>
    <d v="1899-12-30T06:32:09"/>
    <s v=""/>
    <s v=""/>
    <s v=""/>
    <d v="1899-12-30T00:00:00"/>
    <s v=""/>
    <s v=""/>
    <s v=""/>
  </r>
  <r>
    <x v="42"/>
    <x v="42"/>
    <x v="0"/>
    <s v="11.04.2011"/>
    <x v="244"/>
    <x v="0"/>
    <x v="3"/>
    <s v=""/>
    <d v="1899-12-30T07:28:07"/>
    <s v=""/>
    <d v="1899-12-30T07:30:00"/>
    <d v="1899-12-30T09:00:00"/>
    <d v="1899-12-30T07:30:00"/>
    <s v=""/>
    <s v=""/>
  </r>
  <r>
    <x v="42"/>
    <x v="42"/>
    <x v="1"/>
    <s v="11.04.2011"/>
    <x v="245"/>
    <x v="1"/>
    <x v="3"/>
    <d v="1899-12-30T00:01:36"/>
    <s v=""/>
    <s v=""/>
    <s v=""/>
    <d v="1899-12-30T09:00:00"/>
    <s v=""/>
    <s v=""/>
    <s v=""/>
  </r>
  <r>
    <x v="42"/>
    <x v="42"/>
    <x v="1"/>
    <s v="11.04.2011"/>
    <x v="245"/>
    <x v="1"/>
    <x v="3"/>
    <d v="1899-12-30T22:28:05"/>
    <s v=""/>
    <s v=""/>
    <s v=""/>
    <d v="1899-12-30T00:00:00"/>
    <s v=""/>
    <s v=""/>
    <s v=""/>
  </r>
  <r>
    <x v="42"/>
    <x v="42"/>
    <x v="1"/>
    <s v="12.04.2011"/>
    <x v="246"/>
    <x v="1"/>
    <x v="3"/>
    <s v=""/>
    <d v="1899-12-30T07:33:12"/>
    <s v=""/>
    <s v=""/>
    <d v="1899-12-30T00:00:00"/>
    <s v=""/>
    <s v=""/>
    <s v=""/>
  </r>
  <r>
    <x v="42"/>
    <x v="42"/>
    <x v="2"/>
    <s v="12.04.2011"/>
    <x v="247"/>
    <x v="2"/>
    <x v="3"/>
    <d v="1899-12-30T22:26:50"/>
    <s v=""/>
    <s v=""/>
    <s v=""/>
    <d v="1899-12-30T09:00:00"/>
    <s v=""/>
    <s v=""/>
    <s v=""/>
  </r>
  <r>
    <x v="42"/>
    <x v="42"/>
    <x v="2"/>
    <s v="13.04.2011"/>
    <x v="247"/>
    <x v="2"/>
    <x v="3"/>
    <s v=""/>
    <d v="1899-12-30T07:36:18"/>
    <s v=""/>
    <s v=""/>
    <d v="1899-12-30T00:00:00"/>
    <s v=""/>
    <s v=""/>
    <s v=""/>
  </r>
  <r>
    <x v="43"/>
    <x v="43"/>
    <x v="0"/>
    <s v="11.04.2011"/>
    <x v="248"/>
    <x v="0"/>
    <x v="0"/>
    <s v=""/>
    <d v="1899-12-30T22:40:42"/>
    <s v=""/>
    <s v=""/>
    <d v="1899-12-30T07:30:00"/>
    <s v=""/>
    <s v=""/>
    <s v=""/>
  </r>
  <r>
    <x v="43"/>
    <x v="43"/>
    <x v="0"/>
    <s v="11.04.2011"/>
    <x v="248"/>
    <x v="0"/>
    <x v="0"/>
    <d v="1899-12-30T14:55:13"/>
    <s v=""/>
    <s v=""/>
    <s v=""/>
    <d v="1899-12-30T00:00:00"/>
    <s v=""/>
    <s v=""/>
    <s v=""/>
  </r>
  <r>
    <x v="43"/>
    <x v="43"/>
    <x v="1"/>
    <s v="12.04.2011"/>
    <x v="249"/>
    <x v="1"/>
    <x v="0"/>
    <s v=""/>
    <d v="1899-12-30T22:41:13"/>
    <s v=""/>
    <s v=""/>
    <d v="1899-12-30T07:30:00"/>
    <s v=""/>
    <s v=""/>
    <s v=""/>
  </r>
  <r>
    <x v="43"/>
    <x v="43"/>
    <x v="1"/>
    <s v="12.04.2011"/>
    <x v="249"/>
    <x v="1"/>
    <x v="0"/>
    <d v="1899-12-30T14:46:16"/>
    <s v=""/>
    <s v=""/>
    <s v=""/>
    <d v="1899-12-30T00:00:00"/>
    <s v=""/>
    <s v=""/>
    <s v=""/>
  </r>
  <r>
    <x v="43"/>
    <x v="43"/>
    <x v="2"/>
    <s v="13.04.2011"/>
    <x v="250"/>
    <x v="2"/>
    <x v="0"/>
    <s v=""/>
    <d v="1899-12-30T22:40:44"/>
    <s v=""/>
    <s v=""/>
    <d v="1899-12-30T07:30:00"/>
    <s v=""/>
    <s v=""/>
    <s v=""/>
  </r>
  <r>
    <x v="43"/>
    <x v="43"/>
    <x v="2"/>
    <s v="13.04.2011"/>
    <x v="250"/>
    <x v="2"/>
    <x v="0"/>
    <d v="1899-12-30T14:50:57"/>
    <s v=""/>
    <s v=""/>
    <s v=""/>
    <d v="1899-12-30T00:00:00"/>
    <s v=""/>
    <s v=""/>
    <s v=""/>
  </r>
  <r>
    <x v="43"/>
    <x v="43"/>
    <x v="3"/>
    <s v="14.04.2011"/>
    <x v="251"/>
    <x v="3"/>
    <x v="0"/>
    <s v=""/>
    <d v="1899-12-30T22:33:31"/>
    <s v=""/>
    <s v=""/>
    <d v="1899-12-30T07:30:00"/>
    <s v=""/>
    <s v=""/>
    <s v=""/>
  </r>
  <r>
    <x v="43"/>
    <x v="43"/>
    <x v="3"/>
    <s v="14.04.2011"/>
    <x v="251"/>
    <x v="3"/>
    <x v="0"/>
    <d v="1899-12-30T14:59:16"/>
    <s v=""/>
    <s v=""/>
    <s v=""/>
    <d v="1899-12-30T00:00:00"/>
    <s v=""/>
    <s v=""/>
    <s v=""/>
  </r>
  <r>
    <x v="43"/>
    <x v="43"/>
    <x v="4"/>
    <s v="15.04.2011"/>
    <x v="252"/>
    <x v="4"/>
    <x v="0"/>
    <s v=""/>
    <d v="1899-12-30T22:44:50"/>
    <s v=""/>
    <s v=""/>
    <d v="1899-12-30T07:30:00"/>
    <s v=""/>
    <s v=""/>
    <s v=""/>
  </r>
  <r>
    <x v="43"/>
    <x v="43"/>
    <x v="4"/>
    <s v="15.04.2011"/>
    <x v="252"/>
    <x v="4"/>
    <x v="0"/>
    <d v="1899-12-30T14:33:35"/>
    <s v=""/>
    <s v=""/>
    <s v=""/>
    <d v="1899-12-30T00:00:00"/>
    <s v=""/>
    <s v=""/>
    <s v=""/>
  </r>
  <r>
    <x v="43"/>
    <x v="43"/>
    <x v="5"/>
    <s v="16.04.2011"/>
    <x v="253"/>
    <x v="5"/>
    <x v="0"/>
    <s v=""/>
    <d v="1899-12-30T22:23:47"/>
    <s v=""/>
    <s v=""/>
    <d v="1899-12-30T07:30:00"/>
    <s v=""/>
    <s v=""/>
    <s v=""/>
  </r>
  <r>
    <x v="43"/>
    <x v="43"/>
    <x v="5"/>
    <s v="16.04.2011"/>
    <x v="253"/>
    <x v="5"/>
    <x v="0"/>
    <d v="1899-12-30T15:37:57"/>
    <s v=""/>
    <s v=""/>
    <s v=""/>
    <d v="1899-12-30T00:00:00"/>
    <s v=""/>
    <s v=""/>
    <s v=""/>
  </r>
  <r>
    <x v="44"/>
    <x v="44"/>
    <x v="1"/>
    <s v="11.04.2011"/>
    <x v="254"/>
    <x v="1"/>
    <x v="3"/>
    <d v="1899-12-30T22:02:48"/>
    <s v=""/>
    <s v=""/>
    <s v=""/>
    <d v="1899-12-30T09:00:00"/>
    <s v=""/>
    <s v=""/>
    <s v=""/>
  </r>
  <r>
    <x v="44"/>
    <x v="44"/>
    <x v="1"/>
    <s v="12.04.2011"/>
    <x v="254"/>
    <x v="1"/>
    <x v="3"/>
    <s v=""/>
    <d v="1899-12-30T07:38:53"/>
    <s v=""/>
    <s v=""/>
    <d v="1899-12-30T00:00:00"/>
    <s v=""/>
    <s v=""/>
    <s v=""/>
  </r>
  <r>
    <x v="44"/>
    <x v="44"/>
    <x v="2"/>
    <s v="12.04.2011"/>
    <x v="255"/>
    <x v="2"/>
    <x v="3"/>
    <d v="1899-12-30T22:02:20"/>
    <s v=""/>
    <s v=""/>
    <s v=""/>
    <d v="1899-12-30T09:00:00"/>
    <s v=""/>
    <s v=""/>
    <s v=""/>
  </r>
  <r>
    <x v="44"/>
    <x v="44"/>
    <x v="2"/>
    <s v="13.04.2011"/>
    <x v="255"/>
    <x v="2"/>
    <x v="3"/>
    <s v=""/>
    <d v="1899-12-30T07:42:52"/>
    <s v=""/>
    <s v=""/>
    <d v="1899-12-30T00:00:00"/>
    <s v=""/>
    <s v=""/>
    <s v=""/>
  </r>
  <r>
    <x v="44"/>
    <x v="44"/>
    <x v="3"/>
    <s v="13.04.2011"/>
    <x v="256"/>
    <x v="3"/>
    <x v="3"/>
    <d v="1899-12-30T22:01:30"/>
    <s v=""/>
    <s v=""/>
    <s v=""/>
    <d v="1899-12-30T09:00:00"/>
    <s v=""/>
    <s v=""/>
    <s v=""/>
  </r>
  <r>
    <x v="44"/>
    <x v="44"/>
    <x v="3"/>
    <s v="14.04.2011"/>
    <x v="256"/>
    <x v="3"/>
    <x v="3"/>
    <s v=""/>
    <d v="1899-12-30T07:40:58"/>
    <s v=""/>
    <s v=""/>
    <d v="1899-12-30T00:00:00"/>
    <s v=""/>
    <s v=""/>
    <s v=""/>
  </r>
  <r>
    <x v="44"/>
    <x v="44"/>
    <x v="4"/>
    <s v="14.04.2011"/>
    <x v="257"/>
    <x v="4"/>
    <x v="3"/>
    <d v="1899-12-30T21:55:33"/>
    <s v=""/>
    <s v=""/>
    <s v=""/>
    <d v="1899-12-30T09:00:00"/>
    <s v=""/>
    <s v=""/>
    <s v=""/>
  </r>
  <r>
    <x v="44"/>
    <x v="44"/>
    <x v="4"/>
    <s v="15.04.2011"/>
    <x v="257"/>
    <x v="4"/>
    <x v="3"/>
    <s v=""/>
    <d v="1899-12-30T07:41:24"/>
    <s v=""/>
    <s v=""/>
    <d v="1899-12-30T00:00:00"/>
    <s v=""/>
    <s v=""/>
    <s v=""/>
  </r>
  <r>
    <x v="44"/>
    <x v="44"/>
    <x v="5"/>
    <s v="15.04.2011"/>
    <x v="258"/>
    <x v="5"/>
    <x v="3"/>
    <d v="1899-12-30T22:04:43"/>
    <s v=""/>
    <s v=""/>
    <s v=""/>
    <d v="1899-12-30T09:00:00"/>
    <s v=""/>
    <s v=""/>
    <s v=""/>
  </r>
  <r>
    <x v="44"/>
    <x v="44"/>
    <x v="5"/>
    <s v="16.04.2011"/>
    <x v="258"/>
    <x v="5"/>
    <x v="3"/>
    <s v=""/>
    <d v="1899-12-30T07:39:33"/>
    <s v=""/>
    <s v=""/>
    <d v="1899-12-30T00:00:00"/>
    <s v=""/>
    <s v=""/>
    <s v=""/>
  </r>
  <r>
    <x v="45"/>
    <x v="45"/>
    <x v="0"/>
    <s v="11.04.2011"/>
    <x v="259"/>
    <x v="0"/>
    <x v="1"/>
    <s v=""/>
    <d v="1899-12-30T19:28:19"/>
    <s v=""/>
    <s v=""/>
    <d v="1899-12-30T10:00:00"/>
    <s v=""/>
    <s v=""/>
    <s v=""/>
  </r>
  <r>
    <x v="45"/>
    <x v="45"/>
    <x v="0"/>
    <s v="11.04.2011"/>
    <x v="259"/>
    <x v="0"/>
    <x v="1"/>
    <d v="1899-12-30T10:57:05"/>
    <s v=""/>
    <s v=""/>
    <s v=""/>
    <d v="1899-12-30T00:00:00"/>
    <s v=""/>
    <s v=""/>
    <s v=""/>
  </r>
  <r>
    <x v="45"/>
    <x v="45"/>
    <x v="1"/>
    <s v="12.04.2011"/>
    <x v="260"/>
    <x v="1"/>
    <x v="1"/>
    <s v=""/>
    <d v="1899-12-30T19:23:31"/>
    <d v="1899-12-30T02:00:00"/>
    <s v=""/>
    <d v="1899-12-30T10:00:00"/>
    <s v=""/>
    <s v=""/>
    <s v=""/>
  </r>
  <r>
    <x v="45"/>
    <x v="45"/>
    <x v="1"/>
    <s v="12.04.2011"/>
    <x v="260"/>
    <x v="1"/>
    <x v="1"/>
    <d v="1899-12-30T07:14:42"/>
    <s v=""/>
    <s v=""/>
    <s v=""/>
    <d v="1899-12-30T00:00:00"/>
    <s v=""/>
    <s v=""/>
    <s v=""/>
  </r>
  <r>
    <x v="45"/>
    <x v="45"/>
    <x v="2"/>
    <s v="13.04.2011"/>
    <x v="261"/>
    <x v="2"/>
    <x v="1"/>
    <s v=""/>
    <d v="1899-12-30T19:18:39"/>
    <d v="1899-12-30T02:00:00"/>
    <s v=""/>
    <d v="1899-12-30T10:00:00"/>
    <s v=""/>
    <s v=""/>
    <s v=""/>
  </r>
  <r>
    <x v="45"/>
    <x v="45"/>
    <x v="2"/>
    <s v="13.04.2011"/>
    <x v="261"/>
    <x v="2"/>
    <x v="1"/>
    <d v="1899-12-30T07:12:14"/>
    <s v=""/>
    <s v=""/>
    <s v=""/>
    <d v="1899-12-30T00:00:00"/>
    <s v=""/>
    <s v=""/>
    <s v=""/>
  </r>
  <r>
    <x v="45"/>
    <x v="45"/>
    <x v="3"/>
    <s v="14.04.2011"/>
    <x v="262"/>
    <x v="3"/>
    <x v="1"/>
    <s v=""/>
    <d v="1899-12-30T19:24:01"/>
    <d v="1899-12-30T02:00:00"/>
    <s v=""/>
    <d v="1899-12-30T10:00:00"/>
    <s v=""/>
    <s v=""/>
    <s v=""/>
  </r>
  <r>
    <x v="45"/>
    <x v="45"/>
    <x v="3"/>
    <s v="14.04.2011"/>
    <x v="262"/>
    <x v="3"/>
    <x v="1"/>
    <d v="1899-12-30T07:20:52"/>
    <s v=""/>
    <s v=""/>
    <s v=""/>
    <d v="1899-12-30T00:00:00"/>
    <s v=""/>
    <s v=""/>
    <s v=""/>
  </r>
  <r>
    <x v="45"/>
    <x v="45"/>
    <x v="4"/>
    <s v="15.04.2011"/>
    <x v="263"/>
    <x v="4"/>
    <x v="1"/>
    <s v=""/>
    <d v="1899-12-30T19:32:23"/>
    <d v="1899-12-30T02:00:00"/>
    <s v=""/>
    <d v="1899-12-30T10:00:00"/>
    <s v=""/>
    <s v=""/>
    <s v=""/>
  </r>
  <r>
    <x v="45"/>
    <x v="45"/>
    <x v="4"/>
    <s v="15.04.2011"/>
    <x v="263"/>
    <x v="4"/>
    <x v="1"/>
    <d v="1899-12-30T07:14:51"/>
    <s v=""/>
    <s v=""/>
    <s v=""/>
    <d v="1899-12-30T00:00:00"/>
    <s v=""/>
    <s v=""/>
    <s v=""/>
  </r>
  <r>
    <x v="46"/>
    <x v="46"/>
    <x v="1"/>
    <s v="11.04.2011"/>
    <x v="264"/>
    <x v="1"/>
    <x v="3"/>
    <d v="1899-12-30T22:05:00"/>
    <s v=""/>
    <s v=""/>
    <s v=""/>
    <d v="1899-12-30T09:00:00"/>
    <s v=""/>
    <s v=""/>
    <s v=""/>
  </r>
  <r>
    <x v="46"/>
    <x v="46"/>
    <x v="1"/>
    <s v="12.04.2011"/>
    <x v="264"/>
    <x v="1"/>
    <x v="3"/>
    <s v=""/>
    <d v="1899-12-30T07:43:40"/>
    <s v=""/>
    <s v=""/>
    <d v="1899-12-30T00:00:00"/>
    <s v=""/>
    <s v=""/>
    <s v=""/>
  </r>
  <r>
    <x v="46"/>
    <x v="46"/>
    <x v="2"/>
    <s v="12.04.2011"/>
    <x v="265"/>
    <x v="2"/>
    <x v="3"/>
    <d v="1899-12-30T22:04:45"/>
    <s v=""/>
    <s v=""/>
    <s v=""/>
    <d v="1899-12-30T09:00:00"/>
    <s v=""/>
    <s v=""/>
    <s v=""/>
  </r>
  <r>
    <x v="46"/>
    <x v="46"/>
    <x v="2"/>
    <s v="13.04.2011"/>
    <x v="265"/>
    <x v="2"/>
    <x v="3"/>
    <s v=""/>
    <d v="1899-12-30T07:49:20"/>
    <s v=""/>
    <s v=""/>
    <d v="1899-12-30T00:00:00"/>
    <s v=""/>
    <s v=""/>
    <s v=""/>
  </r>
  <r>
    <x v="46"/>
    <x v="46"/>
    <x v="3"/>
    <s v="13.04.2011"/>
    <x v="266"/>
    <x v="3"/>
    <x v="3"/>
    <d v="1899-12-30T22:03:42"/>
    <s v=""/>
    <s v=""/>
    <s v=""/>
    <d v="1899-12-30T09:00:00"/>
    <s v=""/>
    <s v=""/>
    <s v=""/>
  </r>
  <r>
    <x v="46"/>
    <x v="46"/>
    <x v="3"/>
    <s v="14.04.2011"/>
    <x v="266"/>
    <x v="3"/>
    <x v="3"/>
    <s v=""/>
    <d v="1899-12-30T07:50:34"/>
    <s v=""/>
    <s v=""/>
    <d v="1899-12-30T00:00:00"/>
    <s v=""/>
    <s v=""/>
    <s v=""/>
  </r>
  <r>
    <x v="46"/>
    <x v="46"/>
    <x v="4"/>
    <s v="14.04.2011"/>
    <x v="267"/>
    <x v="4"/>
    <x v="3"/>
    <d v="1899-12-30T22:06:47"/>
    <s v=""/>
    <s v=""/>
    <s v=""/>
    <d v="1899-12-30T09:00:00"/>
    <s v=""/>
    <s v=""/>
    <s v=""/>
  </r>
  <r>
    <x v="46"/>
    <x v="46"/>
    <x v="4"/>
    <s v="15.04.2011"/>
    <x v="267"/>
    <x v="4"/>
    <x v="3"/>
    <s v=""/>
    <d v="1899-12-30T07:45:05"/>
    <s v=""/>
    <s v=""/>
    <d v="1899-12-30T00:00:00"/>
    <s v=""/>
    <s v=""/>
    <s v=""/>
  </r>
  <r>
    <x v="46"/>
    <x v="46"/>
    <x v="5"/>
    <s v="15.04.2011"/>
    <x v="268"/>
    <x v="5"/>
    <x v="3"/>
    <d v="1899-12-30T22:06:35"/>
    <s v=""/>
    <s v=""/>
    <s v=""/>
    <d v="1899-12-30T09:00:00"/>
    <s v=""/>
    <s v=""/>
    <s v=""/>
  </r>
  <r>
    <x v="46"/>
    <x v="46"/>
    <x v="5"/>
    <s v="16.04.2011"/>
    <x v="268"/>
    <x v="5"/>
    <x v="3"/>
    <s v=""/>
    <d v="1899-12-30T07:42:21"/>
    <s v=""/>
    <s v=""/>
    <d v="1899-12-30T00:00:00"/>
    <s v=""/>
    <s v=""/>
    <s v=""/>
  </r>
  <r>
    <x v="47"/>
    <x v="47"/>
    <x v="0"/>
    <s v="11.04.2011"/>
    <x v="269"/>
    <x v="0"/>
    <x v="0"/>
    <s v=""/>
    <d v="1899-12-30T22:35:26"/>
    <s v=""/>
    <s v=""/>
    <d v="1899-12-30T07:30:00"/>
    <s v=""/>
    <s v=""/>
    <s v=""/>
  </r>
  <r>
    <x v="47"/>
    <x v="47"/>
    <x v="0"/>
    <s v="11.04.2011"/>
    <x v="269"/>
    <x v="0"/>
    <x v="0"/>
    <d v="1899-12-30T14:46:44"/>
    <s v=""/>
    <s v=""/>
    <s v=""/>
    <d v="1899-12-30T00:00:00"/>
    <s v=""/>
    <s v=""/>
    <s v=""/>
  </r>
  <r>
    <x v="47"/>
    <x v="47"/>
    <x v="1"/>
    <s v="12.04.2011"/>
    <x v="270"/>
    <x v="1"/>
    <x v="0"/>
    <s v=""/>
    <d v="1899-12-30T22:40:16"/>
    <s v=""/>
    <s v=""/>
    <d v="1899-12-30T07:30:00"/>
    <s v=""/>
    <s v=""/>
    <s v=""/>
  </r>
  <r>
    <x v="47"/>
    <x v="47"/>
    <x v="1"/>
    <s v="12.04.2011"/>
    <x v="270"/>
    <x v="1"/>
    <x v="0"/>
    <d v="1899-12-30T14:48:34"/>
    <s v=""/>
    <s v=""/>
    <s v=""/>
    <d v="1899-12-30T00:00:00"/>
    <s v=""/>
    <s v=""/>
    <s v=""/>
  </r>
  <r>
    <x v="47"/>
    <x v="47"/>
    <x v="2"/>
    <s v="13.04.2011"/>
    <x v="271"/>
    <x v="2"/>
    <x v="0"/>
    <s v=""/>
    <d v="1899-12-30T22:34:34"/>
    <d v="1899-12-30T01:00:00"/>
    <s v=""/>
    <d v="1899-12-30T07:30:00"/>
    <s v=""/>
    <s v=""/>
    <s v=""/>
  </r>
  <r>
    <x v="47"/>
    <x v="47"/>
    <x v="2"/>
    <s v="13.04.2011"/>
    <x v="271"/>
    <x v="2"/>
    <x v="0"/>
    <d v="1899-12-30T13:49:11"/>
    <s v=""/>
    <s v=""/>
    <s v=""/>
    <d v="1899-12-30T00:00:00"/>
    <s v=""/>
    <s v=""/>
    <s v=""/>
  </r>
  <r>
    <x v="47"/>
    <x v="47"/>
    <x v="3"/>
    <s v="14.04.2011"/>
    <x v="272"/>
    <x v="3"/>
    <x v="0"/>
    <s v=""/>
    <d v="1899-12-30T22:37:49"/>
    <s v=""/>
    <s v=""/>
    <d v="1899-12-30T07:30:00"/>
    <s v=""/>
    <s v=""/>
    <s v=""/>
  </r>
  <r>
    <x v="47"/>
    <x v="47"/>
    <x v="3"/>
    <s v="14.04.2011"/>
    <x v="272"/>
    <x v="3"/>
    <x v="0"/>
    <d v="1899-12-30T14:50:11"/>
    <s v=""/>
    <s v=""/>
    <s v=""/>
    <d v="1899-12-30T00:00:00"/>
    <s v=""/>
    <s v=""/>
    <s v=""/>
  </r>
  <r>
    <x v="47"/>
    <x v="47"/>
    <x v="4"/>
    <s v="15.04.2011"/>
    <x v="273"/>
    <x v="4"/>
    <x v="0"/>
    <s v=""/>
    <d v="1899-12-30T22:29:31"/>
    <s v=""/>
    <s v=""/>
    <d v="1899-12-30T07:30:00"/>
    <s v=""/>
    <s v=""/>
    <s v=""/>
  </r>
  <r>
    <x v="47"/>
    <x v="47"/>
    <x v="4"/>
    <s v="15.04.2011"/>
    <x v="273"/>
    <x v="4"/>
    <x v="0"/>
    <d v="1899-12-30T14:48:31"/>
    <s v=""/>
    <s v=""/>
    <s v=""/>
    <d v="1899-12-30T00:00:00"/>
    <s v=""/>
    <s v=""/>
    <s v=""/>
  </r>
  <r>
    <x v="47"/>
    <x v="47"/>
    <x v="5"/>
    <s v="16.04.2011"/>
    <x v="274"/>
    <x v="5"/>
    <x v="0"/>
    <s v=""/>
    <d v="1899-12-30T21:19:47"/>
    <s v=""/>
    <s v=""/>
    <d v="1899-12-30T07:30:00"/>
    <s v=""/>
    <s v=""/>
    <s v=""/>
  </r>
  <r>
    <x v="47"/>
    <x v="47"/>
    <x v="5"/>
    <s v="16.04.2011"/>
    <x v="274"/>
    <x v="5"/>
    <x v="0"/>
    <d v="1899-12-30T13:36:34"/>
    <s v=""/>
    <s v=""/>
    <s v=""/>
    <d v="1899-12-30T00:00:00"/>
    <s v=""/>
    <s v=""/>
    <s v=""/>
  </r>
  <r>
    <x v="48"/>
    <x v="48"/>
    <x v="0"/>
    <s v="11.04.2011"/>
    <x v="275"/>
    <x v="0"/>
    <x v="0"/>
    <s v=""/>
    <d v="1899-12-30T22:47:42"/>
    <s v=""/>
    <s v=""/>
    <d v="1899-12-30T07:30:00"/>
    <s v=""/>
    <s v=""/>
    <s v=""/>
  </r>
  <r>
    <x v="48"/>
    <x v="48"/>
    <x v="0"/>
    <s v="11.04.2011"/>
    <x v="275"/>
    <x v="0"/>
    <x v="0"/>
    <d v="1899-12-30T14:35:17"/>
    <s v=""/>
    <s v=""/>
    <s v=""/>
    <d v="1899-12-30T00:00:00"/>
    <s v=""/>
    <s v=""/>
    <s v=""/>
  </r>
  <r>
    <x v="48"/>
    <x v="48"/>
    <x v="1"/>
    <s v="12.04.2011"/>
    <x v="276"/>
    <x v="1"/>
    <x v="0"/>
    <s v=""/>
    <d v="1899-12-30T22:46:12"/>
    <s v=""/>
    <s v=""/>
    <d v="1899-12-30T07:30:00"/>
    <s v=""/>
    <s v=""/>
    <s v=""/>
  </r>
  <r>
    <x v="48"/>
    <x v="48"/>
    <x v="1"/>
    <s v="12.04.2011"/>
    <x v="276"/>
    <x v="1"/>
    <x v="0"/>
    <d v="1899-12-30T14:35:49"/>
    <s v=""/>
    <s v=""/>
    <s v=""/>
    <d v="1899-12-30T00:00:00"/>
    <s v=""/>
    <s v=""/>
    <s v=""/>
  </r>
  <r>
    <x v="48"/>
    <x v="48"/>
    <x v="2"/>
    <s v="13.04.2011"/>
    <x v="277"/>
    <x v="2"/>
    <x v="0"/>
    <s v=""/>
    <d v="1899-12-30T22:44:06"/>
    <s v=""/>
    <s v=""/>
    <d v="1899-12-30T07:30:00"/>
    <s v=""/>
    <s v=""/>
    <s v=""/>
  </r>
  <r>
    <x v="48"/>
    <x v="48"/>
    <x v="2"/>
    <s v="13.04.2011"/>
    <x v="277"/>
    <x v="2"/>
    <x v="0"/>
    <d v="1899-12-30T14:38:42"/>
    <s v=""/>
    <s v=""/>
    <s v=""/>
    <d v="1899-12-30T00:00:00"/>
    <s v=""/>
    <s v=""/>
    <s v=""/>
  </r>
  <r>
    <x v="48"/>
    <x v="48"/>
    <x v="3"/>
    <s v="14.04.2011"/>
    <x v="278"/>
    <x v="3"/>
    <x v="0"/>
    <s v=""/>
    <d v="1899-12-30T22:50:25"/>
    <s v=""/>
    <s v=""/>
    <d v="1899-12-30T07:30:00"/>
    <s v=""/>
    <s v=""/>
    <s v=""/>
  </r>
  <r>
    <x v="48"/>
    <x v="48"/>
    <x v="3"/>
    <s v="14.04.2011"/>
    <x v="278"/>
    <x v="3"/>
    <x v="0"/>
    <d v="1899-12-30T14:42:44"/>
    <s v=""/>
    <s v=""/>
    <s v=""/>
    <d v="1899-12-30T00:00:00"/>
    <s v=""/>
    <s v=""/>
    <s v=""/>
  </r>
  <r>
    <x v="48"/>
    <x v="48"/>
    <x v="4"/>
    <s v="15.04.2011"/>
    <x v="279"/>
    <x v="4"/>
    <x v="0"/>
    <s v=""/>
    <d v="1899-12-30T22:48:12"/>
    <s v=""/>
    <s v=""/>
    <d v="1899-12-30T07:30:00"/>
    <s v=""/>
    <s v=""/>
    <s v=""/>
  </r>
  <r>
    <x v="48"/>
    <x v="48"/>
    <x v="4"/>
    <s v="15.04.2011"/>
    <x v="279"/>
    <x v="4"/>
    <x v="0"/>
    <d v="1899-12-30T14:35:41"/>
    <s v=""/>
    <s v=""/>
    <s v=""/>
    <d v="1899-12-30T00:00:00"/>
    <s v=""/>
    <s v=""/>
    <s v=""/>
  </r>
  <r>
    <x v="48"/>
    <x v="48"/>
    <x v="5"/>
    <s v="16.04.2011"/>
    <x v="280"/>
    <x v="5"/>
    <x v="0"/>
    <s v=""/>
    <d v="1899-12-30T22:42:59"/>
    <s v=""/>
    <s v=""/>
    <d v="1899-12-30T07:30:00"/>
    <s v=""/>
    <s v=""/>
    <s v=""/>
  </r>
  <r>
    <x v="48"/>
    <x v="48"/>
    <x v="5"/>
    <s v="16.04.2011"/>
    <x v="280"/>
    <x v="5"/>
    <x v="0"/>
    <d v="1899-12-30T14:40:21"/>
    <s v=""/>
    <s v=""/>
    <s v=""/>
    <d v="1899-12-30T00:00:00"/>
    <s v=""/>
    <s v=""/>
    <s v=""/>
  </r>
  <r>
    <x v="49"/>
    <x v="49"/>
    <x v="0"/>
    <s v="11.04.2011"/>
    <x v="281"/>
    <x v="0"/>
    <x v="1"/>
    <s v=""/>
    <d v="1899-12-30T18:42:14"/>
    <s v=""/>
    <s v=""/>
    <d v="1899-12-30T10:00:00"/>
    <s v=""/>
    <s v=""/>
    <s v=""/>
  </r>
  <r>
    <x v="49"/>
    <x v="49"/>
    <x v="0"/>
    <s v="11.04.2011"/>
    <x v="281"/>
    <x v="0"/>
    <x v="1"/>
    <d v="1899-12-30T08:51:19"/>
    <s v=""/>
    <s v=""/>
    <s v=""/>
    <d v="1899-12-30T00:00:00"/>
    <s v=""/>
    <s v=""/>
    <s v=""/>
  </r>
  <r>
    <x v="49"/>
    <x v="49"/>
    <x v="1"/>
    <s v="12.04.2011"/>
    <x v="282"/>
    <x v="1"/>
    <x v="1"/>
    <s v=""/>
    <d v="1899-12-30T18:30:27"/>
    <s v=""/>
    <s v=""/>
    <d v="1899-12-30T10:00:00"/>
    <s v=""/>
    <s v=""/>
    <s v=""/>
  </r>
  <r>
    <x v="49"/>
    <x v="49"/>
    <x v="1"/>
    <s v="12.04.2011"/>
    <x v="282"/>
    <x v="1"/>
    <x v="1"/>
    <d v="1899-12-30T08:35:58"/>
    <s v=""/>
    <s v=""/>
    <s v=""/>
    <d v="1899-12-30T00:00:00"/>
    <s v=""/>
    <s v=""/>
    <s v=""/>
  </r>
  <r>
    <x v="49"/>
    <x v="49"/>
    <x v="2"/>
    <s v="13.04.2011"/>
    <x v="283"/>
    <x v="2"/>
    <x v="1"/>
    <s v=""/>
    <d v="1899-12-30T18:34:25"/>
    <s v=""/>
    <s v=""/>
    <d v="1899-12-30T10:00:00"/>
    <s v=""/>
    <s v=""/>
    <s v=""/>
  </r>
  <r>
    <x v="49"/>
    <x v="49"/>
    <x v="2"/>
    <s v="13.04.2011"/>
    <x v="283"/>
    <x v="2"/>
    <x v="1"/>
    <d v="1899-12-30T08:43:33"/>
    <s v=""/>
    <s v=""/>
    <s v=""/>
    <d v="1899-12-30T00:00:00"/>
    <s v=""/>
    <s v=""/>
    <s v=""/>
  </r>
  <r>
    <x v="49"/>
    <x v="49"/>
    <x v="3"/>
    <s v="14.04.2011"/>
    <x v="284"/>
    <x v="3"/>
    <x v="1"/>
    <s v=""/>
    <d v="1899-12-30T18:39:18"/>
    <d v="1899-12-30T01:00:00"/>
    <s v=""/>
    <d v="1899-12-30T10:00:00"/>
    <s v=""/>
    <s v=""/>
    <s v=""/>
  </r>
  <r>
    <x v="49"/>
    <x v="49"/>
    <x v="3"/>
    <s v="14.04.2011"/>
    <x v="284"/>
    <x v="3"/>
    <x v="1"/>
    <d v="1899-12-30T08:44:05"/>
    <s v=""/>
    <s v=""/>
    <s v=""/>
    <d v="1899-12-30T00:00:00"/>
    <s v=""/>
    <s v=""/>
    <s v=""/>
  </r>
  <r>
    <x v="49"/>
    <x v="49"/>
    <x v="4"/>
    <s v="15.04.2011"/>
    <x v="285"/>
    <x v="4"/>
    <x v="1"/>
    <s v=""/>
    <d v="1899-12-30T18:07:34"/>
    <d v="1899-12-30T01:00:00"/>
    <s v=""/>
    <d v="1899-12-30T10:00:00"/>
    <s v=""/>
    <s v=""/>
    <s v=""/>
  </r>
  <r>
    <x v="49"/>
    <x v="49"/>
    <x v="4"/>
    <s v="15.04.2011"/>
    <x v="285"/>
    <x v="4"/>
    <x v="1"/>
    <d v="1899-12-30T08:50:14"/>
    <s v=""/>
    <s v=""/>
    <s v=""/>
    <d v="1899-12-30T00:00:00"/>
    <s v=""/>
    <s v=""/>
    <s v=""/>
  </r>
  <r>
    <x v="50"/>
    <x v="50"/>
    <x v="0"/>
    <s v="11.04.2011"/>
    <x v="286"/>
    <x v="0"/>
    <x v="2"/>
    <d v="1899-12-30T21:57:38"/>
    <s v=""/>
    <s v=""/>
    <s v=""/>
    <s v=""/>
    <s v=""/>
    <s v=""/>
    <s v=""/>
  </r>
  <r>
    <x v="50"/>
    <x v="50"/>
    <x v="1"/>
    <s v="12.04.2011"/>
    <x v="287"/>
    <x v="1"/>
    <x v="2"/>
    <s v=""/>
    <d v="1899-12-30T07:46:51"/>
    <s v=""/>
    <s v=""/>
    <s v=""/>
    <s v=""/>
    <s v=""/>
    <s v=""/>
  </r>
  <r>
    <x v="50"/>
    <x v="50"/>
    <x v="1"/>
    <s v="12.04.2011"/>
    <x v="287"/>
    <x v="1"/>
    <x v="2"/>
    <d v="1899-12-30T22:02:05"/>
    <s v=""/>
    <s v=""/>
    <s v=""/>
    <d v="1899-12-30T00:00:00"/>
    <s v=""/>
    <s v=""/>
    <s v=""/>
  </r>
  <r>
    <x v="50"/>
    <x v="50"/>
    <x v="2"/>
    <s v="13.04.2011"/>
    <x v="288"/>
    <x v="2"/>
    <x v="2"/>
    <s v=""/>
    <d v="1899-12-30T07:47:17"/>
    <s v=""/>
    <s v=""/>
    <s v=""/>
    <s v=""/>
    <s v=""/>
    <s v=""/>
  </r>
  <r>
    <x v="50"/>
    <x v="50"/>
    <x v="2"/>
    <s v="13.04.2011"/>
    <x v="288"/>
    <x v="2"/>
    <x v="2"/>
    <d v="1899-12-30T22:02:47"/>
    <s v=""/>
    <s v=""/>
    <s v=""/>
    <d v="1899-12-30T00:00:00"/>
    <s v=""/>
    <s v=""/>
    <s v=""/>
  </r>
  <r>
    <x v="50"/>
    <x v="50"/>
    <x v="3"/>
    <s v="14.04.2011"/>
    <x v="289"/>
    <x v="3"/>
    <x v="2"/>
    <s v=""/>
    <d v="1899-12-30T07:53:35"/>
    <s v=""/>
    <s v=""/>
    <s v=""/>
    <s v=""/>
    <s v=""/>
    <s v=""/>
  </r>
  <r>
    <x v="50"/>
    <x v="50"/>
    <x v="3"/>
    <s v="14.04.2011"/>
    <x v="289"/>
    <x v="3"/>
    <x v="2"/>
    <d v="1899-12-30T21:56:46"/>
    <s v=""/>
    <s v=""/>
    <s v=""/>
    <d v="1899-12-30T00:00:00"/>
    <s v=""/>
    <s v=""/>
    <s v=""/>
  </r>
  <r>
    <x v="50"/>
    <x v="50"/>
    <x v="4"/>
    <s v="15.04.2011"/>
    <x v="290"/>
    <x v="4"/>
    <x v="2"/>
    <s v=""/>
    <d v="1899-12-30T07:46:21"/>
    <s v=""/>
    <s v=""/>
    <s v=""/>
    <s v=""/>
    <s v=""/>
    <s v=""/>
  </r>
  <r>
    <x v="50"/>
    <x v="50"/>
    <x v="4"/>
    <s v="15.04.2011"/>
    <x v="290"/>
    <x v="4"/>
    <x v="2"/>
    <d v="1899-12-30T22:15:09"/>
    <s v=""/>
    <s v=""/>
    <s v=""/>
    <d v="1899-12-30T00:00:00"/>
    <s v=""/>
    <s v=""/>
    <s v=""/>
  </r>
  <r>
    <x v="50"/>
    <x v="50"/>
    <x v="5"/>
    <s v="16.04.2011"/>
    <x v="291"/>
    <x v="5"/>
    <x v="2"/>
    <s v=""/>
    <d v="1899-12-30T07:52:25"/>
    <s v=""/>
    <s v=""/>
    <s v=""/>
    <s v=""/>
    <s v=""/>
    <s v=""/>
  </r>
  <r>
    <x v="51"/>
    <x v="51"/>
    <x v="0"/>
    <s v="11.04.2011"/>
    <x v="292"/>
    <x v="0"/>
    <x v="1"/>
    <s v=""/>
    <d v="1899-12-30T18:55:08"/>
    <d v="1899-12-30T02:00:00"/>
    <s v=""/>
    <d v="1899-12-30T10:00:00"/>
    <s v=""/>
    <s v=""/>
    <s v=""/>
  </r>
  <r>
    <x v="51"/>
    <x v="51"/>
    <x v="0"/>
    <s v="11.04.2011"/>
    <x v="292"/>
    <x v="0"/>
    <x v="1"/>
    <d v="1899-12-30T07:01:33"/>
    <s v=""/>
    <s v=""/>
    <s v=""/>
    <d v="1899-12-30T00:00:00"/>
    <s v=""/>
    <s v=""/>
    <s v=""/>
  </r>
  <r>
    <x v="51"/>
    <x v="51"/>
    <x v="1"/>
    <s v="12.04.2011"/>
    <x v="293"/>
    <x v="1"/>
    <x v="1"/>
    <s v=""/>
    <d v="1899-12-30T18:55:35"/>
    <d v="1899-12-30T02:00:00"/>
    <s v=""/>
    <d v="1899-12-30T10:00:00"/>
    <s v=""/>
    <s v=""/>
    <s v=""/>
  </r>
  <r>
    <x v="51"/>
    <x v="51"/>
    <x v="1"/>
    <s v="12.04.2011"/>
    <x v="293"/>
    <x v="1"/>
    <x v="1"/>
    <d v="1899-12-30T07:01:14"/>
    <s v=""/>
    <s v=""/>
    <s v=""/>
    <d v="1899-12-30T00:00:00"/>
    <s v=""/>
    <s v=""/>
    <s v=""/>
  </r>
  <r>
    <x v="51"/>
    <x v="51"/>
    <x v="2"/>
    <s v="13.04.2011"/>
    <x v="294"/>
    <x v="2"/>
    <x v="1"/>
    <s v=""/>
    <d v="1899-12-30T18:58:06"/>
    <d v="1899-12-30T02:00:00"/>
    <s v=""/>
    <d v="1899-12-30T10:00:00"/>
    <s v=""/>
    <s v=""/>
    <s v=""/>
  </r>
  <r>
    <x v="51"/>
    <x v="51"/>
    <x v="2"/>
    <s v="13.04.2011"/>
    <x v="294"/>
    <x v="2"/>
    <x v="1"/>
    <d v="1899-12-30T07:04:13"/>
    <s v=""/>
    <s v=""/>
    <s v=""/>
    <d v="1899-12-30T00:00:00"/>
    <s v=""/>
    <s v=""/>
    <s v=""/>
  </r>
  <r>
    <x v="51"/>
    <x v="51"/>
    <x v="3"/>
    <s v="14.04.2011"/>
    <x v="295"/>
    <x v="3"/>
    <x v="1"/>
    <s v=""/>
    <d v="1899-12-30T19:14:39"/>
    <d v="1899-12-30T02:00:00"/>
    <s v=""/>
    <d v="1899-12-30T10:00:00"/>
    <s v=""/>
    <s v=""/>
    <s v=""/>
  </r>
  <r>
    <x v="51"/>
    <x v="51"/>
    <x v="3"/>
    <s v="14.04.2011"/>
    <x v="295"/>
    <x v="3"/>
    <x v="1"/>
    <d v="1899-12-30T07:01:33"/>
    <s v=""/>
    <s v=""/>
    <s v=""/>
    <d v="1899-12-30T00:00:00"/>
    <s v=""/>
    <s v=""/>
    <s v=""/>
  </r>
  <r>
    <x v="51"/>
    <x v="51"/>
    <x v="4"/>
    <s v="15.04.2011"/>
    <x v="296"/>
    <x v="4"/>
    <x v="1"/>
    <s v=""/>
    <d v="1899-12-30T18:06:18"/>
    <d v="1899-12-30T01:00:00"/>
    <s v=""/>
    <d v="1899-12-30T10:00:00"/>
    <s v=""/>
    <s v=""/>
    <s v=""/>
  </r>
  <r>
    <x v="51"/>
    <x v="51"/>
    <x v="4"/>
    <s v="15.04.2011"/>
    <x v="296"/>
    <x v="4"/>
    <x v="1"/>
    <s v=""/>
    <d v="1899-12-30T07:20:28"/>
    <s v=""/>
    <s v=""/>
    <d v="1899-12-30T00:00:00"/>
    <s v=""/>
    <s v=""/>
    <s v=""/>
  </r>
  <r>
    <x v="52"/>
    <x v="52"/>
    <x v="0"/>
    <s v="11.04.2011"/>
    <x v="297"/>
    <x v="0"/>
    <x v="2"/>
    <s v=""/>
    <d v="1899-12-30T15:11:45"/>
    <s v=""/>
    <s v=""/>
    <s v=""/>
    <s v=""/>
    <s v=""/>
    <s v=""/>
  </r>
  <r>
    <x v="52"/>
    <x v="52"/>
    <x v="0"/>
    <s v="11.04.2011"/>
    <x v="297"/>
    <x v="0"/>
    <x v="2"/>
    <d v="1899-12-30T07:07:27"/>
    <s v=""/>
    <s v=""/>
    <s v=""/>
    <d v="1899-12-30T00:00:00"/>
    <s v=""/>
    <s v=""/>
    <s v=""/>
  </r>
  <r>
    <x v="52"/>
    <x v="52"/>
    <x v="1"/>
    <s v="12.04.2011"/>
    <x v="298"/>
    <x v="1"/>
    <x v="2"/>
    <s v=""/>
    <d v="1899-12-30T15:11:42"/>
    <s v=""/>
    <s v=""/>
    <s v=""/>
    <s v=""/>
    <s v=""/>
    <s v=""/>
  </r>
  <r>
    <x v="52"/>
    <x v="52"/>
    <x v="1"/>
    <s v="12.04.2011"/>
    <x v="298"/>
    <x v="1"/>
    <x v="2"/>
    <d v="1899-12-30T07:07:35"/>
    <s v=""/>
    <s v=""/>
    <s v=""/>
    <d v="1899-12-30T00:00:00"/>
    <s v=""/>
    <s v=""/>
    <s v=""/>
  </r>
  <r>
    <x v="52"/>
    <x v="52"/>
    <x v="2"/>
    <s v="13.04.2011"/>
    <x v="299"/>
    <x v="2"/>
    <x v="2"/>
    <s v=""/>
    <d v="1899-12-30T15:03:03"/>
    <s v=""/>
    <s v=""/>
    <s v=""/>
    <s v=""/>
    <s v=""/>
    <s v=""/>
  </r>
  <r>
    <x v="52"/>
    <x v="52"/>
    <x v="2"/>
    <s v="13.04.2011"/>
    <x v="299"/>
    <x v="2"/>
    <x v="2"/>
    <d v="1899-12-30T07:24:40"/>
    <s v=""/>
    <s v=""/>
    <s v=""/>
    <d v="1899-12-30T00:00:00"/>
    <s v=""/>
    <s v=""/>
    <s v=""/>
  </r>
  <r>
    <x v="52"/>
    <x v="52"/>
    <x v="3"/>
    <s v="14.04.2011"/>
    <x v="300"/>
    <x v="3"/>
    <x v="2"/>
    <s v=""/>
    <d v="1899-12-30T15:13:57"/>
    <s v=""/>
    <s v=""/>
    <s v=""/>
    <s v=""/>
    <s v=""/>
    <s v=""/>
  </r>
  <r>
    <x v="52"/>
    <x v="52"/>
    <x v="3"/>
    <s v="14.04.2011"/>
    <x v="300"/>
    <x v="3"/>
    <x v="2"/>
    <d v="1899-12-30T07:07:27"/>
    <s v=""/>
    <s v=""/>
    <s v=""/>
    <d v="1899-12-30T00:00:00"/>
    <s v=""/>
    <s v=""/>
    <s v=""/>
  </r>
  <r>
    <x v="52"/>
    <x v="52"/>
    <x v="4"/>
    <s v="15.04.2011"/>
    <x v="301"/>
    <x v="4"/>
    <x v="2"/>
    <s v=""/>
    <d v="1899-12-30T15:14:06"/>
    <s v=""/>
    <s v=""/>
    <s v=""/>
    <s v=""/>
    <s v=""/>
    <s v=""/>
  </r>
  <r>
    <x v="52"/>
    <x v="52"/>
    <x v="4"/>
    <s v="15.04.2011"/>
    <x v="301"/>
    <x v="4"/>
    <x v="2"/>
    <d v="1899-12-30T07:08:03"/>
    <s v=""/>
    <s v=""/>
    <s v=""/>
    <d v="1899-12-30T00:00:00"/>
    <s v=""/>
    <s v=""/>
    <s v=""/>
  </r>
  <r>
    <x v="52"/>
    <x v="52"/>
    <x v="5"/>
    <s v="16.04.2011"/>
    <x v="302"/>
    <x v="5"/>
    <x v="2"/>
    <s v=""/>
    <d v="1899-12-30T15:17:44"/>
    <s v=""/>
    <s v=""/>
    <s v=""/>
    <s v=""/>
    <s v=""/>
    <s v=""/>
  </r>
  <r>
    <x v="52"/>
    <x v="52"/>
    <x v="5"/>
    <s v="16.04.2011"/>
    <x v="302"/>
    <x v="5"/>
    <x v="2"/>
    <d v="1899-12-30T07:05:15"/>
    <s v=""/>
    <s v=""/>
    <s v=""/>
    <d v="1899-12-30T00:00:00"/>
    <s v=""/>
    <s v=""/>
    <s v=""/>
  </r>
  <r>
    <x v="53"/>
    <x v="53"/>
    <x v="0"/>
    <s v="11.04.2011"/>
    <x v="303"/>
    <x v="0"/>
    <x v="1"/>
    <s v=""/>
    <d v="1899-12-30T17:28:23"/>
    <s v=""/>
    <s v=""/>
    <d v="1899-12-30T10:00:00"/>
    <s v=""/>
    <s v=""/>
    <s v=""/>
  </r>
  <r>
    <x v="53"/>
    <x v="53"/>
    <x v="0"/>
    <s v="11.04.2011"/>
    <x v="303"/>
    <x v="0"/>
    <x v="1"/>
    <d v="1899-12-30T08:06:10"/>
    <s v=""/>
    <s v=""/>
    <s v=""/>
    <d v="1899-12-30T00:00:00"/>
    <s v=""/>
    <s v=""/>
    <s v=""/>
  </r>
  <r>
    <x v="53"/>
    <x v="53"/>
    <x v="1"/>
    <s v="12.04.2011"/>
    <x v="304"/>
    <x v="1"/>
    <x v="1"/>
    <s v=""/>
    <d v="1899-12-30T11:27:38"/>
    <s v=""/>
    <s v=""/>
    <d v="1899-12-30T10:00:00"/>
    <s v=""/>
    <s v=""/>
    <s v=""/>
  </r>
  <r>
    <x v="53"/>
    <x v="53"/>
    <x v="1"/>
    <s v="12.04.2011"/>
    <x v="304"/>
    <x v="1"/>
    <x v="1"/>
    <d v="1899-12-30T07:06:46"/>
    <s v=""/>
    <s v=""/>
    <s v=""/>
    <d v="1899-12-30T00:00:00"/>
    <s v=""/>
    <s v=""/>
    <s v=""/>
  </r>
  <r>
    <x v="53"/>
    <x v="53"/>
    <x v="2"/>
    <s v="13.04.2011"/>
    <x v="305"/>
    <x v="2"/>
    <x v="1"/>
    <s v=""/>
    <d v="1899-12-30T17:38:54"/>
    <s v=""/>
    <s v=""/>
    <d v="1899-12-30T10:00:00"/>
    <s v=""/>
    <s v=""/>
    <s v=""/>
  </r>
  <r>
    <x v="53"/>
    <x v="53"/>
    <x v="2"/>
    <s v="13.04.2011"/>
    <x v="305"/>
    <x v="2"/>
    <x v="1"/>
    <d v="1899-12-30T08:10:49"/>
    <s v=""/>
    <s v=""/>
    <s v=""/>
    <d v="1899-12-30T00:00:00"/>
    <s v=""/>
    <s v=""/>
    <s v=""/>
  </r>
  <r>
    <x v="53"/>
    <x v="53"/>
    <x v="3"/>
    <s v="14.04.2011"/>
    <x v="306"/>
    <x v="3"/>
    <x v="1"/>
    <s v=""/>
    <d v="1899-12-30T17:33:53"/>
    <s v=""/>
    <s v=""/>
    <d v="1899-12-30T10:00:00"/>
    <s v=""/>
    <s v=""/>
    <s v=""/>
  </r>
  <r>
    <x v="53"/>
    <x v="53"/>
    <x v="3"/>
    <s v="14.04.2011"/>
    <x v="306"/>
    <x v="3"/>
    <x v="1"/>
    <d v="1899-12-30T07:06:23"/>
    <s v=""/>
    <s v=""/>
    <s v=""/>
    <d v="1899-12-30T00:00:00"/>
    <s v=""/>
    <s v=""/>
    <s v=""/>
  </r>
  <r>
    <x v="53"/>
    <x v="53"/>
    <x v="4"/>
    <s v="15.04.2011"/>
    <x v="307"/>
    <x v="4"/>
    <x v="1"/>
    <s v=""/>
    <d v="1899-12-30T17:28:20"/>
    <s v=""/>
    <s v=""/>
    <d v="1899-12-30T10:00:00"/>
    <s v=""/>
    <s v=""/>
    <s v=""/>
  </r>
  <r>
    <x v="53"/>
    <x v="53"/>
    <x v="4"/>
    <s v="15.04.2011"/>
    <x v="307"/>
    <x v="4"/>
    <x v="1"/>
    <d v="1899-12-30T07:06:38"/>
    <s v=""/>
    <s v=""/>
    <s v=""/>
    <d v="1899-12-30T00:00:00"/>
    <s v=""/>
    <s v=""/>
    <s v=""/>
  </r>
  <r>
    <x v="54"/>
    <x v="54"/>
    <x v="0"/>
    <s v="11.04.2011"/>
    <x v="308"/>
    <x v="0"/>
    <x v="4"/>
    <s v=""/>
    <d v="1899-12-30T15:11:16"/>
    <s v=""/>
    <s v=""/>
    <d v="1899-12-30T07:30:00"/>
    <s v=""/>
    <s v=""/>
    <s v=""/>
  </r>
  <r>
    <x v="54"/>
    <x v="54"/>
    <x v="0"/>
    <s v="11.04.2011"/>
    <x v="308"/>
    <x v="0"/>
    <x v="4"/>
    <d v="1899-12-30T07:05:55"/>
    <s v=""/>
    <s v=""/>
    <s v=""/>
    <d v="1899-12-30T00:00:00"/>
    <s v=""/>
    <s v=""/>
    <s v=""/>
  </r>
  <r>
    <x v="54"/>
    <x v="54"/>
    <x v="1"/>
    <s v="12.04.2011"/>
    <x v="309"/>
    <x v="1"/>
    <x v="4"/>
    <s v=""/>
    <d v="1899-12-30T15:11:47"/>
    <s v=""/>
    <s v=""/>
    <d v="1899-12-30T07:30:00"/>
    <s v=""/>
    <s v=""/>
    <s v=""/>
  </r>
  <r>
    <x v="54"/>
    <x v="54"/>
    <x v="1"/>
    <s v="12.04.2011"/>
    <x v="309"/>
    <x v="1"/>
    <x v="4"/>
    <d v="1899-12-30T07:23:35"/>
    <s v=""/>
    <s v=""/>
    <s v=""/>
    <d v="1899-12-30T00:00:00"/>
    <s v=""/>
    <s v=""/>
    <s v=""/>
  </r>
  <r>
    <x v="54"/>
    <x v="54"/>
    <x v="2"/>
    <s v="13.04.2011"/>
    <x v="310"/>
    <x v="2"/>
    <x v="4"/>
    <s v=""/>
    <d v="1899-12-30T15:41:56"/>
    <s v=""/>
    <s v=""/>
    <d v="1899-12-30T07:30:00"/>
    <s v=""/>
    <s v=""/>
    <s v=""/>
  </r>
  <r>
    <x v="54"/>
    <x v="54"/>
    <x v="2"/>
    <s v="13.04.2011"/>
    <x v="310"/>
    <x v="2"/>
    <x v="4"/>
    <d v="1899-12-30T07:06:39"/>
    <s v=""/>
    <s v=""/>
    <s v=""/>
    <d v="1899-12-30T00:00:00"/>
    <s v=""/>
    <s v=""/>
    <s v=""/>
  </r>
  <r>
    <x v="54"/>
    <x v="54"/>
    <x v="3"/>
    <s v="14.04.2011"/>
    <x v="311"/>
    <x v="3"/>
    <x v="4"/>
    <s v=""/>
    <d v="1899-12-30T15:11:31"/>
    <s v=""/>
    <s v=""/>
    <d v="1899-12-30T07:30:00"/>
    <s v=""/>
    <s v=""/>
    <s v=""/>
  </r>
  <r>
    <x v="54"/>
    <x v="54"/>
    <x v="3"/>
    <s v="14.04.2011"/>
    <x v="311"/>
    <x v="3"/>
    <x v="4"/>
    <d v="1899-12-30T07:06:58"/>
    <s v=""/>
    <s v=""/>
    <s v=""/>
    <d v="1899-12-30T00:00:00"/>
    <s v=""/>
    <s v=""/>
    <s v=""/>
  </r>
  <r>
    <x v="54"/>
    <x v="54"/>
    <x v="4"/>
    <s v="15.04.2011"/>
    <x v="312"/>
    <x v="4"/>
    <x v="4"/>
    <s v=""/>
    <d v="1899-12-30T15:39:02"/>
    <s v=""/>
    <s v=""/>
    <d v="1899-12-30T07:30:00"/>
    <s v=""/>
    <s v=""/>
    <s v=""/>
  </r>
  <r>
    <x v="54"/>
    <x v="54"/>
    <x v="4"/>
    <s v="15.04.2011"/>
    <x v="312"/>
    <x v="4"/>
    <x v="4"/>
    <d v="1899-12-30T07:07:01"/>
    <s v=""/>
    <s v=""/>
    <s v=""/>
    <d v="1899-12-30T00:00:00"/>
    <s v=""/>
    <s v=""/>
    <s v=""/>
  </r>
  <r>
    <x v="54"/>
    <x v="54"/>
    <x v="5"/>
    <s v="16.04.2011"/>
    <x v="313"/>
    <x v="5"/>
    <x v="4"/>
    <s v=""/>
    <d v="1899-12-30T15:05:25"/>
    <s v=""/>
    <s v=""/>
    <d v="1899-12-30T07:30:00"/>
    <s v=""/>
    <s v=""/>
    <s v=""/>
  </r>
  <r>
    <x v="54"/>
    <x v="54"/>
    <x v="5"/>
    <s v="16.04.2011"/>
    <x v="313"/>
    <x v="5"/>
    <x v="4"/>
    <d v="1899-12-30T07:04:35"/>
    <s v=""/>
    <s v=""/>
    <s v=""/>
    <d v="1899-12-30T00:00:00"/>
    <s v=""/>
    <s v=""/>
    <s v=""/>
  </r>
  <r>
    <x v="55"/>
    <x v="55"/>
    <x v="0"/>
    <s v="11.04.2011"/>
    <x v="314"/>
    <x v="0"/>
    <x v="4"/>
    <s v=""/>
    <d v="1899-12-30T15:24:12"/>
    <s v=""/>
    <s v=""/>
    <d v="1899-12-30T07:30:00"/>
    <s v=""/>
    <s v=""/>
    <s v=""/>
  </r>
  <r>
    <x v="55"/>
    <x v="55"/>
    <x v="0"/>
    <s v="11.04.2011"/>
    <x v="314"/>
    <x v="0"/>
    <x v="4"/>
    <d v="1899-12-30T07:05:26"/>
    <s v=""/>
    <s v=""/>
    <s v=""/>
    <d v="1899-12-30T00:00:00"/>
    <s v=""/>
    <s v=""/>
    <s v=""/>
  </r>
  <r>
    <x v="55"/>
    <x v="55"/>
    <x v="1"/>
    <s v="12.04.2011"/>
    <x v="315"/>
    <x v="1"/>
    <x v="4"/>
    <s v=""/>
    <d v="1899-12-30T15:20:56"/>
    <s v=""/>
    <s v=""/>
    <d v="1899-12-30T07:30:00"/>
    <s v=""/>
    <s v=""/>
    <s v=""/>
  </r>
  <r>
    <x v="55"/>
    <x v="55"/>
    <x v="1"/>
    <s v="12.04.2011"/>
    <x v="315"/>
    <x v="1"/>
    <x v="4"/>
    <d v="1899-12-30T07:07:02"/>
    <s v=""/>
    <s v=""/>
    <s v=""/>
    <d v="1899-12-30T00:00:00"/>
    <s v=""/>
    <s v=""/>
    <s v=""/>
  </r>
  <r>
    <x v="55"/>
    <x v="55"/>
    <x v="2"/>
    <s v="13.04.2011"/>
    <x v="316"/>
    <x v="2"/>
    <x v="4"/>
    <s v=""/>
    <d v="1899-12-30T15:17:12"/>
    <s v=""/>
    <s v=""/>
    <d v="1899-12-30T07:30:00"/>
    <s v=""/>
    <s v=""/>
    <s v=""/>
  </r>
  <r>
    <x v="55"/>
    <x v="55"/>
    <x v="2"/>
    <s v="13.04.2011"/>
    <x v="316"/>
    <x v="2"/>
    <x v="4"/>
    <d v="1899-12-30T07:06:49"/>
    <s v=""/>
    <s v=""/>
    <s v=""/>
    <d v="1899-12-30T00:00:00"/>
    <s v=""/>
    <s v=""/>
    <s v=""/>
  </r>
  <r>
    <x v="55"/>
    <x v="55"/>
    <x v="3"/>
    <s v="14.04.2011"/>
    <x v="317"/>
    <x v="3"/>
    <x v="4"/>
    <s v=""/>
    <d v="1899-12-30T15:24:52"/>
    <s v=""/>
    <s v=""/>
    <d v="1899-12-30T07:30:00"/>
    <s v=""/>
    <s v=""/>
    <s v=""/>
  </r>
  <r>
    <x v="55"/>
    <x v="55"/>
    <x v="3"/>
    <s v="14.04.2011"/>
    <x v="317"/>
    <x v="3"/>
    <x v="4"/>
    <d v="1899-12-30T07:07:18"/>
    <s v=""/>
    <s v=""/>
    <s v=""/>
    <d v="1899-12-30T00:00:00"/>
    <s v=""/>
    <s v=""/>
    <s v=""/>
  </r>
  <r>
    <x v="55"/>
    <x v="55"/>
    <x v="4"/>
    <s v="15.04.2011"/>
    <x v="318"/>
    <x v="4"/>
    <x v="4"/>
    <s v=""/>
    <d v="1899-12-30T16:42:38"/>
    <d v="1899-12-30T01:00:00"/>
    <s v=""/>
    <d v="1899-12-30T07:30:00"/>
    <s v=""/>
    <s v=""/>
    <s v=""/>
  </r>
  <r>
    <x v="55"/>
    <x v="55"/>
    <x v="4"/>
    <s v="15.04.2011"/>
    <x v="318"/>
    <x v="4"/>
    <x v="4"/>
    <d v="1899-12-30T07:06:50"/>
    <s v=""/>
    <s v=""/>
    <s v=""/>
    <d v="1899-12-30T00:00:00"/>
    <s v=""/>
    <s v=""/>
    <s v=""/>
  </r>
  <r>
    <x v="55"/>
    <x v="55"/>
    <x v="5"/>
    <s v="16.04.2011"/>
    <x v="319"/>
    <x v="5"/>
    <x v="4"/>
    <s v=""/>
    <d v="1899-12-30T15:16:51"/>
    <s v=""/>
    <s v=""/>
    <d v="1899-12-30T07:30:00"/>
    <s v=""/>
    <s v=""/>
    <s v=""/>
  </r>
  <r>
    <x v="55"/>
    <x v="55"/>
    <x v="5"/>
    <s v="16.04.2011"/>
    <x v="319"/>
    <x v="5"/>
    <x v="4"/>
    <d v="1899-12-30T07:14:17"/>
    <s v=""/>
    <s v=""/>
    <s v=""/>
    <d v="1899-12-30T00:00:00"/>
    <s v=""/>
    <s v=""/>
    <s v=""/>
  </r>
  <r>
    <x v="56"/>
    <x v="56"/>
    <x v="0"/>
    <s v="11.04.2011"/>
    <x v="320"/>
    <x v="0"/>
    <x v="2"/>
    <s v=""/>
    <d v="1899-12-30T15:19:37"/>
    <s v=""/>
    <s v=""/>
    <s v=""/>
    <s v=""/>
    <s v=""/>
    <s v=""/>
  </r>
  <r>
    <x v="56"/>
    <x v="56"/>
    <x v="0"/>
    <s v="11.04.2011"/>
    <x v="320"/>
    <x v="0"/>
    <x v="2"/>
    <d v="1899-12-30T07:07:06"/>
    <s v=""/>
    <s v=""/>
    <s v=""/>
    <d v="1899-12-30T00:00:00"/>
    <s v=""/>
    <s v=""/>
    <s v=""/>
  </r>
  <r>
    <x v="56"/>
    <x v="56"/>
    <x v="1"/>
    <s v="12.04.2011"/>
    <x v="321"/>
    <x v="1"/>
    <x v="2"/>
    <s v=""/>
    <d v="1899-12-30T15:25:45"/>
    <s v=""/>
    <s v=""/>
    <s v=""/>
    <s v=""/>
    <s v=""/>
    <s v=""/>
  </r>
  <r>
    <x v="56"/>
    <x v="56"/>
    <x v="1"/>
    <s v="12.04.2011"/>
    <x v="321"/>
    <x v="1"/>
    <x v="2"/>
    <d v="1899-12-30T07:05:00"/>
    <s v=""/>
    <s v=""/>
    <s v=""/>
    <d v="1899-12-30T00:00:00"/>
    <s v=""/>
    <s v=""/>
    <s v=""/>
  </r>
  <r>
    <x v="56"/>
    <x v="56"/>
    <x v="2"/>
    <s v="13.04.2011"/>
    <x v="322"/>
    <x v="2"/>
    <x v="2"/>
    <s v=""/>
    <d v="1899-12-30T15:28:15"/>
    <s v=""/>
    <s v=""/>
    <s v=""/>
    <s v=""/>
    <s v=""/>
    <s v=""/>
  </r>
  <r>
    <x v="56"/>
    <x v="56"/>
    <x v="2"/>
    <s v="13.04.2011"/>
    <x v="322"/>
    <x v="2"/>
    <x v="2"/>
    <d v="1899-12-30T07:04:24"/>
    <s v=""/>
    <s v=""/>
    <s v=""/>
    <d v="1899-12-30T00:00:00"/>
    <s v=""/>
    <s v=""/>
    <s v=""/>
  </r>
  <r>
    <x v="56"/>
    <x v="56"/>
    <x v="3"/>
    <s v="14.04.2011"/>
    <x v="323"/>
    <x v="3"/>
    <x v="2"/>
    <s v=""/>
    <d v="1899-12-30T15:27:20"/>
    <s v=""/>
    <s v=""/>
    <s v=""/>
    <s v=""/>
    <s v=""/>
    <s v=""/>
  </r>
  <r>
    <x v="56"/>
    <x v="56"/>
    <x v="3"/>
    <s v="14.04.2011"/>
    <x v="323"/>
    <x v="3"/>
    <x v="2"/>
    <d v="1899-12-30T07:03:40"/>
    <s v=""/>
    <s v=""/>
    <s v=""/>
    <d v="1899-12-30T00:00:00"/>
    <s v=""/>
    <s v=""/>
    <s v=""/>
  </r>
  <r>
    <x v="56"/>
    <x v="56"/>
    <x v="4"/>
    <s v="15.04.2011"/>
    <x v="324"/>
    <x v="4"/>
    <x v="2"/>
    <s v=""/>
    <d v="1899-12-30T15:27:02"/>
    <s v=""/>
    <s v=""/>
    <s v=""/>
    <s v=""/>
    <s v=""/>
    <s v=""/>
  </r>
  <r>
    <x v="56"/>
    <x v="56"/>
    <x v="4"/>
    <s v="15.04.2011"/>
    <x v="324"/>
    <x v="4"/>
    <x v="2"/>
    <d v="1899-12-30T07:04:55"/>
    <s v=""/>
    <s v=""/>
    <s v=""/>
    <d v="1899-12-30T00:00:00"/>
    <s v=""/>
    <s v=""/>
    <s v=""/>
  </r>
  <r>
    <x v="56"/>
    <x v="56"/>
    <x v="5"/>
    <s v="16.04.2011"/>
    <x v="325"/>
    <x v="5"/>
    <x v="2"/>
    <s v=""/>
    <d v="1899-12-30T15:21:28"/>
    <s v=""/>
    <s v=""/>
    <s v=""/>
    <s v=""/>
    <s v=""/>
    <s v=""/>
  </r>
  <r>
    <x v="56"/>
    <x v="56"/>
    <x v="5"/>
    <s v="16.04.2011"/>
    <x v="325"/>
    <x v="5"/>
    <x v="2"/>
    <d v="1899-12-30T07:03:20"/>
    <s v=""/>
    <s v=""/>
    <s v=""/>
    <d v="1899-12-30T00:00:00"/>
    <s v=""/>
    <s v=""/>
    <s v=""/>
  </r>
  <r>
    <x v="57"/>
    <x v="57"/>
    <x v="0"/>
    <s v="11.04.2011"/>
    <x v="326"/>
    <x v="0"/>
    <x v="1"/>
    <s v=""/>
    <d v="1899-12-30T18:18:45"/>
    <d v="1899-12-30T01:00:00"/>
    <s v=""/>
    <d v="1899-12-30T10:00:00"/>
    <s v=""/>
    <s v=""/>
    <s v=""/>
  </r>
  <r>
    <x v="57"/>
    <x v="57"/>
    <x v="0"/>
    <s v="11.04.2011"/>
    <x v="326"/>
    <x v="0"/>
    <x v="1"/>
    <d v="1899-12-30T09:02:23"/>
    <s v=""/>
    <s v=""/>
    <s v=""/>
    <d v="1899-12-30T00:00:00"/>
    <s v=""/>
    <s v=""/>
    <s v=""/>
  </r>
  <r>
    <x v="57"/>
    <x v="57"/>
    <x v="1"/>
    <s v="12.04.2011"/>
    <x v="327"/>
    <x v="1"/>
    <x v="1"/>
    <s v=""/>
    <d v="1899-12-30T19:48:30"/>
    <d v="1899-12-30T01:00:00"/>
    <s v=""/>
    <d v="1899-12-30T10:00:00"/>
    <s v=""/>
    <s v=""/>
    <s v=""/>
  </r>
  <r>
    <x v="57"/>
    <x v="57"/>
    <x v="1"/>
    <s v="12.04.2011"/>
    <x v="327"/>
    <x v="1"/>
    <x v="1"/>
    <d v="1899-12-30T08:42:29"/>
    <s v=""/>
    <s v=""/>
    <s v=""/>
    <d v="1899-12-30T00:00:00"/>
    <s v=""/>
    <s v=""/>
    <s v=""/>
  </r>
  <r>
    <x v="57"/>
    <x v="57"/>
    <x v="2"/>
    <s v="13.04.2011"/>
    <x v="328"/>
    <x v="2"/>
    <x v="1"/>
    <s v=""/>
    <d v="1899-12-30T19:39:17"/>
    <d v="1899-12-30T01:00:00"/>
    <s v=""/>
    <d v="1899-12-30T10:00:00"/>
    <s v=""/>
    <s v=""/>
    <s v=""/>
  </r>
  <r>
    <x v="57"/>
    <x v="57"/>
    <x v="2"/>
    <s v="13.04.2011"/>
    <x v="328"/>
    <x v="2"/>
    <x v="1"/>
    <d v="1899-12-30T08:34:29"/>
    <s v=""/>
    <s v=""/>
    <s v=""/>
    <d v="1899-12-30T00:00:00"/>
    <s v=""/>
    <s v=""/>
    <s v=""/>
  </r>
  <r>
    <x v="57"/>
    <x v="57"/>
    <x v="3"/>
    <s v="14.04.2011"/>
    <x v="329"/>
    <x v="3"/>
    <x v="1"/>
    <s v=""/>
    <d v="1899-12-30T19:10:00"/>
    <d v="1899-12-30T01:00:00"/>
    <s v=""/>
    <d v="1899-12-30T10:00:00"/>
    <s v=""/>
    <s v=""/>
    <s v=""/>
  </r>
  <r>
    <x v="57"/>
    <x v="57"/>
    <x v="3"/>
    <s v="14.04.2011"/>
    <x v="329"/>
    <x v="3"/>
    <x v="1"/>
    <d v="1899-12-30T08:32:10"/>
    <s v=""/>
    <s v=""/>
    <s v=""/>
    <d v="1899-12-30T00:00:00"/>
    <s v=""/>
    <s v=""/>
    <s v=""/>
  </r>
  <r>
    <x v="57"/>
    <x v="57"/>
    <x v="4"/>
    <s v="15.04.2011"/>
    <x v="330"/>
    <x v="4"/>
    <x v="1"/>
    <s v=""/>
    <d v="1899-12-30T18:07:31"/>
    <d v="1899-12-30T01:00:00"/>
    <s v=""/>
    <d v="1899-12-30T10:00:00"/>
    <s v=""/>
    <s v=""/>
    <s v=""/>
  </r>
  <r>
    <x v="57"/>
    <x v="57"/>
    <x v="4"/>
    <s v="15.04.2011"/>
    <x v="330"/>
    <x v="4"/>
    <x v="1"/>
    <d v="1899-12-30T08:50:18"/>
    <s v=""/>
    <s v=""/>
    <s v=""/>
    <d v="1899-12-30T00:00:00"/>
    <s v=""/>
    <s v=""/>
    <s v=""/>
  </r>
  <r>
    <x v="58"/>
    <x v="58"/>
    <x v="0"/>
    <s v="11.04.2011"/>
    <x v="331"/>
    <x v="0"/>
    <x v="3"/>
    <s v=""/>
    <d v="1899-12-30T08:01:10"/>
    <s v=""/>
    <d v="1899-12-30T07:30:00"/>
    <d v="1899-12-30T09:00:00"/>
    <d v="1899-12-30T07:30:00"/>
    <s v=""/>
    <s v=""/>
  </r>
  <r>
    <x v="58"/>
    <x v="58"/>
    <x v="1"/>
    <s v="11.04.2011"/>
    <x v="332"/>
    <x v="1"/>
    <x v="3"/>
    <d v="1899-12-30T00:15:11"/>
    <s v=""/>
    <s v=""/>
    <s v=""/>
    <d v="1899-12-30T09:00:00"/>
    <s v=""/>
    <s v=""/>
    <s v=""/>
  </r>
  <r>
    <x v="58"/>
    <x v="58"/>
    <x v="1"/>
    <s v="11.04.2011"/>
    <x v="332"/>
    <x v="1"/>
    <x v="3"/>
    <d v="1899-12-30T21:57:42"/>
    <s v=""/>
    <s v=""/>
    <s v=""/>
    <d v="1899-12-30T00:00:00"/>
    <s v=""/>
    <s v=""/>
    <s v=""/>
  </r>
  <r>
    <x v="58"/>
    <x v="58"/>
    <x v="1"/>
    <s v="12.04.2011"/>
    <x v="333"/>
    <x v="1"/>
    <x v="3"/>
    <s v=""/>
    <d v="1899-12-30T07:46:56"/>
    <s v=""/>
    <s v=""/>
    <d v="1899-12-30T00:00:00"/>
    <s v=""/>
    <s v=""/>
    <s v=""/>
  </r>
  <r>
    <x v="58"/>
    <x v="58"/>
    <x v="2"/>
    <s v="12.04.2011"/>
    <x v="334"/>
    <x v="2"/>
    <x v="3"/>
    <d v="1899-12-30T22:01:57"/>
    <s v=""/>
    <s v=""/>
    <s v=""/>
    <d v="1899-12-30T09:00:00"/>
    <s v=""/>
    <s v=""/>
    <s v=""/>
  </r>
  <r>
    <x v="58"/>
    <x v="58"/>
    <x v="2"/>
    <s v="13.04.2011"/>
    <x v="334"/>
    <x v="2"/>
    <x v="3"/>
    <s v=""/>
    <d v="1899-12-30T07:51:52"/>
    <s v=""/>
    <s v=""/>
    <d v="1899-12-30T00:00:00"/>
    <s v=""/>
    <s v=""/>
    <s v=""/>
  </r>
  <r>
    <x v="58"/>
    <x v="58"/>
    <x v="3"/>
    <s v="13.04.2011"/>
    <x v="335"/>
    <x v="3"/>
    <x v="3"/>
    <d v="1899-12-30T22:02:29"/>
    <s v=""/>
    <s v=""/>
    <s v=""/>
    <d v="1899-12-30T09:00:00"/>
    <s v=""/>
    <s v=""/>
    <s v=""/>
  </r>
  <r>
    <x v="58"/>
    <x v="58"/>
    <x v="3"/>
    <s v="14.04.2011"/>
    <x v="335"/>
    <x v="3"/>
    <x v="3"/>
    <s v=""/>
    <d v="1899-12-30T07:53:22"/>
    <s v=""/>
    <s v=""/>
    <d v="1899-12-30T00:00:00"/>
    <s v=""/>
    <s v=""/>
    <s v=""/>
  </r>
  <r>
    <x v="58"/>
    <x v="58"/>
    <x v="4"/>
    <s v="14.04.2011"/>
    <x v="336"/>
    <x v="4"/>
    <x v="3"/>
    <d v="1899-12-30T21:56:51"/>
    <s v=""/>
    <s v=""/>
    <s v=""/>
    <d v="1899-12-30T09:00:00"/>
    <s v=""/>
    <s v=""/>
    <s v=""/>
  </r>
  <r>
    <x v="58"/>
    <x v="58"/>
    <x v="4"/>
    <s v="15.04.2011"/>
    <x v="336"/>
    <x v="4"/>
    <x v="3"/>
    <s v=""/>
    <d v="1899-12-30T07:48:05"/>
    <s v=""/>
    <s v=""/>
    <d v="1899-12-30T00:00:00"/>
    <s v=""/>
    <s v=""/>
    <s v=""/>
  </r>
  <r>
    <x v="58"/>
    <x v="58"/>
    <x v="5"/>
    <s v="15.04.2011"/>
    <x v="337"/>
    <x v="5"/>
    <x v="3"/>
    <d v="1899-12-30T22:15:12"/>
    <s v=""/>
    <s v=""/>
    <s v=""/>
    <d v="1899-12-30T09:00:00"/>
    <s v=""/>
    <s v=""/>
    <s v=""/>
  </r>
  <r>
    <x v="58"/>
    <x v="58"/>
    <x v="5"/>
    <s v="16.04.2011"/>
    <x v="337"/>
    <x v="5"/>
    <x v="3"/>
    <s v=""/>
    <d v="1899-12-30T07:52:12"/>
    <s v=""/>
    <s v=""/>
    <d v="1899-12-30T00:00:00"/>
    <s v=""/>
    <s v=""/>
    <s v=""/>
  </r>
  <r>
    <x v="59"/>
    <x v="59"/>
    <x v="0"/>
    <s v="11.04.2011"/>
    <x v="338"/>
    <x v="0"/>
    <x v="4"/>
    <s v=""/>
    <d v="1899-12-30T15:10:41"/>
    <s v=""/>
    <s v=""/>
    <d v="1899-12-30T07:30:00"/>
    <s v=""/>
    <s v=""/>
    <s v=""/>
  </r>
  <r>
    <x v="59"/>
    <x v="59"/>
    <x v="0"/>
    <s v="11.04.2011"/>
    <x v="338"/>
    <x v="0"/>
    <x v="4"/>
    <d v="1899-12-30T06:58:38"/>
    <s v=""/>
    <s v=""/>
    <s v=""/>
    <d v="1899-12-30T00:00:00"/>
    <s v=""/>
    <s v=""/>
    <s v=""/>
  </r>
  <r>
    <x v="59"/>
    <x v="59"/>
    <x v="1"/>
    <s v="12.04.2011"/>
    <x v="339"/>
    <x v="1"/>
    <x v="4"/>
    <s v=""/>
    <d v="1899-12-30T15:03:51"/>
    <s v=""/>
    <s v=""/>
    <d v="1899-12-30T07:30:00"/>
    <s v=""/>
    <s v=""/>
    <s v=""/>
  </r>
  <r>
    <x v="59"/>
    <x v="59"/>
    <x v="1"/>
    <s v="12.04.2011"/>
    <x v="339"/>
    <x v="1"/>
    <x v="4"/>
    <d v="1899-12-30T06:58:28"/>
    <s v=""/>
    <s v=""/>
    <s v=""/>
    <d v="1899-12-30T00:00:00"/>
    <s v=""/>
    <s v=""/>
    <s v=""/>
  </r>
  <r>
    <x v="59"/>
    <x v="59"/>
    <x v="2"/>
    <s v="13.04.2011"/>
    <x v="340"/>
    <x v="2"/>
    <x v="4"/>
    <s v=""/>
    <d v="1899-12-30T15:11:28"/>
    <s v=""/>
    <s v=""/>
    <d v="1899-12-30T07:30:00"/>
    <s v=""/>
    <s v=""/>
    <s v=""/>
  </r>
  <r>
    <x v="59"/>
    <x v="59"/>
    <x v="2"/>
    <s v="13.04.2011"/>
    <x v="340"/>
    <x v="2"/>
    <x v="4"/>
    <d v="1899-12-30T06:56:16"/>
    <s v=""/>
    <s v=""/>
    <s v=""/>
    <d v="1899-12-30T00:00:00"/>
    <s v=""/>
    <s v=""/>
    <s v=""/>
  </r>
  <r>
    <x v="59"/>
    <x v="59"/>
    <x v="3"/>
    <s v="14.04.2011"/>
    <x v="341"/>
    <x v="3"/>
    <x v="4"/>
    <s v=""/>
    <d v="1899-12-30T14:57:57"/>
    <s v=""/>
    <s v=""/>
    <d v="1899-12-30T07:30:00"/>
    <s v=""/>
    <s v=""/>
    <s v=""/>
  </r>
  <r>
    <x v="59"/>
    <x v="59"/>
    <x v="3"/>
    <s v="14.04.2011"/>
    <x v="341"/>
    <x v="3"/>
    <x v="4"/>
    <d v="1899-12-30T07:10:32"/>
    <s v=""/>
    <s v=""/>
    <s v=""/>
    <d v="1899-12-30T00:00:00"/>
    <s v=""/>
    <s v=""/>
    <s v=""/>
  </r>
  <r>
    <x v="59"/>
    <x v="59"/>
    <x v="4"/>
    <s v="15.04.2011"/>
    <x v="342"/>
    <x v="4"/>
    <x v="4"/>
    <s v=""/>
    <d v="1899-12-30T15:14:40"/>
    <s v=""/>
    <s v=""/>
    <d v="1899-12-30T07:30:00"/>
    <s v=""/>
    <s v=""/>
    <s v=""/>
  </r>
  <r>
    <x v="59"/>
    <x v="59"/>
    <x v="4"/>
    <s v="15.04.2011"/>
    <x v="342"/>
    <x v="4"/>
    <x v="4"/>
    <d v="1899-12-30T07:01:54"/>
    <s v=""/>
    <s v=""/>
    <s v=""/>
    <d v="1899-12-30T00:00:00"/>
    <s v=""/>
    <s v=""/>
    <s v=""/>
  </r>
  <r>
    <x v="59"/>
    <x v="59"/>
    <x v="5"/>
    <s v="16.04.2011"/>
    <x v="343"/>
    <x v="5"/>
    <x v="4"/>
    <s v=""/>
    <d v="1899-12-30T15:02:43"/>
    <s v=""/>
    <s v=""/>
    <d v="1899-12-30T07:30:00"/>
    <s v=""/>
    <s v=""/>
    <s v=""/>
  </r>
  <r>
    <x v="59"/>
    <x v="59"/>
    <x v="5"/>
    <s v="16.04.2011"/>
    <x v="343"/>
    <x v="5"/>
    <x v="4"/>
    <d v="1899-12-30T06:59:36"/>
    <s v=""/>
    <s v=""/>
    <s v=""/>
    <d v="1899-12-30T00:00:00"/>
    <s v=""/>
    <s v=""/>
    <s v=""/>
  </r>
  <r>
    <x v="60"/>
    <x v="60"/>
    <x v="0"/>
    <s v="11.04.2011"/>
    <x v="344"/>
    <x v="0"/>
    <x v="1"/>
    <s v=""/>
    <d v="1899-12-30T08:24:27"/>
    <s v=""/>
    <d v="1899-12-30T07:30:00"/>
    <d v="1899-12-30T10:00:00"/>
    <d v="1899-12-30T07:30:00"/>
    <s v=""/>
    <s v=""/>
  </r>
  <r>
    <x v="60"/>
    <x v="60"/>
    <x v="0"/>
    <s v="11.04.2011"/>
    <x v="344"/>
    <x v="0"/>
    <x v="1"/>
    <d v="1899-12-30T00:05:49"/>
    <s v=""/>
    <s v=""/>
    <s v=""/>
    <d v="1899-12-30T00:00:00"/>
    <s v=""/>
    <s v=""/>
    <s v=""/>
  </r>
  <r>
    <x v="60"/>
    <x v="60"/>
    <x v="1"/>
    <s v="12.04.2011"/>
    <x v="345"/>
    <x v="1"/>
    <x v="1"/>
    <s v=""/>
    <d v="1899-12-30T19:39:19"/>
    <s v=""/>
    <s v=""/>
    <d v="1899-12-30T10:00:00"/>
    <s v=""/>
    <s v=""/>
    <s v=""/>
  </r>
  <r>
    <x v="60"/>
    <x v="60"/>
    <x v="1"/>
    <s v="12.04.2011"/>
    <x v="345"/>
    <x v="1"/>
    <x v="1"/>
    <d v="1899-12-30T07:34:44"/>
    <s v=""/>
    <s v=""/>
    <s v=""/>
    <d v="1899-12-30T00:00:00"/>
    <s v=""/>
    <s v=""/>
    <s v=""/>
  </r>
  <r>
    <x v="60"/>
    <x v="60"/>
    <x v="2"/>
    <s v="13.04.2011"/>
    <x v="346"/>
    <x v="2"/>
    <x v="1"/>
    <s v=""/>
    <d v="1899-12-30T20:29:33"/>
    <s v=""/>
    <s v=""/>
    <d v="1899-12-30T10:00:00"/>
    <s v=""/>
    <s v=""/>
    <s v=""/>
  </r>
  <r>
    <x v="60"/>
    <x v="60"/>
    <x v="2"/>
    <s v="13.04.2011"/>
    <x v="346"/>
    <x v="2"/>
    <x v="1"/>
    <d v="1899-12-30T07:33:44"/>
    <s v=""/>
    <s v=""/>
    <s v=""/>
    <d v="1899-12-30T00:00:00"/>
    <s v=""/>
    <s v=""/>
    <s v=""/>
  </r>
  <r>
    <x v="60"/>
    <x v="60"/>
    <x v="3"/>
    <s v="14.04.2011"/>
    <x v="347"/>
    <x v="3"/>
    <x v="1"/>
    <d v="1899-12-30T07:35:27"/>
    <s v=""/>
    <s v=""/>
    <s v=""/>
    <d v="1899-12-30T10:00:00"/>
    <s v=""/>
    <s v=""/>
    <s v=""/>
  </r>
  <r>
    <x v="60"/>
    <x v="60"/>
    <x v="3"/>
    <s v="14.04.2011"/>
    <x v="347"/>
    <x v="3"/>
    <x v="1"/>
    <d v="1899-12-30T18:04:33"/>
    <s v=""/>
    <s v=""/>
    <s v=""/>
    <d v="1899-12-30T00:00:00"/>
    <s v=""/>
    <s v=""/>
    <s v=""/>
  </r>
  <r>
    <x v="60"/>
    <x v="60"/>
    <x v="4"/>
    <s v="15.04.2011"/>
    <x v="348"/>
    <x v="4"/>
    <x v="1"/>
    <s v=""/>
    <d v="1899-12-30T16:08:13"/>
    <s v=""/>
    <s v=""/>
    <d v="1899-12-30T10:00:00"/>
    <s v=""/>
    <s v=""/>
    <s v=""/>
  </r>
  <r>
    <x v="60"/>
    <x v="60"/>
    <x v="4"/>
    <s v="15.04.2011"/>
    <x v="348"/>
    <x v="4"/>
    <x v="1"/>
    <d v="1899-12-30T07:29:44"/>
    <s v=""/>
    <s v=""/>
    <s v=""/>
    <d v="1899-12-30T00:00:00"/>
    <s v=""/>
    <s v=""/>
    <s v=""/>
  </r>
  <r>
    <x v="61"/>
    <x v="61"/>
    <x v="0"/>
    <s v="11.04.2011"/>
    <x v="349"/>
    <x v="0"/>
    <x v="4"/>
    <s v=""/>
    <d v="1899-12-30T15:22:55"/>
    <s v=""/>
    <s v=""/>
    <d v="1899-12-30T07:30:00"/>
    <s v=""/>
    <s v=""/>
    <s v=""/>
  </r>
  <r>
    <x v="61"/>
    <x v="61"/>
    <x v="0"/>
    <s v="11.04.2011"/>
    <x v="349"/>
    <x v="0"/>
    <x v="4"/>
    <d v="1899-12-30T06:58:41"/>
    <s v=""/>
    <s v=""/>
    <s v=""/>
    <d v="1899-12-30T00:00:00"/>
    <s v=""/>
    <s v=""/>
    <s v=""/>
  </r>
  <r>
    <x v="61"/>
    <x v="61"/>
    <x v="1"/>
    <s v="12.04.2011"/>
    <x v="350"/>
    <x v="1"/>
    <x v="4"/>
    <s v=""/>
    <d v="1899-12-30T15:19:00"/>
    <s v=""/>
    <s v=""/>
    <d v="1899-12-30T07:30:00"/>
    <s v=""/>
    <s v=""/>
    <s v=""/>
  </r>
  <r>
    <x v="61"/>
    <x v="61"/>
    <x v="1"/>
    <s v="12.04.2011"/>
    <x v="350"/>
    <x v="1"/>
    <x v="4"/>
    <d v="1899-12-30T08:30:26"/>
    <s v=""/>
    <s v=""/>
    <s v=""/>
    <d v="1899-12-30T00:00:00"/>
    <s v=""/>
    <s v=""/>
    <s v=""/>
  </r>
  <r>
    <x v="61"/>
    <x v="61"/>
    <x v="2"/>
    <s v="13.04.2011"/>
    <x v="351"/>
    <x v="2"/>
    <x v="4"/>
    <s v=""/>
    <d v="1899-12-30T15:26:09"/>
    <s v=""/>
    <s v=""/>
    <d v="1899-12-30T07:30:00"/>
    <s v=""/>
    <s v=""/>
    <s v=""/>
  </r>
  <r>
    <x v="61"/>
    <x v="61"/>
    <x v="2"/>
    <s v="13.04.2011"/>
    <x v="351"/>
    <x v="2"/>
    <x v="4"/>
    <d v="1899-12-30T07:06:11"/>
    <s v=""/>
    <s v=""/>
    <s v=""/>
    <d v="1899-12-30T00:00:00"/>
    <s v=""/>
    <s v=""/>
    <s v=""/>
  </r>
  <r>
    <x v="61"/>
    <x v="61"/>
    <x v="3"/>
    <s v="14.04.2011"/>
    <x v="352"/>
    <x v="3"/>
    <x v="4"/>
    <s v=""/>
    <d v="1899-12-30T15:12:07"/>
    <s v=""/>
    <s v=""/>
    <d v="1899-12-30T07:30:00"/>
    <s v=""/>
    <s v=""/>
    <s v=""/>
  </r>
  <r>
    <x v="61"/>
    <x v="61"/>
    <x v="3"/>
    <s v="14.04.2011"/>
    <x v="352"/>
    <x v="3"/>
    <x v="4"/>
    <d v="1899-12-30T07:11:54"/>
    <s v=""/>
    <s v=""/>
    <s v=""/>
    <d v="1899-12-30T00:00:00"/>
    <s v=""/>
    <s v=""/>
    <s v=""/>
  </r>
  <r>
    <x v="61"/>
    <x v="61"/>
    <x v="4"/>
    <s v="15.04.2011"/>
    <x v="353"/>
    <x v="4"/>
    <x v="4"/>
    <s v=""/>
    <d v="1899-12-30T15:20:13"/>
    <s v=""/>
    <s v=""/>
    <d v="1899-12-30T07:30:00"/>
    <s v=""/>
    <s v=""/>
    <s v=""/>
  </r>
  <r>
    <x v="61"/>
    <x v="61"/>
    <x v="4"/>
    <s v="15.04.2011"/>
    <x v="353"/>
    <x v="4"/>
    <x v="4"/>
    <d v="1899-12-30T07:07:35"/>
    <s v=""/>
    <s v=""/>
    <s v=""/>
    <d v="1899-12-30T00:00:00"/>
    <s v=""/>
    <s v=""/>
    <s v=""/>
  </r>
  <r>
    <x v="61"/>
    <x v="61"/>
    <x v="5"/>
    <s v="16.04.2011"/>
    <x v="354"/>
    <x v="5"/>
    <x v="4"/>
    <s v=""/>
    <d v="1899-12-30T15:02:52"/>
    <s v=""/>
    <s v=""/>
    <d v="1899-12-30T07:30:00"/>
    <s v=""/>
    <s v=""/>
    <s v=""/>
  </r>
  <r>
    <x v="61"/>
    <x v="61"/>
    <x v="5"/>
    <s v="16.04.2011"/>
    <x v="354"/>
    <x v="5"/>
    <x v="4"/>
    <d v="1899-12-30T07:04:07"/>
    <s v=""/>
    <s v=""/>
    <s v=""/>
    <d v="1899-12-30T00:00:00"/>
    <s v=""/>
    <s v=""/>
    <s v=""/>
  </r>
  <r>
    <x v="62"/>
    <x v="62"/>
    <x v="0"/>
    <s v="11.04.2011"/>
    <x v="355"/>
    <x v="0"/>
    <x v="0"/>
    <s v=""/>
    <d v="1899-12-30T22:37:12"/>
    <s v=""/>
    <s v=""/>
    <d v="1899-12-30T07:30:00"/>
    <s v=""/>
    <s v=""/>
    <s v=""/>
  </r>
  <r>
    <x v="62"/>
    <x v="62"/>
    <x v="0"/>
    <s v="11.04.2011"/>
    <x v="355"/>
    <x v="0"/>
    <x v="0"/>
    <d v="1899-12-30T14:36:54"/>
    <s v=""/>
    <s v=""/>
    <s v=""/>
    <d v="1899-12-30T00:00:00"/>
    <s v=""/>
    <s v=""/>
    <s v=""/>
  </r>
  <r>
    <x v="62"/>
    <x v="62"/>
    <x v="1"/>
    <s v="12.04.2011"/>
    <x v="356"/>
    <x v="1"/>
    <x v="0"/>
    <s v=""/>
    <d v="1899-12-30T22:41:38"/>
    <s v=""/>
    <s v=""/>
    <d v="1899-12-30T07:30:00"/>
    <s v=""/>
    <s v=""/>
    <s v=""/>
  </r>
  <r>
    <x v="62"/>
    <x v="62"/>
    <x v="1"/>
    <s v="12.04.2011"/>
    <x v="356"/>
    <x v="1"/>
    <x v="0"/>
    <d v="1899-12-30T14:31:17"/>
    <s v=""/>
    <s v=""/>
    <s v=""/>
    <d v="1899-12-30T00:00:00"/>
    <s v=""/>
    <s v=""/>
    <s v=""/>
  </r>
  <r>
    <x v="62"/>
    <x v="62"/>
    <x v="2"/>
    <s v="13.04.2011"/>
    <x v="357"/>
    <x v="2"/>
    <x v="0"/>
    <s v=""/>
    <d v="1899-12-30T22:38:39"/>
    <s v=""/>
    <s v=""/>
    <d v="1899-12-30T07:30:00"/>
    <s v=""/>
    <s v=""/>
    <s v=""/>
  </r>
  <r>
    <x v="62"/>
    <x v="62"/>
    <x v="2"/>
    <s v="13.04.2011"/>
    <x v="357"/>
    <x v="2"/>
    <x v="0"/>
    <d v="1899-12-30T14:35:28"/>
    <s v=""/>
    <s v=""/>
    <s v=""/>
    <d v="1899-12-30T00:00:00"/>
    <s v=""/>
    <s v=""/>
    <s v=""/>
  </r>
  <r>
    <x v="62"/>
    <x v="62"/>
    <x v="3"/>
    <s v="14.04.2011"/>
    <x v="358"/>
    <x v="3"/>
    <x v="0"/>
    <s v=""/>
    <d v="1899-12-30T22:35:08"/>
    <s v=""/>
    <s v=""/>
    <d v="1899-12-30T07:30:00"/>
    <s v=""/>
    <s v=""/>
    <s v=""/>
  </r>
  <r>
    <x v="62"/>
    <x v="62"/>
    <x v="3"/>
    <s v="14.04.2011"/>
    <x v="358"/>
    <x v="3"/>
    <x v="0"/>
    <d v="1899-12-30T14:34:09"/>
    <s v=""/>
    <s v=""/>
    <s v=""/>
    <d v="1899-12-30T00:00:00"/>
    <s v=""/>
    <s v=""/>
    <s v=""/>
  </r>
  <r>
    <x v="62"/>
    <x v="62"/>
    <x v="4"/>
    <s v="15.04.2011"/>
    <x v="359"/>
    <x v="4"/>
    <x v="0"/>
    <s v=""/>
    <d v="1899-12-30T22:45:40"/>
    <s v=""/>
    <s v=""/>
    <d v="1899-12-30T07:30:00"/>
    <s v=""/>
    <s v=""/>
    <s v=""/>
  </r>
  <r>
    <x v="62"/>
    <x v="62"/>
    <x v="4"/>
    <s v="15.04.2011"/>
    <x v="359"/>
    <x v="4"/>
    <x v="0"/>
    <d v="1899-12-30T14:32:53"/>
    <s v=""/>
    <s v=""/>
    <s v=""/>
    <d v="1899-12-30T00:00:00"/>
    <s v=""/>
    <s v=""/>
    <s v=""/>
  </r>
  <r>
    <x v="62"/>
    <x v="62"/>
    <x v="5"/>
    <s v="16.04.2011"/>
    <x v="360"/>
    <x v="5"/>
    <x v="0"/>
    <s v=""/>
    <d v="1899-12-30T15:14:08"/>
    <s v=""/>
    <s v=""/>
    <d v="1899-12-30T07:30:00"/>
    <s v=""/>
    <s v=""/>
    <s v=""/>
  </r>
  <r>
    <x v="62"/>
    <x v="62"/>
    <x v="5"/>
    <s v="16.04.2011"/>
    <x v="360"/>
    <x v="5"/>
    <x v="0"/>
    <d v="1899-12-30T07:04:20"/>
    <s v=""/>
    <s v=""/>
    <s v=""/>
    <d v="1899-12-30T00:00:00"/>
    <s v=""/>
    <s v=""/>
    <s v=""/>
  </r>
  <r>
    <x v="63"/>
    <x v="63"/>
    <x v="2"/>
    <s v="13.04.2011"/>
    <x v="361"/>
    <x v="2"/>
    <x v="2"/>
    <s v=""/>
    <d v="1899-12-30T21:00:55"/>
    <s v=""/>
    <s v=""/>
    <s v=""/>
    <s v=""/>
    <s v=""/>
    <s v=""/>
  </r>
  <r>
    <x v="63"/>
    <x v="63"/>
    <x v="2"/>
    <s v="13.04.2011"/>
    <x v="361"/>
    <x v="2"/>
    <x v="2"/>
    <d v="1899-12-30T08:42:33"/>
    <s v=""/>
    <s v=""/>
    <s v=""/>
    <d v="1899-12-30T00:00:00"/>
    <s v=""/>
    <s v=""/>
    <s v=""/>
  </r>
  <r>
    <x v="63"/>
    <x v="63"/>
    <x v="3"/>
    <s v="14.04.2011"/>
    <x v="362"/>
    <x v="3"/>
    <x v="2"/>
    <s v=""/>
    <d v="1899-12-30T18:55:41"/>
    <s v=""/>
    <s v=""/>
    <s v=""/>
    <s v=""/>
    <s v=""/>
    <s v=""/>
  </r>
  <r>
    <x v="63"/>
    <x v="63"/>
    <x v="3"/>
    <s v="14.04.2011"/>
    <x v="362"/>
    <x v="3"/>
    <x v="2"/>
    <d v="1899-12-30T08:29:23"/>
    <s v=""/>
    <s v=""/>
    <s v=""/>
    <d v="1899-12-30T00:00:00"/>
    <s v=""/>
    <s v=""/>
    <s v=""/>
  </r>
  <r>
    <x v="63"/>
    <x v="63"/>
    <x v="4"/>
    <s v="15.04.2011"/>
    <x v="363"/>
    <x v="4"/>
    <x v="2"/>
    <s v=""/>
    <d v="1899-12-30T17:27:32"/>
    <s v=""/>
    <s v=""/>
    <s v=""/>
    <s v=""/>
    <s v=""/>
    <s v=""/>
  </r>
  <r>
    <x v="63"/>
    <x v="63"/>
    <x v="4"/>
    <s v="15.04.2011"/>
    <x v="363"/>
    <x v="4"/>
    <x v="2"/>
    <d v="1899-12-30T08:36:04"/>
    <s v=""/>
    <s v=""/>
    <s v=""/>
    <d v="1899-12-30T00:00:00"/>
    <s v=""/>
    <s v=""/>
    <s v=""/>
  </r>
  <r>
    <x v="64"/>
    <x v="64"/>
    <x v="0"/>
    <s v="11.04.2011"/>
    <x v="364"/>
    <x v="0"/>
    <x v="4"/>
    <s v=""/>
    <d v="1899-12-30T18:37:14"/>
    <d v="1899-12-30T02:00:00"/>
    <s v=""/>
    <d v="1899-12-30T07:30:00"/>
    <s v=""/>
    <s v=""/>
    <s v=""/>
  </r>
  <r>
    <x v="64"/>
    <x v="64"/>
    <x v="0"/>
    <s v="11.04.2011"/>
    <x v="364"/>
    <x v="0"/>
    <x v="4"/>
    <d v="1899-12-30T07:46:36"/>
    <s v=""/>
    <s v=""/>
    <s v=""/>
    <d v="1899-12-30T00:00:00"/>
    <s v=""/>
    <s v=""/>
    <s v=""/>
  </r>
  <r>
    <x v="64"/>
    <x v="64"/>
    <x v="1"/>
    <s v="12.04.2011"/>
    <x v="365"/>
    <x v="1"/>
    <x v="4"/>
    <s v=""/>
    <d v="1899-12-30T18:57:04"/>
    <d v="1899-12-30T02:00:00"/>
    <s v=""/>
    <d v="1899-12-30T07:30:00"/>
    <s v=""/>
    <s v=""/>
    <s v=""/>
  </r>
  <r>
    <x v="64"/>
    <x v="64"/>
    <x v="1"/>
    <s v="12.04.2011"/>
    <x v="365"/>
    <x v="1"/>
    <x v="4"/>
    <d v="1899-12-30T08:02:18"/>
    <s v=""/>
    <s v=""/>
    <s v=""/>
    <d v="1899-12-30T00:00:00"/>
    <s v=""/>
    <s v=""/>
    <s v=""/>
  </r>
  <r>
    <x v="64"/>
    <x v="64"/>
    <x v="2"/>
    <s v="13.04.2011"/>
    <x v="366"/>
    <x v="2"/>
    <x v="4"/>
    <s v=""/>
    <d v="1899-12-30T18:43:23"/>
    <d v="1899-12-30T02:00:00"/>
    <s v=""/>
    <d v="1899-12-30T07:30:00"/>
    <s v=""/>
    <s v=""/>
    <s v=""/>
  </r>
  <r>
    <x v="64"/>
    <x v="64"/>
    <x v="2"/>
    <s v="13.04.2011"/>
    <x v="366"/>
    <x v="2"/>
    <x v="4"/>
    <d v="1899-12-30T08:01:00"/>
    <s v=""/>
    <s v=""/>
    <s v=""/>
    <d v="1899-12-30T00:00:00"/>
    <s v=""/>
    <s v=""/>
    <s v=""/>
  </r>
  <r>
    <x v="64"/>
    <x v="64"/>
    <x v="3"/>
    <s v="14.04.2011"/>
    <x v="367"/>
    <x v="3"/>
    <x v="4"/>
    <s v=""/>
    <d v="1899-12-30T18:50:43"/>
    <d v="1899-12-30T02:00:00"/>
    <s v=""/>
    <d v="1899-12-30T07:30:00"/>
    <s v=""/>
    <s v=""/>
    <s v=""/>
  </r>
  <r>
    <x v="64"/>
    <x v="64"/>
    <x v="3"/>
    <s v="14.04.2011"/>
    <x v="367"/>
    <x v="3"/>
    <x v="4"/>
    <d v="1899-12-30T08:00:21"/>
    <s v=""/>
    <s v=""/>
    <s v=""/>
    <d v="1899-12-30T00:00:00"/>
    <s v=""/>
    <s v=""/>
    <s v=""/>
  </r>
  <r>
    <x v="64"/>
    <x v="64"/>
    <x v="4"/>
    <s v="15.04.2011"/>
    <x v="368"/>
    <x v="4"/>
    <x v="4"/>
    <s v=""/>
    <d v="1899-12-30T18:01:05"/>
    <d v="1899-12-30T02:00:00"/>
    <s v=""/>
    <d v="1899-12-30T07:30:00"/>
    <s v=""/>
    <s v=""/>
    <s v=""/>
  </r>
  <r>
    <x v="64"/>
    <x v="64"/>
    <x v="4"/>
    <s v="15.04.2011"/>
    <x v="368"/>
    <x v="4"/>
    <x v="4"/>
    <d v="1899-12-30T08:03:54"/>
    <s v=""/>
    <s v=""/>
    <s v=""/>
    <d v="1899-12-30T00:00:00"/>
    <s v=""/>
    <s v=""/>
    <s v=""/>
  </r>
  <r>
    <x v="64"/>
    <x v="64"/>
    <x v="5"/>
    <s v="16.04.2011"/>
    <x v="369"/>
    <x v="5"/>
    <x v="4"/>
    <s v=""/>
    <d v="1899-12-30T15:14:28"/>
    <s v=""/>
    <s v=""/>
    <d v="1899-12-30T07:30:00"/>
    <s v=""/>
    <s v=""/>
    <s v=""/>
  </r>
  <r>
    <x v="64"/>
    <x v="64"/>
    <x v="5"/>
    <s v="16.04.2011"/>
    <x v="369"/>
    <x v="5"/>
    <x v="4"/>
    <d v="1899-12-30T07:11:45"/>
    <s v=""/>
    <s v=""/>
    <s v=""/>
    <d v="1899-12-30T00:00:00"/>
    <s v=""/>
    <s v=""/>
    <s v=""/>
  </r>
  <r>
    <x v="65"/>
    <x v="65"/>
    <x v="0"/>
    <s v="11.04.2011"/>
    <x v="370"/>
    <x v="0"/>
    <x v="3"/>
    <s v=""/>
    <d v="1899-12-30T07:28:21"/>
    <s v=""/>
    <d v="1899-12-30T07:30:00"/>
    <d v="1899-12-30T09:00:00"/>
    <d v="1899-12-30T07:30:00"/>
    <s v=""/>
    <s v=""/>
  </r>
  <r>
    <x v="65"/>
    <x v="65"/>
    <x v="1"/>
    <s v="11.04.2011"/>
    <x v="371"/>
    <x v="1"/>
    <x v="3"/>
    <d v="1899-12-30T00:01:33"/>
    <s v=""/>
    <s v=""/>
    <s v=""/>
    <d v="1899-12-30T09:00:00"/>
    <s v=""/>
    <s v=""/>
    <s v=""/>
  </r>
  <r>
    <x v="65"/>
    <x v="65"/>
    <x v="1"/>
    <s v="11.04.2011"/>
    <x v="371"/>
    <x v="1"/>
    <x v="3"/>
    <d v="1899-12-30T22:06:59"/>
    <s v=""/>
    <s v=""/>
    <s v=""/>
    <d v="1899-12-30T00:00:00"/>
    <s v=""/>
    <s v=""/>
    <s v=""/>
  </r>
  <r>
    <x v="65"/>
    <x v="65"/>
    <x v="1"/>
    <s v="12.04.2011"/>
    <x v="372"/>
    <x v="1"/>
    <x v="3"/>
    <s v=""/>
    <d v="1899-12-30T07:33:12"/>
    <s v=""/>
    <s v=""/>
    <d v="1899-12-30T00:00:00"/>
    <s v=""/>
    <s v=""/>
    <s v=""/>
  </r>
  <r>
    <x v="65"/>
    <x v="65"/>
    <x v="2"/>
    <s v="12.04.2011"/>
    <x v="373"/>
    <x v="2"/>
    <x v="3"/>
    <d v="1899-12-30T22:04:34"/>
    <s v=""/>
    <s v=""/>
    <s v=""/>
    <d v="1899-12-30T09:00:00"/>
    <s v=""/>
    <s v=""/>
    <s v=""/>
  </r>
  <r>
    <x v="65"/>
    <x v="65"/>
    <x v="2"/>
    <s v="13.04.2011"/>
    <x v="373"/>
    <x v="2"/>
    <x v="3"/>
    <s v=""/>
    <d v="1899-12-30T07:36:15"/>
    <s v=""/>
    <s v=""/>
    <d v="1899-12-30T00:00:00"/>
    <s v=""/>
    <s v=""/>
    <s v=""/>
  </r>
  <r>
    <x v="65"/>
    <x v="65"/>
    <x v="3"/>
    <s v="13.04.2011"/>
    <x v="374"/>
    <x v="3"/>
    <x v="3"/>
    <d v="1899-12-30T22:07:04"/>
    <s v=""/>
    <s v=""/>
    <s v=""/>
    <d v="1899-12-30T09:00:00"/>
    <s v=""/>
    <s v=""/>
    <s v=""/>
  </r>
  <r>
    <x v="65"/>
    <x v="65"/>
    <x v="3"/>
    <s v="14.04.2011"/>
    <x v="374"/>
    <x v="3"/>
    <x v="3"/>
    <s v=""/>
    <d v="1899-12-30T07:41:46"/>
    <s v=""/>
    <s v=""/>
    <d v="1899-12-30T00:00:00"/>
    <s v=""/>
    <s v=""/>
    <s v=""/>
  </r>
  <r>
    <x v="65"/>
    <x v="65"/>
    <x v="4"/>
    <s v="14.04.2011"/>
    <x v="375"/>
    <x v="4"/>
    <x v="3"/>
    <d v="1899-12-30T22:07:46"/>
    <s v=""/>
    <s v=""/>
    <s v=""/>
    <d v="1899-12-30T09:00:00"/>
    <s v=""/>
    <s v=""/>
    <s v=""/>
  </r>
  <r>
    <x v="65"/>
    <x v="65"/>
    <x v="4"/>
    <s v="15.04.2011"/>
    <x v="375"/>
    <x v="4"/>
    <x v="3"/>
    <s v=""/>
    <d v="1899-12-30T07:36:31"/>
    <s v=""/>
    <s v=""/>
    <d v="1899-12-30T00:00:00"/>
    <s v=""/>
    <s v=""/>
    <s v=""/>
  </r>
  <r>
    <x v="65"/>
    <x v="65"/>
    <x v="5"/>
    <s v="15.04.2011"/>
    <x v="376"/>
    <x v="5"/>
    <x v="3"/>
    <d v="1899-12-30T22:06:28"/>
    <s v=""/>
    <s v=""/>
    <s v=""/>
    <d v="1899-12-30T09:00:00"/>
    <s v=""/>
    <s v=""/>
    <s v=""/>
  </r>
  <r>
    <x v="65"/>
    <x v="65"/>
    <x v="5"/>
    <s v="16.04.2011"/>
    <x v="376"/>
    <x v="5"/>
    <x v="3"/>
    <s v=""/>
    <d v="1899-12-30T07:46:39"/>
    <s v=""/>
    <s v=""/>
    <d v="1899-12-30T00:00:00"/>
    <s v=""/>
    <s v=""/>
    <s v=""/>
  </r>
  <r>
    <x v="66"/>
    <x v="66"/>
    <x v="0"/>
    <s v="11.04.2011"/>
    <x v="377"/>
    <x v="0"/>
    <x v="2"/>
    <s v=""/>
    <d v="1899-12-30T14:59:01"/>
    <s v=""/>
    <s v=""/>
    <s v=""/>
    <s v=""/>
    <s v=""/>
    <s v=""/>
  </r>
  <r>
    <x v="66"/>
    <x v="66"/>
    <x v="0"/>
    <s v="11.04.2011"/>
    <x v="377"/>
    <x v="0"/>
    <x v="2"/>
    <d v="1899-12-30T07:16:25"/>
    <s v=""/>
    <s v=""/>
    <s v=""/>
    <d v="1899-12-30T00:00:00"/>
    <s v=""/>
    <s v=""/>
    <s v=""/>
  </r>
  <r>
    <x v="66"/>
    <x v="66"/>
    <x v="1"/>
    <s v="12.04.2011"/>
    <x v="378"/>
    <x v="1"/>
    <x v="2"/>
    <s v=""/>
    <d v="1899-12-30T15:04:17"/>
    <s v=""/>
    <s v=""/>
    <s v=""/>
    <s v=""/>
    <s v=""/>
    <s v=""/>
  </r>
  <r>
    <x v="66"/>
    <x v="66"/>
    <x v="1"/>
    <s v="12.04.2011"/>
    <x v="378"/>
    <x v="1"/>
    <x v="2"/>
    <d v="1899-12-30T07:23:49"/>
    <s v=""/>
    <s v=""/>
    <s v=""/>
    <d v="1899-12-30T00:00:00"/>
    <s v=""/>
    <s v=""/>
    <s v=""/>
  </r>
  <r>
    <x v="66"/>
    <x v="66"/>
    <x v="2"/>
    <s v="13.04.2011"/>
    <x v="379"/>
    <x v="2"/>
    <x v="2"/>
    <s v=""/>
    <d v="1899-12-30T15:11:22"/>
    <s v=""/>
    <s v=""/>
    <s v=""/>
    <s v=""/>
    <s v=""/>
    <s v=""/>
  </r>
  <r>
    <x v="66"/>
    <x v="66"/>
    <x v="2"/>
    <s v="13.04.2011"/>
    <x v="379"/>
    <x v="2"/>
    <x v="2"/>
    <d v="1899-12-30T07:20:00"/>
    <s v=""/>
    <s v=""/>
    <s v=""/>
    <d v="1899-12-30T00:00:00"/>
    <s v=""/>
    <s v=""/>
    <s v=""/>
  </r>
  <r>
    <x v="66"/>
    <x v="66"/>
    <x v="3"/>
    <s v="14.04.2011"/>
    <x v="380"/>
    <x v="3"/>
    <x v="2"/>
    <s v=""/>
    <d v="1899-12-30T15:08:58"/>
    <s v=""/>
    <s v=""/>
    <s v=""/>
    <s v=""/>
    <s v=""/>
    <s v=""/>
  </r>
  <r>
    <x v="66"/>
    <x v="66"/>
    <x v="3"/>
    <s v="14.04.2011"/>
    <x v="380"/>
    <x v="3"/>
    <x v="2"/>
    <d v="1899-12-30T07:25:15"/>
    <s v=""/>
    <s v=""/>
    <s v=""/>
    <d v="1899-12-30T00:00:00"/>
    <s v=""/>
    <s v=""/>
    <s v=""/>
  </r>
  <r>
    <x v="66"/>
    <x v="66"/>
    <x v="4"/>
    <s v="15.04.2011"/>
    <x v="381"/>
    <x v="4"/>
    <x v="2"/>
    <d v="1899-12-30T07:24:16"/>
    <s v=""/>
    <s v=""/>
    <s v=""/>
    <s v=""/>
    <s v=""/>
    <s v=""/>
    <s v=""/>
  </r>
  <r>
    <x v="66"/>
    <x v="66"/>
    <x v="5"/>
    <s v="16.04.2011"/>
    <x v="382"/>
    <x v="5"/>
    <x v="2"/>
    <s v=""/>
    <d v="1899-12-30T15:05:49"/>
    <s v=""/>
    <s v=""/>
    <s v=""/>
    <s v=""/>
    <s v=""/>
    <s v=""/>
  </r>
  <r>
    <x v="66"/>
    <x v="66"/>
    <x v="5"/>
    <s v="16.04.2011"/>
    <x v="382"/>
    <x v="5"/>
    <x v="2"/>
    <d v="1899-12-30T07:24:58"/>
    <s v=""/>
    <s v=""/>
    <s v=""/>
    <d v="1899-12-30T00:00:00"/>
    <s v=""/>
    <s v=""/>
    <s v=""/>
  </r>
  <r>
    <x v="67"/>
    <x v="67"/>
    <x v="0"/>
    <s v="11.04.2011"/>
    <x v="383"/>
    <x v="0"/>
    <x v="4"/>
    <s v=""/>
    <d v="1899-12-30T15:16:19"/>
    <s v=""/>
    <s v=""/>
    <d v="1899-12-30T07:30:00"/>
    <s v=""/>
    <s v=""/>
    <s v=""/>
  </r>
  <r>
    <x v="67"/>
    <x v="67"/>
    <x v="0"/>
    <s v="11.04.2011"/>
    <x v="383"/>
    <x v="0"/>
    <x v="4"/>
    <d v="1899-12-30T07:29:40"/>
    <s v=""/>
    <s v=""/>
    <s v=""/>
    <d v="1899-12-30T00:00:00"/>
    <s v=""/>
    <s v=""/>
    <s v=""/>
  </r>
  <r>
    <x v="67"/>
    <x v="67"/>
    <x v="1"/>
    <s v="12.04.2011"/>
    <x v="384"/>
    <x v="1"/>
    <x v="4"/>
    <s v=""/>
    <d v="1899-12-30T17:36:08"/>
    <d v="1899-12-30T02:30:00"/>
    <s v=""/>
    <d v="1899-12-30T07:30:00"/>
    <s v=""/>
    <s v=""/>
    <s v=""/>
  </r>
  <r>
    <x v="67"/>
    <x v="67"/>
    <x v="1"/>
    <s v="12.04.2011"/>
    <x v="384"/>
    <x v="1"/>
    <x v="4"/>
    <d v="1899-12-30T07:29:35"/>
    <s v=""/>
    <s v=""/>
    <s v=""/>
    <d v="1899-12-30T00:00:00"/>
    <s v=""/>
    <s v=""/>
    <s v=""/>
  </r>
  <r>
    <x v="67"/>
    <x v="67"/>
    <x v="2"/>
    <s v="13.04.2011"/>
    <x v="385"/>
    <x v="2"/>
    <x v="4"/>
    <s v=""/>
    <d v="1899-12-30T18:04:12"/>
    <d v="1899-12-30T02:00:00"/>
    <s v=""/>
    <d v="1899-12-30T07:30:00"/>
    <s v=""/>
    <s v=""/>
    <s v=""/>
  </r>
  <r>
    <x v="67"/>
    <x v="67"/>
    <x v="2"/>
    <s v="13.04.2011"/>
    <x v="385"/>
    <x v="2"/>
    <x v="4"/>
    <d v="1899-12-30T07:35:32"/>
    <s v=""/>
    <s v=""/>
    <s v=""/>
    <d v="1899-12-30T00:00:00"/>
    <s v=""/>
    <s v=""/>
    <s v=""/>
  </r>
  <r>
    <x v="67"/>
    <x v="67"/>
    <x v="3"/>
    <s v="14.04.2011"/>
    <x v="386"/>
    <x v="3"/>
    <x v="4"/>
    <s v=""/>
    <d v="1899-12-30T16:14:17"/>
    <s v=""/>
    <s v=""/>
    <d v="1899-12-30T07:30:00"/>
    <s v=""/>
    <s v=""/>
    <s v=""/>
  </r>
  <r>
    <x v="67"/>
    <x v="67"/>
    <x v="3"/>
    <s v="14.04.2011"/>
    <x v="386"/>
    <x v="3"/>
    <x v="4"/>
    <d v="1899-12-30T07:37:15"/>
    <s v=""/>
    <s v=""/>
    <s v=""/>
    <d v="1899-12-30T00:00:00"/>
    <s v=""/>
    <s v=""/>
    <s v=""/>
  </r>
  <r>
    <x v="67"/>
    <x v="67"/>
    <x v="4"/>
    <s v="15.04.2011"/>
    <x v="387"/>
    <x v="4"/>
    <x v="4"/>
    <s v=""/>
    <d v="1899-12-30T15:42:53"/>
    <s v=""/>
    <s v=""/>
    <d v="1899-12-30T07:30:00"/>
    <s v=""/>
    <s v=""/>
    <s v=""/>
  </r>
  <r>
    <x v="67"/>
    <x v="67"/>
    <x v="4"/>
    <s v="15.04.2011"/>
    <x v="387"/>
    <x v="4"/>
    <x v="4"/>
    <d v="1899-12-30T07:40:29"/>
    <s v=""/>
    <s v=""/>
    <s v=""/>
    <d v="1899-12-30T00:00:00"/>
    <s v=""/>
    <s v=""/>
    <s v=""/>
  </r>
  <r>
    <x v="67"/>
    <x v="67"/>
    <x v="5"/>
    <s v="16.04.2011"/>
    <x v="388"/>
    <x v="5"/>
    <x v="4"/>
    <s v=""/>
    <d v="1899-12-30T13:26:10"/>
    <s v=""/>
    <s v=""/>
    <d v="1899-12-30T07:30:00"/>
    <s v=""/>
    <s v=""/>
    <s v=""/>
  </r>
  <r>
    <x v="67"/>
    <x v="67"/>
    <x v="5"/>
    <s v="16.04.2011"/>
    <x v="388"/>
    <x v="5"/>
    <x v="4"/>
    <d v="1899-12-30T08:04:13"/>
    <s v=""/>
    <s v=""/>
    <s v=""/>
    <d v="1899-12-30T00:00:00"/>
    <s v=""/>
    <s v=""/>
    <s v=""/>
  </r>
  <r>
    <x v="68"/>
    <x v="68"/>
    <x v="0"/>
    <s v="11.04.2011"/>
    <x v="389"/>
    <x v="0"/>
    <x v="2"/>
    <s v=""/>
    <d v="1899-12-30T15:21:17"/>
    <s v=""/>
    <s v=""/>
    <s v=""/>
    <s v=""/>
    <s v=""/>
    <s v=""/>
  </r>
  <r>
    <x v="68"/>
    <x v="68"/>
    <x v="0"/>
    <s v="11.04.2011"/>
    <x v="389"/>
    <x v="0"/>
    <x v="2"/>
    <d v="1899-12-30T07:14:09"/>
    <s v=""/>
    <s v=""/>
    <s v=""/>
    <d v="1899-12-30T00:00:00"/>
    <s v=""/>
    <s v=""/>
    <s v=""/>
  </r>
  <r>
    <x v="68"/>
    <x v="68"/>
    <x v="1"/>
    <s v="12.04.2011"/>
    <x v="390"/>
    <x v="1"/>
    <x v="2"/>
    <s v=""/>
    <d v="1899-12-30T15:25:49"/>
    <s v=""/>
    <s v=""/>
    <s v=""/>
    <s v=""/>
    <s v=""/>
    <s v=""/>
  </r>
  <r>
    <x v="68"/>
    <x v="68"/>
    <x v="1"/>
    <s v="12.04.2011"/>
    <x v="390"/>
    <x v="1"/>
    <x v="2"/>
    <d v="1899-12-30T07:41:52"/>
    <s v=""/>
    <s v=""/>
    <s v=""/>
    <d v="1899-12-30T00:00:00"/>
    <s v=""/>
    <s v=""/>
    <s v=""/>
  </r>
  <r>
    <x v="68"/>
    <x v="68"/>
    <x v="2"/>
    <s v="13.04.2011"/>
    <x v="391"/>
    <x v="2"/>
    <x v="2"/>
    <s v=""/>
    <d v="1899-12-30T15:26:01"/>
    <s v=""/>
    <s v=""/>
    <s v=""/>
    <s v=""/>
    <s v=""/>
    <s v=""/>
  </r>
  <r>
    <x v="68"/>
    <x v="68"/>
    <x v="2"/>
    <s v="13.04.2011"/>
    <x v="391"/>
    <x v="2"/>
    <x v="2"/>
    <d v="1899-12-30T07:20:21"/>
    <s v=""/>
    <s v=""/>
    <s v=""/>
    <d v="1899-12-30T00:00:00"/>
    <s v=""/>
    <s v=""/>
    <s v=""/>
  </r>
  <r>
    <x v="68"/>
    <x v="68"/>
    <x v="3"/>
    <s v="14.04.2011"/>
    <x v="392"/>
    <x v="3"/>
    <x v="2"/>
    <s v=""/>
    <d v="1899-12-30T15:27:14"/>
    <s v=""/>
    <s v=""/>
    <s v=""/>
    <s v=""/>
    <s v=""/>
    <s v=""/>
  </r>
  <r>
    <x v="68"/>
    <x v="68"/>
    <x v="3"/>
    <s v="14.04.2011"/>
    <x v="392"/>
    <x v="3"/>
    <x v="2"/>
    <d v="1899-12-30T07:23:53"/>
    <s v=""/>
    <s v=""/>
    <s v=""/>
    <d v="1899-12-30T00:00:00"/>
    <s v=""/>
    <s v=""/>
    <s v=""/>
  </r>
  <r>
    <x v="68"/>
    <x v="68"/>
    <x v="4"/>
    <s v="15.04.2011"/>
    <x v="393"/>
    <x v="4"/>
    <x v="2"/>
    <s v=""/>
    <d v="1899-12-30T15:26:27"/>
    <s v=""/>
    <s v=""/>
    <s v=""/>
    <s v=""/>
    <s v=""/>
    <s v=""/>
  </r>
  <r>
    <x v="68"/>
    <x v="68"/>
    <x v="4"/>
    <s v="15.04.2011"/>
    <x v="393"/>
    <x v="4"/>
    <x v="2"/>
    <d v="1899-12-30T07:30:40"/>
    <s v=""/>
    <s v=""/>
    <s v=""/>
    <d v="1899-12-30T00:00:00"/>
    <s v=""/>
    <s v=""/>
    <s v=""/>
  </r>
  <r>
    <x v="68"/>
    <x v="68"/>
    <x v="5"/>
    <s v="16.04.2011"/>
    <x v="394"/>
    <x v="5"/>
    <x v="2"/>
    <s v=""/>
    <d v="1899-12-30T15:02:25"/>
    <s v=""/>
    <s v=""/>
    <s v=""/>
    <s v=""/>
    <s v=""/>
    <s v=""/>
  </r>
  <r>
    <x v="68"/>
    <x v="68"/>
    <x v="5"/>
    <s v="16.04.2011"/>
    <x v="394"/>
    <x v="5"/>
    <x v="2"/>
    <d v="1899-12-30T07:17:21"/>
    <s v=""/>
    <s v=""/>
    <s v=""/>
    <d v="1899-12-30T00:00:00"/>
    <s v=""/>
    <s v=""/>
    <s v=""/>
  </r>
  <r>
    <x v="68"/>
    <x v="68"/>
    <x v="6"/>
    <s v="17.04.2011"/>
    <x v="395"/>
    <x v="6"/>
    <x v="2"/>
    <d v="1899-12-30T23:40:53"/>
    <s v=""/>
    <s v=""/>
    <s v=""/>
    <s v=""/>
    <s v=""/>
    <s v=""/>
    <s v=""/>
  </r>
  <r>
    <x v="69"/>
    <x v="69"/>
    <x v="1"/>
    <s v="11.04.2011"/>
    <x v="396"/>
    <x v="1"/>
    <x v="3"/>
    <d v="1899-12-30T22:05:41"/>
    <s v=""/>
    <s v=""/>
    <s v=""/>
    <d v="1899-12-30T09:00:00"/>
    <s v=""/>
    <s v=""/>
    <s v=""/>
  </r>
  <r>
    <x v="69"/>
    <x v="69"/>
    <x v="1"/>
    <s v="12.04.2011"/>
    <x v="396"/>
    <x v="1"/>
    <x v="3"/>
    <s v=""/>
    <d v="1899-12-30T07:37:32"/>
    <s v=""/>
    <s v=""/>
    <d v="1899-12-30T00:00:00"/>
    <s v=""/>
    <s v=""/>
    <s v=""/>
  </r>
  <r>
    <x v="69"/>
    <x v="69"/>
    <x v="2"/>
    <s v="12.04.2011"/>
    <x v="397"/>
    <x v="2"/>
    <x v="3"/>
    <d v="1899-12-30T22:05:18"/>
    <s v=""/>
    <s v=""/>
    <s v=""/>
    <d v="1899-12-30T09:00:00"/>
    <s v=""/>
    <s v=""/>
    <s v=""/>
  </r>
  <r>
    <x v="69"/>
    <x v="69"/>
    <x v="2"/>
    <s v="13.04.2011"/>
    <x v="397"/>
    <x v="2"/>
    <x v="3"/>
    <s v=""/>
    <d v="1899-12-30T07:43:39"/>
    <s v=""/>
    <s v=""/>
    <d v="1899-12-30T00:00:00"/>
    <s v=""/>
    <s v=""/>
    <s v=""/>
  </r>
  <r>
    <x v="69"/>
    <x v="69"/>
    <x v="3"/>
    <s v="13.04.2011"/>
    <x v="398"/>
    <x v="3"/>
    <x v="3"/>
    <d v="1899-12-30T22:04:24"/>
    <s v=""/>
    <s v=""/>
    <s v=""/>
    <d v="1899-12-30T09:00:00"/>
    <s v=""/>
    <s v=""/>
    <s v=""/>
  </r>
  <r>
    <x v="69"/>
    <x v="69"/>
    <x v="3"/>
    <s v="14.04.2011"/>
    <x v="398"/>
    <x v="3"/>
    <x v="3"/>
    <s v=""/>
    <d v="1899-12-30T07:37:41"/>
    <s v=""/>
    <s v=""/>
    <d v="1899-12-30T00:00:00"/>
    <s v=""/>
    <s v=""/>
    <s v=""/>
  </r>
  <r>
    <x v="69"/>
    <x v="69"/>
    <x v="4"/>
    <s v="14.04.2011"/>
    <x v="399"/>
    <x v="4"/>
    <x v="3"/>
    <d v="1899-12-30T22:07:23"/>
    <s v=""/>
    <s v=""/>
    <s v=""/>
    <d v="1899-12-30T09:00:00"/>
    <s v=""/>
    <s v=""/>
    <s v=""/>
  </r>
  <r>
    <x v="69"/>
    <x v="69"/>
    <x v="4"/>
    <s v="15.04.2011"/>
    <x v="399"/>
    <x v="4"/>
    <x v="3"/>
    <s v=""/>
    <d v="1899-12-30T07:33:35"/>
    <s v=""/>
    <s v=""/>
    <d v="1899-12-30T00:00:00"/>
    <s v=""/>
    <s v=""/>
    <s v=""/>
  </r>
  <r>
    <x v="69"/>
    <x v="69"/>
    <x v="5"/>
    <s v="15.04.2011"/>
    <x v="400"/>
    <x v="5"/>
    <x v="3"/>
    <d v="1899-12-30T22:06:56"/>
    <s v=""/>
    <s v=""/>
    <s v=""/>
    <d v="1899-12-30T09:00:00"/>
    <s v=""/>
    <s v=""/>
    <s v=""/>
  </r>
  <r>
    <x v="69"/>
    <x v="69"/>
    <x v="5"/>
    <s v="16.04.2011"/>
    <x v="400"/>
    <x v="5"/>
    <x v="3"/>
    <s v=""/>
    <d v="1899-12-30T07:38:28"/>
    <s v=""/>
    <s v=""/>
    <d v="1899-12-30T00:00:00"/>
    <s v=""/>
    <s v=""/>
    <s v=""/>
  </r>
  <r>
    <x v="70"/>
    <x v="70"/>
    <x v="0"/>
    <s v="11.04.2011"/>
    <x v="401"/>
    <x v="0"/>
    <x v="0"/>
    <s v=""/>
    <d v="1899-12-30T22:39:35"/>
    <s v=""/>
    <s v=""/>
    <d v="1899-12-30T07:30:00"/>
    <s v=""/>
    <s v=""/>
    <s v=""/>
  </r>
  <r>
    <x v="70"/>
    <x v="70"/>
    <x v="0"/>
    <s v="11.04.2011"/>
    <x v="401"/>
    <x v="0"/>
    <x v="0"/>
    <d v="1899-12-30T14:44:33"/>
    <s v=""/>
    <s v=""/>
    <s v=""/>
    <d v="1899-12-30T00:00:00"/>
    <s v=""/>
    <s v=""/>
    <s v=""/>
  </r>
  <r>
    <x v="70"/>
    <x v="70"/>
    <x v="1"/>
    <s v="12.04.2011"/>
    <x v="402"/>
    <x v="1"/>
    <x v="0"/>
    <s v=""/>
    <d v="1899-12-30T22:36:18"/>
    <s v=""/>
    <s v=""/>
    <d v="1899-12-30T07:30:00"/>
    <s v=""/>
    <s v=""/>
    <s v=""/>
  </r>
  <r>
    <x v="70"/>
    <x v="70"/>
    <x v="1"/>
    <s v="12.04.2011"/>
    <x v="402"/>
    <x v="1"/>
    <x v="0"/>
    <d v="1899-12-30T14:43:23"/>
    <s v=""/>
    <s v=""/>
    <s v=""/>
    <d v="1899-12-30T00:00:00"/>
    <s v=""/>
    <s v=""/>
    <s v=""/>
  </r>
  <r>
    <x v="70"/>
    <x v="70"/>
    <x v="2"/>
    <s v="13.04.2011"/>
    <x v="403"/>
    <x v="2"/>
    <x v="0"/>
    <s v=""/>
    <d v="1899-12-30T22:37:57"/>
    <s v=""/>
    <s v=""/>
    <d v="1899-12-30T07:30:00"/>
    <s v=""/>
    <s v=""/>
    <s v=""/>
  </r>
  <r>
    <x v="70"/>
    <x v="70"/>
    <x v="2"/>
    <s v="13.04.2011"/>
    <x v="403"/>
    <x v="2"/>
    <x v="0"/>
    <d v="1899-12-30T14:45:45"/>
    <s v=""/>
    <s v=""/>
    <s v=""/>
    <d v="1899-12-30T00:00:00"/>
    <s v=""/>
    <s v=""/>
    <s v=""/>
  </r>
  <r>
    <x v="70"/>
    <x v="70"/>
    <x v="3"/>
    <s v="14.04.2011"/>
    <x v="404"/>
    <x v="3"/>
    <x v="0"/>
    <s v=""/>
    <d v="1899-12-30T22:37:31"/>
    <s v=""/>
    <s v=""/>
    <d v="1899-12-30T07:30:00"/>
    <s v=""/>
    <s v=""/>
    <s v=""/>
  </r>
  <r>
    <x v="70"/>
    <x v="70"/>
    <x v="3"/>
    <s v="14.04.2011"/>
    <x v="404"/>
    <x v="3"/>
    <x v="0"/>
    <d v="1899-12-30T14:52:26"/>
    <s v=""/>
    <s v=""/>
    <s v=""/>
    <d v="1899-12-30T00:00:00"/>
    <s v=""/>
    <s v=""/>
    <s v=""/>
  </r>
  <r>
    <x v="70"/>
    <x v="70"/>
    <x v="4"/>
    <s v="15.04.2011"/>
    <x v="405"/>
    <x v="4"/>
    <x v="0"/>
    <s v=""/>
    <d v="1899-12-30T22:39:39"/>
    <s v=""/>
    <s v=""/>
    <d v="1899-12-30T07:30:00"/>
    <s v=""/>
    <s v=""/>
    <s v=""/>
  </r>
  <r>
    <x v="70"/>
    <x v="70"/>
    <x v="4"/>
    <s v="15.04.2011"/>
    <x v="405"/>
    <x v="4"/>
    <x v="0"/>
    <d v="1899-12-30T14:48:31"/>
    <s v=""/>
    <s v=""/>
    <s v=""/>
    <d v="1899-12-30T00:00:00"/>
    <s v=""/>
    <s v=""/>
    <s v=""/>
  </r>
  <r>
    <x v="70"/>
    <x v="70"/>
    <x v="5"/>
    <s v="16.04.2011"/>
    <x v="406"/>
    <x v="5"/>
    <x v="0"/>
    <s v=""/>
    <d v="1899-12-30T15:07:39"/>
    <s v=""/>
    <s v=""/>
    <d v="1899-12-30T07:30:00"/>
    <s v=""/>
    <s v=""/>
    <s v=""/>
  </r>
  <r>
    <x v="70"/>
    <x v="70"/>
    <x v="5"/>
    <s v="16.04.2011"/>
    <x v="406"/>
    <x v="5"/>
    <x v="0"/>
    <d v="1899-12-30T07:19:49"/>
    <s v=""/>
    <s v=""/>
    <s v=""/>
    <d v="1899-12-30T00:00:00"/>
    <s v=""/>
    <s v=""/>
    <s v=""/>
  </r>
  <r>
    <x v="71"/>
    <x v="71"/>
    <x v="0"/>
    <s v="11.04.2011"/>
    <x v="407"/>
    <x v="0"/>
    <x v="3"/>
    <s v=""/>
    <d v="1899-12-30T07:44:04"/>
    <s v=""/>
    <d v="1899-12-30T07:30:00"/>
    <d v="1899-12-30T09:00:00"/>
    <d v="1899-12-30T07:30:00"/>
    <s v=""/>
    <s v=""/>
  </r>
  <r>
    <x v="71"/>
    <x v="71"/>
    <x v="1"/>
    <s v="11.04.2011"/>
    <x v="408"/>
    <x v="1"/>
    <x v="3"/>
    <d v="1899-12-30T22:13:18"/>
    <s v=""/>
    <s v=""/>
    <s v=""/>
    <d v="1899-12-30T09:00:00"/>
    <s v=""/>
    <s v=""/>
    <s v=""/>
  </r>
  <r>
    <x v="71"/>
    <x v="71"/>
    <x v="1"/>
    <s v="12.04.2011"/>
    <x v="408"/>
    <x v="1"/>
    <x v="3"/>
    <s v=""/>
    <d v="1899-12-30T07:14:00"/>
    <s v=""/>
    <s v=""/>
    <d v="1899-12-30T00:00:00"/>
    <s v=""/>
    <s v=""/>
    <s v=""/>
  </r>
  <r>
    <x v="71"/>
    <x v="71"/>
    <x v="2"/>
    <s v="12.04.2011"/>
    <x v="409"/>
    <x v="2"/>
    <x v="3"/>
    <d v="1899-12-30T22:07:05"/>
    <s v=""/>
    <s v=""/>
    <s v=""/>
    <d v="1899-12-30T09:00:00"/>
    <s v=""/>
    <s v=""/>
    <s v=""/>
  </r>
  <r>
    <x v="71"/>
    <x v="71"/>
    <x v="2"/>
    <s v="13.04.2011"/>
    <x v="409"/>
    <x v="2"/>
    <x v="3"/>
    <s v=""/>
    <d v="1899-12-30T07:18:14"/>
    <s v=""/>
    <s v=""/>
    <d v="1899-12-30T00:00:00"/>
    <s v=""/>
    <s v=""/>
    <s v=""/>
  </r>
  <r>
    <x v="71"/>
    <x v="71"/>
    <x v="3"/>
    <s v="13.04.2011"/>
    <x v="410"/>
    <x v="3"/>
    <x v="3"/>
    <d v="1899-12-30T22:12:25"/>
    <s v=""/>
    <s v=""/>
    <s v=""/>
    <d v="1899-12-30T09:00:00"/>
    <s v=""/>
    <s v=""/>
    <s v=""/>
  </r>
  <r>
    <x v="71"/>
    <x v="71"/>
    <x v="3"/>
    <s v="14.04.2011"/>
    <x v="410"/>
    <x v="3"/>
    <x v="3"/>
    <s v=""/>
    <d v="1899-12-30T07:20:30"/>
    <s v=""/>
    <s v=""/>
    <d v="1899-12-30T00:00:00"/>
    <s v=""/>
    <s v=""/>
    <s v=""/>
  </r>
  <r>
    <x v="71"/>
    <x v="71"/>
    <x v="4"/>
    <s v="14.04.2011"/>
    <x v="411"/>
    <x v="4"/>
    <x v="3"/>
    <d v="1899-12-30T22:16:54"/>
    <s v=""/>
    <s v=""/>
    <s v=""/>
    <d v="1899-12-30T09:00:00"/>
    <s v=""/>
    <s v=""/>
    <s v=""/>
  </r>
  <r>
    <x v="71"/>
    <x v="71"/>
    <x v="4"/>
    <s v="15.04.2011"/>
    <x v="411"/>
    <x v="4"/>
    <x v="3"/>
    <s v=""/>
    <d v="1899-12-30T07:30:32"/>
    <s v=""/>
    <s v=""/>
    <d v="1899-12-30T00:00:00"/>
    <s v=""/>
    <s v=""/>
    <s v=""/>
  </r>
  <r>
    <x v="71"/>
    <x v="71"/>
    <x v="5"/>
    <s v="15.04.2011"/>
    <x v="412"/>
    <x v="5"/>
    <x v="3"/>
    <d v="1899-12-30T22:15:11"/>
    <s v=""/>
    <s v=""/>
    <s v=""/>
    <d v="1899-12-30T09:00:00"/>
    <s v=""/>
    <s v=""/>
    <s v=""/>
  </r>
  <r>
    <x v="71"/>
    <x v="71"/>
    <x v="5"/>
    <s v="16.04.2011"/>
    <x v="412"/>
    <x v="5"/>
    <x v="3"/>
    <s v=""/>
    <d v="1899-12-30T07:32:32"/>
    <s v=""/>
    <s v=""/>
    <d v="1899-12-30T00:00:00"/>
    <s v=""/>
    <s v=""/>
    <s v=""/>
  </r>
  <r>
    <x v="71"/>
    <x v="71"/>
    <x v="7"/>
    <s v="17.04.2011"/>
    <x v="413"/>
    <x v="7"/>
    <x v="3"/>
    <d v="1899-12-30T23:42:07"/>
    <s v=""/>
    <s v=""/>
    <s v=""/>
    <d v="1899-12-30T09:00:00"/>
    <s v=""/>
    <s v=""/>
    <s v=""/>
  </r>
  <r>
    <x v="72"/>
    <x v="72"/>
    <x v="0"/>
    <s v="11.04.2011"/>
    <x v="414"/>
    <x v="0"/>
    <x v="2"/>
    <s v=""/>
    <d v="1899-12-30T15:19:03"/>
    <s v=""/>
    <s v=""/>
    <s v=""/>
    <s v=""/>
    <s v=""/>
    <s v=""/>
  </r>
  <r>
    <x v="72"/>
    <x v="72"/>
    <x v="0"/>
    <s v="11.04.2011"/>
    <x v="414"/>
    <x v="0"/>
    <x v="2"/>
    <d v="1899-12-30T07:06:55"/>
    <s v=""/>
    <s v=""/>
    <s v=""/>
    <d v="1899-12-30T00:00:00"/>
    <s v=""/>
    <s v=""/>
    <s v=""/>
  </r>
  <r>
    <x v="72"/>
    <x v="72"/>
    <x v="1"/>
    <s v="12.04.2011"/>
    <x v="415"/>
    <x v="1"/>
    <x v="2"/>
    <s v=""/>
    <d v="1899-12-30T15:15:48"/>
    <s v=""/>
    <s v=""/>
    <s v=""/>
    <s v=""/>
    <s v=""/>
    <s v=""/>
  </r>
  <r>
    <x v="72"/>
    <x v="72"/>
    <x v="1"/>
    <s v="12.04.2011"/>
    <x v="415"/>
    <x v="1"/>
    <x v="2"/>
    <d v="1899-12-30T07:07:28"/>
    <s v=""/>
    <s v=""/>
    <s v=""/>
    <d v="1899-12-30T00:00:00"/>
    <s v=""/>
    <s v=""/>
    <s v=""/>
  </r>
  <r>
    <x v="72"/>
    <x v="72"/>
    <x v="2"/>
    <s v="13.04.2011"/>
    <x v="416"/>
    <x v="2"/>
    <x v="2"/>
    <s v=""/>
    <d v="1899-12-30T22:34:40"/>
    <s v=""/>
    <s v=""/>
    <s v=""/>
    <s v=""/>
    <s v=""/>
    <s v=""/>
  </r>
  <r>
    <x v="72"/>
    <x v="72"/>
    <x v="2"/>
    <s v="13.04.2011"/>
    <x v="416"/>
    <x v="2"/>
    <x v="2"/>
    <d v="1899-12-30T14:36:28"/>
    <s v=""/>
    <s v=""/>
    <s v=""/>
    <d v="1899-12-30T00:00:00"/>
    <s v=""/>
    <s v=""/>
    <s v=""/>
  </r>
  <r>
    <x v="72"/>
    <x v="72"/>
    <x v="3"/>
    <s v="14.04.2011"/>
    <x v="417"/>
    <x v="3"/>
    <x v="2"/>
    <s v=""/>
    <d v="1899-12-30T15:31:41"/>
    <s v=""/>
    <s v=""/>
    <s v=""/>
    <s v=""/>
    <s v=""/>
    <s v=""/>
  </r>
  <r>
    <x v="72"/>
    <x v="72"/>
    <x v="3"/>
    <s v="14.04.2011"/>
    <x v="417"/>
    <x v="3"/>
    <x v="2"/>
    <d v="1899-12-30T07:17:44"/>
    <s v=""/>
    <s v=""/>
    <s v=""/>
    <d v="1899-12-30T00:00:00"/>
    <s v=""/>
    <s v=""/>
    <s v=""/>
  </r>
  <r>
    <x v="72"/>
    <x v="72"/>
    <x v="4"/>
    <s v="15.04.2011"/>
    <x v="418"/>
    <x v="4"/>
    <x v="2"/>
    <s v=""/>
    <d v="1899-12-30T15:18:39"/>
    <s v=""/>
    <s v=""/>
    <s v=""/>
    <s v=""/>
    <s v=""/>
    <s v=""/>
  </r>
  <r>
    <x v="72"/>
    <x v="72"/>
    <x v="4"/>
    <s v="15.04.2011"/>
    <x v="418"/>
    <x v="4"/>
    <x v="2"/>
    <d v="1899-12-30T07:24:12"/>
    <s v=""/>
    <s v=""/>
    <s v=""/>
    <d v="1899-12-30T00:00:00"/>
    <s v=""/>
    <s v=""/>
    <s v=""/>
  </r>
  <r>
    <x v="72"/>
    <x v="72"/>
    <x v="5"/>
    <s v="16.04.2011"/>
    <x v="419"/>
    <x v="5"/>
    <x v="2"/>
    <s v=""/>
    <d v="1899-12-30T15:05:44"/>
    <s v=""/>
    <s v=""/>
    <s v=""/>
    <s v=""/>
    <s v=""/>
    <s v=""/>
  </r>
  <r>
    <x v="72"/>
    <x v="72"/>
    <x v="5"/>
    <s v="16.04.2011"/>
    <x v="419"/>
    <x v="5"/>
    <x v="2"/>
    <d v="1899-12-30T07:08:53"/>
    <s v=""/>
    <s v=""/>
    <s v=""/>
    <d v="1899-12-30T00:00:00"/>
    <s v=""/>
    <s v=""/>
    <s v=""/>
  </r>
  <r>
    <x v="73"/>
    <x v="73"/>
    <x v="0"/>
    <s v="11.04.2011"/>
    <x v="420"/>
    <x v="0"/>
    <x v="2"/>
    <s v=""/>
    <d v="1899-12-30T15:22:04"/>
    <s v=""/>
    <s v=""/>
    <s v=""/>
    <s v=""/>
    <s v=""/>
    <s v=""/>
  </r>
  <r>
    <x v="73"/>
    <x v="73"/>
    <x v="0"/>
    <s v="11.04.2011"/>
    <x v="420"/>
    <x v="0"/>
    <x v="2"/>
    <d v="1899-12-30T07:05:30"/>
    <s v=""/>
    <s v=""/>
    <s v=""/>
    <d v="1899-12-30T00:00:00"/>
    <s v=""/>
    <s v=""/>
    <s v=""/>
  </r>
  <r>
    <x v="73"/>
    <x v="73"/>
    <x v="1"/>
    <s v="12.04.2011"/>
    <x v="421"/>
    <x v="1"/>
    <x v="2"/>
    <s v=""/>
    <d v="1899-12-30T15:16:36"/>
    <s v=""/>
    <s v=""/>
    <s v=""/>
    <s v=""/>
    <s v=""/>
    <s v=""/>
  </r>
  <r>
    <x v="73"/>
    <x v="73"/>
    <x v="1"/>
    <s v="12.04.2011"/>
    <x v="421"/>
    <x v="1"/>
    <x v="2"/>
    <d v="1899-12-30T07:04:40"/>
    <s v=""/>
    <s v=""/>
    <s v=""/>
    <d v="1899-12-30T00:00:00"/>
    <s v=""/>
    <s v=""/>
    <s v=""/>
  </r>
  <r>
    <x v="73"/>
    <x v="73"/>
    <x v="2"/>
    <s v="13.04.2011"/>
    <x v="422"/>
    <x v="2"/>
    <x v="2"/>
    <s v=""/>
    <d v="1899-12-30T15:16:24"/>
    <s v=""/>
    <s v=""/>
    <s v=""/>
    <s v=""/>
    <s v=""/>
    <s v=""/>
  </r>
  <r>
    <x v="73"/>
    <x v="73"/>
    <x v="2"/>
    <s v="13.04.2011"/>
    <x v="422"/>
    <x v="2"/>
    <x v="2"/>
    <d v="1899-12-30T07:04:38"/>
    <s v=""/>
    <s v=""/>
    <s v=""/>
    <d v="1899-12-30T00:00:00"/>
    <s v=""/>
    <s v=""/>
    <s v=""/>
  </r>
  <r>
    <x v="73"/>
    <x v="73"/>
    <x v="3"/>
    <s v="14.04.2011"/>
    <x v="423"/>
    <x v="3"/>
    <x v="2"/>
    <s v=""/>
    <d v="1899-12-30T15:18:36"/>
    <s v=""/>
    <s v=""/>
    <s v=""/>
    <s v=""/>
    <s v=""/>
    <s v=""/>
  </r>
  <r>
    <x v="73"/>
    <x v="73"/>
    <x v="3"/>
    <s v="14.04.2011"/>
    <x v="423"/>
    <x v="3"/>
    <x v="2"/>
    <d v="1899-12-30T07:03:13"/>
    <s v=""/>
    <s v=""/>
    <s v=""/>
    <d v="1899-12-30T00:00:00"/>
    <s v=""/>
    <s v=""/>
    <s v=""/>
  </r>
  <r>
    <x v="73"/>
    <x v="73"/>
    <x v="4"/>
    <s v="15.04.2011"/>
    <x v="424"/>
    <x v="4"/>
    <x v="2"/>
    <s v=""/>
    <d v="1899-12-30T15:26:03"/>
    <s v=""/>
    <s v=""/>
    <s v=""/>
    <s v=""/>
    <s v=""/>
    <s v=""/>
  </r>
  <r>
    <x v="73"/>
    <x v="73"/>
    <x v="4"/>
    <s v="15.04.2011"/>
    <x v="424"/>
    <x v="4"/>
    <x v="2"/>
    <d v="1899-12-30T07:06:06"/>
    <s v=""/>
    <s v=""/>
    <s v=""/>
    <d v="1899-12-30T00:00:00"/>
    <s v=""/>
    <s v=""/>
    <s v=""/>
  </r>
  <r>
    <x v="73"/>
    <x v="73"/>
    <x v="5"/>
    <s v="16.04.2011"/>
    <x v="425"/>
    <x v="5"/>
    <x v="2"/>
    <s v=""/>
    <d v="1899-12-30T15:18:47"/>
    <s v=""/>
    <s v=""/>
    <s v=""/>
    <s v=""/>
    <s v=""/>
    <s v=""/>
  </r>
  <r>
    <x v="73"/>
    <x v="73"/>
    <x v="5"/>
    <s v="16.04.2011"/>
    <x v="425"/>
    <x v="5"/>
    <x v="2"/>
    <d v="1899-12-30T07:03:34"/>
    <s v=""/>
    <s v=""/>
    <s v=""/>
    <d v="1899-12-30T00:00:00"/>
    <s v=""/>
    <s v=""/>
    <s v=""/>
  </r>
  <r>
    <x v="74"/>
    <x v="74"/>
    <x v="0"/>
    <s v="11.04.2011"/>
    <x v="426"/>
    <x v="0"/>
    <x v="1"/>
    <s v=""/>
    <d v="1899-12-30T17:35:01"/>
    <s v=""/>
    <s v=""/>
    <d v="1899-12-30T10:00:00"/>
    <s v=""/>
    <s v=""/>
    <s v=""/>
  </r>
  <r>
    <x v="74"/>
    <x v="74"/>
    <x v="0"/>
    <s v="11.04.2011"/>
    <x v="426"/>
    <x v="0"/>
    <x v="1"/>
    <d v="1899-12-30T08:29:27"/>
    <s v=""/>
    <s v=""/>
    <s v=""/>
    <d v="1899-12-30T00:00:00"/>
    <s v=""/>
    <s v=""/>
    <s v=""/>
  </r>
  <r>
    <x v="74"/>
    <x v="74"/>
    <x v="1"/>
    <s v="12.04.2011"/>
    <x v="427"/>
    <x v="1"/>
    <x v="1"/>
    <s v=""/>
    <d v="1899-12-30T17:32:06"/>
    <s v=""/>
    <s v=""/>
    <d v="1899-12-30T10:00:00"/>
    <s v=""/>
    <s v=""/>
    <s v=""/>
  </r>
  <r>
    <x v="74"/>
    <x v="74"/>
    <x v="1"/>
    <s v="12.04.2011"/>
    <x v="427"/>
    <x v="1"/>
    <x v="1"/>
    <d v="1899-12-30T08:17:18"/>
    <s v=""/>
    <s v=""/>
    <s v=""/>
    <d v="1899-12-30T00:00:00"/>
    <s v=""/>
    <s v=""/>
    <s v=""/>
  </r>
  <r>
    <x v="74"/>
    <x v="74"/>
    <x v="2"/>
    <s v="13.04.2011"/>
    <x v="428"/>
    <x v="2"/>
    <x v="1"/>
    <s v=""/>
    <d v="1899-12-30T17:35:44"/>
    <s v=""/>
    <s v=""/>
    <d v="1899-12-30T10:00:00"/>
    <s v=""/>
    <s v=""/>
    <s v=""/>
  </r>
  <r>
    <x v="74"/>
    <x v="74"/>
    <x v="2"/>
    <s v="13.04.2011"/>
    <x v="428"/>
    <x v="2"/>
    <x v="1"/>
    <d v="1899-12-30T08:23:32"/>
    <s v=""/>
    <s v=""/>
    <s v=""/>
    <d v="1899-12-30T00:00:00"/>
    <s v=""/>
    <s v=""/>
    <s v=""/>
  </r>
  <r>
    <x v="74"/>
    <x v="74"/>
    <x v="3"/>
    <s v="14.04.2011"/>
    <x v="429"/>
    <x v="3"/>
    <x v="1"/>
    <s v=""/>
    <d v="1899-12-30T17:39:23"/>
    <s v=""/>
    <s v=""/>
    <d v="1899-12-30T10:00:00"/>
    <s v=""/>
    <s v=""/>
    <s v=""/>
  </r>
  <r>
    <x v="74"/>
    <x v="74"/>
    <x v="3"/>
    <s v="14.04.2011"/>
    <x v="429"/>
    <x v="3"/>
    <x v="1"/>
    <d v="1899-12-30T08:20:54"/>
    <s v=""/>
    <s v=""/>
    <s v=""/>
    <d v="1899-12-30T00:00:00"/>
    <s v=""/>
    <s v=""/>
    <s v=""/>
  </r>
  <r>
    <x v="74"/>
    <x v="74"/>
    <x v="4"/>
    <s v="15.04.2011"/>
    <x v="430"/>
    <x v="4"/>
    <x v="1"/>
    <s v=""/>
    <d v="1899-12-30T17:33:36"/>
    <s v=""/>
    <s v=""/>
    <d v="1899-12-30T10:00:00"/>
    <s v=""/>
    <s v=""/>
    <s v=""/>
  </r>
  <r>
    <x v="74"/>
    <x v="74"/>
    <x v="4"/>
    <s v="15.04.2011"/>
    <x v="430"/>
    <x v="4"/>
    <x v="1"/>
    <d v="1899-12-30T08:20:38"/>
    <s v=""/>
    <s v=""/>
    <s v=""/>
    <d v="1899-12-30T00:00:00"/>
    <s v=""/>
    <s v=""/>
    <s v=""/>
  </r>
  <r>
    <x v="74"/>
    <x v="74"/>
    <x v="5"/>
    <s v="16.04.2011"/>
    <x v="431"/>
    <x v="5"/>
    <x v="1"/>
    <s v=""/>
    <d v="1899-12-30T14:32:07"/>
    <d v="1899-12-30T06:00:00"/>
    <s v=""/>
    <d v="1899-12-30T10:00:00"/>
    <s v=""/>
    <s v=""/>
    <s v=""/>
  </r>
  <r>
    <x v="74"/>
    <x v="74"/>
    <x v="5"/>
    <s v="16.04.2011"/>
    <x v="431"/>
    <x v="5"/>
    <x v="1"/>
    <d v="1899-12-30T08:33:45"/>
    <s v=""/>
    <s v=""/>
    <s v=""/>
    <d v="1899-12-30T00:00:00"/>
    <s v=""/>
    <s v=""/>
    <s v=""/>
  </r>
  <r>
    <x v="75"/>
    <x v="75"/>
    <x v="0"/>
    <s v="11.04.2011"/>
    <x v="432"/>
    <x v="0"/>
    <x v="2"/>
    <s v=""/>
    <d v="1899-12-30T15:13:29"/>
    <s v=""/>
    <s v=""/>
    <s v=""/>
    <s v=""/>
    <s v=""/>
    <s v=""/>
  </r>
  <r>
    <x v="75"/>
    <x v="75"/>
    <x v="0"/>
    <s v="11.04.2011"/>
    <x v="432"/>
    <x v="0"/>
    <x v="2"/>
    <d v="1899-12-30T07:17:24"/>
    <s v=""/>
    <s v=""/>
    <s v=""/>
    <d v="1899-12-30T00:00:00"/>
    <s v=""/>
    <s v=""/>
    <s v=""/>
  </r>
  <r>
    <x v="75"/>
    <x v="75"/>
    <x v="1"/>
    <s v="12.04.2011"/>
    <x v="433"/>
    <x v="1"/>
    <x v="2"/>
    <s v=""/>
    <d v="1899-12-30T15:13:38"/>
    <s v=""/>
    <s v=""/>
    <s v=""/>
    <s v=""/>
    <s v=""/>
    <s v=""/>
  </r>
  <r>
    <x v="75"/>
    <x v="75"/>
    <x v="1"/>
    <s v="12.04.2011"/>
    <x v="433"/>
    <x v="1"/>
    <x v="2"/>
    <d v="1899-12-30T07:05:45"/>
    <s v=""/>
    <s v=""/>
    <s v=""/>
    <d v="1899-12-30T00:00:00"/>
    <s v=""/>
    <s v=""/>
    <s v=""/>
  </r>
  <r>
    <x v="75"/>
    <x v="75"/>
    <x v="2"/>
    <s v="13.04.2011"/>
    <x v="434"/>
    <x v="2"/>
    <x v="2"/>
    <s v=""/>
    <d v="1899-12-30T15:14:35"/>
    <s v=""/>
    <s v=""/>
    <s v=""/>
    <s v=""/>
    <s v=""/>
    <s v=""/>
  </r>
  <r>
    <x v="75"/>
    <x v="75"/>
    <x v="2"/>
    <s v="13.04.2011"/>
    <x v="434"/>
    <x v="2"/>
    <x v="2"/>
    <d v="1899-12-30T07:12:27"/>
    <s v=""/>
    <s v=""/>
    <s v=""/>
    <d v="1899-12-30T00:00:00"/>
    <s v=""/>
    <s v=""/>
    <s v=""/>
  </r>
  <r>
    <x v="75"/>
    <x v="75"/>
    <x v="4"/>
    <s v="15.04.2011"/>
    <x v="435"/>
    <x v="4"/>
    <x v="2"/>
    <s v=""/>
    <d v="1899-12-30T15:15:57"/>
    <s v=""/>
    <s v=""/>
    <s v=""/>
    <s v=""/>
    <s v=""/>
    <s v=""/>
  </r>
  <r>
    <x v="75"/>
    <x v="75"/>
    <x v="4"/>
    <s v="15.04.2011"/>
    <x v="435"/>
    <x v="4"/>
    <x v="2"/>
    <d v="1899-12-30T07:06:54"/>
    <s v=""/>
    <s v=""/>
    <s v=""/>
    <d v="1899-12-30T00:00:00"/>
    <s v=""/>
    <s v=""/>
    <s v=""/>
  </r>
  <r>
    <x v="76"/>
    <x v="76"/>
    <x v="0"/>
    <s v="11.04.2011"/>
    <x v="436"/>
    <x v="0"/>
    <x v="2"/>
    <s v=""/>
    <d v="1899-12-30T15:20:11"/>
    <s v=""/>
    <s v=""/>
    <s v=""/>
    <s v=""/>
    <s v=""/>
    <s v=""/>
  </r>
  <r>
    <x v="76"/>
    <x v="76"/>
    <x v="0"/>
    <s v="11.04.2011"/>
    <x v="436"/>
    <x v="0"/>
    <x v="2"/>
    <d v="1899-12-30T07:34:20"/>
    <s v=""/>
    <s v=""/>
    <s v=""/>
    <d v="1899-12-30T00:00:00"/>
    <s v=""/>
    <s v=""/>
    <s v=""/>
  </r>
  <r>
    <x v="76"/>
    <x v="76"/>
    <x v="1"/>
    <s v="12.04.2011"/>
    <x v="437"/>
    <x v="1"/>
    <x v="2"/>
    <s v=""/>
    <d v="1899-12-30T15:19:42"/>
    <s v=""/>
    <s v=""/>
    <s v=""/>
    <s v=""/>
    <s v=""/>
    <s v=""/>
  </r>
  <r>
    <x v="76"/>
    <x v="76"/>
    <x v="1"/>
    <s v="12.04.2011"/>
    <x v="437"/>
    <x v="1"/>
    <x v="2"/>
    <d v="1899-12-30T07:21:32"/>
    <s v=""/>
    <s v=""/>
    <s v=""/>
    <d v="1899-12-30T00:00:00"/>
    <s v=""/>
    <s v=""/>
    <s v=""/>
  </r>
  <r>
    <x v="76"/>
    <x v="76"/>
    <x v="2"/>
    <s v="13.04.2011"/>
    <x v="438"/>
    <x v="2"/>
    <x v="2"/>
    <s v=""/>
    <d v="1899-12-30T15:15:46"/>
    <s v=""/>
    <s v=""/>
    <s v=""/>
    <s v=""/>
    <s v=""/>
    <s v=""/>
  </r>
  <r>
    <x v="76"/>
    <x v="76"/>
    <x v="2"/>
    <s v="13.04.2011"/>
    <x v="438"/>
    <x v="2"/>
    <x v="2"/>
    <d v="1899-12-30T07:42:32"/>
    <s v=""/>
    <s v=""/>
    <s v=""/>
    <d v="1899-12-30T00:00:00"/>
    <s v=""/>
    <s v=""/>
    <s v=""/>
  </r>
  <r>
    <x v="76"/>
    <x v="76"/>
    <x v="3"/>
    <s v="14.04.2011"/>
    <x v="439"/>
    <x v="3"/>
    <x v="2"/>
    <s v=""/>
    <d v="1899-12-30T15:12:32"/>
    <s v=""/>
    <s v=""/>
    <s v=""/>
    <s v=""/>
    <s v=""/>
    <s v=""/>
  </r>
  <r>
    <x v="76"/>
    <x v="76"/>
    <x v="3"/>
    <s v="14.04.2011"/>
    <x v="439"/>
    <x v="3"/>
    <x v="2"/>
    <d v="1899-12-30T07:29:16"/>
    <s v=""/>
    <s v=""/>
    <s v=""/>
    <d v="1899-12-30T00:00:00"/>
    <s v=""/>
    <s v=""/>
    <s v=""/>
  </r>
  <r>
    <x v="76"/>
    <x v="76"/>
    <x v="4"/>
    <s v="15.04.2011"/>
    <x v="440"/>
    <x v="4"/>
    <x v="2"/>
    <s v=""/>
    <d v="1899-12-30T15:19:10"/>
    <s v=""/>
    <s v=""/>
    <s v=""/>
    <s v=""/>
    <s v=""/>
    <s v=""/>
  </r>
  <r>
    <x v="76"/>
    <x v="76"/>
    <x v="4"/>
    <s v="15.04.2011"/>
    <x v="440"/>
    <x v="4"/>
    <x v="2"/>
    <d v="1899-12-30T07:17:20"/>
    <s v=""/>
    <s v=""/>
    <s v=""/>
    <d v="1899-12-30T00:00:00"/>
    <s v=""/>
    <s v=""/>
    <s v=""/>
  </r>
  <r>
    <x v="76"/>
    <x v="76"/>
    <x v="5"/>
    <s v="16.04.2011"/>
    <x v="441"/>
    <x v="5"/>
    <x v="2"/>
    <s v=""/>
    <d v="1899-12-30T15:26:42"/>
    <s v=""/>
    <s v=""/>
    <s v=""/>
    <s v=""/>
    <s v=""/>
    <s v=""/>
  </r>
  <r>
    <x v="76"/>
    <x v="76"/>
    <x v="5"/>
    <s v="16.04.2011"/>
    <x v="441"/>
    <x v="5"/>
    <x v="2"/>
    <d v="1899-12-30T07:28:17"/>
    <s v=""/>
    <s v=""/>
    <s v=""/>
    <d v="1899-12-30T00:00:00"/>
    <s v=""/>
    <s v=""/>
    <s v=""/>
  </r>
  <r>
    <x v="77"/>
    <x v="77"/>
    <x v="1"/>
    <s v="11.04.2011"/>
    <x v="442"/>
    <x v="1"/>
    <x v="3"/>
    <d v="1899-12-30T22:23:37"/>
    <s v=""/>
    <s v=""/>
    <s v=""/>
    <d v="1899-12-30T09:00:00"/>
    <s v=""/>
    <s v=""/>
    <s v=""/>
  </r>
  <r>
    <x v="77"/>
    <x v="77"/>
    <x v="1"/>
    <s v="12.04.2011"/>
    <x v="442"/>
    <x v="1"/>
    <x v="3"/>
    <s v=""/>
    <d v="1899-12-30T07:37:28"/>
    <s v=""/>
    <s v=""/>
    <d v="1899-12-30T00:00:00"/>
    <s v=""/>
    <s v=""/>
    <s v=""/>
  </r>
  <r>
    <x v="77"/>
    <x v="77"/>
    <x v="2"/>
    <s v="12.04.2011"/>
    <x v="443"/>
    <x v="2"/>
    <x v="3"/>
    <d v="1899-12-30T22:23:48"/>
    <s v=""/>
    <s v=""/>
    <s v=""/>
    <d v="1899-12-30T09:00:00"/>
    <s v=""/>
    <s v=""/>
    <s v=""/>
  </r>
  <r>
    <x v="77"/>
    <x v="77"/>
    <x v="2"/>
    <s v="13.04.2011"/>
    <x v="443"/>
    <x v="2"/>
    <x v="3"/>
    <s v=""/>
    <d v="1899-12-30T07:43:35"/>
    <s v=""/>
    <s v=""/>
    <d v="1899-12-30T00:00:00"/>
    <s v=""/>
    <s v=""/>
    <s v=""/>
  </r>
  <r>
    <x v="77"/>
    <x v="77"/>
    <x v="3"/>
    <s v="13.04.2011"/>
    <x v="444"/>
    <x v="3"/>
    <x v="3"/>
    <d v="1899-12-30T22:17:49"/>
    <s v=""/>
    <s v=""/>
    <s v=""/>
    <d v="1899-12-30T09:00:00"/>
    <s v=""/>
    <s v=""/>
    <s v=""/>
  </r>
  <r>
    <x v="77"/>
    <x v="77"/>
    <x v="3"/>
    <s v="14.04.2011"/>
    <x v="444"/>
    <x v="3"/>
    <x v="3"/>
    <s v=""/>
    <d v="1899-12-30T07:37:36"/>
    <s v=""/>
    <s v=""/>
    <d v="1899-12-30T00:00:00"/>
    <s v=""/>
    <s v=""/>
    <s v=""/>
  </r>
  <r>
    <x v="77"/>
    <x v="77"/>
    <x v="4"/>
    <s v="14.04.2011"/>
    <x v="445"/>
    <x v="4"/>
    <x v="3"/>
    <d v="1899-12-30T22:25:13"/>
    <s v=""/>
    <s v=""/>
    <s v=""/>
    <d v="1899-12-30T09:00:00"/>
    <s v=""/>
    <s v=""/>
    <s v=""/>
  </r>
  <r>
    <x v="77"/>
    <x v="77"/>
    <x v="4"/>
    <s v="15.04.2011"/>
    <x v="445"/>
    <x v="4"/>
    <x v="3"/>
    <s v=""/>
    <d v="1899-12-30T07:33:30"/>
    <s v=""/>
    <s v=""/>
    <d v="1899-12-30T00:00:00"/>
    <s v=""/>
    <s v=""/>
    <s v=""/>
  </r>
  <r>
    <x v="77"/>
    <x v="77"/>
    <x v="5"/>
    <s v="15.04.2011"/>
    <x v="446"/>
    <x v="5"/>
    <x v="3"/>
    <d v="1899-12-30T23:00:32"/>
    <s v=""/>
    <s v=""/>
    <s v=""/>
    <d v="1899-12-30T09:00:00"/>
    <s v=""/>
    <s v=""/>
    <s v=""/>
  </r>
  <r>
    <x v="77"/>
    <x v="77"/>
    <x v="5"/>
    <s v="16.04.2011"/>
    <x v="446"/>
    <x v="5"/>
    <x v="3"/>
    <s v=""/>
    <d v="1899-12-30T07:38:37"/>
    <s v=""/>
    <s v=""/>
    <d v="1899-12-30T00:00:00"/>
    <s v=""/>
    <s v=""/>
    <s v=""/>
  </r>
  <r>
    <x v="78"/>
    <x v="78"/>
    <x v="0"/>
    <s v="11.04.2011"/>
    <x v="447"/>
    <x v="0"/>
    <x v="2"/>
    <s v=""/>
    <d v="1899-12-30T22:47:05"/>
    <s v=""/>
    <s v=""/>
    <s v=""/>
    <s v=""/>
    <s v=""/>
    <s v=""/>
  </r>
  <r>
    <x v="78"/>
    <x v="78"/>
    <x v="0"/>
    <s v="11.04.2011"/>
    <x v="447"/>
    <x v="0"/>
    <x v="2"/>
    <d v="1899-12-30T14:34:21"/>
    <s v=""/>
    <s v=""/>
    <s v=""/>
    <d v="1899-12-30T00:00:00"/>
    <s v=""/>
    <s v=""/>
    <s v=""/>
  </r>
  <r>
    <x v="78"/>
    <x v="78"/>
    <x v="1"/>
    <s v="12.04.2011"/>
    <x v="448"/>
    <x v="1"/>
    <x v="2"/>
    <s v=""/>
    <d v="1899-12-30T22:44:41"/>
    <s v=""/>
    <s v=""/>
    <s v=""/>
    <s v=""/>
    <s v=""/>
    <s v=""/>
  </r>
  <r>
    <x v="78"/>
    <x v="78"/>
    <x v="1"/>
    <s v="12.04.2011"/>
    <x v="448"/>
    <x v="1"/>
    <x v="2"/>
    <d v="1899-12-30T14:34:09"/>
    <s v=""/>
    <s v=""/>
    <s v=""/>
    <d v="1899-12-30T00:00:00"/>
    <s v=""/>
    <s v=""/>
    <s v=""/>
  </r>
  <r>
    <x v="78"/>
    <x v="78"/>
    <x v="2"/>
    <s v="13.04.2011"/>
    <x v="449"/>
    <x v="2"/>
    <x v="2"/>
    <s v=""/>
    <d v="1899-12-30T15:21:15"/>
    <s v=""/>
    <s v=""/>
    <s v=""/>
    <s v=""/>
    <s v=""/>
    <s v=""/>
  </r>
  <r>
    <x v="78"/>
    <x v="78"/>
    <x v="2"/>
    <s v="13.04.2011"/>
    <x v="449"/>
    <x v="2"/>
    <x v="2"/>
    <d v="1899-12-30T07:19:55"/>
    <s v=""/>
    <s v=""/>
    <s v=""/>
    <d v="1899-12-30T00:00:00"/>
    <s v=""/>
    <s v=""/>
    <s v=""/>
  </r>
  <r>
    <x v="78"/>
    <x v="78"/>
    <x v="3"/>
    <s v="14.04.2011"/>
    <x v="450"/>
    <x v="3"/>
    <x v="2"/>
    <s v=""/>
    <d v="1899-12-30T22:50:59"/>
    <s v=""/>
    <s v=""/>
    <s v=""/>
    <s v=""/>
    <s v=""/>
    <s v=""/>
  </r>
  <r>
    <x v="78"/>
    <x v="78"/>
    <x v="3"/>
    <s v="14.04.2011"/>
    <x v="450"/>
    <x v="3"/>
    <x v="2"/>
    <d v="1899-12-30T14:35:52"/>
    <s v=""/>
    <s v=""/>
    <s v=""/>
    <d v="1899-12-30T00:00:00"/>
    <s v=""/>
    <s v=""/>
    <s v=""/>
  </r>
  <r>
    <x v="78"/>
    <x v="78"/>
    <x v="4"/>
    <s v="15.04.2011"/>
    <x v="451"/>
    <x v="4"/>
    <x v="2"/>
    <s v=""/>
    <d v="1899-12-30T22:44:30"/>
    <s v=""/>
    <s v=""/>
    <s v=""/>
    <s v=""/>
    <s v=""/>
    <s v=""/>
  </r>
  <r>
    <x v="78"/>
    <x v="78"/>
    <x v="4"/>
    <s v="15.04.2011"/>
    <x v="451"/>
    <x v="4"/>
    <x v="2"/>
    <d v="1899-12-30T14:38:03"/>
    <s v=""/>
    <s v=""/>
    <s v=""/>
    <d v="1899-12-30T00:00:00"/>
    <s v=""/>
    <s v=""/>
    <s v=""/>
  </r>
  <r>
    <x v="78"/>
    <x v="78"/>
    <x v="5"/>
    <s v="16.04.2011"/>
    <x v="452"/>
    <x v="5"/>
    <x v="2"/>
    <s v=""/>
    <d v="1899-12-30T22:44:14"/>
    <s v=""/>
    <s v=""/>
    <s v=""/>
    <s v=""/>
    <s v=""/>
    <s v=""/>
  </r>
  <r>
    <x v="78"/>
    <x v="78"/>
    <x v="5"/>
    <s v="16.04.2011"/>
    <x v="452"/>
    <x v="5"/>
    <x v="2"/>
    <d v="1899-12-30T15:03:30"/>
    <s v=""/>
    <s v=""/>
    <s v=""/>
    <d v="1899-12-30T00:00:00"/>
    <s v=""/>
    <s v=""/>
    <s v=""/>
  </r>
  <r>
    <x v="79"/>
    <x v="79"/>
    <x v="0"/>
    <s v="11.04.2011"/>
    <x v="453"/>
    <x v="0"/>
    <x v="2"/>
    <d v="1899-12-30T22:06:04"/>
    <s v=""/>
    <s v=""/>
    <s v=""/>
    <s v=""/>
    <s v=""/>
    <s v=""/>
    <s v=""/>
  </r>
  <r>
    <x v="79"/>
    <x v="79"/>
    <x v="1"/>
    <s v="12.04.2011"/>
    <x v="454"/>
    <x v="1"/>
    <x v="2"/>
    <s v=""/>
    <d v="1899-12-30T07:47:35"/>
    <s v=""/>
    <s v=""/>
    <s v=""/>
    <s v=""/>
    <s v=""/>
    <s v=""/>
  </r>
  <r>
    <x v="79"/>
    <x v="79"/>
    <x v="1"/>
    <s v="12.04.2011"/>
    <x v="454"/>
    <x v="1"/>
    <x v="2"/>
    <d v="1899-12-30T22:03:18"/>
    <s v=""/>
    <s v=""/>
    <s v=""/>
    <d v="1899-12-30T00:00:00"/>
    <s v=""/>
    <s v=""/>
    <s v=""/>
  </r>
  <r>
    <x v="79"/>
    <x v="79"/>
    <x v="2"/>
    <s v="13.04.2011"/>
    <x v="455"/>
    <x v="2"/>
    <x v="2"/>
    <s v=""/>
    <d v="1899-12-30T07:43:20"/>
    <s v=""/>
    <s v=""/>
    <s v=""/>
    <s v=""/>
    <s v=""/>
    <s v=""/>
  </r>
  <r>
    <x v="79"/>
    <x v="79"/>
    <x v="2"/>
    <s v="13.04.2011"/>
    <x v="455"/>
    <x v="2"/>
    <x v="2"/>
    <d v="1899-12-30T22:06:26"/>
    <s v=""/>
    <s v=""/>
    <s v=""/>
    <d v="1899-12-30T00:00:00"/>
    <s v=""/>
    <s v=""/>
    <s v=""/>
  </r>
  <r>
    <x v="79"/>
    <x v="79"/>
    <x v="3"/>
    <s v="14.04.2011"/>
    <x v="456"/>
    <x v="3"/>
    <x v="2"/>
    <s v=""/>
    <d v="1899-12-30T07:44:49"/>
    <s v=""/>
    <s v=""/>
    <s v=""/>
    <s v=""/>
    <s v=""/>
    <s v=""/>
  </r>
  <r>
    <x v="79"/>
    <x v="79"/>
    <x v="3"/>
    <s v="14.04.2011"/>
    <x v="456"/>
    <x v="3"/>
    <x v="2"/>
    <d v="1899-12-30T22:05:17"/>
    <s v=""/>
    <s v=""/>
    <s v=""/>
    <d v="1899-12-30T00:00:00"/>
    <s v=""/>
    <s v=""/>
    <s v=""/>
  </r>
  <r>
    <x v="79"/>
    <x v="79"/>
    <x v="4"/>
    <s v="15.04.2011"/>
    <x v="457"/>
    <x v="4"/>
    <x v="2"/>
    <s v=""/>
    <d v="1899-12-30T07:43:01"/>
    <s v=""/>
    <s v=""/>
    <s v=""/>
    <s v=""/>
    <s v=""/>
    <s v=""/>
  </r>
  <r>
    <x v="79"/>
    <x v="79"/>
    <x v="4"/>
    <s v="15.04.2011"/>
    <x v="457"/>
    <x v="4"/>
    <x v="2"/>
    <d v="1899-12-30T22:05:33"/>
    <s v=""/>
    <s v=""/>
    <s v=""/>
    <d v="1899-12-30T00:00:00"/>
    <s v=""/>
    <s v=""/>
    <s v=""/>
  </r>
  <r>
    <x v="79"/>
    <x v="79"/>
    <x v="5"/>
    <s v="16.04.2011"/>
    <x v="458"/>
    <x v="5"/>
    <x v="2"/>
    <s v=""/>
    <d v="1899-12-30T07:39:06"/>
    <s v=""/>
    <s v=""/>
    <s v=""/>
    <s v=""/>
    <s v=""/>
    <s v=""/>
  </r>
  <r>
    <x v="80"/>
    <x v="80"/>
    <x v="4"/>
    <s v="15.04.2011"/>
    <x v="459"/>
    <x v="4"/>
    <x v="2"/>
    <s v=""/>
    <d v="1899-12-30T16:50:15"/>
    <s v=""/>
    <s v=""/>
    <d v="1899-12-30T00:00:00"/>
    <s v=""/>
    <s v=""/>
    <s v=""/>
  </r>
  <r>
    <x v="80"/>
    <x v="80"/>
    <x v="4"/>
    <s v="15.04.2011"/>
    <x v="459"/>
    <x v="4"/>
    <x v="2"/>
    <d v="1899-12-30T07:28:33"/>
    <s v=""/>
    <s v=""/>
    <s v=""/>
    <d v="1899-12-30T00:00:00"/>
    <s v=""/>
    <s v=""/>
    <s v=""/>
  </r>
  <r>
    <x v="81"/>
    <x v="81"/>
    <x v="0"/>
    <s v="11.04.2011"/>
    <x v="460"/>
    <x v="0"/>
    <x v="4"/>
    <s v=""/>
    <d v="1899-12-30T15:12:03"/>
    <s v=""/>
    <s v=""/>
    <d v="1899-12-30T07:30:00"/>
    <s v=""/>
    <s v=""/>
    <s v=""/>
  </r>
  <r>
    <x v="81"/>
    <x v="81"/>
    <x v="0"/>
    <s v="11.04.2011"/>
    <x v="460"/>
    <x v="0"/>
    <x v="4"/>
    <d v="1899-12-30T07:36:39"/>
    <s v=""/>
    <s v=""/>
    <s v=""/>
    <d v="1899-12-30T00:00:00"/>
    <s v=""/>
    <s v=""/>
    <s v=""/>
  </r>
  <r>
    <x v="81"/>
    <x v="81"/>
    <x v="1"/>
    <s v="12.04.2011"/>
    <x v="461"/>
    <x v="1"/>
    <x v="4"/>
    <s v=""/>
    <d v="1899-12-30T17:09:07"/>
    <d v="1899-12-30T02:30:00"/>
    <s v=""/>
    <d v="1899-12-30T07:30:00"/>
    <s v=""/>
    <s v=""/>
    <s v=""/>
  </r>
  <r>
    <x v="81"/>
    <x v="81"/>
    <x v="1"/>
    <s v="12.04.2011"/>
    <x v="461"/>
    <x v="1"/>
    <x v="4"/>
    <d v="1899-12-30T07:27:24"/>
    <s v=""/>
    <s v=""/>
    <s v=""/>
    <d v="1899-12-30T00:00:00"/>
    <s v=""/>
    <s v=""/>
    <s v=""/>
  </r>
  <r>
    <x v="81"/>
    <x v="81"/>
    <x v="2"/>
    <s v="13.04.2011"/>
    <x v="462"/>
    <x v="2"/>
    <x v="4"/>
    <s v=""/>
    <d v="1899-12-30T17:03:42"/>
    <d v="1899-12-30T02:30:00"/>
    <s v=""/>
    <d v="1899-12-30T07:30:00"/>
    <s v=""/>
    <s v=""/>
    <s v=""/>
  </r>
  <r>
    <x v="81"/>
    <x v="81"/>
    <x v="2"/>
    <s v="13.04.2011"/>
    <x v="462"/>
    <x v="2"/>
    <x v="4"/>
    <d v="1899-12-30T07:28:38"/>
    <s v=""/>
    <s v=""/>
    <s v=""/>
    <d v="1899-12-30T00:00:00"/>
    <s v=""/>
    <s v=""/>
    <s v=""/>
  </r>
  <r>
    <x v="81"/>
    <x v="81"/>
    <x v="4"/>
    <s v="15.04.2011"/>
    <x v="463"/>
    <x v="4"/>
    <x v="4"/>
    <s v=""/>
    <d v="1899-12-30T15:00:20"/>
    <s v=""/>
    <s v=""/>
    <d v="1899-12-30T07:30:00"/>
    <s v=""/>
    <s v=""/>
    <s v=""/>
  </r>
  <r>
    <x v="81"/>
    <x v="81"/>
    <x v="4"/>
    <s v="15.04.2011"/>
    <x v="463"/>
    <x v="4"/>
    <x v="4"/>
    <d v="1899-12-30T07:45:43"/>
    <s v=""/>
    <s v=""/>
    <s v=""/>
    <d v="1899-12-30T00:00:00"/>
    <s v=""/>
    <s v=""/>
    <s v=""/>
  </r>
  <r>
    <x v="81"/>
    <x v="81"/>
    <x v="5"/>
    <s v="16.04.2011"/>
    <x v="464"/>
    <x v="5"/>
    <x v="4"/>
    <s v=""/>
    <d v="1899-12-30T15:09:04"/>
    <s v=""/>
    <s v=""/>
    <d v="1899-12-30T07:30:00"/>
    <s v=""/>
    <s v=""/>
    <s v=""/>
  </r>
  <r>
    <x v="81"/>
    <x v="81"/>
    <x v="5"/>
    <s v="16.04.2011"/>
    <x v="464"/>
    <x v="5"/>
    <x v="4"/>
    <d v="1899-12-30T07:41:41"/>
    <s v=""/>
    <s v=""/>
    <s v=""/>
    <d v="1899-12-30T00:00:00"/>
    <s v=""/>
    <s v=""/>
    <s v=""/>
  </r>
  <r>
    <x v="82"/>
    <x v="82"/>
    <x v="0"/>
    <s v="11.04.2011"/>
    <x v="465"/>
    <x v="0"/>
    <x v="4"/>
    <s v=""/>
    <d v="1899-12-30T15:10:52"/>
    <s v=""/>
    <s v=""/>
    <d v="1899-12-30T07:30:00"/>
    <s v=""/>
    <s v=""/>
    <s v=""/>
  </r>
  <r>
    <x v="82"/>
    <x v="82"/>
    <x v="0"/>
    <s v="11.04.2011"/>
    <x v="465"/>
    <x v="0"/>
    <x v="4"/>
    <d v="1899-12-30T06:59:02"/>
    <s v=""/>
    <s v=""/>
    <s v=""/>
    <d v="1899-12-30T00:00:00"/>
    <s v=""/>
    <s v=""/>
    <s v=""/>
  </r>
  <r>
    <x v="82"/>
    <x v="82"/>
    <x v="1"/>
    <s v="12.04.2011"/>
    <x v="466"/>
    <x v="1"/>
    <x v="4"/>
    <s v=""/>
    <d v="1899-12-30T14:58:49"/>
    <s v=""/>
    <s v=""/>
    <d v="1899-12-30T07:30:00"/>
    <s v=""/>
    <s v=""/>
    <s v=""/>
  </r>
  <r>
    <x v="82"/>
    <x v="82"/>
    <x v="1"/>
    <s v="12.04.2011"/>
    <x v="466"/>
    <x v="1"/>
    <x v="4"/>
    <d v="1899-12-30T07:07:05"/>
    <s v=""/>
    <s v=""/>
    <s v=""/>
    <d v="1899-12-30T00:00:00"/>
    <s v=""/>
    <s v=""/>
    <s v=""/>
  </r>
  <r>
    <x v="82"/>
    <x v="82"/>
    <x v="2"/>
    <s v="13.04.2011"/>
    <x v="467"/>
    <x v="2"/>
    <x v="4"/>
    <s v=""/>
    <d v="1899-12-30T15:11:11"/>
    <s v=""/>
    <s v=""/>
    <d v="1899-12-30T07:30:00"/>
    <s v=""/>
    <s v=""/>
    <s v=""/>
  </r>
  <r>
    <x v="82"/>
    <x v="82"/>
    <x v="2"/>
    <s v="13.04.2011"/>
    <x v="467"/>
    <x v="2"/>
    <x v="4"/>
    <d v="1899-12-30T07:06:45"/>
    <s v=""/>
    <s v=""/>
    <s v=""/>
    <d v="1899-12-30T00:00:00"/>
    <s v=""/>
    <s v=""/>
    <s v=""/>
  </r>
  <r>
    <x v="82"/>
    <x v="82"/>
    <x v="3"/>
    <s v="14.04.2011"/>
    <x v="468"/>
    <x v="3"/>
    <x v="4"/>
    <s v=""/>
    <d v="1899-12-30T15:16:00"/>
    <s v=""/>
    <s v=""/>
    <d v="1899-12-30T07:30:00"/>
    <s v=""/>
    <s v=""/>
    <s v=""/>
  </r>
  <r>
    <x v="82"/>
    <x v="82"/>
    <x v="3"/>
    <s v="14.04.2011"/>
    <x v="468"/>
    <x v="3"/>
    <x v="4"/>
    <d v="1899-12-30T07:07:14"/>
    <s v=""/>
    <s v=""/>
    <s v=""/>
    <d v="1899-12-30T00:00:00"/>
    <s v=""/>
    <s v=""/>
    <s v=""/>
  </r>
  <r>
    <x v="82"/>
    <x v="82"/>
    <x v="4"/>
    <s v="15.04.2011"/>
    <x v="469"/>
    <x v="4"/>
    <x v="4"/>
    <s v=""/>
    <d v="1899-12-30T15:12:55"/>
    <s v=""/>
    <s v=""/>
    <d v="1899-12-30T07:30:00"/>
    <s v=""/>
    <s v=""/>
    <s v=""/>
  </r>
  <r>
    <x v="82"/>
    <x v="82"/>
    <x v="4"/>
    <s v="15.04.2011"/>
    <x v="469"/>
    <x v="4"/>
    <x v="4"/>
    <d v="1899-12-30T07:06:57"/>
    <s v=""/>
    <s v=""/>
    <s v=""/>
    <d v="1899-12-30T00:00:00"/>
    <s v=""/>
    <s v=""/>
    <s v=""/>
  </r>
  <r>
    <x v="82"/>
    <x v="82"/>
    <x v="5"/>
    <s v="16.04.2011"/>
    <x v="470"/>
    <x v="5"/>
    <x v="4"/>
    <s v=""/>
    <d v="1899-12-30T15:16:40"/>
    <s v=""/>
    <s v=""/>
    <d v="1899-12-30T07:30:00"/>
    <s v=""/>
    <s v=""/>
    <s v=""/>
  </r>
  <r>
    <x v="82"/>
    <x v="82"/>
    <x v="5"/>
    <s v="16.04.2011"/>
    <x v="470"/>
    <x v="5"/>
    <x v="4"/>
    <d v="1899-12-30T07:01:50"/>
    <s v=""/>
    <s v=""/>
    <s v=""/>
    <d v="1899-12-30T00:00:00"/>
    <s v=""/>
    <s v=""/>
    <s v=""/>
  </r>
  <r>
    <x v="83"/>
    <x v="83"/>
    <x v="0"/>
    <s v="11.04.2011"/>
    <x v="471"/>
    <x v="0"/>
    <x v="4"/>
    <s v=""/>
    <d v="1899-12-30T15:02:29"/>
    <s v=""/>
    <s v=""/>
    <d v="1899-12-30T07:30:00"/>
    <s v=""/>
    <s v=""/>
    <s v=""/>
  </r>
  <r>
    <x v="83"/>
    <x v="83"/>
    <x v="0"/>
    <s v="11.04.2011"/>
    <x v="471"/>
    <x v="0"/>
    <x v="4"/>
    <d v="1899-12-30T07:17:29"/>
    <s v=""/>
    <s v=""/>
    <s v=""/>
    <d v="1899-12-30T00:00:00"/>
    <s v=""/>
    <s v=""/>
    <s v=""/>
  </r>
  <r>
    <x v="83"/>
    <x v="83"/>
    <x v="1"/>
    <s v="12.04.2011"/>
    <x v="472"/>
    <x v="1"/>
    <x v="4"/>
    <s v=""/>
    <d v="1899-12-30T15:12:51"/>
    <s v=""/>
    <s v=""/>
    <d v="1899-12-30T07:30:00"/>
    <s v=""/>
    <s v=""/>
    <s v=""/>
  </r>
  <r>
    <x v="83"/>
    <x v="83"/>
    <x v="1"/>
    <s v="12.04.2011"/>
    <x v="472"/>
    <x v="1"/>
    <x v="4"/>
    <d v="1899-12-30T07:10:07"/>
    <s v=""/>
    <s v=""/>
    <s v=""/>
    <d v="1899-12-30T00:00:00"/>
    <s v=""/>
    <s v=""/>
    <s v=""/>
  </r>
  <r>
    <x v="83"/>
    <x v="83"/>
    <x v="2"/>
    <s v="13.04.2011"/>
    <x v="473"/>
    <x v="2"/>
    <x v="4"/>
    <s v=""/>
    <d v="1899-12-30T15:08:25"/>
    <s v=""/>
    <s v=""/>
    <d v="1899-12-30T07:30:00"/>
    <s v=""/>
    <s v=""/>
    <s v=""/>
  </r>
  <r>
    <x v="83"/>
    <x v="83"/>
    <x v="2"/>
    <s v="13.04.2011"/>
    <x v="473"/>
    <x v="2"/>
    <x v="4"/>
    <d v="1899-12-30T07:17:33"/>
    <s v=""/>
    <s v=""/>
    <s v=""/>
    <d v="1899-12-30T00:00:00"/>
    <s v=""/>
    <s v=""/>
    <s v=""/>
  </r>
  <r>
    <x v="83"/>
    <x v="83"/>
    <x v="3"/>
    <s v="14.04.2011"/>
    <x v="474"/>
    <x v="3"/>
    <x v="4"/>
    <s v=""/>
    <d v="1899-12-30T15:04:47"/>
    <s v=""/>
    <s v=""/>
    <d v="1899-12-30T07:30:00"/>
    <s v=""/>
    <s v=""/>
    <s v=""/>
  </r>
  <r>
    <x v="83"/>
    <x v="83"/>
    <x v="3"/>
    <s v="14.04.2011"/>
    <x v="474"/>
    <x v="3"/>
    <x v="4"/>
    <d v="1899-12-30T07:28:09"/>
    <s v=""/>
    <s v=""/>
    <s v=""/>
    <d v="1899-12-30T00:00:00"/>
    <s v=""/>
    <s v=""/>
    <s v=""/>
  </r>
  <r>
    <x v="83"/>
    <x v="83"/>
    <x v="4"/>
    <s v="15.04.2011"/>
    <x v="475"/>
    <x v="4"/>
    <x v="4"/>
    <s v=""/>
    <d v="1899-12-30T15:18:09"/>
    <s v=""/>
    <s v=""/>
    <d v="1899-12-30T07:30:00"/>
    <s v=""/>
    <s v=""/>
    <s v=""/>
  </r>
  <r>
    <x v="83"/>
    <x v="83"/>
    <x v="4"/>
    <s v="15.04.2011"/>
    <x v="475"/>
    <x v="4"/>
    <x v="4"/>
    <d v="1899-12-30T07:19:37"/>
    <s v=""/>
    <s v=""/>
    <s v=""/>
    <d v="1899-12-30T00:00:00"/>
    <s v=""/>
    <s v=""/>
    <s v=""/>
  </r>
  <r>
    <x v="83"/>
    <x v="83"/>
    <x v="5"/>
    <s v="16.04.2011"/>
    <x v="476"/>
    <x v="5"/>
    <x v="4"/>
    <s v=""/>
    <d v="1899-12-30T15:21:05"/>
    <s v=""/>
    <s v=""/>
    <d v="1899-12-30T07:30:00"/>
    <s v=""/>
    <s v=""/>
    <s v=""/>
  </r>
  <r>
    <x v="83"/>
    <x v="83"/>
    <x v="5"/>
    <s v="16.04.2011"/>
    <x v="476"/>
    <x v="5"/>
    <x v="4"/>
    <d v="1899-12-30T07:32:50"/>
    <s v=""/>
    <s v=""/>
    <s v=""/>
    <d v="1899-12-30T00:00:00"/>
    <s v=""/>
    <s v=""/>
    <s v=""/>
  </r>
  <r>
    <x v="84"/>
    <x v="84"/>
    <x v="0"/>
    <s v="11.04.2011"/>
    <x v="477"/>
    <x v="0"/>
    <x v="2"/>
    <d v="1899-12-30T22:06:43"/>
    <s v=""/>
    <s v=""/>
    <s v=""/>
    <s v=""/>
    <s v=""/>
    <s v=""/>
    <s v=""/>
  </r>
  <r>
    <x v="84"/>
    <x v="84"/>
    <x v="1"/>
    <s v="12.04.2011"/>
    <x v="478"/>
    <x v="1"/>
    <x v="2"/>
    <s v=""/>
    <d v="1899-12-30T07:51:48"/>
    <s v=""/>
    <s v=""/>
    <s v=""/>
    <s v=""/>
    <s v=""/>
    <s v=""/>
  </r>
  <r>
    <x v="84"/>
    <x v="84"/>
    <x v="1"/>
    <s v="12.04.2011"/>
    <x v="478"/>
    <x v="1"/>
    <x v="2"/>
    <d v="1899-12-30T22:04:15"/>
    <s v=""/>
    <s v=""/>
    <s v=""/>
    <d v="1899-12-30T00:00:00"/>
    <s v=""/>
    <s v=""/>
    <s v=""/>
  </r>
  <r>
    <x v="84"/>
    <x v="84"/>
    <x v="2"/>
    <s v="13.04.2011"/>
    <x v="479"/>
    <x v="2"/>
    <x v="2"/>
    <s v=""/>
    <d v="1899-12-30T07:51:47"/>
    <s v=""/>
    <s v=""/>
    <s v=""/>
    <s v=""/>
    <s v=""/>
    <s v=""/>
  </r>
  <r>
    <x v="84"/>
    <x v="84"/>
    <x v="2"/>
    <s v="13.04.2011"/>
    <x v="479"/>
    <x v="2"/>
    <x v="2"/>
    <d v="1899-12-30T22:06:48"/>
    <s v=""/>
    <s v=""/>
    <s v=""/>
    <d v="1899-12-30T00:00:00"/>
    <s v=""/>
    <s v=""/>
    <s v=""/>
  </r>
  <r>
    <x v="84"/>
    <x v="84"/>
    <x v="3"/>
    <s v="14.04.2011"/>
    <x v="480"/>
    <x v="3"/>
    <x v="2"/>
    <s v=""/>
    <d v="1899-12-30T07:53:11"/>
    <s v=""/>
    <s v=""/>
    <s v=""/>
    <s v=""/>
    <s v=""/>
    <s v=""/>
  </r>
  <r>
    <x v="84"/>
    <x v="84"/>
    <x v="3"/>
    <s v="14.04.2011"/>
    <x v="480"/>
    <x v="3"/>
    <x v="2"/>
    <d v="1899-12-30T22:05:59"/>
    <s v=""/>
    <s v=""/>
    <s v=""/>
    <d v="1899-12-30T00:00:00"/>
    <s v=""/>
    <s v=""/>
    <s v=""/>
  </r>
  <r>
    <x v="84"/>
    <x v="84"/>
    <x v="4"/>
    <s v="15.04.2011"/>
    <x v="481"/>
    <x v="4"/>
    <x v="2"/>
    <s v=""/>
    <d v="1899-12-30T07:52:55"/>
    <s v=""/>
    <s v=""/>
    <s v=""/>
    <s v=""/>
    <s v=""/>
    <s v=""/>
  </r>
  <r>
    <x v="84"/>
    <x v="84"/>
    <x v="4"/>
    <s v="15.04.2011"/>
    <x v="481"/>
    <x v="4"/>
    <x v="2"/>
    <d v="1899-12-30T22:06:04"/>
    <s v=""/>
    <s v=""/>
    <s v=""/>
    <d v="1899-12-30T00:00:00"/>
    <s v=""/>
    <s v=""/>
    <s v=""/>
  </r>
  <r>
    <x v="84"/>
    <x v="84"/>
    <x v="5"/>
    <s v="16.04.2011"/>
    <x v="482"/>
    <x v="5"/>
    <x v="2"/>
    <s v=""/>
    <d v="1899-12-30T07:52:04"/>
    <s v=""/>
    <s v=""/>
    <s v=""/>
    <s v=""/>
    <s v=""/>
    <s v=""/>
  </r>
  <r>
    <x v="85"/>
    <x v="85"/>
    <x v="0"/>
    <s v="11.04.2011"/>
    <x v="483"/>
    <x v="0"/>
    <x v="2"/>
    <s v=""/>
    <d v="1899-12-30T15:13:44"/>
    <s v=""/>
    <s v=""/>
    <s v=""/>
    <s v=""/>
    <s v=""/>
    <s v=""/>
  </r>
  <r>
    <x v="85"/>
    <x v="85"/>
    <x v="0"/>
    <s v="11.04.2011"/>
    <x v="483"/>
    <x v="0"/>
    <x v="2"/>
    <d v="1899-12-30T07:04:53"/>
    <s v=""/>
    <s v=""/>
    <s v=""/>
    <d v="1899-12-30T00:00:00"/>
    <s v=""/>
    <s v=""/>
    <s v=""/>
  </r>
  <r>
    <x v="85"/>
    <x v="85"/>
    <x v="1"/>
    <s v="12.04.2011"/>
    <x v="484"/>
    <x v="1"/>
    <x v="2"/>
    <s v=""/>
    <d v="1899-12-30T15:11:33"/>
    <s v=""/>
    <s v=""/>
    <s v=""/>
    <s v=""/>
    <s v=""/>
    <s v=""/>
  </r>
  <r>
    <x v="85"/>
    <x v="85"/>
    <x v="1"/>
    <s v="12.04.2011"/>
    <x v="484"/>
    <x v="1"/>
    <x v="2"/>
    <d v="1899-12-30T07:04:05"/>
    <s v=""/>
    <s v=""/>
    <s v=""/>
    <d v="1899-12-30T00:00:00"/>
    <s v=""/>
    <s v=""/>
    <s v=""/>
  </r>
  <r>
    <x v="85"/>
    <x v="85"/>
    <x v="2"/>
    <s v="13.04.2011"/>
    <x v="485"/>
    <x v="2"/>
    <x v="2"/>
    <s v=""/>
    <d v="1899-12-30T15:09:27"/>
    <s v=""/>
    <s v=""/>
    <s v=""/>
    <s v=""/>
    <s v=""/>
    <s v=""/>
  </r>
  <r>
    <x v="85"/>
    <x v="85"/>
    <x v="2"/>
    <s v="13.04.2011"/>
    <x v="485"/>
    <x v="2"/>
    <x v="2"/>
    <d v="1899-12-30T07:04:45"/>
    <s v=""/>
    <s v=""/>
    <s v=""/>
    <d v="1899-12-30T00:00:00"/>
    <s v=""/>
    <s v=""/>
    <s v=""/>
  </r>
  <r>
    <x v="85"/>
    <x v="85"/>
    <x v="3"/>
    <s v="14.04.2011"/>
    <x v="486"/>
    <x v="3"/>
    <x v="2"/>
    <s v=""/>
    <d v="1899-12-30T15:09:07"/>
    <s v=""/>
    <s v=""/>
    <s v=""/>
    <s v=""/>
    <s v=""/>
    <s v=""/>
  </r>
  <r>
    <x v="85"/>
    <x v="85"/>
    <x v="3"/>
    <s v="14.04.2011"/>
    <x v="486"/>
    <x v="3"/>
    <x v="2"/>
    <d v="1899-12-30T07:03:17"/>
    <s v=""/>
    <s v=""/>
    <s v=""/>
    <d v="1899-12-30T00:00:00"/>
    <s v=""/>
    <s v=""/>
    <s v=""/>
  </r>
  <r>
    <x v="85"/>
    <x v="85"/>
    <x v="4"/>
    <s v="15.04.2011"/>
    <x v="487"/>
    <x v="4"/>
    <x v="2"/>
    <s v=""/>
    <d v="1899-12-30T15:10:06"/>
    <s v=""/>
    <s v=""/>
    <s v=""/>
    <s v=""/>
    <s v=""/>
    <s v=""/>
  </r>
  <r>
    <x v="85"/>
    <x v="85"/>
    <x v="4"/>
    <s v="15.04.2011"/>
    <x v="487"/>
    <x v="4"/>
    <x v="2"/>
    <d v="1899-12-30T07:05:04"/>
    <s v=""/>
    <s v=""/>
    <s v=""/>
    <d v="1899-12-30T00:00:00"/>
    <s v=""/>
    <s v=""/>
    <s v=""/>
  </r>
  <r>
    <x v="85"/>
    <x v="85"/>
    <x v="5"/>
    <s v="16.04.2011"/>
    <x v="488"/>
    <x v="5"/>
    <x v="2"/>
    <s v=""/>
    <d v="1899-12-30T15:11:57"/>
    <s v=""/>
    <s v=""/>
    <s v=""/>
    <s v=""/>
    <s v=""/>
    <s v=""/>
  </r>
  <r>
    <x v="85"/>
    <x v="85"/>
    <x v="5"/>
    <s v="16.04.2011"/>
    <x v="488"/>
    <x v="5"/>
    <x v="2"/>
    <d v="1899-12-30T07:03:10"/>
    <s v=""/>
    <s v=""/>
    <s v=""/>
    <d v="1899-12-30T00:00:00"/>
    <s v=""/>
    <s v=""/>
    <s v=""/>
  </r>
  <r>
    <x v="86"/>
    <x v="86"/>
    <x v="0"/>
    <s v="11.04.2011"/>
    <x v="489"/>
    <x v="0"/>
    <x v="4"/>
    <s v=""/>
    <d v="1899-12-30T17:26:38"/>
    <d v="1899-12-30T02:00:00"/>
    <s v=""/>
    <d v="1899-12-30T07:30:00"/>
    <s v=""/>
    <s v=""/>
    <s v=""/>
  </r>
  <r>
    <x v="86"/>
    <x v="86"/>
    <x v="0"/>
    <s v="11.04.2011"/>
    <x v="489"/>
    <x v="0"/>
    <x v="4"/>
    <d v="1899-12-30T07:14:48"/>
    <s v=""/>
    <s v=""/>
    <s v=""/>
    <d v="1899-12-30T00:00:00"/>
    <s v=""/>
    <s v=""/>
    <s v=""/>
  </r>
  <r>
    <x v="86"/>
    <x v="86"/>
    <x v="1"/>
    <s v="12.04.2011"/>
    <x v="490"/>
    <x v="1"/>
    <x v="4"/>
    <s v=""/>
    <d v="1899-12-30T17:16:18"/>
    <d v="1899-12-30T02:00:00"/>
    <s v=""/>
    <d v="1899-12-30T07:30:00"/>
    <s v=""/>
    <s v=""/>
    <s v=""/>
  </r>
  <r>
    <x v="86"/>
    <x v="86"/>
    <x v="1"/>
    <s v="12.04.2011"/>
    <x v="490"/>
    <x v="1"/>
    <x v="4"/>
    <d v="1899-12-30T07:20:28"/>
    <s v=""/>
    <s v=""/>
    <s v=""/>
    <d v="1899-12-30T00:00:00"/>
    <s v=""/>
    <s v=""/>
    <s v=""/>
  </r>
  <r>
    <x v="86"/>
    <x v="86"/>
    <x v="2"/>
    <s v="13.04.2011"/>
    <x v="491"/>
    <x v="2"/>
    <x v="4"/>
    <s v=""/>
    <d v="1899-12-30T15:48:42"/>
    <s v=""/>
    <s v=""/>
    <d v="1899-12-30T07:30:00"/>
    <s v=""/>
    <s v=""/>
    <s v=""/>
  </r>
  <r>
    <x v="86"/>
    <x v="86"/>
    <x v="2"/>
    <s v="13.04.2011"/>
    <x v="491"/>
    <x v="2"/>
    <x v="4"/>
    <d v="1899-12-30T07:20:38"/>
    <s v=""/>
    <s v=""/>
    <s v=""/>
    <d v="1899-12-30T00:00:00"/>
    <s v=""/>
    <s v=""/>
    <s v=""/>
  </r>
  <r>
    <x v="86"/>
    <x v="86"/>
    <x v="3"/>
    <s v="14.04.2011"/>
    <x v="492"/>
    <x v="3"/>
    <x v="4"/>
    <s v=""/>
    <d v="1899-12-30T17:23:27"/>
    <d v="1899-12-30T02:00:00"/>
    <s v=""/>
    <d v="1899-12-30T07:30:00"/>
    <s v=""/>
    <s v=""/>
    <s v=""/>
  </r>
  <r>
    <x v="86"/>
    <x v="86"/>
    <x v="3"/>
    <s v="14.04.2011"/>
    <x v="492"/>
    <x v="3"/>
    <x v="4"/>
    <d v="1899-12-30T07:13:20"/>
    <s v=""/>
    <s v=""/>
    <s v=""/>
    <d v="1899-12-30T00:00:00"/>
    <s v=""/>
    <s v=""/>
    <s v=""/>
  </r>
  <r>
    <x v="86"/>
    <x v="86"/>
    <x v="4"/>
    <s v="15.04.2011"/>
    <x v="493"/>
    <x v="4"/>
    <x v="4"/>
    <s v=""/>
    <d v="1899-12-30T17:14:00"/>
    <d v="1899-12-30T02:00:00"/>
    <s v=""/>
    <d v="1899-12-30T07:30:00"/>
    <s v=""/>
    <s v=""/>
    <s v=""/>
  </r>
  <r>
    <x v="86"/>
    <x v="86"/>
    <x v="4"/>
    <s v="15.04.2011"/>
    <x v="493"/>
    <x v="4"/>
    <x v="4"/>
    <d v="1899-12-30T07:29:31"/>
    <s v=""/>
    <s v=""/>
    <s v=""/>
    <d v="1899-12-30T00:00:00"/>
    <s v=""/>
    <s v=""/>
    <s v=""/>
  </r>
  <r>
    <x v="86"/>
    <x v="86"/>
    <x v="5"/>
    <s v="16.04.2011"/>
    <x v="494"/>
    <x v="5"/>
    <x v="4"/>
    <s v=""/>
    <d v="1899-12-30T15:09:34"/>
    <s v=""/>
    <s v=""/>
    <d v="1899-12-30T07:30:00"/>
    <s v=""/>
    <s v=""/>
    <s v=""/>
  </r>
  <r>
    <x v="86"/>
    <x v="86"/>
    <x v="5"/>
    <s v="16.04.2011"/>
    <x v="494"/>
    <x v="5"/>
    <x v="4"/>
    <d v="1899-12-30T07:31:27"/>
    <s v=""/>
    <s v=""/>
    <s v=""/>
    <d v="1899-12-30T00:00:00"/>
    <s v=""/>
    <s v=""/>
    <s v=""/>
  </r>
  <r>
    <x v="87"/>
    <x v="87"/>
    <x v="0"/>
    <s v="11.04.2011"/>
    <x v="495"/>
    <x v="0"/>
    <x v="2"/>
    <s v=""/>
    <d v="1899-12-30T22:48:18"/>
    <s v=""/>
    <s v=""/>
    <s v=""/>
    <s v=""/>
    <s v=""/>
    <s v=""/>
  </r>
  <r>
    <x v="87"/>
    <x v="87"/>
    <x v="0"/>
    <s v="11.04.2011"/>
    <x v="495"/>
    <x v="0"/>
    <x v="2"/>
    <d v="1899-12-30T14:13:07"/>
    <s v=""/>
    <s v=""/>
    <s v=""/>
    <d v="1899-12-30T00:00:00"/>
    <s v=""/>
    <s v=""/>
    <s v=""/>
  </r>
  <r>
    <x v="87"/>
    <x v="87"/>
    <x v="1"/>
    <s v="12.04.2011"/>
    <x v="496"/>
    <x v="1"/>
    <x v="2"/>
    <s v=""/>
    <d v="1899-12-30T22:41:18"/>
    <s v=""/>
    <s v=""/>
    <s v=""/>
    <s v=""/>
    <s v=""/>
    <s v=""/>
  </r>
  <r>
    <x v="87"/>
    <x v="87"/>
    <x v="1"/>
    <s v="12.04.2011"/>
    <x v="496"/>
    <x v="1"/>
    <x v="2"/>
    <d v="1899-12-30T14:32:15"/>
    <s v=""/>
    <s v=""/>
    <s v=""/>
    <d v="1899-12-30T00:00:00"/>
    <s v=""/>
    <s v=""/>
    <s v=""/>
  </r>
  <r>
    <x v="87"/>
    <x v="87"/>
    <x v="2"/>
    <s v="13.04.2011"/>
    <x v="497"/>
    <x v="2"/>
    <x v="2"/>
    <s v=""/>
    <d v="1899-12-30T22:43:50"/>
    <s v=""/>
    <s v=""/>
    <s v=""/>
    <s v=""/>
    <s v=""/>
    <s v=""/>
  </r>
  <r>
    <x v="87"/>
    <x v="87"/>
    <x v="2"/>
    <s v="13.04.2011"/>
    <x v="497"/>
    <x v="2"/>
    <x v="2"/>
    <d v="1899-12-30T14:41:37"/>
    <s v=""/>
    <s v=""/>
    <s v=""/>
    <d v="1899-12-30T00:00:00"/>
    <s v=""/>
    <s v=""/>
    <s v=""/>
  </r>
  <r>
    <x v="87"/>
    <x v="87"/>
    <x v="3"/>
    <s v="14.04.2011"/>
    <x v="498"/>
    <x v="3"/>
    <x v="2"/>
    <s v=""/>
    <d v="1899-12-30T22:45:30"/>
    <s v=""/>
    <s v=""/>
    <s v=""/>
    <s v=""/>
    <s v=""/>
    <s v=""/>
  </r>
  <r>
    <x v="87"/>
    <x v="87"/>
    <x v="3"/>
    <s v="14.04.2011"/>
    <x v="498"/>
    <x v="3"/>
    <x v="2"/>
    <d v="1899-12-30T14:31:35"/>
    <s v=""/>
    <s v=""/>
    <s v=""/>
    <d v="1899-12-30T00:00:00"/>
    <s v=""/>
    <s v=""/>
    <s v=""/>
  </r>
  <r>
    <x v="87"/>
    <x v="87"/>
    <x v="4"/>
    <s v="15.04.2011"/>
    <x v="499"/>
    <x v="4"/>
    <x v="2"/>
    <s v=""/>
    <d v="1899-12-30T22:49:58"/>
    <s v=""/>
    <s v=""/>
    <s v=""/>
    <s v=""/>
    <s v=""/>
    <s v=""/>
  </r>
  <r>
    <x v="87"/>
    <x v="87"/>
    <x v="4"/>
    <s v="15.04.2011"/>
    <x v="499"/>
    <x v="4"/>
    <x v="2"/>
    <d v="1899-12-30T15:26:09"/>
    <s v=""/>
    <s v=""/>
    <s v=""/>
    <d v="1899-12-30T00:00:00"/>
    <s v=""/>
    <s v=""/>
    <s v=""/>
  </r>
  <r>
    <x v="87"/>
    <x v="87"/>
    <x v="5"/>
    <s v="16.04.2011"/>
    <x v="500"/>
    <x v="5"/>
    <x v="2"/>
    <s v=""/>
    <d v="1899-12-30T22:37:54"/>
    <s v=""/>
    <s v=""/>
    <s v=""/>
    <s v=""/>
    <s v=""/>
    <s v=""/>
  </r>
  <r>
    <x v="87"/>
    <x v="87"/>
    <x v="5"/>
    <s v="16.04.2011"/>
    <x v="500"/>
    <x v="5"/>
    <x v="2"/>
    <d v="1899-12-30T14:29:49"/>
    <s v=""/>
    <s v=""/>
    <s v=""/>
    <d v="1899-12-30T00:00:00"/>
    <s v=""/>
    <s v=""/>
    <s v=""/>
  </r>
  <r>
    <x v="88"/>
    <x v="88"/>
    <x v="0"/>
    <s v="11.04.2011"/>
    <x v="501"/>
    <x v="0"/>
    <x v="0"/>
    <s v=""/>
    <d v="1899-12-30T22:34:23"/>
    <s v=""/>
    <s v=""/>
    <d v="1899-12-30T07:30:00"/>
    <s v=""/>
    <s v=""/>
    <s v=""/>
  </r>
  <r>
    <x v="88"/>
    <x v="88"/>
    <x v="0"/>
    <s v="11.04.2011"/>
    <x v="501"/>
    <x v="0"/>
    <x v="0"/>
    <d v="1899-12-30T14:50:55"/>
    <s v=""/>
    <s v=""/>
    <s v=""/>
    <d v="1899-12-30T00:00:00"/>
    <s v=""/>
    <s v=""/>
    <s v=""/>
  </r>
  <r>
    <x v="88"/>
    <x v="88"/>
    <x v="1"/>
    <s v="12.04.2011"/>
    <x v="502"/>
    <x v="1"/>
    <x v="0"/>
    <s v=""/>
    <d v="1899-12-30T22:42:38"/>
    <s v=""/>
    <s v=""/>
    <d v="1899-12-30T07:30:00"/>
    <s v=""/>
    <s v=""/>
    <s v=""/>
  </r>
  <r>
    <x v="88"/>
    <x v="88"/>
    <x v="1"/>
    <s v="12.04.2011"/>
    <x v="502"/>
    <x v="1"/>
    <x v="0"/>
    <d v="1899-12-30T14:44:49"/>
    <s v=""/>
    <s v=""/>
    <s v=""/>
    <d v="1899-12-30T00:00:00"/>
    <s v=""/>
    <s v=""/>
    <s v=""/>
  </r>
  <r>
    <x v="88"/>
    <x v="88"/>
    <x v="2"/>
    <s v="13.04.2011"/>
    <x v="503"/>
    <x v="2"/>
    <x v="0"/>
    <s v=""/>
    <d v="1899-12-30T22:35:14"/>
    <s v=""/>
    <s v=""/>
    <d v="1899-12-30T07:30:00"/>
    <s v=""/>
    <s v=""/>
    <s v=""/>
  </r>
  <r>
    <x v="88"/>
    <x v="88"/>
    <x v="2"/>
    <s v="13.04.2011"/>
    <x v="503"/>
    <x v="2"/>
    <x v="0"/>
    <d v="1899-12-30T14:41:41"/>
    <s v=""/>
    <s v=""/>
    <s v=""/>
    <d v="1899-12-30T00:00:00"/>
    <s v=""/>
    <s v=""/>
    <s v=""/>
  </r>
  <r>
    <x v="88"/>
    <x v="88"/>
    <x v="3"/>
    <s v="14.04.2011"/>
    <x v="504"/>
    <x v="3"/>
    <x v="0"/>
    <s v=""/>
    <d v="1899-12-30T22:40:13"/>
    <s v=""/>
    <s v=""/>
    <d v="1899-12-30T07:30:00"/>
    <s v=""/>
    <s v=""/>
    <s v=""/>
  </r>
  <r>
    <x v="88"/>
    <x v="88"/>
    <x v="3"/>
    <s v="14.04.2011"/>
    <x v="504"/>
    <x v="3"/>
    <x v="0"/>
    <d v="1899-12-30T14:49:07"/>
    <s v=""/>
    <s v=""/>
    <s v=""/>
    <d v="1899-12-30T00:00:00"/>
    <s v=""/>
    <s v=""/>
    <s v=""/>
  </r>
  <r>
    <x v="88"/>
    <x v="88"/>
    <x v="4"/>
    <s v="15.04.2011"/>
    <x v="505"/>
    <x v="4"/>
    <x v="0"/>
    <s v=""/>
    <d v="1899-12-30T22:40:32"/>
    <s v=""/>
    <s v=""/>
    <d v="1899-12-30T07:30:00"/>
    <s v=""/>
    <s v=""/>
    <s v=""/>
  </r>
  <r>
    <x v="88"/>
    <x v="88"/>
    <x v="4"/>
    <s v="15.04.2011"/>
    <x v="505"/>
    <x v="4"/>
    <x v="0"/>
    <d v="1899-12-30T14:52:19"/>
    <s v=""/>
    <s v=""/>
    <s v=""/>
    <d v="1899-12-30T00:00:00"/>
    <s v=""/>
    <s v=""/>
    <s v=""/>
  </r>
  <r>
    <x v="88"/>
    <x v="88"/>
    <x v="5"/>
    <s v="16.04.2011"/>
    <x v="506"/>
    <x v="5"/>
    <x v="0"/>
    <s v=""/>
    <d v="1899-12-30T19:43:08"/>
    <s v=""/>
    <s v=""/>
    <d v="1899-12-30T07:30:00"/>
    <s v=""/>
    <s v=""/>
    <s v=""/>
  </r>
  <r>
    <x v="88"/>
    <x v="88"/>
    <x v="5"/>
    <s v="16.04.2011"/>
    <x v="506"/>
    <x v="5"/>
    <x v="0"/>
    <d v="1899-12-30T11:57:00"/>
    <s v=""/>
    <s v=""/>
    <s v=""/>
    <d v="1899-12-30T00:00:00"/>
    <s v=""/>
    <s v=""/>
    <s v=""/>
  </r>
  <r>
    <x v="89"/>
    <x v="89"/>
    <x v="0"/>
    <s v="11.04.2011"/>
    <x v="507"/>
    <x v="0"/>
    <x v="2"/>
    <s v=""/>
    <d v="1899-12-30T15:22:47"/>
    <s v=""/>
    <s v=""/>
    <s v=""/>
    <s v=""/>
    <s v=""/>
    <s v=""/>
  </r>
  <r>
    <x v="89"/>
    <x v="89"/>
    <x v="0"/>
    <s v="11.04.2011"/>
    <x v="507"/>
    <x v="0"/>
    <x v="2"/>
    <d v="1899-12-30T07:06:19"/>
    <s v=""/>
    <s v=""/>
    <s v=""/>
    <d v="1899-12-30T00:00:00"/>
    <s v=""/>
    <s v=""/>
    <s v=""/>
  </r>
  <r>
    <x v="89"/>
    <x v="89"/>
    <x v="1"/>
    <s v="12.04.2011"/>
    <x v="508"/>
    <x v="1"/>
    <x v="2"/>
    <s v=""/>
    <d v="1899-12-30T15:21:48"/>
    <s v=""/>
    <s v=""/>
    <s v=""/>
    <s v=""/>
    <s v=""/>
    <s v=""/>
  </r>
  <r>
    <x v="89"/>
    <x v="89"/>
    <x v="1"/>
    <s v="12.04.2011"/>
    <x v="508"/>
    <x v="1"/>
    <x v="2"/>
    <d v="1899-12-30T07:05:30"/>
    <s v=""/>
    <s v=""/>
    <s v=""/>
    <d v="1899-12-30T00:00:00"/>
    <s v=""/>
    <s v=""/>
    <s v=""/>
  </r>
  <r>
    <x v="89"/>
    <x v="89"/>
    <x v="2"/>
    <s v="13.04.2011"/>
    <x v="509"/>
    <x v="2"/>
    <x v="2"/>
    <s v=""/>
    <d v="1899-12-30T15:21:19"/>
    <s v=""/>
    <s v=""/>
    <s v=""/>
    <s v=""/>
    <s v=""/>
    <s v=""/>
  </r>
  <r>
    <x v="89"/>
    <x v="89"/>
    <x v="2"/>
    <s v="13.04.2011"/>
    <x v="509"/>
    <x v="2"/>
    <x v="2"/>
    <d v="1899-12-30T07:00:53"/>
    <s v=""/>
    <s v=""/>
    <s v=""/>
    <d v="1899-12-30T00:00:00"/>
    <s v=""/>
    <s v=""/>
    <s v=""/>
  </r>
  <r>
    <x v="89"/>
    <x v="89"/>
    <x v="3"/>
    <s v="14.04.2011"/>
    <x v="510"/>
    <x v="3"/>
    <x v="2"/>
    <s v=""/>
    <d v="1899-12-30T15:31:46"/>
    <s v=""/>
    <s v=""/>
    <s v=""/>
    <s v=""/>
    <s v=""/>
    <s v=""/>
  </r>
  <r>
    <x v="89"/>
    <x v="89"/>
    <x v="3"/>
    <s v="14.04.2011"/>
    <x v="510"/>
    <x v="3"/>
    <x v="2"/>
    <d v="1899-12-30T07:23:48"/>
    <s v=""/>
    <s v=""/>
    <s v=""/>
    <d v="1899-12-30T00:00:00"/>
    <s v=""/>
    <s v=""/>
    <s v=""/>
  </r>
  <r>
    <x v="89"/>
    <x v="89"/>
    <x v="4"/>
    <s v="15.04.2011"/>
    <x v="511"/>
    <x v="4"/>
    <x v="2"/>
    <s v=""/>
    <d v="1899-12-30T15:38:19"/>
    <s v=""/>
    <s v=""/>
    <s v=""/>
    <s v=""/>
    <s v=""/>
    <s v=""/>
  </r>
  <r>
    <x v="89"/>
    <x v="89"/>
    <x v="4"/>
    <s v="15.04.2011"/>
    <x v="511"/>
    <x v="4"/>
    <x v="2"/>
    <d v="1899-12-30T06:57:42"/>
    <s v=""/>
    <s v=""/>
    <s v=""/>
    <d v="1899-12-30T00:00:00"/>
    <s v=""/>
    <s v=""/>
    <s v=""/>
  </r>
  <r>
    <x v="89"/>
    <x v="89"/>
    <x v="5"/>
    <s v="16.04.2011"/>
    <x v="512"/>
    <x v="5"/>
    <x v="2"/>
    <s v=""/>
    <d v="1899-12-30T15:21:55"/>
    <s v=""/>
    <s v=""/>
    <s v=""/>
    <s v=""/>
    <s v=""/>
    <s v=""/>
  </r>
  <r>
    <x v="89"/>
    <x v="89"/>
    <x v="5"/>
    <s v="16.04.2011"/>
    <x v="512"/>
    <x v="5"/>
    <x v="2"/>
    <d v="1899-12-30T08:32:17"/>
    <s v=""/>
    <s v=""/>
    <s v=""/>
    <d v="1899-12-30T00:00:00"/>
    <s v=""/>
    <s v=""/>
    <s v=""/>
  </r>
  <r>
    <x v="90"/>
    <x v="90"/>
    <x v="0"/>
    <s v="11.04.2011"/>
    <x v="513"/>
    <x v="0"/>
    <x v="4"/>
    <s v=""/>
    <d v="1899-12-30T15:02:05"/>
    <s v=""/>
    <s v=""/>
    <d v="1899-12-30T07:30:00"/>
    <s v=""/>
    <s v=""/>
    <s v=""/>
  </r>
  <r>
    <x v="90"/>
    <x v="90"/>
    <x v="0"/>
    <s v="11.04.2011"/>
    <x v="513"/>
    <x v="0"/>
    <x v="4"/>
    <d v="1899-12-30T07:39:25"/>
    <s v=""/>
    <s v=""/>
    <s v=""/>
    <d v="1899-12-30T00:00:00"/>
    <s v=""/>
    <s v=""/>
    <s v=""/>
  </r>
  <r>
    <x v="90"/>
    <x v="90"/>
    <x v="1"/>
    <s v="12.04.2011"/>
    <x v="514"/>
    <x v="1"/>
    <x v="4"/>
    <s v=""/>
    <d v="1899-12-30T15:00:10"/>
    <s v=""/>
    <s v=""/>
    <d v="1899-12-30T07:30:00"/>
    <s v=""/>
    <s v=""/>
    <s v=""/>
  </r>
  <r>
    <x v="90"/>
    <x v="90"/>
    <x v="1"/>
    <s v="12.04.2011"/>
    <x v="514"/>
    <x v="1"/>
    <x v="4"/>
    <d v="1899-12-30T07:25:49"/>
    <s v=""/>
    <s v=""/>
    <s v=""/>
    <d v="1899-12-30T00:00:00"/>
    <s v=""/>
    <s v=""/>
    <s v=""/>
  </r>
  <r>
    <x v="90"/>
    <x v="90"/>
    <x v="2"/>
    <s v="13.04.2011"/>
    <x v="515"/>
    <x v="2"/>
    <x v="4"/>
    <s v=""/>
    <d v="1899-12-30T15:21:04"/>
    <s v=""/>
    <s v=""/>
    <d v="1899-12-30T07:30:00"/>
    <s v=""/>
    <s v=""/>
    <s v=""/>
  </r>
  <r>
    <x v="90"/>
    <x v="90"/>
    <x v="2"/>
    <s v="13.04.2011"/>
    <x v="515"/>
    <x v="2"/>
    <x v="4"/>
    <d v="1899-12-30T07:35:18"/>
    <s v=""/>
    <s v=""/>
    <s v=""/>
    <d v="1899-12-30T00:00:00"/>
    <s v=""/>
    <s v=""/>
    <s v=""/>
  </r>
  <r>
    <x v="90"/>
    <x v="90"/>
    <x v="3"/>
    <s v="14.04.2011"/>
    <x v="516"/>
    <x v="3"/>
    <x v="4"/>
    <s v=""/>
    <d v="1899-12-30T15:04:39"/>
    <s v=""/>
    <s v=""/>
    <d v="1899-12-30T07:30:00"/>
    <s v=""/>
    <s v=""/>
    <s v=""/>
  </r>
  <r>
    <x v="90"/>
    <x v="90"/>
    <x v="3"/>
    <s v="14.04.2011"/>
    <x v="516"/>
    <x v="3"/>
    <x v="4"/>
    <d v="1899-12-30T07:36:50"/>
    <s v=""/>
    <s v=""/>
    <s v=""/>
    <d v="1899-12-30T00:00:00"/>
    <s v=""/>
    <s v=""/>
    <s v=""/>
  </r>
  <r>
    <x v="90"/>
    <x v="90"/>
    <x v="4"/>
    <s v="15.04.2011"/>
    <x v="517"/>
    <x v="4"/>
    <x v="4"/>
    <s v=""/>
    <d v="1899-12-30T15:02:12"/>
    <s v=""/>
    <s v=""/>
    <d v="1899-12-30T07:30:00"/>
    <s v=""/>
    <s v=""/>
    <s v=""/>
  </r>
  <r>
    <x v="90"/>
    <x v="90"/>
    <x v="4"/>
    <s v="15.04.2011"/>
    <x v="517"/>
    <x v="4"/>
    <x v="4"/>
    <d v="1899-12-30T07:37:27"/>
    <s v=""/>
    <s v=""/>
    <s v=""/>
    <d v="1899-12-30T00:00:00"/>
    <s v=""/>
    <s v=""/>
    <s v=""/>
  </r>
  <r>
    <x v="90"/>
    <x v="90"/>
    <x v="5"/>
    <s v="16.04.2011"/>
    <x v="518"/>
    <x v="5"/>
    <x v="4"/>
    <s v=""/>
    <d v="1899-12-30T15:02:56"/>
    <s v=""/>
    <s v=""/>
    <d v="1899-12-30T07:30:00"/>
    <s v=""/>
    <s v=""/>
    <s v=""/>
  </r>
  <r>
    <x v="90"/>
    <x v="90"/>
    <x v="5"/>
    <s v="16.04.2011"/>
    <x v="518"/>
    <x v="5"/>
    <x v="4"/>
    <d v="1899-12-30T07:32:45"/>
    <s v=""/>
    <s v=""/>
    <s v=""/>
    <d v="1899-12-30T00:00:00"/>
    <s v=""/>
    <s v=""/>
    <s v=""/>
  </r>
  <r>
    <x v="91"/>
    <x v="91"/>
    <x v="0"/>
    <s v="11.04.2011"/>
    <x v="519"/>
    <x v="0"/>
    <x v="2"/>
    <s v=""/>
    <d v="1899-12-30T15:14:58"/>
    <s v=""/>
    <s v=""/>
    <s v=""/>
    <s v=""/>
    <s v=""/>
    <s v=""/>
  </r>
  <r>
    <x v="91"/>
    <x v="91"/>
    <x v="0"/>
    <s v="11.04.2011"/>
    <x v="519"/>
    <x v="0"/>
    <x v="2"/>
    <d v="1899-12-30T07:06:14"/>
    <s v=""/>
    <s v=""/>
    <s v=""/>
    <d v="1899-12-30T00:00:00"/>
    <s v=""/>
    <s v=""/>
    <s v=""/>
  </r>
  <r>
    <x v="91"/>
    <x v="91"/>
    <x v="1"/>
    <s v="12.04.2011"/>
    <x v="520"/>
    <x v="1"/>
    <x v="2"/>
    <s v=""/>
    <d v="1899-12-30T15:17:12"/>
    <s v=""/>
    <s v=""/>
    <s v=""/>
    <s v=""/>
    <s v=""/>
    <s v=""/>
  </r>
  <r>
    <x v="91"/>
    <x v="91"/>
    <x v="1"/>
    <s v="12.04.2011"/>
    <x v="520"/>
    <x v="1"/>
    <x v="2"/>
    <d v="1899-12-30T07:23:53"/>
    <s v=""/>
    <s v=""/>
    <s v=""/>
    <d v="1899-12-30T00:00:00"/>
    <s v=""/>
    <s v=""/>
    <s v=""/>
  </r>
  <r>
    <x v="91"/>
    <x v="91"/>
    <x v="2"/>
    <s v="13.04.2011"/>
    <x v="521"/>
    <x v="2"/>
    <x v="2"/>
    <s v=""/>
    <d v="1899-12-30T15:17:24"/>
    <s v=""/>
    <s v=""/>
    <s v=""/>
    <s v=""/>
    <s v=""/>
    <s v=""/>
  </r>
  <r>
    <x v="91"/>
    <x v="91"/>
    <x v="2"/>
    <s v="13.04.2011"/>
    <x v="521"/>
    <x v="2"/>
    <x v="2"/>
    <d v="1899-12-30T07:05:14"/>
    <s v=""/>
    <s v=""/>
    <s v=""/>
    <d v="1899-12-30T00:00:00"/>
    <s v=""/>
    <s v=""/>
    <s v=""/>
  </r>
  <r>
    <x v="91"/>
    <x v="91"/>
    <x v="3"/>
    <s v="14.04.2011"/>
    <x v="522"/>
    <x v="3"/>
    <x v="2"/>
    <s v=""/>
    <d v="1899-12-30T15:15:28"/>
    <s v=""/>
    <s v=""/>
    <s v=""/>
    <s v=""/>
    <s v=""/>
    <s v=""/>
  </r>
  <r>
    <x v="91"/>
    <x v="91"/>
    <x v="3"/>
    <s v="14.04.2011"/>
    <x v="522"/>
    <x v="3"/>
    <x v="2"/>
    <d v="1899-12-30T07:02:10"/>
    <s v=""/>
    <s v=""/>
    <s v=""/>
    <d v="1899-12-30T00:00:00"/>
    <s v=""/>
    <s v=""/>
    <s v=""/>
  </r>
  <r>
    <x v="91"/>
    <x v="91"/>
    <x v="4"/>
    <s v="15.04.2011"/>
    <x v="523"/>
    <x v="4"/>
    <x v="2"/>
    <s v=""/>
    <d v="1899-12-30T15:11:35"/>
    <s v=""/>
    <s v=""/>
    <s v=""/>
    <s v=""/>
    <s v=""/>
    <s v=""/>
  </r>
  <r>
    <x v="91"/>
    <x v="91"/>
    <x v="4"/>
    <s v="15.04.2011"/>
    <x v="523"/>
    <x v="4"/>
    <x v="2"/>
    <d v="1899-12-30T07:05:51"/>
    <s v=""/>
    <s v=""/>
    <s v=""/>
    <d v="1899-12-30T00:00:00"/>
    <s v=""/>
    <s v=""/>
    <s v=""/>
  </r>
  <r>
    <x v="92"/>
    <x v="92"/>
    <x v="0"/>
    <s v="11.04.2011"/>
    <x v="524"/>
    <x v="0"/>
    <x v="4"/>
    <s v=""/>
    <d v="1899-12-30T15:10:36"/>
    <s v=""/>
    <s v=""/>
    <d v="1899-12-30T07:30:00"/>
    <s v=""/>
    <s v=""/>
    <s v=""/>
  </r>
  <r>
    <x v="92"/>
    <x v="92"/>
    <x v="0"/>
    <s v="11.04.2011"/>
    <x v="524"/>
    <x v="0"/>
    <x v="4"/>
    <d v="1899-12-30T07:06:31"/>
    <s v=""/>
    <s v=""/>
    <s v=""/>
    <d v="1899-12-30T00:00:00"/>
    <s v=""/>
    <s v=""/>
    <s v=""/>
  </r>
  <r>
    <x v="92"/>
    <x v="92"/>
    <x v="1"/>
    <s v="12.04.2011"/>
    <x v="525"/>
    <x v="1"/>
    <x v="4"/>
    <s v=""/>
    <d v="1899-12-30T15:10:39"/>
    <s v=""/>
    <s v=""/>
    <d v="1899-12-30T07:30:00"/>
    <s v=""/>
    <s v=""/>
    <s v=""/>
  </r>
  <r>
    <x v="92"/>
    <x v="92"/>
    <x v="1"/>
    <s v="12.04.2011"/>
    <x v="525"/>
    <x v="1"/>
    <x v="4"/>
    <d v="1899-12-30T06:58:49"/>
    <s v=""/>
    <s v=""/>
    <s v=""/>
    <d v="1899-12-30T00:00:00"/>
    <s v=""/>
    <s v=""/>
    <s v=""/>
  </r>
  <r>
    <x v="92"/>
    <x v="92"/>
    <x v="2"/>
    <s v="13.04.2011"/>
    <x v="526"/>
    <x v="2"/>
    <x v="4"/>
    <s v=""/>
    <d v="1899-12-30T15:11:06"/>
    <s v=""/>
    <s v=""/>
    <d v="1899-12-30T07:30:00"/>
    <s v=""/>
    <s v=""/>
    <s v=""/>
  </r>
  <r>
    <x v="92"/>
    <x v="92"/>
    <x v="2"/>
    <s v="13.04.2011"/>
    <x v="526"/>
    <x v="2"/>
    <x v="4"/>
    <d v="1899-12-30T06:56:25"/>
    <s v=""/>
    <s v=""/>
    <s v=""/>
    <d v="1899-12-30T00:00:00"/>
    <s v=""/>
    <s v=""/>
    <s v=""/>
  </r>
  <r>
    <x v="92"/>
    <x v="92"/>
    <x v="3"/>
    <s v="14.04.2011"/>
    <x v="527"/>
    <x v="3"/>
    <x v="4"/>
    <s v=""/>
    <d v="1899-12-30T15:10:17"/>
    <s v=""/>
    <s v=""/>
    <d v="1899-12-30T07:30:00"/>
    <s v=""/>
    <s v=""/>
    <s v=""/>
  </r>
  <r>
    <x v="92"/>
    <x v="92"/>
    <x v="3"/>
    <s v="14.04.2011"/>
    <x v="527"/>
    <x v="3"/>
    <x v="4"/>
    <d v="1899-12-30T07:11:06"/>
    <s v=""/>
    <s v=""/>
    <s v=""/>
    <d v="1899-12-30T00:00:00"/>
    <s v=""/>
    <s v=""/>
    <s v=""/>
  </r>
  <r>
    <x v="92"/>
    <x v="92"/>
    <x v="4"/>
    <s v="15.04.2011"/>
    <x v="528"/>
    <x v="4"/>
    <x v="4"/>
    <s v=""/>
    <d v="1899-12-30T15:10:52"/>
    <s v=""/>
    <s v=""/>
    <d v="1899-12-30T07:30:00"/>
    <s v=""/>
    <s v=""/>
    <s v=""/>
  </r>
  <r>
    <x v="92"/>
    <x v="92"/>
    <x v="4"/>
    <s v="15.04.2011"/>
    <x v="528"/>
    <x v="4"/>
    <x v="4"/>
    <d v="1899-12-30T07:02:52"/>
    <s v=""/>
    <s v=""/>
    <s v=""/>
    <d v="1899-12-30T00:00:00"/>
    <s v=""/>
    <s v=""/>
    <s v=""/>
  </r>
  <r>
    <x v="92"/>
    <x v="92"/>
    <x v="6"/>
    <s v="17.04.2011"/>
    <x v="529"/>
    <x v="6"/>
    <x v="4"/>
    <d v="1899-12-30T23:57:42"/>
    <s v=""/>
    <s v=""/>
    <s v=""/>
    <d v="1899-12-30T07:30:00"/>
    <s v=""/>
    <s v=""/>
    <s v=""/>
  </r>
  <r>
    <x v="93"/>
    <x v="93"/>
    <x v="0"/>
    <s v="11.04.2011"/>
    <x v="530"/>
    <x v="0"/>
    <x v="0"/>
    <s v=""/>
    <d v="1899-12-30T22:34:08"/>
    <s v=""/>
    <s v=""/>
    <d v="1899-12-30T07:30:00"/>
    <s v=""/>
    <s v=""/>
    <s v=""/>
  </r>
  <r>
    <x v="93"/>
    <x v="93"/>
    <x v="0"/>
    <s v="11.04.2011"/>
    <x v="530"/>
    <x v="0"/>
    <x v="0"/>
    <d v="1899-12-30T14:53:09"/>
    <s v=""/>
    <s v=""/>
    <s v=""/>
    <d v="1899-12-30T00:00:00"/>
    <s v=""/>
    <s v=""/>
    <s v=""/>
  </r>
  <r>
    <x v="93"/>
    <x v="93"/>
    <x v="1"/>
    <s v="12.04.2011"/>
    <x v="531"/>
    <x v="1"/>
    <x v="0"/>
    <s v=""/>
    <d v="1899-12-30T22:43:20"/>
    <s v=""/>
    <s v=""/>
    <d v="1899-12-30T07:30:00"/>
    <s v=""/>
    <s v=""/>
    <s v=""/>
  </r>
  <r>
    <x v="93"/>
    <x v="93"/>
    <x v="1"/>
    <s v="12.04.2011"/>
    <x v="531"/>
    <x v="1"/>
    <x v="0"/>
    <d v="1899-12-30T14:50:56"/>
    <s v=""/>
    <s v=""/>
    <s v=""/>
    <d v="1899-12-30T00:00:00"/>
    <s v=""/>
    <s v=""/>
    <s v=""/>
  </r>
  <r>
    <x v="93"/>
    <x v="93"/>
    <x v="2"/>
    <s v="13.04.2011"/>
    <x v="532"/>
    <x v="2"/>
    <x v="0"/>
    <s v=""/>
    <d v="1899-12-30T22:39:26"/>
    <s v=""/>
    <s v=""/>
    <d v="1899-12-30T07:30:00"/>
    <s v=""/>
    <s v=""/>
    <s v=""/>
  </r>
  <r>
    <x v="93"/>
    <x v="93"/>
    <x v="2"/>
    <s v="13.04.2011"/>
    <x v="532"/>
    <x v="2"/>
    <x v="0"/>
    <d v="1899-12-30T14:47:46"/>
    <s v=""/>
    <s v=""/>
    <s v=""/>
    <d v="1899-12-30T00:00:00"/>
    <s v=""/>
    <s v=""/>
    <s v=""/>
  </r>
  <r>
    <x v="93"/>
    <x v="93"/>
    <x v="3"/>
    <s v="14.04.2011"/>
    <x v="533"/>
    <x v="3"/>
    <x v="0"/>
    <s v=""/>
    <d v="1899-12-30T22:44:36"/>
    <s v=""/>
    <s v=""/>
    <d v="1899-12-30T07:30:00"/>
    <s v=""/>
    <s v=""/>
    <s v=""/>
  </r>
  <r>
    <x v="93"/>
    <x v="93"/>
    <x v="3"/>
    <s v="14.04.2011"/>
    <x v="533"/>
    <x v="3"/>
    <x v="0"/>
    <d v="1899-12-30T15:00:20"/>
    <s v=""/>
    <s v=""/>
    <s v=""/>
    <d v="1899-12-30T00:00:00"/>
    <s v=""/>
    <s v=""/>
    <s v=""/>
  </r>
  <r>
    <x v="93"/>
    <x v="93"/>
    <x v="4"/>
    <s v="15.04.2011"/>
    <x v="534"/>
    <x v="4"/>
    <x v="0"/>
    <s v=""/>
    <d v="1899-12-30T22:41:33"/>
    <s v=""/>
    <s v=""/>
    <d v="1899-12-30T07:30:00"/>
    <s v=""/>
    <s v=""/>
    <s v=""/>
  </r>
  <r>
    <x v="93"/>
    <x v="93"/>
    <x v="4"/>
    <s v="15.04.2011"/>
    <x v="534"/>
    <x v="4"/>
    <x v="0"/>
    <d v="1899-12-30T14:57:25"/>
    <s v=""/>
    <s v=""/>
    <s v=""/>
    <d v="1899-12-30T00:00:00"/>
    <s v=""/>
    <s v=""/>
    <s v=""/>
  </r>
  <r>
    <x v="93"/>
    <x v="93"/>
    <x v="5"/>
    <s v="16.04.2011"/>
    <x v="535"/>
    <x v="5"/>
    <x v="0"/>
    <s v=""/>
    <d v="1899-12-30T22:08:15"/>
    <s v=""/>
    <s v=""/>
    <d v="1899-12-30T07:30:00"/>
    <s v=""/>
    <s v=""/>
    <s v=""/>
  </r>
  <r>
    <x v="93"/>
    <x v="93"/>
    <x v="5"/>
    <s v="16.04.2011"/>
    <x v="535"/>
    <x v="5"/>
    <x v="0"/>
    <d v="1899-12-30T14:55:58"/>
    <s v=""/>
    <s v=""/>
    <s v=""/>
    <d v="1899-12-30T00:00:00"/>
    <s v=""/>
    <s v=""/>
    <s v=""/>
  </r>
  <r>
    <x v="94"/>
    <x v="94"/>
    <x v="1"/>
    <s v="11.04.2011"/>
    <x v="536"/>
    <x v="1"/>
    <x v="3"/>
    <d v="1899-12-30T22:31:51"/>
    <s v=""/>
    <s v=""/>
    <s v=""/>
    <d v="1899-12-30T09:00:00"/>
    <s v=""/>
    <s v=""/>
    <s v=""/>
  </r>
  <r>
    <x v="94"/>
    <x v="94"/>
    <x v="1"/>
    <s v="12.04.2011"/>
    <x v="536"/>
    <x v="1"/>
    <x v="3"/>
    <s v=""/>
    <d v="1899-12-30T07:42:01"/>
    <s v=""/>
    <s v=""/>
    <d v="1899-12-30T00:00:00"/>
    <s v=""/>
    <s v=""/>
    <s v=""/>
  </r>
  <r>
    <x v="94"/>
    <x v="94"/>
    <x v="2"/>
    <s v="12.04.2011"/>
    <x v="537"/>
    <x v="2"/>
    <x v="3"/>
    <d v="1899-12-30T22:20:03"/>
    <s v=""/>
    <s v=""/>
    <s v=""/>
    <d v="1899-12-30T09:00:00"/>
    <s v=""/>
    <s v=""/>
    <s v=""/>
  </r>
  <r>
    <x v="94"/>
    <x v="94"/>
    <x v="2"/>
    <s v="13.04.2011"/>
    <x v="537"/>
    <x v="2"/>
    <x v="3"/>
    <s v=""/>
    <d v="1899-12-30T07:54:49"/>
    <s v=""/>
    <s v=""/>
    <d v="1899-12-30T00:00:00"/>
    <s v=""/>
    <s v=""/>
    <s v=""/>
  </r>
  <r>
    <x v="94"/>
    <x v="94"/>
    <x v="3"/>
    <s v="13.04.2011"/>
    <x v="538"/>
    <x v="3"/>
    <x v="3"/>
    <d v="1899-12-30T22:15:59"/>
    <s v=""/>
    <s v=""/>
    <s v=""/>
    <d v="1899-12-30T09:00:00"/>
    <s v=""/>
    <s v=""/>
    <s v=""/>
  </r>
  <r>
    <x v="94"/>
    <x v="94"/>
    <x v="3"/>
    <s v="14.04.2011"/>
    <x v="538"/>
    <x v="3"/>
    <x v="3"/>
    <s v=""/>
    <d v="1899-12-30T07:52:14"/>
    <s v=""/>
    <s v=""/>
    <d v="1899-12-30T00:00:00"/>
    <s v=""/>
    <s v=""/>
    <s v=""/>
  </r>
  <r>
    <x v="94"/>
    <x v="94"/>
    <x v="4"/>
    <s v="14.04.2011"/>
    <x v="539"/>
    <x v="4"/>
    <x v="3"/>
    <d v="1899-12-30T22:18:19"/>
    <s v=""/>
    <s v=""/>
    <s v=""/>
    <d v="1899-12-30T09:00:00"/>
    <s v=""/>
    <s v=""/>
    <s v=""/>
  </r>
  <r>
    <x v="94"/>
    <x v="94"/>
    <x v="4"/>
    <s v="15.04.2011"/>
    <x v="539"/>
    <x v="4"/>
    <x v="3"/>
    <s v=""/>
    <d v="1899-12-30T07:52:34"/>
    <s v=""/>
    <s v=""/>
    <d v="1899-12-30T00:00:00"/>
    <s v=""/>
    <s v=""/>
    <s v=""/>
  </r>
  <r>
    <x v="94"/>
    <x v="94"/>
    <x v="5"/>
    <s v="15.04.2011"/>
    <x v="540"/>
    <x v="5"/>
    <x v="3"/>
    <d v="1899-12-30T22:14:04"/>
    <s v=""/>
    <s v=""/>
    <s v=""/>
    <d v="1899-12-30T09:00:00"/>
    <s v=""/>
    <s v=""/>
    <s v=""/>
  </r>
  <r>
    <x v="94"/>
    <x v="94"/>
    <x v="5"/>
    <s v="16.04.2011"/>
    <x v="540"/>
    <x v="5"/>
    <x v="3"/>
    <s v=""/>
    <d v="1899-12-30T07:54:56"/>
    <s v=""/>
    <s v=""/>
    <d v="1899-12-30T00:00:00"/>
    <s v=""/>
    <s v=""/>
    <s v=""/>
  </r>
  <r>
    <x v="95"/>
    <x v="95"/>
    <x v="0"/>
    <s v="11.04.2011"/>
    <x v="541"/>
    <x v="0"/>
    <x v="4"/>
    <s v=""/>
    <d v="1899-12-30T15:00:50"/>
    <s v=""/>
    <s v=""/>
    <d v="1899-12-30T07:30:00"/>
    <s v=""/>
    <s v=""/>
    <s v=""/>
  </r>
  <r>
    <x v="95"/>
    <x v="95"/>
    <x v="0"/>
    <s v="11.04.2011"/>
    <x v="541"/>
    <x v="0"/>
    <x v="4"/>
    <d v="1899-12-30T07:48:55"/>
    <s v=""/>
    <s v=""/>
    <s v=""/>
    <d v="1899-12-30T00:00:00"/>
    <s v=""/>
    <s v=""/>
    <s v=""/>
  </r>
  <r>
    <x v="95"/>
    <x v="95"/>
    <x v="1"/>
    <s v="12.04.2011"/>
    <x v="542"/>
    <x v="1"/>
    <x v="4"/>
    <s v=""/>
    <d v="1899-12-30T15:06:46"/>
    <s v=""/>
    <s v=""/>
    <d v="1899-12-30T07:30:00"/>
    <s v=""/>
    <s v=""/>
    <s v=""/>
  </r>
  <r>
    <x v="95"/>
    <x v="95"/>
    <x v="1"/>
    <s v="12.04.2011"/>
    <x v="542"/>
    <x v="1"/>
    <x v="4"/>
    <d v="1899-12-30T13:25:21"/>
    <s v=""/>
    <s v=""/>
    <s v=""/>
    <d v="1899-12-30T00:00:00"/>
    <s v=""/>
    <s v=""/>
    <s v=""/>
  </r>
  <r>
    <x v="95"/>
    <x v="95"/>
    <x v="2"/>
    <s v="13.04.2011"/>
    <x v="543"/>
    <x v="2"/>
    <x v="4"/>
    <s v=""/>
    <d v="1899-12-30T15:29:43"/>
    <s v=""/>
    <s v=""/>
    <d v="1899-12-30T07:30:00"/>
    <s v=""/>
    <s v=""/>
    <s v=""/>
  </r>
  <r>
    <x v="95"/>
    <x v="95"/>
    <x v="2"/>
    <s v="13.04.2011"/>
    <x v="543"/>
    <x v="2"/>
    <x v="4"/>
    <d v="1899-12-30T07:55:38"/>
    <s v=""/>
    <s v=""/>
    <s v=""/>
    <d v="1899-12-30T00:00:00"/>
    <s v=""/>
    <s v=""/>
    <s v=""/>
  </r>
  <r>
    <x v="95"/>
    <x v="95"/>
    <x v="3"/>
    <s v="14.04.2011"/>
    <x v="544"/>
    <x v="3"/>
    <x v="4"/>
    <s v=""/>
    <d v="1899-12-30T15:04:43"/>
    <s v=""/>
    <s v=""/>
    <d v="1899-12-30T07:30:00"/>
    <s v=""/>
    <s v=""/>
    <s v=""/>
  </r>
  <r>
    <x v="95"/>
    <x v="95"/>
    <x v="3"/>
    <s v="14.04.2011"/>
    <x v="544"/>
    <x v="3"/>
    <x v="4"/>
    <d v="1899-12-30T07:47:38"/>
    <s v=""/>
    <s v=""/>
    <s v=""/>
    <d v="1899-12-30T00:00:00"/>
    <s v=""/>
    <s v=""/>
    <s v=""/>
  </r>
  <r>
    <x v="95"/>
    <x v="95"/>
    <x v="4"/>
    <s v="15.04.2011"/>
    <x v="545"/>
    <x v="4"/>
    <x v="4"/>
    <s v=""/>
    <d v="1899-12-30T15:22:44"/>
    <s v=""/>
    <s v=""/>
    <d v="1899-12-30T07:30:00"/>
    <s v=""/>
    <s v=""/>
    <s v=""/>
  </r>
  <r>
    <x v="95"/>
    <x v="95"/>
    <x v="4"/>
    <s v="15.04.2011"/>
    <x v="545"/>
    <x v="4"/>
    <x v="4"/>
    <d v="1899-12-30T08:05:00"/>
    <s v=""/>
    <s v=""/>
    <s v=""/>
    <d v="1899-12-30T00:00:00"/>
    <s v=""/>
    <s v=""/>
    <s v=""/>
  </r>
  <r>
    <x v="95"/>
    <x v="95"/>
    <x v="5"/>
    <s v="16.04.2011"/>
    <x v="546"/>
    <x v="5"/>
    <x v="4"/>
    <s v=""/>
    <d v="1899-12-30T22:01:27"/>
    <s v=""/>
    <s v=""/>
    <d v="1899-12-30T07:30:00"/>
    <s v=""/>
    <s v=""/>
    <s v=""/>
  </r>
  <r>
    <x v="95"/>
    <x v="95"/>
    <x v="5"/>
    <s v="16.04.2011"/>
    <x v="546"/>
    <x v="5"/>
    <x v="4"/>
    <d v="1899-12-30T15:12:44"/>
    <s v=""/>
    <s v=""/>
    <s v=""/>
    <d v="1899-12-30T00:00:00"/>
    <s v=""/>
    <s v=""/>
    <s v=""/>
  </r>
  <r>
    <x v="96"/>
    <x v="96"/>
    <x v="0"/>
    <s v="11.04.2011"/>
    <x v="547"/>
    <x v="0"/>
    <x v="1"/>
    <s v=""/>
    <d v="1899-12-30T17:35:57"/>
    <s v=""/>
    <s v=""/>
    <d v="1899-12-30T10:00:00"/>
    <s v=""/>
    <s v=""/>
    <s v=""/>
  </r>
  <r>
    <x v="96"/>
    <x v="96"/>
    <x v="0"/>
    <s v="11.04.2011"/>
    <x v="547"/>
    <x v="0"/>
    <x v="1"/>
    <d v="1899-12-30T07:41:36"/>
    <s v=""/>
    <s v=""/>
    <s v=""/>
    <d v="1899-12-30T00:00:00"/>
    <s v=""/>
    <s v=""/>
    <s v=""/>
  </r>
  <r>
    <x v="96"/>
    <x v="96"/>
    <x v="1"/>
    <s v="12.04.2011"/>
    <x v="548"/>
    <x v="1"/>
    <x v="1"/>
    <s v=""/>
    <d v="1899-12-30T17:32:48"/>
    <s v=""/>
    <s v=""/>
    <d v="1899-12-30T10:00:00"/>
    <s v=""/>
    <s v=""/>
    <s v=""/>
  </r>
  <r>
    <x v="96"/>
    <x v="96"/>
    <x v="1"/>
    <s v="12.04.2011"/>
    <x v="548"/>
    <x v="1"/>
    <x v="1"/>
    <d v="1899-12-30T07:44:20"/>
    <s v=""/>
    <s v=""/>
    <s v=""/>
    <d v="1899-12-30T00:00:00"/>
    <s v=""/>
    <s v=""/>
    <s v=""/>
  </r>
  <r>
    <x v="96"/>
    <x v="96"/>
    <x v="2"/>
    <s v="13.04.2011"/>
    <x v="549"/>
    <x v="2"/>
    <x v="1"/>
    <s v=""/>
    <d v="1899-12-30T10:51:36"/>
    <s v=""/>
    <s v=""/>
    <d v="1899-12-30T10:00:00"/>
    <s v=""/>
    <s v=""/>
    <s v=""/>
  </r>
  <r>
    <x v="96"/>
    <x v="96"/>
    <x v="2"/>
    <s v="13.04.2011"/>
    <x v="549"/>
    <x v="2"/>
    <x v="1"/>
    <d v="1899-12-30T07:12:30"/>
    <s v=""/>
    <s v=""/>
    <s v=""/>
    <d v="1899-12-30T00:00:00"/>
    <s v=""/>
    <s v=""/>
    <s v=""/>
  </r>
  <r>
    <x v="96"/>
    <x v="96"/>
    <x v="3"/>
    <s v="14.04.2011"/>
    <x v="550"/>
    <x v="3"/>
    <x v="1"/>
    <s v=""/>
    <d v="1899-12-30T17:39:16"/>
    <s v=""/>
    <s v=""/>
    <d v="1899-12-30T10:00:00"/>
    <s v=""/>
    <s v=""/>
    <s v=""/>
  </r>
  <r>
    <x v="96"/>
    <x v="96"/>
    <x v="3"/>
    <s v="14.04.2011"/>
    <x v="550"/>
    <x v="3"/>
    <x v="1"/>
    <d v="1899-12-30T07:10:05"/>
    <s v=""/>
    <s v=""/>
    <s v=""/>
    <d v="1899-12-30T00:00:00"/>
    <s v=""/>
    <s v=""/>
    <s v=""/>
  </r>
  <r>
    <x v="96"/>
    <x v="96"/>
    <x v="4"/>
    <s v="15.04.2011"/>
    <x v="551"/>
    <x v="4"/>
    <x v="1"/>
    <s v=""/>
    <d v="1899-12-30T17:39:41"/>
    <s v=""/>
    <s v=""/>
    <d v="1899-12-30T10:00:00"/>
    <s v=""/>
    <s v=""/>
    <s v=""/>
  </r>
  <r>
    <x v="96"/>
    <x v="96"/>
    <x v="4"/>
    <s v="15.04.2011"/>
    <x v="551"/>
    <x v="4"/>
    <x v="1"/>
    <d v="1899-12-30T07:07:45"/>
    <s v=""/>
    <s v=""/>
    <s v=""/>
    <d v="1899-12-30T00:00:00"/>
    <s v=""/>
    <s v=""/>
    <s v=""/>
  </r>
  <r>
    <x v="97"/>
    <x v="97"/>
    <x v="0"/>
    <s v="11.04.2011"/>
    <x v="552"/>
    <x v="0"/>
    <x v="3"/>
    <s v=""/>
    <d v="1899-12-30T08:08:16"/>
    <s v=""/>
    <d v="1899-12-30T07:30:00"/>
    <d v="1899-12-30T09:00:00"/>
    <d v="1899-12-30T07:30:00"/>
    <s v=""/>
    <s v=""/>
  </r>
  <r>
    <x v="97"/>
    <x v="97"/>
    <x v="1"/>
    <s v="11.04.2011"/>
    <x v="553"/>
    <x v="1"/>
    <x v="3"/>
    <d v="1899-12-30T00:15:16"/>
    <s v=""/>
    <s v=""/>
    <s v=""/>
    <d v="1899-12-30T09:00:00"/>
    <s v=""/>
    <s v=""/>
    <s v=""/>
  </r>
  <r>
    <x v="97"/>
    <x v="97"/>
    <x v="1"/>
    <s v="11.04.2011"/>
    <x v="553"/>
    <x v="1"/>
    <x v="3"/>
    <d v="1899-12-30T22:04:49"/>
    <s v=""/>
    <s v=""/>
    <s v=""/>
    <d v="1899-12-30T00:00:00"/>
    <s v=""/>
    <s v=""/>
    <s v=""/>
  </r>
  <r>
    <x v="97"/>
    <x v="97"/>
    <x v="1"/>
    <s v="12.04.2011"/>
    <x v="554"/>
    <x v="1"/>
    <x v="3"/>
    <s v=""/>
    <d v="1899-12-30T07:49:53"/>
    <s v=""/>
    <s v=""/>
    <d v="1899-12-30T00:00:00"/>
    <s v=""/>
    <s v=""/>
    <s v=""/>
  </r>
  <r>
    <x v="97"/>
    <x v="97"/>
    <x v="2"/>
    <s v="12.04.2011"/>
    <x v="555"/>
    <x v="2"/>
    <x v="3"/>
    <d v="1899-12-30T22:04:07"/>
    <s v=""/>
    <s v=""/>
    <s v=""/>
    <d v="1899-12-30T09:00:00"/>
    <s v=""/>
    <s v=""/>
    <s v=""/>
  </r>
  <r>
    <x v="97"/>
    <x v="97"/>
    <x v="2"/>
    <s v="13.04.2011"/>
    <x v="555"/>
    <x v="2"/>
    <x v="3"/>
    <s v=""/>
    <d v="1899-12-30T07:50:16"/>
    <s v=""/>
    <s v=""/>
    <d v="1899-12-30T00:00:00"/>
    <s v=""/>
    <s v=""/>
    <s v=""/>
  </r>
  <r>
    <x v="97"/>
    <x v="97"/>
    <x v="3"/>
    <s v="13.04.2011"/>
    <x v="556"/>
    <x v="3"/>
    <x v="3"/>
    <d v="1899-12-30T22:03:22"/>
    <s v=""/>
    <s v=""/>
    <s v=""/>
    <d v="1899-12-30T09:00:00"/>
    <s v=""/>
    <s v=""/>
    <s v=""/>
  </r>
  <r>
    <x v="97"/>
    <x v="97"/>
    <x v="3"/>
    <s v="14.04.2011"/>
    <x v="556"/>
    <x v="3"/>
    <x v="3"/>
    <s v=""/>
    <d v="1899-12-30T07:51:01"/>
    <s v=""/>
    <s v=""/>
    <d v="1899-12-30T00:00:00"/>
    <s v=""/>
    <s v=""/>
    <s v=""/>
  </r>
  <r>
    <x v="97"/>
    <x v="97"/>
    <x v="4"/>
    <s v="14.04.2011"/>
    <x v="557"/>
    <x v="4"/>
    <x v="3"/>
    <d v="1899-12-30T22:06:52"/>
    <s v=""/>
    <s v=""/>
    <s v=""/>
    <d v="1899-12-30T09:00:00"/>
    <s v=""/>
    <s v=""/>
    <s v=""/>
  </r>
  <r>
    <x v="97"/>
    <x v="97"/>
    <x v="4"/>
    <s v="15.04.2011"/>
    <x v="557"/>
    <x v="4"/>
    <x v="3"/>
    <s v=""/>
    <d v="1899-12-30T07:52:16"/>
    <s v=""/>
    <s v=""/>
    <d v="1899-12-30T00:00:00"/>
    <s v=""/>
    <s v=""/>
    <s v=""/>
  </r>
  <r>
    <x v="97"/>
    <x v="97"/>
    <x v="5"/>
    <s v="15.04.2011"/>
    <x v="558"/>
    <x v="5"/>
    <x v="3"/>
    <d v="1899-12-30T22:14:14"/>
    <s v=""/>
    <s v=""/>
    <s v=""/>
    <d v="1899-12-30T09:00:00"/>
    <s v=""/>
    <s v=""/>
    <s v=""/>
  </r>
  <r>
    <x v="97"/>
    <x v="97"/>
    <x v="5"/>
    <s v="16.04.2011"/>
    <x v="558"/>
    <x v="5"/>
    <x v="3"/>
    <s v=""/>
    <d v="1899-12-30T07:51:02"/>
    <s v=""/>
    <s v=""/>
    <d v="1899-12-30T00:00:00"/>
    <s v=""/>
    <s v=""/>
    <s v=""/>
  </r>
  <r>
    <x v="98"/>
    <x v="98"/>
    <x v="1"/>
    <s v="12.04.2011"/>
    <x v="559"/>
    <x v="1"/>
    <x v="1"/>
    <s v=""/>
    <d v="1899-12-30T17:29:34"/>
    <s v=""/>
    <s v=""/>
    <d v="1899-12-30T10:00:00"/>
    <s v=""/>
    <s v=""/>
    <s v=""/>
  </r>
  <r>
    <x v="98"/>
    <x v="98"/>
    <x v="1"/>
    <s v="12.04.2011"/>
    <x v="559"/>
    <x v="1"/>
    <x v="1"/>
    <d v="1899-12-30T07:41:29"/>
    <s v=""/>
    <s v=""/>
    <s v=""/>
    <d v="1899-12-30T00:00:00"/>
    <s v=""/>
    <s v=""/>
    <s v=""/>
  </r>
  <r>
    <x v="98"/>
    <x v="98"/>
    <x v="2"/>
    <s v="13.04.2011"/>
    <x v="560"/>
    <x v="2"/>
    <x v="1"/>
    <s v=""/>
    <d v="1899-12-30T17:37:19"/>
    <d v="1899-12-30T02:00:00"/>
    <s v=""/>
    <d v="1899-12-30T10:00:00"/>
    <s v=""/>
    <s v=""/>
    <s v=""/>
  </r>
  <r>
    <x v="98"/>
    <x v="98"/>
    <x v="2"/>
    <s v="13.04.2011"/>
    <x v="560"/>
    <x v="2"/>
    <x v="1"/>
    <d v="1899-12-30T07:43:52"/>
    <s v=""/>
    <s v=""/>
    <s v=""/>
    <d v="1899-12-30T00:00:00"/>
    <s v=""/>
    <s v=""/>
    <s v=""/>
  </r>
  <r>
    <x v="98"/>
    <x v="98"/>
    <x v="3"/>
    <s v="14.04.2011"/>
    <x v="561"/>
    <x v="3"/>
    <x v="1"/>
    <s v=""/>
    <d v="1899-12-30T19:20:00"/>
    <s v=""/>
    <s v=""/>
    <d v="1899-12-30T10:00:00"/>
    <s v=""/>
    <s v=""/>
    <s v=""/>
  </r>
  <r>
    <x v="98"/>
    <x v="98"/>
    <x v="3"/>
    <s v="14.04.2011"/>
    <x v="561"/>
    <x v="3"/>
    <x v="1"/>
    <d v="1899-12-30T07:46:03"/>
    <s v=""/>
    <s v=""/>
    <s v=""/>
    <d v="1899-12-30T00:00:00"/>
    <s v=""/>
    <s v=""/>
    <s v=""/>
  </r>
  <r>
    <x v="98"/>
    <x v="98"/>
    <x v="4"/>
    <s v="15.04.2011"/>
    <x v="562"/>
    <x v="4"/>
    <x v="1"/>
    <s v=""/>
    <d v="1899-12-30T17:35:35"/>
    <s v=""/>
    <s v=""/>
    <d v="1899-12-30T10:00:00"/>
    <s v=""/>
    <s v=""/>
    <s v=""/>
  </r>
  <r>
    <x v="98"/>
    <x v="98"/>
    <x v="4"/>
    <s v="15.04.2011"/>
    <x v="562"/>
    <x v="4"/>
    <x v="1"/>
    <d v="1899-12-30T07:40:16"/>
    <s v=""/>
    <s v=""/>
    <s v=""/>
    <d v="1899-12-30T00:00:00"/>
    <s v=""/>
    <s v=""/>
    <s v=""/>
  </r>
  <r>
    <x v="99"/>
    <x v="99"/>
    <x v="0"/>
    <s v="11.04.2011"/>
    <x v="563"/>
    <x v="0"/>
    <x v="2"/>
    <d v="1899-12-30T22:06:47"/>
    <s v=""/>
    <s v=""/>
    <s v=""/>
    <s v=""/>
    <s v=""/>
    <s v=""/>
    <s v=""/>
  </r>
  <r>
    <x v="99"/>
    <x v="99"/>
    <x v="1"/>
    <s v="12.04.2011"/>
    <x v="564"/>
    <x v="1"/>
    <x v="2"/>
    <s v=""/>
    <d v="1899-12-30T07:50:55"/>
    <s v=""/>
    <s v=""/>
    <s v=""/>
    <s v=""/>
    <s v=""/>
    <s v=""/>
  </r>
  <r>
    <x v="99"/>
    <x v="99"/>
    <x v="1"/>
    <s v="12.04.2011"/>
    <x v="564"/>
    <x v="1"/>
    <x v="2"/>
    <d v="1899-12-30T22:04:11"/>
    <s v=""/>
    <s v=""/>
    <s v=""/>
    <d v="1899-12-30T00:00:00"/>
    <s v=""/>
    <s v=""/>
    <s v=""/>
  </r>
  <r>
    <x v="99"/>
    <x v="99"/>
    <x v="2"/>
    <s v="13.04.2011"/>
    <x v="565"/>
    <x v="2"/>
    <x v="2"/>
    <s v=""/>
    <d v="1899-12-30T07:51:36"/>
    <s v=""/>
    <s v=""/>
    <s v=""/>
    <s v=""/>
    <s v=""/>
    <s v=""/>
  </r>
  <r>
    <x v="99"/>
    <x v="99"/>
    <x v="2"/>
    <s v="13.04.2011"/>
    <x v="565"/>
    <x v="2"/>
    <x v="2"/>
    <d v="1899-12-30T22:06:52"/>
    <s v=""/>
    <s v=""/>
    <s v=""/>
    <d v="1899-12-30T00:00:00"/>
    <s v=""/>
    <s v=""/>
    <s v=""/>
  </r>
  <r>
    <x v="99"/>
    <x v="99"/>
    <x v="3"/>
    <s v="14.04.2011"/>
    <x v="566"/>
    <x v="3"/>
    <x v="2"/>
    <s v=""/>
    <d v="1899-12-30T07:55:35"/>
    <s v=""/>
    <s v=""/>
    <s v=""/>
    <s v=""/>
    <s v=""/>
    <s v=""/>
  </r>
  <r>
    <x v="99"/>
    <x v="99"/>
    <x v="3"/>
    <s v="14.04.2011"/>
    <x v="566"/>
    <x v="3"/>
    <x v="2"/>
    <d v="1899-12-30T22:06:04"/>
    <s v=""/>
    <s v=""/>
    <s v=""/>
    <d v="1899-12-30T00:00:00"/>
    <s v=""/>
    <s v=""/>
    <s v=""/>
  </r>
  <r>
    <x v="99"/>
    <x v="99"/>
    <x v="4"/>
    <s v="15.04.2011"/>
    <x v="567"/>
    <x v="4"/>
    <x v="2"/>
    <s v=""/>
    <d v="1899-12-30T07:52:49"/>
    <s v=""/>
    <s v=""/>
    <s v=""/>
    <s v=""/>
    <s v=""/>
    <s v=""/>
  </r>
  <r>
    <x v="100"/>
    <x v="100"/>
    <x v="0"/>
    <s v="11.04.2011"/>
    <x v="568"/>
    <x v="0"/>
    <x v="2"/>
    <s v=""/>
    <d v="1899-12-30T22:32:46"/>
    <s v=""/>
    <s v=""/>
    <s v=""/>
    <s v=""/>
    <s v=""/>
    <s v=""/>
  </r>
  <r>
    <x v="100"/>
    <x v="100"/>
    <x v="0"/>
    <s v="11.04.2011"/>
    <x v="568"/>
    <x v="0"/>
    <x v="2"/>
    <d v="1899-12-30T14:56:25"/>
    <s v=""/>
    <s v=""/>
    <s v=""/>
    <d v="1899-12-30T00:00:00"/>
    <s v=""/>
    <s v=""/>
    <s v=""/>
  </r>
  <r>
    <x v="100"/>
    <x v="100"/>
    <x v="1"/>
    <s v="12.04.2011"/>
    <x v="569"/>
    <x v="1"/>
    <x v="2"/>
    <s v=""/>
    <d v="1899-12-30T22:32:12"/>
    <s v=""/>
    <s v=""/>
    <s v=""/>
    <s v=""/>
    <s v=""/>
    <s v=""/>
  </r>
  <r>
    <x v="100"/>
    <x v="100"/>
    <x v="1"/>
    <s v="12.04.2011"/>
    <x v="569"/>
    <x v="1"/>
    <x v="2"/>
    <d v="1899-12-30T14:35:27"/>
    <s v=""/>
    <s v=""/>
    <s v=""/>
    <d v="1899-12-30T00:00:00"/>
    <s v=""/>
    <s v=""/>
    <s v=""/>
  </r>
  <r>
    <x v="100"/>
    <x v="100"/>
    <x v="2"/>
    <s v="13.04.2011"/>
    <x v="570"/>
    <x v="2"/>
    <x v="2"/>
    <s v=""/>
    <d v="1899-12-30T22:30:21"/>
    <s v=""/>
    <s v=""/>
    <s v=""/>
    <s v=""/>
    <s v=""/>
    <s v=""/>
  </r>
  <r>
    <x v="100"/>
    <x v="100"/>
    <x v="2"/>
    <s v="13.04.2011"/>
    <x v="570"/>
    <x v="2"/>
    <x v="2"/>
    <d v="1899-12-30T14:34:40"/>
    <s v=""/>
    <s v=""/>
    <s v=""/>
    <d v="1899-12-30T00:00:00"/>
    <s v=""/>
    <s v=""/>
    <s v=""/>
  </r>
  <r>
    <x v="100"/>
    <x v="100"/>
    <x v="3"/>
    <s v="14.04.2011"/>
    <x v="571"/>
    <x v="3"/>
    <x v="2"/>
    <s v=""/>
    <d v="1899-12-30T22:31:57"/>
    <s v=""/>
    <s v=""/>
    <s v=""/>
    <s v=""/>
    <s v=""/>
    <s v=""/>
  </r>
  <r>
    <x v="100"/>
    <x v="100"/>
    <x v="3"/>
    <s v="14.04.2011"/>
    <x v="571"/>
    <x v="3"/>
    <x v="2"/>
    <d v="1899-12-30T14:52:02"/>
    <s v=""/>
    <s v=""/>
    <s v=""/>
    <d v="1899-12-30T00:00:00"/>
    <s v=""/>
    <s v=""/>
    <s v=""/>
  </r>
  <r>
    <x v="100"/>
    <x v="100"/>
    <x v="4"/>
    <s v="15.04.2011"/>
    <x v="572"/>
    <x v="4"/>
    <x v="2"/>
    <s v=""/>
    <d v="1899-12-30T22:30:40"/>
    <s v=""/>
    <s v=""/>
    <s v=""/>
    <s v=""/>
    <s v=""/>
    <s v=""/>
  </r>
  <r>
    <x v="100"/>
    <x v="100"/>
    <x v="4"/>
    <s v="15.04.2011"/>
    <x v="572"/>
    <x v="4"/>
    <x v="2"/>
    <d v="1899-12-30T14:35:58"/>
    <s v=""/>
    <s v=""/>
    <s v=""/>
    <d v="1899-12-30T00:00:00"/>
    <s v=""/>
    <s v=""/>
    <s v=""/>
  </r>
  <r>
    <x v="100"/>
    <x v="100"/>
    <x v="5"/>
    <s v="16.04.2011"/>
    <x v="573"/>
    <x v="5"/>
    <x v="2"/>
    <s v=""/>
    <d v="1899-12-30T22:31:10"/>
    <s v=""/>
    <s v=""/>
    <s v=""/>
    <s v=""/>
    <s v=""/>
    <s v=""/>
  </r>
  <r>
    <x v="100"/>
    <x v="100"/>
    <x v="5"/>
    <s v="16.04.2011"/>
    <x v="573"/>
    <x v="5"/>
    <x v="2"/>
    <d v="1899-12-30T14:52:44"/>
    <s v=""/>
    <s v=""/>
    <s v=""/>
    <d v="1899-12-30T00:00:00"/>
    <s v=""/>
    <s v=""/>
    <s v=""/>
  </r>
  <r>
    <x v="101"/>
    <x v="101"/>
    <x v="0"/>
    <s v="11.04.2011"/>
    <x v="574"/>
    <x v="0"/>
    <x v="2"/>
    <s v=""/>
    <d v="1899-12-30T18:30:13"/>
    <s v=""/>
    <s v=""/>
    <s v=""/>
    <s v=""/>
    <s v=""/>
    <s v=""/>
  </r>
  <r>
    <x v="101"/>
    <x v="101"/>
    <x v="0"/>
    <s v="11.04.2011"/>
    <x v="574"/>
    <x v="0"/>
    <x v="2"/>
    <d v="1899-12-30T08:18:58"/>
    <s v=""/>
    <s v=""/>
    <s v=""/>
    <d v="1899-12-30T00:00:00"/>
    <s v=""/>
    <s v=""/>
    <s v=""/>
  </r>
  <r>
    <x v="101"/>
    <x v="101"/>
    <x v="1"/>
    <s v="12.04.2011"/>
    <x v="575"/>
    <x v="1"/>
    <x v="2"/>
    <s v=""/>
    <d v="1899-12-30T18:33:43"/>
    <s v=""/>
    <s v=""/>
    <s v=""/>
    <s v=""/>
    <s v=""/>
    <s v=""/>
  </r>
  <r>
    <x v="101"/>
    <x v="101"/>
    <x v="1"/>
    <s v="12.04.2011"/>
    <x v="575"/>
    <x v="1"/>
    <x v="2"/>
    <d v="1899-12-30T08:10:13"/>
    <s v=""/>
    <s v=""/>
    <s v=""/>
    <d v="1899-12-30T00:00:00"/>
    <s v=""/>
    <s v=""/>
    <s v=""/>
  </r>
  <r>
    <x v="101"/>
    <x v="101"/>
    <x v="2"/>
    <s v="13.04.2011"/>
    <x v="576"/>
    <x v="2"/>
    <x v="2"/>
    <s v=""/>
    <d v="1899-12-30T18:38:10"/>
    <s v=""/>
    <s v=""/>
    <s v=""/>
    <s v=""/>
    <s v=""/>
    <s v=""/>
  </r>
  <r>
    <x v="101"/>
    <x v="101"/>
    <x v="2"/>
    <s v="13.04.2011"/>
    <x v="576"/>
    <x v="2"/>
    <x v="2"/>
    <d v="1899-12-30T08:10:25"/>
    <s v=""/>
    <s v=""/>
    <s v=""/>
    <d v="1899-12-30T00:00:00"/>
    <s v=""/>
    <s v=""/>
    <s v=""/>
  </r>
  <r>
    <x v="101"/>
    <x v="101"/>
    <x v="3"/>
    <s v="14.04.2011"/>
    <x v="577"/>
    <x v="3"/>
    <x v="2"/>
    <s v=""/>
    <d v="1899-12-30T18:32:50"/>
    <s v=""/>
    <s v=""/>
    <s v=""/>
    <s v=""/>
    <s v=""/>
    <s v=""/>
  </r>
  <r>
    <x v="101"/>
    <x v="101"/>
    <x v="3"/>
    <s v="14.04.2011"/>
    <x v="577"/>
    <x v="3"/>
    <x v="2"/>
    <d v="1899-12-30T08:09:36"/>
    <s v=""/>
    <s v=""/>
    <s v=""/>
    <d v="1899-12-30T00:00:00"/>
    <s v=""/>
    <s v=""/>
    <s v=""/>
  </r>
  <r>
    <x v="101"/>
    <x v="101"/>
    <x v="4"/>
    <s v="15.04.2011"/>
    <x v="578"/>
    <x v="4"/>
    <x v="2"/>
    <s v=""/>
    <d v="1899-12-30T17:16:20"/>
    <s v=""/>
    <s v=""/>
    <s v=""/>
    <s v=""/>
    <s v=""/>
    <s v=""/>
  </r>
  <r>
    <x v="101"/>
    <x v="101"/>
    <x v="4"/>
    <s v="15.04.2011"/>
    <x v="578"/>
    <x v="4"/>
    <x v="2"/>
    <d v="1899-12-30T08:12:54"/>
    <s v=""/>
    <s v=""/>
    <s v=""/>
    <d v="1899-12-30T00:00:00"/>
    <s v=""/>
    <s v=""/>
    <s v=""/>
  </r>
  <r>
    <x v="102"/>
    <x v="102"/>
    <x v="8"/>
    <s v=""/>
    <x v="579"/>
    <x v="7"/>
    <x v="2"/>
    <s v=""/>
    <s v=""/>
    <s v=""/>
    <s v=""/>
    <s v=""/>
    <s v=""/>
    <s v=""/>
    <s v=""/>
  </r>
  <r>
    <x v="102"/>
    <x v="102"/>
    <x v="8"/>
    <s v=""/>
    <x v="579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  <r>
    <x v="102"/>
    <x v="102"/>
    <x v="8"/>
    <s v=""/>
    <x v="580"/>
    <x v="7"/>
    <x v="2"/>
    <s v=""/>
    <s v=""/>
    <s v=""/>
    <s v=""/>
    <d v="1899-12-30T00:00:00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2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compact="0" compactData="0" gridDropZones="1" multipleFieldFilters="0">
  <location ref="R9:AG435" firstHeaderRow="1" firstDataRow="2" firstDataCol="6"/>
  <pivotFields count="17">
    <pivotField axis="axisRow" compact="0" outline="0" showAll="0" defaultSubtotal="0">
      <items count="107">
        <item h="1" x="1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m="1" x="10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m="1" x="103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106"/>
        <item x="49"/>
        <item x="50"/>
        <item x="51"/>
        <item x="52"/>
        <item x="53"/>
        <item m="1" x="10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84"/>
        <item x="94"/>
        <item x="95"/>
        <item x="96"/>
        <item x="97"/>
        <item x="98"/>
        <item x="99"/>
        <item x="100"/>
        <item x="101"/>
      </items>
    </pivotField>
    <pivotField axis="axisRow" compact="0" outline="0" showAll="0" defaultSubtotal="0">
      <items count="107">
        <item x="102"/>
        <item x="54"/>
        <item x="18"/>
        <item x="6"/>
        <item x="42"/>
        <item x="101"/>
        <item x="98"/>
        <item x="51"/>
        <item x="55"/>
        <item x="14"/>
        <item x="30"/>
        <item x="20"/>
        <item x="60"/>
        <item x="75"/>
        <item x="57"/>
        <item x="65"/>
        <item x="28"/>
        <item x="24"/>
        <item x="68"/>
        <item x="15"/>
        <item x="25"/>
        <item x="16"/>
        <item x="97"/>
        <item x="8"/>
        <item x="50"/>
        <item x="48"/>
        <item x="43"/>
        <item x="7"/>
        <item x="69"/>
        <item x="12"/>
        <item x="99"/>
        <item x="1"/>
        <item x="80"/>
        <item x="79"/>
        <item x="52"/>
        <item x="89"/>
        <item x="40"/>
        <item x="82"/>
        <item x="0"/>
        <item x="2"/>
        <item x="88"/>
        <item x="56"/>
        <item x="21"/>
        <item x="83"/>
        <item x="95"/>
        <item x="94"/>
        <item m="1" x="106"/>
        <item x="19"/>
        <item x="26"/>
        <item x="23"/>
        <item x="31"/>
        <item x="71"/>
        <item x="46"/>
        <item x="63"/>
        <item x="38"/>
        <item m="1" x="105"/>
        <item x="78"/>
        <item x="37"/>
        <item x="59"/>
        <item x="41"/>
        <item x="44"/>
        <item x="72"/>
        <item x="91"/>
        <item x="64"/>
        <item x="33"/>
        <item x="87"/>
        <item x="47"/>
        <item x="39"/>
        <item x="74"/>
        <item x="45"/>
        <item x="4"/>
        <item x="85"/>
        <item x="90"/>
        <item x="61"/>
        <item x="67"/>
        <item x="86"/>
        <item x="100"/>
        <item x="49"/>
        <item x="3"/>
        <item x="9"/>
        <item x="77"/>
        <item x="84"/>
        <item x="27"/>
        <item x="5"/>
        <item x="10"/>
        <item x="29"/>
        <item x="22"/>
        <item x="93"/>
        <item x="70"/>
        <item m="1" x="104"/>
        <item x="66"/>
        <item x="96"/>
        <item x="11"/>
        <item m="1" x="103"/>
        <item x="13"/>
        <item x="81"/>
        <item x="53"/>
        <item x="62"/>
        <item x="35"/>
        <item x="17"/>
        <item x="92"/>
        <item x="58"/>
        <item x="36"/>
        <item x="76"/>
        <item x="34"/>
        <item x="73"/>
        <item x="32"/>
      </items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compact="0" outline="0" showAll="0" defaultSubtotal="0"/>
    <pivotField axis="axisRow" compact="0" numFmtId="1" outline="0" showAll="0">
      <items count="9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m="1" x="581"/>
        <item m="1" x="587"/>
        <item m="1" x="593"/>
        <item m="1" x="599"/>
        <item m="1" x="605"/>
        <item m="1" x="611"/>
        <item m="1" x="617"/>
        <item m="1" x="623"/>
        <item m="1" x="629"/>
        <item m="1" x="635"/>
        <item m="1" x="641"/>
        <item m="1" x="647"/>
        <item m="1" x="653"/>
        <item m="1" x="659"/>
        <item m="1" x="665"/>
        <item m="1" x="671"/>
        <item m="1" x="677"/>
        <item m="1" x="683"/>
        <item m="1" x="689"/>
        <item m="1" x="695"/>
        <item m="1" x="701"/>
        <item m="1" x="707"/>
        <item m="1" x="713"/>
        <item m="1" x="719"/>
        <item m="1" x="725"/>
        <item m="1" x="731"/>
        <item m="1" x="737"/>
        <item m="1" x="743"/>
        <item m="1" x="749"/>
        <item m="1" x="754"/>
        <item m="1" x="759"/>
        <item m="1" x="764"/>
        <item m="1" x="769"/>
        <item m="1" x="774"/>
        <item m="1" x="779"/>
        <item m="1" x="784"/>
        <item m="1" x="789"/>
        <item m="1" x="794"/>
        <item m="1" x="799"/>
        <item m="1" x="804"/>
        <item m="1" x="809"/>
        <item m="1" x="814"/>
        <item m="1" x="819"/>
        <item m="1" x="824"/>
        <item m="1" x="829"/>
        <item m="1" x="834"/>
        <item m="1" x="839"/>
        <item m="1" x="844"/>
        <item m="1" x="849"/>
        <item m="1" x="854"/>
        <item m="1" x="859"/>
        <item m="1" x="864"/>
        <item m="1" x="869"/>
        <item m="1" x="874"/>
        <item m="1" x="879"/>
        <item m="1" x="884"/>
        <item m="1" x="889"/>
        <item m="1" x="894"/>
        <item m="1" x="899"/>
        <item m="1" x="904"/>
        <item m="1" x="909"/>
        <item m="1" x="914"/>
        <item m="1" x="919"/>
        <item m="1" x="924"/>
        <item m="1" x="929"/>
        <item m="1" x="934"/>
        <item m="1" x="586"/>
        <item m="1" x="592"/>
        <item m="1" x="598"/>
        <item m="1" x="604"/>
        <item m="1" x="610"/>
        <item m="1" x="616"/>
        <item m="1" x="622"/>
        <item m="1" x="628"/>
        <item m="1" x="634"/>
        <item m="1" x="640"/>
        <item m="1" x="646"/>
        <item m="1" x="652"/>
        <item m="1" x="658"/>
        <item m="1" x="664"/>
        <item m="1" x="670"/>
        <item m="1" x="676"/>
        <item m="1" x="682"/>
        <item m="1" x="688"/>
        <item m="1" x="694"/>
        <item m="1" x="700"/>
        <item m="1" x="706"/>
        <item m="1" x="712"/>
        <item m="1" x="718"/>
        <item m="1" x="724"/>
        <item m="1" x="730"/>
        <item m="1" x="736"/>
        <item m="1" x="742"/>
        <item m="1" x="748"/>
        <item m="1" x="753"/>
        <item m="1" x="758"/>
        <item m="1" x="763"/>
        <item m="1" x="768"/>
        <item m="1" x="773"/>
        <item m="1" x="778"/>
        <item m="1" x="783"/>
        <item m="1" x="788"/>
        <item m="1" x="793"/>
        <item m="1" x="798"/>
        <item m="1" x="803"/>
        <item m="1" x="808"/>
        <item m="1" x="813"/>
        <item m="1" x="818"/>
        <item m="1" x="823"/>
        <item m="1" x="828"/>
        <item m="1" x="833"/>
        <item m="1" x="838"/>
        <item m="1" x="843"/>
        <item m="1" x="848"/>
        <item m="1" x="853"/>
        <item m="1" x="858"/>
        <item m="1" x="863"/>
        <item m="1" x="868"/>
        <item m="1" x="873"/>
        <item m="1" x="878"/>
        <item m="1" x="883"/>
        <item m="1" x="888"/>
        <item m="1" x="893"/>
        <item m="1" x="898"/>
        <item m="1" x="903"/>
        <item m="1" x="908"/>
        <item m="1" x="913"/>
        <item m="1" x="918"/>
        <item m="1" x="923"/>
        <item m="1" x="928"/>
        <item m="1" x="933"/>
        <item m="1" x="585"/>
        <item m="1" x="591"/>
        <item m="1" x="597"/>
        <item m="1" x="603"/>
        <item m="1" x="609"/>
        <item m="1" x="615"/>
        <item m="1" x="621"/>
        <item m="1" x="627"/>
        <item m="1" x="633"/>
        <item m="1" x="639"/>
        <item m="1" x="645"/>
        <item m="1" x="651"/>
        <item m="1" x="657"/>
        <item m="1" x="663"/>
        <item m="1" x="669"/>
        <item m="1" x="675"/>
        <item m="1" x="681"/>
        <item m="1" x="687"/>
        <item m="1" x="693"/>
        <item m="1" x="699"/>
        <item m="1" x="705"/>
        <item m="1" x="711"/>
        <item m="1" x="717"/>
        <item m="1" x="723"/>
        <item m="1" x="729"/>
        <item m="1" x="735"/>
        <item m="1" x="741"/>
        <item m="1" x="747"/>
        <item m="1" x="752"/>
        <item m="1" x="757"/>
        <item m="1" x="762"/>
        <item m="1" x="767"/>
        <item m="1" x="772"/>
        <item m="1" x="777"/>
        <item m="1" x="782"/>
        <item m="1" x="787"/>
        <item m="1" x="792"/>
        <item m="1" x="797"/>
        <item m="1" x="802"/>
        <item m="1" x="807"/>
        <item m="1" x="812"/>
        <item m="1" x="817"/>
        <item m="1" x="822"/>
        <item m="1" x="827"/>
        <item m="1" x="832"/>
        <item m="1" x="837"/>
        <item m="1" x="842"/>
        <item m="1" x="847"/>
        <item m="1" x="852"/>
        <item m="1" x="857"/>
        <item m="1" x="862"/>
        <item m="1" x="867"/>
        <item m="1" x="872"/>
        <item m="1" x="877"/>
        <item m="1" x="882"/>
        <item m="1" x="887"/>
        <item m="1" x="892"/>
        <item m="1" x="897"/>
        <item m="1" x="902"/>
        <item m="1" x="907"/>
        <item m="1" x="912"/>
        <item m="1" x="917"/>
        <item m="1" x="922"/>
        <item m="1" x="927"/>
        <item m="1" x="932"/>
        <item m="1" x="584"/>
        <item m="1" x="590"/>
        <item m="1" x="596"/>
        <item m="1" x="602"/>
        <item m="1" x="608"/>
        <item m="1" x="614"/>
        <item m="1" x="620"/>
        <item m="1" x="626"/>
        <item m="1" x="632"/>
        <item m="1" x="638"/>
        <item m="1" x="644"/>
        <item m="1" x="650"/>
        <item m="1" x="656"/>
        <item m="1" x="662"/>
        <item m="1" x="668"/>
        <item m="1" x="674"/>
        <item m="1" x="680"/>
        <item m="1" x="686"/>
        <item m="1" x="692"/>
        <item m="1" x="698"/>
        <item m="1" x="704"/>
        <item m="1" x="710"/>
        <item m="1" x="716"/>
        <item m="1" x="722"/>
        <item m="1" x="728"/>
        <item m="1" x="734"/>
        <item m="1" x="740"/>
        <item m="1" x="746"/>
        <item m="1" x="751"/>
        <item m="1" x="756"/>
        <item m="1" x="761"/>
        <item m="1" x="766"/>
        <item m="1" x="771"/>
        <item m="1" x="776"/>
        <item m="1" x="781"/>
        <item m="1" x="786"/>
        <item m="1" x="791"/>
        <item m="1" x="796"/>
        <item m="1" x="801"/>
        <item m="1" x="806"/>
        <item m="1" x="811"/>
        <item m="1" x="816"/>
        <item m="1" x="821"/>
        <item m="1" x="826"/>
        <item m="1" x="831"/>
        <item m="1" x="836"/>
        <item m="1" x="841"/>
        <item m="1" x="846"/>
        <item m="1" x="851"/>
        <item m="1" x="856"/>
        <item m="1" x="861"/>
        <item m="1" x="866"/>
        <item m="1" x="871"/>
        <item m="1" x="876"/>
        <item m="1" x="881"/>
        <item m="1" x="886"/>
        <item m="1" x="891"/>
        <item m="1" x="896"/>
        <item m="1" x="901"/>
        <item m="1" x="906"/>
        <item m="1" x="911"/>
        <item m="1" x="916"/>
        <item m="1" x="921"/>
        <item m="1" x="926"/>
        <item m="1" x="931"/>
        <item m="1" x="583"/>
        <item m="1" x="589"/>
        <item m="1" x="595"/>
        <item m="1" x="601"/>
        <item m="1" x="607"/>
        <item m="1" x="613"/>
        <item m="1" x="619"/>
        <item m="1" x="625"/>
        <item m="1" x="631"/>
        <item m="1" x="637"/>
        <item m="1" x="643"/>
        <item m="1" x="649"/>
        <item m="1" x="655"/>
        <item m="1" x="661"/>
        <item m="1" x="667"/>
        <item m="1" x="673"/>
        <item m="1" x="679"/>
        <item m="1" x="685"/>
        <item m="1" x="691"/>
        <item m="1" x="697"/>
        <item m="1" x="703"/>
        <item m="1" x="709"/>
        <item m="1" x="715"/>
        <item m="1" x="721"/>
        <item m="1" x="727"/>
        <item m="1" x="733"/>
        <item m="1" x="739"/>
        <item m="1" x="745"/>
        <item m="1" x="750"/>
        <item m="1" x="755"/>
        <item m="1" x="760"/>
        <item m="1" x="765"/>
        <item m="1" x="770"/>
        <item m="1" x="775"/>
        <item m="1" x="780"/>
        <item m="1" x="785"/>
        <item m="1" x="790"/>
        <item m="1" x="795"/>
        <item m="1" x="800"/>
        <item m="1" x="805"/>
        <item m="1" x="810"/>
        <item m="1" x="815"/>
        <item m="1" x="820"/>
        <item m="1" x="825"/>
        <item m="1" x="830"/>
        <item m="1" x="835"/>
        <item m="1" x="840"/>
        <item m="1" x="845"/>
        <item m="1" x="850"/>
        <item m="1" x="855"/>
        <item m="1" x="860"/>
        <item m="1" x="865"/>
        <item m="1" x="870"/>
        <item m="1" x="875"/>
        <item m="1" x="880"/>
        <item m="1" x="885"/>
        <item m="1" x="890"/>
        <item m="1" x="895"/>
        <item m="1" x="900"/>
        <item m="1" x="905"/>
        <item m="1" x="910"/>
        <item m="1" x="915"/>
        <item m="1" x="920"/>
        <item m="1" x="925"/>
        <item m="1" x="930"/>
        <item m="1" x="582"/>
        <item m="1" x="588"/>
        <item m="1" x="594"/>
        <item m="1" x="600"/>
        <item m="1" x="606"/>
        <item m="1" x="612"/>
        <item m="1" x="618"/>
        <item m="1" x="624"/>
        <item m="1" x="630"/>
        <item m="1" x="636"/>
        <item m="1" x="642"/>
        <item m="1" x="648"/>
        <item m="1" x="654"/>
        <item m="1" x="660"/>
        <item m="1" x="666"/>
        <item m="1" x="672"/>
        <item m="1" x="678"/>
        <item m="1" x="684"/>
        <item m="1" x="690"/>
        <item m="1" x="696"/>
        <item m="1" x="702"/>
        <item m="1" x="708"/>
        <item m="1" x="714"/>
        <item m="1" x="720"/>
        <item m="1" x="726"/>
        <item m="1" x="732"/>
        <item m="1" x="738"/>
        <item m="1" x="744"/>
        <item t="default"/>
      </items>
    </pivotField>
    <pivotField axis="axisRow" compact="0" outline="0" showAll="0" defaultSubtotal="0">
      <items count="10">
        <item x="6"/>
        <item x="0"/>
        <item x="1"/>
        <item x="2"/>
        <item x="3"/>
        <item x="4"/>
        <item x="5"/>
        <item m="1" x="8"/>
        <item m="1" x="9"/>
        <item x="7"/>
      </items>
    </pivotField>
    <pivotField axis="axisRow" compact="0" outline="0" showAll="0" defaultSubtotal="0">
      <items count="6">
        <item x="1"/>
        <item h="1" x="2"/>
        <item x="4"/>
        <item x="0"/>
        <item x="3"/>
        <item m="1" x="5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6">
    <field x="0"/>
    <field x="1"/>
    <field x="2"/>
    <field x="6"/>
    <field x="5"/>
    <field x="4"/>
  </rowFields>
  <rowItems count="425">
    <i>
      <x v="1"/>
      <x v="38"/>
      <x/>
      <x v="3"/>
      <x v="1"/>
      <x/>
    </i>
    <i r="2">
      <x v="1"/>
      <x v="3"/>
      <x v="2"/>
      <x v="1"/>
    </i>
    <i r="2">
      <x v="2"/>
      <x v="3"/>
      <x v="3"/>
      <x v="2"/>
    </i>
    <i r="2">
      <x v="3"/>
      <x v="3"/>
      <x v="4"/>
      <x v="3"/>
    </i>
    <i r="2">
      <x v="4"/>
      <x v="3"/>
      <x v="5"/>
      <x v="4"/>
    </i>
    <i r="2">
      <x v="5"/>
      <x v="3"/>
      <x v="6"/>
      <x v="5"/>
    </i>
    <i>
      <x v="2"/>
      <x v="31"/>
      <x/>
      <x/>
      <x v="1"/>
      <x v="6"/>
    </i>
    <i r="2">
      <x v="1"/>
      <x/>
      <x v="2"/>
      <x v="7"/>
    </i>
    <i r="2">
      <x v="2"/>
      <x/>
      <x v="3"/>
      <x v="8"/>
    </i>
    <i r="2">
      <x v="3"/>
      <x/>
      <x v="4"/>
      <x v="9"/>
    </i>
    <i r="2">
      <x v="4"/>
      <x/>
      <x v="5"/>
      <x v="10"/>
    </i>
    <i r="2">
      <x v="5"/>
      <x/>
      <x v="6"/>
      <x v="11"/>
    </i>
    <i>
      <x v="3"/>
      <x v="39"/>
      <x/>
      <x v="3"/>
      <x v="1"/>
      <x v="12"/>
    </i>
    <i r="2">
      <x v="1"/>
      <x v="3"/>
      <x v="2"/>
      <x v="13"/>
    </i>
    <i r="2">
      <x v="2"/>
      <x v="3"/>
      <x v="3"/>
      <x v="14"/>
    </i>
    <i r="2">
      <x v="3"/>
      <x v="3"/>
      <x v="4"/>
      <x v="15"/>
    </i>
    <i r="2">
      <x v="4"/>
      <x v="3"/>
      <x v="5"/>
      <x v="16"/>
    </i>
    <i r="2">
      <x v="5"/>
      <x v="3"/>
      <x v="6"/>
      <x v="17"/>
    </i>
    <i>
      <x v="5"/>
      <x v="70"/>
      <x/>
      <x v="3"/>
      <x v="1"/>
      <x v="24"/>
    </i>
    <i r="2">
      <x v="1"/>
      <x v="3"/>
      <x v="2"/>
      <x v="25"/>
    </i>
    <i r="2">
      <x v="2"/>
      <x v="3"/>
      <x v="3"/>
      <x v="26"/>
    </i>
    <i r="2">
      <x v="3"/>
      <x v="3"/>
      <x v="4"/>
      <x v="27"/>
    </i>
    <i r="2">
      <x v="4"/>
      <x v="3"/>
      <x v="5"/>
      <x v="28"/>
    </i>
    <i r="2">
      <x v="5"/>
      <x v="3"/>
      <x v="6"/>
      <x v="29"/>
    </i>
    <i>
      <x v="6"/>
      <x v="83"/>
      <x v="1"/>
      <x v="4"/>
      <x v="2"/>
      <x v="30"/>
    </i>
    <i r="2">
      <x v="2"/>
      <x v="4"/>
      <x v="3"/>
      <x v="31"/>
    </i>
    <i r="2">
      <x v="3"/>
      <x v="4"/>
      <x v="4"/>
      <x v="32"/>
    </i>
    <i r="2">
      <x v="4"/>
      <x v="4"/>
      <x v="5"/>
      <x v="33"/>
    </i>
    <i r="2">
      <x v="5"/>
      <x v="4"/>
      <x v="6"/>
      <x v="34"/>
    </i>
    <i>
      <x v="7"/>
      <x v="3"/>
      <x/>
      <x v="2"/>
      <x v="1"/>
      <x v="35"/>
    </i>
    <i r="2">
      <x v="1"/>
      <x v="2"/>
      <x v="2"/>
      <x v="36"/>
    </i>
    <i r="2">
      <x v="2"/>
      <x v="2"/>
      <x v="3"/>
      <x v="37"/>
    </i>
    <i r="2">
      <x v="3"/>
      <x v="2"/>
      <x v="4"/>
      <x v="38"/>
    </i>
    <i r="2">
      <x v="4"/>
      <x v="2"/>
      <x v="5"/>
      <x v="39"/>
    </i>
    <i>
      <x v="8"/>
      <x v="27"/>
      <x/>
      <x v="3"/>
      <x v="1"/>
      <x v="40"/>
    </i>
    <i r="2">
      <x v="1"/>
      <x v="3"/>
      <x v="2"/>
      <x v="41"/>
    </i>
    <i r="2">
      <x v="2"/>
      <x v="3"/>
      <x v="3"/>
      <x v="42"/>
    </i>
    <i r="2">
      <x v="3"/>
      <x v="3"/>
      <x v="4"/>
      <x v="43"/>
    </i>
    <i r="2">
      <x v="4"/>
      <x v="3"/>
      <x v="5"/>
      <x v="44"/>
    </i>
    <i r="2">
      <x v="5"/>
      <x v="3"/>
      <x v="6"/>
      <x v="45"/>
    </i>
    <i>
      <x v="11"/>
      <x v="84"/>
      <x/>
      <x v="2"/>
      <x v="1"/>
      <x v="57"/>
    </i>
    <i r="2">
      <x v="1"/>
      <x v="2"/>
      <x v="2"/>
      <x v="58"/>
    </i>
    <i r="2">
      <x v="2"/>
      <x v="2"/>
      <x v="3"/>
      <x v="59"/>
    </i>
    <i r="2">
      <x v="3"/>
      <x v="2"/>
      <x v="4"/>
      <x v="60"/>
    </i>
    <i r="2">
      <x v="4"/>
      <x v="2"/>
      <x v="5"/>
      <x v="61"/>
    </i>
    <i r="2">
      <x v="5"/>
      <x v="2"/>
      <x v="6"/>
      <x v="62"/>
    </i>
    <i r="2">
      <x v="6"/>
      <x v="2"/>
      <x/>
      <x v="63"/>
    </i>
    <i>
      <x v="12"/>
      <x v="92"/>
      <x/>
      <x/>
      <x v="1"/>
      <x v="64"/>
    </i>
    <i r="2">
      <x v="1"/>
      <x/>
      <x v="2"/>
      <x v="65"/>
    </i>
    <i r="2">
      <x v="2"/>
      <x/>
      <x v="3"/>
      <x v="66"/>
    </i>
    <i r="2">
      <x v="3"/>
      <x/>
      <x v="4"/>
      <x v="67"/>
    </i>
    <i r="2">
      <x v="4"/>
      <x/>
      <x v="5"/>
      <x v="68"/>
    </i>
    <i r="2">
      <x v="6"/>
      <x/>
      <x/>
      <x v="69"/>
    </i>
    <i>
      <x v="13"/>
      <x v="29"/>
      <x/>
      <x v="2"/>
      <x v="1"/>
      <x v="70"/>
    </i>
    <i r="2">
      <x v="1"/>
      <x v="2"/>
      <x v="2"/>
      <x v="71"/>
    </i>
    <i r="2">
      <x v="2"/>
      <x v="2"/>
      <x v="3"/>
      <x v="72"/>
    </i>
    <i r="2">
      <x v="3"/>
      <x v="2"/>
      <x v="4"/>
      <x v="73"/>
    </i>
    <i r="2">
      <x v="4"/>
      <x v="2"/>
      <x v="5"/>
      <x v="74"/>
    </i>
    <i r="2">
      <x v="5"/>
      <x v="2"/>
      <x v="6"/>
      <x v="75"/>
    </i>
    <i>
      <x v="14"/>
      <x v="94"/>
      <x/>
      <x v="2"/>
      <x v="1"/>
      <x v="76"/>
    </i>
    <i r="2">
      <x v="1"/>
      <x v="2"/>
      <x v="2"/>
      <x v="77"/>
    </i>
    <i r="2">
      <x v="2"/>
      <x v="2"/>
      <x v="3"/>
      <x v="78"/>
    </i>
    <i r="2">
      <x v="3"/>
      <x v="2"/>
      <x v="4"/>
      <x v="79"/>
    </i>
    <i r="2">
      <x v="4"/>
      <x v="2"/>
      <x v="5"/>
      <x v="80"/>
    </i>
    <i r="2">
      <x v="5"/>
      <x v="2"/>
      <x v="6"/>
      <x v="81"/>
    </i>
    <i r="2">
      <x v="6"/>
      <x v="2"/>
      <x/>
      <x v="82"/>
    </i>
    <i>
      <x v="15"/>
      <x v="9"/>
      <x/>
      <x v="2"/>
      <x v="1"/>
      <x v="83"/>
    </i>
    <i r="2">
      <x v="1"/>
      <x v="2"/>
      <x v="2"/>
      <x v="84"/>
    </i>
    <i r="2">
      <x v="2"/>
      <x v="2"/>
      <x v="3"/>
      <x v="85"/>
    </i>
    <i r="2">
      <x v="3"/>
      <x v="2"/>
      <x v="4"/>
      <x v="86"/>
    </i>
    <i r="2">
      <x v="4"/>
      <x v="2"/>
      <x v="5"/>
      <x v="87"/>
    </i>
    <i r="2">
      <x v="5"/>
      <x v="2"/>
      <x v="6"/>
      <x v="88"/>
    </i>
    <i>
      <x v="16"/>
      <x v="19"/>
      <x/>
      <x v="3"/>
      <x v="1"/>
      <x v="89"/>
    </i>
    <i r="2">
      <x v="1"/>
      <x v="3"/>
      <x v="2"/>
      <x v="90"/>
    </i>
    <i r="2">
      <x v="2"/>
      <x v="3"/>
      <x v="3"/>
      <x v="91"/>
    </i>
    <i r="2">
      <x v="3"/>
      <x v="3"/>
      <x v="4"/>
      <x v="92"/>
    </i>
    <i r="2">
      <x v="4"/>
      <x v="3"/>
      <x v="5"/>
      <x v="93"/>
    </i>
    <i r="2">
      <x v="5"/>
      <x v="3"/>
      <x v="6"/>
      <x v="94"/>
    </i>
    <i>
      <x v="17"/>
      <x v="21"/>
      <x/>
      <x v="4"/>
      <x v="1"/>
      <x v="95"/>
    </i>
    <i r="2">
      <x v="1"/>
      <x v="4"/>
      <x v="2"/>
      <x v="96"/>
    </i>
    <i r="2">
      <x v="2"/>
      <x v="4"/>
      <x v="3"/>
      <x v="97"/>
    </i>
    <i r="2">
      <x v="3"/>
      <x v="4"/>
      <x v="4"/>
      <x v="98"/>
    </i>
    <i r="2">
      <x v="4"/>
      <x v="4"/>
      <x v="5"/>
      <x v="99"/>
    </i>
    <i r="2">
      <x v="5"/>
      <x v="4"/>
      <x v="6"/>
      <x v="100"/>
    </i>
    <i>
      <x v="18"/>
      <x v="99"/>
      <x/>
      <x v="3"/>
      <x v="1"/>
      <x v="101"/>
    </i>
    <i r="2">
      <x v="1"/>
      <x v="3"/>
      <x v="2"/>
      <x v="102"/>
    </i>
    <i r="2">
      <x v="2"/>
      <x v="3"/>
      <x v="3"/>
      <x v="103"/>
    </i>
    <i r="2">
      <x v="3"/>
      <x v="3"/>
      <x v="4"/>
      <x v="104"/>
    </i>
    <i r="2">
      <x v="4"/>
      <x v="3"/>
      <x v="5"/>
      <x v="105"/>
    </i>
    <i r="2">
      <x v="5"/>
      <x v="3"/>
      <x v="6"/>
      <x v="106"/>
    </i>
    <i>
      <x v="21"/>
      <x v="47"/>
      <x/>
      <x v="2"/>
      <x v="1"/>
      <x v="113"/>
    </i>
    <i r="2">
      <x v="1"/>
      <x v="2"/>
      <x v="2"/>
      <x v="114"/>
    </i>
    <i r="2">
      <x v="2"/>
      <x v="2"/>
      <x v="3"/>
      <x v="115"/>
    </i>
    <i r="2">
      <x v="3"/>
      <x v="2"/>
      <x v="4"/>
      <x v="116"/>
    </i>
    <i r="2">
      <x v="4"/>
      <x v="2"/>
      <x v="5"/>
      <x v="117"/>
    </i>
    <i r="2">
      <x v="5"/>
      <x v="2"/>
      <x v="6"/>
      <x v="118"/>
    </i>
    <i>
      <x v="22"/>
      <x v="11"/>
      <x/>
      <x v="3"/>
      <x v="1"/>
      <x v="119"/>
    </i>
    <i r="2">
      <x v="1"/>
      <x v="3"/>
      <x v="2"/>
      <x v="120"/>
    </i>
    <i r="2">
      <x v="2"/>
      <x v="3"/>
      <x v="3"/>
      <x v="121"/>
    </i>
    <i r="2">
      <x v="3"/>
      <x v="3"/>
      <x v="4"/>
      <x v="122"/>
    </i>
    <i r="2">
      <x v="4"/>
      <x v="3"/>
      <x v="5"/>
      <x v="123"/>
    </i>
    <i r="2">
      <x v="5"/>
      <x v="3"/>
      <x v="6"/>
      <x v="124"/>
    </i>
    <i>
      <x v="23"/>
      <x v="42"/>
      <x/>
      <x v="2"/>
      <x v="1"/>
      <x v="125"/>
    </i>
    <i r="2">
      <x v="1"/>
      <x v="2"/>
      <x v="2"/>
      <x v="126"/>
    </i>
    <i r="2">
      <x v="2"/>
      <x v="2"/>
      <x v="3"/>
      <x v="127"/>
    </i>
    <i r="2">
      <x v="3"/>
      <x v="2"/>
      <x v="4"/>
      <x v="128"/>
    </i>
    <i r="2">
      <x v="4"/>
      <x v="2"/>
      <x v="5"/>
      <x v="129"/>
    </i>
    <i r="2">
      <x v="5"/>
      <x v="2"/>
      <x v="6"/>
      <x v="130"/>
    </i>
    <i>
      <x v="24"/>
      <x v="86"/>
      <x/>
      <x v="2"/>
      <x v="1"/>
      <x v="131"/>
    </i>
    <i r="2">
      <x v="1"/>
      <x v="2"/>
      <x v="2"/>
      <x v="132"/>
    </i>
    <i r="2">
      <x v="2"/>
      <x v="2"/>
      <x v="3"/>
      <x v="133"/>
    </i>
    <i r="2">
      <x v="3"/>
      <x v="2"/>
      <x v="4"/>
      <x v="134"/>
    </i>
    <i r="2">
      <x v="4"/>
      <x v="2"/>
      <x v="5"/>
      <x v="135"/>
    </i>
    <i>
      <x v="25"/>
      <x v="49"/>
      <x/>
      <x v="3"/>
      <x v="1"/>
      <x v="136"/>
    </i>
    <i r="2">
      <x v="1"/>
      <x v="3"/>
      <x v="2"/>
      <x v="137"/>
    </i>
    <i r="2">
      <x v="2"/>
      <x v="3"/>
      <x v="3"/>
      <x v="138"/>
    </i>
    <i r="2">
      <x v="3"/>
      <x v="3"/>
      <x v="4"/>
      <x v="139"/>
    </i>
    <i r="2">
      <x v="4"/>
      <x v="3"/>
      <x v="5"/>
      <x v="140"/>
    </i>
    <i r="2">
      <x v="5"/>
      <x v="3"/>
      <x v="6"/>
      <x v="141"/>
    </i>
    <i>
      <x v="26"/>
      <x v="17"/>
      <x/>
      <x v="3"/>
      <x v="1"/>
      <x v="142"/>
    </i>
    <i r="5">
      <x v="143"/>
    </i>
    <i r="2">
      <x v="1"/>
      <x v="3"/>
      <x v="2"/>
      <x v="144"/>
    </i>
    <i r="2">
      <x v="2"/>
      <x v="3"/>
      <x v="3"/>
      <x v="145"/>
    </i>
    <i r="2">
      <x v="3"/>
      <x v="3"/>
      <x v="4"/>
      <x v="146"/>
    </i>
    <i r="2">
      <x v="4"/>
      <x v="3"/>
      <x v="5"/>
      <x v="147"/>
    </i>
    <i r="2">
      <x v="5"/>
      <x v="3"/>
      <x v="6"/>
      <x v="148"/>
    </i>
    <i>
      <x v="27"/>
      <x v="20"/>
      <x/>
      <x v="2"/>
      <x v="1"/>
      <x v="149"/>
    </i>
    <i r="2">
      <x v="1"/>
      <x v="2"/>
      <x v="2"/>
      <x v="150"/>
    </i>
    <i r="2">
      <x v="2"/>
      <x v="2"/>
      <x v="3"/>
      <x v="151"/>
    </i>
    <i r="2">
      <x v="3"/>
      <x v="2"/>
      <x v="4"/>
      <x v="152"/>
    </i>
    <i r="2">
      <x v="4"/>
      <x v="2"/>
      <x v="5"/>
      <x v="153"/>
    </i>
    <i>
      <x v="28"/>
      <x v="48"/>
      <x/>
      <x v="2"/>
      <x v="1"/>
      <x v="154"/>
    </i>
    <i r="2">
      <x v="1"/>
      <x v="2"/>
      <x v="2"/>
      <x v="155"/>
    </i>
    <i r="2">
      <x v="2"/>
      <x v="2"/>
      <x v="3"/>
      <x v="156"/>
    </i>
    <i r="2">
      <x v="3"/>
      <x v="2"/>
      <x v="4"/>
      <x v="157"/>
    </i>
    <i r="2">
      <x v="4"/>
      <x v="2"/>
      <x v="5"/>
      <x v="158"/>
    </i>
    <i r="2">
      <x v="5"/>
      <x v="2"/>
      <x v="6"/>
      <x v="159"/>
    </i>
    <i>
      <x v="30"/>
      <x v="16"/>
      <x/>
      <x v="2"/>
      <x v="1"/>
      <x v="166"/>
    </i>
    <i r="2">
      <x v="1"/>
      <x v="2"/>
      <x v="2"/>
      <x v="167"/>
    </i>
    <i r="2">
      <x v="2"/>
      <x v="2"/>
      <x v="3"/>
      <x v="168"/>
    </i>
    <i r="2">
      <x v="3"/>
      <x v="2"/>
      <x v="4"/>
      <x v="169"/>
    </i>
    <i r="2">
      <x v="4"/>
      <x v="2"/>
      <x v="5"/>
      <x v="170"/>
    </i>
    <i r="2">
      <x v="5"/>
      <x v="2"/>
      <x v="6"/>
      <x v="171"/>
    </i>
    <i>
      <x v="31"/>
      <x v="85"/>
      <x/>
      <x v="3"/>
      <x v="1"/>
      <x v="172"/>
    </i>
    <i r="2">
      <x v="1"/>
      <x v="3"/>
      <x v="2"/>
      <x v="173"/>
    </i>
    <i r="2">
      <x v="2"/>
      <x v="3"/>
      <x v="3"/>
      <x v="174"/>
    </i>
    <i r="2">
      <x v="3"/>
      <x v="3"/>
      <x v="4"/>
      <x v="175"/>
    </i>
    <i r="2">
      <x v="4"/>
      <x v="3"/>
      <x v="5"/>
      <x v="176"/>
    </i>
    <i>
      <x v="32"/>
      <x v="10"/>
      <x/>
      <x v="3"/>
      <x v="1"/>
      <x v="177"/>
    </i>
    <i r="2">
      <x v="1"/>
      <x v="3"/>
      <x v="2"/>
      <x v="178"/>
    </i>
    <i r="2">
      <x v="2"/>
      <x v="3"/>
      <x v="3"/>
      <x v="179"/>
    </i>
    <i r="2">
      <x v="3"/>
      <x v="3"/>
      <x v="4"/>
      <x v="180"/>
    </i>
    <i r="2">
      <x v="4"/>
      <x v="3"/>
      <x v="5"/>
      <x v="181"/>
    </i>
    <i r="2">
      <x v="5"/>
      <x v="3"/>
      <x v="6"/>
      <x v="182"/>
    </i>
    <i>
      <x v="33"/>
      <x v="50"/>
      <x v="1"/>
      <x v="4"/>
      <x v="2"/>
      <x v="183"/>
    </i>
    <i r="2">
      <x v="2"/>
      <x v="4"/>
      <x v="3"/>
      <x v="184"/>
    </i>
    <i r="2">
      <x v="3"/>
      <x v="4"/>
      <x v="4"/>
      <x v="185"/>
    </i>
    <i r="2">
      <x v="4"/>
      <x v="4"/>
      <x v="5"/>
      <x v="186"/>
    </i>
    <i r="2">
      <x v="5"/>
      <x v="4"/>
      <x v="6"/>
      <x v="187"/>
    </i>
    <i>
      <x v="35"/>
      <x v="64"/>
      <x v="1"/>
      <x v="4"/>
      <x v="2"/>
      <x v="194"/>
    </i>
    <i r="2">
      <x v="2"/>
      <x v="4"/>
      <x v="3"/>
      <x v="195"/>
    </i>
    <i r="2">
      <x v="3"/>
      <x v="4"/>
      <x v="4"/>
      <x v="196"/>
    </i>
    <i r="2">
      <x v="4"/>
      <x v="4"/>
      <x v="5"/>
      <x v="197"/>
    </i>
    <i r="2">
      <x v="5"/>
      <x v="4"/>
      <x v="6"/>
      <x v="198"/>
    </i>
    <i>
      <x v="36"/>
      <x v="104"/>
      <x/>
      <x v="3"/>
      <x v="1"/>
      <x v="199"/>
    </i>
    <i r="2">
      <x v="1"/>
      <x v="3"/>
      <x v="2"/>
      <x v="200"/>
    </i>
    <i r="2">
      <x v="2"/>
      <x v="3"/>
      <x v="3"/>
      <x v="201"/>
    </i>
    <i r="2">
      <x v="3"/>
      <x v="3"/>
      <x v="4"/>
      <x v="202"/>
    </i>
    <i r="2">
      <x v="4"/>
      <x v="3"/>
      <x v="5"/>
      <x v="203"/>
    </i>
    <i r="2">
      <x v="5"/>
      <x v="3"/>
      <x v="6"/>
      <x v="204"/>
    </i>
    <i>
      <x v="37"/>
      <x v="98"/>
      <x/>
      <x v="2"/>
      <x v="1"/>
      <x v="205"/>
    </i>
    <i r="2">
      <x v="1"/>
      <x v="2"/>
      <x v="2"/>
      <x v="206"/>
    </i>
    <i r="2">
      <x v="2"/>
      <x v="2"/>
      <x v="3"/>
      <x v="207"/>
    </i>
    <i r="2">
      <x v="3"/>
      <x v="2"/>
      <x v="4"/>
      <x v="208"/>
    </i>
    <i r="2">
      <x v="4"/>
      <x v="2"/>
      <x v="5"/>
      <x v="209"/>
    </i>
    <i r="2">
      <x v="5"/>
      <x v="2"/>
      <x v="6"/>
      <x v="210"/>
    </i>
    <i>
      <x v="39"/>
      <x v="57"/>
      <x v="1"/>
      <x v="3"/>
      <x v="2"/>
      <x v="217"/>
    </i>
    <i r="2">
      <x v="2"/>
      <x v="3"/>
      <x v="3"/>
      <x v="218"/>
    </i>
    <i r="2">
      <x v="3"/>
      <x v="3"/>
      <x v="4"/>
      <x v="219"/>
    </i>
    <i r="2">
      <x v="4"/>
      <x v="3"/>
      <x v="5"/>
      <x v="220"/>
    </i>
    <i r="2">
      <x v="5"/>
      <x v="3"/>
      <x v="6"/>
      <x v="221"/>
    </i>
    <i>
      <x v="41"/>
      <x v="54"/>
      <x v="1"/>
      <x v="4"/>
      <x v="2"/>
      <x v="222"/>
    </i>
    <i r="2">
      <x v="2"/>
      <x v="4"/>
      <x v="3"/>
      <x v="223"/>
    </i>
    <i r="2">
      <x v="3"/>
      <x v="4"/>
      <x v="4"/>
      <x v="224"/>
    </i>
    <i r="2">
      <x v="4"/>
      <x v="4"/>
      <x v="5"/>
      <x v="225"/>
    </i>
    <i r="2">
      <x v="5"/>
      <x v="4"/>
      <x v="6"/>
      <x v="226"/>
    </i>
    <i>
      <x v="42"/>
      <x v="67"/>
      <x v="1"/>
      <x v="4"/>
      <x v="2"/>
      <x v="227"/>
    </i>
    <i r="2">
      <x v="2"/>
      <x v="4"/>
      <x v="3"/>
      <x v="228"/>
    </i>
    <i r="2">
      <x v="3"/>
      <x v="4"/>
      <x v="4"/>
      <x v="229"/>
    </i>
    <i r="2">
      <x v="4"/>
      <x v="4"/>
      <x v="5"/>
      <x v="230"/>
    </i>
    <i r="5">
      <x v="231"/>
    </i>
    <i r="2">
      <x v="5"/>
      <x v="4"/>
      <x v="6"/>
      <x v="232"/>
    </i>
    <i>
      <x v="43"/>
      <x v="36"/>
      <x/>
      <x/>
      <x v="1"/>
      <x v="233"/>
    </i>
    <i r="2">
      <x v="1"/>
      <x/>
      <x v="2"/>
      <x v="234"/>
    </i>
    <i r="2">
      <x v="2"/>
      <x/>
      <x v="3"/>
      <x v="235"/>
    </i>
    <i r="2">
      <x v="3"/>
      <x/>
      <x v="4"/>
      <x v="236"/>
    </i>
    <i r="2">
      <x v="4"/>
      <x/>
      <x v="5"/>
      <x v="237"/>
    </i>
    <i>
      <x v="44"/>
      <x v="59"/>
      <x/>
      <x v="2"/>
      <x v="1"/>
      <x v="238"/>
    </i>
    <i r="2">
      <x v="1"/>
      <x v="2"/>
      <x v="2"/>
      <x v="239"/>
    </i>
    <i r="2">
      <x v="2"/>
      <x v="2"/>
      <x v="3"/>
      <x v="240"/>
    </i>
    <i r="2">
      <x v="3"/>
      <x v="2"/>
      <x v="4"/>
      <x v="241"/>
    </i>
    <i r="2">
      <x v="4"/>
      <x v="2"/>
      <x v="5"/>
      <x v="242"/>
    </i>
    <i r="2">
      <x v="5"/>
      <x v="2"/>
      <x v="6"/>
      <x v="243"/>
    </i>
    <i>
      <x v="45"/>
      <x v="4"/>
      <x/>
      <x v="4"/>
      <x v="1"/>
      <x v="244"/>
    </i>
    <i r="2">
      <x v="1"/>
      <x v="4"/>
      <x v="2"/>
      <x v="245"/>
    </i>
    <i r="5">
      <x v="246"/>
    </i>
    <i r="2">
      <x v="2"/>
      <x v="4"/>
      <x v="3"/>
      <x v="247"/>
    </i>
    <i>
      <x v="46"/>
      <x v="26"/>
      <x/>
      <x v="3"/>
      <x v="1"/>
      <x v="248"/>
    </i>
    <i r="2">
      <x v="1"/>
      <x v="3"/>
      <x v="2"/>
      <x v="249"/>
    </i>
    <i r="2">
      <x v="2"/>
      <x v="3"/>
      <x v="3"/>
      <x v="250"/>
    </i>
    <i r="2">
      <x v="3"/>
      <x v="3"/>
      <x v="4"/>
      <x v="251"/>
    </i>
    <i r="2">
      <x v="4"/>
      <x v="3"/>
      <x v="5"/>
      <x v="252"/>
    </i>
    <i r="2">
      <x v="5"/>
      <x v="3"/>
      <x v="6"/>
      <x v="253"/>
    </i>
    <i>
      <x v="47"/>
      <x v="60"/>
      <x v="1"/>
      <x v="4"/>
      <x v="2"/>
      <x v="254"/>
    </i>
    <i r="2">
      <x v="2"/>
      <x v="4"/>
      <x v="3"/>
      <x v="255"/>
    </i>
    <i r="2">
      <x v="3"/>
      <x v="4"/>
      <x v="4"/>
      <x v="256"/>
    </i>
    <i r="2">
      <x v="4"/>
      <x v="4"/>
      <x v="5"/>
      <x v="257"/>
    </i>
    <i r="2">
      <x v="5"/>
      <x v="4"/>
      <x v="6"/>
      <x v="258"/>
    </i>
    <i>
      <x v="48"/>
      <x v="69"/>
      <x/>
      <x/>
      <x v="1"/>
      <x v="259"/>
    </i>
    <i r="2">
      <x v="1"/>
      <x/>
      <x v="2"/>
      <x v="260"/>
    </i>
    <i r="2">
      <x v="2"/>
      <x/>
      <x v="3"/>
      <x v="261"/>
    </i>
    <i r="2">
      <x v="3"/>
      <x/>
      <x v="4"/>
      <x v="262"/>
    </i>
    <i r="2">
      <x v="4"/>
      <x/>
      <x v="5"/>
      <x v="263"/>
    </i>
    <i>
      <x v="49"/>
      <x v="52"/>
      <x v="1"/>
      <x v="4"/>
      <x v="2"/>
      <x v="264"/>
    </i>
    <i r="2">
      <x v="2"/>
      <x v="4"/>
      <x v="3"/>
      <x v="265"/>
    </i>
    <i r="2">
      <x v="3"/>
      <x v="4"/>
      <x v="4"/>
      <x v="266"/>
    </i>
    <i r="2">
      <x v="4"/>
      <x v="4"/>
      <x v="5"/>
      <x v="267"/>
    </i>
    <i r="2">
      <x v="5"/>
      <x v="4"/>
      <x v="6"/>
      <x v="268"/>
    </i>
    <i>
      <x v="50"/>
      <x v="66"/>
      <x/>
      <x v="3"/>
      <x v="1"/>
      <x v="269"/>
    </i>
    <i r="2">
      <x v="1"/>
      <x v="3"/>
      <x v="2"/>
      <x v="270"/>
    </i>
    <i r="2">
      <x v="2"/>
      <x v="3"/>
      <x v="3"/>
      <x v="271"/>
    </i>
    <i r="2">
      <x v="3"/>
      <x v="3"/>
      <x v="4"/>
      <x v="272"/>
    </i>
    <i r="2">
      <x v="4"/>
      <x v="3"/>
      <x v="5"/>
      <x v="273"/>
    </i>
    <i r="2">
      <x v="5"/>
      <x v="3"/>
      <x v="6"/>
      <x v="274"/>
    </i>
    <i>
      <x v="51"/>
      <x v="25"/>
      <x/>
      <x v="3"/>
      <x v="1"/>
      <x v="275"/>
    </i>
    <i r="2">
      <x v="1"/>
      <x v="3"/>
      <x v="2"/>
      <x v="276"/>
    </i>
    <i r="2">
      <x v="2"/>
      <x v="3"/>
      <x v="3"/>
      <x v="277"/>
    </i>
    <i r="2">
      <x v="3"/>
      <x v="3"/>
      <x v="4"/>
      <x v="278"/>
    </i>
    <i r="2">
      <x v="4"/>
      <x v="3"/>
      <x v="5"/>
      <x v="279"/>
    </i>
    <i r="2">
      <x v="5"/>
      <x v="3"/>
      <x v="6"/>
      <x v="280"/>
    </i>
    <i>
      <x v="53"/>
      <x v="77"/>
      <x/>
      <x/>
      <x v="1"/>
      <x v="281"/>
    </i>
    <i r="2">
      <x v="1"/>
      <x/>
      <x v="2"/>
      <x v="282"/>
    </i>
    <i r="2">
      <x v="2"/>
      <x/>
      <x v="3"/>
      <x v="283"/>
    </i>
    <i r="2">
      <x v="3"/>
      <x/>
      <x v="4"/>
      <x v="284"/>
    </i>
    <i r="2">
      <x v="4"/>
      <x/>
      <x v="5"/>
      <x v="285"/>
    </i>
    <i>
      <x v="55"/>
      <x v="7"/>
      <x/>
      <x/>
      <x v="1"/>
      <x v="292"/>
    </i>
    <i r="2">
      <x v="1"/>
      <x/>
      <x v="2"/>
      <x v="293"/>
    </i>
    <i r="2">
      <x v="2"/>
      <x/>
      <x v="3"/>
      <x v="294"/>
    </i>
    <i r="2">
      <x v="3"/>
      <x/>
      <x v="4"/>
      <x v="295"/>
    </i>
    <i r="2">
      <x v="4"/>
      <x/>
      <x v="5"/>
      <x v="296"/>
    </i>
    <i>
      <x v="57"/>
      <x v="96"/>
      <x/>
      <x/>
      <x v="1"/>
      <x v="303"/>
    </i>
    <i r="2">
      <x v="1"/>
      <x/>
      <x v="2"/>
      <x v="304"/>
    </i>
    <i r="2">
      <x v="2"/>
      <x/>
      <x v="3"/>
      <x v="305"/>
    </i>
    <i r="2">
      <x v="3"/>
      <x/>
      <x v="4"/>
      <x v="306"/>
    </i>
    <i r="2">
      <x v="4"/>
      <x/>
      <x v="5"/>
      <x v="307"/>
    </i>
    <i>
      <x v="59"/>
      <x v="1"/>
      <x/>
      <x v="2"/>
      <x v="1"/>
      <x v="308"/>
    </i>
    <i r="2">
      <x v="1"/>
      <x v="2"/>
      <x v="2"/>
      <x v="309"/>
    </i>
    <i r="2">
      <x v="2"/>
      <x v="2"/>
      <x v="3"/>
      <x v="310"/>
    </i>
    <i r="2">
      <x v="3"/>
      <x v="2"/>
      <x v="4"/>
      <x v="311"/>
    </i>
    <i r="2">
      <x v="4"/>
      <x v="2"/>
      <x v="5"/>
      <x v="312"/>
    </i>
    <i r="2">
      <x v="5"/>
      <x v="2"/>
      <x v="6"/>
      <x v="313"/>
    </i>
    <i>
      <x v="60"/>
      <x v="8"/>
      <x/>
      <x v="2"/>
      <x v="1"/>
      <x v="314"/>
    </i>
    <i r="2">
      <x v="1"/>
      <x v="2"/>
      <x v="2"/>
      <x v="315"/>
    </i>
    <i r="2">
      <x v="2"/>
      <x v="2"/>
      <x v="3"/>
      <x v="316"/>
    </i>
    <i r="2">
      <x v="3"/>
      <x v="2"/>
      <x v="4"/>
      <x v="317"/>
    </i>
    <i r="2">
      <x v="4"/>
      <x v="2"/>
      <x v="5"/>
      <x v="318"/>
    </i>
    <i r="2">
      <x v="5"/>
      <x v="2"/>
      <x v="6"/>
      <x v="319"/>
    </i>
    <i>
      <x v="62"/>
      <x v="14"/>
      <x/>
      <x/>
      <x v="1"/>
      <x v="326"/>
    </i>
    <i r="2">
      <x v="1"/>
      <x/>
      <x v="2"/>
      <x v="327"/>
    </i>
    <i r="2">
      <x v="2"/>
      <x/>
      <x v="3"/>
      <x v="328"/>
    </i>
    <i r="2">
      <x v="3"/>
      <x/>
      <x v="4"/>
      <x v="329"/>
    </i>
    <i r="2">
      <x v="4"/>
      <x/>
      <x v="5"/>
      <x v="330"/>
    </i>
    <i>
      <x v="63"/>
      <x v="101"/>
      <x/>
      <x v="4"/>
      <x v="1"/>
      <x v="331"/>
    </i>
    <i r="2">
      <x v="1"/>
      <x v="4"/>
      <x v="2"/>
      <x v="332"/>
    </i>
    <i r="5">
      <x v="333"/>
    </i>
    <i r="2">
      <x v="2"/>
      <x v="4"/>
      <x v="3"/>
      <x v="334"/>
    </i>
    <i r="2">
      <x v="3"/>
      <x v="4"/>
      <x v="4"/>
      <x v="335"/>
    </i>
    <i r="2">
      <x v="4"/>
      <x v="4"/>
      <x v="5"/>
      <x v="336"/>
    </i>
    <i r="2">
      <x v="5"/>
      <x v="4"/>
      <x v="6"/>
      <x v="337"/>
    </i>
    <i>
      <x v="64"/>
      <x v="58"/>
      <x/>
      <x v="2"/>
      <x v="1"/>
      <x v="338"/>
    </i>
    <i r="2">
      <x v="1"/>
      <x v="2"/>
      <x v="2"/>
      <x v="339"/>
    </i>
    <i r="2">
      <x v="2"/>
      <x v="2"/>
      <x v="3"/>
      <x v="340"/>
    </i>
    <i r="2">
      <x v="3"/>
      <x v="2"/>
      <x v="4"/>
      <x v="341"/>
    </i>
    <i r="2">
      <x v="4"/>
      <x v="2"/>
      <x v="5"/>
      <x v="342"/>
    </i>
    <i r="2">
      <x v="5"/>
      <x v="2"/>
      <x v="6"/>
      <x v="343"/>
    </i>
    <i>
      <x v="65"/>
      <x v="12"/>
      <x/>
      <x/>
      <x v="1"/>
      <x v="344"/>
    </i>
    <i r="2">
      <x v="1"/>
      <x/>
      <x v="2"/>
      <x v="345"/>
    </i>
    <i r="2">
      <x v="2"/>
      <x/>
      <x v="3"/>
      <x v="346"/>
    </i>
    <i r="2">
      <x v="3"/>
      <x/>
      <x v="4"/>
      <x v="347"/>
    </i>
    <i r="2">
      <x v="4"/>
      <x/>
      <x v="5"/>
      <x v="348"/>
    </i>
    <i>
      <x v="66"/>
      <x v="73"/>
      <x/>
      <x v="2"/>
      <x v="1"/>
      <x v="349"/>
    </i>
    <i r="2">
      <x v="1"/>
      <x v="2"/>
      <x v="2"/>
      <x v="350"/>
    </i>
    <i r="2">
      <x v="2"/>
      <x v="2"/>
      <x v="3"/>
      <x v="351"/>
    </i>
    <i r="2">
      <x v="3"/>
      <x v="2"/>
      <x v="4"/>
      <x v="352"/>
    </i>
    <i r="2">
      <x v="4"/>
      <x v="2"/>
      <x v="5"/>
      <x v="353"/>
    </i>
    <i r="2">
      <x v="5"/>
      <x v="2"/>
      <x v="6"/>
      <x v="354"/>
    </i>
    <i>
      <x v="67"/>
      <x v="97"/>
      <x/>
      <x v="3"/>
      <x v="1"/>
      <x v="355"/>
    </i>
    <i r="2">
      <x v="1"/>
      <x v="3"/>
      <x v="2"/>
      <x v="356"/>
    </i>
    <i r="2">
      <x v="2"/>
      <x v="3"/>
      <x v="3"/>
      <x v="357"/>
    </i>
    <i r="2">
      <x v="3"/>
      <x v="3"/>
      <x v="4"/>
      <x v="358"/>
    </i>
    <i r="2">
      <x v="4"/>
      <x v="3"/>
      <x v="5"/>
      <x v="359"/>
    </i>
    <i r="2">
      <x v="5"/>
      <x v="3"/>
      <x v="6"/>
      <x v="360"/>
    </i>
    <i>
      <x v="69"/>
      <x v="63"/>
      <x/>
      <x v="2"/>
      <x v="1"/>
      <x v="364"/>
    </i>
    <i r="2">
      <x v="1"/>
      <x v="2"/>
      <x v="2"/>
      <x v="365"/>
    </i>
    <i r="2">
      <x v="2"/>
      <x v="2"/>
      <x v="3"/>
      <x v="366"/>
    </i>
    <i r="2">
      <x v="3"/>
      <x v="2"/>
      <x v="4"/>
      <x v="367"/>
    </i>
    <i r="2">
      <x v="4"/>
      <x v="2"/>
      <x v="5"/>
      <x v="368"/>
    </i>
    <i r="2">
      <x v="5"/>
      <x v="2"/>
      <x v="6"/>
      <x v="369"/>
    </i>
    <i>
      <x v="70"/>
      <x v="15"/>
      <x/>
      <x v="4"/>
      <x v="1"/>
      <x v="370"/>
    </i>
    <i r="2">
      <x v="1"/>
      <x v="4"/>
      <x v="2"/>
      <x v="371"/>
    </i>
    <i r="5">
      <x v="372"/>
    </i>
    <i r="2">
      <x v="2"/>
      <x v="4"/>
      <x v="3"/>
      <x v="373"/>
    </i>
    <i r="2">
      <x v="3"/>
      <x v="4"/>
      <x v="4"/>
      <x v="374"/>
    </i>
    <i r="2">
      <x v="4"/>
      <x v="4"/>
      <x v="5"/>
      <x v="375"/>
    </i>
    <i r="2">
      <x v="5"/>
      <x v="4"/>
      <x v="6"/>
      <x v="376"/>
    </i>
    <i>
      <x v="72"/>
      <x v="74"/>
      <x/>
      <x v="2"/>
      <x v="1"/>
      <x v="383"/>
    </i>
    <i r="2">
      <x v="1"/>
      <x v="2"/>
      <x v="2"/>
      <x v="384"/>
    </i>
    <i r="2">
      <x v="2"/>
      <x v="2"/>
      <x v="3"/>
      <x v="385"/>
    </i>
    <i r="2">
      <x v="3"/>
      <x v="2"/>
      <x v="4"/>
      <x v="386"/>
    </i>
    <i r="2">
      <x v="4"/>
      <x v="2"/>
      <x v="5"/>
      <x v="387"/>
    </i>
    <i r="2">
      <x v="5"/>
      <x v="2"/>
      <x v="6"/>
      <x v="388"/>
    </i>
    <i>
      <x v="74"/>
      <x v="28"/>
      <x v="1"/>
      <x v="4"/>
      <x v="2"/>
      <x v="396"/>
    </i>
    <i r="2">
      <x v="2"/>
      <x v="4"/>
      <x v="3"/>
      <x v="397"/>
    </i>
    <i r="2">
      <x v="3"/>
      <x v="4"/>
      <x v="4"/>
      <x v="398"/>
    </i>
    <i r="2">
      <x v="4"/>
      <x v="4"/>
      <x v="5"/>
      <x v="399"/>
    </i>
    <i r="2">
      <x v="5"/>
      <x v="4"/>
      <x v="6"/>
      <x v="400"/>
    </i>
    <i>
      <x v="75"/>
      <x v="88"/>
      <x/>
      <x v="3"/>
      <x v="1"/>
      <x v="401"/>
    </i>
    <i r="2">
      <x v="1"/>
      <x v="3"/>
      <x v="2"/>
      <x v="402"/>
    </i>
    <i r="2">
      <x v="2"/>
      <x v="3"/>
      <x v="3"/>
      <x v="403"/>
    </i>
    <i r="2">
      <x v="3"/>
      <x v="3"/>
      <x v="4"/>
      <x v="404"/>
    </i>
    <i r="2">
      <x v="4"/>
      <x v="3"/>
      <x v="5"/>
      <x v="405"/>
    </i>
    <i r="2">
      <x v="5"/>
      <x v="3"/>
      <x v="6"/>
      <x v="406"/>
    </i>
    <i>
      <x v="76"/>
      <x v="51"/>
      <x/>
      <x v="4"/>
      <x v="1"/>
      <x v="407"/>
    </i>
    <i r="2">
      <x v="1"/>
      <x v="4"/>
      <x v="2"/>
      <x v="408"/>
    </i>
    <i r="2">
      <x v="2"/>
      <x v="4"/>
      <x v="3"/>
      <x v="409"/>
    </i>
    <i r="2">
      <x v="3"/>
      <x v="4"/>
      <x v="4"/>
      <x v="410"/>
    </i>
    <i r="2">
      <x v="4"/>
      <x v="4"/>
      <x v="5"/>
      <x v="411"/>
    </i>
    <i r="2">
      <x v="5"/>
      <x v="4"/>
      <x v="6"/>
      <x v="412"/>
    </i>
    <i r="2">
      <x v="7"/>
      <x v="4"/>
      <x v="9"/>
      <x v="413"/>
    </i>
    <i>
      <x v="79"/>
      <x v="68"/>
      <x/>
      <x/>
      <x v="1"/>
      <x v="426"/>
    </i>
    <i r="2">
      <x v="1"/>
      <x/>
      <x v="2"/>
      <x v="427"/>
    </i>
    <i r="2">
      <x v="2"/>
      <x/>
      <x v="3"/>
      <x v="428"/>
    </i>
    <i r="2">
      <x v="3"/>
      <x/>
      <x v="4"/>
      <x v="429"/>
    </i>
    <i r="2">
      <x v="4"/>
      <x/>
      <x v="5"/>
      <x v="430"/>
    </i>
    <i r="2">
      <x v="5"/>
      <x/>
      <x v="6"/>
      <x v="431"/>
    </i>
    <i>
      <x v="82"/>
      <x v="80"/>
      <x v="1"/>
      <x v="4"/>
      <x v="2"/>
      <x v="442"/>
    </i>
    <i r="2">
      <x v="2"/>
      <x v="4"/>
      <x v="3"/>
      <x v="443"/>
    </i>
    <i r="2">
      <x v="3"/>
      <x v="4"/>
      <x v="4"/>
      <x v="444"/>
    </i>
    <i r="2">
      <x v="4"/>
      <x v="4"/>
      <x v="5"/>
      <x v="445"/>
    </i>
    <i r="2">
      <x v="5"/>
      <x v="4"/>
      <x v="6"/>
      <x v="446"/>
    </i>
    <i>
      <x v="86"/>
      <x v="95"/>
      <x/>
      <x v="2"/>
      <x v="1"/>
      <x v="460"/>
    </i>
    <i r="2">
      <x v="1"/>
      <x v="2"/>
      <x v="2"/>
      <x v="461"/>
    </i>
    <i r="2">
      <x v="2"/>
      <x v="2"/>
      <x v="3"/>
      <x v="462"/>
    </i>
    <i r="2">
      <x v="4"/>
      <x v="2"/>
      <x v="5"/>
      <x v="463"/>
    </i>
    <i r="2">
      <x v="5"/>
      <x v="2"/>
      <x v="6"/>
      <x v="464"/>
    </i>
    <i>
      <x v="87"/>
      <x v="37"/>
      <x/>
      <x v="2"/>
      <x v="1"/>
      <x v="465"/>
    </i>
    <i r="2">
      <x v="1"/>
      <x v="2"/>
      <x v="2"/>
      <x v="466"/>
    </i>
    <i r="2">
      <x v="2"/>
      <x v="2"/>
      <x v="3"/>
      <x v="467"/>
    </i>
    <i r="2">
      <x v="3"/>
      <x v="2"/>
      <x v="4"/>
      <x v="468"/>
    </i>
    <i r="2">
      <x v="4"/>
      <x v="2"/>
      <x v="5"/>
      <x v="469"/>
    </i>
    <i r="2">
      <x v="5"/>
      <x v="2"/>
      <x v="6"/>
      <x v="470"/>
    </i>
    <i>
      <x v="88"/>
      <x v="43"/>
      <x/>
      <x v="2"/>
      <x v="1"/>
      <x v="471"/>
    </i>
    <i r="2">
      <x v="1"/>
      <x v="2"/>
      <x v="2"/>
      <x v="472"/>
    </i>
    <i r="2">
      <x v="2"/>
      <x v="2"/>
      <x v="3"/>
      <x v="473"/>
    </i>
    <i r="2">
      <x v="3"/>
      <x v="2"/>
      <x v="4"/>
      <x v="474"/>
    </i>
    <i r="2">
      <x v="4"/>
      <x v="2"/>
      <x v="5"/>
      <x v="475"/>
    </i>
    <i r="2">
      <x v="5"/>
      <x v="2"/>
      <x v="6"/>
      <x v="476"/>
    </i>
    <i>
      <x v="90"/>
      <x v="75"/>
      <x/>
      <x v="2"/>
      <x v="1"/>
      <x v="489"/>
    </i>
    <i r="2">
      <x v="1"/>
      <x v="2"/>
      <x v="2"/>
      <x v="490"/>
    </i>
    <i r="2">
      <x v="2"/>
      <x v="2"/>
      <x v="3"/>
      <x v="491"/>
    </i>
    <i r="2">
      <x v="3"/>
      <x v="2"/>
      <x v="4"/>
      <x v="492"/>
    </i>
    <i r="2">
      <x v="4"/>
      <x v="2"/>
      <x v="5"/>
      <x v="493"/>
    </i>
    <i r="2">
      <x v="5"/>
      <x v="2"/>
      <x v="6"/>
      <x v="494"/>
    </i>
    <i>
      <x v="92"/>
      <x v="40"/>
      <x/>
      <x v="3"/>
      <x v="1"/>
      <x v="501"/>
    </i>
    <i r="2">
      <x v="1"/>
      <x v="3"/>
      <x v="2"/>
      <x v="502"/>
    </i>
    <i r="2">
      <x v="2"/>
      <x v="3"/>
      <x v="3"/>
      <x v="503"/>
    </i>
    <i r="2">
      <x v="3"/>
      <x v="3"/>
      <x v="4"/>
      <x v="504"/>
    </i>
    <i r="2">
      <x v="4"/>
      <x v="3"/>
      <x v="5"/>
      <x v="505"/>
    </i>
    <i r="2">
      <x v="5"/>
      <x v="3"/>
      <x v="6"/>
      <x v="506"/>
    </i>
    <i>
      <x v="94"/>
      <x v="72"/>
      <x/>
      <x v="2"/>
      <x v="1"/>
      <x v="513"/>
    </i>
    <i r="2">
      <x v="1"/>
      <x v="2"/>
      <x v="2"/>
      <x v="514"/>
    </i>
    <i r="2">
      <x v="2"/>
      <x v="2"/>
      <x v="3"/>
      <x v="515"/>
    </i>
    <i r="2">
      <x v="3"/>
      <x v="2"/>
      <x v="4"/>
      <x v="516"/>
    </i>
    <i r="2">
      <x v="4"/>
      <x v="2"/>
      <x v="5"/>
      <x v="517"/>
    </i>
    <i r="2">
      <x v="5"/>
      <x v="2"/>
      <x v="6"/>
      <x v="518"/>
    </i>
    <i>
      <x v="96"/>
      <x v="100"/>
      <x/>
      <x v="2"/>
      <x v="1"/>
      <x v="524"/>
    </i>
    <i r="2">
      <x v="1"/>
      <x v="2"/>
      <x v="2"/>
      <x v="525"/>
    </i>
    <i r="2">
      <x v="2"/>
      <x v="2"/>
      <x v="3"/>
      <x v="526"/>
    </i>
    <i r="2">
      <x v="3"/>
      <x v="2"/>
      <x v="4"/>
      <x v="527"/>
    </i>
    <i r="2">
      <x v="4"/>
      <x v="2"/>
      <x v="5"/>
      <x v="528"/>
    </i>
    <i r="2">
      <x v="6"/>
      <x v="2"/>
      <x/>
      <x v="529"/>
    </i>
    <i>
      <x v="97"/>
      <x v="87"/>
      <x/>
      <x v="3"/>
      <x v="1"/>
      <x v="530"/>
    </i>
    <i r="2">
      <x v="1"/>
      <x v="3"/>
      <x v="2"/>
      <x v="531"/>
    </i>
    <i r="2">
      <x v="2"/>
      <x v="3"/>
      <x v="3"/>
      <x v="532"/>
    </i>
    <i r="2">
      <x v="3"/>
      <x v="3"/>
      <x v="4"/>
      <x v="533"/>
    </i>
    <i r="2">
      <x v="4"/>
      <x v="3"/>
      <x v="5"/>
      <x v="534"/>
    </i>
    <i r="2">
      <x v="5"/>
      <x v="3"/>
      <x v="6"/>
      <x v="535"/>
    </i>
    <i>
      <x v="99"/>
      <x v="45"/>
      <x v="1"/>
      <x v="4"/>
      <x v="2"/>
      <x v="536"/>
    </i>
    <i r="2">
      <x v="2"/>
      <x v="4"/>
      <x v="3"/>
      <x v="537"/>
    </i>
    <i r="2">
      <x v="3"/>
      <x v="4"/>
      <x v="4"/>
      <x v="538"/>
    </i>
    <i r="2">
      <x v="4"/>
      <x v="4"/>
      <x v="5"/>
      <x v="539"/>
    </i>
    <i r="2">
      <x v="5"/>
      <x v="4"/>
      <x v="6"/>
      <x v="540"/>
    </i>
    <i>
      <x v="100"/>
      <x v="44"/>
      <x/>
      <x v="2"/>
      <x v="1"/>
      <x v="541"/>
    </i>
    <i r="2">
      <x v="1"/>
      <x v="2"/>
      <x v="2"/>
      <x v="542"/>
    </i>
    <i r="2">
      <x v="2"/>
      <x v="2"/>
      <x v="3"/>
      <x v="543"/>
    </i>
    <i r="2">
      <x v="3"/>
      <x v="2"/>
      <x v="4"/>
      <x v="544"/>
    </i>
    <i r="2">
      <x v="4"/>
      <x v="2"/>
      <x v="5"/>
      <x v="545"/>
    </i>
    <i r="2">
      <x v="5"/>
      <x v="2"/>
      <x v="6"/>
      <x v="546"/>
    </i>
    <i>
      <x v="101"/>
      <x v="91"/>
      <x/>
      <x/>
      <x v="1"/>
      <x v="547"/>
    </i>
    <i r="2">
      <x v="1"/>
      <x/>
      <x v="2"/>
      <x v="548"/>
    </i>
    <i r="2">
      <x v="2"/>
      <x/>
      <x v="3"/>
      <x v="549"/>
    </i>
    <i r="2">
      <x v="3"/>
      <x/>
      <x v="4"/>
      <x v="550"/>
    </i>
    <i r="2">
      <x v="4"/>
      <x/>
      <x v="5"/>
      <x v="551"/>
    </i>
    <i>
      <x v="102"/>
      <x v="22"/>
      <x/>
      <x v="4"/>
      <x v="1"/>
      <x v="552"/>
    </i>
    <i r="2">
      <x v="1"/>
      <x v="4"/>
      <x v="2"/>
      <x v="553"/>
    </i>
    <i r="5">
      <x v="554"/>
    </i>
    <i r="2">
      <x v="2"/>
      <x v="4"/>
      <x v="3"/>
      <x v="555"/>
    </i>
    <i r="2">
      <x v="3"/>
      <x v="4"/>
      <x v="4"/>
      <x v="556"/>
    </i>
    <i r="2">
      <x v="4"/>
      <x v="4"/>
      <x v="5"/>
      <x v="557"/>
    </i>
    <i r="2">
      <x v="5"/>
      <x v="4"/>
      <x v="6"/>
      <x v="558"/>
    </i>
    <i>
      <x v="103"/>
      <x v="6"/>
      <x v="1"/>
      <x/>
      <x v="2"/>
      <x v="559"/>
    </i>
    <i r="2">
      <x v="2"/>
      <x/>
      <x v="3"/>
      <x v="560"/>
    </i>
    <i r="2">
      <x v="3"/>
      <x/>
      <x v="4"/>
      <x v="561"/>
    </i>
    <i r="2">
      <x v="4"/>
      <x/>
      <x v="5"/>
      <x v="56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Horas de trabajo" fld="11" baseField="0" baseItem="0"/>
    <dataField name="Hora llegada" fld="7" baseField="0" baseItem="0"/>
    <dataField name="Hora salida" fld="8" baseField="0" baseItem="0"/>
    <dataField name="Horas ya trabajadas" fld="15" baseField="0" baseItem="0"/>
    <dataField name="Horas extras Sap" fld="16" baseField="0" baseItem="0"/>
    <dataField name="Horas al 50%" fld="9" baseField="0" baseItem="0"/>
    <dataField name="Horas al 100%" fld="10" baseField="0" baseItem="0"/>
    <dataField name="Preparaciones" fld="12" baseField="0" baseItem="0"/>
    <dataField name="Mantenciones" fld="13" baseField="0" baseItem="0"/>
    <dataField name="Feriado" fld="14" baseField="0" baseItem="0"/>
  </dataFields>
  <formats count="11"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8">
            <x v="0"/>
            <x v="1"/>
            <x v="2"/>
            <x v="5"/>
            <x v="6"/>
            <x v="7"/>
            <x v="8"/>
            <x v="9"/>
          </reference>
        </references>
      </pivotArea>
    </format>
    <format dxfId="6">
      <pivotArea dataOnly="0" labelOnly="1" outline="0" fieldPosition="0">
        <references count="1">
          <reference field="4294967294" count="8">
            <x v="0"/>
            <x v="1"/>
            <x v="2"/>
            <x v="5"/>
            <x v="6"/>
            <x v="7"/>
            <x v="8"/>
            <x v="9"/>
          </reference>
        </references>
      </pivotArea>
    </format>
    <format dxfId="5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">
      <pivotArea dataOnly="0" outline="0" fieldPosition="0">
        <references count="1">
          <reference field="4294967294" count="1">
            <x v="1"/>
          </reference>
        </references>
      </pivotArea>
    </format>
    <format dxfId="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dataOnly="0" outline="0" fieldPosition="0">
        <references count="1">
          <reference field="4294967294" count="2">
            <x v="5"/>
            <x v="6"/>
          </reference>
        </references>
      </pivotArea>
    </format>
    <format dxfId="0">
      <pivotArea dataOnly="0" outline="0" fieldPosition="0">
        <references count="1">
          <reference field="4294967294" count="3"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U261"/>
  <sheetViews>
    <sheetView workbookViewId="0">
      <pane ySplit="1" topLeftCell="A2" activePane="bottomLeft" state="frozen"/>
      <selection pane="bottomLeft" activeCell="A2" sqref="A2:L260"/>
    </sheetView>
  </sheetViews>
  <sheetFormatPr baseColWidth="10" defaultRowHeight="15"/>
  <cols>
    <col min="1" max="1" width="9" style="38" bestFit="1" customWidth="1"/>
    <col min="2" max="2" width="12" style="38" bestFit="1" customWidth="1"/>
    <col min="3" max="3" width="16.140625" style="3" bestFit="1" customWidth="1"/>
    <col min="4" max="4" width="16.7109375" style="3" bestFit="1" customWidth="1"/>
    <col min="5" max="5" width="25.28515625" style="3" bestFit="1" customWidth="1"/>
    <col min="6" max="6" width="42.42578125" style="3" bestFit="1" customWidth="1"/>
    <col min="7" max="7" width="42.28515625" style="3" bestFit="1" customWidth="1"/>
    <col min="8" max="8" width="9" style="3" bestFit="1" customWidth="1"/>
    <col min="9" max="9" width="22.140625" style="3" bestFit="1" customWidth="1"/>
    <col min="10" max="10" width="31" style="3" bestFit="1" customWidth="1"/>
    <col min="11" max="11" width="20.28515625" style="3" bestFit="1" customWidth="1"/>
    <col min="12" max="12" width="9" style="38" bestFit="1" customWidth="1"/>
    <col min="13" max="255" width="11.42578125" style="3"/>
  </cols>
  <sheetData>
    <row r="1" spans="1:12">
      <c r="A1" s="1" t="s">
        <v>5</v>
      </c>
      <c r="B1" s="60" t="s">
        <v>6</v>
      </c>
      <c r="C1" s="2" t="s">
        <v>7</v>
      </c>
      <c r="D1" s="2" t="s">
        <v>8</v>
      </c>
      <c r="E1" s="2" t="s">
        <v>9</v>
      </c>
      <c r="F1" s="61" t="s">
        <v>10</v>
      </c>
      <c r="G1" s="2" t="s">
        <v>11</v>
      </c>
      <c r="H1" s="2" t="s">
        <v>12</v>
      </c>
      <c r="I1" s="61" t="s">
        <v>1</v>
      </c>
      <c r="J1" s="61" t="s">
        <v>13</v>
      </c>
      <c r="K1" s="2" t="s">
        <v>14</v>
      </c>
      <c r="L1" s="1" t="s">
        <v>1378</v>
      </c>
    </row>
    <row r="2" spans="1:12">
      <c r="A2" s="4">
        <v>6434911</v>
      </c>
      <c r="B2" s="4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6" t="s">
        <v>20</v>
      </c>
      <c r="H2" s="7">
        <v>1050553</v>
      </c>
      <c r="I2" s="8" t="s">
        <v>2</v>
      </c>
      <c r="J2" s="8" t="s">
        <v>21</v>
      </c>
      <c r="K2" s="5" t="s">
        <v>22</v>
      </c>
      <c r="L2" s="4">
        <v>6434911</v>
      </c>
    </row>
    <row r="3" spans="1:12">
      <c r="A3" s="4">
        <v>8224093</v>
      </c>
      <c r="B3" s="4" t="s">
        <v>23</v>
      </c>
      <c r="C3" s="5" t="s">
        <v>24</v>
      </c>
      <c r="D3" s="5" t="s">
        <v>25</v>
      </c>
      <c r="E3" s="5" t="s">
        <v>26</v>
      </c>
      <c r="F3" s="5" t="s">
        <v>27</v>
      </c>
      <c r="G3" s="5" t="s">
        <v>28</v>
      </c>
      <c r="H3" s="5">
        <v>1050126</v>
      </c>
      <c r="I3" s="8" t="s">
        <v>29</v>
      </c>
      <c r="J3" s="8" t="s">
        <v>30</v>
      </c>
      <c r="K3" s="5" t="s">
        <v>22</v>
      </c>
      <c r="L3" s="4">
        <v>8224093</v>
      </c>
    </row>
    <row r="4" spans="1:12">
      <c r="A4" s="4">
        <v>12677439</v>
      </c>
      <c r="B4" s="4" t="s">
        <v>31</v>
      </c>
      <c r="C4" s="5" t="s">
        <v>32</v>
      </c>
      <c r="D4" s="5" t="s">
        <v>33</v>
      </c>
      <c r="E4" s="5" t="s">
        <v>34</v>
      </c>
      <c r="F4" s="5" t="s">
        <v>35</v>
      </c>
      <c r="G4" s="5" t="s">
        <v>36</v>
      </c>
      <c r="H4" s="5">
        <v>1050127</v>
      </c>
      <c r="I4" s="8" t="s">
        <v>29</v>
      </c>
      <c r="J4" s="8" t="s">
        <v>37</v>
      </c>
      <c r="K4" s="5" t="s">
        <v>22</v>
      </c>
      <c r="L4" s="4">
        <v>12677439</v>
      </c>
    </row>
    <row r="5" spans="1:12">
      <c r="A5" s="4">
        <v>8809784</v>
      </c>
      <c r="B5" s="4" t="s">
        <v>38</v>
      </c>
      <c r="C5" s="5" t="s">
        <v>39</v>
      </c>
      <c r="D5" s="5" t="s">
        <v>40</v>
      </c>
      <c r="E5" s="5" t="s">
        <v>41</v>
      </c>
      <c r="F5" s="5" t="s">
        <v>42</v>
      </c>
      <c r="G5" s="10" t="s">
        <v>43</v>
      </c>
      <c r="H5" s="5">
        <v>1050574</v>
      </c>
      <c r="I5" s="11" t="s">
        <v>44</v>
      </c>
      <c r="J5" s="11" t="s">
        <v>45</v>
      </c>
      <c r="K5" s="5" t="s">
        <v>22</v>
      </c>
      <c r="L5" s="4">
        <v>8809784</v>
      </c>
    </row>
    <row r="6" spans="1:12">
      <c r="A6" s="4">
        <v>16191666</v>
      </c>
      <c r="B6" s="4" t="s">
        <v>46</v>
      </c>
      <c r="C6" s="5" t="s">
        <v>47</v>
      </c>
      <c r="D6" s="5" t="s">
        <v>48</v>
      </c>
      <c r="E6" s="5" t="s">
        <v>49</v>
      </c>
      <c r="F6" s="5" t="s">
        <v>50</v>
      </c>
      <c r="G6" s="5" t="s">
        <v>51</v>
      </c>
      <c r="H6" s="5">
        <v>1050506</v>
      </c>
      <c r="I6" s="8" t="s">
        <v>29</v>
      </c>
      <c r="J6" s="8" t="s">
        <v>52</v>
      </c>
      <c r="K6" s="5" t="s">
        <v>22</v>
      </c>
      <c r="L6" s="4">
        <v>16191666</v>
      </c>
    </row>
    <row r="7" spans="1:12">
      <c r="A7" s="4">
        <v>7760886</v>
      </c>
      <c r="B7" s="4" t="s">
        <v>53</v>
      </c>
      <c r="C7" s="5" t="s">
        <v>54</v>
      </c>
      <c r="D7" s="5" t="s">
        <v>55</v>
      </c>
      <c r="E7" s="5" t="s">
        <v>56</v>
      </c>
      <c r="F7" s="5" t="s">
        <v>57</v>
      </c>
      <c r="G7" s="5" t="s">
        <v>58</v>
      </c>
      <c r="H7" s="5">
        <v>1050127</v>
      </c>
      <c r="I7" s="8" t="s">
        <v>29</v>
      </c>
      <c r="J7" s="8" t="s">
        <v>37</v>
      </c>
      <c r="K7" s="5" t="s">
        <v>22</v>
      </c>
      <c r="L7" s="4">
        <v>7760886</v>
      </c>
    </row>
    <row r="8" spans="1:12">
      <c r="A8" s="4">
        <v>13838747</v>
      </c>
      <c r="B8" s="4" t="s">
        <v>59</v>
      </c>
      <c r="C8" s="5" t="s">
        <v>60</v>
      </c>
      <c r="D8" s="5" t="s">
        <v>61</v>
      </c>
      <c r="E8" s="5" t="s">
        <v>62</v>
      </c>
      <c r="F8" s="5" t="s">
        <v>63</v>
      </c>
      <c r="G8" s="6" t="s">
        <v>64</v>
      </c>
      <c r="H8" s="5">
        <v>1050610</v>
      </c>
      <c r="I8" s="11" t="s">
        <v>65</v>
      </c>
      <c r="J8" s="11" t="s">
        <v>66</v>
      </c>
      <c r="K8" s="5" t="s">
        <v>22</v>
      </c>
      <c r="L8" s="4">
        <v>13838747</v>
      </c>
    </row>
    <row r="9" spans="1:12">
      <c r="A9" s="4">
        <v>22637242</v>
      </c>
      <c r="B9" s="4" t="s">
        <v>67</v>
      </c>
      <c r="C9" s="5" t="s">
        <v>68</v>
      </c>
      <c r="D9" s="5" t="s">
        <v>69</v>
      </c>
      <c r="E9" s="5" t="s">
        <v>70</v>
      </c>
      <c r="F9" s="5" t="s">
        <v>71</v>
      </c>
      <c r="G9" s="5" t="s">
        <v>72</v>
      </c>
      <c r="H9" s="5">
        <v>1050632</v>
      </c>
      <c r="I9" s="11" t="s">
        <v>73</v>
      </c>
      <c r="J9" s="11" t="s">
        <v>74</v>
      </c>
      <c r="K9" s="5" t="s">
        <v>22</v>
      </c>
      <c r="L9" s="4">
        <v>22637242</v>
      </c>
    </row>
    <row r="10" spans="1:12">
      <c r="A10" s="4">
        <v>17609782</v>
      </c>
      <c r="B10" s="4" t="s">
        <v>75</v>
      </c>
      <c r="C10" s="5" t="s">
        <v>68</v>
      </c>
      <c r="D10" s="5" t="s">
        <v>76</v>
      </c>
      <c r="E10" s="5" t="s">
        <v>77</v>
      </c>
      <c r="F10" s="5" t="s">
        <v>78</v>
      </c>
      <c r="G10" s="5" t="s">
        <v>79</v>
      </c>
      <c r="H10" s="5">
        <v>1050162</v>
      </c>
      <c r="I10" s="8" t="s">
        <v>29</v>
      </c>
      <c r="J10" s="8" t="s">
        <v>80</v>
      </c>
      <c r="K10" s="5" t="s">
        <v>22</v>
      </c>
      <c r="L10" s="4">
        <v>17609782</v>
      </c>
    </row>
    <row r="11" spans="1:12">
      <c r="A11" s="4">
        <v>10846598</v>
      </c>
      <c r="B11" s="4" t="s">
        <v>81</v>
      </c>
      <c r="C11" s="5" t="s">
        <v>82</v>
      </c>
      <c r="D11" s="5" t="s">
        <v>83</v>
      </c>
      <c r="E11" s="5" t="s">
        <v>84</v>
      </c>
      <c r="F11" s="5" t="s">
        <v>85</v>
      </c>
      <c r="G11" s="10" t="s">
        <v>86</v>
      </c>
      <c r="H11" s="5">
        <v>1050616</v>
      </c>
      <c r="I11" s="11" t="s">
        <v>87</v>
      </c>
      <c r="J11" s="11" t="s">
        <v>88</v>
      </c>
      <c r="K11" s="5" t="s">
        <v>22</v>
      </c>
      <c r="L11" s="4">
        <v>10846598</v>
      </c>
    </row>
    <row r="12" spans="1:12">
      <c r="A12" s="4">
        <v>12093228</v>
      </c>
      <c r="B12" s="4" t="s">
        <v>89</v>
      </c>
      <c r="C12" s="5" t="s">
        <v>90</v>
      </c>
      <c r="D12" s="5" t="s">
        <v>91</v>
      </c>
      <c r="E12" s="5" t="s">
        <v>92</v>
      </c>
      <c r="F12" s="5" t="s">
        <v>93</v>
      </c>
      <c r="G12" s="5" t="s">
        <v>94</v>
      </c>
      <c r="H12" s="5">
        <v>1050127</v>
      </c>
      <c r="I12" s="8" t="s">
        <v>29</v>
      </c>
      <c r="J12" s="8" t="s">
        <v>37</v>
      </c>
      <c r="K12" s="5" t="s">
        <v>22</v>
      </c>
      <c r="L12" s="4">
        <v>12093228</v>
      </c>
    </row>
    <row r="13" spans="1:12">
      <c r="A13" s="4">
        <v>9960185</v>
      </c>
      <c r="B13" s="4" t="s">
        <v>95</v>
      </c>
      <c r="C13" s="7" t="s">
        <v>90</v>
      </c>
      <c r="D13" s="7" t="s">
        <v>96</v>
      </c>
      <c r="E13" s="7" t="s">
        <v>97</v>
      </c>
      <c r="F13" s="7" t="s">
        <v>98</v>
      </c>
      <c r="G13" s="7" t="s">
        <v>99</v>
      </c>
      <c r="H13" s="5">
        <v>1050502</v>
      </c>
      <c r="I13" s="8" t="s">
        <v>100</v>
      </c>
      <c r="J13" s="8" t="s">
        <v>100</v>
      </c>
      <c r="K13" s="5" t="s">
        <v>22</v>
      </c>
      <c r="L13" s="4">
        <v>9960185</v>
      </c>
    </row>
    <row r="14" spans="1:12">
      <c r="A14" s="4">
        <v>8283277</v>
      </c>
      <c r="B14" s="4" t="s">
        <v>101</v>
      </c>
      <c r="C14" s="5" t="s">
        <v>90</v>
      </c>
      <c r="D14" s="5" t="s">
        <v>102</v>
      </c>
      <c r="E14" s="5" t="s">
        <v>103</v>
      </c>
      <c r="F14" s="5" t="s">
        <v>104</v>
      </c>
      <c r="G14" s="5" t="s">
        <v>105</v>
      </c>
      <c r="H14" s="5">
        <v>1050127</v>
      </c>
      <c r="I14" s="8" t="s">
        <v>29</v>
      </c>
      <c r="J14" s="8" t="s">
        <v>37</v>
      </c>
      <c r="K14" s="5" t="s">
        <v>22</v>
      </c>
      <c r="L14" s="4">
        <v>8283277</v>
      </c>
    </row>
    <row r="15" spans="1:12">
      <c r="A15" s="4">
        <v>9471557</v>
      </c>
      <c r="B15" s="4" t="s">
        <v>106</v>
      </c>
      <c r="C15" s="5" t="s">
        <v>107</v>
      </c>
      <c r="D15" s="5" t="s">
        <v>108</v>
      </c>
      <c r="E15" s="5" t="s">
        <v>109</v>
      </c>
      <c r="F15" s="5" t="s">
        <v>110</v>
      </c>
      <c r="G15" s="6" t="s">
        <v>111</v>
      </c>
      <c r="H15" s="5">
        <v>1050616</v>
      </c>
      <c r="I15" s="11" t="s">
        <v>87</v>
      </c>
      <c r="J15" s="11" t="s">
        <v>112</v>
      </c>
      <c r="K15" s="5" t="s">
        <v>22</v>
      </c>
      <c r="L15" s="4">
        <v>9471557</v>
      </c>
    </row>
    <row r="16" spans="1:12">
      <c r="A16" s="4">
        <v>12501307</v>
      </c>
      <c r="B16" s="4" t="s">
        <v>113</v>
      </c>
      <c r="C16" s="5" t="s">
        <v>114</v>
      </c>
      <c r="D16" s="5" t="s">
        <v>115</v>
      </c>
      <c r="E16" s="5" t="s">
        <v>116</v>
      </c>
      <c r="F16" s="5" t="s">
        <v>117</v>
      </c>
      <c r="G16" s="5" t="s">
        <v>118</v>
      </c>
      <c r="H16" s="5">
        <v>1050616</v>
      </c>
      <c r="I16" s="11" t="s">
        <v>87</v>
      </c>
      <c r="J16" s="11" t="s">
        <v>66</v>
      </c>
      <c r="K16" s="5" t="s">
        <v>22</v>
      </c>
      <c r="L16" s="4">
        <v>12501307</v>
      </c>
    </row>
    <row r="17" spans="1:12">
      <c r="A17" s="4">
        <v>8332629</v>
      </c>
      <c r="B17" s="4" t="s">
        <v>119</v>
      </c>
      <c r="C17" s="5" t="s">
        <v>120</v>
      </c>
      <c r="D17" s="5" t="s">
        <v>17</v>
      </c>
      <c r="E17" s="5" t="s">
        <v>121</v>
      </c>
      <c r="F17" s="5" t="s">
        <v>122</v>
      </c>
      <c r="G17" s="5" t="s">
        <v>123</v>
      </c>
      <c r="H17" s="5">
        <v>1050616</v>
      </c>
      <c r="I17" s="11" t="s">
        <v>87</v>
      </c>
      <c r="J17" s="11" t="s">
        <v>88</v>
      </c>
      <c r="K17" s="5" t="s">
        <v>22</v>
      </c>
      <c r="L17" s="4">
        <v>8332629</v>
      </c>
    </row>
    <row r="18" spans="1:12">
      <c r="A18" s="4">
        <v>10173910</v>
      </c>
      <c r="B18" s="4" t="s">
        <v>124</v>
      </c>
      <c r="C18" s="5" t="s">
        <v>125</v>
      </c>
      <c r="D18" s="5" t="s">
        <v>126</v>
      </c>
      <c r="E18" s="5" t="s">
        <v>127</v>
      </c>
      <c r="F18" s="5" t="s">
        <v>128</v>
      </c>
      <c r="G18" s="5" t="s">
        <v>129</v>
      </c>
      <c r="H18" s="5">
        <v>1050633</v>
      </c>
      <c r="I18" s="8" t="s">
        <v>29</v>
      </c>
      <c r="J18" s="8" t="s">
        <v>130</v>
      </c>
      <c r="K18" s="5" t="s">
        <v>22</v>
      </c>
      <c r="L18" s="4">
        <v>10173910</v>
      </c>
    </row>
    <row r="19" spans="1:12">
      <c r="A19" s="4">
        <v>11325204</v>
      </c>
      <c r="B19" s="4" t="s">
        <v>131</v>
      </c>
      <c r="C19" s="5" t="s">
        <v>132</v>
      </c>
      <c r="D19" s="5" t="s">
        <v>25</v>
      </c>
      <c r="E19" s="5" t="s">
        <v>133</v>
      </c>
      <c r="F19" s="5" t="s">
        <v>134</v>
      </c>
      <c r="G19" s="5" t="s">
        <v>135</v>
      </c>
      <c r="H19" s="5">
        <v>1050633</v>
      </c>
      <c r="I19" s="8" t="s">
        <v>29</v>
      </c>
      <c r="J19" s="8" t="s">
        <v>130</v>
      </c>
      <c r="K19" s="5" t="s">
        <v>22</v>
      </c>
      <c r="L19" s="4">
        <v>11325204</v>
      </c>
    </row>
    <row r="20" spans="1:12">
      <c r="A20" s="4">
        <v>9148214</v>
      </c>
      <c r="B20" s="4" t="s">
        <v>136</v>
      </c>
      <c r="C20" s="5" t="s">
        <v>137</v>
      </c>
      <c r="D20" s="5" t="s">
        <v>76</v>
      </c>
      <c r="E20" s="5" t="s">
        <v>138</v>
      </c>
      <c r="F20" s="5" t="s">
        <v>139</v>
      </c>
      <c r="G20" s="5" t="s">
        <v>140</v>
      </c>
      <c r="H20" s="5">
        <v>1050127</v>
      </c>
      <c r="I20" s="8" t="s">
        <v>29</v>
      </c>
      <c r="J20" s="8" t="s">
        <v>130</v>
      </c>
      <c r="K20" s="5" t="s">
        <v>22</v>
      </c>
      <c r="L20" s="4">
        <v>9148214</v>
      </c>
    </row>
    <row r="21" spans="1:12">
      <c r="A21" s="4">
        <v>12897839</v>
      </c>
      <c r="B21" s="4" t="s">
        <v>141</v>
      </c>
      <c r="C21" s="5" t="s">
        <v>142</v>
      </c>
      <c r="D21" s="5" t="s">
        <v>143</v>
      </c>
      <c r="E21" s="5" t="s">
        <v>144</v>
      </c>
      <c r="F21" s="5" t="s">
        <v>145</v>
      </c>
      <c r="G21" s="6" t="s">
        <v>146</v>
      </c>
      <c r="H21" s="5">
        <v>1050610</v>
      </c>
      <c r="I21" s="11" t="s">
        <v>65</v>
      </c>
      <c r="J21" s="11" t="s">
        <v>147</v>
      </c>
      <c r="K21" s="5" t="s">
        <v>22</v>
      </c>
      <c r="L21" s="4">
        <v>12897839</v>
      </c>
    </row>
    <row r="22" spans="1:12">
      <c r="A22" s="4">
        <v>13557248</v>
      </c>
      <c r="B22" s="4" t="s">
        <v>148</v>
      </c>
      <c r="C22" s="5" t="s">
        <v>149</v>
      </c>
      <c r="D22" s="5" t="s">
        <v>150</v>
      </c>
      <c r="E22" s="5" t="s">
        <v>151</v>
      </c>
      <c r="F22" s="5" t="s">
        <v>152</v>
      </c>
      <c r="G22" s="5" t="s">
        <v>153</v>
      </c>
      <c r="H22" s="5">
        <v>1050604</v>
      </c>
      <c r="I22" s="8" t="s">
        <v>154</v>
      </c>
      <c r="J22" s="8" t="s">
        <v>154</v>
      </c>
      <c r="K22" s="5" t="s">
        <v>22</v>
      </c>
      <c r="L22" s="4">
        <v>13557248</v>
      </c>
    </row>
    <row r="23" spans="1:12">
      <c r="A23" s="4">
        <v>16907382</v>
      </c>
      <c r="B23" s="4" t="s">
        <v>155</v>
      </c>
      <c r="C23" s="5" t="s">
        <v>156</v>
      </c>
      <c r="D23" s="5" t="s">
        <v>157</v>
      </c>
      <c r="E23" s="5" t="s">
        <v>158</v>
      </c>
      <c r="F23" s="5" t="s">
        <v>159</v>
      </c>
      <c r="G23" s="6" t="s">
        <v>160</v>
      </c>
      <c r="H23" s="5">
        <v>1050556</v>
      </c>
      <c r="I23" s="8" t="s">
        <v>161</v>
      </c>
      <c r="J23" s="8" t="s">
        <v>162</v>
      </c>
      <c r="K23" s="5" t="s">
        <v>22</v>
      </c>
      <c r="L23" s="4">
        <v>16907382</v>
      </c>
    </row>
    <row r="24" spans="1:12">
      <c r="A24" s="4">
        <v>13236100</v>
      </c>
      <c r="B24" s="4" t="s">
        <v>163</v>
      </c>
      <c r="C24" s="5" t="s">
        <v>164</v>
      </c>
      <c r="D24" s="5" t="s">
        <v>83</v>
      </c>
      <c r="E24" s="5" t="s">
        <v>165</v>
      </c>
      <c r="F24" s="5" t="s">
        <v>166</v>
      </c>
      <c r="G24" s="5" t="s">
        <v>167</v>
      </c>
      <c r="H24" s="5">
        <v>1050581</v>
      </c>
      <c r="I24" s="8" t="s">
        <v>29</v>
      </c>
      <c r="J24" s="8" t="s">
        <v>130</v>
      </c>
      <c r="K24" s="5" t="s">
        <v>22</v>
      </c>
      <c r="L24" s="4">
        <v>13236100</v>
      </c>
    </row>
    <row r="25" spans="1:12">
      <c r="A25" s="4">
        <v>13899407</v>
      </c>
      <c r="B25" s="4" t="s">
        <v>168</v>
      </c>
      <c r="C25" s="5" t="s">
        <v>164</v>
      </c>
      <c r="D25" s="5" t="s">
        <v>83</v>
      </c>
      <c r="E25" s="5" t="s">
        <v>169</v>
      </c>
      <c r="F25" s="5" t="s">
        <v>170</v>
      </c>
      <c r="G25" s="5" t="s">
        <v>171</v>
      </c>
      <c r="H25" s="5">
        <v>1050127</v>
      </c>
      <c r="I25" s="8" t="s">
        <v>29</v>
      </c>
      <c r="J25" s="8" t="s">
        <v>130</v>
      </c>
      <c r="K25" s="5" t="s">
        <v>22</v>
      </c>
      <c r="L25" s="4">
        <v>13899407</v>
      </c>
    </row>
    <row r="26" spans="1:12">
      <c r="A26" s="4">
        <v>10116815</v>
      </c>
      <c r="B26" s="4" t="s">
        <v>172</v>
      </c>
      <c r="C26" s="5" t="s">
        <v>173</v>
      </c>
      <c r="D26" s="5" t="s">
        <v>17</v>
      </c>
      <c r="E26" s="5" t="s">
        <v>174</v>
      </c>
      <c r="F26" s="5" t="s">
        <v>175</v>
      </c>
      <c r="G26" s="5" t="s">
        <v>176</v>
      </c>
      <c r="H26" s="5">
        <v>1050127</v>
      </c>
      <c r="I26" s="8" t="s">
        <v>29</v>
      </c>
      <c r="J26" s="8" t="s">
        <v>130</v>
      </c>
      <c r="K26" s="5" t="s">
        <v>22</v>
      </c>
      <c r="L26" s="4">
        <v>10116815</v>
      </c>
    </row>
    <row r="27" spans="1:12">
      <c r="A27" s="4">
        <v>6933508</v>
      </c>
      <c r="B27" s="4" t="s">
        <v>177</v>
      </c>
      <c r="C27" s="5" t="s">
        <v>178</v>
      </c>
      <c r="D27" s="5" t="s">
        <v>179</v>
      </c>
      <c r="E27" s="5" t="s">
        <v>180</v>
      </c>
      <c r="F27" s="5" t="s">
        <v>181</v>
      </c>
      <c r="G27" s="6" t="s">
        <v>182</v>
      </c>
      <c r="H27" s="5">
        <v>1050616</v>
      </c>
      <c r="I27" s="11" t="s">
        <v>87</v>
      </c>
      <c r="J27" s="11" t="s">
        <v>66</v>
      </c>
      <c r="K27" s="5" t="s">
        <v>22</v>
      </c>
      <c r="L27" s="4">
        <v>6933508</v>
      </c>
    </row>
    <row r="28" spans="1:12">
      <c r="A28" s="4">
        <v>16441340</v>
      </c>
      <c r="B28" s="4" t="s">
        <v>183</v>
      </c>
      <c r="C28" s="5" t="s">
        <v>184</v>
      </c>
      <c r="D28" s="5" t="s">
        <v>185</v>
      </c>
      <c r="E28" s="5" t="s">
        <v>186</v>
      </c>
      <c r="F28" s="5" t="s">
        <v>187</v>
      </c>
      <c r="G28" s="5" t="s">
        <v>188</v>
      </c>
      <c r="H28" s="5">
        <v>1050633</v>
      </c>
      <c r="I28" s="8" t="s">
        <v>29</v>
      </c>
      <c r="J28" s="8" t="s">
        <v>130</v>
      </c>
      <c r="K28" s="5" t="s">
        <v>22</v>
      </c>
      <c r="L28" s="4">
        <v>16441340</v>
      </c>
    </row>
    <row r="29" spans="1:12">
      <c r="A29" s="4">
        <v>14095347</v>
      </c>
      <c r="B29" s="4" t="s">
        <v>189</v>
      </c>
      <c r="C29" s="5" t="s">
        <v>190</v>
      </c>
      <c r="D29" s="5" t="s">
        <v>191</v>
      </c>
      <c r="E29" s="5" t="s">
        <v>192</v>
      </c>
      <c r="F29" s="5" t="s">
        <v>193</v>
      </c>
      <c r="G29" s="5" t="s">
        <v>194</v>
      </c>
      <c r="H29" s="5">
        <v>1050574</v>
      </c>
      <c r="I29" s="11" t="s">
        <v>44</v>
      </c>
      <c r="J29" s="11" t="s">
        <v>45</v>
      </c>
      <c r="K29" s="5" t="s">
        <v>22</v>
      </c>
      <c r="L29" s="4">
        <v>14095347</v>
      </c>
    </row>
    <row r="30" spans="1:12">
      <c r="A30" s="4">
        <v>12674806</v>
      </c>
      <c r="B30" s="4" t="s">
        <v>195</v>
      </c>
      <c r="C30" s="5" t="s">
        <v>196</v>
      </c>
      <c r="D30" s="5" t="s">
        <v>197</v>
      </c>
      <c r="E30" s="5" t="s">
        <v>198</v>
      </c>
      <c r="F30" s="5" t="s">
        <v>199</v>
      </c>
      <c r="G30" s="5" t="s">
        <v>200</v>
      </c>
      <c r="H30" s="5">
        <v>1050556</v>
      </c>
      <c r="I30" s="8" t="s">
        <v>161</v>
      </c>
      <c r="J30" s="8" t="s">
        <v>162</v>
      </c>
      <c r="K30" s="5" t="s">
        <v>22</v>
      </c>
      <c r="L30" s="4">
        <v>12674806</v>
      </c>
    </row>
    <row r="31" spans="1:12">
      <c r="A31" s="4">
        <v>8454836</v>
      </c>
      <c r="B31" s="4" t="s">
        <v>201</v>
      </c>
      <c r="C31" s="5" t="s">
        <v>202</v>
      </c>
      <c r="D31" s="5" t="s">
        <v>150</v>
      </c>
      <c r="E31" s="5" t="s">
        <v>203</v>
      </c>
      <c r="F31" s="5" t="s">
        <v>204</v>
      </c>
      <c r="G31" s="5" t="s">
        <v>205</v>
      </c>
      <c r="H31" s="5">
        <v>1050127</v>
      </c>
      <c r="I31" s="8" t="s">
        <v>29</v>
      </c>
      <c r="J31" s="8" t="s">
        <v>130</v>
      </c>
      <c r="K31" s="5" t="s">
        <v>22</v>
      </c>
      <c r="L31" s="4">
        <v>8454836</v>
      </c>
    </row>
    <row r="32" spans="1:12">
      <c r="A32" s="4">
        <v>9832710</v>
      </c>
      <c r="B32" s="4" t="s">
        <v>206</v>
      </c>
      <c r="C32" s="5" t="s">
        <v>207</v>
      </c>
      <c r="D32" s="5" t="s">
        <v>208</v>
      </c>
      <c r="E32" s="5" t="s">
        <v>209</v>
      </c>
      <c r="F32" s="5" t="s">
        <v>210</v>
      </c>
      <c r="G32" s="5" t="s">
        <v>211</v>
      </c>
      <c r="H32" s="5">
        <v>1050127</v>
      </c>
      <c r="I32" s="8" t="s">
        <v>29</v>
      </c>
      <c r="J32" s="8" t="s">
        <v>130</v>
      </c>
      <c r="K32" s="5" t="s">
        <v>22</v>
      </c>
      <c r="L32" s="4">
        <v>9832710</v>
      </c>
    </row>
    <row r="33" spans="1:12">
      <c r="A33" s="4">
        <v>12410690</v>
      </c>
      <c r="B33" s="4" t="s">
        <v>212</v>
      </c>
      <c r="C33" s="5" t="s">
        <v>213</v>
      </c>
      <c r="D33" s="5" t="s">
        <v>214</v>
      </c>
      <c r="E33" s="5" t="s">
        <v>215</v>
      </c>
      <c r="F33" s="5" t="s">
        <v>216</v>
      </c>
      <c r="G33" s="5" t="s">
        <v>217</v>
      </c>
      <c r="H33" s="12">
        <v>1050554</v>
      </c>
      <c r="I33" s="8" t="s">
        <v>2</v>
      </c>
      <c r="J33" s="8" t="s">
        <v>66</v>
      </c>
      <c r="K33" s="5" t="s">
        <v>22</v>
      </c>
      <c r="L33" s="4">
        <v>12410690</v>
      </c>
    </row>
    <row r="34" spans="1:12">
      <c r="A34" s="4">
        <v>8360971</v>
      </c>
      <c r="B34" s="4" t="s">
        <v>218</v>
      </c>
      <c r="C34" s="5" t="s">
        <v>219</v>
      </c>
      <c r="D34" s="5" t="s">
        <v>220</v>
      </c>
      <c r="E34" s="5" t="s">
        <v>221</v>
      </c>
      <c r="F34" s="5" t="s">
        <v>222</v>
      </c>
      <c r="G34" s="5" t="s">
        <v>223</v>
      </c>
      <c r="H34" s="12">
        <v>1050554</v>
      </c>
      <c r="I34" s="8" t="s">
        <v>2</v>
      </c>
      <c r="J34" s="8" t="s">
        <v>162</v>
      </c>
      <c r="K34" s="5" t="s">
        <v>22</v>
      </c>
      <c r="L34" s="4">
        <v>8360971</v>
      </c>
    </row>
    <row r="35" spans="1:12">
      <c r="A35" s="4">
        <v>16695463</v>
      </c>
      <c r="B35" s="4" t="s">
        <v>224</v>
      </c>
      <c r="C35" s="5" t="s">
        <v>225</v>
      </c>
      <c r="D35" s="5" t="s">
        <v>226</v>
      </c>
      <c r="E35" s="5" t="s">
        <v>227</v>
      </c>
      <c r="F35" s="5" t="s">
        <v>228</v>
      </c>
      <c r="G35" s="5" t="s">
        <v>229</v>
      </c>
      <c r="H35" s="13">
        <v>1050616</v>
      </c>
      <c r="I35" s="11" t="s">
        <v>87</v>
      </c>
      <c r="J35" s="11" t="s">
        <v>21</v>
      </c>
      <c r="K35" s="5" t="s">
        <v>22</v>
      </c>
      <c r="L35" s="4">
        <v>16695463</v>
      </c>
    </row>
    <row r="36" spans="1:12">
      <c r="A36" s="4">
        <v>8465592</v>
      </c>
      <c r="B36" s="4" t="s">
        <v>230</v>
      </c>
      <c r="C36" s="5" t="s">
        <v>231</v>
      </c>
      <c r="D36" s="5" t="s">
        <v>232</v>
      </c>
      <c r="E36" s="5" t="s">
        <v>233</v>
      </c>
      <c r="F36" s="5" t="s">
        <v>234</v>
      </c>
      <c r="G36" s="5" t="s">
        <v>235</v>
      </c>
      <c r="H36" s="12">
        <v>1050574</v>
      </c>
      <c r="I36" s="11" t="s">
        <v>44</v>
      </c>
      <c r="J36" s="11" t="s">
        <v>45</v>
      </c>
      <c r="K36" s="5" t="s">
        <v>22</v>
      </c>
      <c r="L36" s="4">
        <v>8465592</v>
      </c>
    </row>
    <row r="37" spans="1:12">
      <c r="A37" s="4">
        <v>17542884</v>
      </c>
      <c r="B37" s="4" t="s">
        <v>236</v>
      </c>
      <c r="C37" s="14" t="s">
        <v>237</v>
      </c>
      <c r="D37" s="14" t="s">
        <v>238</v>
      </c>
      <c r="E37" s="14" t="s">
        <v>239</v>
      </c>
      <c r="F37" s="14" t="s">
        <v>240</v>
      </c>
      <c r="G37" s="14" t="s">
        <v>241</v>
      </c>
      <c r="H37" s="12">
        <v>1050529</v>
      </c>
      <c r="I37" s="8" t="s">
        <v>242</v>
      </c>
      <c r="J37" s="8" t="s">
        <v>242</v>
      </c>
      <c r="K37" s="5" t="s">
        <v>22</v>
      </c>
      <c r="L37" s="4">
        <v>17542884</v>
      </c>
    </row>
    <row r="38" spans="1:12">
      <c r="A38" s="4">
        <v>7717451</v>
      </c>
      <c r="B38" s="4" t="s">
        <v>243</v>
      </c>
      <c r="C38" s="5" t="s">
        <v>244</v>
      </c>
      <c r="D38" s="5" t="s">
        <v>69</v>
      </c>
      <c r="E38" s="5" t="s">
        <v>245</v>
      </c>
      <c r="F38" s="5" t="s">
        <v>246</v>
      </c>
      <c r="G38" s="5" t="s">
        <v>247</v>
      </c>
      <c r="H38" s="12">
        <v>1050557</v>
      </c>
      <c r="I38" s="8" t="s">
        <v>248</v>
      </c>
      <c r="J38" s="8" t="s">
        <v>249</v>
      </c>
      <c r="K38" s="5" t="s">
        <v>22</v>
      </c>
      <c r="L38" s="4">
        <v>7717451</v>
      </c>
    </row>
    <row r="39" spans="1:12">
      <c r="A39" s="4">
        <v>15702200</v>
      </c>
      <c r="B39" s="4" t="s">
        <v>250</v>
      </c>
      <c r="C39" s="5" t="s">
        <v>244</v>
      </c>
      <c r="D39" s="5" t="s">
        <v>61</v>
      </c>
      <c r="E39" s="5" t="s">
        <v>251</v>
      </c>
      <c r="F39" s="5" t="s">
        <v>252</v>
      </c>
      <c r="G39" s="5" t="s">
        <v>253</v>
      </c>
      <c r="H39" s="13">
        <v>1050610</v>
      </c>
      <c r="I39" s="15" t="s">
        <v>65</v>
      </c>
      <c r="J39" s="8" t="s">
        <v>66</v>
      </c>
      <c r="K39" s="5" t="s">
        <v>22</v>
      </c>
      <c r="L39" s="4">
        <v>15702200</v>
      </c>
    </row>
    <row r="40" spans="1:12">
      <c r="A40" s="4">
        <v>7816535</v>
      </c>
      <c r="B40" s="4" t="s">
        <v>254</v>
      </c>
      <c r="C40" s="14" t="s">
        <v>255</v>
      </c>
      <c r="D40" s="14" t="s">
        <v>256</v>
      </c>
      <c r="E40" s="14" t="s">
        <v>257</v>
      </c>
      <c r="F40" s="14" t="s">
        <v>258</v>
      </c>
      <c r="G40" s="16" t="s">
        <v>259</v>
      </c>
      <c r="H40" s="12">
        <v>1050529</v>
      </c>
      <c r="I40" s="8" t="s">
        <v>87</v>
      </c>
      <c r="J40" s="8" t="s">
        <v>162</v>
      </c>
      <c r="K40" s="5" t="s">
        <v>22</v>
      </c>
      <c r="L40" s="4">
        <v>7816535</v>
      </c>
    </row>
    <row r="41" spans="1:12">
      <c r="A41" s="4">
        <v>13486775</v>
      </c>
      <c r="B41" s="4" t="s">
        <v>260</v>
      </c>
      <c r="C41" s="17" t="s">
        <v>261</v>
      </c>
      <c r="D41" s="17" t="s">
        <v>262</v>
      </c>
      <c r="E41" s="17" t="s">
        <v>263</v>
      </c>
      <c r="F41" s="17" t="s">
        <v>264</v>
      </c>
      <c r="G41" s="17" t="s">
        <v>265</v>
      </c>
      <c r="H41" s="12">
        <v>1050610</v>
      </c>
      <c r="I41" s="11" t="s">
        <v>65</v>
      </c>
      <c r="J41" s="11" t="s">
        <v>66</v>
      </c>
      <c r="K41" s="5" t="s">
        <v>22</v>
      </c>
      <c r="L41" s="4">
        <v>13486775</v>
      </c>
    </row>
    <row r="42" spans="1:12">
      <c r="A42" s="4">
        <v>11660411</v>
      </c>
      <c r="B42" s="4" t="s">
        <v>266</v>
      </c>
      <c r="C42" s="5" t="s">
        <v>267</v>
      </c>
      <c r="D42" s="5" t="s">
        <v>268</v>
      </c>
      <c r="E42" s="5" t="s">
        <v>269</v>
      </c>
      <c r="F42" s="5" t="s">
        <v>270</v>
      </c>
      <c r="G42" s="5" t="s">
        <v>271</v>
      </c>
      <c r="H42" s="5">
        <v>1050581</v>
      </c>
      <c r="I42" s="8" t="s">
        <v>29</v>
      </c>
      <c r="J42" s="8" t="s">
        <v>272</v>
      </c>
      <c r="K42" s="5" t="s">
        <v>22</v>
      </c>
      <c r="L42" s="4">
        <v>11660411</v>
      </c>
    </row>
    <row r="43" spans="1:12">
      <c r="A43" s="4">
        <v>11523492</v>
      </c>
      <c r="B43" s="4" t="s">
        <v>273</v>
      </c>
      <c r="C43" s="5" t="s">
        <v>267</v>
      </c>
      <c r="D43" s="5" t="s">
        <v>197</v>
      </c>
      <c r="E43" s="5" t="s">
        <v>274</v>
      </c>
      <c r="F43" s="5" t="s">
        <v>275</v>
      </c>
      <c r="G43" s="5" t="s">
        <v>276</v>
      </c>
      <c r="H43" s="5">
        <v>1050616</v>
      </c>
      <c r="I43" s="11" t="s">
        <v>87</v>
      </c>
      <c r="J43" s="11" t="s">
        <v>88</v>
      </c>
      <c r="K43" s="5" t="s">
        <v>22</v>
      </c>
      <c r="L43" s="4">
        <v>11523492</v>
      </c>
    </row>
    <row r="44" spans="1:12">
      <c r="A44" s="4">
        <v>11268136</v>
      </c>
      <c r="B44" s="4" t="s">
        <v>277</v>
      </c>
      <c r="C44" s="5" t="s">
        <v>278</v>
      </c>
      <c r="D44" s="5" t="s">
        <v>39</v>
      </c>
      <c r="E44" s="5" t="s">
        <v>279</v>
      </c>
      <c r="F44" s="5" t="s">
        <v>280</v>
      </c>
      <c r="G44" s="5" t="s">
        <v>281</v>
      </c>
      <c r="H44" s="7">
        <v>1050610</v>
      </c>
      <c r="I44" s="15" t="s">
        <v>65</v>
      </c>
      <c r="J44" s="8" t="s">
        <v>147</v>
      </c>
      <c r="K44" s="5" t="s">
        <v>22</v>
      </c>
      <c r="L44" s="4">
        <v>11268136</v>
      </c>
    </row>
    <row r="45" spans="1:12">
      <c r="A45" s="4">
        <v>11347053</v>
      </c>
      <c r="B45" s="4" t="s">
        <v>282</v>
      </c>
      <c r="C45" s="5" t="s">
        <v>283</v>
      </c>
      <c r="D45" s="5" t="s">
        <v>284</v>
      </c>
      <c r="E45" s="5" t="s">
        <v>285</v>
      </c>
      <c r="F45" s="5" t="s">
        <v>286</v>
      </c>
      <c r="G45" s="5" t="s">
        <v>287</v>
      </c>
      <c r="H45" s="5">
        <v>1050506</v>
      </c>
      <c r="I45" s="8" t="s">
        <v>29</v>
      </c>
      <c r="J45" s="8" t="s">
        <v>52</v>
      </c>
      <c r="K45" s="5" t="s">
        <v>22</v>
      </c>
      <c r="L45" s="4">
        <v>11347053</v>
      </c>
    </row>
    <row r="46" spans="1:12">
      <c r="A46" s="4">
        <v>7815607</v>
      </c>
      <c r="B46" s="4" t="s">
        <v>288</v>
      </c>
      <c r="C46" s="5" t="s">
        <v>289</v>
      </c>
      <c r="D46" s="5" t="s">
        <v>290</v>
      </c>
      <c r="E46" s="5" t="s">
        <v>291</v>
      </c>
      <c r="F46" s="5" t="s">
        <v>292</v>
      </c>
      <c r="G46" s="5" t="s">
        <v>293</v>
      </c>
      <c r="H46" s="5">
        <v>1050633</v>
      </c>
      <c r="I46" s="8" t="s">
        <v>29</v>
      </c>
      <c r="J46" s="8" t="s">
        <v>130</v>
      </c>
      <c r="K46" s="5" t="s">
        <v>22</v>
      </c>
      <c r="L46" s="4">
        <v>7815607</v>
      </c>
    </row>
    <row r="47" spans="1:12">
      <c r="A47" s="4">
        <v>6143912</v>
      </c>
      <c r="B47" s="4" t="s">
        <v>294</v>
      </c>
      <c r="C47" s="5" t="s">
        <v>295</v>
      </c>
      <c r="D47" s="5" t="s">
        <v>296</v>
      </c>
      <c r="E47" s="5" t="s">
        <v>297</v>
      </c>
      <c r="F47" s="5" t="s">
        <v>298</v>
      </c>
      <c r="G47" s="5" t="s">
        <v>299</v>
      </c>
      <c r="H47" s="7">
        <v>1050632</v>
      </c>
      <c r="I47" s="8" t="s">
        <v>300</v>
      </c>
      <c r="J47" s="8" t="s">
        <v>300</v>
      </c>
      <c r="K47" s="5" t="s">
        <v>22</v>
      </c>
      <c r="L47" s="4">
        <v>6143912</v>
      </c>
    </row>
    <row r="48" spans="1:12">
      <c r="A48" s="4">
        <v>14181387</v>
      </c>
      <c r="B48" s="4" t="s">
        <v>301</v>
      </c>
      <c r="C48" s="5" t="s">
        <v>302</v>
      </c>
      <c r="D48" s="5" t="s">
        <v>303</v>
      </c>
      <c r="E48" s="5" t="s">
        <v>304</v>
      </c>
      <c r="F48" s="5" t="s">
        <v>305</v>
      </c>
      <c r="G48" s="5" t="s">
        <v>306</v>
      </c>
      <c r="H48" s="5">
        <v>1050127</v>
      </c>
      <c r="I48" s="8" t="s">
        <v>29</v>
      </c>
      <c r="J48" s="8" t="s">
        <v>37</v>
      </c>
      <c r="K48" s="5" t="s">
        <v>22</v>
      </c>
      <c r="L48" s="4">
        <v>14181387</v>
      </c>
    </row>
    <row r="49" spans="1:12">
      <c r="A49" s="4">
        <v>7944613</v>
      </c>
      <c r="B49" s="4" t="s">
        <v>307</v>
      </c>
      <c r="C49" s="5" t="s">
        <v>179</v>
      </c>
      <c r="D49" s="5" t="s">
        <v>308</v>
      </c>
      <c r="E49" s="5" t="s">
        <v>309</v>
      </c>
      <c r="F49" s="5" t="s">
        <v>310</v>
      </c>
      <c r="G49" s="5" t="s">
        <v>311</v>
      </c>
      <c r="H49" s="5">
        <v>1050126</v>
      </c>
      <c r="I49" s="8" t="s">
        <v>29</v>
      </c>
      <c r="J49" s="8" t="s">
        <v>30</v>
      </c>
      <c r="K49" s="5" t="s">
        <v>22</v>
      </c>
      <c r="L49" s="4">
        <v>7944613</v>
      </c>
    </row>
    <row r="50" spans="1:12">
      <c r="A50" s="4">
        <v>14595059</v>
      </c>
      <c r="B50" s="4" t="s">
        <v>312</v>
      </c>
      <c r="C50" s="5" t="s">
        <v>179</v>
      </c>
      <c r="D50" s="5" t="s">
        <v>313</v>
      </c>
      <c r="E50" s="5" t="s">
        <v>314</v>
      </c>
      <c r="F50" s="5" t="s">
        <v>315</v>
      </c>
      <c r="G50" s="5" t="s">
        <v>316</v>
      </c>
      <c r="H50" s="5">
        <v>1050616</v>
      </c>
      <c r="I50" s="11" t="s">
        <v>87</v>
      </c>
      <c r="J50" s="8" t="s">
        <v>147</v>
      </c>
      <c r="K50" s="5" t="s">
        <v>22</v>
      </c>
      <c r="L50" s="4">
        <v>14595059</v>
      </c>
    </row>
    <row r="51" spans="1:12">
      <c r="A51" s="4">
        <v>10874066</v>
      </c>
      <c r="B51" s="4" t="s">
        <v>317</v>
      </c>
      <c r="C51" s="5" t="s">
        <v>179</v>
      </c>
      <c r="D51" s="5" t="s">
        <v>318</v>
      </c>
      <c r="E51" s="5" t="s">
        <v>92</v>
      </c>
      <c r="F51" s="5" t="s">
        <v>319</v>
      </c>
      <c r="G51" s="5" t="s">
        <v>320</v>
      </c>
      <c r="H51" s="5">
        <v>1050552</v>
      </c>
      <c r="I51" s="8" t="s">
        <v>321</v>
      </c>
      <c r="J51" s="8" t="s">
        <v>66</v>
      </c>
      <c r="K51" s="5" t="s">
        <v>22</v>
      </c>
      <c r="L51" s="4">
        <v>10874066</v>
      </c>
    </row>
    <row r="52" spans="1:12">
      <c r="A52" s="4">
        <v>11394356</v>
      </c>
      <c r="B52" s="4" t="s">
        <v>322</v>
      </c>
      <c r="C52" s="5" t="s">
        <v>179</v>
      </c>
      <c r="D52" s="5" t="s">
        <v>33</v>
      </c>
      <c r="E52" s="5" t="s">
        <v>323</v>
      </c>
      <c r="F52" s="5" t="s">
        <v>324</v>
      </c>
      <c r="G52" s="5" t="s">
        <v>325</v>
      </c>
      <c r="H52" s="5">
        <v>1050616</v>
      </c>
      <c r="I52" s="11" t="s">
        <v>87</v>
      </c>
      <c r="J52" s="8" t="s">
        <v>147</v>
      </c>
      <c r="K52" s="5" t="s">
        <v>22</v>
      </c>
      <c r="L52" s="4">
        <v>11394356</v>
      </c>
    </row>
    <row r="53" spans="1:12">
      <c r="A53" s="4">
        <v>11165105</v>
      </c>
      <c r="B53" s="4" t="s">
        <v>326</v>
      </c>
      <c r="C53" s="5" t="s">
        <v>179</v>
      </c>
      <c r="D53" s="5" t="s">
        <v>327</v>
      </c>
      <c r="E53" s="5" t="s">
        <v>328</v>
      </c>
      <c r="F53" s="5" t="s">
        <v>329</v>
      </c>
      <c r="G53" s="5" t="s">
        <v>330</v>
      </c>
      <c r="H53" s="5">
        <v>1050552</v>
      </c>
      <c r="I53" s="8" t="s">
        <v>321</v>
      </c>
      <c r="J53" s="8" t="s">
        <v>147</v>
      </c>
      <c r="K53" s="5" t="s">
        <v>22</v>
      </c>
      <c r="L53" s="4">
        <v>11165105</v>
      </c>
    </row>
    <row r="54" spans="1:12">
      <c r="A54" s="4">
        <v>17929108</v>
      </c>
      <c r="B54" s="4" t="s">
        <v>331</v>
      </c>
      <c r="C54" s="5" t="s">
        <v>332</v>
      </c>
      <c r="D54" s="5" t="s">
        <v>333</v>
      </c>
      <c r="E54" s="5" t="s">
        <v>334</v>
      </c>
      <c r="F54" s="5" t="s">
        <v>335</v>
      </c>
      <c r="G54" s="5" t="s">
        <v>336</v>
      </c>
      <c r="H54" s="5">
        <v>1050529</v>
      </c>
      <c r="I54" s="8" t="s">
        <v>242</v>
      </c>
      <c r="J54" s="8" t="s">
        <v>242</v>
      </c>
      <c r="K54" s="5" t="s">
        <v>22</v>
      </c>
      <c r="L54" s="4">
        <v>17929108</v>
      </c>
    </row>
    <row r="55" spans="1:12">
      <c r="A55" s="4">
        <v>5267317</v>
      </c>
      <c r="B55" s="4" t="s">
        <v>337</v>
      </c>
      <c r="C55" s="5" t="s">
        <v>338</v>
      </c>
      <c r="D55" s="5" t="s">
        <v>142</v>
      </c>
      <c r="E55" s="5" t="s">
        <v>339</v>
      </c>
      <c r="F55" s="5" t="s">
        <v>340</v>
      </c>
      <c r="G55" s="5" t="s">
        <v>341</v>
      </c>
      <c r="H55" s="5">
        <v>1050127</v>
      </c>
      <c r="I55" s="8" t="s">
        <v>29</v>
      </c>
      <c r="J55" s="8" t="s">
        <v>37</v>
      </c>
      <c r="K55" s="5" t="s">
        <v>22</v>
      </c>
      <c r="L55" s="4">
        <v>5267317</v>
      </c>
    </row>
    <row r="56" spans="1:12">
      <c r="A56" s="4">
        <v>14336328</v>
      </c>
      <c r="B56" s="4" t="s">
        <v>342</v>
      </c>
      <c r="C56" s="5" t="s">
        <v>343</v>
      </c>
      <c r="D56" s="5" t="s">
        <v>318</v>
      </c>
      <c r="E56" s="5" t="s">
        <v>344</v>
      </c>
      <c r="F56" s="5" t="s">
        <v>345</v>
      </c>
      <c r="G56" s="5" t="s">
        <v>346</v>
      </c>
      <c r="H56" s="5">
        <v>1050552</v>
      </c>
      <c r="I56" s="8" t="s">
        <v>321</v>
      </c>
      <c r="J56" s="8" t="s">
        <v>162</v>
      </c>
      <c r="K56" s="5" t="s">
        <v>22</v>
      </c>
      <c r="L56" s="4">
        <v>14336328</v>
      </c>
    </row>
    <row r="57" spans="1:12">
      <c r="A57" s="4">
        <v>9957527</v>
      </c>
      <c r="B57" s="4" t="s">
        <v>347</v>
      </c>
      <c r="C57" s="5" t="s">
        <v>343</v>
      </c>
      <c r="D57" s="5" t="s">
        <v>33</v>
      </c>
      <c r="E57" s="5" t="s">
        <v>348</v>
      </c>
      <c r="F57" s="5" t="s">
        <v>349</v>
      </c>
      <c r="G57" s="5" t="s">
        <v>350</v>
      </c>
      <c r="H57" s="5">
        <v>1050616</v>
      </c>
      <c r="I57" s="11" t="s">
        <v>87</v>
      </c>
      <c r="J57" s="11" t="s">
        <v>66</v>
      </c>
      <c r="K57" s="5" t="s">
        <v>22</v>
      </c>
      <c r="L57" s="4">
        <v>9957527</v>
      </c>
    </row>
    <row r="58" spans="1:12">
      <c r="A58" s="4">
        <v>6326657</v>
      </c>
      <c r="B58" s="4" t="s">
        <v>351</v>
      </c>
      <c r="C58" s="5" t="s">
        <v>343</v>
      </c>
      <c r="D58" s="5" t="s">
        <v>352</v>
      </c>
      <c r="E58" s="5" t="s">
        <v>353</v>
      </c>
      <c r="F58" s="5" t="s">
        <v>354</v>
      </c>
      <c r="G58" s="5" t="s">
        <v>355</v>
      </c>
      <c r="H58" s="7">
        <v>1050616</v>
      </c>
      <c r="I58" s="11" t="s">
        <v>87</v>
      </c>
      <c r="J58" s="11" t="s">
        <v>66</v>
      </c>
      <c r="K58" s="5" t="s">
        <v>22</v>
      </c>
      <c r="L58" s="4">
        <v>6326657</v>
      </c>
    </row>
    <row r="59" spans="1:12">
      <c r="A59" s="4">
        <v>11267594</v>
      </c>
      <c r="B59" s="4" t="s">
        <v>356</v>
      </c>
      <c r="C59" s="5" t="s">
        <v>357</v>
      </c>
      <c r="D59" s="5" t="s">
        <v>358</v>
      </c>
      <c r="E59" s="5" t="s">
        <v>359</v>
      </c>
      <c r="F59" s="5" t="s">
        <v>360</v>
      </c>
      <c r="G59" s="5" t="s">
        <v>361</v>
      </c>
      <c r="H59" s="5">
        <v>1050581</v>
      </c>
      <c r="I59" s="8" t="s">
        <v>29</v>
      </c>
      <c r="J59" s="8" t="s">
        <v>272</v>
      </c>
      <c r="K59" s="5" t="s">
        <v>22</v>
      </c>
      <c r="L59" s="4">
        <v>11267594</v>
      </c>
    </row>
    <row r="60" spans="1:12">
      <c r="A60" s="4">
        <v>8161344</v>
      </c>
      <c r="B60" s="4" t="s">
        <v>362</v>
      </c>
      <c r="C60" s="5" t="s">
        <v>363</v>
      </c>
      <c r="D60" s="5" t="s">
        <v>363</v>
      </c>
      <c r="E60" s="5" t="s">
        <v>364</v>
      </c>
      <c r="F60" s="5" t="s">
        <v>365</v>
      </c>
      <c r="G60" s="6" t="s">
        <v>366</v>
      </c>
      <c r="H60" s="5">
        <v>1050552</v>
      </c>
      <c r="I60" s="8" t="s">
        <v>321</v>
      </c>
      <c r="J60" s="8" t="s">
        <v>147</v>
      </c>
      <c r="K60" s="5" t="s">
        <v>22</v>
      </c>
      <c r="L60" s="4">
        <v>8161344</v>
      </c>
    </row>
    <row r="61" spans="1:12">
      <c r="A61" s="4">
        <v>11914799</v>
      </c>
      <c r="B61" s="4" t="s">
        <v>367</v>
      </c>
      <c r="C61" s="5" t="s">
        <v>368</v>
      </c>
      <c r="D61" s="5" t="s">
        <v>369</v>
      </c>
      <c r="E61" s="5" t="s">
        <v>339</v>
      </c>
      <c r="F61" s="5" t="s">
        <v>370</v>
      </c>
      <c r="G61" s="5" t="s">
        <v>371</v>
      </c>
      <c r="H61" s="5">
        <v>1050610</v>
      </c>
      <c r="I61" s="11" t="s">
        <v>65</v>
      </c>
      <c r="J61" s="11" t="s">
        <v>66</v>
      </c>
      <c r="K61" s="5" t="s">
        <v>22</v>
      </c>
      <c r="L61" s="4">
        <v>11914799</v>
      </c>
    </row>
    <row r="62" spans="1:12">
      <c r="A62" s="4">
        <v>16031949</v>
      </c>
      <c r="B62" s="4" t="s">
        <v>372</v>
      </c>
      <c r="C62" s="5" t="s">
        <v>357</v>
      </c>
      <c r="D62" s="5" t="s">
        <v>358</v>
      </c>
      <c r="E62" s="5" t="s">
        <v>373</v>
      </c>
      <c r="F62" s="5" t="s">
        <v>374</v>
      </c>
      <c r="G62" s="5" t="s">
        <v>375</v>
      </c>
      <c r="H62" s="5">
        <v>1050581</v>
      </c>
      <c r="I62" s="8" t="s">
        <v>29</v>
      </c>
      <c r="J62" s="8" t="s">
        <v>130</v>
      </c>
      <c r="K62" s="5" t="s">
        <v>22</v>
      </c>
      <c r="L62" s="4">
        <v>16031949</v>
      </c>
    </row>
    <row r="63" spans="1:12">
      <c r="A63" s="4">
        <v>5080993</v>
      </c>
      <c r="B63" s="4" t="s">
        <v>376</v>
      </c>
      <c r="C63" s="5" t="s">
        <v>377</v>
      </c>
      <c r="D63" s="5" t="s">
        <v>378</v>
      </c>
      <c r="E63" s="5" t="s">
        <v>257</v>
      </c>
      <c r="F63" s="5" t="s">
        <v>379</v>
      </c>
      <c r="G63" s="5" t="s">
        <v>380</v>
      </c>
      <c r="H63" s="5">
        <v>1050126</v>
      </c>
      <c r="I63" s="8" t="s">
        <v>29</v>
      </c>
      <c r="J63" s="8" t="s">
        <v>30</v>
      </c>
      <c r="K63" s="5" t="s">
        <v>22</v>
      </c>
      <c r="L63" s="4">
        <v>5080993</v>
      </c>
    </row>
    <row r="64" spans="1:12">
      <c r="A64" s="4">
        <v>5989878</v>
      </c>
      <c r="B64" s="4" t="s">
        <v>381</v>
      </c>
      <c r="C64" s="5" t="s">
        <v>377</v>
      </c>
      <c r="D64" s="5" t="s">
        <v>382</v>
      </c>
      <c r="E64" s="5" t="s">
        <v>383</v>
      </c>
      <c r="F64" s="5" t="s">
        <v>384</v>
      </c>
      <c r="G64" s="5" t="s">
        <v>385</v>
      </c>
      <c r="H64" s="5">
        <v>1050126</v>
      </c>
      <c r="I64" s="8" t="s">
        <v>29</v>
      </c>
      <c r="J64" s="8" t="s">
        <v>30</v>
      </c>
      <c r="K64" s="5" t="s">
        <v>22</v>
      </c>
      <c r="L64" s="4">
        <v>5989878</v>
      </c>
    </row>
    <row r="65" spans="1:12">
      <c r="A65" s="4">
        <v>5281950</v>
      </c>
      <c r="B65" s="4" t="s">
        <v>386</v>
      </c>
      <c r="C65" s="5" t="s">
        <v>115</v>
      </c>
      <c r="D65" s="5" t="s">
        <v>387</v>
      </c>
      <c r="E65" s="5" t="s">
        <v>388</v>
      </c>
      <c r="F65" s="5" t="s">
        <v>389</v>
      </c>
      <c r="G65" s="5" t="s">
        <v>390</v>
      </c>
      <c r="H65" s="5">
        <v>1050616</v>
      </c>
      <c r="I65" s="11" t="s">
        <v>87</v>
      </c>
      <c r="J65" s="11" t="s">
        <v>391</v>
      </c>
      <c r="K65" s="5" t="s">
        <v>22</v>
      </c>
      <c r="L65" s="4">
        <v>5281950</v>
      </c>
    </row>
    <row r="66" spans="1:12">
      <c r="A66" s="4">
        <v>6187914</v>
      </c>
      <c r="B66" s="4" t="s">
        <v>392</v>
      </c>
      <c r="C66" s="5" t="s">
        <v>115</v>
      </c>
      <c r="D66" s="5" t="s">
        <v>387</v>
      </c>
      <c r="E66" s="5" t="s">
        <v>393</v>
      </c>
      <c r="F66" s="5" t="s">
        <v>394</v>
      </c>
      <c r="G66" s="5" t="s">
        <v>395</v>
      </c>
      <c r="H66" s="5">
        <v>1050616</v>
      </c>
      <c r="I66" s="11" t="s">
        <v>87</v>
      </c>
      <c r="J66" s="11" t="s">
        <v>391</v>
      </c>
      <c r="K66" s="5" t="s">
        <v>22</v>
      </c>
      <c r="L66" s="4">
        <v>6187914</v>
      </c>
    </row>
    <row r="67" spans="1:12">
      <c r="A67" s="4">
        <v>7023216</v>
      </c>
      <c r="B67" s="4" t="s">
        <v>396</v>
      </c>
      <c r="C67" s="5" t="s">
        <v>397</v>
      </c>
      <c r="D67" s="5" t="s">
        <v>398</v>
      </c>
      <c r="E67" s="5" t="s">
        <v>399</v>
      </c>
      <c r="F67" s="5" t="s">
        <v>400</v>
      </c>
      <c r="G67" s="7" t="s">
        <v>401</v>
      </c>
      <c r="H67" s="5">
        <v>1050615</v>
      </c>
      <c r="I67" s="8" t="s">
        <v>87</v>
      </c>
      <c r="J67" s="11" t="s">
        <v>21</v>
      </c>
      <c r="K67" s="5" t="s">
        <v>22</v>
      </c>
      <c r="L67" s="4">
        <v>7023216</v>
      </c>
    </row>
    <row r="68" spans="1:12">
      <c r="A68" s="4">
        <v>8733235</v>
      </c>
      <c r="B68" s="4" t="s">
        <v>402</v>
      </c>
      <c r="C68" s="5" t="s">
        <v>397</v>
      </c>
      <c r="D68" s="5" t="s">
        <v>403</v>
      </c>
      <c r="E68" s="5" t="s">
        <v>404</v>
      </c>
      <c r="F68" s="5" t="s">
        <v>405</v>
      </c>
      <c r="G68" s="5" t="s">
        <v>406</v>
      </c>
      <c r="H68" s="5">
        <v>1050615</v>
      </c>
      <c r="I68" s="8" t="s">
        <v>87</v>
      </c>
      <c r="J68" s="8" t="s">
        <v>249</v>
      </c>
      <c r="K68" s="5" t="s">
        <v>22</v>
      </c>
      <c r="L68" s="4">
        <v>8733235</v>
      </c>
    </row>
    <row r="69" spans="1:12">
      <c r="A69" s="4">
        <v>5428350</v>
      </c>
      <c r="B69" s="4" t="s">
        <v>407</v>
      </c>
      <c r="C69" s="5" t="s">
        <v>408</v>
      </c>
      <c r="D69" s="5" t="s">
        <v>409</v>
      </c>
      <c r="E69" s="5" t="s">
        <v>410</v>
      </c>
      <c r="F69" s="5" t="s">
        <v>411</v>
      </c>
      <c r="G69" s="5" t="s">
        <v>412</v>
      </c>
      <c r="H69" s="5">
        <v>1050616</v>
      </c>
      <c r="I69" s="11" t="s">
        <v>87</v>
      </c>
      <c r="J69" s="11" t="s">
        <v>66</v>
      </c>
      <c r="K69" s="5" t="s">
        <v>22</v>
      </c>
      <c r="L69" s="4">
        <v>5428350</v>
      </c>
    </row>
    <row r="70" spans="1:12">
      <c r="A70" s="4">
        <v>16380050</v>
      </c>
      <c r="B70" s="4" t="s">
        <v>1362</v>
      </c>
      <c r="C70" s="5" t="s">
        <v>413</v>
      </c>
      <c r="D70" s="5" t="s">
        <v>414</v>
      </c>
      <c r="E70" s="5" t="s">
        <v>415</v>
      </c>
      <c r="F70" s="5" t="s">
        <v>416</v>
      </c>
      <c r="G70" s="5" t="s">
        <v>417</v>
      </c>
      <c r="H70" s="5">
        <v>1050126</v>
      </c>
      <c r="I70" s="8" t="s">
        <v>29</v>
      </c>
      <c r="J70" s="8" t="s">
        <v>30</v>
      </c>
      <c r="K70" s="5" t="s">
        <v>22</v>
      </c>
      <c r="L70" s="4">
        <v>16380050</v>
      </c>
    </row>
    <row r="71" spans="1:12">
      <c r="A71" s="4">
        <v>9571017</v>
      </c>
      <c r="B71" s="4" t="s">
        <v>418</v>
      </c>
      <c r="C71" s="5" t="s">
        <v>419</v>
      </c>
      <c r="D71" s="5" t="s">
        <v>308</v>
      </c>
      <c r="E71" s="5" t="s">
        <v>420</v>
      </c>
      <c r="F71" s="5" t="s">
        <v>421</v>
      </c>
      <c r="G71" s="5" t="s">
        <v>422</v>
      </c>
      <c r="H71" s="5">
        <v>1050126</v>
      </c>
      <c r="I71" s="8" t="s">
        <v>29</v>
      </c>
      <c r="J71" s="8" t="s">
        <v>30</v>
      </c>
      <c r="K71" s="5" t="s">
        <v>22</v>
      </c>
      <c r="L71" s="4">
        <v>9571017</v>
      </c>
    </row>
    <row r="72" spans="1:12">
      <c r="A72" s="4">
        <v>16132065</v>
      </c>
      <c r="B72" s="4" t="s">
        <v>423</v>
      </c>
      <c r="C72" s="5" t="s">
        <v>419</v>
      </c>
      <c r="D72" s="5" t="s">
        <v>424</v>
      </c>
      <c r="E72" s="5" t="s">
        <v>425</v>
      </c>
      <c r="F72" s="5" t="s">
        <v>426</v>
      </c>
      <c r="G72" s="5" t="s">
        <v>427</v>
      </c>
      <c r="H72" s="5">
        <v>1050126</v>
      </c>
      <c r="I72" s="8" t="s">
        <v>29</v>
      </c>
      <c r="J72" s="8" t="s">
        <v>30</v>
      </c>
      <c r="K72" s="5" t="s">
        <v>22</v>
      </c>
      <c r="L72" s="4">
        <v>16132065</v>
      </c>
    </row>
    <row r="73" spans="1:12">
      <c r="A73" s="4">
        <v>13100464</v>
      </c>
      <c r="B73" s="4" t="s">
        <v>428</v>
      </c>
      <c r="C73" s="5" t="s">
        <v>419</v>
      </c>
      <c r="D73" s="5" t="s">
        <v>429</v>
      </c>
      <c r="E73" s="5" t="s">
        <v>430</v>
      </c>
      <c r="F73" s="5" t="s">
        <v>431</v>
      </c>
      <c r="G73" s="5" t="s">
        <v>432</v>
      </c>
      <c r="H73" s="5">
        <v>1050574</v>
      </c>
      <c r="I73" s="11" t="s">
        <v>44</v>
      </c>
      <c r="J73" s="11" t="s">
        <v>45</v>
      </c>
      <c r="K73" s="5" t="s">
        <v>22</v>
      </c>
      <c r="L73" s="4">
        <v>13100464</v>
      </c>
    </row>
    <row r="74" spans="1:12">
      <c r="A74" s="4">
        <v>17065312</v>
      </c>
      <c r="B74" s="4" t="s">
        <v>433</v>
      </c>
      <c r="C74" s="5" t="s">
        <v>313</v>
      </c>
      <c r="D74" s="5" t="s">
        <v>244</v>
      </c>
      <c r="E74" s="5" t="s">
        <v>434</v>
      </c>
      <c r="F74" s="5" t="s">
        <v>435</v>
      </c>
      <c r="G74" s="5" t="s">
        <v>436</v>
      </c>
      <c r="H74" s="5">
        <v>1050126</v>
      </c>
      <c r="I74" s="8" t="s">
        <v>29</v>
      </c>
      <c r="J74" s="8" t="s">
        <v>30</v>
      </c>
      <c r="K74" s="5" t="s">
        <v>22</v>
      </c>
      <c r="L74" s="4">
        <v>17065312</v>
      </c>
    </row>
    <row r="75" spans="1:12">
      <c r="A75" s="4">
        <v>17002272</v>
      </c>
      <c r="B75" s="4" t="s">
        <v>437</v>
      </c>
      <c r="C75" s="5" t="s">
        <v>438</v>
      </c>
      <c r="D75" s="5" t="s">
        <v>33</v>
      </c>
      <c r="E75" s="5" t="s">
        <v>439</v>
      </c>
      <c r="F75" s="5" t="s">
        <v>440</v>
      </c>
      <c r="G75" s="5" t="s">
        <v>441</v>
      </c>
      <c r="H75" s="5">
        <v>1050161</v>
      </c>
      <c r="I75" s="8" t="s">
        <v>29</v>
      </c>
      <c r="J75" s="8" t="s">
        <v>442</v>
      </c>
      <c r="K75" s="5" t="s">
        <v>22</v>
      </c>
      <c r="L75" s="4">
        <v>17002272</v>
      </c>
    </row>
    <row r="76" spans="1:12">
      <c r="A76" s="4">
        <v>9048185</v>
      </c>
      <c r="B76" s="4" t="s">
        <v>443</v>
      </c>
      <c r="C76" s="5" t="s">
        <v>444</v>
      </c>
      <c r="D76" s="5" t="s">
        <v>179</v>
      </c>
      <c r="E76" s="5" t="s">
        <v>445</v>
      </c>
      <c r="F76" s="5" t="s">
        <v>446</v>
      </c>
      <c r="G76" s="5" t="s">
        <v>447</v>
      </c>
      <c r="H76" s="5">
        <v>1050126</v>
      </c>
      <c r="I76" s="8" t="s">
        <v>29</v>
      </c>
      <c r="J76" s="8" t="s">
        <v>442</v>
      </c>
      <c r="K76" s="5" t="s">
        <v>22</v>
      </c>
      <c r="L76" s="4">
        <v>9048185</v>
      </c>
    </row>
    <row r="77" spans="1:12">
      <c r="A77" s="4">
        <v>13486907</v>
      </c>
      <c r="B77" s="4" t="s">
        <v>448</v>
      </c>
      <c r="C77" s="5" t="s">
        <v>449</v>
      </c>
      <c r="D77" s="5" t="s">
        <v>179</v>
      </c>
      <c r="E77" s="5" t="s">
        <v>450</v>
      </c>
      <c r="F77" s="5" t="s">
        <v>451</v>
      </c>
      <c r="G77" s="18" t="s">
        <v>452</v>
      </c>
      <c r="H77" s="5">
        <v>1050161</v>
      </c>
      <c r="I77" s="8" t="s">
        <v>29</v>
      </c>
      <c r="J77" s="8" t="s">
        <v>453</v>
      </c>
      <c r="K77" s="5" t="s">
        <v>22</v>
      </c>
      <c r="L77" s="4">
        <v>13486907</v>
      </c>
    </row>
    <row r="78" spans="1:12">
      <c r="A78" s="4">
        <v>9068490</v>
      </c>
      <c r="B78" s="4" t="s">
        <v>454</v>
      </c>
      <c r="C78" s="5" t="s">
        <v>83</v>
      </c>
      <c r="D78" s="5" t="s">
        <v>455</v>
      </c>
      <c r="E78" s="5" t="s">
        <v>456</v>
      </c>
      <c r="F78" s="5" t="s">
        <v>457</v>
      </c>
      <c r="G78" s="5" t="s">
        <v>458</v>
      </c>
      <c r="H78" s="5">
        <v>1050581</v>
      </c>
      <c r="I78" s="8" t="s">
        <v>29</v>
      </c>
      <c r="J78" s="8" t="s">
        <v>272</v>
      </c>
      <c r="K78" s="5" t="s">
        <v>22</v>
      </c>
      <c r="L78" s="4">
        <v>9068490</v>
      </c>
    </row>
    <row r="79" spans="1:12">
      <c r="A79" s="4">
        <v>7975267</v>
      </c>
      <c r="B79" s="4" t="s">
        <v>459</v>
      </c>
      <c r="C79" s="5" t="s">
        <v>83</v>
      </c>
      <c r="D79" s="5" t="s">
        <v>460</v>
      </c>
      <c r="E79" s="5" t="s">
        <v>461</v>
      </c>
      <c r="F79" s="5" t="s">
        <v>462</v>
      </c>
      <c r="G79" s="5" t="s">
        <v>463</v>
      </c>
      <c r="H79" s="5">
        <v>1050616</v>
      </c>
      <c r="I79" s="11" t="s">
        <v>87</v>
      </c>
      <c r="J79" s="8" t="s">
        <v>147</v>
      </c>
      <c r="K79" s="5" t="s">
        <v>22</v>
      </c>
      <c r="L79" s="4">
        <v>7975267</v>
      </c>
    </row>
    <row r="80" spans="1:12">
      <c r="A80" s="4">
        <v>8962599</v>
      </c>
      <c r="B80" s="4" t="s">
        <v>464</v>
      </c>
      <c r="C80" s="5" t="s">
        <v>83</v>
      </c>
      <c r="D80" s="5" t="s">
        <v>33</v>
      </c>
      <c r="E80" s="5" t="s">
        <v>465</v>
      </c>
      <c r="F80" s="5" t="s">
        <v>466</v>
      </c>
      <c r="G80" s="5" t="s">
        <v>467</v>
      </c>
      <c r="H80" s="5">
        <v>1050556</v>
      </c>
      <c r="I80" s="8" t="s">
        <v>161</v>
      </c>
      <c r="J80" s="8" t="s">
        <v>66</v>
      </c>
      <c r="K80" s="5" t="s">
        <v>22</v>
      </c>
      <c r="L80" s="4">
        <v>8962599</v>
      </c>
    </row>
    <row r="81" spans="1:12">
      <c r="A81" s="4">
        <v>5921603</v>
      </c>
      <c r="B81" s="4" t="s">
        <v>468</v>
      </c>
      <c r="C81" s="5" t="s">
        <v>469</v>
      </c>
      <c r="D81" s="5" t="s">
        <v>470</v>
      </c>
      <c r="E81" s="5" t="s">
        <v>471</v>
      </c>
      <c r="F81" s="5" t="s">
        <v>472</v>
      </c>
      <c r="G81" s="6" t="s">
        <v>473</v>
      </c>
      <c r="H81" s="7">
        <v>1050632</v>
      </c>
      <c r="I81" s="8" t="s">
        <v>300</v>
      </c>
      <c r="J81" s="8" t="s">
        <v>300</v>
      </c>
      <c r="K81" s="5" t="s">
        <v>22</v>
      </c>
      <c r="L81" s="4">
        <v>5921603</v>
      </c>
    </row>
    <row r="82" spans="1:12">
      <c r="A82" s="4">
        <v>9748915</v>
      </c>
      <c r="B82" s="4" t="s">
        <v>474</v>
      </c>
      <c r="C82" s="5" t="s">
        <v>318</v>
      </c>
      <c r="D82" s="5" t="s">
        <v>413</v>
      </c>
      <c r="E82" s="5" t="s">
        <v>475</v>
      </c>
      <c r="F82" s="5" t="s">
        <v>476</v>
      </c>
      <c r="G82" s="5" t="s">
        <v>477</v>
      </c>
      <c r="H82" s="5">
        <v>1050161</v>
      </c>
      <c r="I82" s="8" t="s">
        <v>29</v>
      </c>
      <c r="J82" s="8" t="s">
        <v>442</v>
      </c>
      <c r="K82" s="5" t="s">
        <v>22</v>
      </c>
      <c r="L82" s="4">
        <v>9748915</v>
      </c>
    </row>
    <row r="83" spans="1:12">
      <c r="A83" s="4">
        <v>9989723</v>
      </c>
      <c r="B83" s="4" t="s">
        <v>478</v>
      </c>
      <c r="C83" s="5" t="s">
        <v>479</v>
      </c>
      <c r="D83" s="5" t="s">
        <v>480</v>
      </c>
      <c r="E83" s="5" t="s">
        <v>481</v>
      </c>
      <c r="F83" s="5" t="s">
        <v>482</v>
      </c>
      <c r="G83" s="5" t="s">
        <v>483</v>
      </c>
      <c r="H83" s="5">
        <v>1050126</v>
      </c>
      <c r="I83" s="8" t="s">
        <v>29</v>
      </c>
      <c r="J83" s="8" t="s">
        <v>30</v>
      </c>
      <c r="K83" s="5" t="s">
        <v>22</v>
      </c>
      <c r="L83" s="4">
        <v>9989723</v>
      </c>
    </row>
    <row r="84" spans="1:12">
      <c r="A84" s="4">
        <v>10199755</v>
      </c>
      <c r="B84" s="4" t="s">
        <v>484</v>
      </c>
      <c r="C84" s="5" t="s">
        <v>479</v>
      </c>
      <c r="D84" s="5" t="s">
        <v>83</v>
      </c>
      <c r="E84" s="5" t="s">
        <v>485</v>
      </c>
      <c r="F84" s="5" t="s">
        <v>486</v>
      </c>
      <c r="G84" s="5" t="s">
        <v>487</v>
      </c>
      <c r="H84" s="5">
        <v>1050633</v>
      </c>
      <c r="I84" s="8" t="s">
        <v>29</v>
      </c>
      <c r="J84" s="8" t="s">
        <v>130</v>
      </c>
      <c r="K84" s="5" t="s">
        <v>22</v>
      </c>
      <c r="L84" s="4">
        <v>10199755</v>
      </c>
    </row>
    <row r="85" spans="1:12">
      <c r="A85" s="4">
        <v>14336364</v>
      </c>
      <c r="B85" s="4" t="s">
        <v>488</v>
      </c>
      <c r="C85" s="5" t="s">
        <v>268</v>
      </c>
      <c r="D85" s="5" t="s">
        <v>126</v>
      </c>
      <c r="E85" s="5" t="s">
        <v>489</v>
      </c>
      <c r="F85" s="5" t="s">
        <v>490</v>
      </c>
      <c r="G85" s="5" t="s">
        <v>491</v>
      </c>
      <c r="H85" s="5">
        <v>1050604</v>
      </c>
      <c r="I85" s="8" t="s">
        <v>492</v>
      </c>
      <c r="J85" s="8" t="s">
        <v>492</v>
      </c>
      <c r="K85" s="5" t="s">
        <v>22</v>
      </c>
      <c r="L85" s="4">
        <v>14336364</v>
      </c>
    </row>
    <row r="86" spans="1:12">
      <c r="A86" s="4">
        <v>9905897</v>
      </c>
      <c r="B86" s="4" t="s">
        <v>493</v>
      </c>
      <c r="C86" s="5" t="s">
        <v>494</v>
      </c>
      <c r="D86" s="5" t="s">
        <v>495</v>
      </c>
      <c r="E86" s="5" t="s">
        <v>496</v>
      </c>
      <c r="F86" s="5" t="s">
        <v>497</v>
      </c>
      <c r="G86" s="5" t="s">
        <v>498</v>
      </c>
      <c r="H86" s="5">
        <v>1050502</v>
      </c>
      <c r="I86" s="8" t="s">
        <v>499</v>
      </c>
      <c r="J86" s="8" t="s">
        <v>500</v>
      </c>
      <c r="K86" s="5" t="s">
        <v>22</v>
      </c>
      <c r="L86" s="4">
        <v>9905897</v>
      </c>
    </row>
    <row r="87" spans="1:12">
      <c r="A87" s="4">
        <v>11656057</v>
      </c>
      <c r="B87" s="4" t="s">
        <v>501</v>
      </c>
      <c r="C87" s="5" t="s">
        <v>502</v>
      </c>
      <c r="D87" s="5" t="s">
        <v>503</v>
      </c>
      <c r="E87" s="5" t="s">
        <v>504</v>
      </c>
      <c r="F87" s="5" t="s">
        <v>505</v>
      </c>
      <c r="G87" s="5" t="s">
        <v>506</v>
      </c>
      <c r="H87" s="5">
        <v>1050127</v>
      </c>
      <c r="I87" s="8" t="s">
        <v>29</v>
      </c>
      <c r="J87" s="8" t="s">
        <v>37</v>
      </c>
      <c r="K87" s="5" t="s">
        <v>22</v>
      </c>
      <c r="L87" s="4">
        <v>11656057</v>
      </c>
    </row>
    <row r="88" spans="1:12">
      <c r="A88" s="4">
        <v>13897327</v>
      </c>
      <c r="B88" s="4" t="s">
        <v>507</v>
      </c>
      <c r="C88" s="5" t="s">
        <v>508</v>
      </c>
      <c r="D88" s="5" t="s">
        <v>509</v>
      </c>
      <c r="E88" s="5" t="s">
        <v>510</v>
      </c>
      <c r="F88" s="5" t="s">
        <v>511</v>
      </c>
      <c r="G88" s="5" t="s">
        <v>512</v>
      </c>
      <c r="H88" s="5">
        <v>1050632</v>
      </c>
      <c r="I88" s="11" t="s">
        <v>73</v>
      </c>
      <c r="J88" s="11" t="s">
        <v>513</v>
      </c>
      <c r="K88" s="5" t="s">
        <v>22</v>
      </c>
      <c r="L88" s="4">
        <v>13897327</v>
      </c>
    </row>
    <row r="89" spans="1:12">
      <c r="A89" s="4">
        <v>15899732</v>
      </c>
      <c r="B89" s="4" t="s">
        <v>514</v>
      </c>
      <c r="C89" s="5" t="s">
        <v>515</v>
      </c>
      <c r="D89" s="5" t="s">
        <v>61</v>
      </c>
      <c r="E89" s="5" t="s">
        <v>516</v>
      </c>
      <c r="F89" s="5" t="s">
        <v>517</v>
      </c>
      <c r="G89" s="6" t="s">
        <v>518</v>
      </c>
      <c r="H89" s="5">
        <v>1050556</v>
      </c>
      <c r="I89" s="8" t="s">
        <v>161</v>
      </c>
      <c r="J89" s="19" t="s">
        <v>519</v>
      </c>
      <c r="K89" s="5" t="s">
        <v>22</v>
      </c>
      <c r="L89" s="4">
        <v>15899732</v>
      </c>
    </row>
    <row r="90" spans="1:12">
      <c r="A90" s="4">
        <v>8771787</v>
      </c>
      <c r="B90" s="4" t="s">
        <v>520</v>
      </c>
      <c r="C90" s="5" t="s">
        <v>521</v>
      </c>
      <c r="D90" s="5" t="s">
        <v>522</v>
      </c>
      <c r="E90" s="5" t="s">
        <v>523</v>
      </c>
      <c r="F90" s="5" t="s">
        <v>524</v>
      </c>
      <c r="G90" s="5" t="s">
        <v>525</v>
      </c>
      <c r="H90" s="5">
        <v>1050555</v>
      </c>
      <c r="I90" s="20" t="s">
        <v>161</v>
      </c>
      <c r="J90" s="20" t="s">
        <v>21</v>
      </c>
      <c r="K90" s="5" t="s">
        <v>22</v>
      </c>
      <c r="L90" s="4">
        <v>8771787</v>
      </c>
    </row>
    <row r="91" spans="1:12">
      <c r="A91" s="4">
        <v>12504270</v>
      </c>
      <c r="B91" s="4" t="s">
        <v>526</v>
      </c>
      <c r="C91" s="5" t="s">
        <v>527</v>
      </c>
      <c r="D91" s="5" t="s">
        <v>528</v>
      </c>
      <c r="E91" s="5" t="s">
        <v>529</v>
      </c>
      <c r="F91" s="5" t="s">
        <v>530</v>
      </c>
      <c r="G91" s="5" t="s">
        <v>531</v>
      </c>
      <c r="H91" s="5">
        <v>1050554</v>
      </c>
      <c r="I91" s="8" t="s">
        <v>2</v>
      </c>
      <c r="J91" s="8" t="s">
        <v>147</v>
      </c>
      <c r="K91" s="5" t="s">
        <v>22</v>
      </c>
      <c r="L91" s="4">
        <v>12504270</v>
      </c>
    </row>
    <row r="92" spans="1:12">
      <c r="A92" s="4">
        <v>13769935</v>
      </c>
      <c r="B92" s="4" t="s">
        <v>532</v>
      </c>
      <c r="C92" s="5" t="s">
        <v>533</v>
      </c>
      <c r="D92" s="5" t="s">
        <v>120</v>
      </c>
      <c r="E92" s="5" t="s">
        <v>534</v>
      </c>
      <c r="F92" s="5" t="s">
        <v>535</v>
      </c>
      <c r="G92" s="5" t="s">
        <v>536</v>
      </c>
      <c r="H92" s="5">
        <v>1050632</v>
      </c>
      <c r="I92" s="11" t="s">
        <v>73</v>
      </c>
      <c r="J92" s="11" t="s">
        <v>74</v>
      </c>
      <c r="K92" s="5" t="s">
        <v>22</v>
      </c>
      <c r="L92" s="4">
        <v>13769935</v>
      </c>
    </row>
    <row r="93" spans="1:12">
      <c r="A93" s="4">
        <v>8025043</v>
      </c>
      <c r="B93" s="4" t="s">
        <v>537</v>
      </c>
      <c r="C93" s="5" t="s">
        <v>538</v>
      </c>
      <c r="D93" s="5" t="s">
        <v>237</v>
      </c>
      <c r="E93" s="5" t="s">
        <v>539</v>
      </c>
      <c r="F93" s="5" t="s">
        <v>540</v>
      </c>
      <c r="G93" s="6" t="s">
        <v>541</v>
      </c>
      <c r="H93" s="5">
        <v>1050551</v>
      </c>
      <c r="I93" s="8" t="s">
        <v>321</v>
      </c>
      <c r="J93" s="8" t="s">
        <v>249</v>
      </c>
      <c r="K93" s="5" t="s">
        <v>22</v>
      </c>
      <c r="L93" s="4">
        <v>8025043</v>
      </c>
    </row>
    <row r="94" spans="1:12">
      <c r="A94" s="4">
        <v>10970380</v>
      </c>
      <c r="B94" s="4" t="s">
        <v>542</v>
      </c>
      <c r="C94" s="5" t="s">
        <v>538</v>
      </c>
      <c r="D94" s="5" t="s">
        <v>33</v>
      </c>
      <c r="E94" s="5" t="s">
        <v>543</v>
      </c>
      <c r="F94" s="5" t="s">
        <v>544</v>
      </c>
      <c r="G94" s="5" t="s">
        <v>545</v>
      </c>
      <c r="H94" s="5">
        <v>1050127</v>
      </c>
      <c r="I94" s="8" t="s">
        <v>29</v>
      </c>
      <c r="J94" s="8" t="s">
        <v>37</v>
      </c>
      <c r="K94" s="5" t="s">
        <v>22</v>
      </c>
      <c r="L94" s="4">
        <v>10970380</v>
      </c>
    </row>
    <row r="95" spans="1:12">
      <c r="A95" s="4">
        <v>11873201</v>
      </c>
      <c r="B95" s="4" t="s">
        <v>546</v>
      </c>
      <c r="C95" s="5" t="s">
        <v>547</v>
      </c>
      <c r="D95" s="5" t="s">
        <v>548</v>
      </c>
      <c r="E95" s="5" t="s">
        <v>257</v>
      </c>
      <c r="F95" s="5" t="s">
        <v>549</v>
      </c>
      <c r="G95" s="5" t="s">
        <v>550</v>
      </c>
      <c r="H95" s="5">
        <v>1050127</v>
      </c>
      <c r="I95" s="8" t="s">
        <v>29</v>
      </c>
      <c r="J95" s="8" t="s">
        <v>37</v>
      </c>
      <c r="K95" s="5" t="s">
        <v>22</v>
      </c>
      <c r="L95" s="4">
        <v>11873201</v>
      </c>
    </row>
    <row r="96" spans="1:12">
      <c r="A96" s="4">
        <v>9878189</v>
      </c>
      <c r="B96" s="4" t="s">
        <v>551</v>
      </c>
      <c r="C96" s="5" t="s">
        <v>552</v>
      </c>
      <c r="D96" s="5" t="s">
        <v>313</v>
      </c>
      <c r="E96" s="5" t="s">
        <v>553</v>
      </c>
      <c r="F96" s="5" t="s">
        <v>554</v>
      </c>
      <c r="G96" s="5" t="s">
        <v>555</v>
      </c>
      <c r="H96" s="5">
        <v>1050556</v>
      </c>
      <c r="I96" s="8" t="s">
        <v>161</v>
      </c>
      <c r="J96" s="19" t="s">
        <v>519</v>
      </c>
      <c r="K96" s="5" t="s">
        <v>22</v>
      </c>
      <c r="L96" s="4">
        <v>9878189</v>
      </c>
    </row>
    <row r="97" spans="1:12">
      <c r="A97" s="4">
        <v>9253701</v>
      </c>
      <c r="B97" s="4" t="s">
        <v>556</v>
      </c>
      <c r="C97" s="5" t="s">
        <v>552</v>
      </c>
      <c r="D97" s="5" t="s">
        <v>557</v>
      </c>
      <c r="E97" s="5" t="s">
        <v>558</v>
      </c>
      <c r="F97" s="5" t="s">
        <v>559</v>
      </c>
      <c r="G97" s="6" t="s">
        <v>560</v>
      </c>
      <c r="H97" s="5">
        <v>1050615</v>
      </c>
      <c r="I97" s="8" t="s">
        <v>87</v>
      </c>
      <c r="J97" s="8" t="s">
        <v>249</v>
      </c>
      <c r="K97" s="5" t="s">
        <v>22</v>
      </c>
      <c r="L97" s="4">
        <v>9253701</v>
      </c>
    </row>
    <row r="98" spans="1:12">
      <c r="A98" s="4">
        <v>14151454</v>
      </c>
      <c r="B98" s="4" t="s">
        <v>561</v>
      </c>
      <c r="C98" s="5" t="s">
        <v>150</v>
      </c>
      <c r="D98" s="5" t="s">
        <v>562</v>
      </c>
      <c r="E98" s="5" t="s">
        <v>563</v>
      </c>
      <c r="F98" s="5" t="s">
        <v>564</v>
      </c>
      <c r="G98" s="5" t="s">
        <v>565</v>
      </c>
      <c r="H98" s="9">
        <v>1050603</v>
      </c>
      <c r="I98" s="21" t="s">
        <v>566</v>
      </c>
      <c r="J98" s="21" t="s">
        <v>566</v>
      </c>
      <c r="K98" s="5" t="s">
        <v>22</v>
      </c>
      <c r="L98" s="4">
        <v>14151454</v>
      </c>
    </row>
    <row r="99" spans="1:12">
      <c r="A99" s="4">
        <v>10869222</v>
      </c>
      <c r="B99" s="4" t="s">
        <v>567</v>
      </c>
      <c r="C99" s="5" t="s">
        <v>568</v>
      </c>
      <c r="D99" s="5" t="s">
        <v>569</v>
      </c>
      <c r="E99" s="5" t="s">
        <v>165</v>
      </c>
      <c r="F99" s="5" t="s">
        <v>570</v>
      </c>
      <c r="G99" s="5" t="s">
        <v>571</v>
      </c>
      <c r="H99" s="5">
        <v>1050127</v>
      </c>
      <c r="I99" s="8" t="s">
        <v>29</v>
      </c>
      <c r="J99" s="8" t="s">
        <v>37</v>
      </c>
      <c r="K99" s="5" t="s">
        <v>22</v>
      </c>
      <c r="L99" s="4">
        <v>10869222</v>
      </c>
    </row>
    <row r="100" spans="1:12">
      <c r="A100" s="4">
        <v>11306351</v>
      </c>
      <c r="B100" s="4" t="s">
        <v>572</v>
      </c>
      <c r="C100" s="5" t="s">
        <v>573</v>
      </c>
      <c r="D100" s="5" t="s">
        <v>574</v>
      </c>
      <c r="E100" s="5" t="s">
        <v>575</v>
      </c>
      <c r="F100" s="5" t="s">
        <v>576</v>
      </c>
      <c r="G100" s="5" t="s">
        <v>577</v>
      </c>
      <c r="H100" s="5">
        <v>1050126</v>
      </c>
      <c r="I100" s="8" t="s">
        <v>29</v>
      </c>
      <c r="J100" s="8" t="s">
        <v>30</v>
      </c>
      <c r="K100" s="5" t="s">
        <v>22</v>
      </c>
      <c r="L100" s="4">
        <v>11306351</v>
      </c>
    </row>
    <row r="101" spans="1:12">
      <c r="A101" s="4">
        <v>12740284</v>
      </c>
      <c r="B101" s="4" t="s">
        <v>578</v>
      </c>
      <c r="C101" s="5" t="s">
        <v>579</v>
      </c>
      <c r="D101" s="5" t="s">
        <v>580</v>
      </c>
      <c r="E101" s="5" t="s">
        <v>581</v>
      </c>
      <c r="F101" s="5" t="s">
        <v>582</v>
      </c>
      <c r="G101" s="6" t="s">
        <v>583</v>
      </c>
      <c r="H101" s="5">
        <v>1050556</v>
      </c>
      <c r="I101" s="8" t="s">
        <v>161</v>
      </c>
      <c r="J101" s="8" t="s">
        <v>66</v>
      </c>
      <c r="K101" s="5" t="s">
        <v>22</v>
      </c>
      <c r="L101" s="4">
        <v>12740284</v>
      </c>
    </row>
    <row r="102" spans="1:12">
      <c r="A102" s="4">
        <v>11370436</v>
      </c>
      <c r="B102" s="4" t="s">
        <v>584</v>
      </c>
      <c r="C102" s="5" t="s">
        <v>585</v>
      </c>
      <c r="D102" s="5" t="s">
        <v>132</v>
      </c>
      <c r="E102" s="5" t="s">
        <v>586</v>
      </c>
      <c r="F102" s="5" t="s">
        <v>587</v>
      </c>
      <c r="G102" s="5" t="s">
        <v>588</v>
      </c>
      <c r="H102" s="5">
        <v>1050633</v>
      </c>
      <c r="I102" s="8" t="s">
        <v>29</v>
      </c>
      <c r="J102" s="8" t="s">
        <v>130</v>
      </c>
      <c r="K102" s="5" t="s">
        <v>22</v>
      </c>
      <c r="L102" s="4">
        <v>11370436</v>
      </c>
    </row>
    <row r="103" spans="1:12">
      <c r="A103" s="4">
        <v>9081025</v>
      </c>
      <c r="B103" s="4" t="s">
        <v>589</v>
      </c>
      <c r="C103" s="5" t="s">
        <v>585</v>
      </c>
      <c r="D103" s="5" t="s">
        <v>132</v>
      </c>
      <c r="E103" s="5" t="s">
        <v>590</v>
      </c>
      <c r="F103" s="5" t="s">
        <v>591</v>
      </c>
      <c r="G103" s="5" t="s">
        <v>592</v>
      </c>
      <c r="H103" s="5">
        <v>1050633</v>
      </c>
      <c r="I103" s="8" t="s">
        <v>29</v>
      </c>
      <c r="J103" s="8" t="s">
        <v>130</v>
      </c>
      <c r="K103" s="5" t="s">
        <v>22</v>
      </c>
      <c r="L103" s="4">
        <v>9081025</v>
      </c>
    </row>
    <row r="104" spans="1:12">
      <c r="A104" s="4">
        <v>13835848</v>
      </c>
      <c r="B104" s="4" t="s">
        <v>593</v>
      </c>
      <c r="C104" s="5" t="s">
        <v>594</v>
      </c>
      <c r="D104" s="5" t="s">
        <v>595</v>
      </c>
      <c r="E104" s="5" t="s">
        <v>596</v>
      </c>
      <c r="F104" s="5" t="s">
        <v>597</v>
      </c>
      <c r="G104" s="5" t="s">
        <v>598</v>
      </c>
      <c r="H104" s="5">
        <v>1050581</v>
      </c>
      <c r="I104" s="8" t="s">
        <v>29</v>
      </c>
      <c r="J104" s="8" t="s">
        <v>272</v>
      </c>
      <c r="K104" s="5" t="s">
        <v>22</v>
      </c>
      <c r="L104" s="4">
        <v>13835848</v>
      </c>
    </row>
    <row r="105" spans="1:12">
      <c r="A105" s="4">
        <v>13077995</v>
      </c>
      <c r="B105" s="4" t="s">
        <v>599</v>
      </c>
      <c r="C105" s="5" t="s">
        <v>25</v>
      </c>
      <c r="D105" s="5" t="s">
        <v>600</v>
      </c>
      <c r="E105" s="7" t="s">
        <v>601</v>
      </c>
      <c r="F105" s="5" t="s">
        <v>602</v>
      </c>
      <c r="G105" s="6" t="s">
        <v>603</v>
      </c>
      <c r="H105" s="5">
        <v>1050529</v>
      </c>
      <c r="I105" s="8" t="s">
        <v>604</v>
      </c>
      <c r="J105" s="8" t="s">
        <v>604</v>
      </c>
      <c r="K105" s="5" t="s">
        <v>22</v>
      </c>
      <c r="L105" s="4">
        <v>13077995</v>
      </c>
    </row>
    <row r="106" spans="1:12">
      <c r="A106" s="4">
        <v>14005554</v>
      </c>
      <c r="B106" s="4" t="s">
        <v>605</v>
      </c>
      <c r="C106" s="5" t="s">
        <v>606</v>
      </c>
      <c r="D106" s="5" t="s">
        <v>607</v>
      </c>
      <c r="E106" s="5" t="s">
        <v>339</v>
      </c>
      <c r="F106" s="5" t="s">
        <v>608</v>
      </c>
      <c r="G106" s="5" t="s">
        <v>609</v>
      </c>
      <c r="H106" s="5">
        <v>1050556</v>
      </c>
      <c r="I106" s="8" t="s">
        <v>161</v>
      </c>
      <c r="J106" s="8" t="s">
        <v>66</v>
      </c>
      <c r="K106" s="5" t="s">
        <v>22</v>
      </c>
      <c r="L106" s="4">
        <v>14005554</v>
      </c>
    </row>
    <row r="107" spans="1:12">
      <c r="A107" s="4">
        <v>10157067</v>
      </c>
      <c r="B107" s="4" t="s">
        <v>610</v>
      </c>
      <c r="C107" s="5" t="s">
        <v>369</v>
      </c>
      <c r="D107" s="5" t="s">
        <v>611</v>
      </c>
      <c r="E107" s="5" t="s">
        <v>612</v>
      </c>
      <c r="F107" s="5" t="s">
        <v>613</v>
      </c>
      <c r="G107" s="5" t="s">
        <v>614</v>
      </c>
      <c r="H107" s="5">
        <v>1050126</v>
      </c>
      <c r="I107" s="8" t="s">
        <v>29</v>
      </c>
      <c r="J107" s="8" t="s">
        <v>30</v>
      </c>
      <c r="K107" s="5" t="s">
        <v>22</v>
      </c>
      <c r="L107" s="4">
        <v>10157067</v>
      </c>
    </row>
    <row r="108" spans="1:12">
      <c r="A108" s="4">
        <v>17755770</v>
      </c>
      <c r="B108" s="4" t="s">
        <v>615</v>
      </c>
      <c r="C108" s="5" t="s">
        <v>616</v>
      </c>
      <c r="D108" s="5" t="s">
        <v>616</v>
      </c>
      <c r="E108" s="5" t="s">
        <v>617</v>
      </c>
      <c r="F108" s="5" t="s">
        <v>618</v>
      </c>
      <c r="G108" s="6" t="s">
        <v>619</v>
      </c>
      <c r="H108" s="5">
        <v>1050615</v>
      </c>
      <c r="I108" s="8" t="s">
        <v>87</v>
      </c>
      <c r="J108" s="11" t="s">
        <v>21</v>
      </c>
      <c r="K108" s="5" t="s">
        <v>22</v>
      </c>
      <c r="L108" s="4">
        <v>17755770</v>
      </c>
    </row>
    <row r="109" spans="1:12">
      <c r="A109" s="4">
        <v>13834251</v>
      </c>
      <c r="B109" s="4" t="s">
        <v>620</v>
      </c>
      <c r="C109" s="5" t="s">
        <v>296</v>
      </c>
      <c r="D109" s="5" t="s">
        <v>268</v>
      </c>
      <c r="E109" s="5" t="s">
        <v>621</v>
      </c>
      <c r="F109" s="5" t="s">
        <v>622</v>
      </c>
      <c r="G109" s="5" t="s">
        <v>623</v>
      </c>
      <c r="H109" s="5">
        <v>1050633</v>
      </c>
      <c r="I109" s="8" t="s">
        <v>29</v>
      </c>
      <c r="J109" s="8" t="s">
        <v>130</v>
      </c>
      <c r="K109" s="5" t="s">
        <v>22</v>
      </c>
      <c r="L109" s="4">
        <v>13834251</v>
      </c>
    </row>
    <row r="110" spans="1:12">
      <c r="A110" s="4">
        <v>16266873</v>
      </c>
      <c r="B110" s="4" t="s">
        <v>624</v>
      </c>
      <c r="C110" s="5" t="s">
        <v>625</v>
      </c>
      <c r="D110" s="5" t="s">
        <v>625</v>
      </c>
      <c r="E110" s="5" t="s">
        <v>257</v>
      </c>
      <c r="F110" s="5" t="s">
        <v>626</v>
      </c>
      <c r="G110" s="5" t="s">
        <v>627</v>
      </c>
      <c r="H110" s="5">
        <v>1050555</v>
      </c>
      <c r="I110" s="22" t="s">
        <v>161</v>
      </c>
      <c r="J110" s="22" t="s">
        <v>21</v>
      </c>
      <c r="K110" s="5" t="s">
        <v>22</v>
      </c>
      <c r="L110" s="4">
        <v>16266873</v>
      </c>
    </row>
    <row r="111" spans="1:12">
      <c r="A111" s="4">
        <v>10407614</v>
      </c>
      <c r="B111" s="4" t="s">
        <v>628</v>
      </c>
      <c r="C111" s="5" t="s">
        <v>629</v>
      </c>
      <c r="D111" s="5" t="s">
        <v>629</v>
      </c>
      <c r="E111" s="5" t="s">
        <v>630</v>
      </c>
      <c r="F111" s="5" t="s">
        <v>631</v>
      </c>
      <c r="G111" s="5" t="s">
        <v>632</v>
      </c>
      <c r="H111" s="5">
        <v>1050127</v>
      </c>
      <c r="I111" s="8" t="s">
        <v>29</v>
      </c>
      <c r="J111" s="8" t="s">
        <v>37</v>
      </c>
      <c r="K111" s="5" t="s">
        <v>22</v>
      </c>
      <c r="L111" s="4">
        <v>10407614</v>
      </c>
    </row>
    <row r="112" spans="1:12">
      <c r="A112" s="4">
        <v>13700526</v>
      </c>
      <c r="B112" s="4" t="s">
        <v>633</v>
      </c>
      <c r="C112" s="5" t="s">
        <v>634</v>
      </c>
      <c r="D112" s="5" t="s">
        <v>557</v>
      </c>
      <c r="E112" s="5" t="s">
        <v>635</v>
      </c>
      <c r="F112" s="5" t="s">
        <v>636</v>
      </c>
      <c r="G112" s="6" t="s">
        <v>637</v>
      </c>
      <c r="H112" s="5">
        <v>1050615</v>
      </c>
      <c r="I112" s="8" t="s">
        <v>87</v>
      </c>
      <c r="J112" s="8" t="s">
        <v>249</v>
      </c>
      <c r="K112" s="5" t="s">
        <v>22</v>
      </c>
      <c r="L112" s="4">
        <v>13700526</v>
      </c>
    </row>
    <row r="113" spans="1:12">
      <c r="A113" s="4">
        <v>12690098</v>
      </c>
      <c r="B113" s="4" t="s">
        <v>638</v>
      </c>
      <c r="C113" s="5" t="s">
        <v>634</v>
      </c>
      <c r="D113" s="5" t="s">
        <v>639</v>
      </c>
      <c r="E113" s="5" t="s">
        <v>640</v>
      </c>
      <c r="F113" s="5" t="s">
        <v>641</v>
      </c>
      <c r="G113" s="10" t="s">
        <v>642</v>
      </c>
      <c r="H113" s="5">
        <v>1050610</v>
      </c>
      <c r="I113" s="11" t="s">
        <v>65</v>
      </c>
      <c r="J113" s="11" t="s">
        <v>162</v>
      </c>
      <c r="K113" s="5" t="s">
        <v>22</v>
      </c>
      <c r="L113" s="4">
        <v>12690098</v>
      </c>
    </row>
    <row r="114" spans="1:12">
      <c r="A114" s="4">
        <v>8585356</v>
      </c>
      <c r="B114" s="4" t="s">
        <v>643</v>
      </c>
      <c r="C114" s="5" t="s">
        <v>634</v>
      </c>
      <c r="D114" s="5" t="s">
        <v>644</v>
      </c>
      <c r="E114" s="5" t="s">
        <v>645</v>
      </c>
      <c r="F114" s="5" t="s">
        <v>646</v>
      </c>
      <c r="G114" s="5" t="s">
        <v>647</v>
      </c>
      <c r="H114" s="9">
        <v>1050603</v>
      </c>
      <c r="I114" s="21" t="s">
        <v>566</v>
      </c>
      <c r="J114" s="21" t="s">
        <v>566</v>
      </c>
      <c r="K114" s="5" t="s">
        <v>22</v>
      </c>
      <c r="L114" s="4">
        <v>8585356</v>
      </c>
    </row>
    <row r="115" spans="1:12">
      <c r="A115" s="4">
        <v>11994656</v>
      </c>
      <c r="B115" s="4" t="s">
        <v>648</v>
      </c>
      <c r="C115" s="5" t="s">
        <v>595</v>
      </c>
      <c r="D115" s="5" t="s">
        <v>150</v>
      </c>
      <c r="E115" s="5" t="s">
        <v>649</v>
      </c>
      <c r="F115" s="5" t="s">
        <v>650</v>
      </c>
      <c r="G115" s="5" t="s">
        <v>651</v>
      </c>
      <c r="H115" s="5">
        <v>1050632</v>
      </c>
      <c r="I115" s="8" t="s">
        <v>73</v>
      </c>
      <c r="J115" s="8" t="s">
        <v>652</v>
      </c>
      <c r="K115" s="5" t="s">
        <v>22</v>
      </c>
      <c r="L115" s="4">
        <v>11994656</v>
      </c>
    </row>
    <row r="116" spans="1:12">
      <c r="A116" s="4">
        <v>13552988</v>
      </c>
      <c r="B116" s="4" t="s">
        <v>653</v>
      </c>
      <c r="C116" s="5" t="s">
        <v>654</v>
      </c>
      <c r="D116" s="5" t="s">
        <v>655</v>
      </c>
      <c r="E116" s="5" t="s">
        <v>656</v>
      </c>
      <c r="F116" s="5" t="s">
        <v>657</v>
      </c>
      <c r="G116" s="5" t="s">
        <v>658</v>
      </c>
      <c r="H116" s="5">
        <v>1050615</v>
      </c>
      <c r="I116" s="8" t="s">
        <v>87</v>
      </c>
      <c r="J116" s="11" t="s">
        <v>21</v>
      </c>
      <c r="K116" s="5" t="s">
        <v>22</v>
      </c>
      <c r="L116" s="4">
        <v>13552988</v>
      </c>
    </row>
    <row r="117" spans="1:12">
      <c r="A117" s="4">
        <v>9488820</v>
      </c>
      <c r="B117" s="4" t="s">
        <v>659</v>
      </c>
      <c r="C117" s="5" t="s">
        <v>33</v>
      </c>
      <c r="D117" s="5" t="s">
        <v>156</v>
      </c>
      <c r="E117" s="5" t="s">
        <v>165</v>
      </c>
      <c r="F117" s="5" t="s">
        <v>660</v>
      </c>
      <c r="G117" s="5" t="s">
        <v>661</v>
      </c>
      <c r="H117" s="7">
        <v>1050554</v>
      </c>
      <c r="I117" s="8" t="s">
        <v>2</v>
      </c>
      <c r="J117" s="8" t="s">
        <v>21</v>
      </c>
      <c r="K117" s="5" t="s">
        <v>22</v>
      </c>
      <c r="L117" s="4">
        <v>9488820</v>
      </c>
    </row>
    <row r="118" spans="1:12">
      <c r="A118" s="4">
        <v>9613720</v>
      </c>
      <c r="B118" s="4" t="s">
        <v>662</v>
      </c>
      <c r="C118" s="5" t="s">
        <v>33</v>
      </c>
      <c r="D118" s="5" t="s">
        <v>83</v>
      </c>
      <c r="E118" s="5" t="s">
        <v>663</v>
      </c>
      <c r="F118" s="5" t="s">
        <v>664</v>
      </c>
      <c r="G118" s="5" t="s">
        <v>665</v>
      </c>
      <c r="H118" s="5">
        <v>1050616</v>
      </c>
      <c r="I118" s="11" t="s">
        <v>87</v>
      </c>
      <c r="J118" s="11" t="s">
        <v>391</v>
      </c>
      <c r="K118" s="5" t="s">
        <v>22</v>
      </c>
      <c r="L118" s="4">
        <v>9613720</v>
      </c>
    </row>
    <row r="119" spans="1:12">
      <c r="A119" s="4">
        <v>11659510</v>
      </c>
      <c r="B119" s="4" t="s">
        <v>666</v>
      </c>
      <c r="C119" s="5" t="s">
        <v>33</v>
      </c>
      <c r="D119" s="5" t="s">
        <v>33</v>
      </c>
      <c r="E119" s="5" t="s">
        <v>667</v>
      </c>
      <c r="F119" s="5" t="s">
        <v>668</v>
      </c>
      <c r="G119" s="23" t="s">
        <v>669</v>
      </c>
      <c r="H119" s="5">
        <v>1050126</v>
      </c>
      <c r="I119" s="8" t="s">
        <v>29</v>
      </c>
      <c r="J119" s="8" t="s">
        <v>30</v>
      </c>
      <c r="K119" s="5" t="s">
        <v>22</v>
      </c>
      <c r="L119" s="4">
        <v>11659510</v>
      </c>
    </row>
    <row r="120" spans="1:12">
      <c r="A120" s="4">
        <v>11124307</v>
      </c>
      <c r="B120" s="4" t="s">
        <v>670</v>
      </c>
      <c r="C120" s="5" t="s">
        <v>33</v>
      </c>
      <c r="D120" s="5" t="s">
        <v>671</v>
      </c>
      <c r="E120" s="5" t="s">
        <v>672</v>
      </c>
      <c r="F120" s="5" t="s">
        <v>673</v>
      </c>
      <c r="G120" s="5" t="s">
        <v>674</v>
      </c>
      <c r="H120" s="5">
        <v>1050162</v>
      </c>
      <c r="I120" s="8" t="s">
        <v>29</v>
      </c>
      <c r="J120" s="8" t="s">
        <v>80</v>
      </c>
      <c r="K120" s="5" t="s">
        <v>22</v>
      </c>
      <c r="L120" s="4">
        <v>11124307</v>
      </c>
    </row>
    <row r="121" spans="1:12">
      <c r="A121" s="4">
        <v>13284709</v>
      </c>
      <c r="B121" s="4" t="s">
        <v>675</v>
      </c>
      <c r="C121" s="5" t="s">
        <v>33</v>
      </c>
      <c r="D121" s="5" t="s">
        <v>580</v>
      </c>
      <c r="E121" s="5" t="s">
        <v>676</v>
      </c>
      <c r="F121" s="5" t="s">
        <v>677</v>
      </c>
      <c r="G121" s="6" t="s">
        <v>678</v>
      </c>
      <c r="H121" s="5">
        <v>1050556</v>
      </c>
      <c r="I121" s="8" t="s">
        <v>161</v>
      </c>
      <c r="J121" s="8" t="s">
        <v>147</v>
      </c>
      <c r="K121" s="5" t="s">
        <v>22</v>
      </c>
      <c r="L121" s="4">
        <v>13284709</v>
      </c>
    </row>
    <row r="122" spans="1:12">
      <c r="A122" s="4">
        <v>15437429</v>
      </c>
      <c r="B122" s="4" t="s">
        <v>679</v>
      </c>
      <c r="C122" s="5" t="s">
        <v>680</v>
      </c>
      <c r="D122" s="5" t="s">
        <v>681</v>
      </c>
      <c r="E122" s="5" t="s">
        <v>682</v>
      </c>
      <c r="F122" s="5" t="s">
        <v>683</v>
      </c>
      <c r="G122" s="5" t="s">
        <v>684</v>
      </c>
      <c r="H122" s="5">
        <v>1050574</v>
      </c>
      <c r="I122" s="11" t="s">
        <v>73</v>
      </c>
      <c r="J122" s="11" t="s">
        <v>685</v>
      </c>
      <c r="K122" s="5" t="s">
        <v>22</v>
      </c>
      <c r="L122" s="4">
        <v>15437429</v>
      </c>
    </row>
    <row r="123" spans="1:12">
      <c r="A123" s="4">
        <v>11754811</v>
      </c>
      <c r="B123" s="4" t="s">
        <v>686</v>
      </c>
      <c r="C123" s="5" t="s">
        <v>687</v>
      </c>
      <c r="D123" s="5" t="s">
        <v>179</v>
      </c>
      <c r="E123" s="5" t="s">
        <v>688</v>
      </c>
      <c r="F123" s="5" t="s">
        <v>689</v>
      </c>
      <c r="G123" s="5" t="s">
        <v>690</v>
      </c>
      <c r="H123" s="5">
        <v>1050581</v>
      </c>
      <c r="I123" s="8" t="s">
        <v>29</v>
      </c>
      <c r="J123" s="8" t="s">
        <v>691</v>
      </c>
      <c r="K123" s="5" t="s">
        <v>22</v>
      </c>
      <c r="L123" s="4">
        <v>11754811</v>
      </c>
    </row>
    <row r="124" spans="1:12">
      <c r="A124" s="4">
        <v>12828475</v>
      </c>
      <c r="B124" s="4" t="s">
        <v>692</v>
      </c>
      <c r="C124" s="5" t="s">
        <v>687</v>
      </c>
      <c r="D124" s="5" t="s">
        <v>179</v>
      </c>
      <c r="E124" s="5" t="s">
        <v>693</v>
      </c>
      <c r="F124" s="5" t="s">
        <v>694</v>
      </c>
      <c r="G124" s="5" t="s">
        <v>695</v>
      </c>
      <c r="H124" s="5">
        <v>1050506</v>
      </c>
      <c r="I124" s="8" t="s">
        <v>29</v>
      </c>
      <c r="J124" s="8" t="s">
        <v>52</v>
      </c>
      <c r="K124" s="5" t="s">
        <v>22</v>
      </c>
      <c r="L124" s="4">
        <v>12828475</v>
      </c>
    </row>
    <row r="125" spans="1:12">
      <c r="A125" s="4">
        <v>11523497</v>
      </c>
      <c r="B125" s="4" t="s">
        <v>696</v>
      </c>
      <c r="C125" s="5" t="s">
        <v>687</v>
      </c>
      <c r="D125" s="5" t="s">
        <v>179</v>
      </c>
      <c r="E125" s="5" t="s">
        <v>339</v>
      </c>
      <c r="F125" s="5" t="s">
        <v>697</v>
      </c>
      <c r="G125" s="5" t="s">
        <v>698</v>
      </c>
      <c r="H125" s="5">
        <v>1050581</v>
      </c>
      <c r="I125" s="8" t="s">
        <v>29</v>
      </c>
      <c r="J125" s="8" t="s">
        <v>272</v>
      </c>
      <c r="K125" s="5" t="s">
        <v>22</v>
      </c>
      <c r="L125" s="4">
        <v>11523497</v>
      </c>
    </row>
    <row r="126" spans="1:12">
      <c r="A126" s="4">
        <v>7481602</v>
      </c>
      <c r="B126" s="4" t="s">
        <v>699</v>
      </c>
      <c r="C126" s="5" t="s">
        <v>687</v>
      </c>
      <c r="D126" s="5" t="s">
        <v>700</v>
      </c>
      <c r="E126" s="5" t="s">
        <v>701</v>
      </c>
      <c r="F126" s="5" t="s">
        <v>702</v>
      </c>
      <c r="G126" s="5" t="s">
        <v>703</v>
      </c>
      <c r="H126" s="5">
        <v>1050126</v>
      </c>
      <c r="I126" s="8" t="s">
        <v>29</v>
      </c>
      <c r="J126" s="8" t="s">
        <v>30</v>
      </c>
      <c r="K126" s="5" t="s">
        <v>22</v>
      </c>
      <c r="L126" s="4">
        <v>7481602</v>
      </c>
    </row>
    <row r="127" spans="1:12">
      <c r="A127" s="4">
        <v>12934132</v>
      </c>
      <c r="B127" s="4" t="s">
        <v>704</v>
      </c>
      <c r="C127" s="5" t="s">
        <v>705</v>
      </c>
      <c r="D127" s="5" t="s">
        <v>706</v>
      </c>
      <c r="E127" s="5" t="s">
        <v>707</v>
      </c>
      <c r="F127" s="5" t="s">
        <v>708</v>
      </c>
      <c r="G127" s="5" t="s">
        <v>709</v>
      </c>
      <c r="H127" s="9">
        <v>1050603</v>
      </c>
      <c r="I127" s="11" t="s">
        <v>566</v>
      </c>
      <c r="J127" s="11" t="s">
        <v>566</v>
      </c>
      <c r="K127" s="5" t="s">
        <v>22</v>
      </c>
      <c r="L127" s="4">
        <v>12934132</v>
      </c>
    </row>
    <row r="128" spans="1:12">
      <c r="A128" s="4">
        <v>4776546</v>
      </c>
      <c r="B128" s="4" t="s">
        <v>710</v>
      </c>
      <c r="C128" s="5" t="s">
        <v>711</v>
      </c>
      <c r="D128" s="5" t="s">
        <v>712</v>
      </c>
      <c r="E128" s="5" t="s">
        <v>713</v>
      </c>
      <c r="F128" s="5" t="s">
        <v>714</v>
      </c>
      <c r="G128" s="6" t="s">
        <v>715</v>
      </c>
      <c r="H128" s="5">
        <v>1050616</v>
      </c>
      <c r="I128" s="11" t="s">
        <v>87</v>
      </c>
      <c r="J128" s="11" t="s">
        <v>66</v>
      </c>
      <c r="K128" s="5" t="s">
        <v>22</v>
      </c>
      <c r="L128" s="4">
        <v>4776546</v>
      </c>
    </row>
    <row r="129" spans="1:12">
      <c r="A129" s="4">
        <v>10746078</v>
      </c>
      <c r="B129" s="4" t="s">
        <v>716</v>
      </c>
      <c r="C129" s="5" t="s">
        <v>509</v>
      </c>
      <c r="D129" s="5" t="s">
        <v>717</v>
      </c>
      <c r="E129" s="5" t="s">
        <v>718</v>
      </c>
      <c r="F129" s="5" t="s">
        <v>719</v>
      </c>
      <c r="G129" s="5" t="s">
        <v>720</v>
      </c>
      <c r="H129" s="5">
        <v>1050574</v>
      </c>
      <c r="I129" s="11" t="s">
        <v>44</v>
      </c>
      <c r="J129" s="11" t="s">
        <v>45</v>
      </c>
      <c r="K129" s="5" t="s">
        <v>22</v>
      </c>
      <c r="L129" s="4">
        <v>10746078</v>
      </c>
    </row>
    <row r="130" spans="1:12">
      <c r="A130" s="4">
        <v>15823421</v>
      </c>
      <c r="B130" s="4" t="s">
        <v>721</v>
      </c>
      <c r="C130" s="5" t="s">
        <v>722</v>
      </c>
      <c r="D130" s="5" t="s">
        <v>722</v>
      </c>
      <c r="E130" s="5" t="s">
        <v>723</v>
      </c>
      <c r="F130" s="5" t="s">
        <v>724</v>
      </c>
      <c r="G130" s="5" t="s">
        <v>725</v>
      </c>
      <c r="H130" s="5">
        <v>1050552</v>
      </c>
      <c r="I130" s="8" t="s">
        <v>321</v>
      </c>
      <c r="J130" s="8" t="s">
        <v>162</v>
      </c>
      <c r="K130" s="5" t="s">
        <v>22</v>
      </c>
      <c r="L130" s="4">
        <v>15823421</v>
      </c>
    </row>
    <row r="131" spans="1:12">
      <c r="A131" s="4">
        <v>9503712</v>
      </c>
      <c r="B131" s="4" t="s">
        <v>726</v>
      </c>
      <c r="C131" s="5" t="s">
        <v>727</v>
      </c>
      <c r="D131" s="5" t="s">
        <v>69</v>
      </c>
      <c r="E131" s="5" t="s">
        <v>728</v>
      </c>
      <c r="F131" s="5" t="s">
        <v>729</v>
      </c>
      <c r="G131" s="5" t="s">
        <v>730</v>
      </c>
      <c r="H131" s="5">
        <v>1050557</v>
      </c>
      <c r="I131" s="8" t="s">
        <v>248</v>
      </c>
      <c r="J131" s="8" t="s">
        <v>249</v>
      </c>
      <c r="K131" s="5" t="s">
        <v>22</v>
      </c>
      <c r="L131" s="4">
        <v>9503712</v>
      </c>
    </row>
    <row r="132" spans="1:12">
      <c r="A132" s="4">
        <v>8272509</v>
      </c>
      <c r="B132" s="4" t="s">
        <v>731</v>
      </c>
      <c r="C132" s="5" t="s">
        <v>732</v>
      </c>
      <c r="D132" s="5" t="s">
        <v>732</v>
      </c>
      <c r="E132" s="5" t="s">
        <v>733</v>
      </c>
      <c r="F132" s="5" t="s">
        <v>734</v>
      </c>
      <c r="G132" s="6" t="s">
        <v>735</v>
      </c>
      <c r="H132" s="5">
        <v>1050616</v>
      </c>
      <c r="I132" s="8" t="s">
        <v>87</v>
      </c>
      <c r="J132" s="11" t="s">
        <v>21</v>
      </c>
      <c r="K132" s="5" t="s">
        <v>22</v>
      </c>
      <c r="L132" s="4">
        <v>8272509</v>
      </c>
    </row>
    <row r="133" spans="1:12">
      <c r="A133" s="4">
        <v>13681026</v>
      </c>
      <c r="B133" s="4" t="s">
        <v>736</v>
      </c>
      <c r="C133" s="5" t="s">
        <v>737</v>
      </c>
      <c r="D133" s="5" t="s">
        <v>738</v>
      </c>
      <c r="E133" s="5" t="s">
        <v>739</v>
      </c>
      <c r="F133" s="5" t="s">
        <v>740</v>
      </c>
      <c r="G133" s="5" t="s">
        <v>741</v>
      </c>
      <c r="H133" s="5">
        <v>1050581</v>
      </c>
      <c r="I133" s="8" t="s">
        <v>29</v>
      </c>
      <c r="J133" s="8" t="s">
        <v>272</v>
      </c>
      <c r="K133" s="5" t="s">
        <v>22</v>
      </c>
      <c r="L133" s="4">
        <v>13681026</v>
      </c>
    </row>
    <row r="134" spans="1:12">
      <c r="A134" s="4">
        <v>14017495</v>
      </c>
      <c r="B134" s="4" t="s">
        <v>742</v>
      </c>
      <c r="C134" s="5" t="s">
        <v>429</v>
      </c>
      <c r="D134" s="5" t="s">
        <v>179</v>
      </c>
      <c r="E134" s="5" t="s">
        <v>743</v>
      </c>
      <c r="F134" s="5" t="s">
        <v>744</v>
      </c>
      <c r="G134" s="5" t="s">
        <v>745</v>
      </c>
      <c r="H134" s="5">
        <v>1050126</v>
      </c>
      <c r="I134" s="8" t="s">
        <v>29</v>
      </c>
      <c r="J134" s="8" t="s">
        <v>30</v>
      </c>
      <c r="K134" s="5" t="s">
        <v>22</v>
      </c>
      <c r="L134" s="4">
        <v>14017495</v>
      </c>
    </row>
    <row r="135" spans="1:12">
      <c r="A135" s="4">
        <v>17543156</v>
      </c>
      <c r="B135" s="4" t="s">
        <v>746</v>
      </c>
      <c r="C135" s="5" t="s">
        <v>747</v>
      </c>
      <c r="D135" s="5" t="s">
        <v>748</v>
      </c>
      <c r="E135" s="5" t="s">
        <v>749</v>
      </c>
      <c r="F135" s="5" t="s">
        <v>750</v>
      </c>
      <c r="G135" s="5" t="s">
        <v>751</v>
      </c>
      <c r="H135" s="5">
        <v>1050609</v>
      </c>
      <c r="I135" s="8" t="s">
        <v>65</v>
      </c>
      <c r="J135" s="8" t="s">
        <v>21</v>
      </c>
      <c r="K135" s="5" t="s">
        <v>22</v>
      </c>
      <c r="L135" s="4">
        <v>17543156</v>
      </c>
    </row>
    <row r="136" spans="1:12">
      <c r="A136" s="4">
        <v>11054986</v>
      </c>
      <c r="B136" s="4" t="s">
        <v>752</v>
      </c>
      <c r="C136" s="5" t="s">
        <v>753</v>
      </c>
      <c r="D136" s="5" t="s">
        <v>754</v>
      </c>
      <c r="E136" s="5" t="s">
        <v>755</v>
      </c>
      <c r="F136" s="5" t="s">
        <v>756</v>
      </c>
      <c r="G136" s="5" t="s">
        <v>757</v>
      </c>
      <c r="H136" s="5">
        <v>1050554</v>
      </c>
      <c r="I136" s="8" t="s">
        <v>2</v>
      </c>
      <c r="J136" s="8" t="s">
        <v>147</v>
      </c>
      <c r="K136" s="5" t="s">
        <v>22</v>
      </c>
      <c r="L136" s="4">
        <v>11054986</v>
      </c>
    </row>
    <row r="137" spans="1:12">
      <c r="A137" s="4">
        <v>12898844</v>
      </c>
      <c r="B137" s="4" t="s">
        <v>758</v>
      </c>
      <c r="C137" s="5" t="s">
        <v>126</v>
      </c>
      <c r="D137" s="5" t="s">
        <v>759</v>
      </c>
      <c r="E137" s="5" t="s">
        <v>760</v>
      </c>
      <c r="F137" s="5" t="s">
        <v>761</v>
      </c>
      <c r="G137" s="5" t="s">
        <v>762</v>
      </c>
      <c r="H137" s="5">
        <v>1050604</v>
      </c>
      <c r="I137" s="8" t="s">
        <v>763</v>
      </c>
      <c r="J137" s="8" t="s">
        <v>763</v>
      </c>
      <c r="K137" s="5" t="s">
        <v>22</v>
      </c>
      <c r="L137" s="4">
        <v>12898844</v>
      </c>
    </row>
    <row r="138" spans="1:12">
      <c r="A138" s="4">
        <v>10876404</v>
      </c>
      <c r="B138" s="4" t="s">
        <v>764</v>
      </c>
      <c r="C138" s="5" t="s">
        <v>126</v>
      </c>
      <c r="D138" s="5" t="s">
        <v>765</v>
      </c>
      <c r="E138" s="5" t="s">
        <v>766</v>
      </c>
      <c r="F138" s="5" t="s">
        <v>767</v>
      </c>
      <c r="G138" s="5" t="s">
        <v>768</v>
      </c>
      <c r="H138" s="5">
        <v>1050551</v>
      </c>
      <c r="I138" s="8" t="s">
        <v>321</v>
      </c>
      <c r="J138" s="8" t="s">
        <v>249</v>
      </c>
      <c r="K138" s="5" t="s">
        <v>22</v>
      </c>
      <c r="L138" s="4">
        <v>10876404</v>
      </c>
    </row>
    <row r="139" spans="1:12">
      <c r="A139" s="4">
        <v>7815083</v>
      </c>
      <c r="B139" s="4" t="s">
        <v>769</v>
      </c>
      <c r="C139" s="5" t="s">
        <v>126</v>
      </c>
      <c r="D139" s="5" t="s">
        <v>770</v>
      </c>
      <c r="E139" s="5" t="s">
        <v>771</v>
      </c>
      <c r="F139" s="5" t="s">
        <v>772</v>
      </c>
      <c r="G139" s="5" t="s">
        <v>773</v>
      </c>
      <c r="H139" s="5">
        <v>1050554</v>
      </c>
      <c r="I139" s="8" t="s">
        <v>2</v>
      </c>
      <c r="J139" s="8" t="s">
        <v>162</v>
      </c>
      <c r="K139" s="5" t="s">
        <v>22</v>
      </c>
      <c r="L139" s="4">
        <v>7815083</v>
      </c>
    </row>
    <row r="140" spans="1:12">
      <c r="A140" s="4">
        <v>6646724</v>
      </c>
      <c r="B140" s="4" t="s">
        <v>774</v>
      </c>
      <c r="C140" s="5" t="s">
        <v>126</v>
      </c>
      <c r="D140" s="5" t="s">
        <v>770</v>
      </c>
      <c r="E140" s="5" t="s">
        <v>180</v>
      </c>
      <c r="F140" s="5" t="s">
        <v>775</v>
      </c>
      <c r="G140" s="5" t="s">
        <v>776</v>
      </c>
      <c r="H140" s="5">
        <v>1050555</v>
      </c>
      <c r="I140" s="8" t="s">
        <v>161</v>
      </c>
      <c r="J140" s="8" t="s">
        <v>249</v>
      </c>
      <c r="K140" s="5" t="s">
        <v>22</v>
      </c>
      <c r="L140" s="4">
        <v>6646724</v>
      </c>
    </row>
    <row r="141" spans="1:12">
      <c r="A141" s="4">
        <v>9488801</v>
      </c>
      <c r="B141" s="4" t="s">
        <v>777</v>
      </c>
      <c r="C141" s="5" t="s">
        <v>126</v>
      </c>
      <c r="D141" s="5" t="s">
        <v>770</v>
      </c>
      <c r="E141" s="5" t="s">
        <v>778</v>
      </c>
      <c r="F141" s="5" t="s">
        <v>779</v>
      </c>
      <c r="G141" s="5" t="s">
        <v>780</v>
      </c>
      <c r="H141" s="5">
        <v>1050555</v>
      </c>
      <c r="I141" s="8" t="s">
        <v>161</v>
      </c>
      <c r="J141" s="8" t="s">
        <v>249</v>
      </c>
      <c r="K141" s="5" t="s">
        <v>22</v>
      </c>
      <c r="L141" s="4">
        <v>9488801</v>
      </c>
    </row>
    <row r="142" spans="1:12">
      <c r="A142" s="4">
        <v>15786314</v>
      </c>
      <c r="B142" s="4" t="s">
        <v>781</v>
      </c>
      <c r="C142" s="5" t="s">
        <v>126</v>
      </c>
      <c r="D142" s="5" t="s">
        <v>191</v>
      </c>
      <c r="E142" s="5" t="s">
        <v>496</v>
      </c>
      <c r="F142" s="5" t="s">
        <v>782</v>
      </c>
      <c r="G142" s="5" t="s">
        <v>783</v>
      </c>
      <c r="H142" s="5">
        <v>1050616</v>
      </c>
      <c r="I142" s="11" t="s">
        <v>87</v>
      </c>
      <c r="J142" s="11" t="s">
        <v>88</v>
      </c>
      <c r="K142" s="5" t="s">
        <v>22</v>
      </c>
      <c r="L142" s="4">
        <v>15786314</v>
      </c>
    </row>
    <row r="143" spans="1:12">
      <c r="A143" s="4">
        <v>16266817</v>
      </c>
      <c r="B143" s="4" t="s">
        <v>784</v>
      </c>
      <c r="C143" s="5" t="s">
        <v>785</v>
      </c>
      <c r="D143" s="5" t="s">
        <v>786</v>
      </c>
      <c r="E143" s="5" t="s">
        <v>787</v>
      </c>
      <c r="F143" s="5" t="s">
        <v>788</v>
      </c>
      <c r="G143" s="5" t="s">
        <v>789</v>
      </c>
      <c r="H143" s="5">
        <v>1050127</v>
      </c>
      <c r="I143" s="8" t="s">
        <v>29</v>
      </c>
      <c r="J143" s="8" t="s">
        <v>37</v>
      </c>
      <c r="K143" s="5" t="s">
        <v>22</v>
      </c>
      <c r="L143" s="4">
        <v>16266817</v>
      </c>
    </row>
    <row r="144" spans="1:12">
      <c r="A144" s="4">
        <v>20342651</v>
      </c>
      <c r="B144" s="4" t="s">
        <v>790</v>
      </c>
      <c r="C144" s="5" t="s">
        <v>785</v>
      </c>
      <c r="D144" s="5" t="s">
        <v>791</v>
      </c>
      <c r="E144" s="5" t="s">
        <v>792</v>
      </c>
      <c r="F144" s="5" t="s">
        <v>793</v>
      </c>
      <c r="G144" s="6" t="s">
        <v>794</v>
      </c>
      <c r="H144" s="5">
        <v>1050574</v>
      </c>
      <c r="I144" s="11" t="s">
        <v>44</v>
      </c>
      <c r="J144" s="11" t="s">
        <v>45</v>
      </c>
      <c r="K144" s="5" t="s">
        <v>22</v>
      </c>
      <c r="L144" s="4">
        <v>20342651</v>
      </c>
    </row>
    <row r="145" spans="1:12">
      <c r="A145" s="4">
        <v>9608532</v>
      </c>
      <c r="B145" s="4" t="s">
        <v>795</v>
      </c>
      <c r="C145" s="5" t="s">
        <v>796</v>
      </c>
      <c r="D145" s="5" t="s">
        <v>797</v>
      </c>
      <c r="E145" s="5" t="s">
        <v>339</v>
      </c>
      <c r="F145" s="5" t="s">
        <v>798</v>
      </c>
      <c r="G145" s="5" t="s">
        <v>799</v>
      </c>
      <c r="H145" s="9">
        <v>1050603</v>
      </c>
      <c r="I145" s="11" t="s">
        <v>566</v>
      </c>
      <c r="J145" s="11" t="s">
        <v>566</v>
      </c>
      <c r="K145" s="5" t="s">
        <v>22</v>
      </c>
      <c r="L145" s="4">
        <v>9608532</v>
      </c>
    </row>
    <row r="146" spans="1:12">
      <c r="A146" s="4">
        <v>12020450</v>
      </c>
      <c r="B146" s="4" t="s">
        <v>800</v>
      </c>
      <c r="C146" s="5" t="s">
        <v>801</v>
      </c>
      <c r="D146" s="5" t="s">
        <v>785</v>
      </c>
      <c r="E146" s="5" t="s">
        <v>802</v>
      </c>
      <c r="F146" s="5" t="s">
        <v>803</v>
      </c>
      <c r="G146" s="5" t="s">
        <v>804</v>
      </c>
      <c r="H146" s="5">
        <v>1050126</v>
      </c>
      <c r="I146" s="8" t="s">
        <v>29</v>
      </c>
      <c r="J146" s="8" t="s">
        <v>30</v>
      </c>
      <c r="K146" s="5" t="s">
        <v>22</v>
      </c>
      <c r="L146" s="4">
        <v>12020450</v>
      </c>
    </row>
    <row r="147" spans="1:12">
      <c r="A147" s="4">
        <v>6528911</v>
      </c>
      <c r="B147" s="4" t="s">
        <v>805</v>
      </c>
      <c r="C147" s="5" t="s">
        <v>806</v>
      </c>
      <c r="D147" s="5" t="s">
        <v>25</v>
      </c>
      <c r="E147" s="5" t="s">
        <v>257</v>
      </c>
      <c r="F147" s="5" t="s">
        <v>807</v>
      </c>
      <c r="G147" s="5" t="s">
        <v>808</v>
      </c>
      <c r="H147" s="7">
        <v>1050554</v>
      </c>
      <c r="I147" s="8" t="s">
        <v>2</v>
      </c>
      <c r="J147" s="22" t="s">
        <v>391</v>
      </c>
      <c r="K147" s="5" t="s">
        <v>22</v>
      </c>
      <c r="L147" s="4">
        <v>6528911</v>
      </c>
    </row>
    <row r="148" spans="1:12">
      <c r="A148" s="4">
        <v>6010169</v>
      </c>
      <c r="B148" s="4" t="s">
        <v>809</v>
      </c>
      <c r="C148" s="5" t="s">
        <v>806</v>
      </c>
      <c r="D148" s="5" t="s">
        <v>810</v>
      </c>
      <c r="E148" s="5" t="s">
        <v>553</v>
      </c>
      <c r="F148" s="5" t="s">
        <v>811</v>
      </c>
      <c r="G148" s="5" t="s">
        <v>812</v>
      </c>
      <c r="H148" s="5">
        <v>1050616</v>
      </c>
      <c r="I148" s="8" t="s">
        <v>87</v>
      </c>
      <c r="J148" s="8" t="s">
        <v>66</v>
      </c>
      <c r="K148" s="5" t="s">
        <v>22</v>
      </c>
      <c r="L148" s="4">
        <v>6010169</v>
      </c>
    </row>
    <row r="149" spans="1:12">
      <c r="A149" s="4">
        <v>6940813</v>
      </c>
      <c r="B149" s="4" t="s">
        <v>813</v>
      </c>
      <c r="C149" s="5" t="s">
        <v>814</v>
      </c>
      <c r="D149" s="5" t="s">
        <v>815</v>
      </c>
      <c r="E149" s="5" t="s">
        <v>816</v>
      </c>
      <c r="F149" s="5" t="s">
        <v>817</v>
      </c>
      <c r="G149" s="5" t="s">
        <v>818</v>
      </c>
      <c r="H149" s="5">
        <v>1050555</v>
      </c>
      <c r="I149" s="8" t="s">
        <v>161</v>
      </c>
      <c r="J149" s="8" t="s">
        <v>21</v>
      </c>
      <c r="K149" s="5" t="s">
        <v>22</v>
      </c>
      <c r="L149" s="4">
        <v>6940813</v>
      </c>
    </row>
    <row r="150" spans="1:12">
      <c r="A150" s="4">
        <v>15444951</v>
      </c>
      <c r="B150" s="24" t="s">
        <v>819</v>
      </c>
      <c r="C150" s="5" t="s">
        <v>814</v>
      </c>
      <c r="D150" s="5" t="s">
        <v>114</v>
      </c>
      <c r="E150" s="5" t="s">
        <v>820</v>
      </c>
      <c r="F150" s="5" t="s">
        <v>821</v>
      </c>
      <c r="G150" s="5" t="s">
        <v>822</v>
      </c>
      <c r="H150" s="5">
        <v>1050633</v>
      </c>
      <c r="I150" s="8" t="s">
        <v>29</v>
      </c>
      <c r="J150" s="8" t="s">
        <v>130</v>
      </c>
      <c r="K150" s="5" t="s">
        <v>22</v>
      </c>
      <c r="L150" s="4">
        <v>15444951</v>
      </c>
    </row>
    <row r="151" spans="1:12">
      <c r="A151" s="4">
        <v>13297988</v>
      </c>
      <c r="B151" s="4" t="s">
        <v>823</v>
      </c>
      <c r="C151" s="5" t="s">
        <v>327</v>
      </c>
      <c r="D151" s="5" t="s">
        <v>824</v>
      </c>
      <c r="E151" s="5" t="s">
        <v>138</v>
      </c>
      <c r="F151" s="5" t="s">
        <v>825</v>
      </c>
      <c r="G151" s="5" t="s">
        <v>826</v>
      </c>
      <c r="H151" s="5">
        <v>1050609</v>
      </c>
      <c r="I151" s="8" t="s">
        <v>65</v>
      </c>
      <c r="J151" s="8" t="s">
        <v>249</v>
      </c>
      <c r="K151" s="5" t="s">
        <v>22</v>
      </c>
      <c r="L151" s="4">
        <v>13297988</v>
      </c>
    </row>
    <row r="152" spans="1:12">
      <c r="A152" s="4">
        <v>16149604</v>
      </c>
      <c r="B152" s="4" t="s">
        <v>827</v>
      </c>
      <c r="C152" s="5" t="s">
        <v>327</v>
      </c>
      <c r="D152" s="5" t="s">
        <v>607</v>
      </c>
      <c r="E152" s="5" t="s">
        <v>640</v>
      </c>
      <c r="F152" s="5" t="s">
        <v>828</v>
      </c>
      <c r="G152" s="5" t="s">
        <v>829</v>
      </c>
      <c r="H152" s="5">
        <v>1050529</v>
      </c>
      <c r="I152" s="8" t="s">
        <v>242</v>
      </c>
      <c r="J152" s="8" t="s">
        <v>242</v>
      </c>
      <c r="K152" s="5" t="s">
        <v>22</v>
      </c>
      <c r="L152" s="4">
        <v>16149604</v>
      </c>
    </row>
    <row r="153" spans="1:12">
      <c r="A153" s="4">
        <v>16408490</v>
      </c>
      <c r="B153" s="4" t="s">
        <v>830</v>
      </c>
      <c r="C153" s="5" t="s">
        <v>831</v>
      </c>
      <c r="D153" s="5" t="s">
        <v>832</v>
      </c>
      <c r="E153" s="5" t="s">
        <v>833</v>
      </c>
      <c r="F153" s="5" t="s">
        <v>834</v>
      </c>
      <c r="G153" s="5" t="s">
        <v>835</v>
      </c>
      <c r="H153" s="5">
        <v>1050502</v>
      </c>
      <c r="I153" s="25" t="s">
        <v>836</v>
      </c>
      <c r="J153" s="25" t="s">
        <v>836</v>
      </c>
      <c r="K153" s="5" t="s">
        <v>22</v>
      </c>
      <c r="L153" s="4">
        <v>16408490</v>
      </c>
    </row>
    <row r="154" spans="1:12">
      <c r="A154" s="4">
        <v>7721223</v>
      </c>
      <c r="B154" s="4" t="s">
        <v>837</v>
      </c>
      <c r="C154" s="5" t="s">
        <v>838</v>
      </c>
      <c r="D154" s="5" t="s">
        <v>748</v>
      </c>
      <c r="E154" s="5" t="s">
        <v>839</v>
      </c>
      <c r="F154" s="5" t="s">
        <v>840</v>
      </c>
      <c r="G154" s="5" t="s">
        <v>841</v>
      </c>
      <c r="H154" s="5">
        <v>1050633</v>
      </c>
      <c r="I154" s="8" t="s">
        <v>29</v>
      </c>
      <c r="J154" s="8" t="s">
        <v>130</v>
      </c>
      <c r="K154" s="5" t="s">
        <v>22</v>
      </c>
      <c r="L154" s="4">
        <v>7721223</v>
      </c>
    </row>
    <row r="155" spans="1:12">
      <c r="A155" s="4">
        <v>12051254</v>
      </c>
      <c r="B155" s="4" t="s">
        <v>842</v>
      </c>
      <c r="C155" s="5" t="s">
        <v>843</v>
      </c>
      <c r="D155" s="5" t="s">
        <v>377</v>
      </c>
      <c r="E155" s="5" t="s">
        <v>62</v>
      </c>
      <c r="F155" s="5" t="s">
        <v>844</v>
      </c>
      <c r="G155" s="5" t="s">
        <v>845</v>
      </c>
      <c r="H155" s="5">
        <v>1050161</v>
      </c>
      <c r="I155" s="8" t="s">
        <v>29</v>
      </c>
      <c r="J155" s="8" t="s">
        <v>846</v>
      </c>
      <c r="K155" s="5" t="s">
        <v>22</v>
      </c>
      <c r="L155" s="4">
        <v>12051254</v>
      </c>
    </row>
    <row r="156" spans="1:12">
      <c r="A156" s="4">
        <v>7913597</v>
      </c>
      <c r="B156" s="4" t="s">
        <v>847</v>
      </c>
      <c r="C156" s="5" t="s">
        <v>580</v>
      </c>
      <c r="D156" s="5" t="s">
        <v>848</v>
      </c>
      <c r="E156" s="5" t="s">
        <v>849</v>
      </c>
      <c r="F156" s="5" t="s">
        <v>850</v>
      </c>
      <c r="G156" s="5" t="s">
        <v>851</v>
      </c>
      <c r="H156" s="5">
        <v>1050127</v>
      </c>
      <c r="I156" s="8" t="s">
        <v>29</v>
      </c>
      <c r="J156" s="8" t="s">
        <v>37</v>
      </c>
      <c r="K156" s="5" t="s">
        <v>22</v>
      </c>
      <c r="L156" s="4">
        <v>7913597</v>
      </c>
    </row>
    <row r="157" spans="1:12">
      <c r="A157" s="4">
        <v>10168958</v>
      </c>
      <c r="B157" s="4" t="s">
        <v>852</v>
      </c>
      <c r="C157" s="5" t="s">
        <v>580</v>
      </c>
      <c r="D157" s="5" t="s">
        <v>853</v>
      </c>
      <c r="E157" s="5" t="s">
        <v>539</v>
      </c>
      <c r="F157" s="5" t="s">
        <v>854</v>
      </c>
      <c r="G157" s="5" t="s">
        <v>855</v>
      </c>
      <c r="H157" s="5">
        <v>1050633</v>
      </c>
      <c r="I157" s="8" t="s">
        <v>29</v>
      </c>
      <c r="J157" s="8" t="s">
        <v>130</v>
      </c>
      <c r="K157" s="5" t="s">
        <v>22</v>
      </c>
      <c r="L157" s="4">
        <v>10168958</v>
      </c>
    </row>
    <row r="158" spans="1:12">
      <c r="A158" s="4">
        <v>9741880</v>
      </c>
      <c r="B158" s="4" t="s">
        <v>856</v>
      </c>
      <c r="C158" s="5" t="s">
        <v>857</v>
      </c>
      <c r="D158" s="5" t="s">
        <v>858</v>
      </c>
      <c r="E158" s="5" t="s">
        <v>859</v>
      </c>
      <c r="F158" s="5" t="s">
        <v>860</v>
      </c>
      <c r="G158" s="5" t="s">
        <v>861</v>
      </c>
      <c r="H158" s="5">
        <v>1050126</v>
      </c>
      <c r="I158" s="8" t="s">
        <v>29</v>
      </c>
      <c r="J158" s="8" t="s">
        <v>30</v>
      </c>
      <c r="K158" s="5" t="s">
        <v>22</v>
      </c>
      <c r="L158" s="4">
        <v>9741880</v>
      </c>
    </row>
    <row r="159" spans="1:12">
      <c r="A159" s="4">
        <v>15444698</v>
      </c>
      <c r="B159" s="4" t="s">
        <v>862</v>
      </c>
      <c r="C159" s="5" t="s">
        <v>863</v>
      </c>
      <c r="D159" s="5" t="s">
        <v>864</v>
      </c>
      <c r="E159" s="5" t="s">
        <v>865</v>
      </c>
      <c r="F159" s="5" t="s">
        <v>866</v>
      </c>
      <c r="G159" s="5" t="s">
        <v>867</v>
      </c>
      <c r="H159" s="5">
        <v>1050127</v>
      </c>
      <c r="I159" s="8" t="s">
        <v>29</v>
      </c>
      <c r="J159" s="8" t="s">
        <v>37</v>
      </c>
      <c r="K159" s="5" t="s">
        <v>22</v>
      </c>
      <c r="L159" s="4">
        <v>15444698</v>
      </c>
    </row>
    <row r="160" spans="1:12">
      <c r="A160" s="4">
        <v>13553033</v>
      </c>
      <c r="B160" s="4" t="s">
        <v>868</v>
      </c>
      <c r="C160" s="5" t="s">
        <v>869</v>
      </c>
      <c r="D160" s="5" t="s">
        <v>754</v>
      </c>
      <c r="E160" s="5" t="s">
        <v>274</v>
      </c>
      <c r="F160" s="5" t="s">
        <v>870</v>
      </c>
      <c r="G160" s="5" t="s">
        <v>871</v>
      </c>
      <c r="H160" s="5">
        <v>1050610</v>
      </c>
      <c r="I160" s="11" t="s">
        <v>65</v>
      </c>
      <c r="J160" s="11" t="s">
        <v>162</v>
      </c>
      <c r="K160" s="5" t="s">
        <v>22</v>
      </c>
      <c r="L160" s="4">
        <v>13553033</v>
      </c>
    </row>
    <row r="161" spans="1:12">
      <c r="A161" s="4">
        <v>16697450</v>
      </c>
      <c r="B161" s="4" t="s">
        <v>872</v>
      </c>
      <c r="C161" s="5" t="s">
        <v>76</v>
      </c>
      <c r="D161" s="5" t="s">
        <v>357</v>
      </c>
      <c r="E161" s="5" t="s">
        <v>873</v>
      </c>
      <c r="F161" s="5" t="s">
        <v>874</v>
      </c>
      <c r="G161" s="5" t="s">
        <v>875</v>
      </c>
      <c r="H161" s="5">
        <v>1050127</v>
      </c>
      <c r="I161" s="8" t="s">
        <v>29</v>
      </c>
      <c r="J161" s="8" t="s">
        <v>37</v>
      </c>
      <c r="K161" s="5" t="s">
        <v>22</v>
      </c>
      <c r="L161" s="4">
        <v>16697450</v>
      </c>
    </row>
    <row r="162" spans="1:12">
      <c r="A162" s="4">
        <v>14185109</v>
      </c>
      <c r="B162" s="4" t="s">
        <v>876</v>
      </c>
      <c r="C162" s="5" t="s">
        <v>76</v>
      </c>
      <c r="D162" s="5" t="s">
        <v>397</v>
      </c>
      <c r="E162" s="5" t="s">
        <v>877</v>
      </c>
      <c r="F162" s="5" t="s">
        <v>878</v>
      </c>
      <c r="G162" s="5" t="s">
        <v>879</v>
      </c>
      <c r="H162" s="5">
        <v>1050162</v>
      </c>
      <c r="I162" s="8" t="s">
        <v>29</v>
      </c>
      <c r="J162" s="8" t="s">
        <v>80</v>
      </c>
      <c r="K162" s="5" t="s">
        <v>22</v>
      </c>
      <c r="L162" s="4">
        <v>14185109</v>
      </c>
    </row>
    <row r="163" spans="1:12">
      <c r="A163" s="4">
        <v>16029464</v>
      </c>
      <c r="B163" s="4" t="s">
        <v>880</v>
      </c>
      <c r="C163" s="5" t="s">
        <v>76</v>
      </c>
      <c r="D163" s="5" t="s">
        <v>313</v>
      </c>
      <c r="E163" s="5" t="s">
        <v>881</v>
      </c>
      <c r="F163" s="5" t="s">
        <v>882</v>
      </c>
      <c r="G163" s="5" t="s">
        <v>883</v>
      </c>
      <c r="H163" s="5">
        <v>1050632</v>
      </c>
      <c r="I163" s="11" t="s">
        <v>73</v>
      </c>
      <c r="J163" s="11" t="s">
        <v>513</v>
      </c>
      <c r="K163" s="5" t="s">
        <v>22</v>
      </c>
      <c r="L163" s="4">
        <v>16029464</v>
      </c>
    </row>
    <row r="164" spans="1:12">
      <c r="A164" s="4">
        <v>10309203</v>
      </c>
      <c r="B164" s="4" t="s">
        <v>884</v>
      </c>
      <c r="C164" s="5" t="s">
        <v>76</v>
      </c>
      <c r="D164" s="5" t="s">
        <v>885</v>
      </c>
      <c r="E164" s="5" t="s">
        <v>886</v>
      </c>
      <c r="F164" s="5" t="s">
        <v>887</v>
      </c>
      <c r="G164" s="5" t="s">
        <v>888</v>
      </c>
      <c r="H164" s="5">
        <v>1050633</v>
      </c>
      <c r="I164" s="8" t="s">
        <v>29</v>
      </c>
      <c r="J164" s="8" t="s">
        <v>130</v>
      </c>
      <c r="K164" s="5" t="s">
        <v>22</v>
      </c>
      <c r="L164" s="4">
        <v>10309203</v>
      </c>
    </row>
    <row r="165" spans="1:12">
      <c r="A165" s="4">
        <v>18074081</v>
      </c>
      <c r="B165" s="4" t="s">
        <v>889</v>
      </c>
      <c r="C165" s="5" t="s">
        <v>76</v>
      </c>
      <c r="D165" s="5" t="s">
        <v>890</v>
      </c>
      <c r="E165" s="5" t="s">
        <v>891</v>
      </c>
      <c r="F165" s="5" t="s">
        <v>892</v>
      </c>
      <c r="G165" s="5" t="s">
        <v>893</v>
      </c>
      <c r="H165" s="7">
        <v>1050609</v>
      </c>
      <c r="I165" s="15" t="s">
        <v>65</v>
      </c>
      <c r="J165" s="8" t="s">
        <v>21</v>
      </c>
      <c r="K165" s="5" t="s">
        <v>22</v>
      </c>
      <c r="L165" s="4">
        <v>18074081</v>
      </c>
    </row>
    <row r="166" spans="1:12">
      <c r="A166" s="4">
        <v>9806171</v>
      </c>
      <c r="B166" s="4" t="s">
        <v>894</v>
      </c>
      <c r="C166" s="5" t="s">
        <v>895</v>
      </c>
      <c r="D166" s="5" t="s">
        <v>765</v>
      </c>
      <c r="E166" s="5" t="s">
        <v>475</v>
      </c>
      <c r="F166" s="5" t="s">
        <v>896</v>
      </c>
      <c r="G166" s="5" t="s">
        <v>897</v>
      </c>
      <c r="H166" s="5">
        <v>1050595</v>
      </c>
      <c r="I166" s="8" t="s">
        <v>898</v>
      </c>
      <c r="J166" s="8" t="s">
        <v>898</v>
      </c>
      <c r="K166" s="5" t="s">
        <v>22</v>
      </c>
      <c r="L166" s="4">
        <v>9806171</v>
      </c>
    </row>
    <row r="167" spans="1:12">
      <c r="A167" s="4">
        <v>16296340</v>
      </c>
      <c r="B167" s="4" t="s">
        <v>899</v>
      </c>
      <c r="C167" s="5" t="s">
        <v>900</v>
      </c>
      <c r="D167" s="5" t="s">
        <v>83</v>
      </c>
      <c r="E167" s="5" t="s">
        <v>239</v>
      </c>
      <c r="F167" s="5" t="s">
        <v>901</v>
      </c>
      <c r="G167" s="5" t="s">
        <v>902</v>
      </c>
      <c r="H167" s="5">
        <v>1050581</v>
      </c>
      <c r="I167" s="8" t="s">
        <v>29</v>
      </c>
      <c r="J167" s="8" t="s">
        <v>272</v>
      </c>
      <c r="K167" s="5" t="s">
        <v>22</v>
      </c>
      <c r="L167" s="4">
        <v>16296340</v>
      </c>
    </row>
    <row r="168" spans="1:12">
      <c r="A168" s="4">
        <v>12688280</v>
      </c>
      <c r="B168" s="4" t="s">
        <v>903</v>
      </c>
      <c r="C168" s="5" t="s">
        <v>700</v>
      </c>
      <c r="D168" s="5" t="s">
        <v>61</v>
      </c>
      <c r="E168" s="5" t="s">
        <v>904</v>
      </c>
      <c r="F168" s="5" t="s">
        <v>905</v>
      </c>
      <c r="G168" s="5" t="s">
        <v>906</v>
      </c>
      <c r="H168" s="5">
        <v>1050633</v>
      </c>
      <c r="I168" s="8" t="s">
        <v>29</v>
      </c>
      <c r="J168" s="8" t="s">
        <v>130</v>
      </c>
      <c r="K168" s="5" t="s">
        <v>22</v>
      </c>
      <c r="L168" s="4">
        <v>12688280</v>
      </c>
    </row>
    <row r="169" spans="1:12">
      <c r="A169" s="4">
        <v>11476853</v>
      </c>
      <c r="B169" s="4" t="s">
        <v>907</v>
      </c>
      <c r="C169" s="5" t="s">
        <v>700</v>
      </c>
      <c r="D169" s="5" t="s">
        <v>908</v>
      </c>
      <c r="E169" s="5" t="s">
        <v>909</v>
      </c>
      <c r="F169" s="5" t="s">
        <v>910</v>
      </c>
      <c r="G169" s="5" t="s">
        <v>911</v>
      </c>
      <c r="H169" s="5">
        <v>1050610</v>
      </c>
      <c r="I169" s="8" t="s">
        <v>65</v>
      </c>
      <c r="J169" s="8" t="s">
        <v>147</v>
      </c>
      <c r="K169" s="5" t="s">
        <v>22</v>
      </c>
      <c r="L169" s="4">
        <v>11476853</v>
      </c>
    </row>
    <row r="170" spans="1:12">
      <c r="A170" s="4">
        <v>10933716</v>
      </c>
      <c r="B170" s="4" t="s">
        <v>912</v>
      </c>
      <c r="C170" s="5" t="s">
        <v>824</v>
      </c>
      <c r="D170" s="5" t="s">
        <v>913</v>
      </c>
      <c r="E170" s="5" t="s">
        <v>914</v>
      </c>
      <c r="F170" s="5" t="s">
        <v>915</v>
      </c>
      <c r="G170" s="5" t="s">
        <v>916</v>
      </c>
      <c r="H170" s="5">
        <v>1050574</v>
      </c>
      <c r="I170" s="11" t="s">
        <v>44</v>
      </c>
      <c r="J170" s="11" t="s">
        <v>45</v>
      </c>
      <c r="K170" s="5" t="s">
        <v>22</v>
      </c>
      <c r="L170" s="4">
        <v>10933716</v>
      </c>
    </row>
    <row r="171" spans="1:12">
      <c r="A171" s="4">
        <v>8634737</v>
      </c>
      <c r="B171" s="4" t="s">
        <v>917</v>
      </c>
      <c r="C171" s="5" t="s">
        <v>208</v>
      </c>
      <c r="D171" s="5" t="s">
        <v>918</v>
      </c>
      <c r="E171" s="5" t="s">
        <v>919</v>
      </c>
      <c r="F171" s="5" t="s">
        <v>920</v>
      </c>
      <c r="G171" s="5" t="s">
        <v>921</v>
      </c>
      <c r="H171" s="7">
        <v>1050553</v>
      </c>
      <c r="I171" s="8" t="s">
        <v>2</v>
      </c>
      <c r="J171" s="8" t="s">
        <v>21</v>
      </c>
      <c r="K171" s="5" t="s">
        <v>22</v>
      </c>
      <c r="L171" s="4">
        <v>8634737</v>
      </c>
    </row>
    <row r="172" spans="1:12">
      <c r="A172" s="4">
        <v>9485526</v>
      </c>
      <c r="B172" s="4" t="s">
        <v>922</v>
      </c>
      <c r="C172" s="5" t="s">
        <v>848</v>
      </c>
      <c r="D172" s="5" t="s">
        <v>83</v>
      </c>
      <c r="E172" s="5" t="s">
        <v>133</v>
      </c>
      <c r="F172" s="5" t="s">
        <v>923</v>
      </c>
      <c r="G172" s="5" t="s">
        <v>924</v>
      </c>
      <c r="H172" s="5">
        <v>1050127</v>
      </c>
      <c r="I172" s="8" t="s">
        <v>29</v>
      </c>
      <c r="J172" s="8" t="s">
        <v>37</v>
      </c>
      <c r="K172" s="5" t="s">
        <v>22</v>
      </c>
      <c r="L172" s="4">
        <v>9485526</v>
      </c>
    </row>
    <row r="173" spans="1:12">
      <c r="A173" s="4">
        <v>17245009</v>
      </c>
      <c r="B173" s="4" t="s">
        <v>925</v>
      </c>
      <c r="C173" s="5" t="s">
        <v>848</v>
      </c>
      <c r="D173" s="5" t="s">
        <v>926</v>
      </c>
      <c r="E173" s="5" t="s">
        <v>787</v>
      </c>
      <c r="F173" s="5" t="s">
        <v>927</v>
      </c>
      <c r="G173" s="5" t="s">
        <v>928</v>
      </c>
      <c r="H173" s="5">
        <v>1050581</v>
      </c>
      <c r="I173" s="8" t="s">
        <v>29</v>
      </c>
      <c r="J173" s="8" t="s">
        <v>272</v>
      </c>
      <c r="K173" s="5" t="s">
        <v>22</v>
      </c>
      <c r="L173" s="4">
        <v>17245009</v>
      </c>
    </row>
    <row r="174" spans="1:12">
      <c r="A174" s="4">
        <v>9839411</v>
      </c>
      <c r="B174" s="4" t="s">
        <v>929</v>
      </c>
      <c r="C174" s="5" t="s">
        <v>528</v>
      </c>
      <c r="D174" s="5" t="s">
        <v>930</v>
      </c>
      <c r="E174" s="5" t="s">
        <v>475</v>
      </c>
      <c r="F174" s="5" t="s">
        <v>931</v>
      </c>
      <c r="G174" s="5" t="s">
        <v>932</v>
      </c>
      <c r="H174" s="9">
        <v>1050603</v>
      </c>
      <c r="I174" s="11" t="s">
        <v>566</v>
      </c>
      <c r="J174" s="11" t="s">
        <v>566</v>
      </c>
      <c r="K174" s="5" t="s">
        <v>22</v>
      </c>
      <c r="L174" s="4">
        <v>9839411</v>
      </c>
    </row>
    <row r="175" spans="1:12">
      <c r="A175" s="4">
        <v>7916907</v>
      </c>
      <c r="B175" s="4" t="s">
        <v>933</v>
      </c>
      <c r="C175" s="5" t="s">
        <v>528</v>
      </c>
      <c r="D175" s="5" t="s">
        <v>308</v>
      </c>
      <c r="E175" s="5" t="s">
        <v>934</v>
      </c>
      <c r="F175" s="5" t="s">
        <v>935</v>
      </c>
      <c r="G175" s="5" t="s">
        <v>936</v>
      </c>
      <c r="H175" s="5">
        <v>1050604</v>
      </c>
      <c r="I175" s="8" t="s">
        <v>937</v>
      </c>
      <c r="J175" s="8" t="s">
        <v>937</v>
      </c>
      <c r="K175" s="5" t="s">
        <v>22</v>
      </c>
      <c r="L175" s="4">
        <v>7916907</v>
      </c>
    </row>
    <row r="176" spans="1:12">
      <c r="A176" s="4">
        <v>14383969</v>
      </c>
      <c r="B176" s="4" t="s">
        <v>938</v>
      </c>
      <c r="C176" s="5" t="s">
        <v>528</v>
      </c>
      <c r="D176" s="5" t="s">
        <v>939</v>
      </c>
      <c r="E176" s="5" t="s">
        <v>940</v>
      </c>
      <c r="F176" s="5" t="s">
        <v>941</v>
      </c>
      <c r="G176" s="6" t="s">
        <v>942</v>
      </c>
      <c r="H176" s="5">
        <v>1050529</v>
      </c>
      <c r="I176" s="8" t="s">
        <v>604</v>
      </c>
      <c r="J176" s="8" t="s">
        <v>604</v>
      </c>
      <c r="K176" s="5" t="s">
        <v>22</v>
      </c>
      <c r="L176" s="4">
        <v>14383969</v>
      </c>
    </row>
    <row r="177" spans="1:12">
      <c r="A177" s="4">
        <v>11657838</v>
      </c>
      <c r="B177" s="4" t="s">
        <v>943</v>
      </c>
      <c r="C177" s="5" t="s">
        <v>926</v>
      </c>
      <c r="D177" s="5" t="s">
        <v>944</v>
      </c>
      <c r="E177" s="5" t="s">
        <v>180</v>
      </c>
      <c r="F177" s="5" t="s">
        <v>945</v>
      </c>
      <c r="G177" s="5" t="s">
        <v>946</v>
      </c>
      <c r="H177" s="5">
        <v>1050127</v>
      </c>
      <c r="I177" s="8" t="s">
        <v>29</v>
      </c>
      <c r="J177" s="8" t="s">
        <v>37</v>
      </c>
      <c r="K177" s="5" t="s">
        <v>22</v>
      </c>
      <c r="L177" s="4">
        <v>11657838</v>
      </c>
    </row>
    <row r="178" spans="1:12">
      <c r="A178" s="4">
        <v>7832770</v>
      </c>
      <c r="B178" s="4" t="s">
        <v>947</v>
      </c>
      <c r="C178" s="5" t="s">
        <v>858</v>
      </c>
      <c r="D178" s="5" t="s">
        <v>403</v>
      </c>
      <c r="E178" s="5" t="s">
        <v>450</v>
      </c>
      <c r="F178" s="5" t="s">
        <v>948</v>
      </c>
      <c r="G178" s="5" t="s">
        <v>949</v>
      </c>
      <c r="H178" s="5">
        <v>1050616</v>
      </c>
      <c r="I178" s="11" t="s">
        <v>87</v>
      </c>
      <c r="J178" s="11" t="s">
        <v>66</v>
      </c>
      <c r="K178" s="5" t="s">
        <v>22</v>
      </c>
      <c r="L178" s="4">
        <v>7832770</v>
      </c>
    </row>
    <row r="179" spans="1:12">
      <c r="A179" s="4">
        <v>12647009</v>
      </c>
      <c r="B179" s="4" t="s">
        <v>950</v>
      </c>
      <c r="C179" s="5" t="s">
        <v>791</v>
      </c>
      <c r="D179" s="5" t="s">
        <v>951</v>
      </c>
      <c r="E179" s="5" t="s">
        <v>952</v>
      </c>
      <c r="F179" s="5" t="s">
        <v>953</v>
      </c>
      <c r="G179" s="5" t="s">
        <v>954</v>
      </c>
      <c r="H179" s="5">
        <v>1050581</v>
      </c>
      <c r="I179" s="8" t="s">
        <v>29</v>
      </c>
      <c r="J179" s="8" t="s">
        <v>691</v>
      </c>
      <c r="K179" s="5" t="s">
        <v>22</v>
      </c>
      <c r="L179" s="4">
        <v>12647009</v>
      </c>
    </row>
    <row r="180" spans="1:12">
      <c r="A180" s="4">
        <v>7009784</v>
      </c>
      <c r="B180" s="4" t="s">
        <v>955</v>
      </c>
      <c r="C180" s="5" t="s">
        <v>791</v>
      </c>
      <c r="D180" s="5" t="s">
        <v>956</v>
      </c>
      <c r="E180" s="5" t="s">
        <v>957</v>
      </c>
      <c r="F180" s="5" t="s">
        <v>958</v>
      </c>
      <c r="G180" s="5" t="s">
        <v>959</v>
      </c>
      <c r="H180" s="5">
        <v>1050126</v>
      </c>
      <c r="I180" s="8" t="s">
        <v>29</v>
      </c>
      <c r="J180" s="8" t="s">
        <v>30</v>
      </c>
      <c r="K180" s="5" t="s">
        <v>22</v>
      </c>
      <c r="L180" s="4">
        <v>7009784</v>
      </c>
    </row>
    <row r="181" spans="1:12">
      <c r="A181" s="4">
        <v>8245727</v>
      </c>
      <c r="B181" s="4" t="s">
        <v>960</v>
      </c>
      <c r="C181" s="5" t="s">
        <v>961</v>
      </c>
      <c r="D181" s="5" t="s">
        <v>289</v>
      </c>
      <c r="E181" s="5" t="s">
        <v>121</v>
      </c>
      <c r="F181" s="5" t="s">
        <v>962</v>
      </c>
      <c r="G181" s="5" t="s">
        <v>963</v>
      </c>
      <c r="H181" s="5">
        <v>1050633</v>
      </c>
      <c r="I181" s="8" t="s">
        <v>29</v>
      </c>
      <c r="J181" s="8" t="s">
        <v>130</v>
      </c>
      <c r="K181" s="5" t="s">
        <v>22</v>
      </c>
      <c r="L181" s="4">
        <v>8245727</v>
      </c>
    </row>
    <row r="182" spans="1:12">
      <c r="A182" s="4">
        <v>13638571</v>
      </c>
      <c r="B182" s="4" t="s">
        <v>964</v>
      </c>
      <c r="C182" s="5" t="s">
        <v>961</v>
      </c>
      <c r="D182" s="5" t="s">
        <v>594</v>
      </c>
      <c r="E182" s="5" t="s">
        <v>965</v>
      </c>
      <c r="F182" s="5" t="s">
        <v>966</v>
      </c>
      <c r="G182" s="5" t="s">
        <v>967</v>
      </c>
      <c r="H182" s="5">
        <v>1050616</v>
      </c>
      <c r="I182" s="8" t="s">
        <v>87</v>
      </c>
      <c r="J182" s="8" t="s">
        <v>162</v>
      </c>
      <c r="K182" s="5" t="s">
        <v>22</v>
      </c>
      <c r="L182" s="4">
        <v>13638571</v>
      </c>
    </row>
    <row r="183" spans="1:12">
      <c r="A183" s="4">
        <v>15891790</v>
      </c>
      <c r="B183" s="4" t="s">
        <v>968</v>
      </c>
      <c r="C183" s="5" t="s">
        <v>961</v>
      </c>
      <c r="D183" s="5" t="s">
        <v>969</v>
      </c>
      <c r="E183" s="5" t="s">
        <v>133</v>
      </c>
      <c r="F183" s="5" t="s">
        <v>970</v>
      </c>
      <c r="G183" s="5" t="s">
        <v>971</v>
      </c>
      <c r="H183" s="7">
        <v>1050565</v>
      </c>
      <c r="I183" s="11" t="s">
        <v>972</v>
      </c>
      <c r="J183" s="11" t="s">
        <v>973</v>
      </c>
      <c r="K183" s="5" t="s">
        <v>22</v>
      </c>
      <c r="L183" s="4">
        <v>15891790</v>
      </c>
    </row>
    <row r="184" spans="1:12">
      <c r="A184" s="4">
        <v>12500119</v>
      </c>
      <c r="B184" s="4" t="s">
        <v>974</v>
      </c>
      <c r="C184" s="5" t="s">
        <v>975</v>
      </c>
      <c r="D184" s="5" t="s">
        <v>706</v>
      </c>
      <c r="E184" s="5" t="s">
        <v>976</v>
      </c>
      <c r="F184" s="5" t="s">
        <v>977</v>
      </c>
      <c r="G184" s="5" t="s">
        <v>978</v>
      </c>
      <c r="H184" s="5">
        <v>1050161</v>
      </c>
      <c r="I184" s="8" t="s">
        <v>29</v>
      </c>
      <c r="J184" s="8" t="s">
        <v>442</v>
      </c>
      <c r="K184" s="5" t="s">
        <v>22</v>
      </c>
      <c r="L184" s="4">
        <v>12500119</v>
      </c>
    </row>
    <row r="185" spans="1:12">
      <c r="A185" s="4">
        <v>13701209</v>
      </c>
      <c r="B185" s="4" t="s">
        <v>979</v>
      </c>
      <c r="C185" s="5" t="s">
        <v>975</v>
      </c>
      <c r="D185" s="5" t="s">
        <v>706</v>
      </c>
      <c r="E185" s="5" t="s">
        <v>980</v>
      </c>
      <c r="F185" s="5" t="s">
        <v>981</v>
      </c>
      <c r="G185" s="5" t="s">
        <v>982</v>
      </c>
      <c r="H185" s="5">
        <v>1050126</v>
      </c>
      <c r="I185" s="8" t="s">
        <v>29</v>
      </c>
      <c r="J185" s="8" t="s">
        <v>30</v>
      </c>
      <c r="K185" s="5" t="s">
        <v>22</v>
      </c>
      <c r="L185" s="4">
        <v>13701209</v>
      </c>
    </row>
    <row r="186" spans="1:12">
      <c r="A186" s="4">
        <v>10835391</v>
      </c>
      <c r="B186" s="4" t="s">
        <v>983</v>
      </c>
      <c r="C186" s="5" t="s">
        <v>975</v>
      </c>
      <c r="D186" s="5" t="s">
        <v>853</v>
      </c>
      <c r="E186" s="5" t="s">
        <v>984</v>
      </c>
      <c r="F186" s="5" t="s">
        <v>985</v>
      </c>
      <c r="G186" s="5" t="s">
        <v>986</v>
      </c>
      <c r="H186" s="5">
        <v>1050581</v>
      </c>
      <c r="I186" s="8" t="s">
        <v>29</v>
      </c>
      <c r="J186" s="8" t="s">
        <v>272</v>
      </c>
      <c r="K186" s="5" t="s">
        <v>22</v>
      </c>
      <c r="L186" s="4">
        <v>10835391</v>
      </c>
    </row>
    <row r="187" spans="1:12">
      <c r="A187" s="4">
        <v>8618882</v>
      </c>
      <c r="B187" s="4" t="s">
        <v>987</v>
      </c>
      <c r="C187" s="5" t="s">
        <v>607</v>
      </c>
      <c r="D187" s="5" t="s">
        <v>864</v>
      </c>
      <c r="E187" s="5" t="s">
        <v>988</v>
      </c>
      <c r="F187" s="5" t="s">
        <v>989</v>
      </c>
      <c r="G187" s="5" t="s">
        <v>990</v>
      </c>
      <c r="H187" s="5">
        <v>1050633</v>
      </c>
      <c r="I187" s="8" t="s">
        <v>29</v>
      </c>
      <c r="J187" s="8" t="s">
        <v>130</v>
      </c>
      <c r="K187" s="5" t="s">
        <v>22</v>
      </c>
      <c r="L187" s="4">
        <v>8618882</v>
      </c>
    </row>
    <row r="188" spans="1:12">
      <c r="A188" s="4">
        <v>16691386</v>
      </c>
      <c r="B188" s="4" t="s">
        <v>991</v>
      </c>
      <c r="C188" s="5" t="s">
        <v>607</v>
      </c>
      <c r="D188" s="5" t="s">
        <v>992</v>
      </c>
      <c r="E188" s="5" t="s">
        <v>993</v>
      </c>
      <c r="F188" s="5" t="s">
        <v>994</v>
      </c>
      <c r="G188" s="5" t="s">
        <v>995</v>
      </c>
      <c r="H188" s="5">
        <v>1050581</v>
      </c>
      <c r="I188" s="8" t="s">
        <v>29</v>
      </c>
      <c r="J188" s="8" t="s">
        <v>272</v>
      </c>
      <c r="K188" s="5" t="s">
        <v>22</v>
      </c>
      <c r="L188" s="4">
        <v>16691386</v>
      </c>
    </row>
    <row r="189" spans="1:12">
      <c r="A189" s="4">
        <v>8085825</v>
      </c>
      <c r="B189" s="4" t="s">
        <v>996</v>
      </c>
      <c r="C189" s="5" t="s">
        <v>232</v>
      </c>
      <c r="D189" s="5" t="s">
        <v>997</v>
      </c>
      <c r="E189" s="5" t="s">
        <v>998</v>
      </c>
      <c r="F189" s="5" t="s">
        <v>999</v>
      </c>
      <c r="G189" s="5" t="s">
        <v>1000</v>
      </c>
      <c r="H189" s="5">
        <v>1050609</v>
      </c>
      <c r="I189" s="8" t="s">
        <v>65</v>
      </c>
      <c r="J189" s="8" t="s">
        <v>249</v>
      </c>
      <c r="K189" s="5" t="s">
        <v>22</v>
      </c>
      <c r="L189" s="4">
        <v>8085825</v>
      </c>
    </row>
    <row r="190" spans="1:12">
      <c r="A190" s="4">
        <v>10849076</v>
      </c>
      <c r="B190" s="4" t="s">
        <v>1001</v>
      </c>
      <c r="C190" s="5" t="s">
        <v>1002</v>
      </c>
      <c r="D190" s="5" t="s">
        <v>785</v>
      </c>
      <c r="E190" s="5" t="s">
        <v>263</v>
      </c>
      <c r="F190" s="5" t="s">
        <v>1003</v>
      </c>
      <c r="G190" s="5" t="s">
        <v>1004</v>
      </c>
      <c r="H190" s="5">
        <v>1050555</v>
      </c>
      <c r="I190" s="8" t="s">
        <v>161</v>
      </c>
      <c r="J190" s="8" t="s">
        <v>249</v>
      </c>
      <c r="K190" s="5" t="s">
        <v>22</v>
      </c>
      <c r="L190" s="4">
        <v>10849076</v>
      </c>
    </row>
    <row r="191" spans="1:12">
      <c r="A191" s="4">
        <v>13079999</v>
      </c>
      <c r="B191" s="4" t="s">
        <v>1005</v>
      </c>
      <c r="C191" s="5" t="s">
        <v>754</v>
      </c>
      <c r="D191" s="5" t="s">
        <v>1006</v>
      </c>
      <c r="E191" s="5" t="s">
        <v>1007</v>
      </c>
      <c r="F191" s="5" t="s">
        <v>1008</v>
      </c>
      <c r="G191" s="5" t="s">
        <v>1009</v>
      </c>
      <c r="H191" s="5">
        <v>1050127</v>
      </c>
      <c r="I191" s="8" t="s">
        <v>29</v>
      </c>
      <c r="J191" s="8" t="s">
        <v>37</v>
      </c>
      <c r="K191" s="5" t="s">
        <v>22</v>
      </c>
      <c r="L191" s="4">
        <v>13079999</v>
      </c>
    </row>
    <row r="192" spans="1:12">
      <c r="A192" s="4">
        <v>12896000</v>
      </c>
      <c r="B192" s="4" t="s">
        <v>1010</v>
      </c>
      <c r="C192" s="5" t="s">
        <v>890</v>
      </c>
      <c r="D192" s="5" t="s">
        <v>1011</v>
      </c>
      <c r="E192" s="5" t="s">
        <v>1012</v>
      </c>
      <c r="F192" s="5" t="s">
        <v>1013</v>
      </c>
      <c r="G192" s="6" t="s">
        <v>1014</v>
      </c>
      <c r="H192" s="5">
        <v>10505616</v>
      </c>
      <c r="I192" s="11" t="s">
        <v>87</v>
      </c>
      <c r="J192" s="11" t="s">
        <v>162</v>
      </c>
      <c r="K192" s="5" t="s">
        <v>22</v>
      </c>
      <c r="L192" s="4">
        <v>12896000</v>
      </c>
    </row>
    <row r="193" spans="1:12">
      <c r="A193" s="4">
        <v>12896866</v>
      </c>
      <c r="B193" s="4" t="s">
        <v>1015</v>
      </c>
      <c r="C193" s="5" t="s">
        <v>352</v>
      </c>
      <c r="D193" s="5" t="s">
        <v>352</v>
      </c>
      <c r="E193" s="5" t="s">
        <v>1016</v>
      </c>
      <c r="F193" s="5" t="s">
        <v>1017</v>
      </c>
      <c r="G193" s="5" t="s">
        <v>1018</v>
      </c>
      <c r="H193" s="5">
        <v>1050595</v>
      </c>
      <c r="I193" s="8" t="s">
        <v>898</v>
      </c>
      <c r="J193" s="8" t="s">
        <v>898</v>
      </c>
      <c r="K193" s="5" t="s">
        <v>22</v>
      </c>
      <c r="L193" s="4">
        <v>12896866</v>
      </c>
    </row>
    <row r="194" spans="1:12">
      <c r="A194" s="4">
        <v>12392999</v>
      </c>
      <c r="B194" s="4" t="s">
        <v>1019</v>
      </c>
      <c r="C194" s="5" t="s">
        <v>1020</v>
      </c>
      <c r="D194" s="5" t="s">
        <v>1021</v>
      </c>
      <c r="E194" s="5" t="s">
        <v>257</v>
      </c>
      <c r="F194" s="5" t="s">
        <v>1022</v>
      </c>
      <c r="G194" s="5" t="s">
        <v>1023</v>
      </c>
      <c r="H194" s="5">
        <v>1050610</v>
      </c>
      <c r="I194" s="11" t="s">
        <v>65</v>
      </c>
      <c r="J194" s="11" t="s">
        <v>162</v>
      </c>
      <c r="K194" s="5" t="s">
        <v>22</v>
      </c>
      <c r="L194" s="4">
        <v>12392999</v>
      </c>
    </row>
    <row r="195" spans="1:12">
      <c r="A195" s="4">
        <v>14193049</v>
      </c>
      <c r="B195" s="4" t="s">
        <v>1024</v>
      </c>
      <c r="C195" s="5" t="s">
        <v>1020</v>
      </c>
      <c r="D195" s="5" t="s">
        <v>1025</v>
      </c>
      <c r="E195" s="5" t="s">
        <v>251</v>
      </c>
      <c r="F195" s="5" t="s">
        <v>1026</v>
      </c>
      <c r="G195" s="5" t="s">
        <v>1027</v>
      </c>
      <c r="H195" s="5">
        <v>1050609</v>
      </c>
      <c r="I195" s="8" t="s">
        <v>65</v>
      </c>
      <c r="J195" s="8" t="s">
        <v>21</v>
      </c>
      <c r="K195" s="5" t="s">
        <v>22</v>
      </c>
      <c r="L195" s="4">
        <v>14193049</v>
      </c>
    </row>
    <row r="196" spans="1:12">
      <c r="A196" s="4">
        <v>6467952</v>
      </c>
      <c r="B196" s="4" t="s">
        <v>1028</v>
      </c>
      <c r="C196" s="5" t="s">
        <v>1020</v>
      </c>
      <c r="D196" s="5" t="s">
        <v>717</v>
      </c>
      <c r="E196" s="5" t="s">
        <v>1029</v>
      </c>
      <c r="F196" s="5" t="s">
        <v>1030</v>
      </c>
      <c r="G196" s="5" t="s">
        <v>1031</v>
      </c>
      <c r="H196" s="5">
        <v>1050633</v>
      </c>
      <c r="I196" s="8" t="s">
        <v>29</v>
      </c>
      <c r="J196" s="8" t="s">
        <v>130</v>
      </c>
      <c r="K196" s="5" t="s">
        <v>22</v>
      </c>
      <c r="L196" s="4">
        <v>6467952</v>
      </c>
    </row>
    <row r="197" spans="1:12">
      <c r="A197" s="4">
        <v>11840491</v>
      </c>
      <c r="B197" s="4" t="s">
        <v>1032</v>
      </c>
      <c r="C197" s="5" t="s">
        <v>706</v>
      </c>
      <c r="D197" s="5" t="s">
        <v>1033</v>
      </c>
      <c r="E197" s="5" t="s">
        <v>1034</v>
      </c>
      <c r="F197" s="5" t="s">
        <v>1035</v>
      </c>
      <c r="G197" s="6" t="s">
        <v>1036</v>
      </c>
      <c r="H197" s="5">
        <v>1050616</v>
      </c>
      <c r="I197" s="11" t="s">
        <v>87</v>
      </c>
      <c r="J197" s="11" t="s">
        <v>88</v>
      </c>
      <c r="K197" s="5" t="s">
        <v>22</v>
      </c>
      <c r="L197" s="4">
        <v>11840491</v>
      </c>
    </row>
    <row r="198" spans="1:12">
      <c r="A198" s="4">
        <v>13839512</v>
      </c>
      <c r="B198" s="4" t="s">
        <v>1037</v>
      </c>
      <c r="C198" s="5" t="s">
        <v>1038</v>
      </c>
      <c r="D198" s="5" t="s">
        <v>1039</v>
      </c>
      <c r="E198" s="5" t="s">
        <v>1040</v>
      </c>
      <c r="F198" s="5" t="s">
        <v>1041</v>
      </c>
      <c r="G198" s="5" t="s">
        <v>1042</v>
      </c>
      <c r="H198" s="5">
        <v>1050554</v>
      </c>
      <c r="I198" s="8" t="s">
        <v>2</v>
      </c>
      <c r="J198" s="8" t="s">
        <v>162</v>
      </c>
      <c r="K198" s="5" t="s">
        <v>22</v>
      </c>
      <c r="L198" s="4">
        <v>13839512</v>
      </c>
    </row>
    <row r="199" spans="1:12">
      <c r="A199" s="4">
        <v>21516766</v>
      </c>
      <c r="B199" s="4" t="s">
        <v>1043</v>
      </c>
      <c r="C199" s="5" t="s">
        <v>1044</v>
      </c>
      <c r="D199" s="5" t="s">
        <v>1045</v>
      </c>
      <c r="E199" s="5" t="s">
        <v>339</v>
      </c>
      <c r="F199" s="5" t="s">
        <v>1046</v>
      </c>
      <c r="G199" s="5" t="s">
        <v>1047</v>
      </c>
      <c r="H199" s="5">
        <v>1050556</v>
      </c>
      <c r="I199" s="8" t="s">
        <v>161</v>
      </c>
      <c r="J199" s="8" t="s">
        <v>162</v>
      </c>
      <c r="K199" s="5" t="s">
        <v>22</v>
      </c>
      <c r="L199" s="4">
        <v>21516766</v>
      </c>
    </row>
    <row r="200" spans="1:12">
      <c r="A200" s="4">
        <v>15436097</v>
      </c>
      <c r="B200" s="4" t="s">
        <v>1048</v>
      </c>
      <c r="C200" s="5" t="s">
        <v>403</v>
      </c>
      <c r="D200" s="5" t="s">
        <v>179</v>
      </c>
      <c r="E200" s="5" t="s">
        <v>339</v>
      </c>
      <c r="F200" s="5" t="s">
        <v>1049</v>
      </c>
      <c r="G200" s="5" t="s">
        <v>1050</v>
      </c>
      <c r="H200" s="5">
        <v>1050552</v>
      </c>
      <c r="I200" s="8" t="s">
        <v>321</v>
      </c>
      <c r="J200" s="8" t="s">
        <v>66</v>
      </c>
      <c r="K200" s="5" t="s">
        <v>22</v>
      </c>
      <c r="L200" s="4">
        <v>15436097</v>
      </c>
    </row>
    <row r="201" spans="1:12">
      <c r="A201" s="4">
        <v>10737908</v>
      </c>
      <c r="B201" s="4" t="s">
        <v>1051</v>
      </c>
      <c r="C201" s="5" t="s">
        <v>1052</v>
      </c>
      <c r="D201" s="5" t="s">
        <v>1053</v>
      </c>
      <c r="E201" s="5" t="s">
        <v>1054</v>
      </c>
      <c r="F201" s="5" t="s">
        <v>1055</v>
      </c>
      <c r="G201" s="5" t="s">
        <v>1056</v>
      </c>
      <c r="H201" s="5">
        <v>1050581</v>
      </c>
      <c r="I201" s="8" t="s">
        <v>29</v>
      </c>
      <c r="J201" s="8" t="s">
        <v>1057</v>
      </c>
      <c r="K201" s="5" t="s">
        <v>22</v>
      </c>
      <c r="L201" s="4">
        <v>10737908</v>
      </c>
    </row>
    <row r="202" spans="1:12">
      <c r="A202" s="4">
        <v>11123851</v>
      </c>
      <c r="B202" s="4" t="s">
        <v>1058</v>
      </c>
      <c r="C202" s="5" t="s">
        <v>1059</v>
      </c>
      <c r="D202" s="5" t="s">
        <v>83</v>
      </c>
      <c r="E202" s="5" t="s">
        <v>62</v>
      </c>
      <c r="F202" s="5" t="s">
        <v>1060</v>
      </c>
      <c r="G202" s="5" t="s">
        <v>1061</v>
      </c>
      <c r="H202" s="5">
        <v>1050595</v>
      </c>
      <c r="I202" s="8" t="s">
        <v>898</v>
      </c>
      <c r="J202" s="8" t="s">
        <v>898</v>
      </c>
      <c r="K202" s="5" t="s">
        <v>22</v>
      </c>
      <c r="L202" s="4">
        <v>11123851</v>
      </c>
    </row>
    <row r="203" spans="1:12">
      <c r="A203" s="4">
        <v>10572816</v>
      </c>
      <c r="B203" s="4" t="s">
        <v>1062</v>
      </c>
      <c r="C203" s="5" t="s">
        <v>61</v>
      </c>
      <c r="D203" s="5" t="s">
        <v>358</v>
      </c>
      <c r="E203" s="5" t="s">
        <v>165</v>
      </c>
      <c r="F203" s="5" t="s">
        <v>1063</v>
      </c>
      <c r="G203" s="5" t="s">
        <v>1064</v>
      </c>
      <c r="H203" s="5">
        <v>1050633</v>
      </c>
      <c r="I203" s="8" t="s">
        <v>29</v>
      </c>
      <c r="J203" s="8" t="s">
        <v>130</v>
      </c>
      <c r="K203" s="5" t="s">
        <v>22</v>
      </c>
      <c r="L203" s="4">
        <v>10572816</v>
      </c>
    </row>
    <row r="204" spans="1:12">
      <c r="A204" s="4">
        <v>15327501</v>
      </c>
      <c r="B204" s="4" t="s">
        <v>1065</v>
      </c>
      <c r="C204" s="5" t="s">
        <v>853</v>
      </c>
      <c r="D204" s="5" t="s">
        <v>1066</v>
      </c>
      <c r="E204" s="5" t="s">
        <v>1067</v>
      </c>
      <c r="F204" s="5" t="s">
        <v>1068</v>
      </c>
      <c r="G204" s="5" t="s">
        <v>1069</v>
      </c>
      <c r="H204" s="5">
        <v>1050632</v>
      </c>
      <c r="I204" s="11" t="s">
        <v>73</v>
      </c>
      <c r="J204" s="11" t="s">
        <v>513</v>
      </c>
      <c r="K204" s="5" t="s">
        <v>22</v>
      </c>
      <c r="L204" s="4">
        <v>15327501</v>
      </c>
    </row>
    <row r="205" spans="1:12">
      <c r="A205" s="4">
        <v>8881760</v>
      </c>
      <c r="B205" s="4" t="s">
        <v>1070</v>
      </c>
      <c r="C205" s="5" t="s">
        <v>1011</v>
      </c>
      <c r="D205" s="5" t="s">
        <v>1071</v>
      </c>
      <c r="E205" s="5" t="s">
        <v>1072</v>
      </c>
      <c r="F205" s="5" t="s">
        <v>1073</v>
      </c>
      <c r="G205" s="5" t="s">
        <v>1074</v>
      </c>
      <c r="H205" s="5">
        <v>1050574</v>
      </c>
      <c r="I205" s="11" t="s">
        <v>44</v>
      </c>
      <c r="J205" s="11" t="s">
        <v>45</v>
      </c>
      <c r="K205" s="5" t="s">
        <v>22</v>
      </c>
      <c r="L205" s="4">
        <v>8881760</v>
      </c>
    </row>
    <row r="206" spans="1:12">
      <c r="A206" s="4">
        <v>9959939</v>
      </c>
      <c r="B206" s="4" t="s">
        <v>1075</v>
      </c>
      <c r="C206" s="5" t="s">
        <v>748</v>
      </c>
      <c r="D206" s="5" t="s">
        <v>975</v>
      </c>
      <c r="E206" s="5" t="s">
        <v>1076</v>
      </c>
      <c r="F206" s="5" t="s">
        <v>1077</v>
      </c>
      <c r="G206" s="5" t="s">
        <v>1078</v>
      </c>
      <c r="H206" s="5">
        <v>1050556</v>
      </c>
      <c r="I206" s="8" t="s">
        <v>161</v>
      </c>
      <c r="J206" s="8" t="s">
        <v>147</v>
      </c>
      <c r="K206" s="5" t="s">
        <v>22</v>
      </c>
      <c r="L206" s="4">
        <v>9959939</v>
      </c>
    </row>
    <row r="207" spans="1:12">
      <c r="A207" s="4">
        <v>14182371</v>
      </c>
      <c r="B207" s="4" t="s">
        <v>1079</v>
      </c>
      <c r="C207" s="5" t="s">
        <v>191</v>
      </c>
      <c r="D207" s="5" t="s">
        <v>1080</v>
      </c>
      <c r="E207" s="5" t="s">
        <v>1081</v>
      </c>
      <c r="F207" s="5" t="s">
        <v>1082</v>
      </c>
      <c r="G207" s="5" t="s">
        <v>1082</v>
      </c>
      <c r="H207" s="5">
        <v>1050632</v>
      </c>
      <c r="I207" s="11" t="s">
        <v>73</v>
      </c>
      <c r="J207" s="11" t="s">
        <v>513</v>
      </c>
      <c r="K207" s="5" t="s">
        <v>22</v>
      </c>
      <c r="L207" s="4">
        <v>14182371</v>
      </c>
    </row>
    <row r="208" spans="1:12">
      <c r="A208" s="4">
        <v>16267560</v>
      </c>
      <c r="B208" s="4" t="s">
        <v>1083</v>
      </c>
      <c r="C208" s="14" t="s">
        <v>1084</v>
      </c>
      <c r="D208" s="14" t="s">
        <v>82</v>
      </c>
      <c r="E208" s="14" t="s">
        <v>1085</v>
      </c>
      <c r="F208" s="14" t="s">
        <v>1086</v>
      </c>
      <c r="G208" s="14" t="s">
        <v>1087</v>
      </c>
      <c r="H208" s="5">
        <v>1050554</v>
      </c>
      <c r="I208" s="8" t="s">
        <v>2</v>
      </c>
      <c r="J208" s="8" t="s">
        <v>66</v>
      </c>
      <c r="K208" s="5" t="s">
        <v>22</v>
      </c>
      <c r="L208" s="4">
        <v>16267560</v>
      </c>
    </row>
    <row r="209" spans="1:12">
      <c r="A209" s="4">
        <v>10311290</v>
      </c>
      <c r="B209" s="4" t="s">
        <v>1088</v>
      </c>
      <c r="C209" s="5" t="s">
        <v>944</v>
      </c>
      <c r="D209" s="5" t="s">
        <v>1089</v>
      </c>
      <c r="E209" s="5" t="s">
        <v>1090</v>
      </c>
      <c r="F209" s="5" t="s">
        <v>1091</v>
      </c>
      <c r="G209" s="5" t="s">
        <v>1092</v>
      </c>
      <c r="H209" s="7">
        <v>1050574</v>
      </c>
      <c r="I209" s="11" t="s">
        <v>44</v>
      </c>
      <c r="J209" s="11" t="s">
        <v>45</v>
      </c>
      <c r="K209" s="5" t="s">
        <v>22</v>
      </c>
      <c r="L209" s="4">
        <v>10311290</v>
      </c>
    </row>
    <row r="210" spans="1:12">
      <c r="A210" s="4">
        <v>7807741</v>
      </c>
      <c r="B210" s="4" t="s">
        <v>1093</v>
      </c>
      <c r="C210" s="5" t="s">
        <v>944</v>
      </c>
      <c r="D210" s="5" t="s">
        <v>185</v>
      </c>
      <c r="E210" s="5" t="s">
        <v>1094</v>
      </c>
      <c r="F210" s="5" t="s">
        <v>1095</v>
      </c>
      <c r="G210" s="5" t="s">
        <v>1096</v>
      </c>
      <c r="H210" s="5">
        <v>1050595</v>
      </c>
      <c r="I210" s="8" t="s">
        <v>898</v>
      </c>
      <c r="J210" s="8" t="s">
        <v>898</v>
      </c>
      <c r="K210" s="5" t="s">
        <v>22</v>
      </c>
      <c r="L210" s="4">
        <v>7807741</v>
      </c>
    </row>
    <row r="211" spans="1:12">
      <c r="A211" s="4">
        <v>13835927</v>
      </c>
      <c r="B211" s="4" t="s">
        <v>1097</v>
      </c>
      <c r="C211" s="5" t="s">
        <v>1098</v>
      </c>
      <c r="D211" s="5" t="s">
        <v>1006</v>
      </c>
      <c r="E211" s="5" t="s">
        <v>1099</v>
      </c>
      <c r="F211" s="5" t="s">
        <v>1100</v>
      </c>
      <c r="G211" s="5" t="s">
        <v>1101</v>
      </c>
      <c r="H211" s="5">
        <v>1050556</v>
      </c>
      <c r="I211" s="8" t="s">
        <v>161</v>
      </c>
      <c r="J211" s="19" t="s">
        <v>519</v>
      </c>
      <c r="K211" s="5" t="s">
        <v>22</v>
      </c>
      <c r="L211" s="4">
        <v>13835927</v>
      </c>
    </row>
    <row r="212" spans="1:12">
      <c r="A212" s="26">
        <v>12719073</v>
      </c>
      <c r="B212" s="27" t="s">
        <v>1102</v>
      </c>
      <c r="C212" s="28" t="s">
        <v>1103</v>
      </c>
      <c r="D212" s="28" t="s">
        <v>885</v>
      </c>
      <c r="E212" s="28" t="s">
        <v>1104</v>
      </c>
      <c r="F212" s="5" t="s">
        <v>1105</v>
      </c>
      <c r="G212" s="5" t="s">
        <v>1106</v>
      </c>
      <c r="H212" s="9">
        <v>1050603</v>
      </c>
      <c r="I212" s="21" t="s">
        <v>566</v>
      </c>
      <c r="J212" s="21" t="s">
        <v>566</v>
      </c>
      <c r="K212" s="5" t="s">
        <v>22</v>
      </c>
      <c r="L212" s="26">
        <v>12719073</v>
      </c>
    </row>
    <row r="213" spans="1:12">
      <c r="A213" s="4">
        <v>12175753</v>
      </c>
      <c r="B213" s="4" t="s">
        <v>1107</v>
      </c>
      <c r="C213" s="7" t="s">
        <v>1108</v>
      </c>
      <c r="D213" s="7" t="s">
        <v>126</v>
      </c>
      <c r="E213" s="7" t="s">
        <v>1109</v>
      </c>
      <c r="F213" s="7" t="s">
        <v>1110</v>
      </c>
      <c r="G213" s="7" t="s">
        <v>1111</v>
      </c>
      <c r="H213" s="5">
        <v>1050632</v>
      </c>
      <c r="I213" s="8" t="s">
        <v>1112</v>
      </c>
      <c r="J213" s="8" t="s">
        <v>1112</v>
      </c>
      <c r="K213" s="5" t="s">
        <v>22</v>
      </c>
      <c r="L213" s="4">
        <v>12175753</v>
      </c>
    </row>
    <row r="214" spans="1:12">
      <c r="A214" s="4">
        <v>13045231</v>
      </c>
      <c r="B214" s="4" t="s">
        <v>1113</v>
      </c>
      <c r="C214" s="14" t="s">
        <v>90</v>
      </c>
      <c r="D214" s="5" t="s">
        <v>48</v>
      </c>
      <c r="E214" s="5" t="s">
        <v>1099</v>
      </c>
      <c r="F214" s="5" t="s">
        <v>1114</v>
      </c>
      <c r="G214" s="5" t="s">
        <v>1115</v>
      </c>
      <c r="H214" s="5">
        <v>1050529</v>
      </c>
      <c r="I214" s="8" t="s">
        <v>604</v>
      </c>
      <c r="J214" s="8" t="s">
        <v>604</v>
      </c>
      <c r="K214" s="5" t="s">
        <v>22</v>
      </c>
      <c r="L214" s="4">
        <v>13045231</v>
      </c>
    </row>
    <row r="215" spans="1:12">
      <c r="A215" s="4">
        <v>14307619</v>
      </c>
      <c r="B215" s="4" t="s">
        <v>1116</v>
      </c>
      <c r="C215" s="14" t="s">
        <v>149</v>
      </c>
      <c r="D215" s="5" t="s">
        <v>150</v>
      </c>
      <c r="E215" s="5" t="s">
        <v>1117</v>
      </c>
      <c r="F215" s="5" t="s">
        <v>1118</v>
      </c>
      <c r="G215" s="5" t="s">
        <v>1119</v>
      </c>
      <c r="H215" s="5">
        <v>1050529</v>
      </c>
      <c r="I215" s="8" t="s">
        <v>604</v>
      </c>
      <c r="J215" s="8" t="s">
        <v>604</v>
      </c>
      <c r="K215" s="5" t="s">
        <v>22</v>
      </c>
      <c r="L215" s="4">
        <v>14307619</v>
      </c>
    </row>
    <row r="216" spans="1:12">
      <c r="A216" s="4">
        <v>15439409</v>
      </c>
      <c r="B216" s="4" t="s">
        <v>1120</v>
      </c>
      <c r="C216" s="14" t="s">
        <v>1121</v>
      </c>
      <c r="D216" s="5" t="s">
        <v>926</v>
      </c>
      <c r="E216" s="5" t="s">
        <v>1122</v>
      </c>
      <c r="F216" s="5" t="s">
        <v>1123</v>
      </c>
      <c r="G216" s="5" t="s">
        <v>1124</v>
      </c>
      <c r="H216" s="5">
        <v>1050529</v>
      </c>
      <c r="I216" s="8" t="s">
        <v>604</v>
      </c>
      <c r="J216" s="8" t="s">
        <v>604</v>
      </c>
      <c r="K216" s="5" t="s">
        <v>22</v>
      </c>
      <c r="L216" s="4">
        <v>15439409</v>
      </c>
    </row>
    <row r="217" spans="1:12">
      <c r="A217" s="4">
        <v>9774031</v>
      </c>
      <c r="B217" s="4" t="s">
        <v>1125</v>
      </c>
      <c r="C217" s="16" t="s">
        <v>184</v>
      </c>
      <c r="D217" s="16" t="s">
        <v>853</v>
      </c>
      <c r="E217" s="16" t="s">
        <v>881</v>
      </c>
      <c r="F217" s="16" t="s">
        <v>1126</v>
      </c>
      <c r="G217" s="16" t="s">
        <v>1127</v>
      </c>
      <c r="H217" s="7">
        <v>1050529</v>
      </c>
      <c r="I217" s="8" t="s">
        <v>242</v>
      </c>
      <c r="J217" s="8" t="s">
        <v>242</v>
      </c>
      <c r="K217" s="5" t="s">
        <v>22</v>
      </c>
      <c r="L217" s="4">
        <v>9774031</v>
      </c>
    </row>
    <row r="218" spans="1:12">
      <c r="A218" s="4">
        <v>8406841</v>
      </c>
      <c r="B218" s="4" t="s">
        <v>1128</v>
      </c>
      <c r="C218" s="14" t="s">
        <v>1129</v>
      </c>
      <c r="D218" s="5" t="s">
        <v>961</v>
      </c>
      <c r="E218" s="5" t="s">
        <v>1130</v>
      </c>
      <c r="F218" s="5" t="s">
        <v>1131</v>
      </c>
      <c r="G218" s="5" t="s">
        <v>1132</v>
      </c>
      <c r="H218" s="5">
        <v>1050529</v>
      </c>
      <c r="I218" s="8" t="s">
        <v>604</v>
      </c>
      <c r="J218" s="8" t="s">
        <v>604</v>
      </c>
      <c r="K218" s="5" t="s">
        <v>22</v>
      </c>
      <c r="L218" s="4">
        <v>8406841</v>
      </c>
    </row>
    <row r="219" spans="1:12">
      <c r="A219" s="4">
        <v>10042994</v>
      </c>
      <c r="B219" s="4" t="s">
        <v>1133</v>
      </c>
      <c r="C219" s="14" t="s">
        <v>1134</v>
      </c>
      <c r="D219" s="5" t="s">
        <v>1135</v>
      </c>
      <c r="E219" s="5" t="s">
        <v>1136</v>
      </c>
      <c r="F219" s="5" t="s">
        <v>1137</v>
      </c>
      <c r="G219" s="5" t="s">
        <v>1138</v>
      </c>
      <c r="H219" s="5">
        <v>1050529</v>
      </c>
      <c r="I219" s="8" t="s">
        <v>604</v>
      </c>
      <c r="J219" s="8" t="s">
        <v>604</v>
      </c>
      <c r="K219" s="5" t="s">
        <v>22</v>
      </c>
      <c r="L219" s="4">
        <v>10042994</v>
      </c>
    </row>
    <row r="220" spans="1:12">
      <c r="A220" s="4">
        <v>12093149</v>
      </c>
      <c r="B220" s="4" t="s">
        <v>1139</v>
      </c>
      <c r="C220" s="14" t="s">
        <v>69</v>
      </c>
      <c r="D220" s="5" t="s">
        <v>267</v>
      </c>
      <c r="E220" s="5" t="s">
        <v>1140</v>
      </c>
      <c r="F220" s="5" t="s">
        <v>1141</v>
      </c>
      <c r="G220" s="5" t="s">
        <v>1142</v>
      </c>
      <c r="H220" s="5">
        <v>1050529</v>
      </c>
      <c r="I220" s="8" t="s">
        <v>604</v>
      </c>
      <c r="J220" s="8" t="s">
        <v>604</v>
      </c>
      <c r="K220" s="5" t="s">
        <v>22</v>
      </c>
      <c r="L220" s="4">
        <v>12093149</v>
      </c>
    </row>
    <row r="221" spans="1:12">
      <c r="A221" s="4">
        <v>21318186</v>
      </c>
      <c r="B221" s="4" t="s">
        <v>1143</v>
      </c>
      <c r="C221" s="14" t="s">
        <v>332</v>
      </c>
      <c r="D221" s="5" t="s">
        <v>1144</v>
      </c>
      <c r="E221" s="5" t="s">
        <v>1145</v>
      </c>
      <c r="F221" s="5" t="s">
        <v>1146</v>
      </c>
      <c r="G221" s="5" t="s">
        <v>1147</v>
      </c>
      <c r="H221" s="5">
        <v>1050552</v>
      </c>
      <c r="I221" s="8" t="s">
        <v>321</v>
      </c>
      <c r="J221" s="8" t="s">
        <v>162</v>
      </c>
      <c r="K221" s="5" t="s">
        <v>22</v>
      </c>
      <c r="L221" s="4">
        <v>21318186</v>
      </c>
    </row>
    <row r="222" spans="1:12">
      <c r="A222" s="4">
        <v>15533689</v>
      </c>
      <c r="B222" s="4" t="s">
        <v>1148</v>
      </c>
      <c r="C222" s="14" t="s">
        <v>343</v>
      </c>
      <c r="D222" s="5" t="s">
        <v>1121</v>
      </c>
      <c r="E222" s="5" t="s">
        <v>802</v>
      </c>
      <c r="F222" s="5" t="s">
        <v>1149</v>
      </c>
      <c r="G222" s="5" t="s">
        <v>1150</v>
      </c>
      <c r="H222" s="5">
        <v>1050529</v>
      </c>
      <c r="I222" s="8" t="s">
        <v>604</v>
      </c>
      <c r="J222" s="8" t="s">
        <v>604</v>
      </c>
      <c r="K222" s="5" t="s">
        <v>22</v>
      </c>
      <c r="L222" s="4">
        <v>15533689</v>
      </c>
    </row>
    <row r="223" spans="1:12">
      <c r="A223" s="4">
        <v>15449281</v>
      </c>
      <c r="B223" s="4" t="s">
        <v>1151</v>
      </c>
      <c r="C223" s="14" t="s">
        <v>343</v>
      </c>
      <c r="D223" s="5" t="s">
        <v>765</v>
      </c>
      <c r="E223" s="5" t="s">
        <v>1152</v>
      </c>
      <c r="F223" s="5" t="s">
        <v>1153</v>
      </c>
      <c r="G223" s="5" t="s">
        <v>1154</v>
      </c>
      <c r="H223" s="5">
        <v>1050529</v>
      </c>
      <c r="I223" s="8" t="s">
        <v>604</v>
      </c>
      <c r="J223" s="8" t="s">
        <v>604</v>
      </c>
      <c r="K223" s="5" t="s">
        <v>22</v>
      </c>
      <c r="L223" s="4">
        <v>15449281</v>
      </c>
    </row>
    <row r="224" spans="1:12">
      <c r="A224" s="4">
        <v>8247677</v>
      </c>
      <c r="B224" s="4" t="s">
        <v>1155</v>
      </c>
      <c r="C224" s="14" t="s">
        <v>1156</v>
      </c>
      <c r="D224" s="5" t="s">
        <v>1157</v>
      </c>
      <c r="E224" s="5" t="s">
        <v>1158</v>
      </c>
      <c r="F224" s="5" t="s">
        <v>1159</v>
      </c>
      <c r="G224" s="5" t="s">
        <v>1160</v>
      </c>
      <c r="H224" s="5">
        <v>1050529</v>
      </c>
      <c r="I224" s="8" t="s">
        <v>604</v>
      </c>
      <c r="J224" s="8" t="s">
        <v>604</v>
      </c>
      <c r="K224" s="5" t="s">
        <v>22</v>
      </c>
      <c r="L224" s="4">
        <v>8247677</v>
      </c>
    </row>
    <row r="225" spans="1:12">
      <c r="A225" s="4">
        <v>16413939</v>
      </c>
      <c r="B225" s="4" t="s">
        <v>1161</v>
      </c>
      <c r="C225" s="14" t="s">
        <v>357</v>
      </c>
      <c r="D225" s="5" t="s">
        <v>606</v>
      </c>
      <c r="E225" s="5" t="s">
        <v>1162</v>
      </c>
      <c r="F225" s="5" t="s">
        <v>1163</v>
      </c>
      <c r="G225" s="14" t="s">
        <v>1164</v>
      </c>
      <c r="H225" s="5">
        <v>1050616</v>
      </c>
      <c r="I225" s="8" t="s">
        <v>87</v>
      </c>
      <c r="J225" s="8" t="s">
        <v>162</v>
      </c>
      <c r="K225" s="5" t="s">
        <v>22</v>
      </c>
      <c r="L225" s="4">
        <v>16413939</v>
      </c>
    </row>
    <row r="226" spans="1:12">
      <c r="A226" s="4">
        <v>7974375</v>
      </c>
      <c r="B226" s="4" t="s">
        <v>1165</v>
      </c>
      <c r="C226" s="14" t="s">
        <v>1166</v>
      </c>
      <c r="D226" s="5" t="s">
        <v>24</v>
      </c>
      <c r="E226" s="5" t="s">
        <v>1167</v>
      </c>
      <c r="F226" s="5" t="s">
        <v>1168</v>
      </c>
      <c r="G226" s="5" t="s">
        <v>1169</v>
      </c>
      <c r="H226" s="5">
        <v>1050529</v>
      </c>
      <c r="I226" s="8" t="s">
        <v>604</v>
      </c>
      <c r="J226" s="8" t="s">
        <v>604</v>
      </c>
      <c r="K226" s="5" t="s">
        <v>22</v>
      </c>
      <c r="L226" s="4">
        <v>7974375</v>
      </c>
    </row>
    <row r="227" spans="1:12">
      <c r="A227" s="4">
        <v>7815068</v>
      </c>
      <c r="B227" s="4" t="s">
        <v>1170</v>
      </c>
      <c r="C227" s="14" t="s">
        <v>1171</v>
      </c>
      <c r="D227" s="5" t="s">
        <v>343</v>
      </c>
      <c r="E227" s="5" t="s">
        <v>1172</v>
      </c>
      <c r="F227" s="5" t="s">
        <v>1173</v>
      </c>
      <c r="G227" s="5" t="s">
        <v>1174</v>
      </c>
      <c r="H227" s="5">
        <v>1050529</v>
      </c>
      <c r="I227" s="8" t="s">
        <v>604</v>
      </c>
      <c r="J227" s="8" t="s">
        <v>604</v>
      </c>
      <c r="K227" s="5" t="s">
        <v>22</v>
      </c>
      <c r="L227" s="4">
        <v>7815068</v>
      </c>
    </row>
    <row r="228" spans="1:12">
      <c r="A228" s="4">
        <v>15445100</v>
      </c>
      <c r="B228" s="4" t="s">
        <v>1175</v>
      </c>
      <c r="C228" s="14" t="s">
        <v>1176</v>
      </c>
      <c r="D228" s="5" t="s">
        <v>595</v>
      </c>
      <c r="E228" s="5" t="s">
        <v>749</v>
      </c>
      <c r="F228" s="5" t="s">
        <v>1177</v>
      </c>
      <c r="G228" s="5" t="s">
        <v>1178</v>
      </c>
      <c r="H228" s="5">
        <v>1050529</v>
      </c>
      <c r="I228" s="8" t="s">
        <v>604</v>
      </c>
      <c r="J228" s="8" t="s">
        <v>604</v>
      </c>
      <c r="K228" s="5" t="s">
        <v>22</v>
      </c>
      <c r="L228" s="4">
        <v>15445100</v>
      </c>
    </row>
    <row r="229" spans="1:12">
      <c r="A229" s="4">
        <v>15102640</v>
      </c>
      <c r="B229" s="4" t="s">
        <v>1179</v>
      </c>
      <c r="C229" s="14" t="s">
        <v>585</v>
      </c>
      <c r="D229" s="5" t="s">
        <v>848</v>
      </c>
      <c r="E229" s="5" t="s">
        <v>339</v>
      </c>
      <c r="F229" s="5" t="s">
        <v>1180</v>
      </c>
      <c r="G229" s="5" t="s">
        <v>1181</v>
      </c>
      <c r="H229" s="5">
        <v>1050529</v>
      </c>
      <c r="I229" s="8" t="s">
        <v>604</v>
      </c>
      <c r="J229" s="8" t="s">
        <v>604</v>
      </c>
      <c r="K229" s="5" t="s">
        <v>22</v>
      </c>
      <c r="L229" s="4">
        <v>15102640</v>
      </c>
    </row>
    <row r="230" spans="1:12">
      <c r="A230" s="4">
        <v>16649200</v>
      </c>
      <c r="B230" s="4" t="s">
        <v>1182</v>
      </c>
      <c r="C230" s="14" t="s">
        <v>25</v>
      </c>
      <c r="D230" s="5" t="s">
        <v>700</v>
      </c>
      <c r="E230" s="5" t="s">
        <v>1183</v>
      </c>
      <c r="F230" s="5" t="s">
        <v>1184</v>
      </c>
      <c r="G230" s="5" t="s">
        <v>1185</v>
      </c>
      <c r="H230" s="5">
        <v>1050529</v>
      </c>
      <c r="I230" s="8" t="s">
        <v>604</v>
      </c>
      <c r="J230" s="8" t="s">
        <v>604</v>
      </c>
      <c r="K230" s="5" t="s">
        <v>22</v>
      </c>
      <c r="L230" s="4">
        <v>16649200</v>
      </c>
    </row>
    <row r="231" spans="1:12">
      <c r="A231" s="4">
        <v>10033627</v>
      </c>
      <c r="B231" s="4" t="s">
        <v>1186</v>
      </c>
      <c r="C231" s="14" t="s">
        <v>1187</v>
      </c>
      <c r="D231" s="5" t="s">
        <v>368</v>
      </c>
      <c r="E231" s="5" t="s">
        <v>198</v>
      </c>
      <c r="F231" s="5" t="s">
        <v>1188</v>
      </c>
      <c r="G231" s="5" t="s">
        <v>1189</v>
      </c>
      <c r="H231" s="5">
        <v>1050529</v>
      </c>
      <c r="I231" s="8" t="s">
        <v>604</v>
      </c>
      <c r="J231" s="8" t="s">
        <v>604</v>
      </c>
      <c r="K231" s="5" t="s">
        <v>22</v>
      </c>
      <c r="L231" s="4">
        <v>10033627</v>
      </c>
    </row>
    <row r="232" spans="1:12">
      <c r="A232" s="4">
        <v>13835073</v>
      </c>
      <c r="B232" s="4" t="s">
        <v>1190</v>
      </c>
      <c r="C232" s="14" t="s">
        <v>1191</v>
      </c>
      <c r="D232" s="5" t="s">
        <v>1192</v>
      </c>
      <c r="E232" s="5" t="s">
        <v>1193</v>
      </c>
      <c r="F232" s="5" t="s">
        <v>1194</v>
      </c>
      <c r="G232" s="5" t="s">
        <v>1195</v>
      </c>
      <c r="H232" s="5">
        <v>1050529</v>
      </c>
      <c r="I232" s="8" t="s">
        <v>604</v>
      </c>
      <c r="J232" s="8" t="s">
        <v>604</v>
      </c>
      <c r="K232" s="5" t="s">
        <v>22</v>
      </c>
      <c r="L232" s="4">
        <v>13835073</v>
      </c>
    </row>
    <row r="233" spans="1:12">
      <c r="A233" s="4">
        <v>16169301</v>
      </c>
      <c r="B233" s="4" t="s">
        <v>1196</v>
      </c>
      <c r="C233" s="14" t="s">
        <v>1197</v>
      </c>
      <c r="D233" s="5" t="s">
        <v>1198</v>
      </c>
      <c r="E233" s="5" t="s">
        <v>1199</v>
      </c>
      <c r="F233" s="5" t="s">
        <v>1200</v>
      </c>
      <c r="G233" s="5" t="s">
        <v>1201</v>
      </c>
      <c r="H233" s="5">
        <v>1050529</v>
      </c>
      <c r="I233" s="8" t="s">
        <v>604</v>
      </c>
      <c r="J233" s="8" t="s">
        <v>604</v>
      </c>
      <c r="K233" s="5" t="s">
        <v>22</v>
      </c>
      <c r="L233" s="4">
        <v>16169301</v>
      </c>
    </row>
    <row r="234" spans="1:12">
      <c r="A234" s="4">
        <v>13284475</v>
      </c>
      <c r="B234" s="4" t="s">
        <v>1202</v>
      </c>
      <c r="C234" s="14" t="s">
        <v>732</v>
      </c>
      <c r="D234" s="5" t="s">
        <v>424</v>
      </c>
      <c r="E234" s="5" t="s">
        <v>1203</v>
      </c>
      <c r="F234" s="5" t="s">
        <v>1204</v>
      </c>
      <c r="G234" s="5" t="s">
        <v>1205</v>
      </c>
      <c r="H234" s="7">
        <v>1050551</v>
      </c>
      <c r="I234" s="8" t="s">
        <v>321</v>
      </c>
      <c r="J234" s="8" t="s">
        <v>249</v>
      </c>
      <c r="K234" s="5" t="s">
        <v>22</v>
      </c>
      <c r="L234" s="4">
        <v>13284475</v>
      </c>
    </row>
    <row r="235" spans="1:12">
      <c r="A235" s="4">
        <v>7816805</v>
      </c>
      <c r="B235" s="4" t="s">
        <v>1206</v>
      </c>
      <c r="C235" s="14" t="s">
        <v>569</v>
      </c>
      <c r="D235" s="5" t="s">
        <v>413</v>
      </c>
      <c r="E235" s="5" t="s">
        <v>1207</v>
      </c>
      <c r="F235" s="5" t="s">
        <v>1208</v>
      </c>
      <c r="G235" s="5" t="s">
        <v>1209</v>
      </c>
      <c r="H235" s="5">
        <v>1050529</v>
      </c>
      <c r="I235" s="8" t="s">
        <v>604</v>
      </c>
      <c r="J235" s="8" t="s">
        <v>604</v>
      </c>
      <c r="K235" s="5" t="s">
        <v>22</v>
      </c>
      <c r="L235" s="4">
        <v>7816805</v>
      </c>
    </row>
    <row r="236" spans="1:12">
      <c r="A236" s="4">
        <v>10042860</v>
      </c>
      <c r="B236" s="4" t="s">
        <v>1210</v>
      </c>
      <c r="C236" s="14" t="s">
        <v>1211</v>
      </c>
      <c r="D236" s="5" t="s">
        <v>444</v>
      </c>
      <c r="E236" s="5" t="s">
        <v>1212</v>
      </c>
      <c r="F236" s="5" t="s">
        <v>1213</v>
      </c>
      <c r="G236" s="5" t="s">
        <v>1214</v>
      </c>
      <c r="H236" s="5">
        <v>1050529</v>
      </c>
      <c r="I236" s="8" t="s">
        <v>604</v>
      </c>
      <c r="J236" s="8" t="s">
        <v>604</v>
      </c>
      <c r="K236" s="5" t="s">
        <v>22</v>
      </c>
      <c r="L236" s="4">
        <v>10042860</v>
      </c>
    </row>
    <row r="237" spans="1:12">
      <c r="A237" s="4">
        <v>14005587</v>
      </c>
      <c r="B237" s="4" t="s">
        <v>1215</v>
      </c>
      <c r="C237" s="14" t="s">
        <v>208</v>
      </c>
      <c r="D237" s="5" t="s">
        <v>1216</v>
      </c>
      <c r="E237" s="5" t="s">
        <v>1217</v>
      </c>
      <c r="F237" s="5" t="s">
        <v>1218</v>
      </c>
      <c r="G237" s="5" t="s">
        <v>1219</v>
      </c>
      <c r="H237" s="5">
        <v>1050529</v>
      </c>
      <c r="I237" s="8" t="s">
        <v>604</v>
      </c>
      <c r="J237" s="8" t="s">
        <v>604</v>
      </c>
      <c r="K237" s="5" t="s">
        <v>22</v>
      </c>
      <c r="L237" s="4">
        <v>14005587</v>
      </c>
    </row>
    <row r="238" spans="1:12">
      <c r="A238" s="4">
        <v>13836182</v>
      </c>
      <c r="B238" s="4" t="s">
        <v>1220</v>
      </c>
      <c r="C238" s="14" t="s">
        <v>754</v>
      </c>
      <c r="D238" s="5" t="s">
        <v>1221</v>
      </c>
      <c r="E238" s="5" t="s">
        <v>1222</v>
      </c>
      <c r="F238" s="5" t="s">
        <v>1223</v>
      </c>
      <c r="G238" s="5" t="s">
        <v>1224</v>
      </c>
      <c r="H238" s="5">
        <v>1050529</v>
      </c>
      <c r="I238" s="8" t="s">
        <v>604</v>
      </c>
      <c r="J238" s="8" t="s">
        <v>604</v>
      </c>
      <c r="K238" s="5" t="s">
        <v>22</v>
      </c>
      <c r="L238" s="4">
        <v>13836182</v>
      </c>
    </row>
    <row r="239" spans="1:12">
      <c r="A239" s="4">
        <v>13295279</v>
      </c>
      <c r="B239" s="4" t="s">
        <v>1225</v>
      </c>
      <c r="C239" s="14" t="s">
        <v>1226</v>
      </c>
      <c r="D239" s="5" t="s">
        <v>1227</v>
      </c>
      <c r="E239" s="5" t="s">
        <v>1228</v>
      </c>
      <c r="F239" s="5" t="s">
        <v>1229</v>
      </c>
      <c r="G239" s="5" t="s">
        <v>1230</v>
      </c>
      <c r="H239" s="5">
        <v>1050529</v>
      </c>
      <c r="I239" s="8" t="s">
        <v>604</v>
      </c>
      <c r="J239" s="8" t="s">
        <v>604</v>
      </c>
      <c r="K239" s="5" t="s">
        <v>22</v>
      </c>
      <c r="L239" s="4">
        <v>13295279</v>
      </c>
    </row>
    <row r="240" spans="1:12">
      <c r="A240" s="4">
        <v>10849486</v>
      </c>
      <c r="B240" s="4" t="s">
        <v>1231</v>
      </c>
      <c r="C240" s="14" t="s">
        <v>1232</v>
      </c>
      <c r="D240" s="5" t="s">
        <v>1166</v>
      </c>
      <c r="E240" s="5" t="s">
        <v>1233</v>
      </c>
      <c r="F240" s="5" t="s">
        <v>1234</v>
      </c>
      <c r="G240" s="5" t="s">
        <v>1235</v>
      </c>
      <c r="H240" s="5">
        <v>1050529</v>
      </c>
      <c r="I240" s="8" t="s">
        <v>604</v>
      </c>
      <c r="J240" s="8" t="s">
        <v>604</v>
      </c>
      <c r="K240" s="5" t="s">
        <v>22</v>
      </c>
      <c r="L240" s="4">
        <v>10849486</v>
      </c>
    </row>
    <row r="241" spans="1:255">
      <c r="A241" s="4">
        <v>15441831</v>
      </c>
      <c r="B241" s="4" t="s">
        <v>1236</v>
      </c>
      <c r="C241" s="14" t="s">
        <v>1237</v>
      </c>
      <c r="D241" s="5" t="s">
        <v>1238</v>
      </c>
      <c r="E241" s="5" t="s">
        <v>1239</v>
      </c>
      <c r="F241" s="5" t="s">
        <v>1240</v>
      </c>
      <c r="G241" s="14" t="s">
        <v>1241</v>
      </c>
      <c r="H241" s="5">
        <v>1050529</v>
      </c>
      <c r="I241" s="8" t="s">
        <v>604</v>
      </c>
      <c r="J241" s="8" t="s">
        <v>604</v>
      </c>
      <c r="K241" s="5" t="s">
        <v>22</v>
      </c>
      <c r="L241" s="4">
        <v>15441831</v>
      </c>
    </row>
    <row r="242" spans="1:255">
      <c r="A242" s="4">
        <v>13688839</v>
      </c>
      <c r="B242" s="4" t="s">
        <v>1242</v>
      </c>
      <c r="C242" s="5" t="s">
        <v>1243</v>
      </c>
      <c r="D242" s="5" t="s">
        <v>502</v>
      </c>
      <c r="E242" s="5" t="s">
        <v>1244</v>
      </c>
      <c r="F242" s="5" t="s">
        <v>1245</v>
      </c>
      <c r="G242" s="5" t="s">
        <v>1245</v>
      </c>
      <c r="H242" s="5">
        <v>1050616</v>
      </c>
      <c r="I242" s="8" t="s">
        <v>65</v>
      </c>
      <c r="J242" s="29" t="s">
        <v>249</v>
      </c>
      <c r="K242" s="5" t="s">
        <v>22</v>
      </c>
      <c r="L242" s="4">
        <v>13688839</v>
      </c>
    </row>
    <row r="243" spans="1:255">
      <c r="A243" s="30">
        <v>8110698</v>
      </c>
      <c r="B243" s="30" t="s">
        <v>1246</v>
      </c>
      <c r="C243" s="31" t="s">
        <v>939</v>
      </c>
      <c r="D243" s="31" t="s">
        <v>231</v>
      </c>
      <c r="E243" s="31" t="s">
        <v>1247</v>
      </c>
      <c r="F243" s="5" t="s">
        <v>1248</v>
      </c>
      <c r="G243" s="5" t="s">
        <v>1249</v>
      </c>
      <c r="H243" s="31">
        <v>1050632</v>
      </c>
      <c r="I243" s="11" t="s">
        <v>73</v>
      </c>
      <c r="J243" s="32" t="s">
        <v>513</v>
      </c>
      <c r="K243" s="31" t="s">
        <v>22</v>
      </c>
      <c r="L243" s="30">
        <v>8110698</v>
      </c>
    </row>
    <row r="244" spans="1:255">
      <c r="A244" s="4">
        <v>15444116</v>
      </c>
      <c r="B244" s="4" t="s">
        <v>1250</v>
      </c>
      <c r="C244" s="5" t="s">
        <v>1251</v>
      </c>
      <c r="D244" s="5" t="s">
        <v>1157</v>
      </c>
      <c r="E244" s="5" t="s">
        <v>728</v>
      </c>
      <c r="F244" s="5" t="s">
        <v>1252</v>
      </c>
      <c r="G244" s="5" t="s">
        <v>1253</v>
      </c>
      <c r="H244" s="5">
        <v>1050554</v>
      </c>
      <c r="I244" s="8" t="s">
        <v>2</v>
      </c>
      <c r="J244" s="8" t="s">
        <v>66</v>
      </c>
      <c r="K244" s="5" t="s">
        <v>22</v>
      </c>
      <c r="L244" s="4">
        <v>15444116</v>
      </c>
    </row>
    <row r="245" spans="1:255">
      <c r="A245" s="26">
        <v>16441596</v>
      </c>
      <c r="B245" s="4" t="s">
        <v>1254</v>
      </c>
      <c r="C245" s="5" t="s">
        <v>944</v>
      </c>
      <c r="D245" s="5" t="s">
        <v>1255</v>
      </c>
      <c r="E245" s="5" t="s">
        <v>1256</v>
      </c>
      <c r="F245" s="5" t="s">
        <v>1257</v>
      </c>
      <c r="G245" s="5" t="s">
        <v>1258</v>
      </c>
      <c r="H245" s="33">
        <v>1050604</v>
      </c>
      <c r="I245" s="8" t="s">
        <v>1259</v>
      </c>
      <c r="J245" s="8" t="s">
        <v>1260</v>
      </c>
      <c r="K245" s="5" t="s">
        <v>22</v>
      </c>
      <c r="L245" s="26">
        <v>16441596</v>
      </c>
    </row>
    <row r="246" spans="1:255">
      <c r="A246" s="26">
        <v>12210109</v>
      </c>
      <c r="B246" s="4" t="s">
        <v>1261</v>
      </c>
      <c r="C246" s="5" t="s">
        <v>1156</v>
      </c>
      <c r="D246" s="5" t="s">
        <v>700</v>
      </c>
      <c r="E246" s="5" t="s">
        <v>1262</v>
      </c>
      <c r="F246" s="5" t="s">
        <v>1263</v>
      </c>
      <c r="G246" s="5" t="s">
        <v>1264</v>
      </c>
      <c r="H246" s="33">
        <v>1050529</v>
      </c>
      <c r="I246" s="8" t="s">
        <v>242</v>
      </c>
      <c r="J246" s="8" t="s">
        <v>242</v>
      </c>
      <c r="K246" s="5" t="s">
        <v>22</v>
      </c>
      <c r="L246" s="26">
        <v>12210109</v>
      </c>
    </row>
    <row r="247" spans="1:255">
      <c r="A247" s="26">
        <v>9004326</v>
      </c>
      <c r="B247" s="26" t="s">
        <v>1265</v>
      </c>
      <c r="C247" s="33" t="s">
        <v>1266</v>
      </c>
      <c r="D247" s="33" t="s">
        <v>1033</v>
      </c>
      <c r="E247" s="33" t="s">
        <v>1267</v>
      </c>
      <c r="F247" s="5" t="s">
        <v>1268</v>
      </c>
      <c r="G247" s="33" t="s">
        <v>1269</v>
      </c>
      <c r="H247" s="33">
        <v>1050604</v>
      </c>
      <c r="I247" s="8" t="s">
        <v>1259</v>
      </c>
      <c r="J247" s="8" t="s">
        <v>1270</v>
      </c>
      <c r="K247" s="5" t="s">
        <v>22</v>
      </c>
      <c r="L247" s="26">
        <v>9004326</v>
      </c>
    </row>
    <row r="248" spans="1:255">
      <c r="A248" s="26">
        <v>14277186</v>
      </c>
      <c r="B248" s="34" t="s">
        <v>1271</v>
      </c>
      <c r="C248" s="33" t="s">
        <v>232</v>
      </c>
      <c r="D248" s="35" t="s">
        <v>352</v>
      </c>
      <c r="E248" s="33" t="s">
        <v>1272</v>
      </c>
      <c r="F248" s="5" t="s">
        <v>1273</v>
      </c>
      <c r="G248" s="36" t="s">
        <v>1274</v>
      </c>
      <c r="H248" s="33">
        <v>1050632</v>
      </c>
      <c r="I248" s="37" t="s">
        <v>73</v>
      </c>
      <c r="J248" s="8" t="s">
        <v>513</v>
      </c>
      <c r="K248" s="5" t="s">
        <v>22</v>
      </c>
      <c r="L248" s="26">
        <v>14277186</v>
      </c>
    </row>
    <row r="249" spans="1:255" s="74" customFormat="1">
      <c r="A249" s="26">
        <v>12896236</v>
      </c>
      <c r="B249" s="4" t="s">
        <v>1275</v>
      </c>
      <c r="C249" s="33" t="s">
        <v>1276</v>
      </c>
      <c r="D249" s="33" t="s">
        <v>33</v>
      </c>
      <c r="E249" s="33" t="s">
        <v>1277</v>
      </c>
      <c r="F249" s="5" t="s">
        <v>1278</v>
      </c>
      <c r="G249" s="4" t="s">
        <v>1279</v>
      </c>
      <c r="H249" s="33">
        <v>1050632</v>
      </c>
      <c r="I249" s="37" t="s">
        <v>73</v>
      </c>
      <c r="J249" s="8" t="s">
        <v>513</v>
      </c>
      <c r="K249" s="5" t="s">
        <v>22</v>
      </c>
      <c r="L249" s="26">
        <v>12896236</v>
      </c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s="74" customFormat="1">
      <c r="A250" s="26">
        <v>15391242</v>
      </c>
      <c r="B250" s="4" t="s">
        <v>1280</v>
      </c>
      <c r="C250" s="33" t="s">
        <v>469</v>
      </c>
      <c r="D250" s="33" t="s">
        <v>1281</v>
      </c>
      <c r="E250" s="33" t="s">
        <v>121</v>
      </c>
      <c r="F250" s="5" t="s">
        <v>1282</v>
      </c>
      <c r="G250" s="4" t="s">
        <v>1283</v>
      </c>
      <c r="H250" s="33">
        <v>1050632</v>
      </c>
      <c r="I250" s="37" t="s">
        <v>73</v>
      </c>
      <c r="J250" s="8" t="s">
        <v>513</v>
      </c>
      <c r="K250" s="5" t="s">
        <v>22</v>
      </c>
      <c r="L250" s="26">
        <v>15391242</v>
      </c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s="74" customFormat="1">
      <c r="A251" s="26">
        <v>16268829</v>
      </c>
      <c r="B251" s="4" t="s">
        <v>1284</v>
      </c>
      <c r="C251" s="33" t="s">
        <v>634</v>
      </c>
      <c r="D251" s="33" t="s">
        <v>179</v>
      </c>
      <c r="E251" s="33" t="s">
        <v>1285</v>
      </c>
      <c r="F251" s="33" t="s">
        <v>1286</v>
      </c>
      <c r="G251" s="4" t="s">
        <v>1287</v>
      </c>
      <c r="H251" s="33">
        <v>1050610</v>
      </c>
      <c r="I251" s="8" t="s">
        <v>65</v>
      </c>
      <c r="J251" s="8" t="s">
        <v>162</v>
      </c>
      <c r="K251" s="5" t="s">
        <v>22</v>
      </c>
      <c r="L251" s="26">
        <v>16268829</v>
      </c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s="74" customFormat="1">
      <c r="A252" s="26">
        <v>5738427</v>
      </c>
      <c r="B252" s="4" t="s">
        <v>1288</v>
      </c>
      <c r="C252" s="33" t="s">
        <v>25</v>
      </c>
      <c r="D252" s="33" t="s">
        <v>853</v>
      </c>
      <c r="E252" s="33" t="s">
        <v>1289</v>
      </c>
      <c r="F252" s="33" t="s">
        <v>1290</v>
      </c>
      <c r="G252" s="5" t="s">
        <v>1291</v>
      </c>
      <c r="H252" s="5">
        <v>1050603</v>
      </c>
      <c r="I252" s="8" t="s">
        <v>300</v>
      </c>
      <c r="J252" s="8" t="s">
        <v>300</v>
      </c>
      <c r="K252" s="5" t="s">
        <v>22</v>
      </c>
      <c r="L252" s="26">
        <v>5738427</v>
      </c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s="74" customFormat="1">
      <c r="A253" s="26">
        <v>18364293</v>
      </c>
      <c r="B253" s="4" t="s">
        <v>1292</v>
      </c>
      <c r="C253" s="33" t="s">
        <v>1293</v>
      </c>
      <c r="D253" s="33" t="s">
        <v>184</v>
      </c>
      <c r="E253" s="33" t="s">
        <v>1294</v>
      </c>
      <c r="F253" s="33" t="s">
        <v>1295</v>
      </c>
      <c r="G253" s="26" t="s">
        <v>1296</v>
      </c>
      <c r="H253" s="41">
        <v>1050604</v>
      </c>
      <c r="I253" s="41" t="s">
        <v>1259</v>
      </c>
      <c r="J253" s="41" t="s">
        <v>1348</v>
      </c>
      <c r="K253" s="41" t="s">
        <v>22</v>
      </c>
      <c r="L253" s="26">
        <v>18364293</v>
      </c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s="74" customFormat="1">
      <c r="A254" s="26">
        <v>18045411</v>
      </c>
      <c r="B254" s="4" t="s">
        <v>1297</v>
      </c>
      <c r="C254" s="33" t="s">
        <v>83</v>
      </c>
      <c r="D254" s="33" t="s">
        <v>83</v>
      </c>
      <c r="E254" s="33" t="s">
        <v>1298</v>
      </c>
      <c r="F254" s="33" t="s">
        <v>1299</v>
      </c>
      <c r="G254" s="26" t="s">
        <v>1300</v>
      </c>
      <c r="H254" s="41">
        <v>1050604</v>
      </c>
      <c r="I254" s="41" t="s">
        <v>1259</v>
      </c>
      <c r="J254" s="41" t="s">
        <v>1348</v>
      </c>
      <c r="K254" s="41" t="s">
        <v>22</v>
      </c>
      <c r="L254" s="26">
        <v>18045411</v>
      </c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s="74" customFormat="1">
      <c r="A255" s="84">
        <v>18187438</v>
      </c>
      <c r="B255" s="41" t="s">
        <v>1301</v>
      </c>
      <c r="C255" s="33" t="s">
        <v>1302</v>
      </c>
      <c r="D255" s="33" t="s">
        <v>1303</v>
      </c>
      <c r="E255" s="33" t="s">
        <v>1304</v>
      </c>
      <c r="F255" s="33" t="s">
        <v>1305</v>
      </c>
      <c r="G255" s="26" t="s">
        <v>1306</v>
      </c>
      <c r="H255" s="41">
        <v>1050604</v>
      </c>
      <c r="I255" s="41" t="s">
        <v>1259</v>
      </c>
      <c r="J255" s="41" t="s">
        <v>1348</v>
      </c>
      <c r="K255" s="41" t="s">
        <v>22</v>
      </c>
      <c r="L255" s="84">
        <v>18187438</v>
      </c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s="74" customFormat="1">
      <c r="A256" s="84">
        <v>17546614</v>
      </c>
      <c r="B256" s="41" t="s">
        <v>1307</v>
      </c>
      <c r="C256" s="33" t="s">
        <v>25</v>
      </c>
      <c r="D256" s="5" t="s">
        <v>1349</v>
      </c>
      <c r="E256" s="33" t="s">
        <v>1308</v>
      </c>
      <c r="F256" s="33" t="s">
        <v>1309</v>
      </c>
      <c r="G256" s="26" t="s">
        <v>1310</v>
      </c>
      <c r="H256" s="41">
        <v>1050633</v>
      </c>
      <c r="I256" s="41" t="s">
        <v>29</v>
      </c>
      <c r="J256" s="41" t="s">
        <v>1350</v>
      </c>
      <c r="K256" s="41" t="s">
        <v>22</v>
      </c>
      <c r="L256" s="84">
        <v>17546614</v>
      </c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s="74" customFormat="1">
      <c r="A257" s="84">
        <v>14005685</v>
      </c>
      <c r="B257" s="41" t="s">
        <v>1419</v>
      </c>
      <c r="C257" s="33" t="s">
        <v>687</v>
      </c>
      <c r="D257" s="33" t="s">
        <v>1311</v>
      </c>
      <c r="E257" s="33" t="s">
        <v>1312</v>
      </c>
      <c r="F257" s="33" t="s">
        <v>1313</v>
      </c>
      <c r="G257" s="26" t="s">
        <v>1314</v>
      </c>
      <c r="H257" s="41">
        <v>1050633</v>
      </c>
      <c r="I257" s="41" t="s">
        <v>29</v>
      </c>
      <c r="J257" s="41" t="s">
        <v>1350</v>
      </c>
      <c r="K257" s="41" t="s">
        <v>22</v>
      </c>
      <c r="L257" s="84">
        <v>14005685</v>
      </c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s="74" customFormat="1">
      <c r="A258" s="84">
        <v>23040236</v>
      </c>
      <c r="B258" s="41" t="s">
        <v>1351</v>
      </c>
      <c r="C258" s="5" t="s">
        <v>785</v>
      </c>
      <c r="D258" s="5" t="s">
        <v>791</v>
      </c>
      <c r="E258" s="5" t="s">
        <v>1315</v>
      </c>
      <c r="F258" s="5" t="s">
        <v>1316</v>
      </c>
      <c r="G258" s="5" t="s">
        <v>1317</v>
      </c>
      <c r="H258" s="41">
        <v>1050506</v>
      </c>
      <c r="I258" s="41" t="s">
        <v>29</v>
      </c>
      <c r="J258" s="41" t="s">
        <v>1350</v>
      </c>
      <c r="K258" s="41" t="s">
        <v>22</v>
      </c>
      <c r="L258" s="84">
        <v>23040236</v>
      </c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s="74" customFormat="1">
      <c r="A259" s="84">
        <v>11267622</v>
      </c>
      <c r="B259" s="84" t="s">
        <v>1352</v>
      </c>
      <c r="C259" s="33" t="s">
        <v>606</v>
      </c>
      <c r="D259" s="33" t="s">
        <v>895</v>
      </c>
      <c r="E259" s="33" t="s">
        <v>1353</v>
      </c>
      <c r="F259" s="33" t="s">
        <v>1354</v>
      </c>
      <c r="G259" s="26" t="s">
        <v>1355</v>
      </c>
      <c r="H259" s="41">
        <v>1050633</v>
      </c>
      <c r="I259" s="41" t="s">
        <v>29</v>
      </c>
      <c r="J259" s="41" t="s">
        <v>1350</v>
      </c>
      <c r="K259" s="41" t="s">
        <v>22</v>
      </c>
      <c r="L259" s="84">
        <v>11267622</v>
      </c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s="74" customFormat="1">
      <c r="A260" s="41">
        <v>16558908</v>
      </c>
      <c r="B260" s="41" t="s">
        <v>1356</v>
      </c>
      <c r="C260" s="33" t="s">
        <v>1357</v>
      </c>
      <c r="D260" s="33" t="s">
        <v>33</v>
      </c>
      <c r="E260" s="33" t="s">
        <v>415</v>
      </c>
      <c r="F260" s="33" t="s">
        <v>1358</v>
      </c>
      <c r="G260" s="26" t="s">
        <v>1359</v>
      </c>
      <c r="H260" s="41">
        <v>1050529</v>
      </c>
      <c r="I260" s="55" t="s">
        <v>242</v>
      </c>
      <c r="J260" s="114" t="s">
        <v>242</v>
      </c>
      <c r="K260" s="41" t="s">
        <v>22</v>
      </c>
      <c r="L260" s="41">
        <v>16558908</v>
      </c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>
      <c r="A261" s="75"/>
      <c r="B261" s="75"/>
      <c r="C261" s="5"/>
      <c r="D261" s="5"/>
      <c r="E261" s="5"/>
      <c r="F261" s="5"/>
      <c r="G261" s="5"/>
      <c r="H261" s="5"/>
      <c r="I261" s="8"/>
      <c r="J261" s="8"/>
      <c r="K261" s="5"/>
      <c r="L261" s="75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BF700"/>
  <sheetViews>
    <sheetView topLeftCell="I1" zoomScaleNormal="100" workbookViewId="0">
      <selection activeCell="P12" sqref="P12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40.7109375" customWidth="1"/>
    <col min="13" max="14" width="15.7109375" customWidth="1"/>
    <col min="15" max="15" width="19" customWidth="1"/>
    <col min="16" max="16" width="15.7109375" customWidth="1"/>
    <col min="17" max="18" width="7.85546875" customWidth="1"/>
    <col min="19" max="19" width="11.7109375" customWidth="1"/>
    <col min="20" max="30" width="7.85546875" customWidth="1"/>
    <col min="33" max="33" width="43.5703125" bestFit="1" customWidth="1"/>
    <col min="37" max="37" width="12.28515625" bestFit="1" customWidth="1"/>
    <col min="38" max="38" width="14.28515625" customWidth="1"/>
    <col min="39" max="39" width="12.28515625" bestFit="1" customWidth="1"/>
    <col min="40" max="46" width="7" customWidth="1"/>
    <col min="48" max="48" width="2.28515625" customWidth="1"/>
    <col min="49" max="55" width="6.5703125" customWidth="1"/>
    <col min="57" max="57" width="2.7109375" customWidth="1"/>
  </cols>
  <sheetData>
    <row r="3" spans="1:58" ht="18.75">
      <c r="A3" s="39" t="s">
        <v>1318</v>
      </c>
      <c r="B3" s="39" t="s">
        <v>11</v>
      </c>
      <c r="C3" s="39" t="s">
        <v>1319</v>
      </c>
      <c r="D3" s="39" t="s">
        <v>1320</v>
      </c>
      <c r="E3" s="39" t="s">
        <v>1321</v>
      </c>
      <c r="H3" s="40" t="s">
        <v>4</v>
      </c>
      <c r="K3" s="43" t="s">
        <v>1323</v>
      </c>
      <c r="L3" s="107">
        <v>9</v>
      </c>
    </row>
    <row r="4" spans="1:58" ht="18.75">
      <c r="A4" s="41" t="str">
        <f>IF(Base!B2="","",Base!B2)</f>
        <v>06.434.911-2</v>
      </c>
      <c r="B4" s="41" t="str">
        <f>IF(Base!F2="","",Base!F2)</f>
        <v>EDUARDO   ABARCA  JARA</v>
      </c>
      <c r="C4" s="41" t="str">
        <f>IF(Base!I2="","",Base!I2)</f>
        <v>Linea 2</v>
      </c>
      <c r="D4" s="42" t="str">
        <f>IF(Base!J2="","",Base!J2)</f>
        <v>Despalletizador</v>
      </c>
      <c r="E4" s="41">
        <f>IF(Base!H2="","",Base!H2)</f>
        <v>1050553</v>
      </c>
      <c r="H4" s="40" t="s">
        <v>1322</v>
      </c>
      <c r="K4" s="43" t="s">
        <v>1404</v>
      </c>
      <c r="L4" s="107" t="s">
        <v>1407</v>
      </c>
      <c r="AG4" s="68" t="s">
        <v>1379</v>
      </c>
    </row>
    <row r="5" spans="1:58" ht="18.75">
      <c r="A5" s="41" t="str">
        <f>IF(Base!B3="","",Base!B3)</f>
        <v>08.224.093-4</v>
      </c>
      <c r="B5" s="41" t="str">
        <f>IF(Base!F3="","",Base!F3)</f>
        <v>MARIO DEL TRANSITO  ACEVEDO  MARTINEZ</v>
      </c>
      <c r="C5" s="41" t="str">
        <f>IF(Base!I3="","",Base!I3)</f>
        <v>Abastecimiento</v>
      </c>
      <c r="D5" s="42" t="str">
        <f>IF(Base!J3="","",Base!J3)</f>
        <v>Control Ingresos Cen</v>
      </c>
      <c r="E5" s="41">
        <f>IF(Base!H3="","",Base!H3)</f>
        <v>1050126</v>
      </c>
      <c r="H5" s="40" t="s">
        <v>1324</v>
      </c>
      <c r="K5" s="43" t="s">
        <v>1325</v>
      </c>
      <c r="L5" s="108">
        <v>2011</v>
      </c>
      <c r="Q5" s="88"/>
      <c r="AG5" s="68" t="s">
        <v>1380</v>
      </c>
    </row>
    <row r="6" spans="1:58">
      <c r="A6" s="41" t="str">
        <f>IF(Base!B4="","",Base!B4)</f>
        <v>12.677.439-7</v>
      </c>
      <c r="B6" s="41" t="str">
        <f>IF(Base!F4="","",Base!F4)</f>
        <v>ANDRES RAUL  AEDO  MUÑOZ</v>
      </c>
      <c r="C6" s="41" t="str">
        <f>IF(Base!I4="","",Base!I4)</f>
        <v>Abastecimiento</v>
      </c>
      <c r="D6" s="42" t="str">
        <f>IF(Base!J4="","",Base!J4)</f>
        <v>Preparación de Insum</v>
      </c>
      <c r="E6" s="41">
        <f>IF(Base!H4="","",Base!H4)</f>
        <v>1050127</v>
      </c>
      <c r="H6" s="40" t="s">
        <v>1338</v>
      </c>
    </row>
    <row r="7" spans="1:58">
      <c r="A7" s="41" t="str">
        <f>IF(Base!B5="","",Base!B5)</f>
        <v>08.809.784-K</v>
      </c>
      <c r="B7" s="41" t="str">
        <f>IF(Base!F5="","",Base!F5)</f>
        <v>CARLOS ANTONIO  AGUILERA  LABRIN</v>
      </c>
      <c r="C7" s="41" t="str">
        <f>IF(Base!I5="","",Base!I5)</f>
        <v>Sala filtros</v>
      </c>
      <c r="D7" s="42" t="str">
        <f>IF(Base!J5="","",Base!J5)</f>
        <v>Operador sala de filtros</v>
      </c>
      <c r="E7" s="41">
        <f>IF(Base!H5="","",Base!H5)</f>
        <v>1050574</v>
      </c>
      <c r="H7" s="40" t="s">
        <v>1405</v>
      </c>
      <c r="AP7" s="68" t="s">
        <v>1382</v>
      </c>
      <c r="AY7" s="68" t="s">
        <v>1383</v>
      </c>
    </row>
    <row r="8" spans="1:58" ht="14.25">
      <c r="A8" s="41" t="str">
        <f>IF(Base!B6="","",Base!B6)</f>
        <v>16.191.666-8</v>
      </c>
      <c r="B8" s="41" t="str">
        <f>IF(Base!F6="","",Base!F6)</f>
        <v>KAREN FABIOLA  ALARCON  SILVA</v>
      </c>
      <c r="C8" s="41" t="str">
        <f>IF(Base!I6="","",Base!I6)</f>
        <v>Abastecimiento</v>
      </c>
      <c r="D8" s="42" t="str">
        <f>IF(Base!J6="","",Base!J6)</f>
        <v>Reimpresión</v>
      </c>
      <c r="E8" s="41">
        <f>IF(Base!H6="","",Base!H6)</f>
        <v>1050506</v>
      </c>
      <c r="Q8" s="129" t="s">
        <v>1420</v>
      </c>
      <c r="R8" s="131"/>
      <c r="S8" s="129" t="str">
        <f>(TEXT(LEFT(Q8,2)+1,"dd")&amp;"."&amp;MID(Q8,4,2)&amp;"."&amp;RIGHT(Q8,4))</f>
        <v>12.04.2011</v>
      </c>
      <c r="T8" s="130"/>
      <c r="U8" s="129" t="str">
        <f t="shared" ref="U8" si="0">(TEXT(LEFT(S8,2)+1,"dd")&amp;"."&amp;MID(S8,4,2)&amp;"."&amp;RIGHT(S8,4))</f>
        <v>13.04.2011</v>
      </c>
      <c r="V8" s="130"/>
      <c r="W8" s="129" t="str">
        <f t="shared" ref="W8" si="1">(TEXT(LEFT(U8,2)+1,"dd")&amp;"."&amp;MID(U8,4,2)&amp;"."&amp;RIGHT(U8,4))</f>
        <v>14.04.2011</v>
      </c>
      <c r="X8" s="130"/>
      <c r="Y8" s="129" t="str">
        <f t="shared" ref="Y8" si="2">(TEXT(LEFT(W8,2)+1,"dd")&amp;"."&amp;MID(W8,4,2)&amp;"."&amp;RIGHT(W8,4))</f>
        <v>15.04.2011</v>
      </c>
      <c r="Z8" s="130"/>
      <c r="AA8" s="129" t="str">
        <f t="shared" ref="AA8" si="3">(TEXT(LEFT(Y8,2)+1,"dd")&amp;"."&amp;MID(Y8,4,2)&amp;"."&amp;RIGHT(Y8,4))</f>
        <v>16.04.2011</v>
      </c>
      <c r="AB8" s="130"/>
      <c r="AC8" s="129" t="str">
        <f t="shared" ref="AC8" si="4">(TEXT(LEFT(AA8,2)+1,"dd")&amp;"."&amp;MID(AA8,4,2)&amp;"."&amp;RIGHT(AA8,4))</f>
        <v>17.04.2011</v>
      </c>
      <c r="AD8" s="130"/>
    </row>
    <row r="9" spans="1:58" ht="14.25">
      <c r="A9" s="41" t="str">
        <f>IF(Base!B7="","",Base!B7)</f>
        <v>07.760.886-9</v>
      </c>
      <c r="B9" s="41" t="str">
        <f>IF(Base!F7="","",Base!F7)</f>
        <v>OSCAR ALFREDO  ALBORNOZ  ROA</v>
      </c>
      <c r="C9" s="41" t="str">
        <f>IF(Base!I7="","",Base!I7)</f>
        <v>Abastecimiento</v>
      </c>
      <c r="D9" s="42" t="str">
        <f>IF(Base!J7="","",Base!J7)</f>
        <v>Preparación de Insum</v>
      </c>
      <c r="E9" s="41">
        <f>IF(Base!H7="","",Base!H7)</f>
        <v>1050127</v>
      </c>
      <c r="J9" s="44"/>
      <c r="K9" s="44"/>
      <c r="L9" s="44"/>
      <c r="M9" s="45"/>
      <c r="N9" s="45"/>
      <c r="O9" s="45"/>
      <c r="P9" s="45"/>
      <c r="Q9" s="129" t="s">
        <v>1397</v>
      </c>
      <c r="R9" s="131"/>
      <c r="S9" s="129" t="s">
        <v>1398</v>
      </c>
      <c r="T9" s="131"/>
      <c r="U9" s="129" t="s">
        <v>1399</v>
      </c>
      <c r="V9" s="131"/>
      <c r="W9" s="129" t="s">
        <v>1400</v>
      </c>
      <c r="X9" s="131"/>
      <c r="Y9" s="129" t="s">
        <v>1401</v>
      </c>
      <c r="Z9" s="131"/>
      <c r="AA9" s="129" t="s">
        <v>1402</v>
      </c>
      <c r="AB9" s="131"/>
      <c r="AC9" s="129" t="s">
        <v>1403</v>
      </c>
      <c r="AD9" s="131"/>
      <c r="AE9" s="125"/>
      <c r="AF9" s="126"/>
      <c r="AG9" s="127" t="s">
        <v>3</v>
      </c>
      <c r="AR9" s="66"/>
      <c r="AS9" s="66"/>
      <c r="AT9" s="66"/>
      <c r="AU9" s="66"/>
      <c r="AV9" s="66"/>
    </row>
    <row r="10" spans="1:58" ht="14.25">
      <c r="A10" s="41" t="str">
        <f>IF(Base!B8="","",Base!B8)</f>
        <v>13.838.747-K</v>
      </c>
      <c r="B10" s="41" t="str">
        <f>IF(Base!F8="","",Base!F8)</f>
        <v>MAURICIO  ALLENDES  VARGAS</v>
      </c>
      <c r="C10" s="41" t="str">
        <f>IF(Base!I8="","",Base!I8)</f>
        <v>Linea 6</v>
      </c>
      <c r="D10" s="42" t="str">
        <f>IF(Base!J8="","",Base!J8)</f>
        <v>Embalador</v>
      </c>
      <c r="E10" s="41">
        <f>IF(Base!H8="","",Base!H8)</f>
        <v>1050610</v>
      </c>
      <c r="H10" s="40" t="s">
        <v>1407</v>
      </c>
      <c r="J10" s="46" t="s">
        <v>1326</v>
      </c>
      <c r="K10" s="46" t="s">
        <v>1318</v>
      </c>
      <c r="L10" s="46" t="s">
        <v>1327</v>
      </c>
      <c r="M10" s="47" t="s">
        <v>1328</v>
      </c>
      <c r="N10" s="47" t="s">
        <v>1329</v>
      </c>
      <c r="O10" s="47" t="s">
        <v>1330</v>
      </c>
      <c r="P10" s="47" t="s">
        <v>0</v>
      </c>
      <c r="Q10" s="48">
        <v>0.5</v>
      </c>
      <c r="R10" s="48">
        <v>1</v>
      </c>
      <c r="S10" s="48">
        <v>0.5</v>
      </c>
      <c r="T10" s="48">
        <v>1</v>
      </c>
      <c r="U10" s="48">
        <v>0.5</v>
      </c>
      <c r="V10" s="48">
        <v>1</v>
      </c>
      <c r="W10" s="48">
        <v>0.5</v>
      </c>
      <c r="X10" s="48">
        <v>1</v>
      </c>
      <c r="Y10" s="48">
        <v>0.5</v>
      </c>
      <c r="Z10" s="48">
        <v>1</v>
      </c>
      <c r="AA10" s="48">
        <v>0.5</v>
      </c>
      <c r="AB10" s="48">
        <v>1</v>
      </c>
      <c r="AC10" s="48">
        <v>0.5</v>
      </c>
      <c r="AD10" s="48">
        <v>1</v>
      </c>
      <c r="AE10" s="48">
        <v>0.5</v>
      </c>
      <c r="AF10" s="48">
        <v>1</v>
      </c>
      <c r="AG10" s="128"/>
      <c r="AN10" s="67" t="str">
        <f>Q8</f>
        <v>11.04.2011</v>
      </c>
      <c r="AO10" s="67" t="str">
        <f>S8</f>
        <v>12.04.2011</v>
      </c>
      <c r="AP10" s="67" t="str">
        <f>U8</f>
        <v>13.04.2011</v>
      </c>
      <c r="AQ10" s="67" t="str">
        <f>W8</f>
        <v>14.04.2011</v>
      </c>
      <c r="AR10" s="67" t="str">
        <f>Y8</f>
        <v>15.04.2011</v>
      </c>
      <c r="AS10" s="67" t="str">
        <f>AA8</f>
        <v>16.04.2011</v>
      </c>
      <c r="AT10" s="67" t="str">
        <f>AC8</f>
        <v>17.04.2011</v>
      </c>
      <c r="AU10" s="48" t="s">
        <v>1331</v>
      </c>
      <c r="AW10" s="67" t="str">
        <f>AN10</f>
        <v>11.04.2011</v>
      </c>
      <c r="AX10" s="67" t="str">
        <f t="shared" ref="AX10:BC10" si="5">AO10</f>
        <v>12.04.2011</v>
      </c>
      <c r="AY10" s="67" t="str">
        <f t="shared" si="5"/>
        <v>13.04.2011</v>
      </c>
      <c r="AZ10" s="67" t="str">
        <f t="shared" si="5"/>
        <v>14.04.2011</v>
      </c>
      <c r="BA10" s="67" t="str">
        <f t="shared" si="5"/>
        <v>15.04.2011</v>
      </c>
      <c r="BB10" s="67" t="str">
        <f t="shared" si="5"/>
        <v>16.04.2011</v>
      </c>
      <c r="BC10" s="67" t="str">
        <f t="shared" si="5"/>
        <v>17.04.2011</v>
      </c>
      <c r="BD10" s="48" t="s">
        <v>1331</v>
      </c>
      <c r="BF10" s="48" t="s">
        <v>1331</v>
      </c>
    </row>
    <row r="11" spans="1:58" ht="13.5">
      <c r="A11" s="41" t="str">
        <f>IF(Base!B9="","",Base!B9)</f>
        <v>22.637.242-3</v>
      </c>
      <c r="B11" s="41" t="str">
        <f>IF(Base!F9="","",Base!F9)</f>
        <v>MARISOL  ALVAREZ  CONTRERAS</v>
      </c>
      <c r="C11" s="41" t="str">
        <f>IF(Base!I9="","",Base!I9)</f>
        <v>Control y Gestión</v>
      </c>
      <c r="D11" s="42" t="str">
        <f>IF(Base!J9="","",Base!J9)</f>
        <v>Analista  control</v>
      </c>
      <c r="E11" s="41">
        <f>IF(Base!H9="","",Base!H9)</f>
        <v>1050632</v>
      </c>
      <c r="H11" s="40" t="s">
        <v>1408</v>
      </c>
      <c r="J11" s="49">
        <v>1</v>
      </c>
      <c r="K11" s="115" t="s">
        <v>726</v>
      </c>
      <c r="L11" s="111" t="str">
        <f>IF(K11="","",VLOOKUP($K11,A:D,2,FALSE))</f>
        <v>MANUEL  ORTIZ  CONTRERAS</v>
      </c>
      <c r="M11" s="111">
        <f>IF(K11="","",VLOOKUP(K11,A:E,5,FALSE))</f>
        <v>1050557</v>
      </c>
      <c r="N11" s="112" t="str">
        <f>IF(K11="","",VLOOKUP(K11,A:C,3,FALSE))</f>
        <v>Linea 4</v>
      </c>
      <c r="O11" s="112" t="str">
        <f>IF(K11="","",VLOOKUP(K11,A:D,4,FALSE))</f>
        <v>Llenador</v>
      </c>
      <c r="P11" s="51" t="s">
        <v>4</v>
      </c>
      <c r="Q11" s="52">
        <v>2.5</v>
      </c>
      <c r="R11" s="116"/>
      <c r="S11" s="52"/>
      <c r="T11" s="116"/>
      <c r="U11" s="52">
        <v>2.5</v>
      </c>
      <c r="V11" s="116"/>
      <c r="W11" s="52"/>
      <c r="X11" s="116"/>
      <c r="Y11" s="52"/>
      <c r="Z11" s="116"/>
      <c r="AA11" s="52"/>
      <c r="AB11" s="116"/>
      <c r="AC11" s="52"/>
      <c r="AD11" s="116"/>
      <c r="AE11" s="53">
        <f>SUM(Q11,S11,U11,W11,Y11,AA11,AC11)</f>
        <v>5</v>
      </c>
      <c r="AF11" s="53">
        <f>SUM(R11,T11,V11,X11,Z11,AB11,AD11)</f>
        <v>0</v>
      </c>
      <c r="AG11" s="54"/>
      <c r="AL11" s="41" t="str">
        <f>IF(K11="","",K11)</f>
        <v>09.503.712-7</v>
      </c>
      <c r="AM11" s="41">
        <v>2</v>
      </c>
      <c r="AN11" s="41">
        <f>Q11</f>
        <v>2.5</v>
      </c>
      <c r="AO11" s="41">
        <f>S11</f>
        <v>0</v>
      </c>
      <c r="AP11" s="41">
        <f>U11</f>
        <v>2.5</v>
      </c>
      <c r="AQ11" s="41">
        <f>W11</f>
        <v>0</v>
      </c>
      <c r="AR11" s="41">
        <f>Y11</f>
        <v>0</v>
      </c>
      <c r="AS11" s="41">
        <f>AA11</f>
        <v>0</v>
      </c>
      <c r="AT11" s="41">
        <f>AC11</f>
        <v>0</v>
      </c>
      <c r="AU11" s="55">
        <f>IF(SUM(AN11:AT11)=0,0,SUM(AN11:AT11))</f>
        <v>5</v>
      </c>
      <c r="AW11" s="41">
        <f>R11</f>
        <v>0</v>
      </c>
      <c r="AX11" s="41">
        <f>T11</f>
        <v>0</v>
      </c>
      <c r="AY11" s="41">
        <f>V11</f>
        <v>0</v>
      </c>
      <c r="AZ11" s="41">
        <f>X11</f>
        <v>0</v>
      </c>
      <c r="BA11" s="41">
        <f>Z11</f>
        <v>0</v>
      </c>
      <c r="BB11" s="41">
        <f>AB11</f>
        <v>0</v>
      </c>
      <c r="BC11" s="41">
        <f>AD11</f>
        <v>0</v>
      </c>
      <c r="BD11" s="55">
        <f>IF(SUM(AW11:BC11)=0,0,SUM(AW11:BC11))</f>
        <v>0</v>
      </c>
      <c r="BF11" s="41">
        <f>SUM(AU11+BD11)</f>
        <v>5</v>
      </c>
    </row>
    <row r="12" spans="1:58" ht="13.5">
      <c r="A12" s="41" t="str">
        <f>IF(Base!B10="","",Base!B10)</f>
        <v>17.609.782-5</v>
      </c>
      <c r="B12" s="41" t="str">
        <f>IF(Base!F10="","",Base!F10)</f>
        <v>CRISTIAN DANIEL  ALVAREZ  REYES</v>
      </c>
      <c r="C12" s="41" t="str">
        <f>IF(Base!I10="","",Base!I10)</f>
        <v>Abastecimiento</v>
      </c>
      <c r="D12" s="42" t="str">
        <f>IF(Base!J10="","",Base!J10)</f>
        <v>Almacen Envases Pirq</v>
      </c>
      <c r="E12" s="41">
        <f>IF(Base!H10="","",Base!H10)</f>
        <v>1050162</v>
      </c>
      <c r="H12" s="40" t="s">
        <v>1409</v>
      </c>
      <c r="J12" s="49">
        <v>2</v>
      </c>
      <c r="K12" s="115" t="s">
        <v>968</v>
      </c>
      <c r="L12" s="111" t="str">
        <f t="shared" ref="L12:L75" si="6">IF(K12="","",VLOOKUP($K12,A:D,2,FALSE))</f>
        <v>LUIS ALBERTO  SALINAS  SALDIAS</v>
      </c>
      <c r="M12" s="111">
        <f t="shared" ref="M12:M75" si="7">IF(K12="","",VLOOKUP(K12,A:E,5,FALSE))</f>
        <v>1050565</v>
      </c>
      <c r="N12" s="112" t="str">
        <f t="shared" ref="N12:N75" si="8">IF(K12="","",VLOOKUP(K12,A:C,3,FALSE))</f>
        <v>Reprocesos</v>
      </c>
      <c r="O12" s="112" t="str">
        <f t="shared" ref="O12:O75" si="9">IF(K12="","",VLOOKUP(K12,A:D,4,FALSE))</f>
        <v>Encargado</v>
      </c>
      <c r="P12" s="51" t="s">
        <v>4</v>
      </c>
      <c r="Q12" s="56"/>
      <c r="R12" s="49"/>
      <c r="S12" s="56">
        <v>2.5</v>
      </c>
      <c r="T12" s="49"/>
      <c r="U12" s="56">
        <v>2.5</v>
      </c>
      <c r="V12" s="49"/>
      <c r="W12" s="56"/>
      <c r="X12" s="49"/>
      <c r="Y12" s="56"/>
      <c r="Z12" s="49"/>
      <c r="AA12" s="56"/>
      <c r="AB12" s="49"/>
      <c r="AC12" s="56"/>
      <c r="AD12" s="49"/>
      <c r="AE12" s="53">
        <f t="shared" ref="AE12:AE20" si="10">SUM(Q12,S12,U12,W12,Y12,AA12,AC12)</f>
        <v>5</v>
      </c>
      <c r="AF12" s="53">
        <f t="shared" ref="AF12:AF20" si="11">SUM(R12,T12,V12,X12,Z12,AB12,AD12)</f>
        <v>0</v>
      </c>
      <c r="AG12" s="54"/>
      <c r="AL12" s="41" t="str">
        <f t="shared" ref="AL12:AL24" si="12">IF(K12="","",K12)</f>
        <v>15.891.790-4</v>
      </c>
      <c r="AM12" s="41">
        <v>3</v>
      </c>
      <c r="AN12" s="41">
        <f t="shared" ref="AN12:AN75" si="13">Q12</f>
        <v>0</v>
      </c>
      <c r="AO12" s="41">
        <f t="shared" ref="AO12:AO75" si="14">S12</f>
        <v>2.5</v>
      </c>
      <c r="AP12" s="41">
        <f t="shared" ref="AP12:AP75" si="15">U12</f>
        <v>2.5</v>
      </c>
      <c r="AQ12" s="41">
        <f t="shared" ref="AQ12:AQ75" si="16">W12</f>
        <v>0</v>
      </c>
      <c r="AR12" s="41">
        <f t="shared" ref="AR12:AR75" si="17">Y12</f>
        <v>0</v>
      </c>
      <c r="AS12" s="41">
        <f t="shared" ref="AS12:AS75" si="18">AA12</f>
        <v>0</v>
      </c>
      <c r="AT12" s="41">
        <f t="shared" ref="AT12:AT75" si="19">AC12</f>
        <v>0</v>
      </c>
      <c r="AU12" s="55">
        <f t="shared" ref="AU12:AU75" si="20">IF(SUM(AN12:AT12)=0,0,SUM(AN12:AT12))</f>
        <v>5</v>
      </c>
      <c r="AW12" s="41">
        <f t="shared" ref="AW12:AW30" si="21">R12</f>
        <v>0</v>
      </c>
      <c r="AX12" s="41">
        <f t="shared" ref="AX12:AX30" si="22">T12</f>
        <v>0</v>
      </c>
      <c r="AY12" s="41">
        <f t="shared" ref="AY12:AY30" si="23">V12</f>
        <v>0</v>
      </c>
      <c r="AZ12" s="41">
        <f t="shared" ref="AZ12:AZ30" si="24">X12</f>
        <v>0</v>
      </c>
      <c r="BA12" s="41">
        <f t="shared" ref="BA12:BA30" si="25">Z12</f>
        <v>0</v>
      </c>
      <c r="BB12" s="41">
        <f t="shared" ref="BB12:BB30" si="26">AB12</f>
        <v>0</v>
      </c>
      <c r="BC12" s="41">
        <f t="shared" ref="BC12:BC30" si="27">AD12</f>
        <v>0</v>
      </c>
      <c r="BD12" s="55">
        <f t="shared" ref="BD12:BD30" si="28">IF(SUM(AW12:BC12)=0,0,SUM(AW12:BC12))</f>
        <v>0</v>
      </c>
      <c r="BF12" s="41">
        <f t="shared" ref="BF12:BF75" si="29">SUM(AU12+BD12)</f>
        <v>5</v>
      </c>
    </row>
    <row r="13" spans="1:58" ht="14.25">
      <c r="A13" s="41" t="str">
        <f>IF(Base!B11="","",Base!B11)</f>
        <v>10.846.598-0</v>
      </c>
      <c r="B13" s="41" t="str">
        <f>IF(Base!F11="","",Base!F11)</f>
        <v>RODOLFO ALBERTO  ALVEAR  GONZALEZ</v>
      </c>
      <c r="C13" s="41" t="str">
        <f>IF(Base!I11="","",Base!I11)</f>
        <v>Linea 7</v>
      </c>
      <c r="D13" s="42" t="str">
        <f>IF(Base!J11="","",Base!J11)</f>
        <v>Palletizador</v>
      </c>
      <c r="E13" s="41">
        <f>IF(Base!H11="","",Base!H11)</f>
        <v>1050616</v>
      </c>
      <c r="H13" s="40" t="s">
        <v>1410</v>
      </c>
      <c r="J13" s="49">
        <v>3</v>
      </c>
      <c r="K13" s="115" t="s">
        <v>230</v>
      </c>
      <c r="L13" s="111" t="str">
        <f t="shared" si="6"/>
        <v>JUAN A  CASTAÑEDA  SANHUEZA</v>
      </c>
      <c r="M13" s="111">
        <f t="shared" si="7"/>
        <v>1050574</v>
      </c>
      <c r="N13" s="112" t="str">
        <f t="shared" si="8"/>
        <v>Sala filtros</v>
      </c>
      <c r="O13" s="112" t="str">
        <f t="shared" si="9"/>
        <v>Operador sala de filtros</v>
      </c>
      <c r="P13" s="51" t="s">
        <v>1324</v>
      </c>
      <c r="Q13" s="56"/>
      <c r="R13" s="117">
        <v>7.5</v>
      </c>
      <c r="S13" s="56"/>
      <c r="T13" s="49"/>
      <c r="U13" s="56"/>
      <c r="V13" s="49"/>
      <c r="W13" s="56"/>
      <c r="X13" s="49"/>
      <c r="Y13" s="56"/>
      <c r="Z13" s="49"/>
      <c r="AA13" s="56"/>
      <c r="AB13" s="49"/>
      <c r="AC13" s="56"/>
      <c r="AD13" s="49"/>
      <c r="AE13" s="53">
        <f t="shared" si="10"/>
        <v>0</v>
      </c>
      <c r="AF13" s="53">
        <f t="shared" si="11"/>
        <v>7.5</v>
      </c>
      <c r="AG13" s="54"/>
      <c r="AL13" s="41" t="str">
        <f t="shared" si="12"/>
        <v>08.465.592-9</v>
      </c>
      <c r="AM13" s="41">
        <v>4</v>
      </c>
      <c r="AN13" s="41">
        <f t="shared" si="13"/>
        <v>0</v>
      </c>
      <c r="AO13" s="41">
        <f t="shared" si="14"/>
        <v>0</v>
      </c>
      <c r="AP13" s="41">
        <f t="shared" si="15"/>
        <v>0</v>
      </c>
      <c r="AQ13" s="41">
        <f t="shared" si="16"/>
        <v>0</v>
      </c>
      <c r="AR13" s="41">
        <f t="shared" si="17"/>
        <v>0</v>
      </c>
      <c r="AS13" s="41">
        <f t="shared" si="18"/>
        <v>0</v>
      </c>
      <c r="AT13" s="41">
        <f t="shared" si="19"/>
        <v>0</v>
      </c>
      <c r="AU13" s="55">
        <f t="shared" si="20"/>
        <v>0</v>
      </c>
      <c r="AW13" s="41">
        <f t="shared" si="21"/>
        <v>7.5</v>
      </c>
      <c r="AX13" s="41">
        <f t="shared" si="22"/>
        <v>0</v>
      </c>
      <c r="AY13" s="41">
        <f t="shared" si="23"/>
        <v>0</v>
      </c>
      <c r="AZ13" s="41">
        <f t="shared" si="24"/>
        <v>0</v>
      </c>
      <c r="BA13" s="41">
        <f t="shared" si="25"/>
        <v>0</v>
      </c>
      <c r="BB13" s="41">
        <f t="shared" si="26"/>
        <v>0</v>
      </c>
      <c r="BC13" s="41">
        <f t="shared" si="27"/>
        <v>0</v>
      </c>
      <c r="BD13" s="55">
        <f t="shared" si="28"/>
        <v>7.5</v>
      </c>
      <c r="BF13" s="41">
        <f t="shared" si="29"/>
        <v>7.5</v>
      </c>
    </row>
    <row r="14" spans="1:58" ht="14.25">
      <c r="A14" s="41" t="str">
        <f>IF(Base!B12="","",Base!B12)</f>
        <v>12.093.228-4</v>
      </c>
      <c r="B14" s="41" t="str">
        <f>IF(Base!F12="","",Base!F12)</f>
        <v>CRISTIAN  ARANCIBIA  NIETO</v>
      </c>
      <c r="C14" s="41" t="str">
        <f>IF(Base!I12="","",Base!I12)</f>
        <v>Abastecimiento</v>
      </c>
      <c r="D14" s="42" t="str">
        <f>IF(Base!J12="","",Base!J12)</f>
        <v>Preparación de Insum</v>
      </c>
      <c r="E14" s="41">
        <f>IF(Base!H12="","",Base!H12)</f>
        <v>1050127</v>
      </c>
      <c r="H14" s="40" t="s">
        <v>1411</v>
      </c>
      <c r="J14" s="49">
        <v>4</v>
      </c>
      <c r="K14" s="115" t="s">
        <v>1070</v>
      </c>
      <c r="L14" s="111" t="str">
        <f t="shared" si="6"/>
        <v>MANUEL ORLANDO  VEGA  LEYTON</v>
      </c>
      <c r="M14" s="111">
        <f t="shared" si="7"/>
        <v>1050574</v>
      </c>
      <c r="N14" s="112" t="str">
        <f t="shared" si="8"/>
        <v>Sala filtros</v>
      </c>
      <c r="O14" s="112" t="str">
        <f t="shared" si="9"/>
        <v>Operador sala de filtros</v>
      </c>
      <c r="P14" s="51" t="s">
        <v>1324</v>
      </c>
      <c r="Q14" s="56"/>
      <c r="R14" s="117">
        <v>7.5</v>
      </c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3">
        <f t="shared" si="10"/>
        <v>0</v>
      </c>
      <c r="AF14" s="53">
        <f t="shared" si="11"/>
        <v>7.5</v>
      </c>
      <c r="AG14" s="54" t="s">
        <v>1363</v>
      </c>
      <c r="AL14" s="41" t="str">
        <f t="shared" si="12"/>
        <v>08.881.760-5</v>
      </c>
      <c r="AM14" s="41">
        <v>5</v>
      </c>
      <c r="AN14" s="41">
        <f t="shared" si="13"/>
        <v>0</v>
      </c>
      <c r="AO14" s="41">
        <f t="shared" si="14"/>
        <v>0</v>
      </c>
      <c r="AP14" s="41">
        <f t="shared" si="15"/>
        <v>0</v>
      </c>
      <c r="AQ14" s="41">
        <f t="shared" si="16"/>
        <v>0</v>
      </c>
      <c r="AR14" s="41">
        <f t="shared" si="17"/>
        <v>0</v>
      </c>
      <c r="AS14" s="41">
        <f t="shared" si="18"/>
        <v>0</v>
      </c>
      <c r="AT14" s="41">
        <f t="shared" si="19"/>
        <v>0</v>
      </c>
      <c r="AU14" s="55">
        <f t="shared" si="20"/>
        <v>0</v>
      </c>
      <c r="AW14" s="41">
        <f t="shared" si="21"/>
        <v>7.5</v>
      </c>
      <c r="AX14" s="41">
        <f t="shared" si="22"/>
        <v>0</v>
      </c>
      <c r="AY14" s="41">
        <f t="shared" si="23"/>
        <v>0</v>
      </c>
      <c r="AZ14" s="41">
        <f t="shared" si="24"/>
        <v>0</v>
      </c>
      <c r="BA14" s="41">
        <f t="shared" si="25"/>
        <v>0</v>
      </c>
      <c r="BB14" s="41">
        <f t="shared" si="26"/>
        <v>0</v>
      </c>
      <c r="BC14" s="41">
        <f t="shared" si="27"/>
        <v>0</v>
      </c>
      <c r="BD14" s="55">
        <f t="shared" si="28"/>
        <v>7.5</v>
      </c>
      <c r="BF14" s="41">
        <f t="shared" si="29"/>
        <v>7.5</v>
      </c>
    </row>
    <row r="15" spans="1:58" ht="13.5">
      <c r="A15" s="41" t="str">
        <f>IF(Base!B13="","",Base!B13)</f>
        <v>09.960.185-K</v>
      </c>
      <c r="B15" s="41" t="str">
        <f>IF(Base!F13="","",Base!F13)</f>
        <v>ERIC PATRICIO  ARANCIBIA  QUINTANA</v>
      </c>
      <c r="C15" s="41" t="str">
        <f>IF(Base!I13="","",Base!I13)</f>
        <v>Ingeniero Proceso</v>
      </c>
      <c r="D15" s="42" t="str">
        <f>IF(Base!J13="","",Base!J13)</f>
        <v>Ingeniero Proceso</v>
      </c>
      <c r="E15" s="41">
        <f>IF(Base!H13="","",Base!H13)</f>
        <v>1050502</v>
      </c>
      <c r="H15" s="40" t="s">
        <v>1406</v>
      </c>
      <c r="J15" s="49">
        <v>5</v>
      </c>
      <c r="K15" s="115" t="s">
        <v>679</v>
      </c>
      <c r="L15" s="111" t="str">
        <f t="shared" si="6"/>
        <v>JULIO  NADEAU  JOFRE</v>
      </c>
      <c r="M15" s="111">
        <f t="shared" si="7"/>
        <v>1050574</v>
      </c>
      <c r="N15" s="112" t="str">
        <f t="shared" si="8"/>
        <v>Control y Gestión</v>
      </c>
      <c r="O15" s="112" t="str">
        <f t="shared" si="9"/>
        <v>Analista  almacén</v>
      </c>
      <c r="P15" s="51" t="s">
        <v>1338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>
        <v>6</v>
      </c>
      <c r="AB15" s="56"/>
      <c r="AC15" s="56"/>
      <c r="AD15" s="56"/>
      <c r="AE15" s="53">
        <f t="shared" si="10"/>
        <v>6</v>
      </c>
      <c r="AF15" s="53">
        <f t="shared" si="11"/>
        <v>0</v>
      </c>
      <c r="AG15" s="54" t="s">
        <v>1363</v>
      </c>
      <c r="AL15" s="41" t="str">
        <f t="shared" si="12"/>
        <v>15.437.429-9</v>
      </c>
      <c r="AM15" s="41">
        <v>6</v>
      </c>
      <c r="AN15" s="41">
        <f t="shared" si="13"/>
        <v>0</v>
      </c>
      <c r="AO15" s="41">
        <f t="shared" si="14"/>
        <v>0</v>
      </c>
      <c r="AP15" s="41">
        <f t="shared" si="15"/>
        <v>0</v>
      </c>
      <c r="AQ15" s="41">
        <f t="shared" si="16"/>
        <v>0</v>
      </c>
      <c r="AR15" s="41">
        <f t="shared" si="17"/>
        <v>0</v>
      </c>
      <c r="AS15" s="41">
        <f t="shared" si="18"/>
        <v>6</v>
      </c>
      <c r="AT15" s="41">
        <f t="shared" si="19"/>
        <v>0</v>
      </c>
      <c r="AU15" s="55">
        <f t="shared" si="20"/>
        <v>6</v>
      </c>
      <c r="AW15" s="41">
        <f t="shared" si="21"/>
        <v>0</v>
      </c>
      <c r="AX15" s="41">
        <f t="shared" si="22"/>
        <v>0</v>
      </c>
      <c r="AY15" s="41">
        <f t="shared" si="23"/>
        <v>0</v>
      </c>
      <c r="AZ15" s="41">
        <f t="shared" si="24"/>
        <v>0</v>
      </c>
      <c r="BA15" s="41">
        <f t="shared" si="25"/>
        <v>0</v>
      </c>
      <c r="BB15" s="41">
        <f t="shared" si="26"/>
        <v>0</v>
      </c>
      <c r="BC15" s="41">
        <f t="shared" si="27"/>
        <v>0</v>
      </c>
      <c r="BD15" s="55">
        <f t="shared" si="28"/>
        <v>0</v>
      </c>
      <c r="BF15" s="41">
        <f t="shared" si="29"/>
        <v>6</v>
      </c>
    </row>
    <row r="16" spans="1:58" ht="13.5">
      <c r="A16" s="41" t="str">
        <f>IF(Base!B14="","",Base!B14)</f>
        <v>08.283.277-7</v>
      </c>
      <c r="B16" s="41" t="str">
        <f>IF(Base!F14="","",Base!F14)</f>
        <v>LEONARDO ALFREDO  ARANCIBIA  VILLARROEL</v>
      </c>
      <c r="C16" s="41" t="str">
        <f>IF(Base!I14="","",Base!I14)</f>
        <v>Abastecimiento</v>
      </c>
      <c r="D16" s="42" t="str">
        <f>IF(Base!J14="","",Base!J14)</f>
        <v>Preparación de Insum</v>
      </c>
      <c r="E16" s="41">
        <f>IF(Base!H14="","",Base!H14)</f>
        <v>1050127</v>
      </c>
      <c r="H16" s="40" t="s">
        <v>1412</v>
      </c>
      <c r="J16" s="49">
        <v>6</v>
      </c>
      <c r="K16" s="115" t="s">
        <v>1113</v>
      </c>
      <c r="L16" s="111" t="str">
        <f t="shared" si="6"/>
        <v>FELIPE  ARANCIBIA  SILVA</v>
      </c>
      <c r="M16" s="111">
        <f t="shared" si="7"/>
        <v>1050529</v>
      </c>
      <c r="N16" s="112" t="str">
        <f t="shared" si="8"/>
        <v xml:space="preserve">Setup </v>
      </c>
      <c r="O16" s="112" t="str">
        <f t="shared" si="9"/>
        <v xml:space="preserve">Setup </v>
      </c>
      <c r="P16" s="51" t="s">
        <v>4</v>
      </c>
      <c r="Q16" s="56"/>
      <c r="R16" s="49"/>
      <c r="S16" s="56"/>
      <c r="T16" s="49"/>
      <c r="U16" s="56"/>
      <c r="V16" s="49"/>
      <c r="W16" s="56"/>
      <c r="X16" s="49"/>
      <c r="Y16" s="56">
        <v>1</v>
      </c>
      <c r="Z16" s="49"/>
      <c r="AA16" s="56"/>
      <c r="AB16" s="49"/>
      <c r="AC16" s="56"/>
      <c r="AD16" s="49"/>
      <c r="AE16" s="53">
        <f t="shared" si="10"/>
        <v>1</v>
      </c>
      <c r="AF16" s="53">
        <f t="shared" si="11"/>
        <v>0</v>
      </c>
      <c r="AG16" s="54"/>
      <c r="AL16" s="41" t="str">
        <f t="shared" si="12"/>
        <v>13.045.231-0</v>
      </c>
      <c r="AM16" s="41">
        <v>7</v>
      </c>
      <c r="AN16" s="41">
        <f t="shared" si="13"/>
        <v>0</v>
      </c>
      <c r="AO16" s="41">
        <f t="shared" si="14"/>
        <v>0</v>
      </c>
      <c r="AP16" s="41">
        <f t="shared" si="15"/>
        <v>0</v>
      </c>
      <c r="AQ16" s="41">
        <f t="shared" si="16"/>
        <v>0</v>
      </c>
      <c r="AR16" s="41">
        <f t="shared" si="17"/>
        <v>1</v>
      </c>
      <c r="AS16" s="41">
        <f t="shared" si="18"/>
        <v>0</v>
      </c>
      <c r="AT16" s="41">
        <f t="shared" si="19"/>
        <v>0</v>
      </c>
      <c r="AU16" s="55">
        <f t="shared" si="20"/>
        <v>1</v>
      </c>
      <c r="AW16" s="41">
        <f t="shared" si="21"/>
        <v>0</v>
      </c>
      <c r="AX16" s="41">
        <f t="shared" si="22"/>
        <v>0</v>
      </c>
      <c r="AY16" s="41">
        <f t="shared" si="23"/>
        <v>0</v>
      </c>
      <c r="AZ16" s="41">
        <f t="shared" si="24"/>
        <v>0</v>
      </c>
      <c r="BA16" s="41">
        <f t="shared" si="25"/>
        <v>0</v>
      </c>
      <c r="BB16" s="41">
        <f t="shared" si="26"/>
        <v>0</v>
      </c>
      <c r="BC16" s="41">
        <f t="shared" si="27"/>
        <v>0</v>
      </c>
      <c r="BD16" s="55">
        <f t="shared" si="28"/>
        <v>0</v>
      </c>
      <c r="BF16" s="41">
        <f t="shared" si="29"/>
        <v>1</v>
      </c>
    </row>
    <row r="17" spans="1:58" ht="14.25">
      <c r="A17" s="41" t="str">
        <f>IF(Base!B15="","",Base!B15)</f>
        <v>09.471.557-1</v>
      </c>
      <c r="B17" s="41" t="str">
        <f>IF(Base!F15="","",Base!F15)</f>
        <v>SANDRA  ARANGUIZ  ALIAGA</v>
      </c>
      <c r="C17" s="41" t="str">
        <f>IF(Base!I15="","",Base!I15)</f>
        <v>Linea 7</v>
      </c>
      <c r="D17" s="42" t="str">
        <f>IF(Base!J15="","",Base!J15)</f>
        <v>Armado cajas</v>
      </c>
      <c r="E17" s="41">
        <f>IF(Base!H15="","",Base!H15)</f>
        <v>1050616</v>
      </c>
      <c r="H17" s="40" t="s">
        <v>1413</v>
      </c>
      <c r="J17" s="49">
        <v>7</v>
      </c>
      <c r="K17" s="115" t="s">
        <v>148</v>
      </c>
      <c r="L17" s="111" t="str">
        <f t="shared" si="6"/>
        <v>OSCAR MAURICIO  BERRIOS  LOPEZ</v>
      </c>
      <c r="M17" s="111">
        <f t="shared" si="7"/>
        <v>1050604</v>
      </c>
      <c r="N17" s="112" t="str">
        <f t="shared" si="8"/>
        <v>Monitor Despalletizado</v>
      </c>
      <c r="O17" s="112" t="str">
        <f t="shared" si="9"/>
        <v>Monitor Despalletizado</v>
      </c>
      <c r="P17" s="51" t="s">
        <v>1338</v>
      </c>
      <c r="Q17" s="52"/>
      <c r="R17" s="117">
        <v>7.5</v>
      </c>
      <c r="S17" s="52"/>
      <c r="T17" s="116"/>
      <c r="U17" s="52"/>
      <c r="V17" s="116"/>
      <c r="W17" s="52"/>
      <c r="X17" s="116"/>
      <c r="Y17" s="52"/>
      <c r="Z17" s="116"/>
      <c r="AA17" s="52"/>
      <c r="AB17" s="116"/>
      <c r="AC17" s="52"/>
      <c r="AD17" s="116"/>
      <c r="AE17" s="53">
        <f t="shared" si="10"/>
        <v>0</v>
      </c>
      <c r="AF17" s="53">
        <f t="shared" si="11"/>
        <v>7.5</v>
      </c>
      <c r="AG17" s="54"/>
      <c r="AL17" s="41" t="str">
        <f t="shared" si="12"/>
        <v>13.557.248-9</v>
      </c>
      <c r="AM17" s="41">
        <v>8</v>
      </c>
      <c r="AN17" s="41">
        <f t="shared" si="13"/>
        <v>0</v>
      </c>
      <c r="AO17" s="41">
        <f t="shared" si="14"/>
        <v>0</v>
      </c>
      <c r="AP17" s="41">
        <f t="shared" si="15"/>
        <v>0</v>
      </c>
      <c r="AQ17" s="41">
        <f t="shared" si="16"/>
        <v>0</v>
      </c>
      <c r="AR17" s="41">
        <f t="shared" si="17"/>
        <v>0</v>
      </c>
      <c r="AS17" s="41">
        <f t="shared" si="18"/>
        <v>0</v>
      </c>
      <c r="AT17" s="41">
        <f t="shared" si="19"/>
        <v>0</v>
      </c>
      <c r="AU17" s="55">
        <f t="shared" si="20"/>
        <v>0</v>
      </c>
      <c r="AW17" s="41">
        <f t="shared" si="21"/>
        <v>7.5</v>
      </c>
      <c r="AX17" s="41">
        <f t="shared" si="22"/>
        <v>0</v>
      </c>
      <c r="AY17" s="41">
        <f t="shared" si="23"/>
        <v>0</v>
      </c>
      <c r="AZ17" s="41">
        <f t="shared" si="24"/>
        <v>0</v>
      </c>
      <c r="BA17" s="41">
        <f t="shared" si="25"/>
        <v>0</v>
      </c>
      <c r="BB17" s="41">
        <f t="shared" si="26"/>
        <v>0</v>
      </c>
      <c r="BC17" s="41">
        <f t="shared" si="27"/>
        <v>0</v>
      </c>
      <c r="BD17" s="55">
        <f t="shared" si="28"/>
        <v>7.5</v>
      </c>
      <c r="BF17" s="41">
        <f t="shared" si="29"/>
        <v>7.5</v>
      </c>
    </row>
    <row r="18" spans="1:58" ht="14.25">
      <c r="A18" s="41" t="str">
        <f>IF(Base!B16="","",Base!B16)</f>
        <v>12.501.307-4</v>
      </c>
      <c r="B18" s="41" t="str">
        <f>IF(Base!F16="","",Base!F16)</f>
        <v>MARCELO ANTONIO  ARAYA  FUENTES</v>
      </c>
      <c r="C18" s="41" t="str">
        <f>IF(Base!I16="","",Base!I16)</f>
        <v>Linea 7</v>
      </c>
      <c r="D18" s="42" t="str">
        <f>IF(Base!J16="","",Base!J16)</f>
        <v>Embalador</v>
      </c>
      <c r="E18" s="41">
        <f>IF(Base!H16="","",Base!H16)</f>
        <v>1050616</v>
      </c>
      <c r="H18" s="40" t="s">
        <v>1414</v>
      </c>
      <c r="J18" s="49">
        <v>8</v>
      </c>
      <c r="K18" s="115" t="s">
        <v>488</v>
      </c>
      <c r="L18" s="111" t="str">
        <f t="shared" si="6"/>
        <v>ARIEL A.  HERRERA  PALMA</v>
      </c>
      <c r="M18" s="111">
        <f t="shared" si="7"/>
        <v>1050604</v>
      </c>
      <c r="N18" s="112" t="str">
        <f t="shared" si="8"/>
        <v>Monitor Etiquetado</v>
      </c>
      <c r="O18" s="112" t="str">
        <f t="shared" si="9"/>
        <v>Monitor Etiquetado</v>
      </c>
      <c r="P18" s="51" t="s">
        <v>1324</v>
      </c>
      <c r="Q18" s="56"/>
      <c r="R18" s="117">
        <v>7.5</v>
      </c>
      <c r="S18" s="56"/>
      <c r="T18" s="49"/>
      <c r="U18" s="56"/>
      <c r="V18" s="49"/>
      <c r="W18" s="56"/>
      <c r="X18" s="49"/>
      <c r="Y18" s="56"/>
      <c r="Z18" s="49"/>
      <c r="AA18" s="56"/>
      <c r="AB18" s="49"/>
      <c r="AC18" s="56"/>
      <c r="AD18" s="49"/>
      <c r="AE18" s="53">
        <f t="shared" si="10"/>
        <v>0</v>
      </c>
      <c r="AF18" s="53">
        <f t="shared" si="11"/>
        <v>7.5</v>
      </c>
      <c r="AG18" s="76" t="s">
        <v>1364</v>
      </c>
      <c r="AL18" s="41" t="str">
        <f t="shared" si="12"/>
        <v>14.336.364-3</v>
      </c>
      <c r="AM18" s="41">
        <v>9</v>
      </c>
      <c r="AN18" s="41">
        <f t="shared" si="13"/>
        <v>0</v>
      </c>
      <c r="AO18" s="41">
        <f t="shared" si="14"/>
        <v>0</v>
      </c>
      <c r="AP18" s="41">
        <f t="shared" si="15"/>
        <v>0</v>
      </c>
      <c r="AQ18" s="41">
        <f t="shared" si="16"/>
        <v>0</v>
      </c>
      <c r="AR18" s="41">
        <f t="shared" si="17"/>
        <v>0</v>
      </c>
      <c r="AS18" s="41">
        <f t="shared" si="18"/>
        <v>0</v>
      </c>
      <c r="AT18" s="41">
        <f t="shared" si="19"/>
        <v>0</v>
      </c>
      <c r="AU18" s="55">
        <f t="shared" si="20"/>
        <v>0</v>
      </c>
      <c r="AW18" s="41">
        <f t="shared" si="21"/>
        <v>7.5</v>
      </c>
      <c r="AX18" s="41">
        <f t="shared" si="22"/>
        <v>0</v>
      </c>
      <c r="AY18" s="41">
        <f t="shared" si="23"/>
        <v>0</v>
      </c>
      <c r="AZ18" s="41">
        <f t="shared" si="24"/>
        <v>0</v>
      </c>
      <c r="BA18" s="41">
        <f t="shared" si="25"/>
        <v>0</v>
      </c>
      <c r="BB18" s="41">
        <f t="shared" si="26"/>
        <v>0</v>
      </c>
      <c r="BC18" s="41">
        <f t="shared" si="27"/>
        <v>0</v>
      </c>
      <c r="BD18" s="55">
        <f t="shared" si="28"/>
        <v>7.5</v>
      </c>
      <c r="BF18" s="41">
        <f t="shared" si="29"/>
        <v>7.5</v>
      </c>
    </row>
    <row r="19" spans="1:58" ht="14.25">
      <c r="A19" s="41" t="str">
        <f>IF(Base!B17="","",Base!B17)</f>
        <v>08.332.629-8</v>
      </c>
      <c r="B19" s="41" t="str">
        <f>IF(Base!F17="","",Base!F17)</f>
        <v>JUAN  ARRIAGADA  JARA</v>
      </c>
      <c r="C19" s="41" t="str">
        <f>IF(Base!I17="","",Base!I17)</f>
        <v>Linea 7</v>
      </c>
      <c r="D19" s="42" t="str">
        <f>IF(Base!J17="","",Base!J17)</f>
        <v>Palletizador</v>
      </c>
      <c r="E19" s="41">
        <f>IF(Base!H17="","",Base!H17)</f>
        <v>1050616</v>
      </c>
      <c r="H19" s="40" t="s">
        <v>1415</v>
      </c>
      <c r="J19" s="49">
        <v>9</v>
      </c>
      <c r="K19" s="115" t="s">
        <v>933</v>
      </c>
      <c r="L19" s="111" t="str">
        <f t="shared" si="6"/>
        <v>MARCOS A  RUBIO  CASTRO</v>
      </c>
      <c r="M19" s="111">
        <f t="shared" si="7"/>
        <v>1050604</v>
      </c>
      <c r="N19" s="112" t="str">
        <f t="shared" si="8"/>
        <v>Monitor Llenado</v>
      </c>
      <c r="O19" s="112" t="str">
        <f t="shared" si="9"/>
        <v>Monitor Llenado</v>
      </c>
      <c r="P19" s="51" t="s">
        <v>1338</v>
      </c>
      <c r="Q19" s="56"/>
      <c r="R19" s="117">
        <v>7.5</v>
      </c>
      <c r="S19" s="56"/>
      <c r="T19" s="49"/>
      <c r="U19" s="56"/>
      <c r="V19" s="49"/>
      <c r="W19" s="56"/>
      <c r="X19" s="49"/>
      <c r="Y19" s="56"/>
      <c r="Z19" s="49"/>
      <c r="AA19" s="56"/>
      <c r="AB19" s="49"/>
      <c r="AC19" s="56"/>
      <c r="AD19" s="49"/>
      <c r="AE19" s="53">
        <f t="shared" si="10"/>
        <v>0</v>
      </c>
      <c r="AF19" s="53">
        <f t="shared" si="11"/>
        <v>7.5</v>
      </c>
      <c r="AG19" s="76" t="s">
        <v>1364</v>
      </c>
      <c r="AL19" s="41" t="str">
        <f t="shared" si="12"/>
        <v>07.916.907-2</v>
      </c>
      <c r="AM19" s="41">
        <v>10</v>
      </c>
      <c r="AN19" s="41">
        <f t="shared" si="13"/>
        <v>0</v>
      </c>
      <c r="AO19" s="41">
        <f t="shared" si="14"/>
        <v>0</v>
      </c>
      <c r="AP19" s="41">
        <f t="shared" si="15"/>
        <v>0</v>
      </c>
      <c r="AQ19" s="41">
        <f t="shared" si="16"/>
        <v>0</v>
      </c>
      <c r="AR19" s="41">
        <f t="shared" si="17"/>
        <v>0</v>
      </c>
      <c r="AS19" s="41">
        <f t="shared" si="18"/>
        <v>0</v>
      </c>
      <c r="AT19" s="41">
        <f t="shared" si="19"/>
        <v>0</v>
      </c>
      <c r="AU19" s="55">
        <f t="shared" si="20"/>
        <v>0</v>
      </c>
      <c r="AW19" s="41">
        <f t="shared" si="21"/>
        <v>7.5</v>
      </c>
      <c r="AX19" s="41">
        <f t="shared" si="22"/>
        <v>0</v>
      </c>
      <c r="AY19" s="41">
        <f t="shared" si="23"/>
        <v>0</v>
      </c>
      <c r="AZ19" s="41">
        <f t="shared" si="24"/>
        <v>0</v>
      </c>
      <c r="BA19" s="41">
        <f t="shared" si="25"/>
        <v>0</v>
      </c>
      <c r="BB19" s="41">
        <f t="shared" si="26"/>
        <v>0</v>
      </c>
      <c r="BC19" s="41">
        <f t="shared" si="27"/>
        <v>0</v>
      </c>
      <c r="BD19" s="55">
        <f t="shared" si="28"/>
        <v>7.5</v>
      </c>
      <c r="BF19" s="41">
        <f t="shared" si="29"/>
        <v>7.5</v>
      </c>
    </row>
    <row r="20" spans="1:58" ht="14.25">
      <c r="A20" s="41" t="str">
        <f>IF(Base!B18="","",Base!B18)</f>
        <v>10.173.910-4</v>
      </c>
      <c r="B20" s="41" t="str">
        <f>IF(Base!F18="","",Base!F18)</f>
        <v>FELIX  EXEQUIEL  ARSENDIGA  PALMA</v>
      </c>
      <c r="C20" s="41" t="str">
        <f>IF(Base!I18="","",Base!I18)</f>
        <v>Abastecimiento</v>
      </c>
      <c r="D20" s="42" t="str">
        <f>IF(Base!J18="","",Base!J18)</f>
        <v>Suministro de Líneas</v>
      </c>
      <c r="E20" s="41">
        <f>IF(Base!H18="","",Base!H18)</f>
        <v>1050633</v>
      </c>
      <c r="H20" s="40" t="s">
        <v>1416</v>
      </c>
      <c r="J20" s="49">
        <v>10</v>
      </c>
      <c r="K20" s="115" t="s">
        <v>1125</v>
      </c>
      <c r="L20" s="111" t="str">
        <f t="shared" si="6"/>
        <v>VICTOR  CACERES  VASQUEZ</v>
      </c>
      <c r="M20" s="111">
        <f t="shared" si="7"/>
        <v>1050529</v>
      </c>
      <c r="N20" s="112" t="str">
        <f t="shared" si="8"/>
        <v>Setup</v>
      </c>
      <c r="O20" s="112" t="str">
        <f t="shared" si="9"/>
        <v>Setup</v>
      </c>
      <c r="P20" s="51" t="s">
        <v>1322</v>
      </c>
      <c r="Q20" s="56"/>
      <c r="R20" s="117">
        <v>7.5</v>
      </c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3">
        <f t="shared" si="10"/>
        <v>0</v>
      </c>
      <c r="AF20" s="53">
        <f t="shared" si="11"/>
        <v>7.5</v>
      </c>
      <c r="AG20" s="76" t="s">
        <v>1364</v>
      </c>
      <c r="AL20" s="41" t="str">
        <f t="shared" si="12"/>
        <v>09.774.031-3</v>
      </c>
      <c r="AM20" s="41">
        <v>11</v>
      </c>
      <c r="AN20" s="41">
        <f t="shared" si="13"/>
        <v>0</v>
      </c>
      <c r="AO20" s="41">
        <f t="shared" si="14"/>
        <v>0</v>
      </c>
      <c r="AP20" s="41">
        <f t="shared" si="15"/>
        <v>0</v>
      </c>
      <c r="AQ20" s="41">
        <f t="shared" si="16"/>
        <v>0</v>
      </c>
      <c r="AR20" s="41">
        <f t="shared" si="17"/>
        <v>0</v>
      </c>
      <c r="AS20" s="41">
        <f t="shared" si="18"/>
        <v>0</v>
      </c>
      <c r="AT20" s="41">
        <f t="shared" si="19"/>
        <v>0</v>
      </c>
      <c r="AU20" s="55">
        <f t="shared" si="20"/>
        <v>0</v>
      </c>
      <c r="AW20" s="41">
        <f t="shared" si="21"/>
        <v>7.5</v>
      </c>
      <c r="AX20" s="41">
        <f t="shared" si="22"/>
        <v>0</v>
      </c>
      <c r="AY20" s="41">
        <f t="shared" si="23"/>
        <v>0</v>
      </c>
      <c r="AZ20" s="41">
        <f t="shared" si="24"/>
        <v>0</v>
      </c>
      <c r="BA20" s="41">
        <f t="shared" si="25"/>
        <v>0</v>
      </c>
      <c r="BB20" s="41">
        <f t="shared" si="26"/>
        <v>0</v>
      </c>
      <c r="BC20" s="41">
        <f t="shared" si="27"/>
        <v>0</v>
      </c>
      <c r="BD20" s="55">
        <f t="shared" si="28"/>
        <v>7.5</v>
      </c>
      <c r="BF20" s="41">
        <f t="shared" si="29"/>
        <v>7.5</v>
      </c>
    </row>
    <row r="21" spans="1:58" ht="14.25">
      <c r="A21" s="41" t="str">
        <f>IF(Base!B19="","",Base!B19)</f>
        <v>11.325.204-9</v>
      </c>
      <c r="B21" s="41" t="str">
        <f>IF(Base!F19="","",Base!F19)</f>
        <v>LUIS ALBERTO  ALVARADO  MARTINEZ</v>
      </c>
      <c r="C21" s="41" t="str">
        <f>IF(Base!I19="","",Base!I19)</f>
        <v>Abastecimiento</v>
      </c>
      <c r="D21" s="42" t="str">
        <f>IF(Base!J19="","",Base!J19)</f>
        <v>Suministro de Líneas</v>
      </c>
      <c r="E21" s="41">
        <f>IF(Base!H19="","",Base!H19)</f>
        <v>1050633</v>
      </c>
      <c r="H21" s="40" t="s">
        <v>1417</v>
      </c>
      <c r="J21" s="49">
        <v>11</v>
      </c>
      <c r="K21" s="115" t="s">
        <v>236</v>
      </c>
      <c r="L21" s="111" t="str">
        <f t="shared" si="6"/>
        <v>FRANCISCO JAVIER  CASTILLO  AHUMADA</v>
      </c>
      <c r="M21" s="111">
        <f t="shared" si="7"/>
        <v>1050529</v>
      </c>
      <c r="N21" s="112" t="str">
        <f t="shared" si="8"/>
        <v>Setup</v>
      </c>
      <c r="O21" s="112" t="str">
        <f t="shared" si="9"/>
        <v>Setup</v>
      </c>
      <c r="P21" s="51" t="s">
        <v>1324</v>
      </c>
      <c r="Q21" s="56"/>
      <c r="R21" s="117">
        <v>7.5</v>
      </c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3">
        <f t="shared" ref="AE21:AE84" si="30">SUM(Q21,S21,U21,W21,Y21,AA21,AC21)</f>
        <v>0</v>
      </c>
      <c r="AF21" s="53">
        <f t="shared" ref="AF21:AF84" si="31">SUM(R21,T21,V21,X21,Z21,AB21,AD21)</f>
        <v>7.5</v>
      </c>
      <c r="AG21" s="76" t="s">
        <v>1364</v>
      </c>
      <c r="AL21" s="41" t="str">
        <f t="shared" si="12"/>
        <v>17.542.884-4</v>
      </c>
      <c r="AM21" s="41">
        <v>12</v>
      </c>
      <c r="AN21" s="41">
        <f t="shared" si="13"/>
        <v>0</v>
      </c>
      <c r="AO21" s="41">
        <f t="shared" si="14"/>
        <v>0</v>
      </c>
      <c r="AP21" s="41">
        <f t="shared" si="15"/>
        <v>0</v>
      </c>
      <c r="AQ21" s="41">
        <f t="shared" si="16"/>
        <v>0</v>
      </c>
      <c r="AR21" s="41">
        <f t="shared" si="17"/>
        <v>0</v>
      </c>
      <c r="AS21" s="41">
        <f t="shared" si="18"/>
        <v>0</v>
      </c>
      <c r="AT21" s="41">
        <f t="shared" si="19"/>
        <v>0</v>
      </c>
      <c r="AU21" s="55">
        <f t="shared" si="20"/>
        <v>0</v>
      </c>
      <c r="AW21" s="41">
        <f t="shared" si="21"/>
        <v>7.5</v>
      </c>
      <c r="AX21" s="41">
        <f t="shared" si="22"/>
        <v>0</v>
      </c>
      <c r="AY21" s="41">
        <f t="shared" si="23"/>
        <v>0</v>
      </c>
      <c r="AZ21" s="41">
        <f t="shared" si="24"/>
        <v>0</v>
      </c>
      <c r="BA21" s="41">
        <f t="shared" si="25"/>
        <v>0</v>
      </c>
      <c r="BB21" s="41">
        <f t="shared" si="26"/>
        <v>0</v>
      </c>
      <c r="BC21" s="41">
        <f t="shared" si="27"/>
        <v>0</v>
      </c>
      <c r="BD21" s="55">
        <f t="shared" si="28"/>
        <v>7.5</v>
      </c>
      <c r="BF21" s="41">
        <f t="shared" si="29"/>
        <v>7.5</v>
      </c>
    </row>
    <row r="22" spans="1:58" ht="14.25">
      <c r="A22" s="41" t="str">
        <f>IF(Base!B20="","",Base!B20)</f>
        <v>09.148.214-2</v>
      </c>
      <c r="B22" s="41" t="str">
        <f>IF(Base!F20="","",Base!F20)</f>
        <v>JORGE  BAEZA  REYES</v>
      </c>
      <c r="C22" s="41" t="str">
        <f>IF(Base!I20="","",Base!I20)</f>
        <v>Abastecimiento</v>
      </c>
      <c r="D22" s="42" t="str">
        <f>IF(Base!J20="","",Base!J20)</f>
        <v>Suministro de Líneas</v>
      </c>
      <c r="E22" s="41">
        <f>IF(Base!H20="","",Base!H20)</f>
        <v>1050127</v>
      </c>
      <c r="J22" s="49">
        <v>12</v>
      </c>
      <c r="K22" s="115" t="s">
        <v>1225</v>
      </c>
      <c r="L22" s="111" t="str">
        <f t="shared" si="6"/>
        <v>JUAN OSVALDO  TOLEDO  YEVENES</v>
      </c>
      <c r="M22" s="111">
        <f t="shared" si="7"/>
        <v>1050529</v>
      </c>
      <c r="N22" s="112" t="str">
        <f t="shared" si="8"/>
        <v xml:space="preserve">Setup </v>
      </c>
      <c r="O22" s="112" t="str">
        <f t="shared" si="9"/>
        <v xml:space="preserve">Setup </v>
      </c>
      <c r="P22" s="51" t="s">
        <v>1324</v>
      </c>
      <c r="Q22" s="56"/>
      <c r="R22" s="117">
        <v>7.5</v>
      </c>
      <c r="S22" s="56"/>
      <c r="T22" s="49"/>
      <c r="U22" s="56"/>
      <c r="V22" s="49"/>
      <c r="W22" s="56"/>
      <c r="X22" s="49"/>
      <c r="Y22" s="56"/>
      <c r="Z22" s="49"/>
      <c r="AA22" s="56"/>
      <c r="AB22" s="49"/>
      <c r="AC22" s="56"/>
      <c r="AD22" s="49"/>
      <c r="AE22" s="53">
        <f t="shared" si="30"/>
        <v>0</v>
      </c>
      <c r="AF22" s="53">
        <f t="shared" si="31"/>
        <v>7.5</v>
      </c>
      <c r="AG22" s="76" t="s">
        <v>1364</v>
      </c>
      <c r="AL22" s="41" t="str">
        <f t="shared" si="12"/>
        <v>13.295.279-5</v>
      </c>
      <c r="AM22" s="41">
        <v>13</v>
      </c>
      <c r="AN22" s="41">
        <f t="shared" si="13"/>
        <v>0</v>
      </c>
      <c r="AO22" s="41">
        <f t="shared" si="14"/>
        <v>0</v>
      </c>
      <c r="AP22" s="41">
        <f t="shared" si="15"/>
        <v>0</v>
      </c>
      <c r="AQ22" s="41">
        <f t="shared" si="16"/>
        <v>0</v>
      </c>
      <c r="AR22" s="41">
        <f t="shared" si="17"/>
        <v>0</v>
      </c>
      <c r="AS22" s="41">
        <f t="shared" si="18"/>
        <v>0</v>
      </c>
      <c r="AT22" s="41">
        <f t="shared" si="19"/>
        <v>0</v>
      </c>
      <c r="AU22" s="55">
        <f t="shared" si="20"/>
        <v>0</v>
      </c>
      <c r="AW22" s="41">
        <f t="shared" si="21"/>
        <v>7.5</v>
      </c>
      <c r="AX22" s="41">
        <f t="shared" si="22"/>
        <v>0</v>
      </c>
      <c r="AY22" s="41">
        <f t="shared" si="23"/>
        <v>0</v>
      </c>
      <c r="AZ22" s="41">
        <f t="shared" si="24"/>
        <v>0</v>
      </c>
      <c r="BA22" s="41">
        <f t="shared" si="25"/>
        <v>0</v>
      </c>
      <c r="BB22" s="41">
        <f t="shared" si="26"/>
        <v>0</v>
      </c>
      <c r="BC22" s="41">
        <f t="shared" si="27"/>
        <v>0</v>
      </c>
      <c r="BD22" s="55">
        <f t="shared" si="28"/>
        <v>7.5</v>
      </c>
      <c r="BF22" s="41">
        <f t="shared" si="29"/>
        <v>7.5</v>
      </c>
    </row>
    <row r="23" spans="1:58" ht="13.5">
      <c r="A23" s="41" t="str">
        <f>IF(Base!B21="","",Base!B21)</f>
        <v>12.897.839-9</v>
      </c>
      <c r="B23" s="41" t="str">
        <f>IF(Base!F21="","",Base!F21)</f>
        <v>SOLEDAD ALEJANDRA  BECERRA  QUEZADA</v>
      </c>
      <c r="C23" s="41" t="str">
        <f>IF(Base!I21="","",Base!I21)</f>
        <v>Linea 6</v>
      </c>
      <c r="D23" s="42" t="str">
        <f>IF(Base!J21="","",Base!J21)</f>
        <v>Inspector etiqueta</v>
      </c>
      <c r="E23" s="41">
        <f>IF(Base!H21="","",Base!H21)</f>
        <v>1050610</v>
      </c>
      <c r="H23" s="40">
        <v>2011</v>
      </c>
      <c r="J23" s="49">
        <v>13</v>
      </c>
      <c r="K23" s="115" t="s">
        <v>23</v>
      </c>
      <c r="L23" s="111" t="str">
        <f t="shared" si="6"/>
        <v>MARIO DEL TRANSITO  ACEVEDO  MARTINEZ</v>
      </c>
      <c r="M23" s="111">
        <f t="shared" si="7"/>
        <v>1050126</v>
      </c>
      <c r="N23" s="112" t="str">
        <f t="shared" si="8"/>
        <v>Abastecimiento</v>
      </c>
      <c r="O23" s="112" t="str">
        <f t="shared" si="9"/>
        <v>Control Ingresos Cen</v>
      </c>
      <c r="P23" s="51" t="s">
        <v>4</v>
      </c>
      <c r="Q23" s="52"/>
      <c r="R23" s="116"/>
      <c r="S23" s="52"/>
      <c r="T23" s="116"/>
      <c r="U23" s="52"/>
      <c r="V23" s="116"/>
      <c r="W23" s="52"/>
      <c r="X23" s="116"/>
      <c r="Y23" s="52"/>
      <c r="Z23" s="116"/>
      <c r="AA23" s="52"/>
      <c r="AB23" s="116"/>
      <c r="AC23" s="52"/>
      <c r="AD23" s="116"/>
      <c r="AE23" s="53">
        <f t="shared" si="30"/>
        <v>0</v>
      </c>
      <c r="AF23" s="53">
        <f t="shared" si="31"/>
        <v>0</v>
      </c>
      <c r="AG23" s="76" t="s">
        <v>1364</v>
      </c>
      <c r="AL23" s="41" t="str">
        <f t="shared" si="12"/>
        <v>08.224.093-4</v>
      </c>
      <c r="AM23" s="41">
        <v>14</v>
      </c>
      <c r="AN23" s="41">
        <f t="shared" si="13"/>
        <v>0</v>
      </c>
      <c r="AO23" s="41">
        <f t="shared" si="14"/>
        <v>0</v>
      </c>
      <c r="AP23" s="41">
        <f t="shared" si="15"/>
        <v>0</v>
      </c>
      <c r="AQ23" s="41">
        <f t="shared" si="16"/>
        <v>0</v>
      </c>
      <c r="AR23" s="41">
        <f t="shared" si="17"/>
        <v>0</v>
      </c>
      <c r="AS23" s="41">
        <f t="shared" si="18"/>
        <v>0</v>
      </c>
      <c r="AT23" s="41">
        <f t="shared" si="19"/>
        <v>0</v>
      </c>
      <c r="AU23" s="55">
        <f t="shared" si="20"/>
        <v>0</v>
      </c>
      <c r="AW23" s="41">
        <f t="shared" si="21"/>
        <v>0</v>
      </c>
      <c r="AX23" s="41">
        <f t="shared" si="22"/>
        <v>0</v>
      </c>
      <c r="AY23" s="41">
        <f t="shared" si="23"/>
        <v>0</v>
      </c>
      <c r="AZ23" s="41">
        <f t="shared" si="24"/>
        <v>0</v>
      </c>
      <c r="BA23" s="41">
        <f t="shared" si="25"/>
        <v>0</v>
      </c>
      <c r="BB23" s="41">
        <f t="shared" si="26"/>
        <v>0</v>
      </c>
      <c r="BC23" s="41">
        <f t="shared" si="27"/>
        <v>0</v>
      </c>
      <c r="BD23" s="55">
        <f t="shared" si="28"/>
        <v>0</v>
      </c>
      <c r="BF23" s="41">
        <f t="shared" si="29"/>
        <v>0</v>
      </c>
    </row>
    <row r="24" spans="1:58" ht="13.5">
      <c r="A24" s="41" t="str">
        <f>IF(Base!B22="","",Base!B22)</f>
        <v>13.557.248-9</v>
      </c>
      <c r="B24" s="41" t="str">
        <f>IF(Base!F22="","",Base!F22)</f>
        <v>OSCAR MAURICIO  BERRIOS  LOPEZ</v>
      </c>
      <c r="C24" s="41" t="str">
        <f>IF(Base!I22="","",Base!I22)</f>
        <v>Monitor Despalletizado</v>
      </c>
      <c r="D24" s="42" t="str">
        <f>IF(Base!J22="","",Base!J22)</f>
        <v>Monitor Despalletizado</v>
      </c>
      <c r="E24" s="41">
        <f>IF(Base!H22="","",Base!H22)</f>
        <v>1050604</v>
      </c>
      <c r="H24" s="40">
        <v>2012</v>
      </c>
      <c r="J24" s="49">
        <v>14</v>
      </c>
      <c r="K24" s="115" t="s">
        <v>31</v>
      </c>
      <c r="L24" s="111" t="str">
        <f t="shared" si="6"/>
        <v>ANDRES RAUL  AEDO  MUÑOZ</v>
      </c>
      <c r="M24" s="111">
        <f t="shared" si="7"/>
        <v>1050127</v>
      </c>
      <c r="N24" s="112" t="str">
        <f t="shared" si="8"/>
        <v>Abastecimiento</v>
      </c>
      <c r="O24" s="112" t="str">
        <f t="shared" si="9"/>
        <v>Preparación de Insum</v>
      </c>
      <c r="P24" s="51" t="s">
        <v>4</v>
      </c>
      <c r="Q24" s="56"/>
      <c r="R24" s="49"/>
      <c r="S24" s="56"/>
      <c r="T24" s="49"/>
      <c r="U24" s="56"/>
      <c r="V24" s="49"/>
      <c r="W24" s="56"/>
      <c r="X24" s="49"/>
      <c r="Y24" s="56"/>
      <c r="Z24" s="49"/>
      <c r="AA24" s="56"/>
      <c r="AB24" s="49"/>
      <c r="AC24" s="56"/>
      <c r="AD24" s="49"/>
      <c r="AE24" s="53">
        <f t="shared" si="30"/>
        <v>0</v>
      </c>
      <c r="AF24" s="53">
        <f t="shared" si="31"/>
        <v>0</v>
      </c>
      <c r="AG24" s="54" t="s">
        <v>1363</v>
      </c>
      <c r="AL24" s="41" t="str">
        <f t="shared" si="12"/>
        <v>12.677.439-7</v>
      </c>
      <c r="AM24" s="41">
        <v>15</v>
      </c>
      <c r="AN24" s="41">
        <f t="shared" si="13"/>
        <v>0</v>
      </c>
      <c r="AO24" s="41">
        <f t="shared" si="14"/>
        <v>0</v>
      </c>
      <c r="AP24" s="41">
        <f t="shared" si="15"/>
        <v>0</v>
      </c>
      <c r="AQ24" s="41">
        <f t="shared" si="16"/>
        <v>0</v>
      </c>
      <c r="AR24" s="41">
        <f t="shared" si="17"/>
        <v>0</v>
      </c>
      <c r="AS24" s="41">
        <f t="shared" si="18"/>
        <v>0</v>
      </c>
      <c r="AT24" s="41">
        <f t="shared" si="19"/>
        <v>0</v>
      </c>
      <c r="AU24" s="55">
        <f t="shared" si="20"/>
        <v>0</v>
      </c>
      <c r="AW24" s="41">
        <f t="shared" si="21"/>
        <v>0</v>
      </c>
      <c r="AX24" s="41">
        <f t="shared" si="22"/>
        <v>0</v>
      </c>
      <c r="AY24" s="41">
        <f t="shared" si="23"/>
        <v>0</v>
      </c>
      <c r="AZ24" s="41">
        <f t="shared" si="24"/>
        <v>0</v>
      </c>
      <c r="BA24" s="41">
        <f t="shared" si="25"/>
        <v>0</v>
      </c>
      <c r="BB24" s="41">
        <f t="shared" si="26"/>
        <v>0</v>
      </c>
      <c r="BC24" s="41">
        <f t="shared" si="27"/>
        <v>0</v>
      </c>
      <c r="BD24" s="55">
        <f t="shared" si="28"/>
        <v>0</v>
      </c>
      <c r="BF24" s="41">
        <f t="shared" si="29"/>
        <v>0</v>
      </c>
    </row>
    <row r="25" spans="1:58" ht="13.5">
      <c r="A25" s="41" t="str">
        <f>IF(Base!B23="","",Base!B23)</f>
        <v>16.907.382-1</v>
      </c>
      <c r="B25" s="41" t="str">
        <f>IF(Base!F23="","",Base!F23)</f>
        <v>OLIVER HANS  BUGUEÑO  MEDEL</v>
      </c>
      <c r="C25" s="41" t="str">
        <f>IF(Base!I23="","",Base!I23)</f>
        <v>Linea 3</v>
      </c>
      <c r="D25" s="42" t="str">
        <f>IF(Base!J23="","",Base!J23)</f>
        <v>Etiquetador</v>
      </c>
      <c r="E25" s="41">
        <f>IF(Base!H23="","",Base!H23)</f>
        <v>1050556</v>
      </c>
      <c r="H25" s="40">
        <v>2013</v>
      </c>
      <c r="J25" s="49">
        <v>15</v>
      </c>
      <c r="K25" s="115" t="s">
        <v>46</v>
      </c>
      <c r="L25" s="111" t="str">
        <f t="shared" si="6"/>
        <v>KAREN FABIOLA  ALARCON  SILVA</v>
      </c>
      <c r="M25" s="111">
        <f t="shared" si="7"/>
        <v>1050506</v>
      </c>
      <c r="N25" s="112" t="str">
        <f t="shared" si="8"/>
        <v>Abastecimiento</v>
      </c>
      <c r="O25" s="112" t="str">
        <f t="shared" si="9"/>
        <v>Reimpresión</v>
      </c>
      <c r="P25" s="51" t="s">
        <v>1338</v>
      </c>
      <c r="Q25" s="56"/>
      <c r="R25" s="49"/>
      <c r="S25" s="56"/>
      <c r="T25" s="49"/>
      <c r="U25" s="56"/>
      <c r="V25" s="49"/>
      <c r="W25" s="56"/>
      <c r="X25" s="49"/>
      <c r="Y25" s="56"/>
      <c r="Z25" s="49"/>
      <c r="AA25" s="56"/>
      <c r="AB25" s="49"/>
      <c r="AC25" s="56"/>
      <c r="AD25" s="49"/>
      <c r="AE25" s="53">
        <f t="shared" si="30"/>
        <v>0</v>
      </c>
      <c r="AF25" s="53">
        <f t="shared" si="31"/>
        <v>0</v>
      </c>
      <c r="AG25" s="76"/>
      <c r="AL25" s="41" t="str">
        <f t="shared" ref="AL25:AL88" si="32">IF(K25="","",K25)</f>
        <v>16.191.666-8</v>
      </c>
      <c r="AM25" s="41">
        <v>16</v>
      </c>
      <c r="AN25" s="41">
        <f t="shared" si="13"/>
        <v>0</v>
      </c>
      <c r="AO25" s="41">
        <f t="shared" si="14"/>
        <v>0</v>
      </c>
      <c r="AP25" s="41">
        <f t="shared" si="15"/>
        <v>0</v>
      </c>
      <c r="AQ25" s="41">
        <f t="shared" si="16"/>
        <v>0</v>
      </c>
      <c r="AR25" s="41">
        <f t="shared" si="17"/>
        <v>0</v>
      </c>
      <c r="AS25" s="41">
        <f t="shared" si="18"/>
        <v>0</v>
      </c>
      <c r="AT25" s="41">
        <f t="shared" si="19"/>
        <v>0</v>
      </c>
      <c r="AU25" s="55">
        <f t="shared" si="20"/>
        <v>0</v>
      </c>
      <c r="AW25" s="41">
        <f t="shared" si="21"/>
        <v>0</v>
      </c>
      <c r="AX25" s="41">
        <f t="shared" si="22"/>
        <v>0</v>
      </c>
      <c r="AY25" s="41">
        <f t="shared" si="23"/>
        <v>0</v>
      </c>
      <c r="AZ25" s="41">
        <f t="shared" si="24"/>
        <v>0</v>
      </c>
      <c r="BA25" s="41">
        <f t="shared" si="25"/>
        <v>0</v>
      </c>
      <c r="BB25" s="41">
        <f t="shared" si="26"/>
        <v>0</v>
      </c>
      <c r="BC25" s="41">
        <f t="shared" si="27"/>
        <v>0</v>
      </c>
      <c r="BD25" s="55">
        <f t="shared" si="28"/>
        <v>0</v>
      </c>
      <c r="BF25" s="41">
        <f t="shared" si="29"/>
        <v>0</v>
      </c>
    </row>
    <row r="26" spans="1:58" ht="14.25">
      <c r="A26" s="41" t="str">
        <f>IF(Base!B24="","",Base!B24)</f>
        <v>13.236.100-2</v>
      </c>
      <c r="B26" s="41" t="str">
        <f>IF(Base!F24="","",Base!F24)</f>
        <v>MARCO ANTONIO  BUSTAMANTE  GONZALEZ</v>
      </c>
      <c r="C26" s="41" t="str">
        <f>IF(Base!I24="","",Base!I24)</f>
        <v>Abastecimiento</v>
      </c>
      <c r="D26" s="42" t="str">
        <f>IF(Base!J24="","",Base!J24)</f>
        <v>Suministro de Líneas</v>
      </c>
      <c r="E26" s="41">
        <f>IF(Base!H24="","",Base!H24)</f>
        <v>1050581</v>
      </c>
      <c r="J26" s="49">
        <v>16</v>
      </c>
      <c r="K26" s="115" t="s">
        <v>131</v>
      </c>
      <c r="L26" s="111" t="str">
        <f t="shared" si="6"/>
        <v>LUIS ALBERTO  ALVARADO  MARTINEZ</v>
      </c>
      <c r="M26" s="111">
        <f t="shared" si="7"/>
        <v>1050633</v>
      </c>
      <c r="N26" s="112" t="str">
        <f t="shared" si="8"/>
        <v>Abastecimiento</v>
      </c>
      <c r="O26" s="112" t="str">
        <f t="shared" si="9"/>
        <v>Suministro de Líneas</v>
      </c>
      <c r="P26" s="51" t="s">
        <v>1324</v>
      </c>
      <c r="Q26" s="56"/>
      <c r="R26" s="117">
        <v>7.5</v>
      </c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3">
        <f t="shared" si="30"/>
        <v>0</v>
      </c>
      <c r="AF26" s="53">
        <f t="shared" si="31"/>
        <v>7.5</v>
      </c>
      <c r="AG26" s="76" t="s">
        <v>1365</v>
      </c>
      <c r="AL26" s="41" t="str">
        <f t="shared" si="32"/>
        <v>11.325.204-9</v>
      </c>
      <c r="AM26" s="41">
        <v>17</v>
      </c>
      <c r="AN26" s="41">
        <f t="shared" si="13"/>
        <v>0</v>
      </c>
      <c r="AO26" s="41">
        <f t="shared" si="14"/>
        <v>0</v>
      </c>
      <c r="AP26" s="41">
        <f t="shared" si="15"/>
        <v>0</v>
      </c>
      <c r="AQ26" s="41">
        <f t="shared" si="16"/>
        <v>0</v>
      </c>
      <c r="AR26" s="41">
        <f t="shared" si="17"/>
        <v>0</v>
      </c>
      <c r="AS26" s="41">
        <f t="shared" si="18"/>
        <v>0</v>
      </c>
      <c r="AT26" s="41">
        <f t="shared" si="19"/>
        <v>0</v>
      </c>
      <c r="AU26" s="55">
        <f t="shared" si="20"/>
        <v>0</v>
      </c>
      <c r="AW26" s="41">
        <f t="shared" si="21"/>
        <v>7.5</v>
      </c>
      <c r="AX26" s="41">
        <f t="shared" si="22"/>
        <v>0</v>
      </c>
      <c r="AY26" s="41">
        <f t="shared" si="23"/>
        <v>0</v>
      </c>
      <c r="AZ26" s="41">
        <f t="shared" si="24"/>
        <v>0</v>
      </c>
      <c r="BA26" s="41">
        <f t="shared" si="25"/>
        <v>0</v>
      </c>
      <c r="BB26" s="41">
        <f t="shared" si="26"/>
        <v>0</v>
      </c>
      <c r="BC26" s="41">
        <f t="shared" si="27"/>
        <v>0</v>
      </c>
      <c r="BD26" s="55">
        <f t="shared" si="28"/>
        <v>7.5</v>
      </c>
      <c r="BF26" s="41">
        <f t="shared" si="29"/>
        <v>7.5</v>
      </c>
    </row>
    <row r="27" spans="1:58" ht="13.5">
      <c r="A27" s="41" t="str">
        <f>IF(Base!B25="","",Base!B25)</f>
        <v>13.899.407-4</v>
      </c>
      <c r="B27" s="41" t="str">
        <f>IF(Base!F25="","",Base!F25)</f>
        <v>MAURICIO ANDRES  BUSTAMANTE  GONZALEZ</v>
      </c>
      <c r="C27" s="41" t="str">
        <f>IF(Base!I25="","",Base!I25)</f>
        <v>Abastecimiento</v>
      </c>
      <c r="D27" s="42" t="str">
        <f>IF(Base!J25="","",Base!J25)</f>
        <v>Suministro de Líneas</v>
      </c>
      <c r="E27" s="41">
        <f>IF(Base!H25="","",Base!H25)</f>
        <v>1050127</v>
      </c>
      <c r="J27" s="49">
        <v>17</v>
      </c>
      <c r="K27" s="115" t="s">
        <v>75</v>
      </c>
      <c r="L27" s="111" t="str">
        <f t="shared" si="6"/>
        <v>CRISTIAN DANIEL  ALVAREZ  REYES</v>
      </c>
      <c r="M27" s="111">
        <f t="shared" si="7"/>
        <v>1050162</v>
      </c>
      <c r="N27" s="112" t="str">
        <f t="shared" si="8"/>
        <v>Abastecimiento</v>
      </c>
      <c r="O27" s="112" t="str">
        <f t="shared" si="9"/>
        <v>Almacen Envases Pirq</v>
      </c>
      <c r="P27" s="51" t="s">
        <v>1338</v>
      </c>
      <c r="Q27" s="56"/>
      <c r="R27" s="56"/>
      <c r="S27" s="56"/>
      <c r="T27" s="56"/>
      <c r="U27" s="56">
        <v>2</v>
      </c>
      <c r="V27" s="56"/>
      <c r="W27" s="56"/>
      <c r="X27" s="56"/>
      <c r="Y27" s="56"/>
      <c r="Z27" s="56"/>
      <c r="AA27" s="56"/>
      <c r="AB27" s="56"/>
      <c r="AC27" s="56"/>
      <c r="AD27" s="56"/>
      <c r="AE27" s="53">
        <f t="shared" si="30"/>
        <v>2</v>
      </c>
      <c r="AF27" s="53">
        <f t="shared" si="31"/>
        <v>0</v>
      </c>
      <c r="AG27" s="76"/>
      <c r="AL27" s="41" t="str">
        <f t="shared" si="32"/>
        <v>17.609.782-5</v>
      </c>
      <c r="AM27" s="41">
        <v>18</v>
      </c>
      <c r="AN27" s="41">
        <f t="shared" si="13"/>
        <v>0</v>
      </c>
      <c r="AO27" s="41">
        <f t="shared" si="14"/>
        <v>0</v>
      </c>
      <c r="AP27" s="41">
        <f t="shared" si="15"/>
        <v>2</v>
      </c>
      <c r="AQ27" s="41">
        <f t="shared" si="16"/>
        <v>0</v>
      </c>
      <c r="AR27" s="41">
        <f t="shared" si="17"/>
        <v>0</v>
      </c>
      <c r="AS27" s="41">
        <f t="shared" si="18"/>
        <v>0</v>
      </c>
      <c r="AT27" s="41">
        <f t="shared" si="19"/>
        <v>0</v>
      </c>
      <c r="AU27" s="55">
        <f t="shared" si="20"/>
        <v>2</v>
      </c>
      <c r="AW27" s="41">
        <f t="shared" si="21"/>
        <v>0</v>
      </c>
      <c r="AX27" s="41">
        <f t="shared" si="22"/>
        <v>0</v>
      </c>
      <c r="AY27" s="41">
        <f t="shared" si="23"/>
        <v>0</v>
      </c>
      <c r="AZ27" s="41">
        <f t="shared" si="24"/>
        <v>0</v>
      </c>
      <c r="BA27" s="41">
        <f t="shared" si="25"/>
        <v>0</v>
      </c>
      <c r="BB27" s="41">
        <f t="shared" si="26"/>
        <v>0</v>
      </c>
      <c r="BC27" s="41">
        <f t="shared" si="27"/>
        <v>0</v>
      </c>
      <c r="BD27" s="55">
        <f t="shared" si="28"/>
        <v>0</v>
      </c>
      <c r="BF27" s="41">
        <f t="shared" si="29"/>
        <v>2</v>
      </c>
    </row>
    <row r="28" spans="1:58" ht="13.5">
      <c r="A28" s="41" t="str">
        <f>IF(Base!B26="","",Base!B26)</f>
        <v>10.116.815-8</v>
      </c>
      <c r="B28" s="41" t="str">
        <f>IF(Base!F26="","",Base!F26)</f>
        <v>TERESA DE LAS NIEVES  BUSTOS  JARA</v>
      </c>
      <c r="C28" s="41" t="str">
        <f>IF(Base!I26="","",Base!I26)</f>
        <v>Abastecimiento</v>
      </c>
      <c r="D28" s="42" t="str">
        <f>IF(Base!J26="","",Base!J26)</f>
        <v>Suministro de Líneas</v>
      </c>
      <c r="E28" s="41">
        <f>IF(Base!H26="","",Base!H26)</f>
        <v>1050127</v>
      </c>
      <c r="J28" s="49">
        <v>18</v>
      </c>
      <c r="K28" s="115" t="s">
        <v>53</v>
      </c>
      <c r="L28" s="111" t="str">
        <f t="shared" si="6"/>
        <v>OSCAR ALFREDO  ALBORNOZ  ROA</v>
      </c>
      <c r="M28" s="111">
        <f t="shared" si="7"/>
        <v>1050127</v>
      </c>
      <c r="N28" s="112" t="str">
        <f t="shared" si="8"/>
        <v>Abastecimiento</v>
      </c>
      <c r="O28" s="112" t="str">
        <f t="shared" si="9"/>
        <v>Preparación de Insum</v>
      </c>
      <c r="P28" s="51" t="s">
        <v>4</v>
      </c>
      <c r="Q28" s="56">
        <v>2</v>
      </c>
      <c r="R28" s="49"/>
      <c r="S28" s="56">
        <v>2</v>
      </c>
      <c r="T28" s="49"/>
      <c r="U28" s="56">
        <v>2</v>
      </c>
      <c r="V28" s="49"/>
      <c r="W28" s="56">
        <v>2</v>
      </c>
      <c r="X28" s="49"/>
      <c r="Y28" s="56">
        <v>2</v>
      </c>
      <c r="Z28" s="49"/>
      <c r="AA28" s="56"/>
      <c r="AB28" s="49"/>
      <c r="AC28" s="56"/>
      <c r="AD28" s="49"/>
      <c r="AE28" s="53">
        <f t="shared" si="30"/>
        <v>10</v>
      </c>
      <c r="AF28" s="53">
        <f t="shared" si="31"/>
        <v>0</v>
      </c>
      <c r="AG28" s="76"/>
      <c r="AL28" s="41" t="str">
        <f t="shared" si="32"/>
        <v>07.760.886-9</v>
      </c>
      <c r="AM28" s="41">
        <v>19</v>
      </c>
      <c r="AN28" s="41">
        <f t="shared" si="13"/>
        <v>2</v>
      </c>
      <c r="AO28" s="41">
        <f t="shared" si="14"/>
        <v>2</v>
      </c>
      <c r="AP28" s="41">
        <f t="shared" si="15"/>
        <v>2</v>
      </c>
      <c r="AQ28" s="41">
        <f t="shared" si="16"/>
        <v>2</v>
      </c>
      <c r="AR28" s="41">
        <f t="shared" si="17"/>
        <v>2</v>
      </c>
      <c r="AS28" s="41">
        <f t="shared" si="18"/>
        <v>0</v>
      </c>
      <c r="AT28" s="41">
        <f t="shared" si="19"/>
        <v>0</v>
      </c>
      <c r="AU28" s="55">
        <f t="shared" si="20"/>
        <v>10</v>
      </c>
      <c r="AW28" s="41">
        <f t="shared" si="21"/>
        <v>0</v>
      </c>
      <c r="AX28" s="41">
        <f t="shared" si="22"/>
        <v>0</v>
      </c>
      <c r="AY28" s="41">
        <f t="shared" si="23"/>
        <v>0</v>
      </c>
      <c r="AZ28" s="41">
        <f t="shared" si="24"/>
        <v>0</v>
      </c>
      <c r="BA28" s="41">
        <f t="shared" si="25"/>
        <v>0</v>
      </c>
      <c r="BB28" s="41">
        <f t="shared" si="26"/>
        <v>0</v>
      </c>
      <c r="BC28" s="41">
        <f t="shared" si="27"/>
        <v>0</v>
      </c>
      <c r="BD28" s="55">
        <f t="shared" si="28"/>
        <v>0</v>
      </c>
      <c r="BF28" s="41">
        <f t="shared" si="29"/>
        <v>10</v>
      </c>
    </row>
    <row r="29" spans="1:58" ht="13.5">
      <c r="A29" s="41" t="str">
        <f>IF(Base!B27="","",Base!B27)</f>
        <v>06.933.508-K</v>
      </c>
      <c r="B29" s="41" t="str">
        <f>IF(Base!F27="","",Base!F27)</f>
        <v>JUAN RAMON  CABELLO  DIAZ</v>
      </c>
      <c r="C29" s="41" t="str">
        <f>IF(Base!I27="","",Base!I27)</f>
        <v>Linea 7</v>
      </c>
      <c r="D29" s="42" t="str">
        <f>IF(Base!J27="","",Base!J27)</f>
        <v>Embalador</v>
      </c>
      <c r="E29" s="41">
        <f>IF(Base!H27="","",Base!H27)</f>
        <v>1050616</v>
      </c>
      <c r="J29" s="49">
        <v>19</v>
      </c>
      <c r="K29" s="115" t="s">
        <v>89</v>
      </c>
      <c r="L29" s="111" t="str">
        <f t="shared" si="6"/>
        <v>CRISTIAN  ARANCIBIA  NIETO</v>
      </c>
      <c r="M29" s="111">
        <f t="shared" si="7"/>
        <v>1050127</v>
      </c>
      <c r="N29" s="112" t="str">
        <f t="shared" si="8"/>
        <v>Abastecimiento</v>
      </c>
      <c r="O29" s="112" t="str">
        <f t="shared" si="9"/>
        <v>Preparación de Insum</v>
      </c>
      <c r="P29" s="51" t="s">
        <v>1338</v>
      </c>
      <c r="Q29" s="56">
        <v>2</v>
      </c>
      <c r="R29" s="49"/>
      <c r="S29" s="56">
        <v>2</v>
      </c>
      <c r="T29" s="49"/>
      <c r="U29" s="56">
        <v>2</v>
      </c>
      <c r="V29" s="49"/>
      <c r="W29" s="56">
        <v>2</v>
      </c>
      <c r="X29" s="49"/>
      <c r="Y29" s="56">
        <v>1</v>
      </c>
      <c r="Z29" s="49"/>
      <c r="AA29" s="56"/>
      <c r="AB29" s="49"/>
      <c r="AC29" s="56"/>
      <c r="AD29" s="49"/>
      <c r="AE29" s="53">
        <f t="shared" si="30"/>
        <v>9</v>
      </c>
      <c r="AF29" s="53">
        <f t="shared" si="31"/>
        <v>0</v>
      </c>
      <c r="AG29" s="77"/>
      <c r="AL29" s="41" t="str">
        <f t="shared" si="32"/>
        <v>12.093.228-4</v>
      </c>
      <c r="AM29" s="41">
        <v>20</v>
      </c>
      <c r="AN29" s="41">
        <f t="shared" si="13"/>
        <v>2</v>
      </c>
      <c r="AO29" s="41">
        <f t="shared" si="14"/>
        <v>2</v>
      </c>
      <c r="AP29" s="41">
        <f t="shared" si="15"/>
        <v>2</v>
      </c>
      <c r="AQ29" s="41">
        <f t="shared" si="16"/>
        <v>2</v>
      </c>
      <c r="AR29" s="41">
        <f t="shared" si="17"/>
        <v>1</v>
      </c>
      <c r="AS29" s="41">
        <f t="shared" si="18"/>
        <v>0</v>
      </c>
      <c r="AT29" s="41">
        <f t="shared" si="19"/>
        <v>0</v>
      </c>
      <c r="AU29" s="55">
        <f t="shared" si="20"/>
        <v>9</v>
      </c>
      <c r="AW29" s="41">
        <f t="shared" si="21"/>
        <v>0</v>
      </c>
      <c r="AX29" s="41">
        <f t="shared" si="22"/>
        <v>0</v>
      </c>
      <c r="AY29" s="41">
        <f t="shared" si="23"/>
        <v>0</v>
      </c>
      <c r="AZ29" s="41">
        <f t="shared" si="24"/>
        <v>0</v>
      </c>
      <c r="BA29" s="41">
        <f t="shared" si="25"/>
        <v>0</v>
      </c>
      <c r="BB29" s="41">
        <f t="shared" si="26"/>
        <v>0</v>
      </c>
      <c r="BC29" s="41">
        <f t="shared" si="27"/>
        <v>0</v>
      </c>
      <c r="BD29" s="55">
        <f t="shared" si="28"/>
        <v>0</v>
      </c>
      <c r="BF29" s="41">
        <f t="shared" si="29"/>
        <v>9</v>
      </c>
    </row>
    <row r="30" spans="1:58" ht="13.5">
      <c r="A30" s="41" t="str">
        <f>IF(Base!B28="","",Base!B28)</f>
        <v>16.441.340-3</v>
      </c>
      <c r="B30" s="41" t="str">
        <f>IF(Base!F28="","",Base!F28)</f>
        <v>LUIS HERNAN  CACERES  ORMAZABAL</v>
      </c>
      <c r="C30" s="41" t="str">
        <f>IF(Base!I28="","",Base!I28)</f>
        <v>Abastecimiento</v>
      </c>
      <c r="D30" s="42" t="str">
        <f>IF(Base!J28="","",Base!J28)</f>
        <v>Suministro de Líneas</v>
      </c>
      <c r="E30" s="41">
        <f>IF(Base!H28="","",Base!H28)</f>
        <v>1050633</v>
      </c>
      <c r="J30" s="49">
        <v>20</v>
      </c>
      <c r="K30" s="115" t="s">
        <v>101</v>
      </c>
      <c r="L30" s="111" t="str">
        <f t="shared" si="6"/>
        <v>LEONARDO ALFREDO  ARANCIBIA  VILLARROEL</v>
      </c>
      <c r="M30" s="111">
        <f t="shared" si="7"/>
        <v>1050127</v>
      </c>
      <c r="N30" s="112" t="str">
        <f t="shared" si="8"/>
        <v>Abastecimiento</v>
      </c>
      <c r="O30" s="112" t="str">
        <f t="shared" si="9"/>
        <v>Preparación de Insum</v>
      </c>
      <c r="P30" s="51" t="s">
        <v>4</v>
      </c>
      <c r="Q30" s="56"/>
      <c r="R30" s="49"/>
      <c r="S30" s="56">
        <v>2</v>
      </c>
      <c r="T30" s="49"/>
      <c r="U30" s="56">
        <v>2</v>
      </c>
      <c r="V30" s="49"/>
      <c r="W30" s="56">
        <v>2</v>
      </c>
      <c r="X30" s="49"/>
      <c r="Y30" s="56">
        <v>2</v>
      </c>
      <c r="Z30" s="49"/>
      <c r="AA30" s="56"/>
      <c r="AB30" s="49"/>
      <c r="AC30" s="56"/>
      <c r="AD30" s="49"/>
      <c r="AE30" s="53">
        <f t="shared" si="30"/>
        <v>8</v>
      </c>
      <c r="AF30" s="53">
        <f t="shared" si="31"/>
        <v>0</v>
      </c>
      <c r="AG30" s="77"/>
      <c r="AL30" s="41" t="str">
        <f t="shared" si="32"/>
        <v>08.283.277-7</v>
      </c>
      <c r="AM30" s="41">
        <v>21</v>
      </c>
      <c r="AN30" s="41">
        <f t="shared" si="13"/>
        <v>0</v>
      </c>
      <c r="AO30" s="41">
        <f t="shared" si="14"/>
        <v>2</v>
      </c>
      <c r="AP30" s="41">
        <f t="shared" si="15"/>
        <v>2</v>
      </c>
      <c r="AQ30" s="41">
        <f t="shared" si="16"/>
        <v>2</v>
      </c>
      <c r="AR30" s="41">
        <f t="shared" si="17"/>
        <v>2</v>
      </c>
      <c r="AS30" s="41">
        <f t="shared" si="18"/>
        <v>0</v>
      </c>
      <c r="AT30" s="41">
        <f t="shared" si="19"/>
        <v>0</v>
      </c>
      <c r="AU30" s="55">
        <f t="shared" si="20"/>
        <v>8</v>
      </c>
      <c r="AW30" s="41">
        <f t="shared" si="21"/>
        <v>0</v>
      </c>
      <c r="AX30" s="41">
        <f t="shared" si="22"/>
        <v>0</v>
      </c>
      <c r="AY30" s="41">
        <f t="shared" si="23"/>
        <v>0</v>
      </c>
      <c r="AZ30" s="41">
        <f t="shared" si="24"/>
        <v>0</v>
      </c>
      <c r="BA30" s="41">
        <f t="shared" si="25"/>
        <v>0</v>
      </c>
      <c r="BB30" s="41">
        <f t="shared" si="26"/>
        <v>0</v>
      </c>
      <c r="BC30" s="41">
        <f t="shared" si="27"/>
        <v>0</v>
      </c>
      <c r="BD30" s="55">
        <f t="shared" si="28"/>
        <v>0</v>
      </c>
      <c r="BF30" s="41">
        <f t="shared" si="29"/>
        <v>8</v>
      </c>
    </row>
    <row r="31" spans="1:58" ht="13.5">
      <c r="A31" s="41" t="str">
        <f>IF(Base!B29="","",Base!B29)</f>
        <v>14.095.347-4</v>
      </c>
      <c r="B31" s="41" t="str">
        <f>IF(Base!F29="","",Base!F29)</f>
        <v>ANDRES NICOLAS  CAÑOLES  VERA</v>
      </c>
      <c r="C31" s="41" t="str">
        <f>IF(Base!I29="","",Base!I29)</f>
        <v>Sala filtros</v>
      </c>
      <c r="D31" s="42" t="str">
        <f>IF(Base!J29="","",Base!J29)</f>
        <v>Operador sala de filtros</v>
      </c>
      <c r="E31" s="41">
        <f>IF(Base!H29="","",Base!H29)</f>
        <v>1050574</v>
      </c>
      <c r="J31" s="49">
        <v>21</v>
      </c>
      <c r="K31" s="115" t="s">
        <v>124</v>
      </c>
      <c r="L31" s="111" t="str">
        <f t="shared" si="6"/>
        <v>FELIX  EXEQUIEL  ARSENDIGA  PALMA</v>
      </c>
      <c r="M31" s="111">
        <f t="shared" si="7"/>
        <v>1050633</v>
      </c>
      <c r="N31" s="112" t="str">
        <f t="shared" si="8"/>
        <v>Abastecimiento</v>
      </c>
      <c r="O31" s="112" t="str">
        <f t="shared" si="9"/>
        <v>Suministro de Líneas</v>
      </c>
      <c r="P31" s="51" t="s">
        <v>1322</v>
      </c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3">
        <f t="shared" si="30"/>
        <v>0</v>
      </c>
      <c r="AF31" s="53">
        <f t="shared" si="31"/>
        <v>0</v>
      </c>
      <c r="AG31" s="77" t="s">
        <v>1366</v>
      </c>
      <c r="AL31" s="41" t="str">
        <f t="shared" si="32"/>
        <v>10.173.910-4</v>
      </c>
      <c r="AM31" s="41">
        <v>22</v>
      </c>
      <c r="AN31" s="41">
        <f t="shared" si="13"/>
        <v>0</v>
      </c>
      <c r="AO31" s="41">
        <f t="shared" si="14"/>
        <v>0</v>
      </c>
      <c r="AP31" s="41">
        <f t="shared" si="15"/>
        <v>0</v>
      </c>
      <c r="AQ31" s="41">
        <f t="shared" si="16"/>
        <v>0</v>
      </c>
      <c r="AR31" s="41">
        <f t="shared" si="17"/>
        <v>0</v>
      </c>
      <c r="AS31" s="41">
        <f t="shared" si="18"/>
        <v>0</v>
      </c>
      <c r="AT31" s="41">
        <f t="shared" si="19"/>
        <v>0</v>
      </c>
      <c r="AU31" s="55">
        <f t="shared" si="20"/>
        <v>0</v>
      </c>
      <c r="AW31" s="41">
        <f t="shared" ref="AW31:AW94" si="33">R31</f>
        <v>0</v>
      </c>
      <c r="AX31" s="41">
        <f t="shared" ref="AX31:AX94" si="34">T31</f>
        <v>0</v>
      </c>
      <c r="AY31" s="41">
        <f t="shared" ref="AY31:AY94" si="35">V31</f>
        <v>0</v>
      </c>
      <c r="AZ31" s="41">
        <f t="shared" ref="AZ31:AZ94" si="36">X31</f>
        <v>0</v>
      </c>
      <c r="BA31" s="41">
        <f t="shared" ref="BA31:BA94" si="37">Z31</f>
        <v>0</v>
      </c>
      <c r="BB31" s="41">
        <f t="shared" ref="BB31:BB94" si="38">AB31</f>
        <v>0</v>
      </c>
      <c r="BC31" s="41">
        <f t="shared" ref="BC31:BC94" si="39">AD31</f>
        <v>0</v>
      </c>
      <c r="BD31" s="55">
        <f t="shared" ref="BD31:BD94" si="40">IF(SUM(AW31:BC31)=0,0,SUM(AW31:BC31))</f>
        <v>0</v>
      </c>
      <c r="BF31" s="41">
        <f t="shared" si="29"/>
        <v>0</v>
      </c>
    </row>
    <row r="32" spans="1:58" ht="13.5">
      <c r="A32" s="41" t="str">
        <f>IF(Base!B30="","",Base!B30)</f>
        <v>12.674.806-K</v>
      </c>
      <c r="B32" s="41" t="str">
        <f>IF(Base!F30="","",Base!F30)</f>
        <v>MARCO  CARDENAS  ULLOA</v>
      </c>
      <c r="C32" s="41" t="str">
        <f>IF(Base!I30="","",Base!I30)</f>
        <v>Linea 3</v>
      </c>
      <c r="D32" s="42" t="str">
        <f>IF(Base!J30="","",Base!J30)</f>
        <v>Etiquetador</v>
      </c>
      <c r="E32" s="41">
        <f>IF(Base!H30="","",Base!H30)</f>
        <v>1050556</v>
      </c>
      <c r="J32" s="49">
        <v>22</v>
      </c>
      <c r="K32" s="115" t="s">
        <v>136</v>
      </c>
      <c r="L32" s="111" t="str">
        <f t="shared" si="6"/>
        <v>JORGE  BAEZA  REYES</v>
      </c>
      <c r="M32" s="111">
        <f t="shared" si="7"/>
        <v>1050127</v>
      </c>
      <c r="N32" s="112" t="str">
        <f t="shared" si="8"/>
        <v>Abastecimiento</v>
      </c>
      <c r="O32" s="112" t="str">
        <f t="shared" si="9"/>
        <v>Suministro de Líneas</v>
      </c>
      <c r="P32" s="51" t="s">
        <v>1322</v>
      </c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3">
        <f t="shared" si="30"/>
        <v>0</v>
      </c>
      <c r="AF32" s="53">
        <f t="shared" si="31"/>
        <v>0</v>
      </c>
      <c r="AG32" s="77" t="s">
        <v>1360</v>
      </c>
      <c r="AL32" s="41" t="str">
        <f t="shared" si="32"/>
        <v>09.148.214-2</v>
      </c>
      <c r="AM32" s="41">
        <v>23</v>
      </c>
      <c r="AN32" s="41">
        <f t="shared" si="13"/>
        <v>0</v>
      </c>
      <c r="AO32" s="41">
        <f t="shared" si="14"/>
        <v>0</v>
      </c>
      <c r="AP32" s="41">
        <f t="shared" si="15"/>
        <v>0</v>
      </c>
      <c r="AQ32" s="41">
        <f t="shared" si="16"/>
        <v>0</v>
      </c>
      <c r="AR32" s="41">
        <f t="shared" si="17"/>
        <v>0</v>
      </c>
      <c r="AS32" s="41">
        <f t="shared" si="18"/>
        <v>0</v>
      </c>
      <c r="AT32" s="41">
        <f t="shared" si="19"/>
        <v>0</v>
      </c>
      <c r="AU32" s="55">
        <f t="shared" si="20"/>
        <v>0</v>
      </c>
      <c r="AW32" s="41">
        <f t="shared" si="33"/>
        <v>0</v>
      </c>
      <c r="AX32" s="41">
        <f t="shared" si="34"/>
        <v>0</v>
      </c>
      <c r="AY32" s="41">
        <f t="shared" si="35"/>
        <v>0</v>
      </c>
      <c r="AZ32" s="41">
        <f t="shared" si="36"/>
        <v>0</v>
      </c>
      <c r="BA32" s="41">
        <f t="shared" si="37"/>
        <v>0</v>
      </c>
      <c r="BB32" s="41">
        <f t="shared" si="38"/>
        <v>0</v>
      </c>
      <c r="BC32" s="41">
        <f t="shared" si="39"/>
        <v>0</v>
      </c>
      <c r="BD32" s="55">
        <f t="shared" si="40"/>
        <v>0</v>
      </c>
      <c r="BF32" s="41">
        <f t="shared" si="29"/>
        <v>0</v>
      </c>
    </row>
    <row r="33" spans="1:58" ht="13.5">
      <c r="A33" s="41" t="str">
        <f>IF(Base!B31="","",Base!B31)</f>
        <v>08.454.836-7</v>
      </c>
      <c r="B33" s="41" t="str">
        <f>IF(Base!F31="","",Base!F31)</f>
        <v>BRIGIDA DEL CARMEN  CARES  LOPEZ</v>
      </c>
      <c r="C33" s="41" t="str">
        <f>IF(Base!I31="","",Base!I31)</f>
        <v>Abastecimiento</v>
      </c>
      <c r="D33" s="42" t="str">
        <f>IF(Base!J31="","",Base!J31)</f>
        <v>Suministro de Líneas</v>
      </c>
      <c r="E33" s="41">
        <f>IF(Base!H31="","",Base!H31)</f>
        <v>1050127</v>
      </c>
      <c r="J33" s="49">
        <v>23</v>
      </c>
      <c r="K33" s="115" t="s">
        <v>163</v>
      </c>
      <c r="L33" s="111" t="str">
        <f t="shared" si="6"/>
        <v>MARCO ANTONIO  BUSTAMANTE  GONZALEZ</v>
      </c>
      <c r="M33" s="111">
        <f t="shared" si="7"/>
        <v>1050581</v>
      </c>
      <c r="N33" s="112" t="str">
        <f t="shared" si="8"/>
        <v>Abastecimiento</v>
      </c>
      <c r="O33" s="112" t="str">
        <f t="shared" si="9"/>
        <v>Suministro de Líneas</v>
      </c>
      <c r="P33" s="51" t="s">
        <v>1338</v>
      </c>
      <c r="Q33" s="56">
        <v>1</v>
      </c>
      <c r="R33" s="49"/>
      <c r="S33" s="56">
        <v>1</v>
      </c>
      <c r="T33" s="49"/>
      <c r="U33" s="56">
        <v>1</v>
      </c>
      <c r="V33" s="49"/>
      <c r="W33" s="56">
        <v>1</v>
      </c>
      <c r="X33" s="49"/>
      <c r="Y33" s="56">
        <v>1</v>
      </c>
      <c r="Z33" s="49"/>
      <c r="AA33" s="56"/>
      <c r="AB33" s="49"/>
      <c r="AC33" s="56"/>
      <c r="AD33" s="49"/>
      <c r="AE33" s="53">
        <f t="shared" si="30"/>
        <v>5</v>
      </c>
      <c r="AF33" s="53">
        <f t="shared" si="31"/>
        <v>0</v>
      </c>
      <c r="AG33" s="77"/>
      <c r="AL33" s="41" t="str">
        <f t="shared" si="32"/>
        <v>13.236.100-2</v>
      </c>
      <c r="AM33" s="41">
        <v>24</v>
      </c>
      <c r="AN33" s="41">
        <f t="shared" si="13"/>
        <v>1</v>
      </c>
      <c r="AO33" s="41">
        <f t="shared" si="14"/>
        <v>1</v>
      </c>
      <c r="AP33" s="41">
        <f t="shared" si="15"/>
        <v>1</v>
      </c>
      <c r="AQ33" s="41">
        <f t="shared" si="16"/>
        <v>1</v>
      </c>
      <c r="AR33" s="41">
        <f t="shared" si="17"/>
        <v>1</v>
      </c>
      <c r="AS33" s="41">
        <f t="shared" si="18"/>
        <v>0</v>
      </c>
      <c r="AT33" s="41">
        <f t="shared" si="19"/>
        <v>0</v>
      </c>
      <c r="AU33" s="55">
        <f t="shared" si="20"/>
        <v>5</v>
      </c>
      <c r="AW33" s="41">
        <f t="shared" si="33"/>
        <v>0</v>
      </c>
      <c r="AX33" s="41">
        <f t="shared" si="34"/>
        <v>0</v>
      </c>
      <c r="AY33" s="41">
        <f t="shared" si="35"/>
        <v>0</v>
      </c>
      <c r="AZ33" s="41">
        <f t="shared" si="36"/>
        <v>0</v>
      </c>
      <c r="BA33" s="41">
        <f t="shared" si="37"/>
        <v>0</v>
      </c>
      <c r="BB33" s="41">
        <f t="shared" si="38"/>
        <v>0</v>
      </c>
      <c r="BC33" s="41">
        <f t="shared" si="39"/>
        <v>0</v>
      </c>
      <c r="BD33" s="55">
        <f t="shared" si="40"/>
        <v>0</v>
      </c>
      <c r="BF33" s="41">
        <f t="shared" si="29"/>
        <v>5</v>
      </c>
    </row>
    <row r="34" spans="1:58" ht="14.25">
      <c r="A34" s="41" t="str">
        <f>IF(Base!B32="","",Base!B32)</f>
        <v>09.832.710-K</v>
      </c>
      <c r="B34" s="41" t="str">
        <f>IF(Base!F32="","",Base!F32)</f>
        <v>OMAR FCO.  CARO  RODRIGUEZ</v>
      </c>
      <c r="C34" s="41" t="str">
        <f>IF(Base!I32="","",Base!I32)</f>
        <v>Abastecimiento</v>
      </c>
      <c r="D34" s="42" t="str">
        <f>IF(Base!J32="","",Base!J32)</f>
        <v>Suministro de Líneas</v>
      </c>
      <c r="E34" s="41">
        <f>IF(Base!H32="","",Base!H32)</f>
        <v>1050127</v>
      </c>
      <c r="J34" s="49">
        <v>24</v>
      </c>
      <c r="K34" s="115" t="s">
        <v>168</v>
      </c>
      <c r="L34" s="111" t="str">
        <f t="shared" si="6"/>
        <v>MAURICIO ANDRES  BUSTAMANTE  GONZALEZ</v>
      </c>
      <c r="M34" s="111">
        <f t="shared" si="7"/>
        <v>1050127</v>
      </c>
      <c r="N34" s="112" t="str">
        <f t="shared" si="8"/>
        <v>Abastecimiento</v>
      </c>
      <c r="O34" s="112" t="str">
        <f t="shared" si="9"/>
        <v>Suministro de Líneas</v>
      </c>
      <c r="P34" s="51" t="s">
        <v>1324</v>
      </c>
      <c r="Q34" s="56"/>
      <c r="R34" s="117">
        <v>7.5</v>
      </c>
      <c r="S34" s="56"/>
      <c r="T34" s="49"/>
      <c r="U34" s="56"/>
      <c r="V34" s="49"/>
      <c r="W34" s="56"/>
      <c r="X34" s="49"/>
      <c r="Y34" s="56"/>
      <c r="Z34" s="49"/>
      <c r="AA34" s="56"/>
      <c r="AB34" s="49"/>
      <c r="AC34" s="56"/>
      <c r="AD34" s="49"/>
      <c r="AE34" s="53">
        <f t="shared" si="30"/>
        <v>0</v>
      </c>
      <c r="AF34" s="53">
        <f t="shared" si="31"/>
        <v>7.5</v>
      </c>
      <c r="AG34" s="76"/>
      <c r="AL34" s="41" t="str">
        <f t="shared" si="32"/>
        <v>13.899.407-4</v>
      </c>
      <c r="AM34" s="41">
        <v>25</v>
      </c>
      <c r="AN34" s="41">
        <f t="shared" si="13"/>
        <v>0</v>
      </c>
      <c r="AO34" s="41">
        <f t="shared" si="14"/>
        <v>0</v>
      </c>
      <c r="AP34" s="41">
        <f t="shared" si="15"/>
        <v>0</v>
      </c>
      <c r="AQ34" s="41">
        <f t="shared" si="16"/>
        <v>0</v>
      </c>
      <c r="AR34" s="41">
        <f t="shared" si="17"/>
        <v>0</v>
      </c>
      <c r="AS34" s="41">
        <f t="shared" si="18"/>
        <v>0</v>
      </c>
      <c r="AT34" s="41">
        <f t="shared" si="19"/>
        <v>0</v>
      </c>
      <c r="AU34" s="55">
        <f t="shared" si="20"/>
        <v>0</v>
      </c>
      <c r="AW34" s="41">
        <f t="shared" si="33"/>
        <v>7.5</v>
      </c>
      <c r="AX34" s="41">
        <f t="shared" si="34"/>
        <v>0</v>
      </c>
      <c r="AY34" s="41">
        <f t="shared" si="35"/>
        <v>0</v>
      </c>
      <c r="AZ34" s="41">
        <f t="shared" si="36"/>
        <v>0</v>
      </c>
      <c r="BA34" s="41">
        <f t="shared" si="37"/>
        <v>0</v>
      </c>
      <c r="BB34" s="41">
        <f t="shared" si="38"/>
        <v>0</v>
      </c>
      <c r="BC34" s="41">
        <f t="shared" si="39"/>
        <v>0</v>
      </c>
      <c r="BD34" s="55">
        <f t="shared" si="40"/>
        <v>7.5</v>
      </c>
      <c r="BF34" s="41">
        <f t="shared" si="29"/>
        <v>7.5</v>
      </c>
    </row>
    <row r="35" spans="1:58" ht="14.25">
      <c r="A35" s="41" t="str">
        <f>IF(Base!B33="","",Base!B33)</f>
        <v>12.410.690-7</v>
      </c>
      <c r="B35" s="41" t="str">
        <f>IF(Base!F33="","",Base!F33)</f>
        <v>SIMON ANDRES  CARRASCO  CID</v>
      </c>
      <c r="C35" s="41" t="str">
        <f>IF(Base!I33="","",Base!I33)</f>
        <v>Linea 2</v>
      </c>
      <c r="D35" s="42" t="str">
        <f>IF(Base!J33="","",Base!J33)</f>
        <v>Embalador</v>
      </c>
      <c r="E35" s="41">
        <f>IF(Base!H33="","",Base!H33)</f>
        <v>1050554</v>
      </c>
      <c r="J35" s="49">
        <v>25</v>
      </c>
      <c r="K35" s="115" t="s">
        <v>172</v>
      </c>
      <c r="L35" s="111" t="str">
        <f t="shared" si="6"/>
        <v>TERESA DE LAS NIEVES  BUSTOS  JARA</v>
      </c>
      <c r="M35" s="111">
        <f t="shared" si="7"/>
        <v>1050127</v>
      </c>
      <c r="N35" s="112" t="str">
        <f t="shared" si="8"/>
        <v>Abastecimiento</v>
      </c>
      <c r="O35" s="112" t="str">
        <f t="shared" si="9"/>
        <v>Suministro de Líneas</v>
      </c>
      <c r="P35" s="51" t="s">
        <v>4</v>
      </c>
      <c r="Q35" s="56"/>
      <c r="R35" s="49"/>
      <c r="S35" s="56"/>
      <c r="T35" s="49"/>
      <c r="U35" s="56"/>
      <c r="V35" s="49"/>
      <c r="W35" s="56"/>
      <c r="X35" s="49"/>
      <c r="Y35" s="56"/>
      <c r="Z35" s="49"/>
      <c r="AA35" s="56"/>
      <c r="AB35" s="49"/>
      <c r="AC35" s="56"/>
      <c r="AD35" s="49"/>
      <c r="AE35" s="53">
        <f t="shared" si="30"/>
        <v>0</v>
      </c>
      <c r="AF35" s="53">
        <f t="shared" si="31"/>
        <v>0</v>
      </c>
      <c r="AG35" s="78" t="s">
        <v>1367</v>
      </c>
      <c r="AL35" s="41" t="str">
        <f t="shared" si="32"/>
        <v>10.116.815-8</v>
      </c>
      <c r="AM35" s="41">
        <v>26</v>
      </c>
      <c r="AN35" s="41">
        <f t="shared" si="13"/>
        <v>0</v>
      </c>
      <c r="AO35" s="41">
        <f t="shared" si="14"/>
        <v>0</v>
      </c>
      <c r="AP35" s="41">
        <f t="shared" si="15"/>
        <v>0</v>
      </c>
      <c r="AQ35" s="41">
        <f t="shared" si="16"/>
        <v>0</v>
      </c>
      <c r="AR35" s="41">
        <f t="shared" si="17"/>
        <v>0</v>
      </c>
      <c r="AS35" s="41">
        <f t="shared" si="18"/>
        <v>0</v>
      </c>
      <c r="AT35" s="41">
        <f t="shared" si="19"/>
        <v>0</v>
      </c>
      <c r="AU35" s="55">
        <f t="shared" si="20"/>
        <v>0</v>
      </c>
      <c r="AW35" s="41">
        <f t="shared" si="33"/>
        <v>0</v>
      </c>
      <c r="AX35" s="41">
        <f t="shared" si="34"/>
        <v>0</v>
      </c>
      <c r="AY35" s="41">
        <f t="shared" si="35"/>
        <v>0</v>
      </c>
      <c r="AZ35" s="41">
        <f t="shared" si="36"/>
        <v>0</v>
      </c>
      <c r="BA35" s="41">
        <f t="shared" si="37"/>
        <v>0</v>
      </c>
      <c r="BB35" s="41">
        <f t="shared" si="38"/>
        <v>0</v>
      </c>
      <c r="BC35" s="41">
        <f t="shared" si="39"/>
        <v>0</v>
      </c>
      <c r="BD35" s="55">
        <f t="shared" si="40"/>
        <v>0</v>
      </c>
      <c r="BF35" s="41">
        <f t="shared" si="29"/>
        <v>0</v>
      </c>
    </row>
    <row r="36" spans="1:58" ht="13.5">
      <c r="A36" s="41" t="str">
        <f>IF(Base!B34="","",Base!B34)</f>
        <v>08.360.971-0</v>
      </c>
      <c r="B36" s="41" t="str">
        <f>IF(Base!F34="","",Base!F34)</f>
        <v>PACIFICO  CARRERA  MAUREIRA</v>
      </c>
      <c r="C36" s="41" t="str">
        <f>IF(Base!I34="","",Base!I34)</f>
        <v>Linea 2</v>
      </c>
      <c r="D36" s="42" t="str">
        <f>IF(Base!J34="","",Base!J34)</f>
        <v>Etiquetador</v>
      </c>
      <c r="E36" s="41">
        <f>IF(Base!H34="","",Base!H34)</f>
        <v>1050554</v>
      </c>
      <c r="J36" s="49">
        <v>26</v>
      </c>
      <c r="K36" s="115" t="s">
        <v>183</v>
      </c>
      <c r="L36" s="111" t="str">
        <f t="shared" si="6"/>
        <v>LUIS HERNAN  CACERES  ORMAZABAL</v>
      </c>
      <c r="M36" s="111">
        <f t="shared" si="7"/>
        <v>1050633</v>
      </c>
      <c r="N36" s="112" t="str">
        <f t="shared" si="8"/>
        <v>Abastecimiento</v>
      </c>
      <c r="O36" s="112" t="str">
        <f t="shared" si="9"/>
        <v>Suministro de Líneas</v>
      </c>
      <c r="P36" s="51" t="s">
        <v>4</v>
      </c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3">
        <f t="shared" si="30"/>
        <v>0</v>
      </c>
      <c r="AF36" s="53">
        <f t="shared" si="31"/>
        <v>0</v>
      </c>
      <c r="AG36" s="76"/>
      <c r="AL36" s="41" t="str">
        <f t="shared" si="32"/>
        <v>16.441.340-3</v>
      </c>
      <c r="AM36" s="41">
        <v>27</v>
      </c>
      <c r="AN36" s="41">
        <f t="shared" si="13"/>
        <v>0</v>
      </c>
      <c r="AO36" s="41">
        <f t="shared" si="14"/>
        <v>0</v>
      </c>
      <c r="AP36" s="41">
        <f t="shared" si="15"/>
        <v>0</v>
      </c>
      <c r="AQ36" s="41">
        <f t="shared" si="16"/>
        <v>0</v>
      </c>
      <c r="AR36" s="41">
        <f t="shared" si="17"/>
        <v>0</v>
      </c>
      <c r="AS36" s="41">
        <f t="shared" si="18"/>
        <v>0</v>
      </c>
      <c r="AT36" s="41">
        <f t="shared" si="19"/>
        <v>0</v>
      </c>
      <c r="AU36" s="55">
        <f t="shared" si="20"/>
        <v>0</v>
      </c>
      <c r="AW36" s="41">
        <f t="shared" si="33"/>
        <v>0</v>
      </c>
      <c r="AX36" s="41">
        <f t="shared" si="34"/>
        <v>0</v>
      </c>
      <c r="AY36" s="41">
        <f t="shared" si="35"/>
        <v>0</v>
      </c>
      <c r="AZ36" s="41">
        <f t="shared" si="36"/>
        <v>0</v>
      </c>
      <c r="BA36" s="41">
        <f t="shared" si="37"/>
        <v>0</v>
      </c>
      <c r="BB36" s="41">
        <f t="shared" si="38"/>
        <v>0</v>
      </c>
      <c r="BC36" s="41">
        <f t="shared" si="39"/>
        <v>0</v>
      </c>
      <c r="BD36" s="55">
        <f t="shared" si="40"/>
        <v>0</v>
      </c>
      <c r="BF36" s="41">
        <f t="shared" si="29"/>
        <v>0</v>
      </c>
    </row>
    <row r="37" spans="1:58" ht="13.5">
      <c r="A37" s="41" t="str">
        <f>IF(Base!B35="","",Base!B35)</f>
        <v>16.695.463-0</v>
      </c>
      <c r="B37" s="41" t="str">
        <f>IF(Base!F35="","",Base!F35)</f>
        <v>CAMILO ALEXANDER  CARVAJAL  APPELGREN</v>
      </c>
      <c r="C37" s="41" t="str">
        <f>IF(Base!I35="","",Base!I35)</f>
        <v>Linea 7</v>
      </c>
      <c r="D37" s="42" t="str">
        <f>IF(Base!J35="","",Base!J35)</f>
        <v>Despalletizador</v>
      </c>
      <c r="E37" s="41">
        <f>IF(Base!H35="","",Base!H35)</f>
        <v>1050616</v>
      </c>
      <c r="J37" s="49">
        <v>27</v>
      </c>
      <c r="K37" s="115" t="s">
        <v>201</v>
      </c>
      <c r="L37" s="111" t="str">
        <f t="shared" si="6"/>
        <v>BRIGIDA DEL CARMEN  CARES  LOPEZ</v>
      </c>
      <c r="M37" s="111">
        <f t="shared" si="7"/>
        <v>1050127</v>
      </c>
      <c r="N37" s="112" t="str">
        <f t="shared" si="8"/>
        <v>Abastecimiento</v>
      </c>
      <c r="O37" s="112" t="str">
        <f t="shared" si="9"/>
        <v>Suministro de Líneas</v>
      </c>
      <c r="P37" s="51" t="s">
        <v>1322</v>
      </c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3">
        <f t="shared" si="30"/>
        <v>0</v>
      </c>
      <c r="AF37" s="53">
        <f t="shared" si="31"/>
        <v>0</v>
      </c>
      <c r="AG37" s="76" t="s">
        <v>1368</v>
      </c>
      <c r="AL37" s="41" t="str">
        <f t="shared" si="32"/>
        <v>08.454.836-7</v>
      </c>
      <c r="AM37" s="41">
        <v>28</v>
      </c>
      <c r="AN37" s="41">
        <f t="shared" si="13"/>
        <v>0</v>
      </c>
      <c r="AO37" s="41">
        <f t="shared" si="14"/>
        <v>0</v>
      </c>
      <c r="AP37" s="41">
        <f t="shared" si="15"/>
        <v>0</v>
      </c>
      <c r="AQ37" s="41">
        <f t="shared" si="16"/>
        <v>0</v>
      </c>
      <c r="AR37" s="41">
        <f t="shared" si="17"/>
        <v>0</v>
      </c>
      <c r="AS37" s="41">
        <f t="shared" si="18"/>
        <v>0</v>
      </c>
      <c r="AT37" s="41">
        <f t="shared" si="19"/>
        <v>0</v>
      </c>
      <c r="AU37" s="55">
        <f t="shared" si="20"/>
        <v>0</v>
      </c>
      <c r="AW37" s="41">
        <f t="shared" si="33"/>
        <v>0</v>
      </c>
      <c r="AX37" s="41">
        <f t="shared" si="34"/>
        <v>0</v>
      </c>
      <c r="AY37" s="41">
        <f t="shared" si="35"/>
        <v>0</v>
      </c>
      <c r="AZ37" s="41">
        <f t="shared" si="36"/>
        <v>0</v>
      </c>
      <c r="BA37" s="41">
        <f t="shared" si="37"/>
        <v>0</v>
      </c>
      <c r="BB37" s="41">
        <f t="shared" si="38"/>
        <v>0</v>
      </c>
      <c r="BC37" s="41">
        <f t="shared" si="39"/>
        <v>0</v>
      </c>
      <c r="BD37" s="55">
        <f t="shared" si="40"/>
        <v>0</v>
      </c>
      <c r="BF37" s="41">
        <f t="shared" si="29"/>
        <v>0</v>
      </c>
    </row>
    <row r="38" spans="1:58" ht="13.5">
      <c r="A38" s="41" t="str">
        <f>IF(Base!B36="","",Base!B36)</f>
        <v>08.465.592-9</v>
      </c>
      <c r="B38" s="41" t="str">
        <f>IF(Base!F36="","",Base!F36)</f>
        <v>JUAN A  CASTAÑEDA  SANHUEZA</v>
      </c>
      <c r="C38" s="41" t="str">
        <f>IF(Base!I36="","",Base!I36)</f>
        <v>Sala filtros</v>
      </c>
      <c r="D38" s="42" t="str">
        <f>IF(Base!J36="","",Base!J36)</f>
        <v>Operador sala de filtros</v>
      </c>
      <c r="E38" s="41">
        <f>IF(Base!H36="","",Base!H36)</f>
        <v>1050574</v>
      </c>
      <c r="J38" s="49">
        <v>28</v>
      </c>
      <c r="K38" s="115" t="s">
        <v>206</v>
      </c>
      <c r="L38" s="111" t="str">
        <f t="shared" si="6"/>
        <v>OMAR FCO.  CARO  RODRIGUEZ</v>
      </c>
      <c r="M38" s="111">
        <f t="shared" si="7"/>
        <v>1050127</v>
      </c>
      <c r="N38" s="112" t="str">
        <f t="shared" si="8"/>
        <v>Abastecimiento</v>
      </c>
      <c r="O38" s="112" t="str">
        <f t="shared" si="9"/>
        <v>Suministro de Líneas</v>
      </c>
      <c r="P38" s="51" t="s">
        <v>4</v>
      </c>
      <c r="Q38" s="56"/>
      <c r="R38" s="49"/>
      <c r="S38" s="56"/>
      <c r="T38" s="49"/>
      <c r="U38" s="56"/>
      <c r="V38" s="49"/>
      <c r="W38" s="56"/>
      <c r="X38" s="49"/>
      <c r="Y38" s="56"/>
      <c r="Z38" s="49"/>
      <c r="AA38" s="56"/>
      <c r="AB38" s="49"/>
      <c r="AC38" s="56"/>
      <c r="AD38" s="49"/>
      <c r="AE38" s="53">
        <f t="shared" si="30"/>
        <v>0</v>
      </c>
      <c r="AF38" s="53">
        <f t="shared" si="31"/>
        <v>0</v>
      </c>
      <c r="AG38" s="76"/>
      <c r="AL38" s="41" t="str">
        <f t="shared" si="32"/>
        <v>09.832.710-K</v>
      </c>
      <c r="AM38" s="41">
        <v>29</v>
      </c>
      <c r="AN38" s="41">
        <f t="shared" si="13"/>
        <v>0</v>
      </c>
      <c r="AO38" s="41">
        <f t="shared" si="14"/>
        <v>0</v>
      </c>
      <c r="AP38" s="41">
        <f t="shared" si="15"/>
        <v>0</v>
      </c>
      <c r="AQ38" s="41">
        <f t="shared" si="16"/>
        <v>0</v>
      </c>
      <c r="AR38" s="41">
        <f t="shared" si="17"/>
        <v>0</v>
      </c>
      <c r="AS38" s="41">
        <f t="shared" si="18"/>
        <v>0</v>
      </c>
      <c r="AT38" s="41">
        <f t="shared" si="19"/>
        <v>0</v>
      </c>
      <c r="AU38" s="55">
        <f t="shared" si="20"/>
        <v>0</v>
      </c>
      <c r="AW38" s="41">
        <f t="shared" si="33"/>
        <v>0</v>
      </c>
      <c r="AX38" s="41">
        <f t="shared" si="34"/>
        <v>0</v>
      </c>
      <c r="AY38" s="41">
        <f t="shared" si="35"/>
        <v>0</v>
      </c>
      <c r="AZ38" s="41">
        <f t="shared" si="36"/>
        <v>0</v>
      </c>
      <c r="BA38" s="41">
        <f t="shared" si="37"/>
        <v>0</v>
      </c>
      <c r="BB38" s="41">
        <f t="shared" si="38"/>
        <v>0</v>
      </c>
      <c r="BC38" s="41">
        <f t="shared" si="39"/>
        <v>0</v>
      </c>
      <c r="BD38" s="55">
        <f t="shared" si="40"/>
        <v>0</v>
      </c>
      <c r="BF38" s="41">
        <f t="shared" si="29"/>
        <v>0</v>
      </c>
    </row>
    <row r="39" spans="1:58" ht="13.5">
      <c r="A39" s="41" t="str">
        <f>IF(Base!B37="","",Base!B37)</f>
        <v>17.542.884-4</v>
      </c>
      <c r="B39" s="41" t="str">
        <f>IF(Base!F37="","",Base!F37)</f>
        <v>FRANCISCO JAVIER  CASTILLO  AHUMADA</v>
      </c>
      <c r="C39" s="41" t="str">
        <f>IF(Base!I37="","",Base!I37)</f>
        <v>Setup</v>
      </c>
      <c r="D39" s="42" t="str">
        <f>IF(Base!J37="","",Base!J37)</f>
        <v>Setup</v>
      </c>
      <c r="E39" s="41">
        <f>IF(Base!H37="","",Base!H37)</f>
        <v>1050529</v>
      </c>
      <c r="J39" s="49">
        <v>29</v>
      </c>
      <c r="K39" s="115" t="s">
        <v>266</v>
      </c>
      <c r="L39" s="111" t="str">
        <f t="shared" si="6"/>
        <v>SIXTO PATRICIO  CORTES  HERRERA</v>
      </c>
      <c r="M39" s="111">
        <f t="shared" si="7"/>
        <v>1050581</v>
      </c>
      <c r="N39" s="112" t="str">
        <f t="shared" si="8"/>
        <v>Abastecimiento</v>
      </c>
      <c r="O39" s="112" t="str">
        <f t="shared" si="9"/>
        <v>Almacen Insumos Pque</v>
      </c>
      <c r="P39" s="51" t="s">
        <v>1322</v>
      </c>
      <c r="Q39" s="56"/>
      <c r="R39" s="49"/>
      <c r="S39" s="56"/>
      <c r="T39" s="49"/>
      <c r="U39" s="56"/>
      <c r="V39" s="49"/>
      <c r="W39" s="56"/>
      <c r="X39" s="49"/>
      <c r="Y39" s="56"/>
      <c r="Z39" s="49"/>
      <c r="AA39" s="56"/>
      <c r="AB39" s="49"/>
      <c r="AC39" s="56"/>
      <c r="AD39" s="49"/>
      <c r="AE39" s="53">
        <f t="shared" si="30"/>
        <v>0</v>
      </c>
      <c r="AF39" s="53">
        <f t="shared" si="31"/>
        <v>0</v>
      </c>
      <c r="AG39" s="81" t="s">
        <v>1366</v>
      </c>
      <c r="AL39" s="41" t="str">
        <f t="shared" si="32"/>
        <v>11.660.411-6</v>
      </c>
      <c r="AM39" s="41">
        <v>30</v>
      </c>
      <c r="AN39" s="41">
        <f t="shared" si="13"/>
        <v>0</v>
      </c>
      <c r="AO39" s="41">
        <f t="shared" si="14"/>
        <v>0</v>
      </c>
      <c r="AP39" s="41">
        <f t="shared" si="15"/>
        <v>0</v>
      </c>
      <c r="AQ39" s="41">
        <f t="shared" si="16"/>
        <v>0</v>
      </c>
      <c r="AR39" s="41">
        <f t="shared" si="17"/>
        <v>0</v>
      </c>
      <c r="AS39" s="41">
        <f t="shared" si="18"/>
        <v>0</v>
      </c>
      <c r="AT39" s="41">
        <f t="shared" si="19"/>
        <v>0</v>
      </c>
      <c r="AU39" s="55">
        <f t="shared" si="20"/>
        <v>0</v>
      </c>
      <c r="AW39" s="41">
        <f t="shared" si="33"/>
        <v>0</v>
      </c>
      <c r="AX39" s="41">
        <f t="shared" si="34"/>
        <v>0</v>
      </c>
      <c r="AY39" s="41">
        <f t="shared" si="35"/>
        <v>0</v>
      </c>
      <c r="AZ39" s="41">
        <f t="shared" si="36"/>
        <v>0</v>
      </c>
      <c r="BA39" s="41">
        <f t="shared" si="37"/>
        <v>0</v>
      </c>
      <c r="BB39" s="41">
        <f t="shared" si="38"/>
        <v>0</v>
      </c>
      <c r="BC39" s="41">
        <f t="shared" si="39"/>
        <v>0</v>
      </c>
      <c r="BD39" s="55">
        <f t="shared" si="40"/>
        <v>0</v>
      </c>
      <c r="BF39" s="41">
        <f t="shared" si="29"/>
        <v>0</v>
      </c>
    </row>
    <row r="40" spans="1:58" ht="13.5">
      <c r="A40" s="41" t="str">
        <f>IF(Base!B38="","",Base!B38)</f>
        <v>07.717.451-6</v>
      </c>
      <c r="B40" s="41" t="str">
        <f>IF(Base!F38="","",Base!F38)</f>
        <v>JUAN FCO.  CERNA  CONTRERAS</v>
      </c>
      <c r="C40" s="41" t="str">
        <f>IF(Base!I38="","",Base!I38)</f>
        <v>Linea 4</v>
      </c>
      <c r="D40" s="42" t="str">
        <f>IF(Base!J38="","",Base!J38)</f>
        <v>Llenador</v>
      </c>
      <c r="E40" s="41">
        <f>IF(Base!H38="","",Base!H38)</f>
        <v>1050557</v>
      </c>
      <c r="J40" s="49">
        <v>30</v>
      </c>
      <c r="K40" s="115" t="s">
        <v>282</v>
      </c>
      <c r="L40" s="111" t="str">
        <f t="shared" si="6"/>
        <v>LUISA ISABEL  CRUZ  ROMERO</v>
      </c>
      <c r="M40" s="111">
        <f t="shared" si="7"/>
        <v>1050506</v>
      </c>
      <c r="N40" s="112" t="str">
        <f t="shared" si="8"/>
        <v>Abastecimiento</v>
      </c>
      <c r="O40" s="112" t="str">
        <f t="shared" si="9"/>
        <v>Reimpresión</v>
      </c>
      <c r="P40" s="51" t="s">
        <v>1322</v>
      </c>
      <c r="Q40" s="56"/>
      <c r="R40" s="49"/>
      <c r="S40" s="56"/>
      <c r="T40" s="49"/>
      <c r="U40" s="56"/>
      <c r="V40" s="49"/>
      <c r="W40" s="56"/>
      <c r="X40" s="49"/>
      <c r="Y40" s="56"/>
      <c r="Z40" s="49"/>
      <c r="AA40" s="56"/>
      <c r="AB40" s="49"/>
      <c r="AC40" s="56"/>
      <c r="AD40" s="49"/>
      <c r="AE40" s="53">
        <f t="shared" si="30"/>
        <v>0</v>
      </c>
      <c r="AF40" s="53">
        <f t="shared" si="31"/>
        <v>0</v>
      </c>
      <c r="AG40" s="76" t="s">
        <v>1366</v>
      </c>
      <c r="AL40" s="41" t="str">
        <f t="shared" si="32"/>
        <v>11.347.053-4</v>
      </c>
      <c r="AM40" s="41">
        <v>31</v>
      </c>
      <c r="AN40" s="41">
        <f t="shared" si="13"/>
        <v>0</v>
      </c>
      <c r="AO40" s="41">
        <f t="shared" si="14"/>
        <v>0</v>
      </c>
      <c r="AP40" s="41">
        <f t="shared" si="15"/>
        <v>0</v>
      </c>
      <c r="AQ40" s="41">
        <f t="shared" si="16"/>
        <v>0</v>
      </c>
      <c r="AR40" s="41">
        <f t="shared" si="17"/>
        <v>0</v>
      </c>
      <c r="AS40" s="41">
        <f t="shared" si="18"/>
        <v>0</v>
      </c>
      <c r="AT40" s="41">
        <f t="shared" si="19"/>
        <v>0</v>
      </c>
      <c r="AU40" s="55">
        <f t="shared" si="20"/>
        <v>0</v>
      </c>
      <c r="AW40" s="41">
        <f t="shared" si="33"/>
        <v>0</v>
      </c>
      <c r="AX40" s="41">
        <f t="shared" si="34"/>
        <v>0</v>
      </c>
      <c r="AY40" s="41">
        <f t="shared" si="35"/>
        <v>0</v>
      </c>
      <c r="AZ40" s="41">
        <f t="shared" si="36"/>
        <v>0</v>
      </c>
      <c r="BA40" s="41">
        <f t="shared" si="37"/>
        <v>0</v>
      </c>
      <c r="BB40" s="41">
        <f t="shared" si="38"/>
        <v>0</v>
      </c>
      <c r="BC40" s="41">
        <f t="shared" si="39"/>
        <v>0</v>
      </c>
      <c r="BD40" s="55">
        <f t="shared" si="40"/>
        <v>0</v>
      </c>
      <c r="BF40" s="41">
        <f t="shared" si="29"/>
        <v>0</v>
      </c>
    </row>
    <row r="41" spans="1:58" ht="13.5">
      <c r="A41" s="41" t="str">
        <f>IF(Base!B39="","",Base!B39)</f>
        <v>15.702.200-8</v>
      </c>
      <c r="B41" s="41" t="str">
        <f>IF(Base!F39="","",Base!F39)</f>
        <v>CESAR  CERNA  VARGAS</v>
      </c>
      <c r="C41" s="41" t="str">
        <f>IF(Base!I39="","",Base!I39)</f>
        <v>Linea 6</v>
      </c>
      <c r="D41" s="42" t="str">
        <f>IF(Base!J39="","",Base!J39)</f>
        <v>Embalador</v>
      </c>
      <c r="E41" s="41">
        <f>IF(Base!H39="","",Base!H39)</f>
        <v>1050610</v>
      </c>
      <c r="J41" s="49">
        <v>31</v>
      </c>
      <c r="K41" s="115" t="s">
        <v>288</v>
      </c>
      <c r="L41" s="111" t="str">
        <f t="shared" si="6"/>
        <v>PATRICIO HERNAN  CUEVAS  ORDENES</v>
      </c>
      <c r="M41" s="111">
        <f t="shared" si="7"/>
        <v>1050633</v>
      </c>
      <c r="N41" s="112" t="str">
        <f t="shared" si="8"/>
        <v>Abastecimiento</v>
      </c>
      <c r="O41" s="112" t="str">
        <f t="shared" si="9"/>
        <v>Suministro de Líneas</v>
      </c>
      <c r="P41" s="51" t="s">
        <v>1322</v>
      </c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3">
        <f t="shared" si="30"/>
        <v>0</v>
      </c>
      <c r="AF41" s="53">
        <f t="shared" si="31"/>
        <v>0</v>
      </c>
      <c r="AG41" s="76"/>
      <c r="AL41" s="41" t="str">
        <f t="shared" si="32"/>
        <v>07.815.607-4</v>
      </c>
      <c r="AM41" s="41">
        <v>32</v>
      </c>
      <c r="AN41" s="41">
        <f t="shared" si="13"/>
        <v>0</v>
      </c>
      <c r="AO41" s="41">
        <f t="shared" si="14"/>
        <v>0</v>
      </c>
      <c r="AP41" s="41">
        <f t="shared" si="15"/>
        <v>0</v>
      </c>
      <c r="AQ41" s="41">
        <f t="shared" si="16"/>
        <v>0</v>
      </c>
      <c r="AR41" s="41">
        <f t="shared" si="17"/>
        <v>0</v>
      </c>
      <c r="AS41" s="41">
        <f t="shared" si="18"/>
        <v>0</v>
      </c>
      <c r="AT41" s="41">
        <f t="shared" si="19"/>
        <v>0</v>
      </c>
      <c r="AU41" s="55">
        <f t="shared" si="20"/>
        <v>0</v>
      </c>
      <c r="AW41" s="41">
        <f t="shared" si="33"/>
        <v>0</v>
      </c>
      <c r="AX41" s="41">
        <f t="shared" si="34"/>
        <v>0</v>
      </c>
      <c r="AY41" s="41">
        <f t="shared" si="35"/>
        <v>0</v>
      </c>
      <c r="AZ41" s="41">
        <f t="shared" si="36"/>
        <v>0</v>
      </c>
      <c r="BA41" s="41">
        <f t="shared" si="37"/>
        <v>0</v>
      </c>
      <c r="BB41" s="41">
        <f t="shared" si="38"/>
        <v>0</v>
      </c>
      <c r="BC41" s="41">
        <f t="shared" si="39"/>
        <v>0</v>
      </c>
      <c r="BD41" s="55">
        <f t="shared" si="40"/>
        <v>0</v>
      </c>
      <c r="BF41" s="41">
        <f t="shared" si="29"/>
        <v>0</v>
      </c>
    </row>
    <row r="42" spans="1:58" ht="13.5">
      <c r="A42" s="41" t="str">
        <f>IF(Base!B40="","",Base!B40)</f>
        <v>07.816.535-9</v>
      </c>
      <c r="B42" s="41" t="str">
        <f>IF(Base!F40="","",Base!F40)</f>
        <v>CARLOS  CERONI  PIZARRO</v>
      </c>
      <c r="C42" s="41" t="str">
        <f>IF(Base!I40="","",Base!I40)</f>
        <v>Linea 7</v>
      </c>
      <c r="D42" s="42" t="str">
        <f>IF(Base!J40="","",Base!J40)</f>
        <v>Etiquetador</v>
      </c>
      <c r="E42" s="41">
        <f>IF(Base!H40="","",Base!H40)</f>
        <v>1050529</v>
      </c>
      <c r="J42" s="49">
        <v>32</v>
      </c>
      <c r="K42" s="115" t="s">
        <v>301</v>
      </c>
      <c r="L42" s="111" t="str">
        <f t="shared" si="6"/>
        <v>JORGE ANDRES  DEL RIO  TRONCOSO</v>
      </c>
      <c r="M42" s="111">
        <f t="shared" si="7"/>
        <v>1050127</v>
      </c>
      <c r="N42" s="112" t="str">
        <f t="shared" si="8"/>
        <v>Abastecimiento</v>
      </c>
      <c r="O42" s="112" t="str">
        <f t="shared" si="9"/>
        <v>Preparación de Insum</v>
      </c>
      <c r="P42" s="51" t="s">
        <v>1324</v>
      </c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3">
        <f t="shared" si="30"/>
        <v>0</v>
      </c>
      <c r="AF42" s="53">
        <f t="shared" si="31"/>
        <v>0</v>
      </c>
      <c r="AG42" s="77"/>
      <c r="AL42" s="41" t="str">
        <f t="shared" si="32"/>
        <v>14.181.387-0</v>
      </c>
      <c r="AM42" s="41">
        <v>33</v>
      </c>
      <c r="AN42" s="41">
        <f t="shared" si="13"/>
        <v>0</v>
      </c>
      <c r="AO42" s="41">
        <f t="shared" si="14"/>
        <v>0</v>
      </c>
      <c r="AP42" s="41">
        <f t="shared" si="15"/>
        <v>0</v>
      </c>
      <c r="AQ42" s="41">
        <f t="shared" si="16"/>
        <v>0</v>
      </c>
      <c r="AR42" s="41">
        <f t="shared" si="17"/>
        <v>0</v>
      </c>
      <c r="AS42" s="41">
        <f t="shared" si="18"/>
        <v>0</v>
      </c>
      <c r="AT42" s="41">
        <f t="shared" si="19"/>
        <v>0</v>
      </c>
      <c r="AU42" s="55">
        <f t="shared" si="20"/>
        <v>0</v>
      </c>
      <c r="AW42" s="41">
        <f t="shared" si="33"/>
        <v>0</v>
      </c>
      <c r="AX42" s="41">
        <f t="shared" si="34"/>
        <v>0</v>
      </c>
      <c r="AY42" s="41">
        <f t="shared" si="35"/>
        <v>0</v>
      </c>
      <c r="AZ42" s="41">
        <f t="shared" si="36"/>
        <v>0</v>
      </c>
      <c r="BA42" s="41">
        <f t="shared" si="37"/>
        <v>0</v>
      </c>
      <c r="BB42" s="41">
        <f t="shared" si="38"/>
        <v>0</v>
      </c>
      <c r="BC42" s="41">
        <f t="shared" si="39"/>
        <v>0</v>
      </c>
      <c r="BD42" s="55">
        <f t="shared" si="40"/>
        <v>0</v>
      </c>
      <c r="BF42" s="41">
        <f t="shared" si="29"/>
        <v>0</v>
      </c>
    </row>
    <row r="43" spans="1:58" ht="13.5">
      <c r="A43" s="41" t="str">
        <f>IF(Base!B41="","",Base!B41)</f>
        <v>13.486.775-2</v>
      </c>
      <c r="B43" s="41" t="str">
        <f>IF(Base!F41="","",Base!F41)</f>
        <v>RICARDO  CHAVEZ  FARIÑA</v>
      </c>
      <c r="C43" s="41" t="str">
        <f>IF(Base!I41="","",Base!I41)</f>
        <v>Linea 6</v>
      </c>
      <c r="D43" s="42" t="str">
        <f>IF(Base!J41="","",Base!J41)</f>
        <v>Embalador</v>
      </c>
      <c r="E43" s="41">
        <f>IF(Base!H41="","",Base!H41)</f>
        <v>1050610</v>
      </c>
      <c r="J43" s="49">
        <v>33</v>
      </c>
      <c r="K43" s="115" t="s">
        <v>307</v>
      </c>
      <c r="L43" s="111" t="str">
        <f t="shared" si="6"/>
        <v>MIGUEL ANGEL  DIAZ  CASTRO</v>
      </c>
      <c r="M43" s="111">
        <f t="shared" si="7"/>
        <v>1050126</v>
      </c>
      <c r="N43" s="112" t="str">
        <f t="shared" si="8"/>
        <v>Abastecimiento</v>
      </c>
      <c r="O43" s="112" t="str">
        <f t="shared" si="9"/>
        <v>Control Ingresos Cen</v>
      </c>
      <c r="P43" s="51" t="s">
        <v>4</v>
      </c>
      <c r="Q43" s="56"/>
      <c r="R43" s="49"/>
      <c r="S43" s="56"/>
      <c r="T43" s="49"/>
      <c r="U43" s="56"/>
      <c r="V43" s="49"/>
      <c r="W43" s="56"/>
      <c r="X43" s="49"/>
      <c r="Y43" s="56"/>
      <c r="Z43" s="49"/>
      <c r="AA43" s="56"/>
      <c r="AB43" s="49"/>
      <c r="AC43" s="56"/>
      <c r="AD43" s="49"/>
      <c r="AE43" s="53">
        <f t="shared" si="30"/>
        <v>0</v>
      </c>
      <c r="AF43" s="53">
        <f t="shared" si="31"/>
        <v>0</v>
      </c>
      <c r="AG43" s="76"/>
      <c r="AL43" s="41" t="str">
        <f t="shared" si="32"/>
        <v>07.944.613-0</v>
      </c>
      <c r="AM43" s="41">
        <v>34</v>
      </c>
      <c r="AN43" s="41">
        <f t="shared" si="13"/>
        <v>0</v>
      </c>
      <c r="AO43" s="41">
        <f t="shared" si="14"/>
        <v>0</v>
      </c>
      <c r="AP43" s="41">
        <f t="shared" si="15"/>
        <v>0</v>
      </c>
      <c r="AQ43" s="41">
        <f t="shared" si="16"/>
        <v>0</v>
      </c>
      <c r="AR43" s="41">
        <f t="shared" si="17"/>
        <v>0</v>
      </c>
      <c r="AS43" s="41">
        <f t="shared" si="18"/>
        <v>0</v>
      </c>
      <c r="AT43" s="41">
        <f t="shared" si="19"/>
        <v>0</v>
      </c>
      <c r="AU43" s="55">
        <f t="shared" si="20"/>
        <v>0</v>
      </c>
      <c r="AW43" s="41">
        <f t="shared" si="33"/>
        <v>0</v>
      </c>
      <c r="AX43" s="41">
        <f t="shared" si="34"/>
        <v>0</v>
      </c>
      <c r="AY43" s="41">
        <f t="shared" si="35"/>
        <v>0</v>
      </c>
      <c r="AZ43" s="41">
        <f t="shared" si="36"/>
        <v>0</v>
      </c>
      <c r="BA43" s="41">
        <f t="shared" si="37"/>
        <v>0</v>
      </c>
      <c r="BB43" s="41">
        <f t="shared" si="38"/>
        <v>0</v>
      </c>
      <c r="BC43" s="41">
        <f t="shared" si="39"/>
        <v>0</v>
      </c>
      <c r="BD43" s="55">
        <f t="shared" si="40"/>
        <v>0</v>
      </c>
      <c r="BF43" s="41">
        <f t="shared" si="29"/>
        <v>0</v>
      </c>
    </row>
    <row r="44" spans="1:58" ht="13.5">
      <c r="A44" s="41" t="str">
        <f>IF(Base!B42="","",Base!B42)</f>
        <v>11.660.411-6</v>
      </c>
      <c r="B44" s="41" t="str">
        <f>IF(Base!F42="","",Base!F42)</f>
        <v>SIXTO PATRICIO  CORTES  HERRERA</v>
      </c>
      <c r="C44" s="41" t="str">
        <f>IF(Base!I42="","",Base!I42)</f>
        <v>Abastecimiento</v>
      </c>
      <c r="D44" s="42" t="str">
        <f>IF(Base!J42="","",Base!J42)</f>
        <v>Almacen Insumos Pque</v>
      </c>
      <c r="E44" s="41">
        <f>IF(Base!H42="","",Base!H42)</f>
        <v>1050581</v>
      </c>
      <c r="J44" s="49">
        <v>34</v>
      </c>
      <c r="K44" s="115" t="s">
        <v>337</v>
      </c>
      <c r="L44" s="111" t="str">
        <f t="shared" si="6"/>
        <v>LUIS  DUARTE  BECERRA</v>
      </c>
      <c r="M44" s="111">
        <f t="shared" si="7"/>
        <v>1050127</v>
      </c>
      <c r="N44" s="112" t="str">
        <f t="shared" si="8"/>
        <v>Abastecimiento</v>
      </c>
      <c r="O44" s="112" t="str">
        <f t="shared" si="9"/>
        <v>Preparación de Insum</v>
      </c>
      <c r="P44" s="51" t="s">
        <v>1338</v>
      </c>
      <c r="Q44" s="56"/>
      <c r="R44" s="49"/>
      <c r="S44" s="56"/>
      <c r="T44" s="49"/>
      <c r="U44" s="56"/>
      <c r="V44" s="49"/>
      <c r="W44" s="56"/>
      <c r="X44" s="49"/>
      <c r="Y44" s="56">
        <v>3</v>
      </c>
      <c r="Z44" s="49"/>
      <c r="AA44" s="56">
        <v>6</v>
      </c>
      <c r="AB44" s="49"/>
      <c r="AC44" s="56"/>
      <c r="AD44" s="49"/>
      <c r="AE44" s="53">
        <f t="shared" si="30"/>
        <v>9</v>
      </c>
      <c r="AF44" s="53">
        <f t="shared" si="31"/>
        <v>0</v>
      </c>
      <c r="AG44" s="76"/>
      <c r="AL44" s="41" t="str">
        <f t="shared" si="32"/>
        <v>05.267.317-8</v>
      </c>
      <c r="AM44" s="41">
        <v>35</v>
      </c>
      <c r="AN44" s="41">
        <f t="shared" si="13"/>
        <v>0</v>
      </c>
      <c r="AO44" s="41">
        <f t="shared" si="14"/>
        <v>0</v>
      </c>
      <c r="AP44" s="41">
        <f t="shared" si="15"/>
        <v>0</v>
      </c>
      <c r="AQ44" s="41">
        <f t="shared" si="16"/>
        <v>0</v>
      </c>
      <c r="AR44" s="41">
        <f t="shared" si="17"/>
        <v>3</v>
      </c>
      <c r="AS44" s="41">
        <f t="shared" si="18"/>
        <v>6</v>
      </c>
      <c r="AT44" s="41">
        <f t="shared" si="19"/>
        <v>0</v>
      </c>
      <c r="AU44" s="55">
        <f t="shared" si="20"/>
        <v>9</v>
      </c>
      <c r="AW44" s="41">
        <f t="shared" si="33"/>
        <v>0</v>
      </c>
      <c r="AX44" s="41">
        <f t="shared" si="34"/>
        <v>0</v>
      </c>
      <c r="AY44" s="41">
        <f t="shared" si="35"/>
        <v>0</v>
      </c>
      <c r="AZ44" s="41">
        <f t="shared" si="36"/>
        <v>0</v>
      </c>
      <c r="BA44" s="41">
        <f t="shared" si="37"/>
        <v>0</v>
      </c>
      <c r="BB44" s="41">
        <f t="shared" si="38"/>
        <v>0</v>
      </c>
      <c r="BC44" s="41">
        <f t="shared" si="39"/>
        <v>0</v>
      </c>
      <c r="BD44" s="55">
        <f t="shared" si="40"/>
        <v>0</v>
      </c>
      <c r="BF44" s="41">
        <f t="shared" si="29"/>
        <v>9</v>
      </c>
    </row>
    <row r="45" spans="1:58" ht="13.5">
      <c r="A45" s="41" t="str">
        <f>IF(Base!B43="","",Base!B43)</f>
        <v>11.523.492-7</v>
      </c>
      <c r="B45" s="41" t="str">
        <f>IF(Base!F43="","",Base!F43)</f>
        <v>CLAUDIO  CORTES  ULLOA</v>
      </c>
      <c r="C45" s="41" t="str">
        <f>IF(Base!I43="","",Base!I43)</f>
        <v>Linea 7</v>
      </c>
      <c r="D45" s="42" t="str">
        <f>IF(Base!J43="","",Base!J43)</f>
        <v>Palletizador</v>
      </c>
      <c r="E45" s="41">
        <f>IF(Base!H43="","",Base!H43)</f>
        <v>1050616</v>
      </c>
      <c r="J45" s="49">
        <v>35</v>
      </c>
      <c r="K45" s="115" t="s">
        <v>356</v>
      </c>
      <c r="L45" s="111" t="str">
        <f t="shared" si="6"/>
        <v>JOAQUIN  ESPINOZA  MORENO</v>
      </c>
      <c r="M45" s="111">
        <f t="shared" si="7"/>
        <v>1050581</v>
      </c>
      <c r="N45" s="112" t="str">
        <f t="shared" si="8"/>
        <v>Abastecimiento</v>
      </c>
      <c r="O45" s="112" t="str">
        <f t="shared" si="9"/>
        <v>Almacen Insumos Pque</v>
      </c>
      <c r="P45" s="51" t="s">
        <v>1338</v>
      </c>
      <c r="Q45" s="56">
        <v>2</v>
      </c>
      <c r="R45" s="49"/>
      <c r="S45" s="56">
        <v>2</v>
      </c>
      <c r="T45" s="49"/>
      <c r="U45" s="56">
        <v>2</v>
      </c>
      <c r="V45" s="49"/>
      <c r="W45" s="56">
        <v>2</v>
      </c>
      <c r="X45" s="49"/>
      <c r="Y45" s="56"/>
      <c r="Z45" s="49"/>
      <c r="AA45" s="56"/>
      <c r="AB45" s="49"/>
      <c r="AC45" s="56"/>
      <c r="AD45" s="49"/>
      <c r="AE45" s="53">
        <f t="shared" si="30"/>
        <v>8</v>
      </c>
      <c r="AF45" s="53">
        <f t="shared" si="31"/>
        <v>0</v>
      </c>
      <c r="AG45" s="76"/>
      <c r="AL45" s="41" t="str">
        <f t="shared" si="32"/>
        <v>11.267.594-9</v>
      </c>
      <c r="AM45" s="41">
        <v>36</v>
      </c>
      <c r="AN45" s="41">
        <f t="shared" si="13"/>
        <v>2</v>
      </c>
      <c r="AO45" s="41">
        <f t="shared" si="14"/>
        <v>2</v>
      </c>
      <c r="AP45" s="41">
        <f t="shared" si="15"/>
        <v>2</v>
      </c>
      <c r="AQ45" s="41">
        <f t="shared" si="16"/>
        <v>2</v>
      </c>
      <c r="AR45" s="41">
        <f t="shared" si="17"/>
        <v>0</v>
      </c>
      <c r="AS45" s="41">
        <f t="shared" si="18"/>
        <v>0</v>
      </c>
      <c r="AT45" s="41">
        <f t="shared" si="19"/>
        <v>0</v>
      </c>
      <c r="AU45" s="55">
        <f t="shared" si="20"/>
        <v>8</v>
      </c>
      <c r="AW45" s="41">
        <f t="shared" si="33"/>
        <v>0</v>
      </c>
      <c r="AX45" s="41">
        <f t="shared" si="34"/>
        <v>0</v>
      </c>
      <c r="AY45" s="41">
        <f t="shared" si="35"/>
        <v>0</v>
      </c>
      <c r="AZ45" s="41">
        <f t="shared" si="36"/>
        <v>0</v>
      </c>
      <c r="BA45" s="41">
        <f t="shared" si="37"/>
        <v>0</v>
      </c>
      <c r="BB45" s="41">
        <f t="shared" si="38"/>
        <v>0</v>
      </c>
      <c r="BC45" s="41">
        <f t="shared" si="39"/>
        <v>0</v>
      </c>
      <c r="BD45" s="55">
        <f t="shared" si="40"/>
        <v>0</v>
      </c>
      <c r="BF45" s="41">
        <f t="shared" si="29"/>
        <v>8</v>
      </c>
    </row>
    <row r="46" spans="1:58" ht="13.5">
      <c r="A46" s="41" t="str">
        <f>IF(Base!B44="","",Base!B44)</f>
        <v>11.268.136-1</v>
      </c>
      <c r="B46" s="41" t="str">
        <f>IF(Base!F44="","",Base!F44)</f>
        <v>MARIA ANGELICA  CRUCES  AGUILERA</v>
      </c>
      <c r="C46" s="41" t="str">
        <f>IF(Base!I44="","",Base!I44)</f>
        <v>Linea 6</v>
      </c>
      <c r="D46" s="42" t="str">
        <f>IF(Base!J44="","",Base!J44)</f>
        <v>Inspector etiqueta</v>
      </c>
      <c r="E46" s="41">
        <f>IF(Base!H44="","",Base!H44)</f>
        <v>1050610</v>
      </c>
      <c r="J46" s="49">
        <v>36</v>
      </c>
      <c r="K46" s="115" t="s">
        <v>372</v>
      </c>
      <c r="L46" s="111" t="str">
        <f t="shared" si="6"/>
        <v>JONATHAN  ESPINOZA  MORENO</v>
      </c>
      <c r="M46" s="111">
        <f t="shared" si="7"/>
        <v>1050581</v>
      </c>
      <c r="N46" s="112" t="str">
        <f t="shared" si="8"/>
        <v>Abastecimiento</v>
      </c>
      <c r="O46" s="112" t="str">
        <f t="shared" si="9"/>
        <v>Suministro de Líneas</v>
      </c>
      <c r="P46" s="51" t="s">
        <v>4</v>
      </c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3">
        <f t="shared" si="30"/>
        <v>0</v>
      </c>
      <c r="AF46" s="53">
        <f t="shared" si="31"/>
        <v>0</v>
      </c>
      <c r="AG46" s="76"/>
      <c r="AL46" s="41" t="str">
        <f t="shared" si="32"/>
        <v>16.031.949-6</v>
      </c>
      <c r="AM46" s="41">
        <v>37</v>
      </c>
      <c r="AN46" s="41">
        <f t="shared" si="13"/>
        <v>0</v>
      </c>
      <c r="AO46" s="41">
        <f t="shared" si="14"/>
        <v>0</v>
      </c>
      <c r="AP46" s="41">
        <f t="shared" si="15"/>
        <v>0</v>
      </c>
      <c r="AQ46" s="41">
        <f t="shared" si="16"/>
        <v>0</v>
      </c>
      <c r="AR46" s="41">
        <f t="shared" si="17"/>
        <v>0</v>
      </c>
      <c r="AS46" s="41">
        <f t="shared" si="18"/>
        <v>0</v>
      </c>
      <c r="AT46" s="41">
        <f t="shared" si="19"/>
        <v>0</v>
      </c>
      <c r="AU46" s="55">
        <f t="shared" si="20"/>
        <v>0</v>
      </c>
      <c r="AW46" s="41">
        <f t="shared" si="33"/>
        <v>0</v>
      </c>
      <c r="AX46" s="41">
        <f t="shared" si="34"/>
        <v>0</v>
      </c>
      <c r="AY46" s="41">
        <f t="shared" si="35"/>
        <v>0</v>
      </c>
      <c r="AZ46" s="41">
        <f t="shared" si="36"/>
        <v>0</v>
      </c>
      <c r="BA46" s="41">
        <f t="shared" si="37"/>
        <v>0</v>
      </c>
      <c r="BB46" s="41">
        <f t="shared" si="38"/>
        <v>0</v>
      </c>
      <c r="BC46" s="41">
        <f t="shared" si="39"/>
        <v>0</v>
      </c>
      <c r="BD46" s="55">
        <f t="shared" si="40"/>
        <v>0</v>
      </c>
      <c r="BF46" s="41">
        <f t="shared" si="29"/>
        <v>0</v>
      </c>
    </row>
    <row r="47" spans="1:58" ht="13.5">
      <c r="A47" s="41" t="str">
        <f>IF(Base!B45="","",Base!B45)</f>
        <v>11.347.053-4</v>
      </c>
      <c r="B47" s="41" t="str">
        <f>IF(Base!F45="","",Base!F45)</f>
        <v>LUISA ISABEL  CRUZ  ROMERO</v>
      </c>
      <c r="C47" s="41" t="str">
        <f>IF(Base!I45="","",Base!I45)</f>
        <v>Abastecimiento</v>
      </c>
      <c r="D47" s="42" t="str">
        <f>IF(Base!J45="","",Base!J45)</f>
        <v>Reimpresión</v>
      </c>
      <c r="E47" s="41">
        <f>IF(Base!H45="","",Base!H45)</f>
        <v>1050506</v>
      </c>
      <c r="J47" s="49">
        <v>37</v>
      </c>
      <c r="K47" s="115" t="s">
        <v>376</v>
      </c>
      <c r="L47" s="111" t="str">
        <f t="shared" si="6"/>
        <v>CARLOS  FIGUEROA  NILO</v>
      </c>
      <c r="M47" s="111">
        <f t="shared" si="7"/>
        <v>1050126</v>
      </c>
      <c r="N47" s="112" t="str">
        <f t="shared" si="8"/>
        <v>Abastecimiento</v>
      </c>
      <c r="O47" s="112" t="str">
        <f t="shared" si="9"/>
        <v>Control Ingresos Cen</v>
      </c>
      <c r="P47" s="51" t="s">
        <v>1322</v>
      </c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3">
        <f t="shared" si="30"/>
        <v>0</v>
      </c>
      <c r="AF47" s="53">
        <f t="shared" si="31"/>
        <v>0</v>
      </c>
      <c r="AG47" s="79" t="s">
        <v>1369</v>
      </c>
      <c r="AL47" s="41" t="str">
        <f t="shared" si="32"/>
        <v>05.080.993-5</v>
      </c>
      <c r="AM47" s="41">
        <v>38</v>
      </c>
      <c r="AN47" s="41">
        <f t="shared" si="13"/>
        <v>0</v>
      </c>
      <c r="AO47" s="41">
        <f t="shared" si="14"/>
        <v>0</v>
      </c>
      <c r="AP47" s="41">
        <f t="shared" si="15"/>
        <v>0</v>
      </c>
      <c r="AQ47" s="41">
        <f t="shared" si="16"/>
        <v>0</v>
      </c>
      <c r="AR47" s="41">
        <f t="shared" si="17"/>
        <v>0</v>
      </c>
      <c r="AS47" s="41">
        <f t="shared" si="18"/>
        <v>0</v>
      </c>
      <c r="AT47" s="41">
        <f t="shared" si="19"/>
        <v>0</v>
      </c>
      <c r="AU47" s="55">
        <f t="shared" si="20"/>
        <v>0</v>
      </c>
      <c r="AW47" s="41">
        <f t="shared" si="33"/>
        <v>0</v>
      </c>
      <c r="AX47" s="41">
        <f t="shared" si="34"/>
        <v>0</v>
      </c>
      <c r="AY47" s="41">
        <f t="shared" si="35"/>
        <v>0</v>
      </c>
      <c r="AZ47" s="41">
        <f t="shared" si="36"/>
        <v>0</v>
      </c>
      <c r="BA47" s="41">
        <f t="shared" si="37"/>
        <v>0</v>
      </c>
      <c r="BB47" s="41">
        <f t="shared" si="38"/>
        <v>0</v>
      </c>
      <c r="BC47" s="41">
        <f t="shared" si="39"/>
        <v>0</v>
      </c>
      <c r="BD47" s="55">
        <f t="shared" si="40"/>
        <v>0</v>
      </c>
      <c r="BF47" s="41">
        <f t="shared" si="29"/>
        <v>0</v>
      </c>
    </row>
    <row r="48" spans="1:58" ht="13.5">
      <c r="A48" s="41" t="str">
        <f>IF(Base!B46="","",Base!B46)</f>
        <v>07.815.607-4</v>
      </c>
      <c r="B48" s="41" t="str">
        <f>IF(Base!F46="","",Base!F46)</f>
        <v>PATRICIO HERNAN  CUEVAS  ORDENES</v>
      </c>
      <c r="C48" s="41" t="str">
        <f>IF(Base!I46="","",Base!I46)</f>
        <v>Abastecimiento</v>
      </c>
      <c r="D48" s="42" t="str">
        <f>IF(Base!J46="","",Base!J46)</f>
        <v>Suministro de Líneas</v>
      </c>
      <c r="E48" s="41">
        <f>IF(Base!H46="","",Base!H46)</f>
        <v>1050633</v>
      </c>
      <c r="J48" s="49">
        <v>38</v>
      </c>
      <c r="K48" s="115" t="s">
        <v>381</v>
      </c>
      <c r="L48" s="111" t="str">
        <f t="shared" si="6"/>
        <v>NELLY E.  FIGUEROA  PAVEZ</v>
      </c>
      <c r="M48" s="111">
        <f t="shared" si="7"/>
        <v>1050126</v>
      </c>
      <c r="N48" s="112" t="str">
        <f t="shared" si="8"/>
        <v>Abastecimiento</v>
      </c>
      <c r="O48" s="112" t="str">
        <f t="shared" si="9"/>
        <v>Control Ingresos Cen</v>
      </c>
      <c r="P48" s="51" t="s">
        <v>1322</v>
      </c>
      <c r="Q48" s="56"/>
      <c r="R48" s="49"/>
      <c r="S48" s="56"/>
      <c r="T48" s="49"/>
      <c r="U48" s="56"/>
      <c r="V48" s="49"/>
      <c r="W48" s="56"/>
      <c r="X48" s="49"/>
      <c r="Y48" s="56"/>
      <c r="Z48" s="49"/>
      <c r="AA48" s="56"/>
      <c r="AB48" s="49"/>
      <c r="AC48" s="56"/>
      <c r="AD48" s="49"/>
      <c r="AE48" s="53">
        <f t="shared" si="30"/>
        <v>0</v>
      </c>
      <c r="AF48" s="53">
        <f t="shared" si="31"/>
        <v>0</v>
      </c>
      <c r="AG48" s="76" t="s">
        <v>1366</v>
      </c>
      <c r="AL48" s="41" t="str">
        <f t="shared" si="32"/>
        <v>05.989.878-7</v>
      </c>
      <c r="AM48" s="41">
        <v>39</v>
      </c>
      <c r="AN48" s="41">
        <f t="shared" si="13"/>
        <v>0</v>
      </c>
      <c r="AO48" s="41">
        <f t="shared" si="14"/>
        <v>0</v>
      </c>
      <c r="AP48" s="41">
        <f t="shared" si="15"/>
        <v>0</v>
      </c>
      <c r="AQ48" s="41">
        <f t="shared" si="16"/>
        <v>0</v>
      </c>
      <c r="AR48" s="41">
        <f t="shared" si="17"/>
        <v>0</v>
      </c>
      <c r="AS48" s="41">
        <f t="shared" si="18"/>
        <v>0</v>
      </c>
      <c r="AT48" s="41">
        <f t="shared" si="19"/>
        <v>0</v>
      </c>
      <c r="AU48" s="55">
        <f t="shared" si="20"/>
        <v>0</v>
      </c>
      <c r="AW48" s="41">
        <f t="shared" si="33"/>
        <v>0</v>
      </c>
      <c r="AX48" s="41">
        <f t="shared" si="34"/>
        <v>0</v>
      </c>
      <c r="AY48" s="41">
        <f t="shared" si="35"/>
        <v>0</v>
      </c>
      <c r="AZ48" s="41">
        <f t="shared" si="36"/>
        <v>0</v>
      </c>
      <c r="BA48" s="41">
        <f t="shared" si="37"/>
        <v>0</v>
      </c>
      <c r="BB48" s="41">
        <f t="shared" si="38"/>
        <v>0</v>
      </c>
      <c r="BC48" s="41">
        <f t="shared" si="39"/>
        <v>0</v>
      </c>
      <c r="BD48" s="55">
        <f t="shared" si="40"/>
        <v>0</v>
      </c>
      <c r="BF48" s="41">
        <f t="shared" si="29"/>
        <v>0</v>
      </c>
    </row>
    <row r="49" spans="1:58" ht="13.5">
      <c r="A49" s="41" t="str">
        <f>IF(Base!B47="","",Base!B47)</f>
        <v>06.143.912-9</v>
      </c>
      <c r="B49" s="41" t="str">
        <f>IF(Base!F47="","",Base!F47)</f>
        <v>ARTURO BERNABE  CURIN  MILLAN</v>
      </c>
      <c r="C49" s="41" t="str">
        <f>IF(Base!I47="","",Base!I47)</f>
        <v>Aseo</v>
      </c>
      <c r="D49" s="42" t="str">
        <f>IF(Base!J47="","",Base!J47)</f>
        <v>Aseo</v>
      </c>
      <c r="E49" s="41">
        <f>IF(Base!H47="","",Base!H47)</f>
        <v>1050632</v>
      </c>
      <c r="J49" s="49">
        <v>39</v>
      </c>
      <c r="K49" s="115" t="s">
        <v>1362</v>
      </c>
      <c r="L49" s="111" t="str">
        <f t="shared" si="6"/>
        <v>MARCELO  FLORES  ARANDA</v>
      </c>
      <c r="M49" s="111">
        <f t="shared" si="7"/>
        <v>1050126</v>
      </c>
      <c r="N49" s="112" t="str">
        <f t="shared" si="8"/>
        <v>Abastecimiento</v>
      </c>
      <c r="O49" s="112" t="str">
        <f t="shared" si="9"/>
        <v>Control Ingresos Cen</v>
      </c>
      <c r="P49" s="51" t="s">
        <v>1322</v>
      </c>
      <c r="Q49" s="56"/>
      <c r="R49" s="49"/>
      <c r="S49" s="56"/>
      <c r="T49" s="49"/>
      <c r="U49" s="56"/>
      <c r="V49" s="49"/>
      <c r="W49" s="56"/>
      <c r="X49" s="49"/>
      <c r="Y49" s="56"/>
      <c r="Z49" s="49"/>
      <c r="AA49" s="56"/>
      <c r="AB49" s="49"/>
      <c r="AC49" s="56"/>
      <c r="AD49" s="49"/>
      <c r="AE49" s="53">
        <f t="shared" si="30"/>
        <v>0</v>
      </c>
      <c r="AF49" s="53">
        <f t="shared" si="31"/>
        <v>0</v>
      </c>
      <c r="AG49" s="76"/>
      <c r="AL49" s="41" t="str">
        <f t="shared" si="32"/>
        <v>16.380.050-0</v>
      </c>
      <c r="AM49" s="41">
        <v>40</v>
      </c>
      <c r="AN49" s="41">
        <f t="shared" si="13"/>
        <v>0</v>
      </c>
      <c r="AO49" s="41">
        <f t="shared" si="14"/>
        <v>0</v>
      </c>
      <c r="AP49" s="41">
        <f t="shared" si="15"/>
        <v>0</v>
      </c>
      <c r="AQ49" s="41">
        <f t="shared" si="16"/>
        <v>0</v>
      </c>
      <c r="AR49" s="41">
        <f t="shared" si="17"/>
        <v>0</v>
      </c>
      <c r="AS49" s="41">
        <f t="shared" si="18"/>
        <v>0</v>
      </c>
      <c r="AT49" s="41">
        <f t="shared" si="19"/>
        <v>0</v>
      </c>
      <c r="AU49" s="55">
        <f t="shared" si="20"/>
        <v>0</v>
      </c>
      <c r="AW49" s="41">
        <f t="shared" si="33"/>
        <v>0</v>
      </c>
      <c r="AX49" s="41">
        <f t="shared" si="34"/>
        <v>0</v>
      </c>
      <c r="AY49" s="41">
        <f t="shared" si="35"/>
        <v>0</v>
      </c>
      <c r="AZ49" s="41">
        <f t="shared" si="36"/>
        <v>0</v>
      </c>
      <c r="BA49" s="41">
        <f t="shared" si="37"/>
        <v>0</v>
      </c>
      <c r="BB49" s="41">
        <f t="shared" si="38"/>
        <v>0</v>
      </c>
      <c r="BC49" s="41">
        <f t="shared" si="39"/>
        <v>0</v>
      </c>
      <c r="BD49" s="55">
        <f t="shared" si="40"/>
        <v>0</v>
      </c>
      <c r="BF49" s="41">
        <f t="shared" si="29"/>
        <v>0</v>
      </c>
    </row>
    <row r="50" spans="1:58" ht="13.5">
      <c r="A50" s="41" t="str">
        <f>IF(Base!B48="","",Base!B48)</f>
        <v>14.181.387-0</v>
      </c>
      <c r="B50" s="41" t="str">
        <f>IF(Base!F48="","",Base!F48)</f>
        <v>JORGE ANDRES  DEL RIO  TRONCOSO</v>
      </c>
      <c r="C50" s="41" t="str">
        <f>IF(Base!I48="","",Base!I48)</f>
        <v>Abastecimiento</v>
      </c>
      <c r="D50" s="42" t="str">
        <f>IF(Base!J48="","",Base!J48)</f>
        <v>Preparación de Insum</v>
      </c>
      <c r="E50" s="41">
        <f>IF(Base!H48="","",Base!H48)</f>
        <v>1050127</v>
      </c>
      <c r="J50" s="49">
        <v>40</v>
      </c>
      <c r="K50" s="115" t="s">
        <v>418</v>
      </c>
      <c r="L50" s="111" t="str">
        <f t="shared" si="6"/>
        <v>MIGUEL FRANCISCO  GALLARDO  CASTRO</v>
      </c>
      <c r="M50" s="111">
        <f t="shared" si="7"/>
        <v>1050126</v>
      </c>
      <c r="N50" s="112" t="str">
        <f t="shared" si="8"/>
        <v>Abastecimiento</v>
      </c>
      <c r="O50" s="112" t="str">
        <f t="shared" si="9"/>
        <v>Control Ingresos Cen</v>
      </c>
      <c r="P50" s="51" t="s">
        <v>4</v>
      </c>
      <c r="Q50" s="56"/>
      <c r="R50" s="49"/>
      <c r="S50" s="56"/>
      <c r="T50" s="49"/>
      <c r="U50" s="56"/>
      <c r="V50" s="49"/>
      <c r="W50" s="56"/>
      <c r="X50" s="49"/>
      <c r="Y50" s="56"/>
      <c r="Z50" s="49"/>
      <c r="AA50" s="56"/>
      <c r="AB50" s="49"/>
      <c r="AC50" s="56"/>
      <c r="AD50" s="49"/>
      <c r="AE50" s="53">
        <f t="shared" si="30"/>
        <v>0</v>
      </c>
      <c r="AF50" s="53">
        <f t="shared" si="31"/>
        <v>0</v>
      </c>
      <c r="AG50" s="76"/>
      <c r="AL50" s="41" t="str">
        <f t="shared" si="32"/>
        <v>09.571.017-4</v>
      </c>
      <c r="AM50" s="41">
        <v>41</v>
      </c>
      <c r="AN50" s="41">
        <f t="shared" si="13"/>
        <v>0</v>
      </c>
      <c r="AO50" s="41">
        <f t="shared" si="14"/>
        <v>0</v>
      </c>
      <c r="AP50" s="41">
        <f t="shared" si="15"/>
        <v>0</v>
      </c>
      <c r="AQ50" s="41">
        <f t="shared" si="16"/>
        <v>0</v>
      </c>
      <c r="AR50" s="41">
        <f t="shared" si="17"/>
        <v>0</v>
      </c>
      <c r="AS50" s="41">
        <f t="shared" si="18"/>
        <v>0</v>
      </c>
      <c r="AT50" s="41">
        <f t="shared" si="19"/>
        <v>0</v>
      </c>
      <c r="AU50" s="55">
        <f t="shared" si="20"/>
        <v>0</v>
      </c>
      <c r="AW50" s="41">
        <f t="shared" si="33"/>
        <v>0</v>
      </c>
      <c r="AX50" s="41">
        <f t="shared" si="34"/>
        <v>0</v>
      </c>
      <c r="AY50" s="41">
        <f t="shared" si="35"/>
        <v>0</v>
      </c>
      <c r="AZ50" s="41">
        <f t="shared" si="36"/>
        <v>0</v>
      </c>
      <c r="BA50" s="41">
        <f t="shared" si="37"/>
        <v>0</v>
      </c>
      <c r="BB50" s="41">
        <f t="shared" si="38"/>
        <v>0</v>
      </c>
      <c r="BC50" s="41">
        <f t="shared" si="39"/>
        <v>0</v>
      </c>
      <c r="BD50" s="55">
        <f t="shared" si="40"/>
        <v>0</v>
      </c>
      <c r="BF50" s="41">
        <f t="shared" si="29"/>
        <v>0</v>
      </c>
    </row>
    <row r="51" spans="1:58" ht="13.5">
      <c r="A51" s="41" t="str">
        <f>IF(Base!B49="","",Base!B49)</f>
        <v>07.944.613-0</v>
      </c>
      <c r="B51" s="41" t="str">
        <f>IF(Base!F49="","",Base!F49)</f>
        <v>MIGUEL ANGEL  DIAZ  CASTRO</v>
      </c>
      <c r="C51" s="41" t="str">
        <f>IF(Base!I49="","",Base!I49)</f>
        <v>Abastecimiento</v>
      </c>
      <c r="D51" s="42" t="str">
        <f>IF(Base!J49="","",Base!J49)</f>
        <v>Control Ingresos Cen</v>
      </c>
      <c r="E51" s="41">
        <f>IF(Base!H49="","",Base!H49)</f>
        <v>1050126</v>
      </c>
      <c r="J51" s="49">
        <v>41</v>
      </c>
      <c r="K51" s="115" t="s">
        <v>433</v>
      </c>
      <c r="L51" s="111" t="str">
        <f t="shared" si="6"/>
        <v>ARIEL ALFREDO  GALVEZ  CERNA</v>
      </c>
      <c r="M51" s="111">
        <f t="shared" si="7"/>
        <v>1050126</v>
      </c>
      <c r="N51" s="112" t="str">
        <f t="shared" si="8"/>
        <v>Abastecimiento</v>
      </c>
      <c r="O51" s="112" t="str">
        <f t="shared" si="9"/>
        <v>Control Ingresos Cen</v>
      </c>
      <c r="P51" s="51" t="s">
        <v>4</v>
      </c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3">
        <f t="shared" si="30"/>
        <v>0</v>
      </c>
      <c r="AF51" s="53">
        <f t="shared" si="31"/>
        <v>0</v>
      </c>
      <c r="AG51" s="76"/>
      <c r="AL51" s="41" t="str">
        <f t="shared" si="32"/>
        <v>17.065.312-2</v>
      </c>
      <c r="AM51" s="41">
        <v>42</v>
      </c>
      <c r="AN51" s="41">
        <f t="shared" si="13"/>
        <v>0</v>
      </c>
      <c r="AO51" s="41">
        <f t="shared" si="14"/>
        <v>0</v>
      </c>
      <c r="AP51" s="41">
        <f t="shared" si="15"/>
        <v>0</v>
      </c>
      <c r="AQ51" s="41">
        <f t="shared" si="16"/>
        <v>0</v>
      </c>
      <c r="AR51" s="41">
        <f t="shared" si="17"/>
        <v>0</v>
      </c>
      <c r="AS51" s="41">
        <f t="shared" si="18"/>
        <v>0</v>
      </c>
      <c r="AT51" s="41">
        <f t="shared" si="19"/>
        <v>0</v>
      </c>
      <c r="AU51" s="55">
        <f t="shared" si="20"/>
        <v>0</v>
      </c>
      <c r="AW51" s="41">
        <f t="shared" si="33"/>
        <v>0</v>
      </c>
      <c r="AX51" s="41">
        <f t="shared" si="34"/>
        <v>0</v>
      </c>
      <c r="AY51" s="41">
        <f t="shared" si="35"/>
        <v>0</v>
      </c>
      <c r="AZ51" s="41">
        <f t="shared" si="36"/>
        <v>0</v>
      </c>
      <c r="BA51" s="41">
        <f t="shared" si="37"/>
        <v>0</v>
      </c>
      <c r="BB51" s="41">
        <f t="shared" si="38"/>
        <v>0</v>
      </c>
      <c r="BC51" s="41">
        <f t="shared" si="39"/>
        <v>0</v>
      </c>
      <c r="BD51" s="55">
        <f t="shared" si="40"/>
        <v>0</v>
      </c>
      <c r="BF51" s="41">
        <f t="shared" si="29"/>
        <v>0</v>
      </c>
    </row>
    <row r="52" spans="1:58" ht="13.5">
      <c r="A52" s="41" t="str">
        <f>IF(Base!B50="","",Base!B50)</f>
        <v>14.595.059-7</v>
      </c>
      <c r="B52" s="41" t="str">
        <f>IF(Base!F50="","",Base!F50)</f>
        <v>YESENIA DE LOURDES  DIAZ  GALVEZ</v>
      </c>
      <c r="C52" s="41" t="str">
        <f>IF(Base!I50="","",Base!I50)</f>
        <v>Linea 7</v>
      </c>
      <c r="D52" s="42" t="str">
        <f>IF(Base!J50="","",Base!J50)</f>
        <v>Inspector etiqueta</v>
      </c>
      <c r="E52" s="41">
        <f>IF(Base!H50="","",Base!H50)</f>
        <v>1050616</v>
      </c>
      <c r="J52" s="49">
        <v>42</v>
      </c>
      <c r="K52" s="115" t="s">
        <v>423</v>
      </c>
      <c r="L52" s="111" t="str">
        <f t="shared" si="6"/>
        <v>EMERSON  GALLARDO  LUCERO</v>
      </c>
      <c r="M52" s="111">
        <f t="shared" si="7"/>
        <v>1050126</v>
      </c>
      <c r="N52" s="112" t="str">
        <f t="shared" si="8"/>
        <v>Abastecimiento</v>
      </c>
      <c r="O52" s="112" t="str">
        <f t="shared" si="9"/>
        <v>Control Ingresos Cen</v>
      </c>
      <c r="P52" s="51" t="s">
        <v>4</v>
      </c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3">
        <f t="shared" si="30"/>
        <v>0</v>
      </c>
      <c r="AF52" s="53">
        <f t="shared" si="31"/>
        <v>0</v>
      </c>
      <c r="AG52" s="76" t="s">
        <v>1370</v>
      </c>
      <c r="AL52" s="41" t="str">
        <f t="shared" si="32"/>
        <v>16.132.065-K</v>
      </c>
      <c r="AM52" s="41">
        <v>43</v>
      </c>
      <c r="AN52" s="41">
        <f t="shared" si="13"/>
        <v>0</v>
      </c>
      <c r="AO52" s="41">
        <f t="shared" si="14"/>
        <v>0</v>
      </c>
      <c r="AP52" s="41">
        <f t="shared" si="15"/>
        <v>0</v>
      </c>
      <c r="AQ52" s="41">
        <f t="shared" si="16"/>
        <v>0</v>
      </c>
      <c r="AR52" s="41">
        <f t="shared" si="17"/>
        <v>0</v>
      </c>
      <c r="AS52" s="41">
        <f t="shared" si="18"/>
        <v>0</v>
      </c>
      <c r="AT52" s="41">
        <f t="shared" si="19"/>
        <v>0</v>
      </c>
      <c r="AU52" s="55">
        <f t="shared" si="20"/>
        <v>0</v>
      </c>
      <c r="AW52" s="41">
        <f t="shared" si="33"/>
        <v>0</v>
      </c>
      <c r="AX52" s="41">
        <f t="shared" si="34"/>
        <v>0</v>
      </c>
      <c r="AY52" s="41">
        <f t="shared" si="35"/>
        <v>0</v>
      </c>
      <c r="AZ52" s="41">
        <f t="shared" si="36"/>
        <v>0</v>
      </c>
      <c r="BA52" s="41">
        <f t="shared" si="37"/>
        <v>0</v>
      </c>
      <c r="BB52" s="41">
        <f t="shared" si="38"/>
        <v>0</v>
      </c>
      <c r="BC52" s="41">
        <f t="shared" si="39"/>
        <v>0</v>
      </c>
      <c r="BD52" s="55">
        <f t="shared" si="40"/>
        <v>0</v>
      </c>
      <c r="BF52" s="41">
        <f t="shared" si="29"/>
        <v>0</v>
      </c>
    </row>
    <row r="53" spans="1:58" ht="13.5">
      <c r="A53" s="41" t="str">
        <f>IF(Base!B51="","",Base!B51)</f>
        <v>10.874.066-3</v>
      </c>
      <c r="B53" s="41" t="str">
        <f>IF(Base!F51="","",Base!F51)</f>
        <v>CRISTIAN  DIAZ  HENRIQUEZ</v>
      </c>
      <c r="C53" s="41" t="str">
        <f>IF(Base!I51="","",Base!I51)</f>
        <v>Linea 1</v>
      </c>
      <c r="D53" s="42" t="str">
        <f>IF(Base!J51="","",Base!J51)</f>
        <v>Embalador</v>
      </c>
      <c r="E53" s="41">
        <f>IF(Base!H51="","",Base!H51)</f>
        <v>1050552</v>
      </c>
      <c r="J53" s="49">
        <v>43</v>
      </c>
      <c r="K53" s="115" t="s">
        <v>437</v>
      </c>
      <c r="L53" s="111" t="str">
        <f t="shared" si="6"/>
        <v>JUAN DIEGO ALEXIS  GARCES  MUÑOZ</v>
      </c>
      <c r="M53" s="111">
        <f t="shared" si="7"/>
        <v>1050161</v>
      </c>
      <c r="N53" s="112" t="str">
        <f t="shared" si="8"/>
        <v>Abastecimiento</v>
      </c>
      <c r="O53" s="112" t="str">
        <f t="shared" si="9"/>
        <v>Control Inventario I</v>
      </c>
      <c r="P53" s="51" t="s">
        <v>1324</v>
      </c>
      <c r="Q53" s="56"/>
      <c r="R53" s="49"/>
      <c r="S53" s="56"/>
      <c r="T53" s="49"/>
      <c r="U53" s="56"/>
      <c r="V53" s="49"/>
      <c r="W53" s="56"/>
      <c r="X53" s="49"/>
      <c r="Y53" s="56"/>
      <c r="Z53" s="49"/>
      <c r="AA53" s="56"/>
      <c r="AB53" s="49"/>
      <c r="AC53" s="56"/>
      <c r="AD53" s="49"/>
      <c r="AE53" s="53">
        <f t="shared" si="30"/>
        <v>0</v>
      </c>
      <c r="AF53" s="53">
        <f t="shared" si="31"/>
        <v>0</v>
      </c>
      <c r="AG53" s="76"/>
      <c r="AL53" s="41" t="str">
        <f t="shared" si="32"/>
        <v>17.002.272-6</v>
      </c>
      <c r="AM53" s="41">
        <v>44</v>
      </c>
      <c r="AN53" s="41">
        <f t="shared" si="13"/>
        <v>0</v>
      </c>
      <c r="AO53" s="41">
        <f t="shared" si="14"/>
        <v>0</v>
      </c>
      <c r="AP53" s="41">
        <f t="shared" si="15"/>
        <v>0</v>
      </c>
      <c r="AQ53" s="41">
        <f t="shared" si="16"/>
        <v>0</v>
      </c>
      <c r="AR53" s="41">
        <f t="shared" si="17"/>
        <v>0</v>
      </c>
      <c r="AS53" s="41">
        <f t="shared" si="18"/>
        <v>0</v>
      </c>
      <c r="AT53" s="41">
        <f t="shared" si="19"/>
        <v>0</v>
      </c>
      <c r="AU53" s="55">
        <f t="shared" si="20"/>
        <v>0</v>
      </c>
      <c r="AW53" s="41">
        <f t="shared" si="33"/>
        <v>0</v>
      </c>
      <c r="AX53" s="41">
        <f t="shared" si="34"/>
        <v>0</v>
      </c>
      <c r="AY53" s="41">
        <f t="shared" si="35"/>
        <v>0</v>
      </c>
      <c r="AZ53" s="41">
        <f t="shared" si="36"/>
        <v>0</v>
      </c>
      <c r="BA53" s="41">
        <f t="shared" si="37"/>
        <v>0</v>
      </c>
      <c r="BB53" s="41">
        <f t="shared" si="38"/>
        <v>0</v>
      </c>
      <c r="BC53" s="41">
        <f t="shared" si="39"/>
        <v>0</v>
      </c>
      <c r="BD53" s="55">
        <f t="shared" si="40"/>
        <v>0</v>
      </c>
      <c r="BF53" s="41">
        <f t="shared" si="29"/>
        <v>0</v>
      </c>
    </row>
    <row r="54" spans="1:58" ht="13.5">
      <c r="A54" s="41" t="str">
        <f>IF(Base!B52="","",Base!B52)</f>
        <v>11.394.356-4</v>
      </c>
      <c r="B54" s="41" t="str">
        <f>IF(Base!F52="","",Base!F52)</f>
        <v>ANGELICA VICTORIA  DIAZ  MUÑOZ</v>
      </c>
      <c r="C54" s="41" t="str">
        <f>IF(Base!I52="","",Base!I52)</f>
        <v>Linea 7</v>
      </c>
      <c r="D54" s="42" t="str">
        <f>IF(Base!J52="","",Base!J52)</f>
        <v>Inspector etiqueta</v>
      </c>
      <c r="E54" s="41">
        <f>IF(Base!H52="","",Base!H52)</f>
        <v>1050616</v>
      </c>
      <c r="J54" s="49">
        <v>44</v>
      </c>
      <c r="K54" s="115" t="s">
        <v>443</v>
      </c>
      <c r="L54" s="111" t="str">
        <f t="shared" si="6"/>
        <v>PABLO HORACIO  GARCIA  DIAZ</v>
      </c>
      <c r="M54" s="111">
        <f t="shared" si="7"/>
        <v>1050126</v>
      </c>
      <c r="N54" s="112" t="str">
        <f t="shared" si="8"/>
        <v>Abastecimiento</v>
      </c>
      <c r="O54" s="112" t="str">
        <f t="shared" si="9"/>
        <v>Control Inventario I</v>
      </c>
      <c r="P54" s="51" t="s">
        <v>4</v>
      </c>
      <c r="Q54" s="56"/>
      <c r="R54" s="49"/>
      <c r="S54" s="56"/>
      <c r="T54" s="49"/>
      <c r="U54" s="56"/>
      <c r="V54" s="49"/>
      <c r="W54" s="56"/>
      <c r="X54" s="49"/>
      <c r="Y54" s="56"/>
      <c r="Z54" s="49"/>
      <c r="AA54" s="56"/>
      <c r="AB54" s="49"/>
      <c r="AC54" s="56"/>
      <c r="AD54" s="49"/>
      <c r="AE54" s="53">
        <f t="shared" si="30"/>
        <v>0</v>
      </c>
      <c r="AF54" s="53">
        <f t="shared" si="31"/>
        <v>0</v>
      </c>
      <c r="AG54" s="76"/>
      <c r="AL54" s="41" t="str">
        <f t="shared" si="32"/>
        <v>09.048.185-1</v>
      </c>
      <c r="AM54" s="41">
        <v>45</v>
      </c>
      <c r="AN54" s="41">
        <f t="shared" si="13"/>
        <v>0</v>
      </c>
      <c r="AO54" s="41">
        <f t="shared" si="14"/>
        <v>0</v>
      </c>
      <c r="AP54" s="41">
        <f t="shared" si="15"/>
        <v>0</v>
      </c>
      <c r="AQ54" s="41">
        <f t="shared" si="16"/>
        <v>0</v>
      </c>
      <c r="AR54" s="41">
        <f t="shared" si="17"/>
        <v>0</v>
      </c>
      <c r="AS54" s="41">
        <f t="shared" si="18"/>
        <v>0</v>
      </c>
      <c r="AT54" s="41">
        <f t="shared" si="19"/>
        <v>0</v>
      </c>
      <c r="AU54" s="55">
        <f t="shared" si="20"/>
        <v>0</v>
      </c>
      <c r="AW54" s="41">
        <f t="shared" si="33"/>
        <v>0</v>
      </c>
      <c r="AX54" s="41">
        <f t="shared" si="34"/>
        <v>0</v>
      </c>
      <c r="AY54" s="41">
        <f t="shared" si="35"/>
        <v>0</v>
      </c>
      <c r="AZ54" s="41">
        <f t="shared" si="36"/>
        <v>0</v>
      </c>
      <c r="BA54" s="41">
        <f t="shared" si="37"/>
        <v>0</v>
      </c>
      <c r="BB54" s="41">
        <f t="shared" si="38"/>
        <v>0</v>
      </c>
      <c r="BC54" s="41">
        <f t="shared" si="39"/>
        <v>0</v>
      </c>
      <c r="BD54" s="55">
        <f t="shared" si="40"/>
        <v>0</v>
      </c>
      <c r="BF54" s="41">
        <f t="shared" si="29"/>
        <v>0</v>
      </c>
    </row>
    <row r="55" spans="1:58" ht="13.5">
      <c r="A55" s="41" t="str">
        <f>IF(Base!B53="","",Base!B53)</f>
        <v>11.165.105-1</v>
      </c>
      <c r="B55" s="41" t="str">
        <f>IF(Base!F53="","",Base!F53)</f>
        <v>CECILIA  DIAZ  POBLETE</v>
      </c>
      <c r="C55" s="41" t="str">
        <f>IF(Base!I53="","",Base!I53)</f>
        <v>Linea 1</v>
      </c>
      <c r="D55" s="42" t="str">
        <f>IF(Base!J53="","",Base!J53)</f>
        <v>Inspector etiqueta</v>
      </c>
      <c r="E55" s="41">
        <f>IF(Base!H53="","",Base!H53)</f>
        <v>1050552</v>
      </c>
      <c r="J55" s="49">
        <v>45</v>
      </c>
      <c r="K55" s="115" t="s">
        <v>454</v>
      </c>
      <c r="L55" s="111" t="str">
        <f t="shared" si="6"/>
        <v>DARIO RODOLFO  GONZALEZ  DEL VALLE</v>
      </c>
      <c r="M55" s="111">
        <f t="shared" si="7"/>
        <v>1050581</v>
      </c>
      <c r="N55" s="112" t="str">
        <f t="shared" si="8"/>
        <v>Abastecimiento</v>
      </c>
      <c r="O55" s="112" t="str">
        <f t="shared" si="9"/>
        <v>Almacen Insumos Pque</v>
      </c>
      <c r="P55" s="51" t="s">
        <v>4</v>
      </c>
      <c r="Q55" s="56"/>
      <c r="R55" s="49"/>
      <c r="S55" s="56"/>
      <c r="T55" s="49"/>
      <c r="U55" s="56"/>
      <c r="V55" s="49"/>
      <c r="W55" s="56"/>
      <c r="X55" s="49"/>
      <c r="Y55" s="56"/>
      <c r="Z55" s="49"/>
      <c r="AA55" s="56"/>
      <c r="AB55" s="49"/>
      <c r="AC55" s="56"/>
      <c r="AD55" s="49"/>
      <c r="AE55" s="53">
        <f t="shared" si="30"/>
        <v>0</v>
      </c>
      <c r="AF55" s="53">
        <f t="shared" si="31"/>
        <v>0</v>
      </c>
      <c r="AG55" s="76" t="s">
        <v>1366</v>
      </c>
      <c r="AL55" s="41" t="str">
        <f t="shared" si="32"/>
        <v>09.068.490-6</v>
      </c>
      <c r="AM55" s="41">
        <v>46</v>
      </c>
      <c r="AN55" s="41">
        <f t="shared" si="13"/>
        <v>0</v>
      </c>
      <c r="AO55" s="41">
        <f t="shared" si="14"/>
        <v>0</v>
      </c>
      <c r="AP55" s="41">
        <f t="shared" si="15"/>
        <v>0</v>
      </c>
      <c r="AQ55" s="41">
        <f t="shared" si="16"/>
        <v>0</v>
      </c>
      <c r="AR55" s="41">
        <f t="shared" si="17"/>
        <v>0</v>
      </c>
      <c r="AS55" s="41">
        <f t="shared" si="18"/>
        <v>0</v>
      </c>
      <c r="AT55" s="41">
        <f t="shared" si="19"/>
        <v>0</v>
      </c>
      <c r="AU55" s="55">
        <f t="shared" si="20"/>
        <v>0</v>
      </c>
      <c r="AW55" s="41">
        <f t="shared" si="33"/>
        <v>0</v>
      </c>
      <c r="AX55" s="41">
        <f t="shared" si="34"/>
        <v>0</v>
      </c>
      <c r="AY55" s="41">
        <f t="shared" si="35"/>
        <v>0</v>
      </c>
      <c r="AZ55" s="41">
        <f t="shared" si="36"/>
        <v>0</v>
      </c>
      <c r="BA55" s="41">
        <f t="shared" si="37"/>
        <v>0</v>
      </c>
      <c r="BB55" s="41">
        <f t="shared" si="38"/>
        <v>0</v>
      </c>
      <c r="BC55" s="41">
        <f t="shared" si="39"/>
        <v>0</v>
      </c>
      <c r="BD55" s="55">
        <f t="shared" si="40"/>
        <v>0</v>
      </c>
      <c r="BF55" s="41">
        <f t="shared" si="29"/>
        <v>0</v>
      </c>
    </row>
    <row r="56" spans="1:58" ht="13.5">
      <c r="A56" s="41" t="str">
        <f>IF(Base!B54="","",Base!B54)</f>
        <v>17.929.108-8</v>
      </c>
      <c r="B56" s="41" t="str">
        <f>IF(Base!F54="","",Base!F54)</f>
        <v>CRISTIAN ALFREDO  DONOSO  SANTIBAÑEZ</v>
      </c>
      <c r="C56" s="41" t="str">
        <f>IF(Base!I54="","",Base!I54)</f>
        <v>Setup</v>
      </c>
      <c r="D56" s="42" t="str">
        <f>IF(Base!J54="","",Base!J54)</f>
        <v>Setup</v>
      </c>
      <c r="E56" s="41">
        <f>IF(Base!H54="","",Base!H54)</f>
        <v>1050529</v>
      </c>
      <c r="J56" s="49">
        <v>46</v>
      </c>
      <c r="K56" s="115" t="s">
        <v>474</v>
      </c>
      <c r="L56" s="111" t="str">
        <f t="shared" si="6"/>
        <v>VICTOR MANUEL  HENRIQUEZ  FLORES</v>
      </c>
      <c r="M56" s="111">
        <f t="shared" si="7"/>
        <v>1050161</v>
      </c>
      <c r="N56" s="112" t="str">
        <f t="shared" si="8"/>
        <v>Abastecimiento</v>
      </c>
      <c r="O56" s="112" t="str">
        <f t="shared" si="9"/>
        <v>Control Inventario I</v>
      </c>
      <c r="P56" s="51" t="s">
        <v>1322</v>
      </c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3">
        <f t="shared" si="30"/>
        <v>0</v>
      </c>
      <c r="AF56" s="53">
        <f t="shared" si="31"/>
        <v>0</v>
      </c>
      <c r="AG56" s="77"/>
      <c r="AL56" s="41" t="str">
        <f t="shared" si="32"/>
        <v>09.748.915-7</v>
      </c>
      <c r="AM56" s="41">
        <v>47</v>
      </c>
      <c r="AN56" s="41">
        <f t="shared" si="13"/>
        <v>0</v>
      </c>
      <c r="AO56" s="41">
        <f t="shared" si="14"/>
        <v>0</v>
      </c>
      <c r="AP56" s="41">
        <f t="shared" si="15"/>
        <v>0</v>
      </c>
      <c r="AQ56" s="41">
        <f t="shared" si="16"/>
        <v>0</v>
      </c>
      <c r="AR56" s="41">
        <f t="shared" si="17"/>
        <v>0</v>
      </c>
      <c r="AS56" s="41">
        <f t="shared" si="18"/>
        <v>0</v>
      </c>
      <c r="AT56" s="41">
        <f t="shared" si="19"/>
        <v>0</v>
      </c>
      <c r="AU56" s="55">
        <f t="shared" si="20"/>
        <v>0</v>
      </c>
      <c r="AW56" s="41">
        <f t="shared" si="33"/>
        <v>0</v>
      </c>
      <c r="AX56" s="41">
        <f t="shared" si="34"/>
        <v>0</v>
      </c>
      <c r="AY56" s="41">
        <f t="shared" si="35"/>
        <v>0</v>
      </c>
      <c r="AZ56" s="41">
        <f t="shared" si="36"/>
        <v>0</v>
      </c>
      <c r="BA56" s="41">
        <f t="shared" si="37"/>
        <v>0</v>
      </c>
      <c r="BB56" s="41">
        <f t="shared" si="38"/>
        <v>0</v>
      </c>
      <c r="BC56" s="41">
        <f t="shared" si="39"/>
        <v>0</v>
      </c>
      <c r="BD56" s="55">
        <f t="shared" si="40"/>
        <v>0</v>
      </c>
      <c r="BF56" s="41">
        <f t="shared" si="29"/>
        <v>0</v>
      </c>
    </row>
    <row r="57" spans="1:58" ht="13.5">
      <c r="A57" s="41" t="str">
        <f>IF(Base!B55="","",Base!B55)</f>
        <v>05.267.317-8</v>
      </c>
      <c r="B57" s="41" t="str">
        <f>IF(Base!F55="","",Base!F55)</f>
        <v>LUIS  DUARTE  BECERRA</v>
      </c>
      <c r="C57" s="41" t="str">
        <f>IF(Base!I55="","",Base!I55)</f>
        <v>Abastecimiento</v>
      </c>
      <c r="D57" s="42" t="str">
        <f>IF(Base!J55="","",Base!J55)</f>
        <v>Preparación de Insum</v>
      </c>
      <c r="E57" s="41">
        <f>IF(Base!H55="","",Base!H55)</f>
        <v>1050127</v>
      </c>
      <c r="J57" s="49">
        <v>47</v>
      </c>
      <c r="K57" s="115" t="s">
        <v>478</v>
      </c>
      <c r="L57" s="111" t="str">
        <f t="shared" si="6"/>
        <v>FRANKLIN LEONEL  HERNANDEZ  CESPEDES</v>
      </c>
      <c r="M57" s="111">
        <f t="shared" si="7"/>
        <v>1050126</v>
      </c>
      <c r="N57" s="112" t="str">
        <f t="shared" si="8"/>
        <v>Abastecimiento</v>
      </c>
      <c r="O57" s="112" t="str">
        <f t="shared" si="9"/>
        <v>Control Ingresos Cen</v>
      </c>
      <c r="P57" s="51" t="s">
        <v>4</v>
      </c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3">
        <f t="shared" si="30"/>
        <v>0</v>
      </c>
      <c r="AF57" s="53">
        <f t="shared" si="31"/>
        <v>0</v>
      </c>
      <c r="AG57" s="77" t="s">
        <v>1360</v>
      </c>
      <c r="AL57" s="41" t="str">
        <f t="shared" si="32"/>
        <v>09.989.723-6</v>
      </c>
      <c r="AM57" s="41">
        <v>48</v>
      </c>
      <c r="AN57" s="41">
        <f t="shared" si="13"/>
        <v>0</v>
      </c>
      <c r="AO57" s="41">
        <f t="shared" si="14"/>
        <v>0</v>
      </c>
      <c r="AP57" s="41">
        <f t="shared" si="15"/>
        <v>0</v>
      </c>
      <c r="AQ57" s="41">
        <f t="shared" si="16"/>
        <v>0</v>
      </c>
      <c r="AR57" s="41">
        <f t="shared" si="17"/>
        <v>0</v>
      </c>
      <c r="AS57" s="41">
        <f t="shared" si="18"/>
        <v>0</v>
      </c>
      <c r="AT57" s="41">
        <f t="shared" si="19"/>
        <v>0</v>
      </c>
      <c r="AU57" s="55">
        <f t="shared" si="20"/>
        <v>0</v>
      </c>
      <c r="AW57" s="41">
        <f t="shared" si="33"/>
        <v>0</v>
      </c>
      <c r="AX57" s="41">
        <f t="shared" si="34"/>
        <v>0</v>
      </c>
      <c r="AY57" s="41">
        <f t="shared" si="35"/>
        <v>0</v>
      </c>
      <c r="AZ57" s="41">
        <f t="shared" si="36"/>
        <v>0</v>
      </c>
      <c r="BA57" s="41">
        <f t="shared" si="37"/>
        <v>0</v>
      </c>
      <c r="BB57" s="41">
        <f t="shared" si="38"/>
        <v>0</v>
      </c>
      <c r="BC57" s="41">
        <f t="shared" si="39"/>
        <v>0</v>
      </c>
      <c r="BD57" s="55">
        <f t="shared" si="40"/>
        <v>0</v>
      </c>
      <c r="BF57" s="41">
        <f t="shared" si="29"/>
        <v>0</v>
      </c>
    </row>
    <row r="58" spans="1:58" ht="13.5">
      <c r="A58" s="41" t="str">
        <f>IF(Base!B56="","",Base!B56)</f>
        <v>14.336.328-7</v>
      </c>
      <c r="B58" s="41" t="str">
        <f>IF(Base!F56="","",Base!F56)</f>
        <v>HECTOR MANUEL  DURAN  HENRIQUEZ</v>
      </c>
      <c r="C58" s="41" t="str">
        <f>IF(Base!I56="","",Base!I56)</f>
        <v>Linea 1</v>
      </c>
      <c r="D58" s="42" t="str">
        <f>IF(Base!J56="","",Base!J56)</f>
        <v>Etiquetador</v>
      </c>
      <c r="E58" s="41">
        <f>IF(Base!H56="","",Base!H56)</f>
        <v>1050552</v>
      </c>
      <c r="J58" s="49">
        <v>48</v>
      </c>
      <c r="K58" s="115" t="s">
        <v>484</v>
      </c>
      <c r="L58" s="111" t="str">
        <f t="shared" si="6"/>
        <v>QUINTIN ROBERTO  HERNANDEZ  GONZALEZ</v>
      </c>
      <c r="M58" s="111">
        <f t="shared" si="7"/>
        <v>1050633</v>
      </c>
      <c r="N58" s="112" t="str">
        <f t="shared" si="8"/>
        <v>Abastecimiento</v>
      </c>
      <c r="O58" s="112" t="str">
        <f t="shared" si="9"/>
        <v>Suministro de Líneas</v>
      </c>
      <c r="P58" s="51" t="s">
        <v>1324</v>
      </c>
      <c r="Q58" s="56"/>
      <c r="R58" s="49"/>
      <c r="S58" s="56"/>
      <c r="T58" s="49"/>
      <c r="U58" s="56"/>
      <c r="V58" s="49"/>
      <c r="W58" s="56"/>
      <c r="X58" s="49"/>
      <c r="Y58" s="56"/>
      <c r="Z58" s="49"/>
      <c r="AA58" s="56"/>
      <c r="AB58" s="49"/>
      <c r="AC58" s="56"/>
      <c r="AD58" s="49"/>
      <c r="AE58" s="53">
        <f t="shared" si="30"/>
        <v>0</v>
      </c>
      <c r="AF58" s="53">
        <f t="shared" si="31"/>
        <v>0</v>
      </c>
      <c r="AG58" s="76" t="s">
        <v>1365</v>
      </c>
      <c r="AL58" s="41" t="str">
        <f t="shared" si="32"/>
        <v>10.199.755-3</v>
      </c>
      <c r="AM58" s="41">
        <v>49</v>
      </c>
      <c r="AN58" s="41">
        <f t="shared" si="13"/>
        <v>0</v>
      </c>
      <c r="AO58" s="41">
        <f t="shared" si="14"/>
        <v>0</v>
      </c>
      <c r="AP58" s="41">
        <f t="shared" si="15"/>
        <v>0</v>
      </c>
      <c r="AQ58" s="41">
        <f t="shared" si="16"/>
        <v>0</v>
      </c>
      <c r="AR58" s="41">
        <f t="shared" si="17"/>
        <v>0</v>
      </c>
      <c r="AS58" s="41">
        <f t="shared" si="18"/>
        <v>0</v>
      </c>
      <c r="AT58" s="41">
        <f t="shared" si="19"/>
        <v>0</v>
      </c>
      <c r="AU58" s="55">
        <f t="shared" si="20"/>
        <v>0</v>
      </c>
      <c r="AW58" s="41">
        <f t="shared" si="33"/>
        <v>0</v>
      </c>
      <c r="AX58" s="41">
        <f t="shared" si="34"/>
        <v>0</v>
      </c>
      <c r="AY58" s="41">
        <f t="shared" si="35"/>
        <v>0</v>
      </c>
      <c r="AZ58" s="41">
        <f t="shared" si="36"/>
        <v>0</v>
      </c>
      <c r="BA58" s="41">
        <f t="shared" si="37"/>
        <v>0</v>
      </c>
      <c r="BB58" s="41">
        <f t="shared" si="38"/>
        <v>0</v>
      </c>
      <c r="BC58" s="41">
        <f t="shared" si="39"/>
        <v>0</v>
      </c>
      <c r="BD58" s="55">
        <f t="shared" si="40"/>
        <v>0</v>
      </c>
      <c r="BF58" s="41">
        <f t="shared" si="29"/>
        <v>0</v>
      </c>
    </row>
    <row r="59" spans="1:58" ht="13.5">
      <c r="A59" s="41" t="str">
        <f>IF(Base!B57="","",Base!B57)</f>
        <v>09.957.527-1</v>
      </c>
      <c r="B59" s="41" t="str">
        <f>IF(Base!F57="","",Base!F57)</f>
        <v>JUAN LISANDRO  DURAN  MUÑOZ</v>
      </c>
      <c r="C59" s="41" t="str">
        <f>IF(Base!I57="","",Base!I57)</f>
        <v>Linea 7</v>
      </c>
      <c r="D59" s="42" t="str">
        <f>IF(Base!J57="","",Base!J57)</f>
        <v>Embalador</v>
      </c>
      <c r="E59" s="41">
        <f>IF(Base!H57="","",Base!H57)</f>
        <v>1050616</v>
      </c>
      <c r="J59" s="49">
        <v>49</v>
      </c>
      <c r="K59" s="115" t="s">
        <v>501</v>
      </c>
      <c r="L59" s="111" t="str">
        <f t="shared" si="6"/>
        <v>PAOLO CESAR  IBAÑEZ  GRANIFO</v>
      </c>
      <c r="M59" s="111">
        <f t="shared" si="7"/>
        <v>1050127</v>
      </c>
      <c r="N59" s="112" t="str">
        <f t="shared" si="8"/>
        <v>Abastecimiento</v>
      </c>
      <c r="O59" s="112" t="str">
        <f t="shared" si="9"/>
        <v>Preparación de Insum</v>
      </c>
      <c r="P59" s="51" t="s">
        <v>1324</v>
      </c>
      <c r="Q59" s="56"/>
      <c r="R59" s="49"/>
      <c r="S59" s="56"/>
      <c r="T59" s="49"/>
      <c r="U59" s="56"/>
      <c r="V59" s="49"/>
      <c r="W59" s="56"/>
      <c r="X59" s="49"/>
      <c r="Y59" s="56"/>
      <c r="Z59" s="49"/>
      <c r="AA59" s="56"/>
      <c r="AB59" s="49"/>
      <c r="AC59" s="56"/>
      <c r="AD59" s="49"/>
      <c r="AE59" s="53">
        <f t="shared" si="30"/>
        <v>0</v>
      </c>
      <c r="AF59" s="53">
        <f t="shared" si="31"/>
        <v>0</v>
      </c>
      <c r="AG59" s="76" t="s">
        <v>1371</v>
      </c>
      <c r="AL59" s="41" t="str">
        <f t="shared" si="32"/>
        <v>11.656.057-7</v>
      </c>
      <c r="AM59" s="41">
        <v>50</v>
      </c>
      <c r="AN59" s="41">
        <f t="shared" si="13"/>
        <v>0</v>
      </c>
      <c r="AO59" s="41">
        <f t="shared" si="14"/>
        <v>0</v>
      </c>
      <c r="AP59" s="41">
        <f t="shared" si="15"/>
        <v>0</v>
      </c>
      <c r="AQ59" s="41">
        <f t="shared" si="16"/>
        <v>0</v>
      </c>
      <c r="AR59" s="41">
        <f t="shared" si="17"/>
        <v>0</v>
      </c>
      <c r="AS59" s="41">
        <f t="shared" si="18"/>
        <v>0</v>
      </c>
      <c r="AT59" s="41">
        <f t="shared" si="19"/>
        <v>0</v>
      </c>
      <c r="AU59" s="55">
        <f t="shared" si="20"/>
        <v>0</v>
      </c>
      <c r="AW59" s="41">
        <f t="shared" si="33"/>
        <v>0</v>
      </c>
      <c r="AX59" s="41">
        <f t="shared" si="34"/>
        <v>0</v>
      </c>
      <c r="AY59" s="41">
        <f t="shared" si="35"/>
        <v>0</v>
      </c>
      <c r="AZ59" s="41">
        <f t="shared" si="36"/>
        <v>0</v>
      </c>
      <c r="BA59" s="41">
        <f t="shared" si="37"/>
        <v>0</v>
      </c>
      <c r="BB59" s="41">
        <f t="shared" si="38"/>
        <v>0</v>
      </c>
      <c r="BC59" s="41">
        <f t="shared" si="39"/>
        <v>0</v>
      </c>
      <c r="BD59" s="55">
        <f t="shared" si="40"/>
        <v>0</v>
      </c>
      <c r="BF59" s="41">
        <f t="shared" si="29"/>
        <v>0</v>
      </c>
    </row>
    <row r="60" spans="1:58" ht="13.5">
      <c r="A60" s="41" t="str">
        <f>IF(Base!B58="","",Base!B58)</f>
        <v>06.326.657-4</v>
      </c>
      <c r="B60" s="41" t="str">
        <f>IF(Base!F58="","",Base!F58)</f>
        <v>FERNANDO  DURAN  SOTO</v>
      </c>
      <c r="C60" s="41" t="str">
        <f>IF(Base!I58="","",Base!I58)</f>
        <v>Linea 7</v>
      </c>
      <c r="D60" s="42" t="str">
        <f>IF(Base!J58="","",Base!J58)</f>
        <v>Embalador</v>
      </c>
      <c r="E60" s="41">
        <f>IF(Base!H58="","",Base!H58)</f>
        <v>1050616</v>
      </c>
      <c r="J60" s="49">
        <v>50</v>
      </c>
      <c r="K60" s="115" t="s">
        <v>542</v>
      </c>
      <c r="L60" s="111" t="str">
        <f t="shared" si="6"/>
        <v>JUAN ENRIQUE  LEIVA  MUÑOZ</v>
      </c>
      <c r="M60" s="111">
        <f t="shared" si="7"/>
        <v>1050127</v>
      </c>
      <c r="N60" s="112" t="str">
        <f t="shared" si="8"/>
        <v>Abastecimiento</v>
      </c>
      <c r="O60" s="112" t="str">
        <f t="shared" si="9"/>
        <v>Preparación de Insum</v>
      </c>
      <c r="P60" s="51" t="s">
        <v>1324</v>
      </c>
      <c r="Q60" s="56"/>
      <c r="R60" s="49"/>
      <c r="S60" s="56"/>
      <c r="T60" s="49"/>
      <c r="U60" s="56"/>
      <c r="V60" s="49"/>
      <c r="W60" s="56"/>
      <c r="X60" s="49"/>
      <c r="Y60" s="56"/>
      <c r="Z60" s="49"/>
      <c r="AA60" s="56"/>
      <c r="AB60" s="49"/>
      <c r="AC60" s="56"/>
      <c r="AD60" s="49"/>
      <c r="AE60" s="53">
        <f t="shared" si="30"/>
        <v>0</v>
      </c>
      <c r="AF60" s="53">
        <f t="shared" si="31"/>
        <v>0</v>
      </c>
      <c r="AG60" s="79"/>
      <c r="AL60" s="41" t="str">
        <f t="shared" si="32"/>
        <v>10.970.380-K</v>
      </c>
      <c r="AM60" s="41">
        <v>51</v>
      </c>
      <c r="AN60" s="41">
        <f t="shared" si="13"/>
        <v>0</v>
      </c>
      <c r="AO60" s="41">
        <f t="shared" si="14"/>
        <v>0</v>
      </c>
      <c r="AP60" s="41">
        <f t="shared" si="15"/>
        <v>0</v>
      </c>
      <c r="AQ60" s="41">
        <f t="shared" si="16"/>
        <v>0</v>
      </c>
      <c r="AR60" s="41">
        <f t="shared" si="17"/>
        <v>0</v>
      </c>
      <c r="AS60" s="41">
        <f t="shared" si="18"/>
        <v>0</v>
      </c>
      <c r="AT60" s="41">
        <f t="shared" si="19"/>
        <v>0</v>
      </c>
      <c r="AU60" s="55">
        <f t="shared" si="20"/>
        <v>0</v>
      </c>
      <c r="AW60" s="41">
        <f t="shared" si="33"/>
        <v>0</v>
      </c>
      <c r="AX60" s="41">
        <f t="shared" si="34"/>
        <v>0</v>
      </c>
      <c r="AY60" s="41">
        <f t="shared" si="35"/>
        <v>0</v>
      </c>
      <c r="AZ60" s="41">
        <f t="shared" si="36"/>
        <v>0</v>
      </c>
      <c r="BA60" s="41">
        <f t="shared" si="37"/>
        <v>0</v>
      </c>
      <c r="BB60" s="41">
        <f t="shared" si="38"/>
        <v>0</v>
      </c>
      <c r="BC60" s="41">
        <f t="shared" si="39"/>
        <v>0</v>
      </c>
      <c r="BD60" s="55">
        <f t="shared" si="40"/>
        <v>0</v>
      </c>
      <c r="BF60" s="41">
        <f t="shared" si="29"/>
        <v>0</v>
      </c>
    </row>
    <row r="61" spans="1:58" ht="13.5">
      <c r="A61" s="41" t="str">
        <f>IF(Base!B59="","",Base!B59)</f>
        <v>11.267.594-9</v>
      </c>
      <c r="B61" s="41" t="str">
        <f>IF(Base!F59="","",Base!F59)</f>
        <v>JOAQUIN  ESPINOZA  MORENO</v>
      </c>
      <c r="C61" s="41" t="str">
        <f>IF(Base!I59="","",Base!I59)</f>
        <v>Abastecimiento</v>
      </c>
      <c r="D61" s="42" t="str">
        <f>IF(Base!J59="","",Base!J59)</f>
        <v>Almacen Insumos Pque</v>
      </c>
      <c r="E61" s="41">
        <f>IF(Base!H59="","",Base!H59)</f>
        <v>1050581</v>
      </c>
      <c r="J61" s="49">
        <v>51</v>
      </c>
      <c r="K61" s="115" t="s">
        <v>546</v>
      </c>
      <c r="L61" s="111" t="str">
        <f t="shared" si="6"/>
        <v>CARLOS  LEMUS  VELIZ</v>
      </c>
      <c r="M61" s="111">
        <f t="shared" si="7"/>
        <v>1050127</v>
      </c>
      <c r="N61" s="112" t="str">
        <f t="shared" si="8"/>
        <v>Abastecimiento</v>
      </c>
      <c r="O61" s="112" t="str">
        <f t="shared" si="9"/>
        <v>Preparación de Insum</v>
      </c>
      <c r="P61" s="51" t="s">
        <v>4</v>
      </c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3">
        <f t="shared" si="30"/>
        <v>0</v>
      </c>
      <c r="AF61" s="53">
        <f t="shared" si="31"/>
        <v>0</v>
      </c>
      <c r="AG61" s="76"/>
      <c r="AL61" s="41" t="str">
        <f t="shared" si="32"/>
        <v>11.873.201-4</v>
      </c>
      <c r="AM61" s="41">
        <v>52</v>
      </c>
      <c r="AN61" s="41">
        <f t="shared" si="13"/>
        <v>0</v>
      </c>
      <c r="AO61" s="41">
        <f t="shared" si="14"/>
        <v>0</v>
      </c>
      <c r="AP61" s="41">
        <f t="shared" si="15"/>
        <v>0</v>
      </c>
      <c r="AQ61" s="41">
        <f t="shared" si="16"/>
        <v>0</v>
      </c>
      <c r="AR61" s="41">
        <f t="shared" si="17"/>
        <v>0</v>
      </c>
      <c r="AS61" s="41">
        <f t="shared" si="18"/>
        <v>0</v>
      </c>
      <c r="AT61" s="41">
        <f t="shared" si="19"/>
        <v>0</v>
      </c>
      <c r="AU61" s="55">
        <f t="shared" si="20"/>
        <v>0</v>
      </c>
      <c r="AW61" s="41">
        <f t="shared" si="33"/>
        <v>0</v>
      </c>
      <c r="AX61" s="41">
        <f t="shared" si="34"/>
        <v>0</v>
      </c>
      <c r="AY61" s="41">
        <f t="shared" si="35"/>
        <v>0</v>
      </c>
      <c r="AZ61" s="41">
        <f t="shared" si="36"/>
        <v>0</v>
      </c>
      <c r="BA61" s="41">
        <f t="shared" si="37"/>
        <v>0</v>
      </c>
      <c r="BB61" s="41">
        <f t="shared" si="38"/>
        <v>0</v>
      </c>
      <c r="BC61" s="41">
        <f t="shared" si="39"/>
        <v>0</v>
      </c>
      <c r="BD61" s="55">
        <f t="shared" si="40"/>
        <v>0</v>
      </c>
      <c r="BF61" s="41">
        <f t="shared" si="29"/>
        <v>0</v>
      </c>
    </row>
    <row r="62" spans="1:58" ht="13.5">
      <c r="A62" s="41" t="str">
        <f>IF(Base!B60="","",Base!B60)</f>
        <v>08.161.344-3</v>
      </c>
      <c r="B62" s="41" t="str">
        <f>IF(Base!F60="","",Base!F60)</f>
        <v>ELIANA RITA  ESTRADA  ESTRADA</v>
      </c>
      <c r="C62" s="41" t="str">
        <f>IF(Base!I60="","",Base!I60)</f>
        <v>Linea 1</v>
      </c>
      <c r="D62" s="42" t="str">
        <f>IF(Base!J60="","",Base!J60)</f>
        <v>Inspector etiqueta</v>
      </c>
      <c r="E62" s="41">
        <f>IF(Base!H60="","",Base!H60)</f>
        <v>1050552</v>
      </c>
      <c r="J62" s="49">
        <v>52</v>
      </c>
      <c r="K62" s="115" t="s">
        <v>567</v>
      </c>
      <c r="L62" s="111" t="str">
        <f t="shared" si="6"/>
        <v>MARCO ANTONIO  MADRID  PINTO</v>
      </c>
      <c r="M62" s="111">
        <f t="shared" si="7"/>
        <v>1050127</v>
      </c>
      <c r="N62" s="112" t="str">
        <f t="shared" si="8"/>
        <v>Abastecimiento</v>
      </c>
      <c r="O62" s="112" t="str">
        <f t="shared" si="9"/>
        <v>Preparación de Insum</v>
      </c>
      <c r="P62" s="51" t="s">
        <v>1322</v>
      </c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3">
        <f t="shared" si="30"/>
        <v>0</v>
      </c>
      <c r="AF62" s="53">
        <f t="shared" si="31"/>
        <v>0</v>
      </c>
      <c r="AG62" s="76"/>
      <c r="AL62" s="41" t="str">
        <f t="shared" si="32"/>
        <v>10.869.222-7</v>
      </c>
      <c r="AM62" s="41">
        <v>53</v>
      </c>
      <c r="AN62" s="41">
        <f t="shared" si="13"/>
        <v>0</v>
      </c>
      <c r="AO62" s="41">
        <f t="shared" si="14"/>
        <v>0</v>
      </c>
      <c r="AP62" s="41">
        <f t="shared" si="15"/>
        <v>0</v>
      </c>
      <c r="AQ62" s="41">
        <f t="shared" si="16"/>
        <v>0</v>
      </c>
      <c r="AR62" s="41">
        <f t="shared" si="17"/>
        <v>0</v>
      </c>
      <c r="AS62" s="41">
        <f t="shared" si="18"/>
        <v>0</v>
      </c>
      <c r="AT62" s="41">
        <f t="shared" si="19"/>
        <v>0</v>
      </c>
      <c r="AU62" s="55">
        <f t="shared" si="20"/>
        <v>0</v>
      </c>
      <c r="AW62" s="41">
        <f t="shared" si="33"/>
        <v>0</v>
      </c>
      <c r="AX62" s="41">
        <f t="shared" si="34"/>
        <v>0</v>
      </c>
      <c r="AY62" s="41">
        <f t="shared" si="35"/>
        <v>0</v>
      </c>
      <c r="AZ62" s="41">
        <f t="shared" si="36"/>
        <v>0</v>
      </c>
      <c r="BA62" s="41">
        <f t="shared" si="37"/>
        <v>0</v>
      </c>
      <c r="BB62" s="41">
        <f t="shared" si="38"/>
        <v>0</v>
      </c>
      <c r="BC62" s="41">
        <f t="shared" si="39"/>
        <v>0</v>
      </c>
      <c r="BD62" s="55">
        <f t="shared" si="40"/>
        <v>0</v>
      </c>
      <c r="BF62" s="41">
        <f t="shared" si="29"/>
        <v>0</v>
      </c>
    </row>
    <row r="63" spans="1:58" ht="13.5">
      <c r="A63" s="41" t="str">
        <f>IF(Base!B61="","",Base!B61)</f>
        <v>11.914.799-9</v>
      </c>
      <c r="B63" s="41" t="str">
        <f>IF(Base!F61="","",Base!F61)</f>
        <v>LUIS  FERNANDEZ  MELLA</v>
      </c>
      <c r="C63" s="41" t="str">
        <f>IF(Base!I61="","",Base!I61)</f>
        <v>Linea 6</v>
      </c>
      <c r="D63" s="42" t="str">
        <f>IF(Base!J61="","",Base!J61)</f>
        <v>Embalador</v>
      </c>
      <c r="E63" s="41">
        <f>IF(Base!H61="","",Base!H61)</f>
        <v>1050610</v>
      </c>
      <c r="J63" s="49">
        <v>53</v>
      </c>
      <c r="K63" s="115" t="s">
        <v>448</v>
      </c>
      <c r="L63" s="111" t="str">
        <f t="shared" si="6"/>
        <v>MIGUEL  MALDONADO  DIAZ</v>
      </c>
      <c r="M63" s="111">
        <f t="shared" si="7"/>
        <v>1050161</v>
      </c>
      <c r="N63" s="112" t="str">
        <f t="shared" si="8"/>
        <v>Abastecimiento</v>
      </c>
      <c r="O63" s="112" t="str">
        <f t="shared" si="9"/>
        <v>Control y Gestión (marcado cajas)</v>
      </c>
      <c r="P63" s="51" t="s">
        <v>4</v>
      </c>
      <c r="Q63" s="56"/>
      <c r="R63" s="49"/>
      <c r="S63" s="56"/>
      <c r="T63" s="49"/>
      <c r="U63" s="56"/>
      <c r="V63" s="49"/>
      <c r="W63" s="56"/>
      <c r="X63" s="49"/>
      <c r="Y63" s="56"/>
      <c r="Z63" s="49"/>
      <c r="AA63" s="56"/>
      <c r="AB63" s="49"/>
      <c r="AC63" s="56"/>
      <c r="AD63" s="49"/>
      <c r="AE63" s="53">
        <f t="shared" si="30"/>
        <v>0</v>
      </c>
      <c r="AF63" s="53">
        <f t="shared" si="31"/>
        <v>0</v>
      </c>
      <c r="AG63" s="76"/>
      <c r="AL63" s="41" t="str">
        <f t="shared" si="32"/>
        <v>13.486.907-0</v>
      </c>
      <c r="AM63" s="41">
        <v>54</v>
      </c>
      <c r="AN63" s="41">
        <f t="shared" si="13"/>
        <v>0</v>
      </c>
      <c r="AO63" s="41">
        <f t="shared" si="14"/>
        <v>0</v>
      </c>
      <c r="AP63" s="41">
        <f t="shared" si="15"/>
        <v>0</v>
      </c>
      <c r="AQ63" s="41">
        <f t="shared" si="16"/>
        <v>0</v>
      </c>
      <c r="AR63" s="41">
        <f t="shared" si="17"/>
        <v>0</v>
      </c>
      <c r="AS63" s="41">
        <f t="shared" si="18"/>
        <v>0</v>
      </c>
      <c r="AT63" s="41">
        <f t="shared" si="19"/>
        <v>0</v>
      </c>
      <c r="AU63" s="55">
        <f t="shared" si="20"/>
        <v>0</v>
      </c>
      <c r="AW63" s="41">
        <f t="shared" si="33"/>
        <v>0</v>
      </c>
      <c r="AX63" s="41">
        <f t="shared" si="34"/>
        <v>0</v>
      </c>
      <c r="AY63" s="41">
        <f t="shared" si="35"/>
        <v>0</v>
      </c>
      <c r="AZ63" s="41">
        <f t="shared" si="36"/>
        <v>0</v>
      </c>
      <c r="BA63" s="41">
        <f t="shared" si="37"/>
        <v>0</v>
      </c>
      <c r="BB63" s="41">
        <f t="shared" si="38"/>
        <v>0</v>
      </c>
      <c r="BC63" s="41">
        <f t="shared" si="39"/>
        <v>0</v>
      </c>
      <c r="BD63" s="55">
        <f t="shared" si="40"/>
        <v>0</v>
      </c>
      <c r="BF63" s="41">
        <f t="shared" si="29"/>
        <v>0</v>
      </c>
    </row>
    <row r="64" spans="1:58" ht="13.5">
      <c r="A64" s="41" t="str">
        <f>IF(Base!B62="","",Base!B62)</f>
        <v>16.031.949-6</v>
      </c>
      <c r="B64" s="41" t="str">
        <f>IF(Base!F62="","",Base!F62)</f>
        <v>JONATHAN  ESPINOZA  MORENO</v>
      </c>
      <c r="C64" s="41" t="str">
        <f>IF(Base!I62="","",Base!I62)</f>
        <v>Abastecimiento</v>
      </c>
      <c r="D64" s="42" t="str">
        <f>IF(Base!J62="","",Base!J62)</f>
        <v>Suministro de Líneas</v>
      </c>
      <c r="E64" s="41">
        <f>IF(Base!H62="","",Base!H62)</f>
        <v>1050581</v>
      </c>
      <c r="J64" s="49">
        <v>54</v>
      </c>
      <c r="K64" s="115" t="s">
        <v>572</v>
      </c>
      <c r="L64" s="111" t="str">
        <f t="shared" si="6"/>
        <v>RUBEN MARCO  MANQUIAN  NORIEGA</v>
      </c>
      <c r="M64" s="111">
        <f t="shared" si="7"/>
        <v>1050126</v>
      </c>
      <c r="N64" s="112" t="str">
        <f t="shared" si="8"/>
        <v>Abastecimiento</v>
      </c>
      <c r="O64" s="112" t="str">
        <f t="shared" si="9"/>
        <v>Control Ingresos Cen</v>
      </c>
      <c r="P64" s="51" t="s">
        <v>4</v>
      </c>
      <c r="Q64" s="56"/>
      <c r="R64" s="49"/>
      <c r="S64" s="56"/>
      <c r="T64" s="49"/>
      <c r="U64" s="56"/>
      <c r="V64" s="49"/>
      <c r="W64" s="56"/>
      <c r="X64" s="49"/>
      <c r="Y64" s="56"/>
      <c r="Z64" s="49"/>
      <c r="AA64" s="56"/>
      <c r="AB64" s="49"/>
      <c r="AC64" s="56"/>
      <c r="AD64" s="49"/>
      <c r="AE64" s="53">
        <f t="shared" si="30"/>
        <v>0</v>
      </c>
      <c r="AF64" s="53">
        <f t="shared" si="31"/>
        <v>0</v>
      </c>
      <c r="AG64" s="76"/>
      <c r="AL64" s="41" t="str">
        <f t="shared" si="32"/>
        <v>11.306.351-3</v>
      </c>
      <c r="AM64" s="41">
        <v>55</v>
      </c>
      <c r="AN64" s="41">
        <f t="shared" si="13"/>
        <v>0</v>
      </c>
      <c r="AO64" s="41">
        <f t="shared" si="14"/>
        <v>0</v>
      </c>
      <c r="AP64" s="41">
        <f t="shared" si="15"/>
        <v>0</v>
      </c>
      <c r="AQ64" s="41">
        <f t="shared" si="16"/>
        <v>0</v>
      </c>
      <c r="AR64" s="41">
        <f t="shared" si="17"/>
        <v>0</v>
      </c>
      <c r="AS64" s="41">
        <f t="shared" si="18"/>
        <v>0</v>
      </c>
      <c r="AT64" s="41">
        <f t="shared" si="19"/>
        <v>0</v>
      </c>
      <c r="AU64" s="55">
        <f t="shared" si="20"/>
        <v>0</v>
      </c>
      <c r="AW64" s="41">
        <f t="shared" si="33"/>
        <v>0</v>
      </c>
      <c r="AX64" s="41">
        <f t="shared" si="34"/>
        <v>0</v>
      </c>
      <c r="AY64" s="41">
        <f t="shared" si="35"/>
        <v>0</v>
      </c>
      <c r="AZ64" s="41">
        <f t="shared" si="36"/>
        <v>0</v>
      </c>
      <c r="BA64" s="41">
        <f t="shared" si="37"/>
        <v>0</v>
      </c>
      <c r="BB64" s="41">
        <f t="shared" si="38"/>
        <v>0</v>
      </c>
      <c r="BC64" s="41">
        <f t="shared" si="39"/>
        <v>0</v>
      </c>
      <c r="BD64" s="55">
        <f t="shared" si="40"/>
        <v>0</v>
      </c>
      <c r="BF64" s="41">
        <f t="shared" si="29"/>
        <v>0</v>
      </c>
    </row>
    <row r="65" spans="1:58" ht="13.5">
      <c r="A65" s="41" t="str">
        <f>IF(Base!B63="","",Base!B63)</f>
        <v>05.080.993-5</v>
      </c>
      <c r="B65" s="41" t="str">
        <f>IF(Base!F63="","",Base!F63)</f>
        <v>CARLOS  FIGUEROA  NILO</v>
      </c>
      <c r="C65" s="41" t="str">
        <f>IF(Base!I63="","",Base!I63)</f>
        <v>Abastecimiento</v>
      </c>
      <c r="D65" s="42" t="str">
        <f>IF(Base!J63="","",Base!J63)</f>
        <v>Control Ingresos Cen</v>
      </c>
      <c r="E65" s="41">
        <f>IF(Base!H63="","",Base!H63)</f>
        <v>1050126</v>
      </c>
      <c r="J65" s="49">
        <v>55</v>
      </c>
      <c r="K65" s="115" t="s">
        <v>584</v>
      </c>
      <c r="L65" s="111" t="str">
        <f t="shared" si="6"/>
        <v>LUIS HUMBERTO  MARDONES  ALVARADO</v>
      </c>
      <c r="M65" s="111">
        <f t="shared" si="7"/>
        <v>1050633</v>
      </c>
      <c r="N65" s="112" t="str">
        <f t="shared" si="8"/>
        <v>Abastecimiento</v>
      </c>
      <c r="O65" s="112" t="str">
        <f t="shared" si="9"/>
        <v>Suministro de Líneas</v>
      </c>
      <c r="P65" s="51" t="s">
        <v>1324</v>
      </c>
      <c r="Q65" s="56"/>
      <c r="R65" s="49"/>
      <c r="S65" s="56"/>
      <c r="T65" s="49"/>
      <c r="U65" s="56"/>
      <c r="V65" s="49"/>
      <c r="W65" s="56"/>
      <c r="X65" s="49"/>
      <c r="Y65" s="56"/>
      <c r="Z65" s="49"/>
      <c r="AA65" s="56"/>
      <c r="AB65" s="49"/>
      <c r="AC65" s="56"/>
      <c r="AD65" s="49"/>
      <c r="AE65" s="53">
        <f t="shared" si="30"/>
        <v>0</v>
      </c>
      <c r="AF65" s="53">
        <f t="shared" si="31"/>
        <v>0</v>
      </c>
      <c r="AG65" s="76" t="s">
        <v>1369</v>
      </c>
      <c r="AL65" s="41" t="str">
        <f t="shared" si="32"/>
        <v>11.370.436-5</v>
      </c>
      <c r="AM65" s="41">
        <v>56</v>
      </c>
      <c r="AN65" s="41">
        <f t="shared" si="13"/>
        <v>0</v>
      </c>
      <c r="AO65" s="41">
        <f t="shared" si="14"/>
        <v>0</v>
      </c>
      <c r="AP65" s="41">
        <f t="shared" si="15"/>
        <v>0</v>
      </c>
      <c r="AQ65" s="41">
        <f t="shared" si="16"/>
        <v>0</v>
      </c>
      <c r="AR65" s="41">
        <f t="shared" si="17"/>
        <v>0</v>
      </c>
      <c r="AS65" s="41">
        <f t="shared" si="18"/>
        <v>0</v>
      </c>
      <c r="AT65" s="41">
        <f t="shared" si="19"/>
        <v>0</v>
      </c>
      <c r="AU65" s="55">
        <f t="shared" si="20"/>
        <v>0</v>
      </c>
      <c r="AW65" s="41">
        <f t="shared" si="33"/>
        <v>0</v>
      </c>
      <c r="AX65" s="41">
        <f t="shared" si="34"/>
        <v>0</v>
      </c>
      <c r="AY65" s="41">
        <f t="shared" si="35"/>
        <v>0</v>
      </c>
      <c r="AZ65" s="41">
        <f t="shared" si="36"/>
        <v>0</v>
      </c>
      <c r="BA65" s="41">
        <f t="shared" si="37"/>
        <v>0</v>
      </c>
      <c r="BB65" s="41">
        <f t="shared" si="38"/>
        <v>0</v>
      </c>
      <c r="BC65" s="41">
        <f t="shared" si="39"/>
        <v>0</v>
      </c>
      <c r="BD65" s="55">
        <f t="shared" si="40"/>
        <v>0</v>
      </c>
      <c r="BF65" s="41">
        <f t="shared" si="29"/>
        <v>0</v>
      </c>
    </row>
    <row r="66" spans="1:58" ht="13.5">
      <c r="A66" s="41" t="str">
        <f>IF(Base!B64="","",Base!B64)</f>
        <v>05.989.878-7</v>
      </c>
      <c r="B66" s="41" t="str">
        <f>IF(Base!F64="","",Base!F64)</f>
        <v>NELLY E.  FIGUEROA  PAVEZ</v>
      </c>
      <c r="C66" s="41" t="str">
        <f>IF(Base!I64="","",Base!I64)</f>
        <v>Abastecimiento</v>
      </c>
      <c r="D66" s="42" t="str">
        <f>IF(Base!J64="","",Base!J64)</f>
        <v>Control Ingresos Cen</v>
      </c>
      <c r="E66" s="41">
        <f>IF(Base!H64="","",Base!H64)</f>
        <v>1050126</v>
      </c>
      <c r="J66" s="49">
        <v>56</v>
      </c>
      <c r="K66" s="115" t="s">
        <v>589</v>
      </c>
      <c r="L66" s="111" t="str">
        <f t="shared" si="6"/>
        <v>SERGIO SEGUNDO  MARDONES  ALVARADO</v>
      </c>
      <c r="M66" s="111">
        <f t="shared" si="7"/>
        <v>1050633</v>
      </c>
      <c r="N66" s="112" t="str">
        <f t="shared" si="8"/>
        <v>Abastecimiento</v>
      </c>
      <c r="O66" s="112" t="str">
        <f t="shared" si="9"/>
        <v>Suministro de Líneas</v>
      </c>
      <c r="P66" s="51" t="s">
        <v>4</v>
      </c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3">
        <f t="shared" si="30"/>
        <v>0</v>
      </c>
      <c r="AF66" s="53">
        <f t="shared" si="31"/>
        <v>0</v>
      </c>
      <c r="AG66" s="76"/>
      <c r="AL66" s="41" t="str">
        <f t="shared" si="32"/>
        <v>09.081.025-1</v>
      </c>
      <c r="AM66" s="41">
        <v>57</v>
      </c>
      <c r="AN66" s="41">
        <f t="shared" si="13"/>
        <v>0</v>
      </c>
      <c r="AO66" s="41">
        <f t="shared" si="14"/>
        <v>0</v>
      </c>
      <c r="AP66" s="41">
        <f t="shared" si="15"/>
        <v>0</v>
      </c>
      <c r="AQ66" s="41">
        <f t="shared" si="16"/>
        <v>0</v>
      </c>
      <c r="AR66" s="41">
        <f t="shared" si="17"/>
        <v>0</v>
      </c>
      <c r="AS66" s="41">
        <f t="shared" si="18"/>
        <v>0</v>
      </c>
      <c r="AT66" s="41">
        <f t="shared" si="19"/>
        <v>0</v>
      </c>
      <c r="AU66" s="55">
        <f t="shared" si="20"/>
        <v>0</v>
      </c>
      <c r="AW66" s="41">
        <f t="shared" si="33"/>
        <v>0</v>
      </c>
      <c r="AX66" s="41">
        <f t="shared" si="34"/>
        <v>0</v>
      </c>
      <c r="AY66" s="41">
        <f t="shared" si="35"/>
        <v>0</v>
      </c>
      <c r="AZ66" s="41">
        <f t="shared" si="36"/>
        <v>0</v>
      </c>
      <c r="BA66" s="41">
        <f t="shared" si="37"/>
        <v>0</v>
      </c>
      <c r="BB66" s="41">
        <f t="shared" si="38"/>
        <v>0</v>
      </c>
      <c r="BC66" s="41">
        <f t="shared" si="39"/>
        <v>0</v>
      </c>
      <c r="BD66" s="55">
        <f t="shared" si="40"/>
        <v>0</v>
      </c>
      <c r="BF66" s="41">
        <f t="shared" si="29"/>
        <v>0</v>
      </c>
    </row>
    <row r="67" spans="1:58" ht="13.5">
      <c r="A67" s="41" t="str">
        <f>IF(Base!B65="","",Base!B65)</f>
        <v>05.281.950-4</v>
      </c>
      <c r="B67" s="41" t="str">
        <f>IF(Base!F65="","",Base!F65)</f>
        <v>BLANCA  FUENTES  YAÑEZ</v>
      </c>
      <c r="C67" s="41" t="str">
        <f>IF(Base!I65="","",Base!I65)</f>
        <v>Linea 7</v>
      </c>
      <c r="D67" s="42" t="str">
        <f>IF(Base!J65="","",Base!J65)</f>
        <v>Capsulado</v>
      </c>
      <c r="E67" s="41">
        <f>IF(Base!H65="","",Base!H65)</f>
        <v>1050616</v>
      </c>
      <c r="J67" s="49">
        <v>57</v>
      </c>
      <c r="K67" s="115" t="s">
        <v>593</v>
      </c>
      <c r="L67" s="111" t="str">
        <f t="shared" si="6"/>
        <v>MARION RAQUEL  MARIN  MOSCOSO</v>
      </c>
      <c r="M67" s="111">
        <f t="shared" si="7"/>
        <v>1050581</v>
      </c>
      <c r="N67" s="112" t="str">
        <f t="shared" si="8"/>
        <v>Abastecimiento</v>
      </c>
      <c r="O67" s="112" t="str">
        <f t="shared" si="9"/>
        <v>Almacen Insumos Pque</v>
      </c>
      <c r="P67" s="51" t="s">
        <v>1322</v>
      </c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3">
        <f t="shared" si="30"/>
        <v>0</v>
      </c>
      <c r="AF67" s="53">
        <f t="shared" si="31"/>
        <v>0</v>
      </c>
      <c r="AG67" s="76"/>
      <c r="AL67" s="41" t="str">
        <f t="shared" si="32"/>
        <v>13.835.848-8</v>
      </c>
      <c r="AM67" s="41">
        <v>58</v>
      </c>
      <c r="AN67" s="41">
        <f t="shared" si="13"/>
        <v>0</v>
      </c>
      <c r="AO67" s="41">
        <f t="shared" si="14"/>
        <v>0</v>
      </c>
      <c r="AP67" s="41">
        <f t="shared" si="15"/>
        <v>0</v>
      </c>
      <c r="AQ67" s="41">
        <f t="shared" si="16"/>
        <v>0</v>
      </c>
      <c r="AR67" s="41">
        <f t="shared" si="17"/>
        <v>0</v>
      </c>
      <c r="AS67" s="41">
        <f t="shared" si="18"/>
        <v>0</v>
      </c>
      <c r="AT67" s="41">
        <f t="shared" si="19"/>
        <v>0</v>
      </c>
      <c r="AU67" s="55">
        <f t="shared" si="20"/>
        <v>0</v>
      </c>
      <c r="AW67" s="41">
        <f t="shared" si="33"/>
        <v>0</v>
      </c>
      <c r="AX67" s="41">
        <f t="shared" si="34"/>
        <v>0</v>
      </c>
      <c r="AY67" s="41">
        <f t="shared" si="35"/>
        <v>0</v>
      </c>
      <c r="AZ67" s="41">
        <f t="shared" si="36"/>
        <v>0</v>
      </c>
      <c r="BA67" s="41">
        <f t="shared" si="37"/>
        <v>0</v>
      </c>
      <c r="BB67" s="41">
        <f t="shared" si="38"/>
        <v>0</v>
      </c>
      <c r="BC67" s="41">
        <f t="shared" si="39"/>
        <v>0</v>
      </c>
      <c r="BD67" s="55">
        <f t="shared" si="40"/>
        <v>0</v>
      </c>
      <c r="BF67" s="41">
        <f t="shared" si="29"/>
        <v>0</v>
      </c>
    </row>
    <row r="68" spans="1:58" ht="13.5">
      <c r="A68" s="41" t="str">
        <f>IF(Base!B66="","",Base!B66)</f>
        <v>06.187.914-5</v>
      </c>
      <c r="B68" s="41" t="str">
        <f>IF(Base!F66="","",Base!F66)</f>
        <v>PATRICIA  FUENTES  YAÑEZ</v>
      </c>
      <c r="C68" s="41" t="str">
        <f>IF(Base!I66="","",Base!I66)</f>
        <v>Linea 7</v>
      </c>
      <c r="D68" s="42" t="str">
        <f>IF(Base!J66="","",Base!J66)</f>
        <v>Capsulado</v>
      </c>
      <c r="E68" s="41">
        <f>IF(Base!H66="","",Base!H66)</f>
        <v>1050616</v>
      </c>
      <c r="J68" s="49">
        <v>58</v>
      </c>
      <c r="K68" s="115" t="s">
        <v>1307</v>
      </c>
      <c r="L68" s="111" t="str">
        <f t="shared" si="6"/>
        <v>ISAAC MARTINEZ</v>
      </c>
      <c r="M68" s="111">
        <f t="shared" si="7"/>
        <v>1050633</v>
      </c>
      <c r="N68" s="112" t="str">
        <f t="shared" si="8"/>
        <v>Abastecimiento</v>
      </c>
      <c r="O68" s="112" t="str">
        <f t="shared" si="9"/>
        <v>Operario Almacenamiento</v>
      </c>
      <c r="P68" s="51" t="s">
        <v>1324</v>
      </c>
      <c r="Q68" s="56"/>
      <c r="R68" s="49"/>
      <c r="S68" s="56"/>
      <c r="T68" s="49"/>
      <c r="U68" s="56"/>
      <c r="V68" s="49"/>
      <c r="W68" s="56"/>
      <c r="X68" s="49"/>
      <c r="Y68" s="56"/>
      <c r="Z68" s="49"/>
      <c r="AA68" s="56"/>
      <c r="AB68" s="49"/>
      <c r="AC68" s="56"/>
      <c r="AD68" s="49"/>
      <c r="AE68" s="53">
        <f t="shared" si="30"/>
        <v>0</v>
      </c>
      <c r="AF68" s="53">
        <f t="shared" si="31"/>
        <v>0</v>
      </c>
      <c r="AG68" s="76"/>
      <c r="AL68" s="41" t="str">
        <f t="shared" si="32"/>
        <v>17.546.614-2</v>
      </c>
      <c r="AM68" s="41">
        <v>59</v>
      </c>
      <c r="AN68" s="41">
        <f t="shared" si="13"/>
        <v>0</v>
      </c>
      <c r="AO68" s="41">
        <f t="shared" si="14"/>
        <v>0</v>
      </c>
      <c r="AP68" s="41">
        <f t="shared" si="15"/>
        <v>0</v>
      </c>
      <c r="AQ68" s="41">
        <f t="shared" si="16"/>
        <v>0</v>
      </c>
      <c r="AR68" s="41">
        <f t="shared" si="17"/>
        <v>0</v>
      </c>
      <c r="AS68" s="41">
        <f t="shared" si="18"/>
        <v>0</v>
      </c>
      <c r="AT68" s="41">
        <f t="shared" si="19"/>
        <v>0</v>
      </c>
      <c r="AU68" s="55">
        <f t="shared" si="20"/>
        <v>0</v>
      </c>
      <c r="AW68" s="41">
        <f t="shared" si="33"/>
        <v>0</v>
      </c>
      <c r="AX68" s="41">
        <f t="shared" si="34"/>
        <v>0</v>
      </c>
      <c r="AY68" s="41">
        <f t="shared" si="35"/>
        <v>0</v>
      </c>
      <c r="AZ68" s="41">
        <f t="shared" si="36"/>
        <v>0</v>
      </c>
      <c r="BA68" s="41">
        <f t="shared" si="37"/>
        <v>0</v>
      </c>
      <c r="BB68" s="41">
        <f t="shared" si="38"/>
        <v>0</v>
      </c>
      <c r="BC68" s="41">
        <f t="shared" si="39"/>
        <v>0</v>
      </c>
      <c r="BD68" s="55">
        <f t="shared" si="40"/>
        <v>0</v>
      </c>
      <c r="BF68" s="41">
        <f t="shared" si="29"/>
        <v>0</v>
      </c>
    </row>
    <row r="69" spans="1:58" ht="13.5">
      <c r="A69" s="41" t="str">
        <f>IF(Base!B67="","",Base!B67)</f>
        <v>07.023.216-2</v>
      </c>
      <c r="B69" s="41" t="str">
        <f>IF(Base!F67="","",Base!F67)</f>
        <v>FIDEL  FUENZALIDA  ADASME</v>
      </c>
      <c r="C69" s="41" t="str">
        <f>IF(Base!I67="","",Base!I67)</f>
        <v>Linea 7</v>
      </c>
      <c r="D69" s="42" t="str">
        <f>IF(Base!J67="","",Base!J67)</f>
        <v>Despalletizador</v>
      </c>
      <c r="E69" s="41">
        <f>IF(Base!H67="","",Base!H67)</f>
        <v>1050615</v>
      </c>
      <c r="J69" s="49">
        <v>59</v>
      </c>
      <c r="K69" s="115" t="s">
        <v>1352</v>
      </c>
      <c r="L69" s="111" t="str">
        <f t="shared" si="6"/>
        <v>JOSE MATURANA RIOS</v>
      </c>
      <c r="M69" s="111">
        <f t="shared" si="7"/>
        <v>1050633</v>
      </c>
      <c r="N69" s="112" t="str">
        <f t="shared" si="8"/>
        <v>Abastecimiento</v>
      </c>
      <c r="O69" s="112" t="str">
        <f t="shared" si="9"/>
        <v>Operario Almacenamiento</v>
      </c>
      <c r="P69" s="51" t="s">
        <v>4</v>
      </c>
      <c r="Q69" s="56"/>
      <c r="R69" s="49"/>
      <c r="S69" s="56"/>
      <c r="T69" s="49"/>
      <c r="U69" s="56"/>
      <c r="V69" s="49"/>
      <c r="W69" s="56"/>
      <c r="X69" s="49"/>
      <c r="Y69" s="56"/>
      <c r="Z69" s="49"/>
      <c r="AA69" s="56"/>
      <c r="AB69" s="49"/>
      <c r="AC69" s="56"/>
      <c r="AD69" s="49"/>
      <c r="AE69" s="53">
        <f t="shared" si="30"/>
        <v>0</v>
      </c>
      <c r="AF69" s="53">
        <f t="shared" si="31"/>
        <v>0</v>
      </c>
      <c r="AG69" s="76"/>
      <c r="AL69" s="41" t="str">
        <f t="shared" si="32"/>
        <v>11.267.622-8</v>
      </c>
      <c r="AM69" s="41">
        <v>60</v>
      </c>
      <c r="AN69" s="41">
        <f t="shared" si="13"/>
        <v>0</v>
      </c>
      <c r="AO69" s="41">
        <f t="shared" si="14"/>
        <v>0</v>
      </c>
      <c r="AP69" s="41">
        <f t="shared" si="15"/>
        <v>0</v>
      </c>
      <c r="AQ69" s="41">
        <f t="shared" si="16"/>
        <v>0</v>
      </c>
      <c r="AR69" s="41">
        <f t="shared" si="17"/>
        <v>0</v>
      </c>
      <c r="AS69" s="41">
        <f t="shared" si="18"/>
        <v>0</v>
      </c>
      <c r="AT69" s="41">
        <f t="shared" si="19"/>
        <v>0</v>
      </c>
      <c r="AU69" s="55">
        <f t="shared" si="20"/>
        <v>0</v>
      </c>
      <c r="AW69" s="41">
        <f t="shared" si="33"/>
        <v>0</v>
      </c>
      <c r="AX69" s="41">
        <f t="shared" si="34"/>
        <v>0</v>
      </c>
      <c r="AY69" s="41">
        <f t="shared" si="35"/>
        <v>0</v>
      </c>
      <c r="AZ69" s="41">
        <f t="shared" si="36"/>
        <v>0</v>
      </c>
      <c r="BA69" s="41">
        <f t="shared" si="37"/>
        <v>0</v>
      </c>
      <c r="BB69" s="41">
        <f t="shared" si="38"/>
        <v>0</v>
      </c>
      <c r="BC69" s="41">
        <f t="shared" si="39"/>
        <v>0</v>
      </c>
      <c r="BD69" s="55">
        <f t="shared" si="40"/>
        <v>0</v>
      </c>
      <c r="BF69" s="41">
        <f t="shared" si="29"/>
        <v>0</v>
      </c>
    </row>
    <row r="70" spans="1:58" ht="13.5">
      <c r="A70" s="41" t="str">
        <f>IF(Base!B68="","",Base!B68)</f>
        <v>08.733.235-7</v>
      </c>
      <c r="B70" s="41" t="str">
        <f>IF(Base!F68="","",Base!F68)</f>
        <v>EXEQUIEL  FUENZALIDA  VALENZUELA</v>
      </c>
      <c r="C70" s="41" t="str">
        <f>IF(Base!I68="","",Base!I68)</f>
        <v>Linea 7</v>
      </c>
      <c r="D70" s="42" t="str">
        <f>IF(Base!J68="","",Base!J68)</f>
        <v>Llenador</v>
      </c>
      <c r="E70" s="41">
        <f>IF(Base!H68="","",Base!H68)</f>
        <v>1050615</v>
      </c>
      <c r="J70" s="49">
        <v>60</v>
      </c>
      <c r="K70" s="115" t="s">
        <v>610</v>
      </c>
      <c r="L70" s="111" t="str">
        <f t="shared" si="6"/>
        <v>MIGUEL ALBERTO  MELLA  FRIAS</v>
      </c>
      <c r="M70" s="111">
        <f t="shared" si="7"/>
        <v>1050126</v>
      </c>
      <c r="N70" s="112" t="str">
        <f t="shared" si="8"/>
        <v>Abastecimiento</v>
      </c>
      <c r="O70" s="112" t="str">
        <f t="shared" si="9"/>
        <v>Control Ingresos Cen</v>
      </c>
      <c r="P70" s="51" t="s">
        <v>1322</v>
      </c>
      <c r="Q70" s="56"/>
      <c r="R70" s="49"/>
      <c r="S70" s="56"/>
      <c r="T70" s="49"/>
      <c r="U70" s="56"/>
      <c r="V70" s="49"/>
      <c r="W70" s="56"/>
      <c r="X70" s="49"/>
      <c r="Y70" s="56"/>
      <c r="Z70" s="49"/>
      <c r="AA70" s="56"/>
      <c r="AB70" s="49"/>
      <c r="AC70" s="56"/>
      <c r="AD70" s="49"/>
      <c r="AE70" s="53">
        <f t="shared" si="30"/>
        <v>0</v>
      </c>
      <c r="AF70" s="53">
        <f t="shared" si="31"/>
        <v>0</v>
      </c>
      <c r="AG70" s="76"/>
      <c r="AL70" s="41" t="str">
        <f t="shared" si="32"/>
        <v>10.157.067-3</v>
      </c>
      <c r="AM70" s="41">
        <v>61</v>
      </c>
      <c r="AN70" s="41">
        <f t="shared" si="13"/>
        <v>0</v>
      </c>
      <c r="AO70" s="41">
        <f t="shared" si="14"/>
        <v>0</v>
      </c>
      <c r="AP70" s="41">
        <f t="shared" si="15"/>
        <v>0</v>
      </c>
      <c r="AQ70" s="41">
        <f t="shared" si="16"/>
        <v>0</v>
      </c>
      <c r="AR70" s="41">
        <f t="shared" si="17"/>
        <v>0</v>
      </c>
      <c r="AS70" s="41">
        <f t="shared" si="18"/>
        <v>0</v>
      </c>
      <c r="AT70" s="41">
        <f t="shared" si="19"/>
        <v>0</v>
      </c>
      <c r="AU70" s="55">
        <f t="shared" si="20"/>
        <v>0</v>
      </c>
      <c r="AW70" s="41">
        <f t="shared" si="33"/>
        <v>0</v>
      </c>
      <c r="AX70" s="41">
        <f t="shared" si="34"/>
        <v>0</v>
      </c>
      <c r="AY70" s="41">
        <f t="shared" si="35"/>
        <v>0</v>
      </c>
      <c r="AZ70" s="41">
        <f t="shared" si="36"/>
        <v>0</v>
      </c>
      <c r="BA70" s="41">
        <f t="shared" si="37"/>
        <v>0</v>
      </c>
      <c r="BB70" s="41">
        <f t="shared" si="38"/>
        <v>0</v>
      </c>
      <c r="BC70" s="41">
        <f t="shared" si="39"/>
        <v>0</v>
      </c>
      <c r="BD70" s="55">
        <f t="shared" si="40"/>
        <v>0</v>
      </c>
      <c r="BF70" s="41">
        <f t="shared" si="29"/>
        <v>0</v>
      </c>
    </row>
    <row r="71" spans="1:58" ht="13.5">
      <c r="A71" s="41" t="str">
        <f>IF(Base!B69="","",Base!B69)</f>
        <v>05.428.350-4</v>
      </c>
      <c r="B71" s="41" t="str">
        <f>IF(Base!F69="","",Base!F69)</f>
        <v>NELSON  GALAZ  DEL PINO</v>
      </c>
      <c r="C71" s="41" t="str">
        <f>IF(Base!I69="","",Base!I69)</f>
        <v>Linea 7</v>
      </c>
      <c r="D71" s="42" t="str">
        <f>IF(Base!J69="","",Base!J69)</f>
        <v>Embalador</v>
      </c>
      <c r="E71" s="41">
        <f>IF(Base!H69="","",Base!H69)</f>
        <v>1050616</v>
      </c>
      <c r="J71" s="49">
        <v>61</v>
      </c>
      <c r="K71" s="115" t="s">
        <v>620</v>
      </c>
      <c r="L71" s="111" t="str">
        <f t="shared" si="6"/>
        <v>MARIA ELIANA  MILLAN  HERRERA</v>
      </c>
      <c r="M71" s="111">
        <f t="shared" si="7"/>
        <v>1050633</v>
      </c>
      <c r="N71" s="112" t="str">
        <f t="shared" si="8"/>
        <v>Abastecimiento</v>
      </c>
      <c r="O71" s="112" t="str">
        <f t="shared" si="9"/>
        <v>Suministro de Líneas</v>
      </c>
      <c r="P71" s="51" t="s">
        <v>4</v>
      </c>
      <c r="Q71" s="56">
        <v>2</v>
      </c>
      <c r="R71" s="56"/>
      <c r="S71" s="56">
        <v>2</v>
      </c>
      <c r="T71" s="56"/>
      <c r="U71" s="56">
        <v>2</v>
      </c>
      <c r="V71" s="56"/>
      <c r="W71" s="56">
        <v>2</v>
      </c>
      <c r="X71" s="56"/>
      <c r="Y71" s="56">
        <v>2</v>
      </c>
      <c r="Z71" s="56"/>
      <c r="AA71" s="56"/>
      <c r="AB71" s="56"/>
      <c r="AC71" s="56"/>
      <c r="AD71" s="56"/>
      <c r="AE71" s="53">
        <f t="shared" si="30"/>
        <v>10</v>
      </c>
      <c r="AF71" s="53">
        <f t="shared" si="31"/>
        <v>0</v>
      </c>
      <c r="AG71" s="76"/>
      <c r="AL71" s="41" t="str">
        <f t="shared" si="32"/>
        <v>13.834.251-4</v>
      </c>
      <c r="AM71" s="41">
        <v>62</v>
      </c>
      <c r="AN71" s="41">
        <f t="shared" si="13"/>
        <v>2</v>
      </c>
      <c r="AO71" s="41">
        <f t="shared" si="14"/>
        <v>2</v>
      </c>
      <c r="AP71" s="41">
        <f t="shared" si="15"/>
        <v>2</v>
      </c>
      <c r="AQ71" s="41">
        <f t="shared" si="16"/>
        <v>2</v>
      </c>
      <c r="AR71" s="41">
        <f t="shared" si="17"/>
        <v>2</v>
      </c>
      <c r="AS71" s="41">
        <f t="shared" si="18"/>
        <v>0</v>
      </c>
      <c r="AT71" s="41">
        <f t="shared" si="19"/>
        <v>0</v>
      </c>
      <c r="AU71" s="55">
        <f t="shared" si="20"/>
        <v>10</v>
      </c>
      <c r="AW71" s="41">
        <f t="shared" si="33"/>
        <v>0</v>
      </c>
      <c r="AX71" s="41">
        <f t="shared" si="34"/>
        <v>0</v>
      </c>
      <c r="AY71" s="41">
        <f t="shared" si="35"/>
        <v>0</v>
      </c>
      <c r="AZ71" s="41">
        <f t="shared" si="36"/>
        <v>0</v>
      </c>
      <c r="BA71" s="41">
        <f t="shared" si="37"/>
        <v>0</v>
      </c>
      <c r="BB71" s="41">
        <f t="shared" si="38"/>
        <v>0</v>
      </c>
      <c r="BC71" s="41">
        <f t="shared" si="39"/>
        <v>0</v>
      </c>
      <c r="BD71" s="55">
        <f t="shared" si="40"/>
        <v>0</v>
      </c>
      <c r="BF71" s="41">
        <f t="shared" si="29"/>
        <v>10</v>
      </c>
    </row>
    <row r="72" spans="1:58" ht="13.5">
      <c r="A72" s="41" t="str">
        <f>IF(Base!B70="","",Base!B70)</f>
        <v>16.380.050-0</v>
      </c>
      <c r="B72" s="41" t="str">
        <f>IF(Base!F70="","",Base!F70)</f>
        <v>MARCELO  FLORES  ARANDA</v>
      </c>
      <c r="C72" s="41" t="str">
        <f>IF(Base!I70="","",Base!I70)</f>
        <v>Abastecimiento</v>
      </c>
      <c r="D72" s="42" t="str">
        <f>IF(Base!J70="","",Base!J70)</f>
        <v>Control Ingresos Cen</v>
      </c>
      <c r="E72" s="41">
        <f>IF(Base!H70="","",Base!H70)</f>
        <v>1050126</v>
      </c>
      <c r="J72" s="49">
        <v>62</v>
      </c>
      <c r="K72" s="115" t="s">
        <v>628</v>
      </c>
      <c r="L72" s="111" t="str">
        <f t="shared" si="6"/>
        <v>CARLOS ALEJANDRO  MORA  MORA</v>
      </c>
      <c r="M72" s="111">
        <f t="shared" si="7"/>
        <v>1050127</v>
      </c>
      <c r="N72" s="112" t="str">
        <f t="shared" si="8"/>
        <v>Abastecimiento</v>
      </c>
      <c r="O72" s="112" t="str">
        <f t="shared" si="9"/>
        <v>Preparación de Insum</v>
      </c>
      <c r="P72" s="51" t="s">
        <v>1324</v>
      </c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3">
        <f t="shared" si="30"/>
        <v>0</v>
      </c>
      <c r="AF72" s="53">
        <f t="shared" si="31"/>
        <v>0</v>
      </c>
      <c r="AG72" s="76"/>
      <c r="AL72" s="41" t="str">
        <f t="shared" si="32"/>
        <v>10.407.614-9</v>
      </c>
      <c r="AM72" s="41">
        <v>63</v>
      </c>
      <c r="AN72" s="41">
        <f t="shared" si="13"/>
        <v>0</v>
      </c>
      <c r="AO72" s="41">
        <f t="shared" si="14"/>
        <v>0</v>
      </c>
      <c r="AP72" s="41">
        <f t="shared" si="15"/>
        <v>0</v>
      </c>
      <c r="AQ72" s="41">
        <f t="shared" si="16"/>
        <v>0</v>
      </c>
      <c r="AR72" s="41">
        <f t="shared" si="17"/>
        <v>0</v>
      </c>
      <c r="AS72" s="41">
        <f t="shared" si="18"/>
        <v>0</v>
      </c>
      <c r="AT72" s="41">
        <f t="shared" si="19"/>
        <v>0</v>
      </c>
      <c r="AU72" s="55">
        <f t="shared" si="20"/>
        <v>0</v>
      </c>
      <c r="AW72" s="41">
        <f t="shared" si="33"/>
        <v>0</v>
      </c>
      <c r="AX72" s="41">
        <f t="shared" si="34"/>
        <v>0</v>
      </c>
      <c r="AY72" s="41">
        <f t="shared" si="35"/>
        <v>0</v>
      </c>
      <c r="AZ72" s="41">
        <f t="shared" si="36"/>
        <v>0</v>
      </c>
      <c r="BA72" s="41">
        <f t="shared" si="37"/>
        <v>0</v>
      </c>
      <c r="BB72" s="41">
        <f t="shared" si="38"/>
        <v>0</v>
      </c>
      <c r="BC72" s="41">
        <f t="shared" si="39"/>
        <v>0</v>
      </c>
      <c r="BD72" s="55">
        <f t="shared" si="40"/>
        <v>0</v>
      </c>
      <c r="BF72" s="41">
        <f t="shared" si="29"/>
        <v>0</v>
      </c>
    </row>
    <row r="73" spans="1:58" ht="13.5">
      <c r="A73" s="41" t="str">
        <f>IF(Base!B71="","",Base!B71)</f>
        <v>09.571.017-4</v>
      </c>
      <c r="B73" s="41" t="str">
        <f>IF(Base!F71="","",Base!F71)</f>
        <v>MIGUEL FRANCISCO  GALLARDO  CASTRO</v>
      </c>
      <c r="C73" s="41" t="str">
        <f>IF(Base!I71="","",Base!I71)</f>
        <v>Abastecimiento</v>
      </c>
      <c r="D73" s="42" t="str">
        <f>IF(Base!J71="","",Base!J71)</f>
        <v>Control Ingresos Cen</v>
      </c>
      <c r="E73" s="41">
        <f>IF(Base!H71="","",Base!H71)</f>
        <v>1050126</v>
      </c>
      <c r="J73" s="49">
        <v>63</v>
      </c>
      <c r="K73" s="115" t="s">
        <v>666</v>
      </c>
      <c r="L73" s="111" t="str">
        <f t="shared" si="6"/>
        <v>CLAUDIO ARTURO  MUÑOZ  MUÑOZ</v>
      </c>
      <c r="M73" s="111">
        <f t="shared" si="7"/>
        <v>1050126</v>
      </c>
      <c r="N73" s="112" t="str">
        <f t="shared" si="8"/>
        <v>Abastecimiento</v>
      </c>
      <c r="O73" s="112" t="str">
        <f t="shared" si="9"/>
        <v>Control Ingresos Cen</v>
      </c>
      <c r="P73" s="51" t="s">
        <v>1322</v>
      </c>
      <c r="Q73" s="56"/>
      <c r="R73" s="49"/>
      <c r="S73" s="56"/>
      <c r="T73" s="49"/>
      <c r="U73" s="56">
        <v>1</v>
      </c>
      <c r="V73" s="49"/>
      <c r="W73" s="56"/>
      <c r="X73" s="49"/>
      <c r="Y73" s="56"/>
      <c r="Z73" s="49"/>
      <c r="AA73" s="56"/>
      <c r="AB73" s="49"/>
      <c r="AC73" s="56"/>
      <c r="AD73" s="49"/>
      <c r="AE73" s="53">
        <f t="shared" si="30"/>
        <v>1</v>
      </c>
      <c r="AF73" s="53">
        <f t="shared" si="31"/>
        <v>0</v>
      </c>
      <c r="AG73" s="76"/>
      <c r="AL73" s="41" t="str">
        <f t="shared" si="32"/>
        <v>11.659.510-9</v>
      </c>
      <c r="AM73" s="41">
        <v>64</v>
      </c>
      <c r="AN73" s="41">
        <f t="shared" si="13"/>
        <v>0</v>
      </c>
      <c r="AO73" s="41">
        <f t="shared" si="14"/>
        <v>0</v>
      </c>
      <c r="AP73" s="41">
        <f t="shared" si="15"/>
        <v>1</v>
      </c>
      <c r="AQ73" s="41">
        <f t="shared" si="16"/>
        <v>0</v>
      </c>
      <c r="AR73" s="41">
        <f t="shared" si="17"/>
        <v>0</v>
      </c>
      <c r="AS73" s="41">
        <f t="shared" si="18"/>
        <v>0</v>
      </c>
      <c r="AT73" s="41">
        <f t="shared" si="19"/>
        <v>0</v>
      </c>
      <c r="AU73" s="55">
        <f t="shared" si="20"/>
        <v>1</v>
      </c>
      <c r="AW73" s="41">
        <f t="shared" si="33"/>
        <v>0</v>
      </c>
      <c r="AX73" s="41">
        <f t="shared" si="34"/>
        <v>0</v>
      </c>
      <c r="AY73" s="41">
        <f t="shared" si="35"/>
        <v>0</v>
      </c>
      <c r="AZ73" s="41">
        <f t="shared" si="36"/>
        <v>0</v>
      </c>
      <c r="BA73" s="41">
        <f t="shared" si="37"/>
        <v>0</v>
      </c>
      <c r="BB73" s="41">
        <f t="shared" si="38"/>
        <v>0</v>
      </c>
      <c r="BC73" s="41">
        <f t="shared" si="39"/>
        <v>0</v>
      </c>
      <c r="BD73" s="55">
        <f t="shared" si="40"/>
        <v>0</v>
      </c>
      <c r="BF73" s="41">
        <f t="shared" si="29"/>
        <v>1</v>
      </c>
    </row>
    <row r="74" spans="1:58" ht="13.5">
      <c r="A74" s="41" t="str">
        <f>IF(Base!B72="","",Base!B72)</f>
        <v>16.132.065-K</v>
      </c>
      <c r="B74" s="41" t="str">
        <f>IF(Base!F72="","",Base!F72)</f>
        <v>EMERSON  GALLARDO  LUCERO</v>
      </c>
      <c r="C74" s="41" t="str">
        <f>IF(Base!I72="","",Base!I72)</f>
        <v>Abastecimiento</v>
      </c>
      <c r="D74" s="42" t="str">
        <f>IF(Base!J72="","",Base!J72)</f>
        <v>Control Ingresos Cen</v>
      </c>
      <c r="E74" s="41">
        <f>IF(Base!H72="","",Base!H72)</f>
        <v>1050126</v>
      </c>
      <c r="J74" s="49">
        <v>64</v>
      </c>
      <c r="K74" s="115" t="s">
        <v>670</v>
      </c>
      <c r="L74" s="111" t="str">
        <f t="shared" si="6"/>
        <v>JOSE ENRIQUE  MUÑOZ  QUENPUL</v>
      </c>
      <c r="M74" s="111">
        <f t="shared" si="7"/>
        <v>1050162</v>
      </c>
      <c r="N74" s="112" t="str">
        <f t="shared" si="8"/>
        <v>Abastecimiento</v>
      </c>
      <c r="O74" s="112" t="str">
        <f t="shared" si="9"/>
        <v>Almacen Envases Pirq</v>
      </c>
      <c r="P74" s="51" t="s">
        <v>1324</v>
      </c>
      <c r="Q74" s="56"/>
      <c r="R74" s="49"/>
      <c r="S74" s="56"/>
      <c r="T74" s="49"/>
      <c r="U74" s="56"/>
      <c r="V74" s="49"/>
      <c r="W74" s="56"/>
      <c r="X74" s="49"/>
      <c r="Y74" s="56"/>
      <c r="Z74" s="49"/>
      <c r="AA74" s="56"/>
      <c r="AB74" s="49"/>
      <c r="AC74" s="56"/>
      <c r="AD74" s="49"/>
      <c r="AE74" s="53">
        <f t="shared" si="30"/>
        <v>0</v>
      </c>
      <c r="AF74" s="53">
        <f t="shared" si="31"/>
        <v>0</v>
      </c>
      <c r="AG74" s="76"/>
      <c r="AL74" s="41" t="str">
        <f t="shared" si="32"/>
        <v>11.124.307-7</v>
      </c>
      <c r="AM74" s="41">
        <v>65</v>
      </c>
      <c r="AN74" s="41">
        <f t="shared" si="13"/>
        <v>0</v>
      </c>
      <c r="AO74" s="41">
        <f t="shared" si="14"/>
        <v>0</v>
      </c>
      <c r="AP74" s="41">
        <f t="shared" si="15"/>
        <v>0</v>
      </c>
      <c r="AQ74" s="41">
        <f t="shared" si="16"/>
        <v>0</v>
      </c>
      <c r="AR74" s="41">
        <f t="shared" si="17"/>
        <v>0</v>
      </c>
      <c r="AS74" s="41">
        <f t="shared" si="18"/>
        <v>0</v>
      </c>
      <c r="AT74" s="41">
        <f t="shared" si="19"/>
        <v>0</v>
      </c>
      <c r="AU74" s="55">
        <f t="shared" si="20"/>
        <v>0</v>
      </c>
      <c r="AW74" s="41">
        <f t="shared" si="33"/>
        <v>0</v>
      </c>
      <c r="AX74" s="41">
        <f t="shared" si="34"/>
        <v>0</v>
      </c>
      <c r="AY74" s="41">
        <f t="shared" si="35"/>
        <v>0</v>
      </c>
      <c r="AZ74" s="41">
        <f t="shared" si="36"/>
        <v>0</v>
      </c>
      <c r="BA74" s="41">
        <f t="shared" si="37"/>
        <v>0</v>
      </c>
      <c r="BB74" s="41">
        <f t="shared" si="38"/>
        <v>0</v>
      </c>
      <c r="BC74" s="41">
        <f t="shared" si="39"/>
        <v>0</v>
      </c>
      <c r="BD74" s="55">
        <f t="shared" si="40"/>
        <v>0</v>
      </c>
      <c r="BF74" s="41">
        <f t="shared" si="29"/>
        <v>0</v>
      </c>
    </row>
    <row r="75" spans="1:58" ht="13.5">
      <c r="A75" s="41" t="str">
        <f>IF(Base!B73="","",Base!B73)</f>
        <v>13.100.464-8</v>
      </c>
      <c r="B75" s="41" t="str">
        <f>IF(Base!F73="","",Base!F73)</f>
        <v>JOSE A.  GALLARDO  OYARCE</v>
      </c>
      <c r="C75" s="41" t="str">
        <f>IF(Base!I73="","",Base!I73)</f>
        <v>Sala filtros</v>
      </c>
      <c r="D75" s="42" t="str">
        <f>IF(Base!J73="","",Base!J73)</f>
        <v>Operador sala de filtros</v>
      </c>
      <c r="E75" s="41">
        <f>IF(Base!H73="","",Base!H73)</f>
        <v>1050574</v>
      </c>
      <c r="J75" s="49">
        <v>65</v>
      </c>
      <c r="K75" s="115" t="s">
        <v>686</v>
      </c>
      <c r="L75" s="111" t="str">
        <f t="shared" si="6"/>
        <v>ALEXIS ANTONIO  NARVAI  DIAZ</v>
      </c>
      <c r="M75" s="111">
        <f t="shared" si="7"/>
        <v>1050581</v>
      </c>
      <c r="N75" s="112" t="str">
        <f t="shared" si="8"/>
        <v>Abastecimiento</v>
      </c>
      <c r="O75" s="112" t="str">
        <f t="shared" si="9"/>
        <v>Supervisor Almacen Insumos</v>
      </c>
      <c r="P75" s="51" t="s">
        <v>1338</v>
      </c>
      <c r="Q75" s="56"/>
      <c r="R75" s="49"/>
      <c r="S75" s="56"/>
      <c r="T75" s="49"/>
      <c r="U75" s="56"/>
      <c r="V75" s="49"/>
      <c r="W75" s="56"/>
      <c r="X75" s="49"/>
      <c r="Y75" s="56"/>
      <c r="Z75" s="49"/>
      <c r="AA75" s="56"/>
      <c r="AB75" s="49"/>
      <c r="AC75" s="56"/>
      <c r="AD75" s="49"/>
      <c r="AE75" s="53">
        <f t="shared" si="30"/>
        <v>0</v>
      </c>
      <c r="AF75" s="53">
        <f t="shared" si="31"/>
        <v>0</v>
      </c>
      <c r="AG75" s="79" t="s">
        <v>1372</v>
      </c>
      <c r="AL75" s="41" t="str">
        <f t="shared" si="32"/>
        <v>11.754.811-2</v>
      </c>
      <c r="AM75" s="41">
        <v>66</v>
      </c>
      <c r="AN75" s="41">
        <f t="shared" si="13"/>
        <v>0</v>
      </c>
      <c r="AO75" s="41">
        <f t="shared" si="14"/>
        <v>0</v>
      </c>
      <c r="AP75" s="41">
        <f t="shared" si="15"/>
        <v>0</v>
      </c>
      <c r="AQ75" s="41">
        <f t="shared" si="16"/>
        <v>0</v>
      </c>
      <c r="AR75" s="41">
        <f t="shared" si="17"/>
        <v>0</v>
      </c>
      <c r="AS75" s="41">
        <f t="shared" si="18"/>
        <v>0</v>
      </c>
      <c r="AT75" s="41">
        <f t="shared" si="19"/>
        <v>0</v>
      </c>
      <c r="AU75" s="55">
        <f t="shared" si="20"/>
        <v>0</v>
      </c>
      <c r="AW75" s="41">
        <f t="shared" si="33"/>
        <v>0</v>
      </c>
      <c r="AX75" s="41">
        <f t="shared" si="34"/>
        <v>0</v>
      </c>
      <c r="AY75" s="41">
        <f t="shared" si="35"/>
        <v>0</v>
      </c>
      <c r="AZ75" s="41">
        <f t="shared" si="36"/>
        <v>0</v>
      </c>
      <c r="BA75" s="41">
        <f t="shared" si="37"/>
        <v>0</v>
      </c>
      <c r="BB75" s="41">
        <f t="shared" si="38"/>
        <v>0</v>
      </c>
      <c r="BC75" s="41">
        <f t="shared" si="39"/>
        <v>0</v>
      </c>
      <c r="BD75" s="55">
        <f t="shared" si="40"/>
        <v>0</v>
      </c>
      <c r="BF75" s="41">
        <f t="shared" si="29"/>
        <v>0</v>
      </c>
    </row>
    <row r="76" spans="1:58" ht="13.5">
      <c r="A76" s="41" t="str">
        <f>IF(Base!B74="","",Base!B74)</f>
        <v>17.065.312-2</v>
      </c>
      <c r="B76" s="41" t="str">
        <f>IF(Base!F74="","",Base!F74)</f>
        <v>ARIEL ALFREDO  GALVEZ  CERNA</v>
      </c>
      <c r="C76" s="41" t="str">
        <f>IF(Base!I74="","",Base!I74)</f>
        <v>Abastecimiento</v>
      </c>
      <c r="D76" s="42" t="str">
        <f>IF(Base!J74="","",Base!J74)</f>
        <v>Control Ingresos Cen</v>
      </c>
      <c r="E76" s="41">
        <f>IF(Base!H74="","",Base!H74)</f>
        <v>1050126</v>
      </c>
      <c r="J76" s="49">
        <v>66</v>
      </c>
      <c r="K76" s="115" t="s">
        <v>692</v>
      </c>
      <c r="L76" s="111" t="str">
        <f t="shared" ref="L76:L107" si="41">IF(K76="","",VLOOKUP($K76,A:D,2,FALSE))</f>
        <v>ELSON GONZALO  NARVAI  DIAZ</v>
      </c>
      <c r="M76" s="111">
        <f t="shared" ref="M76:M107" si="42">IF(K76="","",VLOOKUP(K76,A:E,5,FALSE))</f>
        <v>1050506</v>
      </c>
      <c r="N76" s="112" t="str">
        <f t="shared" ref="N76:N139" si="43">IF(K76="","",VLOOKUP(K76,A:C,3,FALSE))</f>
        <v>Abastecimiento</v>
      </c>
      <c r="O76" s="112" t="str">
        <f t="shared" ref="O76:O139" si="44">IF(K76="","",VLOOKUP(K76,A:D,4,FALSE))</f>
        <v>Reimpresión</v>
      </c>
      <c r="P76" s="51" t="s">
        <v>1338</v>
      </c>
      <c r="Q76" s="56"/>
      <c r="R76" s="56"/>
      <c r="S76" s="56">
        <v>2</v>
      </c>
      <c r="T76" s="56"/>
      <c r="U76" s="56"/>
      <c r="V76" s="56"/>
      <c r="W76" s="56">
        <v>2</v>
      </c>
      <c r="X76" s="56"/>
      <c r="Y76" s="56">
        <v>1</v>
      </c>
      <c r="Z76" s="56"/>
      <c r="AA76" s="56"/>
      <c r="AB76" s="56"/>
      <c r="AC76" s="56"/>
      <c r="AD76" s="56"/>
      <c r="AE76" s="53">
        <f t="shared" si="30"/>
        <v>5</v>
      </c>
      <c r="AF76" s="53">
        <f t="shared" si="31"/>
        <v>0</v>
      </c>
      <c r="AG76" s="76"/>
      <c r="AL76" s="41" t="str">
        <f t="shared" si="32"/>
        <v>12.828.475-3</v>
      </c>
      <c r="AM76" s="41">
        <v>67</v>
      </c>
      <c r="AN76" s="41">
        <f t="shared" ref="AN76:AN139" si="45">Q76</f>
        <v>0</v>
      </c>
      <c r="AO76" s="41">
        <f t="shared" ref="AO76:AO139" si="46">S76</f>
        <v>2</v>
      </c>
      <c r="AP76" s="41">
        <f t="shared" ref="AP76:AP139" si="47">U76</f>
        <v>0</v>
      </c>
      <c r="AQ76" s="41">
        <f t="shared" ref="AQ76:AQ139" si="48">W76</f>
        <v>2</v>
      </c>
      <c r="AR76" s="41">
        <f t="shared" ref="AR76:AR139" si="49">Y76</f>
        <v>1</v>
      </c>
      <c r="AS76" s="41">
        <f t="shared" ref="AS76:AS139" si="50">AA76</f>
        <v>0</v>
      </c>
      <c r="AT76" s="41">
        <f t="shared" ref="AT76:AT139" si="51">AC76</f>
        <v>0</v>
      </c>
      <c r="AU76" s="55">
        <f t="shared" ref="AU76:AU139" si="52">IF(SUM(AN76:AT76)=0,0,SUM(AN76:AT76))</f>
        <v>5</v>
      </c>
      <c r="AW76" s="41">
        <f t="shared" si="33"/>
        <v>0</v>
      </c>
      <c r="AX76" s="41">
        <f t="shared" si="34"/>
        <v>0</v>
      </c>
      <c r="AY76" s="41">
        <f t="shared" si="35"/>
        <v>0</v>
      </c>
      <c r="AZ76" s="41">
        <f t="shared" si="36"/>
        <v>0</v>
      </c>
      <c r="BA76" s="41">
        <f t="shared" si="37"/>
        <v>0</v>
      </c>
      <c r="BB76" s="41">
        <f t="shared" si="38"/>
        <v>0</v>
      </c>
      <c r="BC76" s="41">
        <f t="shared" si="39"/>
        <v>0</v>
      </c>
      <c r="BD76" s="55">
        <f t="shared" si="40"/>
        <v>0</v>
      </c>
      <c r="BF76" s="41">
        <f t="shared" ref="BF76:BF139" si="53">SUM(AU76+BD76)</f>
        <v>5</v>
      </c>
    </row>
    <row r="77" spans="1:58" ht="13.5">
      <c r="A77" s="41" t="str">
        <f>IF(Base!B75="","",Base!B75)</f>
        <v>17.002.272-6</v>
      </c>
      <c r="B77" s="41" t="str">
        <f>IF(Base!F75="","",Base!F75)</f>
        <v>JUAN DIEGO ALEXIS  GARCES  MUÑOZ</v>
      </c>
      <c r="C77" s="41" t="str">
        <f>IF(Base!I75="","",Base!I75)</f>
        <v>Abastecimiento</v>
      </c>
      <c r="D77" s="42" t="str">
        <f>IF(Base!J75="","",Base!J75)</f>
        <v>Control Inventario I</v>
      </c>
      <c r="E77" s="41">
        <f>IF(Base!H75="","",Base!H75)</f>
        <v>1050161</v>
      </c>
      <c r="J77" s="49">
        <v>67</v>
      </c>
      <c r="K77" s="115" t="s">
        <v>696</v>
      </c>
      <c r="L77" s="111" t="str">
        <f t="shared" si="41"/>
        <v>LUIS  NARVAI  DIAZ</v>
      </c>
      <c r="M77" s="111">
        <f t="shared" si="42"/>
        <v>1050581</v>
      </c>
      <c r="N77" s="112" t="str">
        <f t="shared" si="43"/>
        <v>Abastecimiento</v>
      </c>
      <c r="O77" s="112" t="str">
        <f t="shared" si="44"/>
        <v>Almacen Insumos Pque</v>
      </c>
      <c r="P77" s="51" t="s">
        <v>1338</v>
      </c>
      <c r="Q77" s="56"/>
      <c r="R77" s="56"/>
      <c r="S77" s="56">
        <v>2</v>
      </c>
      <c r="T77" s="56"/>
      <c r="U77" s="56">
        <v>2</v>
      </c>
      <c r="V77" s="56"/>
      <c r="W77" s="56">
        <v>2</v>
      </c>
      <c r="X77" s="56"/>
      <c r="Y77" s="56">
        <v>2</v>
      </c>
      <c r="Z77" s="56"/>
      <c r="AA77" s="56"/>
      <c r="AB77" s="56"/>
      <c r="AC77" s="56"/>
      <c r="AD77" s="56"/>
      <c r="AE77" s="53">
        <f t="shared" si="30"/>
        <v>8</v>
      </c>
      <c r="AF77" s="53">
        <f t="shared" si="31"/>
        <v>0</v>
      </c>
      <c r="AG77" s="79"/>
      <c r="AL77" s="41" t="str">
        <f t="shared" si="32"/>
        <v>11.523.497-8</v>
      </c>
      <c r="AM77" s="41">
        <v>68</v>
      </c>
      <c r="AN77" s="41">
        <f t="shared" si="45"/>
        <v>0</v>
      </c>
      <c r="AO77" s="41">
        <f t="shared" si="46"/>
        <v>2</v>
      </c>
      <c r="AP77" s="41">
        <f t="shared" si="47"/>
        <v>2</v>
      </c>
      <c r="AQ77" s="41">
        <f t="shared" si="48"/>
        <v>2</v>
      </c>
      <c r="AR77" s="41">
        <f t="shared" si="49"/>
        <v>2</v>
      </c>
      <c r="AS77" s="41">
        <f t="shared" si="50"/>
        <v>0</v>
      </c>
      <c r="AT77" s="41">
        <f t="shared" si="51"/>
        <v>0</v>
      </c>
      <c r="AU77" s="55">
        <f t="shared" si="52"/>
        <v>8</v>
      </c>
      <c r="AW77" s="41">
        <f t="shared" si="33"/>
        <v>0</v>
      </c>
      <c r="AX77" s="41">
        <f t="shared" si="34"/>
        <v>0</v>
      </c>
      <c r="AY77" s="41">
        <f t="shared" si="35"/>
        <v>0</v>
      </c>
      <c r="AZ77" s="41">
        <f t="shared" si="36"/>
        <v>0</v>
      </c>
      <c r="BA77" s="41">
        <f t="shared" si="37"/>
        <v>0</v>
      </c>
      <c r="BB77" s="41">
        <f t="shared" si="38"/>
        <v>0</v>
      </c>
      <c r="BC77" s="41">
        <f t="shared" si="39"/>
        <v>0</v>
      </c>
      <c r="BD77" s="55">
        <f t="shared" si="40"/>
        <v>0</v>
      </c>
      <c r="BF77" s="41">
        <f t="shared" si="53"/>
        <v>8</v>
      </c>
    </row>
    <row r="78" spans="1:58" ht="13.5">
      <c r="A78" s="41" t="str">
        <f>IF(Base!B76="","",Base!B76)</f>
        <v>09.048.185-1</v>
      </c>
      <c r="B78" s="41" t="str">
        <f>IF(Base!F76="","",Base!F76)</f>
        <v>PABLO HORACIO  GARCIA  DIAZ</v>
      </c>
      <c r="C78" s="41" t="str">
        <f>IF(Base!I76="","",Base!I76)</f>
        <v>Abastecimiento</v>
      </c>
      <c r="D78" s="42" t="str">
        <f>IF(Base!J76="","",Base!J76)</f>
        <v>Control Inventario I</v>
      </c>
      <c r="E78" s="41">
        <f>IF(Base!H76="","",Base!H76)</f>
        <v>1050126</v>
      </c>
      <c r="J78" s="49">
        <v>68</v>
      </c>
      <c r="K78" s="115" t="s">
        <v>699</v>
      </c>
      <c r="L78" s="111" t="str">
        <f t="shared" si="41"/>
        <v>JORGE PATRICIO  NARVAI  RIVERA</v>
      </c>
      <c r="M78" s="111">
        <f t="shared" si="42"/>
        <v>1050126</v>
      </c>
      <c r="N78" s="112" t="str">
        <f t="shared" si="43"/>
        <v>Abastecimiento</v>
      </c>
      <c r="O78" s="112" t="str">
        <f t="shared" si="44"/>
        <v>Control Ingresos Cen</v>
      </c>
      <c r="P78" s="51" t="s">
        <v>1322</v>
      </c>
      <c r="Q78" s="56"/>
      <c r="R78" s="49"/>
      <c r="S78" s="56"/>
      <c r="T78" s="49"/>
      <c r="U78" s="56"/>
      <c r="V78" s="49"/>
      <c r="W78" s="56"/>
      <c r="X78" s="49"/>
      <c r="Y78" s="56"/>
      <c r="Z78" s="49"/>
      <c r="AA78" s="56"/>
      <c r="AB78" s="49"/>
      <c r="AC78" s="56"/>
      <c r="AD78" s="49"/>
      <c r="AE78" s="53">
        <f t="shared" si="30"/>
        <v>0</v>
      </c>
      <c r="AF78" s="53">
        <f t="shared" si="31"/>
        <v>0</v>
      </c>
      <c r="AG78" s="77" t="s">
        <v>1373</v>
      </c>
      <c r="AL78" s="41" t="str">
        <f t="shared" si="32"/>
        <v>07.481.602-9</v>
      </c>
      <c r="AM78" s="41">
        <v>69</v>
      </c>
      <c r="AN78" s="41">
        <f t="shared" si="45"/>
        <v>0</v>
      </c>
      <c r="AO78" s="41">
        <f t="shared" si="46"/>
        <v>0</v>
      </c>
      <c r="AP78" s="41">
        <f t="shared" si="47"/>
        <v>0</v>
      </c>
      <c r="AQ78" s="41">
        <f t="shared" si="48"/>
        <v>0</v>
      </c>
      <c r="AR78" s="41">
        <f t="shared" si="49"/>
        <v>0</v>
      </c>
      <c r="AS78" s="41">
        <f t="shared" si="50"/>
        <v>0</v>
      </c>
      <c r="AT78" s="41">
        <f t="shared" si="51"/>
        <v>0</v>
      </c>
      <c r="AU78" s="55">
        <f t="shared" si="52"/>
        <v>0</v>
      </c>
      <c r="AW78" s="41">
        <f t="shared" si="33"/>
        <v>0</v>
      </c>
      <c r="AX78" s="41">
        <f t="shared" si="34"/>
        <v>0</v>
      </c>
      <c r="AY78" s="41">
        <f t="shared" si="35"/>
        <v>0</v>
      </c>
      <c r="AZ78" s="41">
        <f t="shared" si="36"/>
        <v>0</v>
      </c>
      <c r="BA78" s="41">
        <f t="shared" si="37"/>
        <v>0</v>
      </c>
      <c r="BB78" s="41">
        <f t="shared" si="38"/>
        <v>0</v>
      </c>
      <c r="BC78" s="41">
        <f t="shared" si="39"/>
        <v>0</v>
      </c>
      <c r="BD78" s="55">
        <f t="shared" si="40"/>
        <v>0</v>
      </c>
      <c r="BF78" s="41">
        <f t="shared" si="53"/>
        <v>0</v>
      </c>
    </row>
    <row r="79" spans="1:58" ht="14.25">
      <c r="A79" s="41" t="str">
        <f>IF(Base!B77="","",Base!B77)</f>
        <v>13.486.907-0</v>
      </c>
      <c r="B79" s="41" t="str">
        <f>IF(Base!F77="","",Base!F77)</f>
        <v>MIGUEL  MALDONADO  DIAZ</v>
      </c>
      <c r="C79" s="41" t="str">
        <f>IF(Base!I77="","",Base!I77)</f>
        <v>Abastecimiento</v>
      </c>
      <c r="D79" s="42" t="str">
        <f>IF(Base!J77="","",Base!J77)</f>
        <v>Control y Gestión (marcado cajas)</v>
      </c>
      <c r="E79" s="41">
        <f>IF(Base!H77="","",Base!H77)</f>
        <v>1050161</v>
      </c>
      <c r="J79" s="49">
        <v>69</v>
      </c>
      <c r="K79" s="115" t="s">
        <v>1419</v>
      </c>
      <c r="L79" s="111" t="str">
        <f t="shared" si="41"/>
        <v>NICOLAS NARVAI ZUBICUETA</v>
      </c>
      <c r="M79" s="111">
        <f t="shared" si="42"/>
        <v>1050633</v>
      </c>
      <c r="N79" s="112" t="str">
        <f t="shared" si="43"/>
        <v>Abastecimiento</v>
      </c>
      <c r="O79" s="112" t="str">
        <f t="shared" si="44"/>
        <v>Operario Almacenamiento</v>
      </c>
      <c r="P79" s="51" t="s">
        <v>1324</v>
      </c>
      <c r="Q79" s="56"/>
      <c r="R79" s="49"/>
      <c r="S79" s="56"/>
      <c r="T79" s="49"/>
      <c r="U79" s="56"/>
      <c r="V79" s="49"/>
      <c r="W79" s="56"/>
      <c r="X79" s="49"/>
      <c r="Y79" s="56"/>
      <c r="Z79" s="49"/>
      <c r="AA79" s="56"/>
      <c r="AB79" s="49"/>
      <c r="AC79" s="56"/>
      <c r="AD79" s="49"/>
      <c r="AE79" s="53">
        <f t="shared" si="30"/>
        <v>0</v>
      </c>
      <c r="AF79" s="53">
        <f t="shared" si="31"/>
        <v>0</v>
      </c>
      <c r="AG79" s="80" t="s">
        <v>1366</v>
      </c>
      <c r="AL79" s="41" t="str">
        <f t="shared" si="32"/>
        <v>14005685-7</v>
      </c>
      <c r="AM79" s="41">
        <v>70</v>
      </c>
      <c r="AN79" s="41">
        <f t="shared" si="45"/>
        <v>0</v>
      </c>
      <c r="AO79" s="41">
        <f t="shared" si="46"/>
        <v>0</v>
      </c>
      <c r="AP79" s="41">
        <f t="shared" si="47"/>
        <v>0</v>
      </c>
      <c r="AQ79" s="41">
        <f t="shared" si="48"/>
        <v>0</v>
      </c>
      <c r="AR79" s="41">
        <f t="shared" si="49"/>
        <v>0</v>
      </c>
      <c r="AS79" s="41">
        <f t="shared" si="50"/>
        <v>0</v>
      </c>
      <c r="AT79" s="41">
        <f t="shared" si="51"/>
        <v>0</v>
      </c>
      <c r="AU79" s="55">
        <f t="shared" si="52"/>
        <v>0</v>
      </c>
      <c r="AW79" s="41">
        <f t="shared" si="33"/>
        <v>0</v>
      </c>
      <c r="AX79" s="41">
        <f t="shared" si="34"/>
        <v>0</v>
      </c>
      <c r="AY79" s="41">
        <f t="shared" si="35"/>
        <v>0</v>
      </c>
      <c r="AZ79" s="41">
        <f t="shared" si="36"/>
        <v>0</v>
      </c>
      <c r="BA79" s="41">
        <f t="shared" si="37"/>
        <v>0</v>
      </c>
      <c r="BB79" s="41">
        <f t="shared" si="38"/>
        <v>0</v>
      </c>
      <c r="BC79" s="41">
        <f t="shared" si="39"/>
        <v>0</v>
      </c>
      <c r="BD79" s="55">
        <f t="shared" si="40"/>
        <v>0</v>
      </c>
      <c r="BF79" s="41">
        <f t="shared" si="53"/>
        <v>0</v>
      </c>
    </row>
    <row r="80" spans="1:58" ht="13.5">
      <c r="A80" s="41" t="str">
        <f>IF(Base!B78="","",Base!B78)</f>
        <v>09.068.490-6</v>
      </c>
      <c r="B80" s="41" t="str">
        <f>IF(Base!F78="","",Base!F78)</f>
        <v>DARIO RODOLFO  GONZALEZ  DEL VALLE</v>
      </c>
      <c r="C80" s="41" t="str">
        <f>IF(Base!I78="","",Base!I78)</f>
        <v>Abastecimiento</v>
      </c>
      <c r="D80" s="42" t="str">
        <f>IF(Base!J78="","",Base!J78)</f>
        <v>Almacen Insumos Pque</v>
      </c>
      <c r="E80" s="41">
        <f>IF(Base!H78="","",Base!H78)</f>
        <v>1050581</v>
      </c>
      <c r="J80" s="49">
        <v>70</v>
      </c>
      <c r="K80" s="115" t="s">
        <v>842</v>
      </c>
      <c r="L80" s="111" t="str">
        <f t="shared" si="41"/>
        <v>MAURICIO  NOVA  FIGUEROA</v>
      </c>
      <c r="M80" s="111">
        <f t="shared" si="42"/>
        <v>1050161</v>
      </c>
      <c r="N80" s="112" t="str">
        <f t="shared" si="43"/>
        <v>Abastecimiento</v>
      </c>
      <c r="O80" s="112" t="str">
        <f t="shared" si="44"/>
        <v>Analista de Inventario</v>
      </c>
      <c r="P80" s="51" t="s">
        <v>1338</v>
      </c>
      <c r="Q80" s="56"/>
      <c r="R80" s="49"/>
      <c r="S80" s="56"/>
      <c r="T80" s="49"/>
      <c r="U80" s="56">
        <v>3</v>
      </c>
      <c r="V80" s="49"/>
      <c r="W80" s="56"/>
      <c r="X80" s="49"/>
      <c r="Y80" s="56">
        <v>2</v>
      </c>
      <c r="Z80" s="49"/>
      <c r="AA80" s="56">
        <v>6.5</v>
      </c>
      <c r="AB80" s="49"/>
      <c r="AC80" s="56"/>
      <c r="AD80" s="49"/>
      <c r="AE80" s="53">
        <f t="shared" si="30"/>
        <v>11.5</v>
      </c>
      <c r="AF80" s="53">
        <f t="shared" si="31"/>
        <v>0</v>
      </c>
      <c r="AG80" s="76"/>
      <c r="AL80" s="41" t="str">
        <f t="shared" si="32"/>
        <v>12.051.254-4</v>
      </c>
      <c r="AM80" s="41">
        <v>71</v>
      </c>
      <c r="AN80" s="41">
        <f t="shared" si="45"/>
        <v>0</v>
      </c>
      <c r="AO80" s="41">
        <f t="shared" si="46"/>
        <v>0</v>
      </c>
      <c r="AP80" s="41">
        <f t="shared" si="47"/>
        <v>3</v>
      </c>
      <c r="AQ80" s="41">
        <f t="shared" si="48"/>
        <v>0</v>
      </c>
      <c r="AR80" s="41">
        <f t="shared" si="49"/>
        <v>2</v>
      </c>
      <c r="AS80" s="41">
        <f t="shared" si="50"/>
        <v>6.5</v>
      </c>
      <c r="AT80" s="41">
        <f t="shared" si="51"/>
        <v>0</v>
      </c>
      <c r="AU80" s="55">
        <f t="shared" si="52"/>
        <v>11.5</v>
      </c>
      <c r="AW80" s="41">
        <f t="shared" si="33"/>
        <v>0</v>
      </c>
      <c r="AX80" s="41">
        <f t="shared" si="34"/>
        <v>0</v>
      </c>
      <c r="AY80" s="41">
        <f t="shared" si="35"/>
        <v>0</v>
      </c>
      <c r="AZ80" s="41">
        <f t="shared" si="36"/>
        <v>0</v>
      </c>
      <c r="BA80" s="41">
        <f t="shared" si="37"/>
        <v>0</v>
      </c>
      <c r="BB80" s="41">
        <f t="shared" si="38"/>
        <v>0</v>
      </c>
      <c r="BC80" s="41">
        <f t="shared" si="39"/>
        <v>0</v>
      </c>
      <c r="BD80" s="55">
        <f t="shared" si="40"/>
        <v>0</v>
      </c>
      <c r="BF80" s="41">
        <f t="shared" si="53"/>
        <v>11.5</v>
      </c>
    </row>
    <row r="81" spans="1:58" ht="13.5">
      <c r="A81" s="41" t="str">
        <f>IF(Base!B79="","",Base!B79)</f>
        <v>07.975.267-3</v>
      </c>
      <c r="B81" s="41" t="str">
        <f>IF(Base!F79="","",Base!F79)</f>
        <v>GLORIA  GONZALEZ  MASIAS</v>
      </c>
      <c r="C81" s="41" t="str">
        <f>IF(Base!I79="","",Base!I79)</f>
        <v>Linea 7</v>
      </c>
      <c r="D81" s="42" t="str">
        <f>IF(Base!J79="","",Base!J79)</f>
        <v>Inspector etiqueta</v>
      </c>
      <c r="E81" s="41">
        <f>IF(Base!H79="","",Base!H79)</f>
        <v>1050616</v>
      </c>
      <c r="J81" s="49">
        <v>71</v>
      </c>
      <c r="K81" s="115" t="s">
        <v>736</v>
      </c>
      <c r="L81" s="111" t="str">
        <f t="shared" si="41"/>
        <v>JULIO HERNAN  OYANEDEL  COFRE</v>
      </c>
      <c r="M81" s="111">
        <f t="shared" si="42"/>
        <v>1050581</v>
      </c>
      <c r="N81" s="112" t="str">
        <f t="shared" si="43"/>
        <v>Abastecimiento</v>
      </c>
      <c r="O81" s="112" t="str">
        <f t="shared" si="44"/>
        <v>Almacen Insumos Pque</v>
      </c>
      <c r="P81" s="51" t="s">
        <v>4</v>
      </c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3">
        <f t="shared" si="30"/>
        <v>0</v>
      </c>
      <c r="AF81" s="53">
        <f t="shared" si="31"/>
        <v>0</v>
      </c>
      <c r="AG81" s="76"/>
      <c r="AL81" s="41" t="str">
        <f t="shared" si="32"/>
        <v>13.681.026-K</v>
      </c>
      <c r="AM81" s="41">
        <v>72</v>
      </c>
      <c r="AN81" s="41">
        <f t="shared" si="45"/>
        <v>0</v>
      </c>
      <c r="AO81" s="41">
        <f t="shared" si="46"/>
        <v>0</v>
      </c>
      <c r="AP81" s="41">
        <f t="shared" si="47"/>
        <v>0</v>
      </c>
      <c r="AQ81" s="41">
        <f t="shared" si="48"/>
        <v>0</v>
      </c>
      <c r="AR81" s="41">
        <f t="shared" si="49"/>
        <v>0</v>
      </c>
      <c r="AS81" s="41">
        <f t="shared" si="50"/>
        <v>0</v>
      </c>
      <c r="AT81" s="41">
        <f t="shared" si="51"/>
        <v>0</v>
      </c>
      <c r="AU81" s="55">
        <f t="shared" si="52"/>
        <v>0</v>
      </c>
      <c r="AW81" s="41">
        <f t="shared" si="33"/>
        <v>0</v>
      </c>
      <c r="AX81" s="41">
        <f t="shared" si="34"/>
        <v>0</v>
      </c>
      <c r="AY81" s="41">
        <f t="shared" si="35"/>
        <v>0</v>
      </c>
      <c r="AZ81" s="41">
        <f t="shared" si="36"/>
        <v>0</v>
      </c>
      <c r="BA81" s="41">
        <f t="shared" si="37"/>
        <v>0</v>
      </c>
      <c r="BB81" s="41">
        <f t="shared" si="38"/>
        <v>0</v>
      </c>
      <c r="BC81" s="41">
        <f t="shared" si="39"/>
        <v>0</v>
      </c>
      <c r="BD81" s="55">
        <f t="shared" si="40"/>
        <v>0</v>
      </c>
      <c r="BF81" s="41">
        <f t="shared" si="53"/>
        <v>0</v>
      </c>
    </row>
    <row r="82" spans="1:58" ht="13.5">
      <c r="A82" s="41" t="str">
        <f>IF(Base!B80="","",Base!B80)</f>
        <v>08.962.599-8</v>
      </c>
      <c r="B82" s="41" t="str">
        <f>IF(Base!F80="","",Base!F80)</f>
        <v>HUGO SIMON  GONZALEZ  MUÑOZ</v>
      </c>
      <c r="C82" s="41" t="str">
        <f>IF(Base!I80="","",Base!I80)</f>
        <v>Linea 3</v>
      </c>
      <c r="D82" s="42" t="str">
        <f>IF(Base!J80="","",Base!J80)</f>
        <v>Embalador</v>
      </c>
      <c r="E82" s="41">
        <f>IF(Base!H80="","",Base!H80)</f>
        <v>1050556</v>
      </c>
      <c r="J82" s="49">
        <v>72</v>
      </c>
      <c r="K82" s="115" t="s">
        <v>742</v>
      </c>
      <c r="L82" s="111" t="str">
        <f t="shared" si="41"/>
        <v>CARLOS EUGENIO  OYARCE  DIAZ</v>
      </c>
      <c r="M82" s="111">
        <f t="shared" si="42"/>
        <v>1050126</v>
      </c>
      <c r="N82" s="112" t="str">
        <f t="shared" si="43"/>
        <v>Abastecimiento</v>
      </c>
      <c r="O82" s="112" t="str">
        <f t="shared" si="44"/>
        <v>Control Ingresos Cen</v>
      </c>
      <c r="P82" s="51" t="s">
        <v>4</v>
      </c>
      <c r="Q82" s="56"/>
      <c r="R82" s="56"/>
      <c r="S82" s="56">
        <v>2.5</v>
      </c>
      <c r="T82" s="56"/>
      <c r="U82" s="56">
        <v>2</v>
      </c>
      <c r="V82" s="56"/>
      <c r="W82" s="56"/>
      <c r="X82" s="56"/>
      <c r="Y82" s="56"/>
      <c r="Z82" s="56"/>
      <c r="AA82" s="56"/>
      <c r="AB82" s="56"/>
      <c r="AC82" s="56"/>
      <c r="AD82" s="56"/>
      <c r="AE82" s="53">
        <f t="shared" si="30"/>
        <v>4.5</v>
      </c>
      <c r="AF82" s="53">
        <f t="shared" si="31"/>
        <v>0</v>
      </c>
      <c r="AG82" s="76" t="s">
        <v>1361</v>
      </c>
      <c r="AL82" s="41" t="str">
        <f t="shared" si="32"/>
        <v>14.017.495-5</v>
      </c>
      <c r="AM82" s="41">
        <v>73</v>
      </c>
      <c r="AN82" s="41">
        <f t="shared" si="45"/>
        <v>0</v>
      </c>
      <c r="AO82" s="41">
        <f t="shared" si="46"/>
        <v>2.5</v>
      </c>
      <c r="AP82" s="41">
        <f t="shared" si="47"/>
        <v>2</v>
      </c>
      <c r="AQ82" s="41">
        <f t="shared" si="48"/>
        <v>0</v>
      </c>
      <c r="AR82" s="41">
        <f t="shared" si="49"/>
        <v>0</v>
      </c>
      <c r="AS82" s="41">
        <f t="shared" si="50"/>
        <v>0</v>
      </c>
      <c r="AT82" s="41">
        <f t="shared" si="51"/>
        <v>0</v>
      </c>
      <c r="AU82" s="55">
        <f t="shared" si="52"/>
        <v>4.5</v>
      </c>
      <c r="AW82" s="41">
        <f t="shared" si="33"/>
        <v>0</v>
      </c>
      <c r="AX82" s="41">
        <f t="shared" si="34"/>
        <v>0</v>
      </c>
      <c r="AY82" s="41">
        <f t="shared" si="35"/>
        <v>0</v>
      </c>
      <c r="AZ82" s="41">
        <f t="shared" si="36"/>
        <v>0</v>
      </c>
      <c r="BA82" s="41">
        <f t="shared" si="37"/>
        <v>0</v>
      </c>
      <c r="BB82" s="41">
        <f t="shared" si="38"/>
        <v>0</v>
      </c>
      <c r="BC82" s="41">
        <f t="shared" si="39"/>
        <v>0</v>
      </c>
      <c r="BD82" s="55">
        <f t="shared" si="40"/>
        <v>0</v>
      </c>
      <c r="BF82" s="41">
        <f t="shared" si="53"/>
        <v>4.5</v>
      </c>
    </row>
    <row r="83" spans="1:58" ht="13.5">
      <c r="A83" s="41" t="str">
        <f>IF(Base!B81="","",Base!B81)</f>
        <v>05.921.603-1</v>
      </c>
      <c r="B83" s="41" t="str">
        <f>IF(Base!F81="","",Base!F81)</f>
        <v>JUAN MANUEL  GUERRERO  MONTANO</v>
      </c>
      <c r="C83" s="41" t="str">
        <f>IF(Base!I81="","",Base!I81)</f>
        <v>Aseo</v>
      </c>
      <c r="D83" s="42" t="str">
        <f>IF(Base!J81="","",Base!J81)</f>
        <v>Aseo</v>
      </c>
      <c r="E83" s="41">
        <f>IF(Base!H81="","",Base!H81)</f>
        <v>1050632</v>
      </c>
      <c r="J83" s="49">
        <v>73</v>
      </c>
      <c r="K83" s="115" t="s">
        <v>784</v>
      </c>
      <c r="L83" s="111" t="str">
        <f t="shared" si="41"/>
        <v>RODRIGO ALEJANDRO  PEREZ  PADILLA</v>
      </c>
      <c r="M83" s="111">
        <f t="shared" si="42"/>
        <v>1050127</v>
      </c>
      <c r="N83" s="112" t="str">
        <f t="shared" si="43"/>
        <v>Abastecimiento</v>
      </c>
      <c r="O83" s="112" t="str">
        <f t="shared" si="44"/>
        <v>Preparación de Insum</v>
      </c>
      <c r="P83" s="51" t="s">
        <v>4</v>
      </c>
      <c r="Q83" s="56">
        <v>2</v>
      </c>
      <c r="R83" s="49"/>
      <c r="S83" s="56">
        <v>2</v>
      </c>
      <c r="T83" s="49"/>
      <c r="U83" s="56"/>
      <c r="V83" s="49"/>
      <c r="W83" s="56">
        <v>2</v>
      </c>
      <c r="X83" s="49"/>
      <c r="Y83" s="56">
        <v>2</v>
      </c>
      <c r="Z83" s="49"/>
      <c r="AA83" s="56"/>
      <c r="AB83" s="49"/>
      <c r="AC83" s="56"/>
      <c r="AD83" s="49"/>
      <c r="AE83" s="53">
        <f t="shared" si="30"/>
        <v>8</v>
      </c>
      <c r="AF83" s="53">
        <f t="shared" si="31"/>
        <v>0</v>
      </c>
      <c r="AG83" s="76"/>
      <c r="AL83" s="41" t="str">
        <f t="shared" si="32"/>
        <v>16.266.817-K</v>
      </c>
      <c r="AM83" s="41">
        <v>74</v>
      </c>
      <c r="AN83" s="41">
        <f t="shared" si="45"/>
        <v>2</v>
      </c>
      <c r="AO83" s="41">
        <f t="shared" si="46"/>
        <v>2</v>
      </c>
      <c r="AP83" s="41">
        <f t="shared" si="47"/>
        <v>0</v>
      </c>
      <c r="AQ83" s="41">
        <f t="shared" si="48"/>
        <v>2</v>
      </c>
      <c r="AR83" s="41">
        <f t="shared" si="49"/>
        <v>2</v>
      </c>
      <c r="AS83" s="41">
        <f t="shared" si="50"/>
        <v>0</v>
      </c>
      <c r="AT83" s="41">
        <f t="shared" si="51"/>
        <v>0</v>
      </c>
      <c r="AU83" s="55">
        <f t="shared" si="52"/>
        <v>8</v>
      </c>
      <c r="AW83" s="41">
        <f t="shared" si="33"/>
        <v>0</v>
      </c>
      <c r="AX83" s="41">
        <f t="shared" si="34"/>
        <v>0</v>
      </c>
      <c r="AY83" s="41">
        <f t="shared" si="35"/>
        <v>0</v>
      </c>
      <c r="AZ83" s="41">
        <f t="shared" si="36"/>
        <v>0</v>
      </c>
      <c r="BA83" s="41">
        <f t="shared" si="37"/>
        <v>0</v>
      </c>
      <c r="BB83" s="41">
        <f t="shared" si="38"/>
        <v>0</v>
      </c>
      <c r="BC83" s="41">
        <f t="shared" si="39"/>
        <v>0</v>
      </c>
      <c r="BD83" s="55">
        <f t="shared" si="40"/>
        <v>0</v>
      </c>
      <c r="BF83" s="41">
        <f t="shared" si="53"/>
        <v>8</v>
      </c>
    </row>
    <row r="84" spans="1:58" ht="13.5">
      <c r="A84" s="41" t="str">
        <f>IF(Base!B82="","",Base!B82)</f>
        <v>09.748.915-7</v>
      </c>
      <c r="B84" s="41" t="str">
        <f>IF(Base!F82="","",Base!F82)</f>
        <v>VICTOR MANUEL  HENRIQUEZ  FLORES</v>
      </c>
      <c r="C84" s="41" t="str">
        <f>IF(Base!I82="","",Base!I82)</f>
        <v>Abastecimiento</v>
      </c>
      <c r="D84" s="42" t="str">
        <f>IF(Base!J82="","",Base!J82)</f>
        <v>Control Inventario I</v>
      </c>
      <c r="E84" s="41">
        <f>IF(Base!H82="","",Base!H82)</f>
        <v>1050161</v>
      </c>
      <c r="J84" s="49">
        <v>74</v>
      </c>
      <c r="K84" s="115" t="s">
        <v>1351</v>
      </c>
      <c r="L84" s="111" t="str">
        <f t="shared" si="41"/>
        <v>SEBASTIAN PEREZ</v>
      </c>
      <c r="M84" s="111">
        <f t="shared" si="42"/>
        <v>1050506</v>
      </c>
      <c r="N84" s="112" t="str">
        <f t="shared" si="43"/>
        <v>Abastecimiento</v>
      </c>
      <c r="O84" s="112" t="str">
        <f t="shared" si="44"/>
        <v>Operario Almacenamiento</v>
      </c>
      <c r="P84" s="51" t="s">
        <v>1338</v>
      </c>
      <c r="Q84" s="56"/>
      <c r="R84" s="49"/>
      <c r="S84" s="56"/>
      <c r="T84" s="49"/>
      <c r="U84" s="56"/>
      <c r="V84" s="49"/>
      <c r="W84" s="56"/>
      <c r="X84" s="49"/>
      <c r="Y84" s="56"/>
      <c r="Z84" s="49"/>
      <c r="AA84" s="56"/>
      <c r="AB84" s="49"/>
      <c r="AC84" s="56"/>
      <c r="AD84" s="49"/>
      <c r="AE84" s="53">
        <f t="shared" si="30"/>
        <v>0</v>
      </c>
      <c r="AF84" s="53">
        <f t="shared" si="31"/>
        <v>0</v>
      </c>
      <c r="AG84" s="76"/>
      <c r="AL84" s="41" t="str">
        <f t="shared" si="32"/>
        <v>23.040.236-1</v>
      </c>
      <c r="AM84" s="41">
        <v>75</v>
      </c>
      <c r="AN84" s="41">
        <f t="shared" si="45"/>
        <v>0</v>
      </c>
      <c r="AO84" s="41">
        <f t="shared" si="46"/>
        <v>0</v>
      </c>
      <c r="AP84" s="41">
        <f t="shared" si="47"/>
        <v>0</v>
      </c>
      <c r="AQ84" s="41">
        <f t="shared" si="48"/>
        <v>0</v>
      </c>
      <c r="AR84" s="41">
        <f t="shared" si="49"/>
        <v>0</v>
      </c>
      <c r="AS84" s="41">
        <f t="shared" si="50"/>
        <v>0</v>
      </c>
      <c r="AT84" s="41">
        <f t="shared" si="51"/>
        <v>0</v>
      </c>
      <c r="AU84" s="55">
        <f t="shared" si="52"/>
        <v>0</v>
      </c>
      <c r="AW84" s="41">
        <f t="shared" si="33"/>
        <v>0</v>
      </c>
      <c r="AX84" s="41">
        <f t="shared" si="34"/>
        <v>0</v>
      </c>
      <c r="AY84" s="41">
        <f t="shared" si="35"/>
        <v>0</v>
      </c>
      <c r="AZ84" s="41">
        <f t="shared" si="36"/>
        <v>0</v>
      </c>
      <c r="BA84" s="41">
        <f t="shared" si="37"/>
        <v>0</v>
      </c>
      <c r="BB84" s="41">
        <f t="shared" si="38"/>
        <v>0</v>
      </c>
      <c r="BC84" s="41">
        <f t="shared" si="39"/>
        <v>0</v>
      </c>
      <c r="BD84" s="55">
        <f t="shared" si="40"/>
        <v>0</v>
      </c>
      <c r="BF84" s="41">
        <f t="shared" si="53"/>
        <v>0</v>
      </c>
    </row>
    <row r="85" spans="1:58" ht="13.5">
      <c r="A85" s="41" t="str">
        <f>IF(Base!B83="","",Base!B83)</f>
        <v>09.989.723-6</v>
      </c>
      <c r="B85" s="41" t="str">
        <f>IF(Base!F83="","",Base!F83)</f>
        <v>FRANKLIN LEONEL  HERNANDEZ  CESPEDES</v>
      </c>
      <c r="C85" s="41" t="str">
        <f>IF(Base!I83="","",Base!I83)</f>
        <v>Abastecimiento</v>
      </c>
      <c r="D85" s="42" t="str">
        <f>IF(Base!J83="","",Base!J83)</f>
        <v>Control Ingresos Cen</v>
      </c>
      <c r="E85" s="41">
        <f>IF(Base!H83="","",Base!H83)</f>
        <v>1050126</v>
      </c>
      <c r="J85" s="49">
        <v>75</v>
      </c>
      <c r="K85" s="115" t="s">
        <v>800</v>
      </c>
      <c r="L85" s="111" t="str">
        <f t="shared" si="41"/>
        <v>ROBERTO  PINEDA  PEREZ</v>
      </c>
      <c r="M85" s="111">
        <f t="shared" si="42"/>
        <v>1050126</v>
      </c>
      <c r="N85" s="112" t="str">
        <f t="shared" si="43"/>
        <v>Abastecimiento</v>
      </c>
      <c r="O85" s="112" t="str">
        <f t="shared" si="44"/>
        <v>Control Ingresos Cen</v>
      </c>
      <c r="P85" s="51" t="s">
        <v>1338</v>
      </c>
      <c r="Q85" s="56"/>
      <c r="R85" s="49"/>
      <c r="S85" s="56"/>
      <c r="T85" s="49"/>
      <c r="U85" s="56"/>
      <c r="V85" s="49"/>
      <c r="W85" s="56">
        <v>1</v>
      </c>
      <c r="X85" s="49"/>
      <c r="Y85" s="56">
        <v>1</v>
      </c>
      <c r="Z85" s="49"/>
      <c r="AA85" s="56"/>
      <c r="AB85" s="49"/>
      <c r="AC85" s="56"/>
      <c r="AD85" s="49"/>
      <c r="AE85" s="53">
        <f t="shared" ref="AE85:AE148" si="54">SUM(Q85,S85,U85,W85,Y85,AA85,AC85)</f>
        <v>2</v>
      </c>
      <c r="AF85" s="53">
        <f t="shared" ref="AF85:AF148" si="55">SUM(R85,T85,V85,X85,Z85,AB85,AD85)</f>
        <v>0</v>
      </c>
      <c r="AG85" s="77" t="s">
        <v>1360</v>
      </c>
      <c r="AL85" s="41" t="str">
        <f t="shared" si="32"/>
        <v>12.020.450-5</v>
      </c>
      <c r="AM85" s="41">
        <v>76</v>
      </c>
      <c r="AN85" s="41">
        <f t="shared" si="45"/>
        <v>0</v>
      </c>
      <c r="AO85" s="41">
        <f t="shared" si="46"/>
        <v>0</v>
      </c>
      <c r="AP85" s="41">
        <f t="shared" si="47"/>
        <v>0</v>
      </c>
      <c r="AQ85" s="41">
        <f t="shared" si="48"/>
        <v>1</v>
      </c>
      <c r="AR85" s="41">
        <f t="shared" si="49"/>
        <v>1</v>
      </c>
      <c r="AS85" s="41">
        <f t="shared" si="50"/>
        <v>0</v>
      </c>
      <c r="AT85" s="41">
        <f t="shared" si="51"/>
        <v>0</v>
      </c>
      <c r="AU85" s="55">
        <f t="shared" si="52"/>
        <v>2</v>
      </c>
      <c r="AW85" s="41">
        <f t="shared" si="33"/>
        <v>0</v>
      </c>
      <c r="AX85" s="41">
        <f t="shared" si="34"/>
        <v>0</v>
      </c>
      <c r="AY85" s="41">
        <f t="shared" si="35"/>
        <v>0</v>
      </c>
      <c r="AZ85" s="41">
        <f t="shared" si="36"/>
        <v>0</v>
      </c>
      <c r="BA85" s="41">
        <f t="shared" si="37"/>
        <v>0</v>
      </c>
      <c r="BB85" s="41">
        <f t="shared" si="38"/>
        <v>0</v>
      </c>
      <c r="BC85" s="41">
        <f t="shared" si="39"/>
        <v>0</v>
      </c>
      <c r="BD85" s="55">
        <f t="shared" si="40"/>
        <v>0</v>
      </c>
      <c r="BF85" s="41">
        <f t="shared" si="53"/>
        <v>2</v>
      </c>
    </row>
    <row r="86" spans="1:58" ht="13.5">
      <c r="A86" s="41" t="str">
        <f>IF(Base!B84="","",Base!B84)</f>
        <v>10.199.755-3</v>
      </c>
      <c r="B86" s="41" t="str">
        <f>IF(Base!F84="","",Base!F84)</f>
        <v>QUINTIN ROBERTO  HERNANDEZ  GONZALEZ</v>
      </c>
      <c r="C86" s="41" t="str">
        <f>IF(Base!I84="","",Base!I84)</f>
        <v>Abastecimiento</v>
      </c>
      <c r="D86" s="42" t="str">
        <f>IF(Base!J84="","",Base!J84)</f>
        <v>Suministro de Líneas</v>
      </c>
      <c r="E86" s="41">
        <f>IF(Base!H84="","",Base!H84)</f>
        <v>1050633</v>
      </c>
      <c r="J86" s="49">
        <v>76</v>
      </c>
      <c r="K86" s="115" t="s">
        <v>819</v>
      </c>
      <c r="L86" s="111" t="str">
        <f t="shared" si="41"/>
        <v>MIGUEL ANTONIO  PLAZA  ARAYA</v>
      </c>
      <c r="M86" s="111">
        <f t="shared" si="42"/>
        <v>1050633</v>
      </c>
      <c r="N86" s="112" t="str">
        <f t="shared" si="43"/>
        <v>Abastecimiento</v>
      </c>
      <c r="O86" s="112" t="str">
        <f t="shared" si="44"/>
        <v>Suministro de Líneas</v>
      </c>
      <c r="P86" s="51" t="s">
        <v>1324</v>
      </c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3">
        <f t="shared" si="54"/>
        <v>0</v>
      </c>
      <c r="AF86" s="53">
        <f t="shared" si="55"/>
        <v>0</v>
      </c>
      <c r="AG86" s="76" t="s">
        <v>1366</v>
      </c>
      <c r="AL86" s="41" t="str">
        <f t="shared" si="32"/>
        <v>15.444.951-5</v>
      </c>
      <c r="AM86" s="41">
        <v>77</v>
      </c>
      <c r="AN86" s="41">
        <f t="shared" si="45"/>
        <v>0</v>
      </c>
      <c r="AO86" s="41">
        <f t="shared" si="46"/>
        <v>0</v>
      </c>
      <c r="AP86" s="41">
        <f t="shared" si="47"/>
        <v>0</v>
      </c>
      <c r="AQ86" s="41">
        <f t="shared" si="48"/>
        <v>0</v>
      </c>
      <c r="AR86" s="41">
        <f t="shared" si="49"/>
        <v>0</v>
      </c>
      <c r="AS86" s="41">
        <f t="shared" si="50"/>
        <v>0</v>
      </c>
      <c r="AT86" s="41">
        <f t="shared" si="51"/>
        <v>0</v>
      </c>
      <c r="AU86" s="55">
        <f t="shared" si="52"/>
        <v>0</v>
      </c>
      <c r="AW86" s="41">
        <f t="shared" si="33"/>
        <v>0</v>
      </c>
      <c r="AX86" s="41">
        <f t="shared" si="34"/>
        <v>0</v>
      </c>
      <c r="AY86" s="41">
        <f t="shared" si="35"/>
        <v>0</v>
      </c>
      <c r="AZ86" s="41">
        <f t="shared" si="36"/>
        <v>0</v>
      </c>
      <c r="BA86" s="41">
        <f t="shared" si="37"/>
        <v>0</v>
      </c>
      <c r="BB86" s="41">
        <f t="shared" si="38"/>
        <v>0</v>
      </c>
      <c r="BC86" s="41">
        <f t="shared" si="39"/>
        <v>0</v>
      </c>
      <c r="BD86" s="55">
        <f t="shared" si="40"/>
        <v>0</v>
      </c>
      <c r="BF86" s="41">
        <f t="shared" si="53"/>
        <v>0</v>
      </c>
    </row>
    <row r="87" spans="1:58" ht="14.25">
      <c r="A87" s="41" t="str">
        <f>IF(Base!B85="","",Base!B85)</f>
        <v>14.336.364-3</v>
      </c>
      <c r="B87" s="41" t="str">
        <f>IF(Base!F85="","",Base!F85)</f>
        <v>ARIEL A.  HERRERA  PALMA</v>
      </c>
      <c r="C87" s="41" t="str">
        <f>IF(Base!I85="","",Base!I85)</f>
        <v>Monitor Etiquetado</v>
      </c>
      <c r="D87" s="42" t="str">
        <f>IF(Base!J85="","",Base!J85)</f>
        <v>Monitor Etiquetado</v>
      </c>
      <c r="E87" s="41">
        <f>IF(Base!H85="","",Base!H85)</f>
        <v>1050604</v>
      </c>
      <c r="J87" s="49">
        <v>77</v>
      </c>
      <c r="K87" s="115" t="s">
        <v>837</v>
      </c>
      <c r="L87" s="111" t="str">
        <f t="shared" si="41"/>
        <v>JOSE MANUEL  QUIROZ  VENEGAS</v>
      </c>
      <c r="M87" s="111">
        <f t="shared" si="42"/>
        <v>1050633</v>
      </c>
      <c r="N87" s="112" t="str">
        <f t="shared" si="43"/>
        <v>Abastecimiento</v>
      </c>
      <c r="O87" s="112" t="str">
        <f t="shared" si="44"/>
        <v>Suministro de Líneas</v>
      </c>
      <c r="P87" s="51" t="s">
        <v>1324</v>
      </c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3">
        <f t="shared" si="54"/>
        <v>0</v>
      </c>
      <c r="AF87" s="53">
        <f t="shared" si="55"/>
        <v>0</v>
      </c>
      <c r="AG87" s="78"/>
      <c r="AL87" s="41" t="str">
        <f t="shared" si="32"/>
        <v>07.721.223-K</v>
      </c>
      <c r="AM87" s="41">
        <v>78</v>
      </c>
      <c r="AN87" s="41">
        <f t="shared" si="45"/>
        <v>0</v>
      </c>
      <c r="AO87" s="41">
        <f t="shared" si="46"/>
        <v>0</v>
      </c>
      <c r="AP87" s="41">
        <f t="shared" si="47"/>
        <v>0</v>
      </c>
      <c r="AQ87" s="41">
        <f t="shared" si="48"/>
        <v>0</v>
      </c>
      <c r="AR87" s="41">
        <f t="shared" si="49"/>
        <v>0</v>
      </c>
      <c r="AS87" s="41">
        <f t="shared" si="50"/>
        <v>0</v>
      </c>
      <c r="AT87" s="41">
        <f t="shared" si="51"/>
        <v>0</v>
      </c>
      <c r="AU87" s="55">
        <f t="shared" si="52"/>
        <v>0</v>
      </c>
      <c r="AW87" s="41">
        <f t="shared" si="33"/>
        <v>0</v>
      </c>
      <c r="AX87" s="41">
        <f t="shared" si="34"/>
        <v>0</v>
      </c>
      <c r="AY87" s="41">
        <f t="shared" si="35"/>
        <v>0</v>
      </c>
      <c r="AZ87" s="41">
        <f t="shared" si="36"/>
        <v>0</v>
      </c>
      <c r="BA87" s="41">
        <f t="shared" si="37"/>
        <v>0</v>
      </c>
      <c r="BB87" s="41">
        <f t="shared" si="38"/>
        <v>0</v>
      </c>
      <c r="BC87" s="41">
        <f t="shared" si="39"/>
        <v>0</v>
      </c>
      <c r="BD87" s="55">
        <f t="shared" si="40"/>
        <v>0</v>
      </c>
      <c r="BF87" s="41">
        <f t="shared" si="53"/>
        <v>0</v>
      </c>
    </row>
    <row r="88" spans="1:58" ht="13.5">
      <c r="A88" s="41" t="str">
        <f>IF(Base!B86="","",Base!B86)</f>
        <v>9.905.897-8</v>
      </c>
      <c r="B88" s="41" t="str">
        <f>IF(Base!F86="","",Base!F86)</f>
        <v xml:space="preserve">JUAN PABLO  HERREROS   INFANTE </v>
      </c>
      <c r="C88" s="41" t="str">
        <f>IF(Base!I86="","",Base!I86)</f>
        <v>Envasado</v>
      </c>
      <c r="D88" s="42" t="str">
        <f>IF(Base!J86="","",Base!J86)</f>
        <v>Subgerente de Envasado</v>
      </c>
      <c r="E88" s="41">
        <f>IF(Base!H86="","",Base!H86)</f>
        <v>1050502</v>
      </c>
      <c r="J88" s="49">
        <v>78</v>
      </c>
      <c r="K88" s="115" t="s">
        <v>847</v>
      </c>
      <c r="L88" s="111" t="str">
        <f t="shared" si="41"/>
        <v>JOSE  RAMIREZ  ROJAS</v>
      </c>
      <c r="M88" s="111">
        <f t="shared" si="42"/>
        <v>1050127</v>
      </c>
      <c r="N88" s="112" t="str">
        <f t="shared" si="43"/>
        <v>Abastecimiento</v>
      </c>
      <c r="O88" s="112" t="str">
        <f t="shared" si="44"/>
        <v>Preparación de Insum</v>
      </c>
      <c r="P88" s="51" t="s">
        <v>4</v>
      </c>
      <c r="Q88" s="56"/>
      <c r="R88" s="49"/>
      <c r="S88" s="56">
        <v>2</v>
      </c>
      <c r="T88" s="49"/>
      <c r="U88" s="56">
        <v>2</v>
      </c>
      <c r="V88" s="49"/>
      <c r="W88" s="56"/>
      <c r="X88" s="49"/>
      <c r="Y88" s="56"/>
      <c r="Z88" s="49"/>
      <c r="AA88" s="56"/>
      <c r="AB88" s="49"/>
      <c r="AC88" s="56"/>
      <c r="AD88" s="49"/>
      <c r="AE88" s="53">
        <f t="shared" si="54"/>
        <v>4</v>
      </c>
      <c r="AF88" s="53">
        <f t="shared" si="55"/>
        <v>0</v>
      </c>
      <c r="AG88" s="76"/>
      <c r="AL88" s="41" t="str">
        <f t="shared" si="32"/>
        <v>07.913.597-6</v>
      </c>
      <c r="AM88" s="41">
        <v>79</v>
      </c>
      <c r="AN88" s="41">
        <f t="shared" si="45"/>
        <v>0</v>
      </c>
      <c r="AO88" s="41">
        <f t="shared" si="46"/>
        <v>2</v>
      </c>
      <c r="AP88" s="41">
        <f t="shared" si="47"/>
        <v>2</v>
      </c>
      <c r="AQ88" s="41">
        <f t="shared" si="48"/>
        <v>0</v>
      </c>
      <c r="AR88" s="41">
        <f t="shared" si="49"/>
        <v>0</v>
      </c>
      <c r="AS88" s="41">
        <f t="shared" si="50"/>
        <v>0</v>
      </c>
      <c r="AT88" s="41">
        <f t="shared" si="51"/>
        <v>0</v>
      </c>
      <c r="AU88" s="55">
        <f t="shared" si="52"/>
        <v>4</v>
      </c>
      <c r="AW88" s="41">
        <f t="shared" si="33"/>
        <v>0</v>
      </c>
      <c r="AX88" s="41">
        <f t="shared" si="34"/>
        <v>0</v>
      </c>
      <c r="AY88" s="41">
        <f t="shared" si="35"/>
        <v>0</v>
      </c>
      <c r="AZ88" s="41">
        <f t="shared" si="36"/>
        <v>0</v>
      </c>
      <c r="BA88" s="41">
        <f t="shared" si="37"/>
        <v>0</v>
      </c>
      <c r="BB88" s="41">
        <f t="shared" si="38"/>
        <v>0</v>
      </c>
      <c r="BC88" s="41">
        <f t="shared" si="39"/>
        <v>0</v>
      </c>
      <c r="BD88" s="55">
        <f t="shared" si="40"/>
        <v>0</v>
      </c>
      <c r="BF88" s="41">
        <f t="shared" si="53"/>
        <v>4</v>
      </c>
    </row>
    <row r="89" spans="1:58" ht="13.5">
      <c r="A89" s="41" t="str">
        <f>IF(Base!B87="","",Base!B87)</f>
        <v>11.656.057-7</v>
      </c>
      <c r="B89" s="41" t="str">
        <f>IF(Base!F87="","",Base!F87)</f>
        <v>PAOLO CESAR  IBAÑEZ  GRANIFO</v>
      </c>
      <c r="C89" s="41" t="str">
        <f>IF(Base!I87="","",Base!I87)</f>
        <v>Abastecimiento</v>
      </c>
      <c r="D89" s="42" t="str">
        <f>IF(Base!J87="","",Base!J87)</f>
        <v>Preparación de Insum</v>
      </c>
      <c r="E89" s="41">
        <f>IF(Base!H87="","",Base!H87)</f>
        <v>1050127</v>
      </c>
      <c r="J89" s="49">
        <v>79</v>
      </c>
      <c r="K89" s="115" t="s">
        <v>852</v>
      </c>
      <c r="L89" s="111" t="str">
        <f t="shared" si="41"/>
        <v>RAUL  RAMIREZ  VASQUEZ</v>
      </c>
      <c r="M89" s="111">
        <f t="shared" si="42"/>
        <v>1050633</v>
      </c>
      <c r="N89" s="112" t="str">
        <f t="shared" si="43"/>
        <v>Abastecimiento</v>
      </c>
      <c r="O89" s="112" t="str">
        <f t="shared" si="44"/>
        <v>Suministro de Líneas</v>
      </c>
      <c r="P89" s="51" t="s">
        <v>1322</v>
      </c>
      <c r="Q89" s="56"/>
      <c r="R89" s="49"/>
      <c r="S89" s="56"/>
      <c r="T89" s="49"/>
      <c r="U89" s="56"/>
      <c r="V89" s="49"/>
      <c r="W89" s="56"/>
      <c r="X89" s="49"/>
      <c r="Y89" s="56"/>
      <c r="Z89" s="49"/>
      <c r="AA89" s="56"/>
      <c r="AB89" s="49"/>
      <c r="AC89" s="56"/>
      <c r="AD89" s="49"/>
      <c r="AE89" s="53">
        <f t="shared" si="54"/>
        <v>0</v>
      </c>
      <c r="AF89" s="53">
        <f t="shared" si="55"/>
        <v>0</v>
      </c>
      <c r="AG89" s="76"/>
      <c r="AL89" s="41" t="str">
        <f t="shared" ref="AL89:AL152" si="56">IF(K89="","",K89)</f>
        <v>10.168.958-1</v>
      </c>
      <c r="AM89" s="41">
        <v>80</v>
      </c>
      <c r="AN89" s="41">
        <f t="shared" si="45"/>
        <v>0</v>
      </c>
      <c r="AO89" s="41">
        <f t="shared" si="46"/>
        <v>0</v>
      </c>
      <c r="AP89" s="41">
        <f t="shared" si="47"/>
        <v>0</v>
      </c>
      <c r="AQ89" s="41">
        <f t="shared" si="48"/>
        <v>0</v>
      </c>
      <c r="AR89" s="41">
        <f t="shared" si="49"/>
        <v>0</v>
      </c>
      <c r="AS89" s="41">
        <f t="shared" si="50"/>
        <v>0</v>
      </c>
      <c r="AT89" s="41">
        <f t="shared" si="51"/>
        <v>0</v>
      </c>
      <c r="AU89" s="55">
        <f t="shared" si="52"/>
        <v>0</v>
      </c>
      <c r="AW89" s="41">
        <f t="shared" si="33"/>
        <v>0</v>
      </c>
      <c r="AX89" s="41">
        <f t="shared" si="34"/>
        <v>0</v>
      </c>
      <c r="AY89" s="41">
        <f t="shared" si="35"/>
        <v>0</v>
      </c>
      <c r="AZ89" s="41">
        <f t="shared" si="36"/>
        <v>0</v>
      </c>
      <c r="BA89" s="41">
        <f t="shared" si="37"/>
        <v>0</v>
      </c>
      <c r="BB89" s="41">
        <f t="shared" si="38"/>
        <v>0</v>
      </c>
      <c r="BC89" s="41">
        <f t="shared" si="39"/>
        <v>0</v>
      </c>
      <c r="BD89" s="55">
        <f t="shared" si="40"/>
        <v>0</v>
      </c>
      <c r="BF89" s="41">
        <f t="shared" si="53"/>
        <v>0</v>
      </c>
    </row>
    <row r="90" spans="1:58" ht="13.5">
      <c r="A90" s="41" t="str">
        <f>IF(Base!B88="","",Base!B88)</f>
        <v>13.897.327-1</v>
      </c>
      <c r="B90" s="41" t="str">
        <f>IF(Base!F88="","",Base!F88)</f>
        <v>DANIEL NEFTALI  ITURRIAGA  ORELLANA</v>
      </c>
      <c r="C90" s="41" t="str">
        <f>IF(Base!I88="","",Base!I88)</f>
        <v>Control y Gestión</v>
      </c>
      <c r="D90" s="42" t="str">
        <f>IF(Base!J88="","",Base!J88)</f>
        <v>Inspector tiempo</v>
      </c>
      <c r="E90" s="41">
        <f>IF(Base!H88="","",Base!H88)</f>
        <v>1050632</v>
      </c>
      <c r="J90" s="49">
        <v>80</v>
      </c>
      <c r="K90" s="115" t="s">
        <v>856</v>
      </c>
      <c r="L90" s="111" t="str">
        <f t="shared" si="41"/>
        <v>LAURA CECILIA  REINOSO  SALAS</v>
      </c>
      <c r="M90" s="111">
        <f t="shared" si="42"/>
        <v>1050126</v>
      </c>
      <c r="N90" s="112" t="str">
        <f t="shared" si="43"/>
        <v>Abastecimiento</v>
      </c>
      <c r="O90" s="112" t="str">
        <f t="shared" si="44"/>
        <v>Control Ingresos Cen</v>
      </c>
      <c r="P90" s="51" t="s">
        <v>4</v>
      </c>
      <c r="Q90" s="56"/>
      <c r="R90" s="49"/>
      <c r="S90" s="56"/>
      <c r="T90" s="49"/>
      <c r="U90" s="56"/>
      <c r="V90" s="49"/>
      <c r="W90" s="56"/>
      <c r="X90" s="49"/>
      <c r="Y90" s="56"/>
      <c r="Z90" s="49"/>
      <c r="AA90" s="56"/>
      <c r="AB90" s="49"/>
      <c r="AC90" s="56"/>
      <c r="AD90" s="49"/>
      <c r="AE90" s="53">
        <f t="shared" si="54"/>
        <v>0</v>
      </c>
      <c r="AF90" s="53">
        <f t="shared" si="55"/>
        <v>0</v>
      </c>
      <c r="AG90" s="76" t="s">
        <v>1365</v>
      </c>
      <c r="AL90" s="41" t="str">
        <f t="shared" si="56"/>
        <v>09.741.880-2</v>
      </c>
      <c r="AM90" s="41">
        <v>81</v>
      </c>
      <c r="AN90" s="41">
        <f t="shared" si="45"/>
        <v>0</v>
      </c>
      <c r="AO90" s="41">
        <f t="shared" si="46"/>
        <v>0</v>
      </c>
      <c r="AP90" s="41">
        <f t="shared" si="47"/>
        <v>0</v>
      </c>
      <c r="AQ90" s="41">
        <f t="shared" si="48"/>
        <v>0</v>
      </c>
      <c r="AR90" s="41">
        <f t="shared" si="49"/>
        <v>0</v>
      </c>
      <c r="AS90" s="41">
        <f t="shared" si="50"/>
        <v>0</v>
      </c>
      <c r="AT90" s="41">
        <f t="shared" si="51"/>
        <v>0</v>
      </c>
      <c r="AU90" s="55">
        <f t="shared" si="52"/>
        <v>0</v>
      </c>
      <c r="AW90" s="41">
        <f t="shared" si="33"/>
        <v>0</v>
      </c>
      <c r="AX90" s="41">
        <f t="shared" si="34"/>
        <v>0</v>
      </c>
      <c r="AY90" s="41">
        <f t="shared" si="35"/>
        <v>0</v>
      </c>
      <c r="AZ90" s="41">
        <f t="shared" si="36"/>
        <v>0</v>
      </c>
      <c r="BA90" s="41">
        <f t="shared" si="37"/>
        <v>0</v>
      </c>
      <c r="BB90" s="41">
        <f t="shared" si="38"/>
        <v>0</v>
      </c>
      <c r="BC90" s="41">
        <f t="shared" si="39"/>
        <v>0</v>
      </c>
      <c r="BD90" s="55">
        <f t="shared" si="40"/>
        <v>0</v>
      </c>
      <c r="BF90" s="41">
        <f t="shared" si="53"/>
        <v>0</v>
      </c>
    </row>
    <row r="91" spans="1:58" ht="13.5">
      <c r="A91" s="41" t="str">
        <f>IF(Base!B89="","",Base!B89)</f>
        <v>15.899.732-0</v>
      </c>
      <c r="B91" s="41" t="str">
        <f>IF(Base!F89="","",Base!F89)</f>
        <v>ALEJANDRO ANDRES  JAQUE  VARGAS</v>
      </c>
      <c r="C91" s="41" t="str">
        <f>IF(Base!I89="","",Base!I89)</f>
        <v>Linea 3</v>
      </c>
      <c r="D91" s="42" t="str">
        <f>IF(Base!J89="","",Base!J89)</f>
        <v>Lavador externo</v>
      </c>
      <c r="E91" s="41">
        <f>IF(Base!H89="","",Base!H89)</f>
        <v>1050556</v>
      </c>
      <c r="J91" s="49">
        <v>81</v>
      </c>
      <c r="K91" s="115" t="s">
        <v>872</v>
      </c>
      <c r="L91" s="111" t="str">
        <f t="shared" si="41"/>
        <v>NATALIA BELEN  REYES  ESPINOZA</v>
      </c>
      <c r="M91" s="111">
        <f t="shared" si="42"/>
        <v>1050127</v>
      </c>
      <c r="N91" s="112" t="str">
        <f t="shared" si="43"/>
        <v>Abastecimiento</v>
      </c>
      <c r="O91" s="112" t="str">
        <f t="shared" si="44"/>
        <v>Preparación de Insum</v>
      </c>
      <c r="P91" s="51" t="s">
        <v>1322</v>
      </c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3">
        <f t="shared" si="54"/>
        <v>0</v>
      </c>
      <c r="AF91" s="53">
        <f t="shared" si="55"/>
        <v>0</v>
      </c>
      <c r="AG91" s="76"/>
      <c r="AL91" s="41" t="str">
        <f t="shared" si="56"/>
        <v>16.697.450-K</v>
      </c>
      <c r="AM91" s="41">
        <v>82</v>
      </c>
      <c r="AN91" s="41">
        <f t="shared" si="45"/>
        <v>0</v>
      </c>
      <c r="AO91" s="41">
        <f t="shared" si="46"/>
        <v>0</v>
      </c>
      <c r="AP91" s="41">
        <f t="shared" si="47"/>
        <v>0</v>
      </c>
      <c r="AQ91" s="41">
        <f t="shared" si="48"/>
        <v>0</v>
      </c>
      <c r="AR91" s="41">
        <f t="shared" si="49"/>
        <v>0</v>
      </c>
      <c r="AS91" s="41">
        <f t="shared" si="50"/>
        <v>0</v>
      </c>
      <c r="AT91" s="41">
        <f t="shared" si="51"/>
        <v>0</v>
      </c>
      <c r="AU91" s="55">
        <f t="shared" si="52"/>
        <v>0</v>
      </c>
      <c r="AW91" s="41">
        <f t="shared" si="33"/>
        <v>0</v>
      </c>
      <c r="AX91" s="41">
        <f t="shared" si="34"/>
        <v>0</v>
      </c>
      <c r="AY91" s="41">
        <f t="shared" si="35"/>
        <v>0</v>
      </c>
      <c r="AZ91" s="41">
        <f t="shared" si="36"/>
        <v>0</v>
      </c>
      <c r="BA91" s="41">
        <f t="shared" si="37"/>
        <v>0</v>
      </c>
      <c r="BB91" s="41">
        <f t="shared" si="38"/>
        <v>0</v>
      </c>
      <c r="BC91" s="41">
        <f t="shared" si="39"/>
        <v>0</v>
      </c>
      <c r="BD91" s="55">
        <f t="shared" si="40"/>
        <v>0</v>
      </c>
      <c r="BF91" s="41">
        <f t="shared" si="53"/>
        <v>0</v>
      </c>
    </row>
    <row r="92" spans="1:58" ht="13.5">
      <c r="A92" s="41" t="str">
        <f>IF(Base!B90="","",Base!B90)</f>
        <v>08.771.787-9</v>
      </c>
      <c r="B92" s="41" t="str">
        <f>IF(Base!F90="","",Base!F90)</f>
        <v>PABLO FLORENTINO  JIMENEZ  PAINECURA</v>
      </c>
      <c r="C92" s="41" t="str">
        <f>IF(Base!I90="","",Base!I90)</f>
        <v>Linea 3</v>
      </c>
      <c r="D92" s="42" t="str">
        <f>IF(Base!J90="","",Base!J90)</f>
        <v>Despalletizador</v>
      </c>
      <c r="E92" s="41">
        <f>IF(Base!H90="","",Base!H90)</f>
        <v>1050555</v>
      </c>
      <c r="J92" s="49">
        <v>82</v>
      </c>
      <c r="K92" s="115" t="s">
        <v>876</v>
      </c>
      <c r="L92" s="111" t="str">
        <f t="shared" si="41"/>
        <v>GUILLERMO ANTONIO  REYES  FUENZALIDA</v>
      </c>
      <c r="M92" s="111">
        <f t="shared" si="42"/>
        <v>1050162</v>
      </c>
      <c r="N92" s="112" t="str">
        <f t="shared" si="43"/>
        <v>Abastecimiento</v>
      </c>
      <c r="O92" s="112" t="str">
        <f t="shared" si="44"/>
        <v>Almacen Envases Pirq</v>
      </c>
      <c r="P92" s="51" t="s">
        <v>1322</v>
      </c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3">
        <f t="shared" si="54"/>
        <v>0</v>
      </c>
      <c r="AF92" s="53">
        <f t="shared" si="55"/>
        <v>0</v>
      </c>
      <c r="AG92" s="79" t="s">
        <v>1374</v>
      </c>
      <c r="AL92" s="41" t="str">
        <f t="shared" si="56"/>
        <v>14.185.109-8</v>
      </c>
      <c r="AM92" s="41">
        <v>83</v>
      </c>
      <c r="AN92" s="41">
        <f t="shared" si="45"/>
        <v>0</v>
      </c>
      <c r="AO92" s="41">
        <f t="shared" si="46"/>
        <v>0</v>
      </c>
      <c r="AP92" s="41">
        <f t="shared" si="47"/>
        <v>0</v>
      </c>
      <c r="AQ92" s="41">
        <f t="shared" si="48"/>
        <v>0</v>
      </c>
      <c r="AR92" s="41">
        <f t="shared" si="49"/>
        <v>0</v>
      </c>
      <c r="AS92" s="41">
        <f t="shared" si="50"/>
        <v>0</v>
      </c>
      <c r="AT92" s="41">
        <f t="shared" si="51"/>
        <v>0</v>
      </c>
      <c r="AU92" s="55">
        <f t="shared" si="52"/>
        <v>0</v>
      </c>
      <c r="AW92" s="41">
        <f t="shared" si="33"/>
        <v>0</v>
      </c>
      <c r="AX92" s="41">
        <f t="shared" si="34"/>
        <v>0</v>
      </c>
      <c r="AY92" s="41">
        <f t="shared" si="35"/>
        <v>0</v>
      </c>
      <c r="AZ92" s="41">
        <f t="shared" si="36"/>
        <v>0</v>
      </c>
      <c r="BA92" s="41">
        <f t="shared" si="37"/>
        <v>0</v>
      </c>
      <c r="BB92" s="41">
        <f t="shared" si="38"/>
        <v>0</v>
      </c>
      <c r="BC92" s="41">
        <f t="shared" si="39"/>
        <v>0</v>
      </c>
      <c r="BD92" s="55">
        <f t="shared" si="40"/>
        <v>0</v>
      </c>
      <c r="BF92" s="41">
        <f t="shared" si="53"/>
        <v>0</v>
      </c>
    </row>
    <row r="93" spans="1:58" ht="13.5">
      <c r="A93" s="41" t="str">
        <f>IF(Base!B91="","",Base!B91)</f>
        <v>12.504.270-8</v>
      </c>
      <c r="B93" s="41" t="str">
        <f>IF(Base!F91="","",Base!F91)</f>
        <v>ROSEMARY  LAGOS  RUBIO</v>
      </c>
      <c r="C93" s="41" t="str">
        <f>IF(Base!I91="","",Base!I91)</f>
        <v>Linea 2</v>
      </c>
      <c r="D93" s="42" t="str">
        <f>IF(Base!J91="","",Base!J91)</f>
        <v>Inspector etiqueta</v>
      </c>
      <c r="E93" s="41">
        <f>IF(Base!H91="","",Base!H91)</f>
        <v>1050554</v>
      </c>
      <c r="J93" s="49">
        <v>83</v>
      </c>
      <c r="K93" s="115" t="s">
        <v>884</v>
      </c>
      <c r="L93" s="111" t="str">
        <f t="shared" si="41"/>
        <v>ANGELA ADELA  REYES  LARA</v>
      </c>
      <c r="M93" s="111">
        <f t="shared" si="42"/>
        <v>1050633</v>
      </c>
      <c r="N93" s="112" t="str">
        <f t="shared" si="43"/>
        <v>Abastecimiento</v>
      </c>
      <c r="O93" s="112" t="str">
        <f t="shared" si="44"/>
        <v>Suministro de Líneas</v>
      </c>
      <c r="P93" s="51" t="s">
        <v>1338</v>
      </c>
      <c r="Q93" s="56"/>
      <c r="R93" s="49"/>
      <c r="S93" s="56"/>
      <c r="T93" s="49"/>
      <c r="U93" s="56"/>
      <c r="V93" s="49"/>
      <c r="W93" s="56"/>
      <c r="X93" s="49"/>
      <c r="Y93" s="56"/>
      <c r="Z93" s="49"/>
      <c r="AA93" s="56"/>
      <c r="AB93" s="49"/>
      <c r="AC93" s="56"/>
      <c r="AD93" s="49"/>
      <c r="AE93" s="53">
        <f t="shared" si="54"/>
        <v>0</v>
      </c>
      <c r="AF93" s="53">
        <f t="shared" si="55"/>
        <v>0</v>
      </c>
      <c r="AG93" s="76" t="s">
        <v>1375</v>
      </c>
      <c r="AL93" s="41" t="str">
        <f t="shared" si="56"/>
        <v>10.309.203-5</v>
      </c>
      <c r="AM93" s="41">
        <v>84</v>
      </c>
      <c r="AN93" s="41">
        <f t="shared" si="45"/>
        <v>0</v>
      </c>
      <c r="AO93" s="41">
        <f t="shared" si="46"/>
        <v>0</v>
      </c>
      <c r="AP93" s="41">
        <f t="shared" si="47"/>
        <v>0</v>
      </c>
      <c r="AQ93" s="41">
        <f t="shared" si="48"/>
        <v>0</v>
      </c>
      <c r="AR93" s="41">
        <f t="shared" si="49"/>
        <v>0</v>
      </c>
      <c r="AS93" s="41">
        <f t="shared" si="50"/>
        <v>0</v>
      </c>
      <c r="AT93" s="41">
        <f t="shared" si="51"/>
        <v>0</v>
      </c>
      <c r="AU93" s="55">
        <f t="shared" si="52"/>
        <v>0</v>
      </c>
      <c r="AW93" s="41">
        <f t="shared" si="33"/>
        <v>0</v>
      </c>
      <c r="AX93" s="41">
        <f t="shared" si="34"/>
        <v>0</v>
      </c>
      <c r="AY93" s="41">
        <f t="shared" si="35"/>
        <v>0</v>
      </c>
      <c r="AZ93" s="41">
        <f t="shared" si="36"/>
        <v>0</v>
      </c>
      <c r="BA93" s="41">
        <f t="shared" si="37"/>
        <v>0</v>
      </c>
      <c r="BB93" s="41">
        <f t="shared" si="38"/>
        <v>0</v>
      </c>
      <c r="BC93" s="41">
        <f t="shared" si="39"/>
        <v>0</v>
      </c>
      <c r="BD93" s="55">
        <f t="shared" si="40"/>
        <v>0</v>
      </c>
      <c r="BF93" s="41">
        <f t="shared" si="53"/>
        <v>0</v>
      </c>
    </row>
    <row r="94" spans="1:58" ht="13.5">
      <c r="A94" s="41" t="str">
        <f>IF(Base!B92="","",Base!B92)</f>
        <v>13.769.935-4</v>
      </c>
      <c r="B94" s="41" t="str">
        <f>IF(Base!F92="","",Base!F92)</f>
        <v>GONZALO  LEDESMA  ARRIAGADA</v>
      </c>
      <c r="C94" s="41" t="str">
        <f>IF(Base!I92="","",Base!I92)</f>
        <v>Control y Gestión</v>
      </c>
      <c r="D94" s="42" t="str">
        <f>IF(Base!J92="","",Base!J92)</f>
        <v>Analista  control</v>
      </c>
      <c r="E94" s="41">
        <f>IF(Base!H92="","",Base!H92)</f>
        <v>1050632</v>
      </c>
      <c r="J94" s="49">
        <v>84</v>
      </c>
      <c r="K94" s="115" t="s">
        <v>862</v>
      </c>
      <c r="L94" s="111" t="str">
        <f t="shared" si="41"/>
        <v>MAURICIO ALEJANDRO  RETAMAL  ACUÑA</v>
      </c>
      <c r="M94" s="111">
        <f t="shared" si="42"/>
        <v>1050127</v>
      </c>
      <c r="N94" s="112" t="str">
        <f t="shared" si="43"/>
        <v>Abastecimiento</v>
      </c>
      <c r="O94" s="112" t="str">
        <f t="shared" si="44"/>
        <v>Preparación de Insum</v>
      </c>
      <c r="P94" s="51" t="s">
        <v>1322</v>
      </c>
      <c r="Q94" s="56"/>
      <c r="R94" s="49"/>
      <c r="S94" s="56"/>
      <c r="T94" s="49"/>
      <c r="U94" s="56"/>
      <c r="V94" s="49"/>
      <c r="W94" s="56"/>
      <c r="X94" s="49"/>
      <c r="Y94" s="56"/>
      <c r="Z94" s="49"/>
      <c r="AA94" s="56"/>
      <c r="AB94" s="49"/>
      <c r="AC94" s="56"/>
      <c r="AD94" s="49"/>
      <c r="AE94" s="53">
        <f t="shared" si="54"/>
        <v>0</v>
      </c>
      <c r="AF94" s="53">
        <f t="shared" si="55"/>
        <v>0</v>
      </c>
      <c r="AG94" s="76"/>
      <c r="AL94" s="41" t="str">
        <f t="shared" si="56"/>
        <v>15.444.698-2</v>
      </c>
      <c r="AM94" s="41">
        <v>85</v>
      </c>
      <c r="AN94" s="41">
        <f t="shared" si="45"/>
        <v>0</v>
      </c>
      <c r="AO94" s="41">
        <f t="shared" si="46"/>
        <v>0</v>
      </c>
      <c r="AP94" s="41">
        <f t="shared" si="47"/>
        <v>0</v>
      </c>
      <c r="AQ94" s="41">
        <f t="shared" si="48"/>
        <v>0</v>
      </c>
      <c r="AR94" s="41">
        <f t="shared" si="49"/>
        <v>0</v>
      </c>
      <c r="AS94" s="41">
        <f t="shared" si="50"/>
        <v>0</v>
      </c>
      <c r="AT94" s="41">
        <f t="shared" si="51"/>
        <v>0</v>
      </c>
      <c r="AU94" s="55">
        <f t="shared" si="52"/>
        <v>0</v>
      </c>
      <c r="AW94" s="41">
        <f t="shared" si="33"/>
        <v>0</v>
      </c>
      <c r="AX94" s="41">
        <f t="shared" si="34"/>
        <v>0</v>
      </c>
      <c r="AY94" s="41">
        <f t="shared" si="35"/>
        <v>0</v>
      </c>
      <c r="AZ94" s="41">
        <f t="shared" si="36"/>
        <v>0</v>
      </c>
      <c r="BA94" s="41">
        <f t="shared" si="37"/>
        <v>0</v>
      </c>
      <c r="BB94" s="41">
        <f t="shared" si="38"/>
        <v>0</v>
      </c>
      <c r="BC94" s="41">
        <f t="shared" si="39"/>
        <v>0</v>
      </c>
      <c r="BD94" s="55">
        <f t="shared" si="40"/>
        <v>0</v>
      </c>
      <c r="BF94" s="41">
        <f t="shared" si="53"/>
        <v>0</v>
      </c>
    </row>
    <row r="95" spans="1:58" ht="14.25">
      <c r="A95" s="41" t="str">
        <f>IF(Base!B93="","",Base!B93)</f>
        <v>08.025.043-6</v>
      </c>
      <c r="B95" s="41" t="str">
        <f>IF(Base!F93="","",Base!F93)</f>
        <v>RAUL  LEIVA  CASTILLO</v>
      </c>
      <c r="C95" s="41" t="str">
        <f>IF(Base!I93="","",Base!I93)</f>
        <v>Linea 1</v>
      </c>
      <c r="D95" s="42" t="str">
        <f>IF(Base!J93="","",Base!J93)</f>
        <v>Llenador</v>
      </c>
      <c r="E95" s="41">
        <f>IF(Base!H93="","",Base!H93)</f>
        <v>1050551</v>
      </c>
      <c r="J95" s="49">
        <v>85</v>
      </c>
      <c r="K95" s="115" t="s">
        <v>899</v>
      </c>
      <c r="L95" s="111" t="str">
        <f t="shared" si="41"/>
        <v>FRANCISCO JAVIER  RIQUELME  GONZALEZ</v>
      </c>
      <c r="M95" s="111">
        <f t="shared" si="42"/>
        <v>1050581</v>
      </c>
      <c r="N95" s="112" t="str">
        <f t="shared" si="43"/>
        <v>Abastecimiento</v>
      </c>
      <c r="O95" s="112" t="str">
        <f t="shared" si="44"/>
        <v>Almacen Insumos Pque</v>
      </c>
      <c r="P95" s="51" t="s">
        <v>4</v>
      </c>
      <c r="Q95" s="56"/>
      <c r="R95" s="49"/>
      <c r="S95" s="56"/>
      <c r="T95" s="49"/>
      <c r="U95" s="56"/>
      <c r="V95" s="49"/>
      <c r="W95" s="56"/>
      <c r="X95" s="49"/>
      <c r="Y95" s="56"/>
      <c r="Z95" s="49"/>
      <c r="AA95" s="56"/>
      <c r="AB95" s="49"/>
      <c r="AC95" s="56"/>
      <c r="AD95" s="49"/>
      <c r="AE95" s="53">
        <f t="shared" si="54"/>
        <v>0</v>
      </c>
      <c r="AF95" s="53">
        <f t="shared" si="55"/>
        <v>0</v>
      </c>
      <c r="AG95" s="80"/>
      <c r="AL95" s="41" t="str">
        <f t="shared" si="56"/>
        <v>16.296.340-6</v>
      </c>
      <c r="AM95" s="41">
        <v>86</v>
      </c>
      <c r="AN95" s="41">
        <f t="shared" si="45"/>
        <v>0</v>
      </c>
      <c r="AO95" s="41">
        <f t="shared" si="46"/>
        <v>0</v>
      </c>
      <c r="AP95" s="41">
        <f t="shared" si="47"/>
        <v>0</v>
      </c>
      <c r="AQ95" s="41">
        <f t="shared" si="48"/>
        <v>0</v>
      </c>
      <c r="AR95" s="41">
        <f t="shared" si="49"/>
        <v>0</v>
      </c>
      <c r="AS95" s="41">
        <f t="shared" si="50"/>
        <v>0</v>
      </c>
      <c r="AT95" s="41">
        <f t="shared" si="51"/>
        <v>0</v>
      </c>
      <c r="AU95" s="55">
        <f t="shared" si="52"/>
        <v>0</v>
      </c>
      <c r="AW95" s="41">
        <f t="shared" ref="AW95:AW158" si="57">R95</f>
        <v>0</v>
      </c>
      <c r="AX95" s="41">
        <f t="shared" ref="AX95:AX158" si="58">T95</f>
        <v>0</v>
      </c>
      <c r="AY95" s="41">
        <f t="shared" ref="AY95:AY158" si="59">V95</f>
        <v>0</v>
      </c>
      <c r="AZ95" s="41">
        <f t="shared" ref="AZ95:AZ158" si="60">X95</f>
        <v>0</v>
      </c>
      <c r="BA95" s="41">
        <f t="shared" ref="BA95:BA158" si="61">Z95</f>
        <v>0</v>
      </c>
      <c r="BB95" s="41">
        <f t="shared" ref="BB95:BB158" si="62">AB95</f>
        <v>0</v>
      </c>
      <c r="BC95" s="41">
        <f t="shared" ref="BC95:BC158" si="63">AD95</f>
        <v>0</v>
      </c>
      <c r="BD95" s="55">
        <f t="shared" ref="BD95:BD158" si="64">IF(SUM(AW95:BC95)=0,0,SUM(AW95:BC95))</f>
        <v>0</v>
      </c>
      <c r="BF95" s="41">
        <f t="shared" si="53"/>
        <v>0</v>
      </c>
    </row>
    <row r="96" spans="1:58" ht="13.5">
      <c r="A96" s="41" t="str">
        <f>IF(Base!B94="","",Base!B94)</f>
        <v>10.970.380-K</v>
      </c>
      <c r="B96" s="41" t="str">
        <f>IF(Base!F94="","",Base!F94)</f>
        <v>JUAN ENRIQUE  LEIVA  MUÑOZ</v>
      </c>
      <c r="C96" s="41" t="str">
        <f>IF(Base!I94="","",Base!I94)</f>
        <v>Abastecimiento</v>
      </c>
      <c r="D96" s="42" t="str">
        <f>IF(Base!J94="","",Base!J94)</f>
        <v>Preparación de Insum</v>
      </c>
      <c r="E96" s="41">
        <f>IF(Base!H94="","",Base!H94)</f>
        <v>1050127</v>
      </c>
      <c r="J96" s="49">
        <v>86</v>
      </c>
      <c r="K96" s="115" t="s">
        <v>903</v>
      </c>
      <c r="L96" s="111" t="str">
        <f t="shared" si="41"/>
        <v>VERONICA ANDREA  RIVERA  VARGAS</v>
      </c>
      <c r="M96" s="111">
        <f t="shared" si="42"/>
        <v>1050633</v>
      </c>
      <c r="N96" s="112" t="str">
        <f t="shared" si="43"/>
        <v>Abastecimiento</v>
      </c>
      <c r="O96" s="112" t="str">
        <f t="shared" si="44"/>
        <v>Suministro de Líneas</v>
      </c>
      <c r="P96" s="51" t="s">
        <v>1324</v>
      </c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3">
        <f t="shared" si="54"/>
        <v>0</v>
      </c>
      <c r="AF96" s="53">
        <f t="shared" si="55"/>
        <v>0</v>
      </c>
      <c r="AG96" s="76" t="s">
        <v>1366</v>
      </c>
      <c r="AL96" s="41" t="str">
        <f t="shared" si="56"/>
        <v>12.688.280-7</v>
      </c>
      <c r="AM96" s="41">
        <v>87</v>
      </c>
      <c r="AN96" s="41">
        <f t="shared" si="45"/>
        <v>0</v>
      </c>
      <c r="AO96" s="41">
        <f t="shared" si="46"/>
        <v>0</v>
      </c>
      <c r="AP96" s="41">
        <f t="shared" si="47"/>
        <v>0</v>
      </c>
      <c r="AQ96" s="41">
        <f t="shared" si="48"/>
        <v>0</v>
      </c>
      <c r="AR96" s="41">
        <f t="shared" si="49"/>
        <v>0</v>
      </c>
      <c r="AS96" s="41">
        <f t="shared" si="50"/>
        <v>0</v>
      </c>
      <c r="AT96" s="41">
        <f t="shared" si="51"/>
        <v>0</v>
      </c>
      <c r="AU96" s="55">
        <f t="shared" si="52"/>
        <v>0</v>
      </c>
      <c r="AW96" s="41">
        <f t="shared" si="57"/>
        <v>0</v>
      </c>
      <c r="AX96" s="41">
        <f t="shared" si="58"/>
        <v>0</v>
      </c>
      <c r="AY96" s="41">
        <f t="shared" si="59"/>
        <v>0</v>
      </c>
      <c r="AZ96" s="41">
        <f t="shared" si="60"/>
        <v>0</v>
      </c>
      <c r="BA96" s="41">
        <f t="shared" si="61"/>
        <v>0</v>
      </c>
      <c r="BB96" s="41">
        <f t="shared" si="62"/>
        <v>0</v>
      </c>
      <c r="BC96" s="41">
        <f t="shared" si="63"/>
        <v>0</v>
      </c>
      <c r="BD96" s="55">
        <f t="shared" si="64"/>
        <v>0</v>
      </c>
      <c r="BF96" s="41">
        <f t="shared" si="53"/>
        <v>0</v>
      </c>
    </row>
    <row r="97" spans="1:58" ht="13.5">
      <c r="A97" s="41" t="str">
        <f>IF(Base!B95="","",Base!B95)</f>
        <v>11.873.201-4</v>
      </c>
      <c r="B97" s="41" t="str">
        <f>IF(Base!F95="","",Base!F95)</f>
        <v>CARLOS  LEMUS  VELIZ</v>
      </c>
      <c r="C97" s="41" t="str">
        <f>IF(Base!I95="","",Base!I95)</f>
        <v>Abastecimiento</v>
      </c>
      <c r="D97" s="42" t="str">
        <f>IF(Base!J95="","",Base!J95)</f>
        <v>Preparación de Insum</v>
      </c>
      <c r="E97" s="41">
        <f>IF(Base!H95="","",Base!H95)</f>
        <v>1050127</v>
      </c>
      <c r="J97" s="49">
        <v>87</v>
      </c>
      <c r="K97" s="115" t="s">
        <v>922</v>
      </c>
      <c r="L97" s="111" t="str">
        <f t="shared" si="41"/>
        <v>LUIS ALBERTO  ROJAS  GONZALEZ</v>
      </c>
      <c r="M97" s="111">
        <f t="shared" si="42"/>
        <v>1050127</v>
      </c>
      <c r="N97" s="112" t="str">
        <f t="shared" si="43"/>
        <v>Abastecimiento</v>
      </c>
      <c r="O97" s="112" t="str">
        <f t="shared" si="44"/>
        <v>Preparación de Insum</v>
      </c>
      <c r="P97" s="51" t="s">
        <v>1322</v>
      </c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3">
        <f t="shared" si="54"/>
        <v>0</v>
      </c>
      <c r="AF97" s="53">
        <f t="shared" si="55"/>
        <v>0</v>
      </c>
      <c r="AG97" s="79"/>
      <c r="AL97" s="41" t="str">
        <f t="shared" si="56"/>
        <v>09.485.526-8</v>
      </c>
      <c r="AM97" s="41">
        <v>88</v>
      </c>
      <c r="AN97" s="41">
        <f t="shared" si="45"/>
        <v>0</v>
      </c>
      <c r="AO97" s="41">
        <f t="shared" si="46"/>
        <v>0</v>
      </c>
      <c r="AP97" s="41">
        <f t="shared" si="47"/>
        <v>0</v>
      </c>
      <c r="AQ97" s="41">
        <f t="shared" si="48"/>
        <v>0</v>
      </c>
      <c r="AR97" s="41">
        <f t="shared" si="49"/>
        <v>0</v>
      </c>
      <c r="AS97" s="41">
        <f t="shared" si="50"/>
        <v>0</v>
      </c>
      <c r="AT97" s="41">
        <f t="shared" si="51"/>
        <v>0</v>
      </c>
      <c r="AU97" s="55">
        <f t="shared" si="52"/>
        <v>0</v>
      </c>
      <c r="AW97" s="41">
        <f t="shared" si="57"/>
        <v>0</v>
      </c>
      <c r="AX97" s="41">
        <f t="shared" si="58"/>
        <v>0</v>
      </c>
      <c r="AY97" s="41">
        <f t="shared" si="59"/>
        <v>0</v>
      </c>
      <c r="AZ97" s="41">
        <f t="shared" si="60"/>
        <v>0</v>
      </c>
      <c r="BA97" s="41">
        <f t="shared" si="61"/>
        <v>0</v>
      </c>
      <c r="BB97" s="41">
        <f t="shared" si="62"/>
        <v>0</v>
      </c>
      <c r="BC97" s="41">
        <f t="shared" si="63"/>
        <v>0</v>
      </c>
      <c r="BD97" s="55">
        <f t="shared" si="64"/>
        <v>0</v>
      </c>
      <c r="BF97" s="41">
        <f t="shared" si="53"/>
        <v>0</v>
      </c>
    </row>
    <row r="98" spans="1:58" ht="13.5">
      <c r="A98" s="41" t="str">
        <f>IF(Base!B96="","",Base!B96)</f>
        <v>09.878.189-7</v>
      </c>
      <c r="B98" s="41" t="str">
        <f>IF(Base!F96="","",Base!F96)</f>
        <v>GUILLERMO  LEON  GALVEZ</v>
      </c>
      <c r="C98" s="41" t="str">
        <f>IF(Base!I96="","",Base!I96)</f>
        <v>Linea 3</v>
      </c>
      <c r="D98" s="42" t="str">
        <f>IF(Base!J96="","",Base!J96)</f>
        <v>Lavador externo</v>
      </c>
      <c r="E98" s="41">
        <f>IF(Base!H96="","",Base!H96)</f>
        <v>1050556</v>
      </c>
      <c r="J98" s="49">
        <v>88</v>
      </c>
      <c r="K98" s="115" t="s">
        <v>925</v>
      </c>
      <c r="L98" s="111" t="str">
        <f t="shared" si="41"/>
        <v>RODRIGO ALEJANDRO  ROJAS  SALAMANCA</v>
      </c>
      <c r="M98" s="111">
        <f t="shared" si="42"/>
        <v>1050581</v>
      </c>
      <c r="N98" s="112" t="str">
        <f t="shared" si="43"/>
        <v>Abastecimiento</v>
      </c>
      <c r="O98" s="112" t="str">
        <f t="shared" si="44"/>
        <v>Almacen Insumos Pque</v>
      </c>
      <c r="P98" s="51" t="s">
        <v>1338</v>
      </c>
      <c r="Q98" s="56"/>
      <c r="R98" s="49"/>
      <c r="S98" s="56"/>
      <c r="T98" s="49"/>
      <c r="U98" s="56"/>
      <c r="V98" s="49"/>
      <c r="W98" s="56"/>
      <c r="X98" s="49"/>
      <c r="Y98" s="56"/>
      <c r="Z98" s="49"/>
      <c r="AA98" s="56"/>
      <c r="AB98" s="49"/>
      <c r="AC98" s="56"/>
      <c r="AD98" s="49"/>
      <c r="AE98" s="53">
        <f t="shared" si="54"/>
        <v>0</v>
      </c>
      <c r="AF98" s="53">
        <f t="shared" si="55"/>
        <v>0</v>
      </c>
      <c r="AG98" s="76"/>
      <c r="AL98" s="41" t="str">
        <f t="shared" si="56"/>
        <v>17.245.009-1</v>
      </c>
      <c r="AM98" s="41">
        <v>89</v>
      </c>
      <c r="AN98" s="41">
        <f t="shared" si="45"/>
        <v>0</v>
      </c>
      <c r="AO98" s="41">
        <f t="shared" si="46"/>
        <v>0</v>
      </c>
      <c r="AP98" s="41">
        <f t="shared" si="47"/>
        <v>0</v>
      </c>
      <c r="AQ98" s="41">
        <f t="shared" si="48"/>
        <v>0</v>
      </c>
      <c r="AR98" s="41">
        <f t="shared" si="49"/>
        <v>0</v>
      </c>
      <c r="AS98" s="41">
        <f t="shared" si="50"/>
        <v>0</v>
      </c>
      <c r="AT98" s="41">
        <f t="shared" si="51"/>
        <v>0</v>
      </c>
      <c r="AU98" s="55">
        <f t="shared" si="52"/>
        <v>0</v>
      </c>
      <c r="AW98" s="41">
        <f t="shared" si="57"/>
        <v>0</v>
      </c>
      <c r="AX98" s="41">
        <f t="shared" si="58"/>
        <v>0</v>
      </c>
      <c r="AY98" s="41">
        <f t="shared" si="59"/>
        <v>0</v>
      </c>
      <c r="AZ98" s="41">
        <f t="shared" si="60"/>
        <v>0</v>
      </c>
      <c r="BA98" s="41">
        <f t="shared" si="61"/>
        <v>0</v>
      </c>
      <c r="BB98" s="41">
        <f t="shared" si="62"/>
        <v>0</v>
      </c>
      <c r="BC98" s="41">
        <f t="shared" si="63"/>
        <v>0</v>
      </c>
      <c r="BD98" s="55">
        <f t="shared" si="64"/>
        <v>0</v>
      </c>
      <c r="BF98" s="41">
        <f t="shared" si="53"/>
        <v>0</v>
      </c>
    </row>
    <row r="99" spans="1:58" ht="13.5">
      <c r="A99" s="41" t="str">
        <f>IF(Base!B97="","",Base!B97)</f>
        <v>09.253.701-3</v>
      </c>
      <c r="B99" s="41" t="str">
        <f>IF(Base!F97="","",Base!F97)</f>
        <v>JOSE FRANCISCO  LEON  NUÑEZ</v>
      </c>
      <c r="C99" s="41" t="str">
        <f>IF(Base!I97="","",Base!I97)</f>
        <v>Linea 7</v>
      </c>
      <c r="D99" s="42" t="str">
        <f>IF(Base!J97="","",Base!J97)</f>
        <v>Llenador</v>
      </c>
      <c r="E99" s="41">
        <f>IF(Base!H97="","",Base!H97)</f>
        <v>1050615</v>
      </c>
      <c r="J99" s="49">
        <v>89</v>
      </c>
      <c r="K99" s="115" t="s">
        <v>943</v>
      </c>
      <c r="L99" s="111" t="str">
        <f t="shared" si="41"/>
        <v>JUAN RAMON  SALAMANCA  VIDAL</v>
      </c>
      <c r="M99" s="111">
        <f t="shared" si="42"/>
        <v>1050127</v>
      </c>
      <c r="N99" s="112" t="str">
        <f t="shared" si="43"/>
        <v>Abastecimiento</v>
      </c>
      <c r="O99" s="112" t="str">
        <f t="shared" si="44"/>
        <v>Preparación de Insum</v>
      </c>
      <c r="P99" s="51" t="s">
        <v>1322</v>
      </c>
      <c r="Q99" s="56"/>
      <c r="R99" s="49"/>
      <c r="S99" s="56"/>
      <c r="T99" s="49"/>
      <c r="U99" s="56"/>
      <c r="V99" s="49"/>
      <c r="W99" s="56"/>
      <c r="X99" s="49"/>
      <c r="Y99" s="56"/>
      <c r="Z99" s="49"/>
      <c r="AA99" s="56"/>
      <c r="AB99" s="49"/>
      <c r="AC99" s="56"/>
      <c r="AD99" s="49"/>
      <c r="AE99" s="53">
        <f t="shared" si="54"/>
        <v>0</v>
      </c>
      <c r="AF99" s="53">
        <f t="shared" si="55"/>
        <v>0</v>
      </c>
      <c r="AG99" s="76" t="s">
        <v>1376</v>
      </c>
      <c r="AL99" s="41" t="str">
        <f t="shared" si="56"/>
        <v>11.657.838-7</v>
      </c>
      <c r="AM99" s="41">
        <v>90</v>
      </c>
      <c r="AN99" s="41">
        <f t="shared" si="45"/>
        <v>0</v>
      </c>
      <c r="AO99" s="41">
        <f t="shared" si="46"/>
        <v>0</v>
      </c>
      <c r="AP99" s="41">
        <f t="shared" si="47"/>
        <v>0</v>
      </c>
      <c r="AQ99" s="41">
        <f t="shared" si="48"/>
        <v>0</v>
      </c>
      <c r="AR99" s="41">
        <f t="shared" si="49"/>
        <v>0</v>
      </c>
      <c r="AS99" s="41">
        <f t="shared" si="50"/>
        <v>0</v>
      </c>
      <c r="AT99" s="41">
        <f t="shared" si="51"/>
        <v>0</v>
      </c>
      <c r="AU99" s="55">
        <f t="shared" si="52"/>
        <v>0</v>
      </c>
      <c r="AW99" s="41">
        <f t="shared" si="57"/>
        <v>0</v>
      </c>
      <c r="AX99" s="41">
        <f t="shared" si="58"/>
        <v>0</v>
      </c>
      <c r="AY99" s="41">
        <f t="shared" si="59"/>
        <v>0</v>
      </c>
      <c r="AZ99" s="41">
        <f t="shared" si="60"/>
        <v>0</v>
      </c>
      <c r="BA99" s="41">
        <f t="shared" si="61"/>
        <v>0</v>
      </c>
      <c r="BB99" s="41">
        <f t="shared" si="62"/>
        <v>0</v>
      </c>
      <c r="BC99" s="41">
        <f t="shared" si="63"/>
        <v>0</v>
      </c>
      <c r="BD99" s="55">
        <f t="shared" si="64"/>
        <v>0</v>
      </c>
      <c r="BF99" s="41">
        <f t="shared" si="53"/>
        <v>0</v>
      </c>
    </row>
    <row r="100" spans="1:58" ht="13.5">
      <c r="A100" s="41" t="str">
        <f>IF(Base!B98="","",Base!B98)</f>
        <v>14.151.454-7</v>
      </c>
      <c r="B100" s="41" t="str">
        <f>IF(Base!F98="","",Base!F98)</f>
        <v>RODRIGO ESTEBAN  LOPEZ  CERVERA</v>
      </c>
      <c r="C100" s="41" t="str">
        <f>IF(Base!I98="","",Base!I98)</f>
        <v>Supervisor</v>
      </c>
      <c r="D100" s="42" t="str">
        <f>IF(Base!J98="","",Base!J98)</f>
        <v>Supervisor</v>
      </c>
      <c r="E100" s="41">
        <f>IF(Base!H98="","",Base!H98)</f>
        <v>1050603</v>
      </c>
      <c r="J100" s="49">
        <v>90</v>
      </c>
      <c r="K100" s="115" t="s">
        <v>950</v>
      </c>
      <c r="L100" s="111" t="str">
        <f t="shared" si="41"/>
        <v>PAULO  SALAZAR  FREYHOFER</v>
      </c>
      <c r="M100" s="111">
        <f t="shared" si="42"/>
        <v>1050581</v>
      </c>
      <c r="N100" s="112" t="str">
        <f t="shared" si="43"/>
        <v>Abastecimiento</v>
      </c>
      <c r="O100" s="112" t="str">
        <f t="shared" si="44"/>
        <v>Supervisor Almacen Insumos</v>
      </c>
      <c r="P100" s="51" t="s">
        <v>1338</v>
      </c>
      <c r="Q100" s="56"/>
      <c r="R100" s="49"/>
      <c r="S100" s="56"/>
      <c r="T100" s="49"/>
      <c r="U100" s="56"/>
      <c r="V100" s="49"/>
      <c r="W100" s="56"/>
      <c r="X100" s="49"/>
      <c r="Y100" s="56"/>
      <c r="Z100" s="49"/>
      <c r="AA100" s="56"/>
      <c r="AB100" s="49"/>
      <c r="AC100" s="56"/>
      <c r="AD100" s="49"/>
      <c r="AE100" s="53">
        <f t="shared" si="54"/>
        <v>0</v>
      </c>
      <c r="AF100" s="53">
        <f t="shared" si="55"/>
        <v>0</v>
      </c>
      <c r="AG100" s="76"/>
      <c r="AL100" s="41" t="str">
        <f t="shared" si="56"/>
        <v>12.647.009-6</v>
      </c>
      <c r="AM100" s="41">
        <v>91</v>
      </c>
      <c r="AN100" s="41">
        <f t="shared" si="45"/>
        <v>0</v>
      </c>
      <c r="AO100" s="41">
        <f t="shared" si="46"/>
        <v>0</v>
      </c>
      <c r="AP100" s="41">
        <f t="shared" si="47"/>
        <v>0</v>
      </c>
      <c r="AQ100" s="41">
        <f t="shared" si="48"/>
        <v>0</v>
      </c>
      <c r="AR100" s="41">
        <f t="shared" si="49"/>
        <v>0</v>
      </c>
      <c r="AS100" s="41">
        <f t="shared" si="50"/>
        <v>0</v>
      </c>
      <c r="AT100" s="41">
        <f t="shared" si="51"/>
        <v>0</v>
      </c>
      <c r="AU100" s="55">
        <f t="shared" si="52"/>
        <v>0</v>
      </c>
      <c r="AW100" s="41">
        <f t="shared" si="57"/>
        <v>0</v>
      </c>
      <c r="AX100" s="41">
        <f t="shared" si="58"/>
        <v>0</v>
      </c>
      <c r="AY100" s="41">
        <f t="shared" si="59"/>
        <v>0</v>
      </c>
      <c r="AZ100" s="41">
        <f t="shared" si="60"/>
        <v>0</v>
      </c>
      <c r="BA100" s="41">
        <f t="shared" si="61"/>
        <v>0</v>
      </c>
      <c r="BB100" s="41">
        <f t="shared" si="62"/>
        <v>0</v>
      </c>
      <c r="BC100" s="41">
        <f t="shared" si="63"/>
        <v>0</v>
      </c>
      <c r="BD100" s="55">
        <f t="shared" si="64"/>
        <v>0</v>
      </c>
      <c r="BF100" s="41">
        <f t="shared" si="53"/>
        <v>0</v>
      </c>
    </row>
    <row r="101" spans="1:58" ht="13.5">
      <c r="A101" s="41" t="str">
        <f>IF(Base!B99="","",Base!B99)</f>
        <v>10.869.222-7</v>
      </c>
      <c r="B101" s="41" t="str">
        <f>IF(Base!F99="","",Base!F99)</f>
        <v>MARCO ANTONIO  MADRID  PINTO</v>
      </c>
      <c r="C101" s="41" t="str">
        <f>IF(Base!I99="","",Base!I99)</f>
        <v>Abastecimiento</v>
      </c>
      <c r="D101" s="42" t="str">
        <f>IF(Base!J99="","",Base!J99)</f>
        <v>Preparación de Insum</v>
      </c>
      <c r="E101" s="41">
        <f>IF(Base!H99="","",Base!H99)</f>
        <v>1050127</v>
      </c>
      <c r="J101" s="49">
        <v>91</v>
      </c>
      <c r="K101" s="115" t="s">
        <v>955</v>
      </c>
      <c r="L101" s="111" t="str">
        <f t="shared" si="41"/>
        <v>HECTOR ENRIQUE  SALAZAR  VIDELA</v>
      </c>
      <c r="M101" s="111">
        <f t="shared" si="42"/>
        <v>1050126</v>
      </c>
      <c r="N101" s="112" t="str">
        <f t="shared" si="43"/>
        <v>Abastecimiento</v>
      </c>
      <c r="O101" s="112" t="str">
        <f t="shared" si="44"/>
        <v>Control Ingresos Cen</v>
      </c>
      <c r="P101" s="51" t="s">
        <v>1322</v>
      </c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3">
        <f t="shared" si="54"/>
        <v>0</v>
      </c>
      <c r="AF101" s="53">
        <f t="shared" si="55"/>
        <v>0</v>
      </c>
      <c r="AG101" s="79"/>
      <c r="AL101" s="41" t="str">
        <f t="shared" si="56"/>
        <v>07.009.784-2</v>
      </c>
      <c r="AM101" s="41">
        <v>92</v>
      </c>
      <c r="AN101" s="41">
        <f t="shared" si="45"/>
        <v>0</v>
      </c>
      <c r="AO101" s="41">
        <f t="shared" si="46"/>
        <v>0</v>
      </c>
      <c r="AP101" s="41">
        <f t="shared" si="47"/>
        <v>0</v>
      </c>
      <c r="AQ101" s="41">
        <f t="shared" si="48"/>
        <v>0</v>
      </c>
      <c r="AR101" s="41">
        <f t="shared" si="49"/>
        <v>0</v>
      </c>
      <c r="AS101" s="41">
        <f t="shared" si="50"/>
        <v>0</v>
      </c>
      <c r="AT101" s="41">
        <f t="shared" si="51"/>
        <v>0</v>
      </c>
      <c r="AU101" s="55">
        <f t="shared" si="52"/>
        <v>0</v>
      </c>
      <c r="AW101" s="41">
        <f t="shared" si="57"/>
        <v>0</v>
      </c>
      <c r="AX101" s="41">
        <f t="shared" si="58"/>
        <v>0</v>
      </c>
      <c r="AY101" s="41">
        <f t="shared" si="59"/>
        <v>0</v>
      </c>
      <c r="AZ101" s="41">
        <f t="shared" si="60"/>
        <v>0</v>
      </c>
      <c r="BA101" s="41">
        <f t="shared" si="61"/>
        <v>0</v>
      </c>
      <c r="BB101" s="41">
        <f t="shared" si="62"/>
        <v>0</v>
      </c>
      <c r="BC101" s="41">
        <f t="shared" si="63"/>
        <v>0</v>
      </c>
      <c r="BD101" s="55">
        <f t="shared" si="64"/>
        <v>0</v>
      </c>
      <c r="BF101" s="41">
        <f t="shared" si="53"/>
        <v>0</v>
      </c>
    </row>
    <row r="102" spans="1:58" ht="13.5">
      <c r="A102" s="41" t="str">
        <f>IF(Base!B100="","",Base!B100)</f>
        <v>11.306.351-3</v>
      </c>
      <c r="B102" s="41" t="str">
        <f>IF(Base!F100="","",Base!F100)</f>
        <v>RUBEN MARCO  MANQUIAN  NORIEGA</v>
      </c>
      <c r="C102" s="41" t="str">
        <f>IF(Base!I100="","",Base!I100)</f>
        <v>Abastecimiento</v>
      </c>
      <c r="D102" s="42" t="str">
        <f>IF(Base!J100="","",Base!J100)</f>
        <v>Control Ingresos Cen</v>
      </c>
      <c r="E102" s="41">
        <f>IF(Base!H100="","",Base!H100)</f>
        <v>1050126</v>
      </c>
      <c r="J102" s="49">
        <v>92</v>
      </c>
      <c r="K102" s="115" t="s">
        <v>960</v>
      </c>
      <c r="L102" s="111" t="str">
        <f t="shared" si="41"/>
        <v>JUAN  SALINAS  CUEVAS</v>
      </c>
      <c r="M102" s="111">
        <f t="shared" si="42"/>
        <v>1050633</v>
      </c>
      <c r="N102" s="112" t="str">
        <f t="shared" si="43"/>
        <v>Abastecimiento</v>
      </c>
      <c r="O102" s="112" t="str">
        <f t="shared" si="44"/>
        <v>Suministro de Líneas</v>
      </c>
      <c r="P102" s="51" t="s">
        <v>4</v>
      </c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3">
        <f t="shared" si="54"/>
        <v>0</v>
      </c>
      <c r="AF102" s="53">
        <f t="shared" si="55"/>
        <v>0</v>
      </c>
      <c r="AG102" s="76"/>
      <c r="AL102" s="41" t="str">
        <f t="shared" si="56"/>
        <v>08.245.727-5</v>
      </c>
      <c r="AM102" s="41">
        <v>93</v>
      </c>
      <c r="AN102" s="41">
        <f t="shared" si="45"/>
        <v>0</v>
      </c>
      <c r="AO102" s="41">
        <f t="shared" si="46"/>
        <v>0</v>
      </c>
      <c r="AP102" s="41">
        <f t="shared" si="47"/>
        <v>0</v>
      </c>
      <c r="AQ102" s="41">
        <f t="shared" si="48"/>
        <v>0</v>
      </c>
      <c r="AR102" s="41">
        <f t="shared" si="49"/>
        <v>0</v>
      </c>
      <c r="AS102" s="41">
        <f t="shared" si="50"/>
        <v>0</v>
      </c>
      <c r="AT102" s="41">
        <f t="shared" si="51"/>
        <v>0</v>
      </c>
      <c r="AU102" s="55">
        <f t="shared" si="52"/>
        <v>0</v>
      </c>
      <c r="AW102" s="41">
        <f t="shared" si="57"/>
        <v>0</v>
      </c>
      <c r="AX102" s="41">
        <f t="shared" si="58"/>
        <v>0</v>
      </c>
      <c r="AY102" s="41">
        <f t="shared" si="59"/>
        <v>0</v>
      </c>
      <c r="AZ102" s="41">
        <f t="shared" si="60"/>
        <v>0</v>
      </c>
      <c r="BA102" s="41">
        <f t="shared" si="61"/>
        <v>0</v>
      </c>
      <c r="BB102" s="41">
        <f t="shared" si="62"/>
        <v>0</v>
      </c>
      <c r="BC102" s="41">
        <f t="shared" si="63"/>
        <v>0</v>
      </c>
      <c r="BD102" s="55">
        <f t="shared" si="64"/>
        <v>0</v>
      </c>
      <c r="BF102" s="41">
        <f t="shared" si="53"/>
        <v>0</v>
      </c>
    </row>
    <row r="103" spans="1:58" ht="13.5">
      <c r="A103" s="41" t="str">
        <f>IF(Base!B101="","",Base!B101)</f>
        <v>12.740.284-1</v>
      </c>
      <c r="B103" s="41" t="str">
        <f>IF(Base!F101="","",Base!F101)</f>
        <v>JUAN CARLOS  MARCHANT  RAMIREZ</v>
      </c>
      <c r="C103" s="41" t="str">
        <f>IF(Base!I101="","",Base!I101)</f>
        <v>Linea 3</v>
      </c>
      <c r="D103" s="42" t="str">
        <f>IF(Base!J101="","",Base!J101)</f>
        <v>Embalador</v>
      </c>
      <c r="E103" s="41">
        <f>IF(Base!H101="","",Base!H101)</f>
        <v>1050556</v>
      </c>
      <c r="J103" s="49">
        <v>93</v>
      </c>
      <c r="K103" s="115" t="s">
        <v>983</v>
      </c>
      <c r="L103" s="111" t="str">
        <f t="shared" si="41"/>
        <v>DANIEL PATRICIO  SANCHEZ  VASQUEZ</v>
      </c>
      <c r="M103" s="111">
        <f t="shared" si="42"/>
        <v>1050581</v>
      </c>
      <c r="N103" s="112" t="str">
        <f t="shared" si="43"/>
        <v>Abastecimiento</v>
      </c>
      <c r="O103" s="112" t="str">
        <f t="shared" si="44"/>
        <v>Almacen Insumos Pque</v>
      </c>
      <c r="P103" s="51" t="s">
        <v>4</v>
      </c>
      <c r="Q103" s="56"/>
      <c r="R103" s="49"/>
      <c r="S103" s="56"/>
      <c r="T103" s="49"/>
      <c r="U103" s="56"/>
      <c r="V103" s="49"/>
      <c r="W103" s="56"/>
      <c r="X103" s="49"/>
      <c r="Y103" s="56"/>
      <c r="Z103" s="49"/>
      <c r="AA103" s="56"/>
      <c r="AB103" s="49"/>
      <c r="AC103" s="56"/>
      <c r="AD103" s="49"/>
      <c r="AE103" s="53">
        <f t="shared" si="54"/>
        <v>0</v>
      </c>
      <c r="AF103" s="53">
        <f t="shared" si="55"/>
        <v>0</v>
      </c>
      <c r="AG103" s="79"/>
      <c r="AL103" s="41" t="str">
        <f t="shared" si="56"/>
        <v>10.835.391-0</v>
      </c>
      <c r="AM103" s="41">
        <v>94</v>
      </c>
      <c r="AN103" s="41">
        <f t="shared" si="45"/>
        <v>0</v>
      </c>
      <c r="AO103" s="41">
        <f t="shared" si="46"/>
        <v>0</v>
      </c>
      <c r="AP103" s="41">
        <f t="shared" si="47"/>
        <v>0</v>
      </c>
      <c r="AQ103" s="41">
        <f t="shared" si="48"/>
        <v>0</v>
      </c>
      <c r="AR103" s="41">
        <f t="shared" si="49"/>
        <v>0</v>
      </c>
      <c r="AS103" s="41">
        <f t="shared" si="50"/>
        <v>0</v>
      </c>
      <c r="AT103" s="41">
        <f t="shared" si="51"/>
        <v>0</v>
      </c>
      <c r="AU103" s="55">
        <f t="shared" si="52"/>
        <v>0</v>
      </c>
      <c r="AW103" s="41">
        <f t="shared" si="57"/>
        <v>0</v>
      </c>
      <c r="AX103" s="41">
        <f t="shared" si="58"/>
        <v>0</v>
      </c>
      <c r="AY103" s="41">
        <f t="shared" si="59"/>
        <v>0</v>
      </c>
      <c r="AZ103" s="41">
        <f t="shared" si="60"/>
        <v>0</v>
      </c>
      <c r="BA103" s="41">
        <f t="shared" si="61"/>
        <v>0</v>
      </c>
      <c r="BB103" s="41">
        <f t="shared" si="62"/>
        <v>0</v>
      </c>
      <c r="BC103" s="41">
        <f t="shared" si="63"/>
        <v>0</v>
      </c>
      <c r="BD103" s="55">
        <f t="shared" si="64"/>
        <v>0</v>
      </c>
      <c r="BF103" s="41">
        <f t="shared" si="53"/>
        <v>0</v>
      </c>
    </row>
    <row r="104" spans="1:58" ht="13.5">
      <c r="A104" s="41" t="str">
        <f>IF(Base!B102="","",Base!B102)</f>
        <v>11.370.436-5</v>
      </c>
      <c r="B104" s="41" t="str">
        <f>IF(Base!F102="","",Base!F102)</f>
        <v>LUIS HUMBERTO  MARDONES  ALVARADO</v>
      </c>
      <c r="C104" s="41" t="str">
        <f>IF(Base!I102="","",Base!I102)</f>
        <v>Abastecimiento</v>
      </c>
      <c r="D104" s="42" t="str">
        <f>IF(Base!J102="","",Base!J102)</f>
        <v>Suministro de Líneas</v>
      </c>
      <c r="E104" s="41">
        <f>IF(Base!H102="","",Base!H102)</f>
        <v>1050633</v>
      </c>
      <c r="J104" s="49">
        <v>94</v>
      </c>
      <c r="K104" s="115" t="s">
        <v>974</v>
      </c>
      <c r="L104" s="111" t="str">
        <f t="shared" si="41"/>
        <v>FREDDY  SANCHEZ  TORRES</v>
      </c>
      <c r="M104" s="111">
        <f t="shared" si="42"/>
        <v>1050161</v>
      </c>
      <c r="N104" s="112" t="str">
        <f t="shared" si="43"/>
        <v>Abastecimiento</v>
      </c>
      <c r="O104" s="112" t="str">
        <f t="shared" si="44"/>
        <v>Control Inventario I</v>
      </c>
      <c r="P104" s="51" t="s">
        <v>1338</v>
      </c>
      <c r="Q104" s="56"/>
      <c r="R104" s="49"/>
      <c r="S104" s="56"/>
      <c r="T104" s="49"/>
      <c r="U104" s="56"/>
      <c r="V104" s="49"/>
      <c r="W104" s="56"/>
      <c r="X104" s="49"/>
      <c r="Y104" s="56"/>
      <c r="Z104" s="49"/>
      <c r="AA104" s="56"/>
      <c r="AB104" s="49"/>
      <c r="AC104" s="56"/>
      <c r="AD104" s="49"/>
      <c r="AE104" s="53">
        <f t="shared" si="54"/>
        <v>0</v>
      </c>
      <c r="AF104" s="53">
        <f t="shared" si="55"/>
        <v>0</v>
      </c>
      <c r="AG104" s="77"/>
      <c r="AL104" s="41" t="str">
        <f t="shared" si="56"/>
        <v>12.500.119-K</v>
      </c>
      <c r="AM104" s="41">
        <v>95</v>
      </c>
      <c r="AN104" s="41">
        <f t="shared" si="45"/>
        <v>0</v>
      </c>
      <c r="AO104" s="41">
        <f t="shared" si="46"/>
        <v>0</v>
      </c>
      <c r="AP104" s="41">
        <f t="shared" si="47"/>
        <v>0</v>
      </c>
      <c r="AQ104" s="41">
        <f t="shared" si="48"/>
        <v>0</v>
      </c>
      <c r="AR104" s="41">
        <f t="shared" si="49"/>
        <v>0</v>
      </c>
      <c r="AS104" s="41">
        <f t="shared" si="50"/>
        <v>0</v>
      </c>
      <c r="AT104" s="41">
        <f t="shared" si="51"/>
        <v>0</v>
      </c>
      <c r="AU104" s="55">
        <f t="shared" si="52"/>
        <v>0</v>
      </c>
      <c r="AW104" s="41">
        <f t="shared" si="57"/>
        <v>0</v>
      </c>
      <c r="AX104" s="41">
        <f t="shared" si="58"/>
        <v>0</v>
      </c>
      <c r="AY104" s="41">
        <f t="shared" si="59"/>
        <v>0</v>
      </c>
      <c r="AZ104" s="41">
        <f t="shared" si="60"/>
        <v>0</v>
      </c>
      <c r="BA104" s="41">
        <f t="shared" si="61"/>
        <v>0</v>
      </c>
      <c r="BB104" s="41">
        <f t="shared" si="62"/>
        <v>0</v>
      </c>
      <c r="BC104" s="41">
        <f t="shared" si="63"/>
        <v>0</v>
      </c>
      <c r="BD104" s="55">
        <f t="shared" si="64"/>
        <v>0</v>
      </c>
      <c r="BF104" s="41">
        <f t="shared" si="53"/>
        <v>0</v>
      </c>
    </row>
    <row r="105" spans="1:58" ht="13.5">
      <c r="A105" s="41" t="str">
        <f>IF(Base!B103="","",Base!B103)</f>
        <v>09.081.025-1</v>
      </c>
      <c r="B105" s="41" t="str">
        <f>IF(Base!F103="","",Base!F103)</f>
        <v>SERGIO SEGUNDO  MARDONES  ALVARADO</v>
      </c>
      <c r="C105" s="41" t="str">
        <f>IF(Base!I103="","",Base!I103)</f>
        <v>Abastecimiento</v>
      </c>
      <c r="D105" s="42" t="str">
        <f>IF(Base!J103="","",Base!J103)</f>
        <v>Suministro de Líneas</v>
      </c>
      <c r="E105" s="41">
        <f>IF(Base!H103="","",Base!H103)</f>
        <v>1050633</v>
      </c>
      <c r="J105" s="49">
        <v>95</v>
      </c>
      <c r="K105" s="115" t="s">
        <v>979</v>
      </c>
      <c r="L105" s="111" t="str">
        <f t="shared" si="41"/>
        <v>MARCELINO JHONATTAN  SANCHEZ  TORRES</v>
      </c>
      <c r="M105" s="111">
        <f t="shared" si="42"/>
        <v>1050126</v>
      </c>
      <c r="N105" s="112" t="str">
        <f t="shared" si="43"/>
        <v>Abastecimiento</v>
      </c>
      <c r="O105" s="112" t="str">
        <f t="shared" si="44"/>
        <v>Control Ingresos Cen</v>
      </c>
      <c r="P105" s="51" t="s">
        <v>1322</v>
      </c>
      <c r="Q105" s="56"/>
      <c r="R105" s="49"/>
      <c r="S105" s="56"/>
      <c r="T105" s="49"/>
      <c r="U105" s="56"/>
      <c r="V105" s="49"/>
      <c r="W105" s="56"/>
      <c r="X105" s="49"/>
      <c r="Y105" s="56"/>
      <c r="Z105" s="49"/>
      <c r="AA105" s="56"/>
      <c r="AB105" s="49"/>
      <c r="AC105" s="56"/>
      <c r="AD105" s="49"/>
      <c r="AE105" s="53">
        <f t="shared" si="54"/>
        <v>0</v>
      </c>
      <c r="AF105" s="53">
        <f t="shared" si="55"/>
        <v>0</v>
      </c>
      <c r="AG105" s="76" t="s">
        <v>1366</v>
      </c>
      <c r="AL105" s="41" t="str">
        <f t="shared" si="56"/>
        <v>13.701.209-K</v>
      </c>
      <c r="AM105" s="41">
        <v>96</v>
      </c>
      <c r="AN105" s="41">
        <f t="shared" si="45"/>
        <v>0</v>
      </c>
      <c r="AO105" s="41">
        <f t="shared" si="46"/>
        <v>0</v>
      </c>
      <c r="AP105" s="41">
        <f t="shared" si="47"/>
        <v>0</v>
      </c>
      <c r="AQ105" s="41">
        <f t="shared" si="48"/>
        <v>0</v>
      </c>
      <c r="AR105" s="41">
        <f t="shared" si="49"/>
        <v>0</v>
      </c>
      <c r="AS105" s="41">
        <f t="shared" si="50"/>
        <v>0</v>
      </c>
      <c r="AT105" s="41">
        <f t="shared" si="51"/>
        <v>0</v>
      </c>
      <c r="AU105" s="55">
        <f t="shared" si="52"/>
        <v>0</v>
      </c>
      <c r="AW105" s="41">
        <f t="shared" si="57"/>
        <v>0</v>
      </c>
      <c r="AX105" s="41">
        <f t="shared" si="58"/>
        <v>0</v>
      </c>
      <c r="AY105" s="41">
        <f t="shared" si="59"/>
        <v>0</v>
      </c>
      <c r="AZ105" s="41">
        <f t="shared" si="60"/>
        <v>0</v>
      </c>
      <c r="BA105" s="41">
        <f t="shared" si="61"/>
        <v>0</v>
      </c>
      <c r="BB105" s="41">
        <f t="shared" si="62"/>
        <v>0</v>
      </c>
      <c r="BC105" s="41">
        <f t="shared" si="63"/>
        <v>0</v>
      </c>
      <c r="BD105" s="55">
        <f t="shared" si="64"/>
        <v>0</v>
      </c>
      <c r="BF105" s="41">
        <f t="shared" si="53"/>
        <v>0</v>
      </c>
    </row>
    <row r="106" spans="1:58" ht="13.5">
      <c r="A106" s="41" t="str">
        <f>IF(Base!B104="","",Base!B104)</f>
        <v>13.835.848-8</v>
      </c>
      <c r="B106" s="41" t="str">
        <f>IF(Base!F104="","",Base!F104)</f>
        <v>MARION RAQUEL  MARIN  MOSCOSO</v>
      </c>
      <c r="C106" s="41" t="str">
        <f>IF(Base!I104="","",Base!I104)</f>
        <v>Abastecimiento</v>
      </c>
      <c r="D106" s="42" t="str">
        <f>IF(Base!J104="","",Base!J104)</f>
        <v>Almacen Insumos Pque</v>
      </c>
      <c r="E106" s="41">
        <f>IF(Base!H104="","",Base!H104)</f>
        <v>1050581</v>
      </c>
      <c r="J106" s="49">
        <v>96</v>
      </c>
      <c r="K106" s="115" t="s">
        <v>991</v>
      </c>
      <c r="L106" s="111" t="str">
        <f t="shared" si="41"/>
        <v>LORENZO ARTURO  SANDOVAL  ALTAMIRANO</v>
      </c>
      <c r="M106" s="111">
        <f t="shared" si="42"/>
        <v>1050581</v>
      </c>
      <c r="N106" s="112" t="str">
        <f t="shared" si="43"/>
        <v>Abastecimiento</v>
      </c>
      <c r="O106" s="112" t="str">
        <f t="shared" si="44"/>
        <v>Almacen Insumos Pque</v>
      </c>
      <c r="P106" s="51" t="s">
        <v>4</v>
      </c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3">
        <f t="shared" si="54"/>
        <v>0</v>
      </c>
      <c r="AF106" s="53">
        <f t="shared" si="55"/>
        <v>0</v>
      </c>
      <c r="AG106" s="76"/>
      <c r="AL106" s="41" t="str">
        <f t="shared" si="56"/>
        <v>16.691.386-1</v>
      </c>
      <c r="AM106" s="41">
        <v>97</v>
      </c>
      <c r="AN106" s="41">
        <f t="shared" si="45"/>
        <v>0</v>
      </c>
      <c r="AO106" s="41">
        <f t="shared" si="46"/>
        <v>0</v>
      </c>
      <c r="AP106" s="41">
        <f t="shared" si="47"/>
        <v>0</v>
      </c>
      <c r="AQ106" s="41">
        <f t="shared" si="48"/>
        <v>0</v>
      </c>
      <c r="AR106" s="41">
        <f t="shared" si="49"/>
        <v>0</v>
      </c>
      <c r="AS106" s="41">
        <f t="shared" si="50"/>
        <v>0</v>
      </c>
      <c r="AT106" s="41">
        <f t="shared" si="51"/>
        <v>0</v>
      </c>
      <c r="AU106" s="55">
        <f t="shared" si="52"/>
        <v>0</v>
      </c>
      <c r="AW106" s="41">
        <f t="shared" si="57"/>
        <v>0</v>
      </c>
      <c r="AX106" s="41">
        <f t="shared" si="58"/>
        <v>0</v>
      </c>
      <c r="AY106" s="41">
        <f t="shared" si="59"/>
        <v>0</v>
      </c>
      <c r="AZ106" s="41">
        <f t="shared" si="60"/>
        <v>0</v>
      </c>
      <c r="BA106" s="41">
        <f t="shared" si="61"/>
        <v>0</v>
      </c>
      <c r="BB106" s="41">
        <f t="shared" si="62"/>
        <v>0</v>
      </c>
      <c r="BC106" s="41">
        <f t="shared" si="63"/>
        <v>0</v>
      </c>
      <c r="BD106" s="55">
        <f t="shared" si="64"/>
        <v>0</v>
      </c>
      <c r="BF106" s="41">
        <f t="shared" si="53"/>
        <v>0</v>
      </c>
    </row>
    <row r="107" spans="1:58" ht="13.5">
      <c r="A107" s="41" t="str">
        <f>IF(Base!B105="","",Base!B105)</f>
        <v>13.077.995-6</v>
      </c>
      <c r="B107" s="41" t="str">
        <f>IF(Base!F105="","",Base!F105)</f>
        <v>FRANCISCO ANTONIO  MARTINEZ  OSSES</v>
      </c>
      <c r="C107" s="41" t="str">
        <f>IF(Base!I105="","",Base!I105)</f>
        <v xml:space="preserve">Setup </v>
      </c>
      <c r="D107" s="42" t="str">
        <f>IF(Base!J105="","",Base!J105)</f>
        <v xml:space="preserve">Setup </v>
      </c>
      <c r="E107" s="41">
        <f>IF(Base!H105="","",Base!H105)</f>
        <v>1050529</v>
      </c>
      <c r="J107" s="49">
        <v>97</v>
      </c>
      <c r="K107" s="115" t="s">
        <v>987</v>
      </c>
      <c r="L107" s="111" t="str">
        <f t="shared" si="41"/>
        <v>VICTOR H.  SANDOVAL  ACUÑA</v>
      </c>
      <c r="M107" s="111">
        <f t="shared" si="42"/>
        <v>1050633</v>
      </c>
      <c r="N107" s="112" t="str">
        <f t="shared" si="43"/>
        <v>Abastecimiento</v>
      </c>
      <c r="O107" s="112" t="str">
        <f t="shared" si="44"/>
        <v>Suministro de Líneas</v>
      </c>
      <c r="P107" s="51" t="s">
        <v>1322</v>
      </c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3">
        <f t="shared" si="54"/>
        <v>0</v>
      </c>
      <c r="AF107" s="53">
        <f t="shared" si="55"/>
        <v>0</v>
      </c>
      <c r="AG107" s="76" t="s">
        <v>1366</v>
      </c>
      <c r="AL107" s="41" t="str">
        <f t="shared" si="56"/>
        <v>08.618.882-1</v>
      </c>
      <c r="AM107" s="41">
        <v>98</v>
      </c>
      <c r="AN107" s="41">
        <f t="shared" si="45"/>
        <v>0</v>
      </c>
      <c r="AO107" s="41">
        <f t="shared" si="46"/>
        <v>0</v>
      </c>
      <c r="AP107" s="41">
        <f t="shared" si="47"/>
        <v>0</v>
      </c>
      <c r="AQ107" s="41">
        <f t="shared" si="48"/>
        <v>0</v>
      </c>
      <c r="AR107" s="41">
        <f t="shared" si="49"/>
        <v>0</v>
      </c>
      <c r="AS107" s="41">
        <f t="shared" si="50"/>
        <v>0</v>
      </c>
      <c r="AT107" s="41">
        <f t="shared" si="51"/>
        <v>0</v>
      </c>
      <c r="AU107" s="55">
        <f t="shared" si="52"/>
        <v>0</v>
      </c>
      <c r="AW107" s="41">
        <f t="shared" si="57"/>
        <v>0</v>
      </c>
      <c r="AX107" s="41">
        <f t="shared" si="58"/>
        <v>0</v>
      </c>
      <c r="AY107" s="41">
        <f t="shared" si="59"/>
        <v>0</v>
      </c>
      <c r="AZ107" s="41">
        <f t="shared" si="60"/>
        <v>0</v>
      </c>
      <c r="BA107" s="41">
        <f t="shared" si="61"/>
        <v>0</v>
      </c>
      <c r="BB107" s="41">
        <f t="shared" si="62"/>
        <v>0</v>
      </c>
      <c r="BC107" s="41">
        <f t="shared" si="63"/>
        <v>0</v>
      </c>
      <c r="BD107" s="55">
        <f t="shared" si="64"/>
        <v>0</v>
      </c>
      <c r="BF107" s="41">
        <f t="shared" si="53"/>
        <v>0</v>
      </c>
    </row>
    <row r="108" spans="1:58" ht="14.25">
      <c r="A108" s="41" t="str">
        <f>IF(Base!B106="","",Base!B106)</f>
        <v>14.005.554-9</v>
      </c>
      <c r="B108" s="41" t="str">
        <f>IF(Base!F106="","",Base!F106)</f>
        <v>LUIS  MATURANA  SANDOVAL</v>
      </c>
      <c r="C108" s="41" t="str">
        <f>IF(Base!I106="","",Base!I106)</f>
        <v>Linea 3</v>
      </c>
      <c r="D108" s="42" t="str">
        <f>IF(Base!J106="","",Base!J106)</f>
        <v>Embalador</v>
      </c>
      <c r="E108" s="41">
        <f>IF(Base!H106="","",Base!H106)</f>
        <v>1050556</v>
      </c>
      <c r="J108" s="49">
        <v>98</v>
      </c>
      <c r="K108" s="115" t="s">
        <v>1005</v>
      </c>
      <c r="L108" s="111" t="str">
        <f t="shared" ref="L108:L139" si="65">IF(K108="","",VLOOKUP($K108,A:D,2,FALSE))</f>
        <v>MAGALY ANDREA  SEPULVEDA  ARAVENA</v>
      </c>
      <c r="M108" s="111">
        <f t="shared" ref="M108:M139" si="66">IF(K108="","",VLOOKUP(K108,A:E,5,FALSE))</f>
        <v>1050127</v>
      </c>
      <c r="N108" s="112" t="str">
        <f t="shared" si="43"/>
        <v>Abastecimiento</v>
      </c>
      <c r="O108" s="112" t="str">
        <f t="shared" si="44"/>
        <v>Preparación de Insum</v>
      </c>
      <c r="P108" s="51" t="s">
        <v>1324</v>
      </c>
      <c r="Q108" s="56"/>
      <c r="R108" s="117">
        <v>7.5</v>
      </c>
      <c r="S108" s="56"/>
      <c r="T108" s="49"/>
      <c r="U108" s="56"/>
      <c r="V108" s="49"/>
      <c r="W108" s="56"/>
      <c r="X108" s="49"/>
      <c r="Y108" s="56"/>
      <c r="Z108" s="49"/>
      <c r="AA108" s="56"/>
      <c r="AB108" s="49"/>
      <c r="AC108" s="56"/>
      <c r="AD108" s="49"/>
      <c r="AE108" s="53">
        <f t="shared" si="54"/>
        <v>0</v>
      </c>
      <c r="AF108" s="53">
        <f t="shared" si="55"/>
        <v>7.5</v>
      </c>
      <c r="AG108" s="76"/>
      <c r="AL108" s="41" t="str">
        <f t="shared" si="56"/>
        <v>13.079.999-K</v>
      </c>
      <c r="AM108" s="41">
        <v>99</v>
      </c>
      <c r="AN108" s="41">
        <f t="shared" si="45"/>
        <v>0</v>
      </c>
      <c r="AO108" s="41">
        <f t="shared" si="46"/>
        <v>0</v>
      </c>
      <c r="AP108" s="41">
        <f t="shared" si="47"/>
        <v>0</v>
      </c>
      <c r="AQ108" s="41">
        <f t="shared" si="48"/>
        <v>0</v>
      </c>
      <c r="AR108" s="41">
        <f t="shared" si="49"/>
        <v>0</v>
      </c>
      <c r="AS108" s="41">
        <f t="shared" si="50"/>
        <v>0</v>
      </c>
      <c r="AT108" s="41">
        <f t="shared" si="51"/>
        <v>0</v>
      </c>
      <c r="AU108" s="55">
        <f t="shared" si="52"/>
        <v>0</v>
      </c>
      <c r="AW108" s="41">
        <f t="shared" si="57"/>
        <v>7.5</v>
      </c>
      <c r="AX108" s="41">
        <f t="shared" si="58"/>
        <v>0</v>
      </c>
      <c r="AY108" s="41">
        <f t="shared" si="59"/>
        <v>0</v>
      </c>
      <c r="AZ108" s="41">
        <f t="shared" si="60"/>
        <v>0</v>
      </c>
      <c r="BA108" s="41">
        <f t="shared" si="61"/>
        <v>0</v>
      </c>
      <c r="BB108" s="41">
        <f t="shared" si="62"/>
        <v>0</v>
      </c>
      <c r="BC108" s="41">
        <f t="shared" si="63"/>
        <v>0</v>
      </c>
      <c r="BD108" s="55">
        <f t="shared" si="64"/>
        <v>7.5</v>
      </c>
      <c r="BF108" s="41">
        <f t="shared" si="53"/>
        <v>7.5</v>
      </c>
    </row>
    <row r="109" spans="1:58" ht="13.5">
      <c r="A109" s="41" t="str">
        <f>IF(Base!B107="","",Base!B107)</f>
        <v>10.157.067-3</v>
      </c>
      <c r="B109" s="41" t="str">
        <f>IF(Base!F107="","",Base!F107)</f>
        <v>MIGUEL ALBERTO  MELLA  FRIAS</v>
      </c>
      <c r="C109" s="41" t="str">
        <f>IF(Base!I107="","",Base!I107)</f>
        <v>Abastecimiento</v>
      </c>
      <c r="D109" s="42" t="str">
        <f>IF(Base!J107="","",Base!J107)</f>
        <v>Control Ingresos Cen</v>
      </c>
      <c r="E109" s="41">
        <f>IF(Base!H107="","",Base!H107)</f>
        <v>1050126</v>
      </c>
      <c r="J109" s="49">
        <v>99</v>
      </c>
      <c r="K109" s="115" t="s">
        <v>1028</v>
      </c>
      <c r="L109" s="111" t="str">
        <f t="shared" si="65"/>
        <v>ORLANDINO GUMERCINDO  TAPIA  OLIVARES</v>
      </c>
      <c r="M109" s="111">
        <f t="shared" si="66"/>
        <v>1050633</v>
      </c>
      <c r="N109" s="112" t="str">
        <f t="shared" si="43"/>
        <v>Abastecimiento</v>
      </c>
      <c r="O109" s="112" t="str">
        <f t="shared" si="44"/>
        <v>Suministro de Líneas</v>
      </c>
      <c r="P109" s="51" t="s">
        <v>4</v>
      </c>
      <c r="Q109" s="56"/>
      <c r="R109" s="49"/>
      <c r="S109" s="56"/>
      <c r="T109" s="49"/>
      <c r="U109" s="56"/>
      <c r="V109" s="49"/>
      <c r="W109" s="56"/>
      <c r="X109" s="49"/>
      <c r="Y109" s="56"/>
      <c r="Z109" s="49"/>
      <c r="AA109" s="56"/>
      <c r="AB109" s="49"/>
      <c r="AC109" s="56"/>
      <c r="AD109" s="49"/>
      <c r="AE109" s="53">
        <f t="shared" si="54"/>
        <v>0</v>
      </c>
      <c r="AF109" s="53">
        <f t="shared" si="55"/>
        <v>0</v>
      </c>
      <c r="AG109" s="79"/>
      <c r="AL109" s="41" t="str">
        <f t="shared" si="56"/>
        <v>06.467.952-K</v>
      </c>
      <c r="AM109" s="41">
        <v>100</v>
      </c>
      <c r="AN109" s="41">
        <f t="shared" si="45"/>
        <v>0</v>
      </c>
      <c r="AO109" s="41">
        <f t="shared" si="46"/>
        <v>0</v>
      </c>
      <c r="AP109" s="41">
        <f t="shared" si="47"/>
        <v>0</v>
      </c>
      <c r="AQ109" s="41">
        <f t="shared" si="48"/>
        <v>0</v>
      </c>
      <c r="AR109" s="41">
        <f t="shared" si="49"/>
        <v>0</v>
      </c>
      <c r="AS109" s="41">
        <f t="shared" si="50"/>
        <v>0</v>
      </c>
      <c r="AT109" s="41">
        <f t="shared" si="51"/>
        <v>0</v>
      </c>
      <c r="AU109" s="55">
        <f t="shared" si="52"/>
        <v>0</v>
      </c>
      <c r="AW109" s="41">
        <f t="shared" si="57"/>
        <v>0</v>
      </c>
      <c r="AX109" s="41">
        <f t="shared" si="58"/>
        <v>0</v>
      </c>
      <c r="AY109" s="41">
        <f t="shared" si="59"/>
        <v>0</v>
      </c>
      <c r="AZ109" s="41">
        <f t="shared" si="60"/>
        <v>0</v>
      </c>
      <c r="BA109" s="41">
        <f t="shared" si="61"/>
        <v>0</v>
      </c>
      <c r="BB109" s="41">
        <f t="shared" si="62"/>
        <v>0</v>
      </c>
      <c r="BC109" s="41">
        <f t="shared" si="63"/>
        <v>0</v>
      </c>
      <c r="BD109" s="55">
        <f t="shared" si="64"/>
        <v>0</v>
      </c>
      <c r="BF109" s="41">
        <f t="shared" si="53"/>
        <v>0</v>
      </c>
    </row>
    <row r="110" spans="1:58" ht="13.5">
      <c r="A110" s="41" t="str">
        <f>IF(Base!B108="","",Base!B108)</f>
        <v>17.755.770-6</v>
      </c>
      <c r="B110" s="41" t="str">
        <f>IF(Base!F108="","",Base!F108)</f>
        <v>CRISTIAN EDUARDO  MEZA  MEZA</v>
      </c>
      <c r="C110" s="41" t="str">
        <f>IF(Base!I108="","",Base!I108)</f>
        <v>Linea 7</v>
      </c>
      <c r="D110" s="42" t="str">
        <f>IF(Base!J108="","",Base!J108)</f>
        <v>Despalletizador</v>
      </c>
      <c r="E110" s="41">
        <f>IF(Base!H108="","",Base!H108)</f>
        <v>1050615</v>
      </c>
      <c r="J110" s="49">
        <v>100</v>
      </c>
      <c r="K110" s="115" t="s">
        <v>1062</v>
      </c>
      <c r="L110" s="111" t="str">
        <f t="shared" si="65"/>
        <v>MARCO ANTONIO  VARGAS  MORENO</v>
      </c>
      <c r="M110" s="111">
        <f t="shared" si="66"/>
        <v>1050633</v>
      </c>
      <c r="N110" s="112" t="str">
        <f t="shared" si="43"/>
        <v>Abastecimiento</v>
      </c>
      <c r="O110" s="112" t="str">
        <f t="shared" si="44"/>
        <v>Suministro de Líneas</v>
      </c>
      <c r="P110" s="51" t="s">
        <v>1322</v>
      </c>
      <c r="Q110" s="56"/>
      <c r="R110" s="49"/>
      <c r="S110" s="56"/>
      <c r="T110" s="49"/>
      <c r="U110" s="56"/>
      <c r="V110" s="49"/>
      <c r="W110" s="56"/>
      <c r="X110" s="49"/>
      <c r="Y110" s="56"/>
      <c r="Z110" s="49"/>
      <c r="AA110" s="56"/>
      <c r="AB110" s="49"/>
      <c r="AC110" s="56"/>
      <c r="AD110" s="49"/>
      <c r="AE110" s="53">
        <f t="shared" si="54"/>
        <v>0</v>
      </c>
      <c r="AF110" s="53">
        <f t="shared" si="55"/>
        <v>0</v>
      </c>
      <c r="AG110" s="77"/>
      <c r="AL110" s="41" t="str">
        <f t="shared" si="56"/>
        <v>10.572.816-6</v>
      </c>
      <c r="AM110" s="41">
        <v>101</v>
      </c>
      <c r="AN110" s="41">
        <f t="shared" si="45"/>
        <v>0</v>
      </c>
      <c r="AO110" s="41">
        <f t="shared" si="46"/>
        <v>0</v>
      </c>
      <c r="AP110" s="41">
        <f t="shared" si="47"/>
        <v>0</v>
      </c>
      <c r="AQ110" s="41">
        <f t="shared" si="48"/>
        <v>0</v>
      </c>
      <c r="AR110" s="41">
        <f t="shared" si="49"/>
        <v>0</v>
      </c>
      <c r="AS110" s="41">
        <f t="shared" si="50"/>
        <v>0</v>
      </c>
      <c r="AT110" s="41">
        <f t="shared" si="51"/>
        <v>0</v>
      </c>
      <c r="AU110" s="55">
        <f t="shared" si="52"/>
        <v>0</v>
      </c>
      <c r="AW110" s="41">
        <f t="shared" si="57"/>
        <v>0</v>
      </c>
      <c r="AX110" s="41">
        <f t="shared" si="58"/>
        <v>0</v>
      </c>
      <c r="AY110" s="41">
        <f t="shared" si="59"/>
        <v>0</v>
      </c>
      <c r="AZ110" s="41">
        <f t="shared" si="60"/>
        <v>0</v>
      </c>
      <c r="BA110" s="41">
        <f t="shared" si="61"/>
        <v>0</v>
      </c>
      <c r="BB110" s="41">
        <f t="shared" si="62"/>
        <v>0</v>
      </c>
      <c r="BC110" s="41">
        <f t="shared" si="63"/>
        <v>0</v>
      </c>
      <c r="BD110" s="55">
        <f t="shared" si="64"/>
        <v>0</v>
      </c>
      <c r="BF110" s="41">
        <f t="shared" si="53"/>
        <v>0</v>
      </c>
    </row>
    <row r="111" spans="1:58" ht="13.5">
      <c r="A111" s="41" t="str">
        <f>IF(Base!B109="","",Base!B109)</f>
        <v>13.834.251-4</v>
      </c>
      <c r="B111" s="41" t="str">
        <f>IF(Base!F109="","",Base!F109)</f>
        <v>MARIA ELIANA  MILLAN  HERRERA</v>
      </c>
      <c r="C111" s="41" t="str">
        <f>IF(Base!I109="","",Base!I109)</f>
        <v>Abastecimiento</v>
      </c>
      <c r="D111" s="42" t="str">
        <f>IF(Base!J109="","",Base!J109)</f>
        <v>Suministro de Líneas</v>
      </c>
      <c r="E111" s="41">
        <f>IF(Base!H109="","",Base!H109)</f>
        <v>1050633</v>
      </c>
      <c r="J111" s="49">
        <v>101</v>
      </c>
      <c r="K111" s="115"/>
      <c r="L111" s="111" t="str">
        <f t="shared" si="65"/>
        <v/>
      </c>
      <c r="M111" s="111" t="str">
        <f t="shared" si="66"/>
        <v/>
      </c>
      <c r="N111" s="112" t="str">
        <f t="shared" si="43"/>
        <v/>
      </c>
      <c r="O111" s="112" t="str">
        <f t="shared" si="44"/>
        <v/>
      </c>
      <c r="P111" s="51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3">
        <f t="shared" si="54"/>
        <v>0</v>
      </c>
      <c r="AF111" s="53">
        <f t="shared" si="55"/>
        <v>0</v>
      </c>
      <c r="AG111" s="54"/>
      <c r="AL111" s="41" t="str">
        <f t="shared" si="56"/>
        <v/>
      </c>
      <c r="AM111" s="41">
        <v>102</v>
      </c>
      <c r="AN111" s="41">
        <f t="shared" si="45"/>
        <v>0</v>
      </c>
      <c r="AO111" s="41">
        <f t="shared" si="46"/>
        <v>0</v>
      </c>
      <c r="AP111" s="41">
        <f t="shared" si="47"/>
        <v>0</v>
      </c>
      <c r="AQ111" s="41">
        <f t="shared" si="48"/>
        <v>0</v>
      </c>
      <c r="AR111" s="41">
        <f t="shared" si="49"/>
        <v>0</v>
      </c>
      <c r="AS111" s="41">
        <f t="shared" si="50"/>
        <v>0</v>
      </c>
      <c r="AT111" s="41">
        <f t="shared" si="51"/>
        <v>0</v>
      </c>
      <c r="AU111" s="55">
        <f t="shared" si="52"/>
        <v>0</v>
      </c>
      <c r="AW111" s="41">
        <f t="shared" si="57"/>
        <v>0</v>
      </c>
      <c r="AX111" s="41">
        <f t="shared" si="58"/>
        <v>0</v>
      </c>
      <c r="AY111" s="41">
        <f t="shared" si="59"/>
        <v>0</v>
      </c>
      <c r="AZ111" s="41">
        <f t="shared" si="60"/>
        <v>0</v>
      </c>
      <c r="BA111" s="41">
        <f t="shared" si="61"/>
        <v>0</v>
      </c>
      <c r="BB111" s="41">
        <f t="shared" si="62"/>
        <v>0</v>
      </c>
      <c r="BC111" s="41">
        <f t="shared" si="63"/>
        <v>0</v>
      </c>
      <c r="BD111" s="55">
        <f t="shared" si="64"/>
        <v>0</v>
      </c>
      <c r="BF111" s="41">
        <f t="shared" si="53"/>
        <v>0</v>
      </c>
    </row>
    <row r="112" spans="1:58" ht="13.5">
      <c r="A112" s="41" t="str">
        <f>IF(Base!B110="","",Base!B110)</f>
        <v>16.266.873-0</v>
      </c>
      <c r="B112" s="41" t="str">
        <f>IF(Base!F110="","",Base!F110)</f>
        <v>CARLOS  MONTANARES  MONTANARES</v>
      </c>
      <c r="C112" s="41" t="str">
        <f>IF(Base!I110="","",Base!I110)</f>
        <v>Linea 3</v>
      </c>
      <c r="D112" s="42" t="str">
        <f>IF(Base!J110="","",Base!J110)</f>
        <v>Despalletizador</v>
      </c>
      <c r="E112" s="41">
        <f>IF(Base!H110="","",Base!H110)</f>
        <v>1050555</v>
      </c>
      <c r="J112" s="49">
        <v>102</v>
      </c>
      <c r="K112" s="115"/>
      <c r="L112" s="111" t="str">
        <f t="shared" si="65"/>
        <v/>
      </c>
      <c r="M112" s="111" t="str">
        <f t="shared" si="66"/>
        <v/>
      </c>
      <c r="N112" s="112" t="str">
        <f t="shared" si="43"/>
        <v/>
      </c>
      <c r="O112" s="112" t="str">
        <f t="shared" si="44"/>
        <v/>
      </c>
      <c r="P112" s="51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3">
        <f t="shared" si="54"/>
        <v>0</v>
      </c>
      <c r="AF112" s="53">
        <f t="shared" si="55"/>
        <v>0</v>
      </c>
      <c r="AG112" s="54"/>
      <c r="AL112" s="41" t="str">
        <f t="shared" si="56"/>
        <v/>
      </c>
      <c r="AM112" s="41">
        <v>103</v>
      </c>
      <c r="AN112" s="41">
        <f t="shared" si="45"/>
        <v>0</v>
      </c>
      <c r="AO112" s="41">
        <f t="shared" si="46"/>
        <v>0</v>
      </c>
      <c r="AP112" s="41">
        <f t="shared" si="47"/>
        <v>0</v>
      </c>
      <c r="AQ112" s="41">
        <f t="shared" si="48"/>
        <v>0</v>
      </c>
      <c r="AR112" s="41">
        <f t="shared" si="49"/>
        <v>0</v>
      </c>
      <c r="AS112" s="41">
        <f t="shared" si="50"/>
        <v>0</v>
      </c>
      <c r="AT112" s="41">
        <f t="shared" si="51"/>
        <v>0</v>
      </c>
      <c r="AU112" s="55">
        <f t="shared" si="52"/>
        <v>0</v>
      </c>
      <c r="AW112" s="41">
        <f t="shared" si="57"/>
        <v>0</v>
      </c>
      <c r="AX112" s="41">
        <f t="shared" si="58"/>
        <v>0</v>
      </c>
      <c r="AY112" s="41">
        <f t="shared" si="59"/>
        <v>0</v>
      </c>
      <c r="AZ112" s="41">
        <f t="shared" si="60"/>
        <v>0</v>
      </c>
      <c r="BA112" s="41">
        <f t="shared" si="61"/>
        <v>0</v>
      </c>
      <c r="BB112" s="41">
        <f t="shared" si="62"/>
        <v>0</v>
      </c>
      <c r="BC112" s="41">
        <f t="shared" si="63"/>
        <v>0</v>
      </c>
      <c r="BD112" s="55">
        <f t="shared" si="64"/>
        <v>0</v>
      </c>
      <c r="BF112" s="41">
        <f t="shared" si="53"/>
        <v>0</v>
      </c>
    </row>
    <row r="113" spans="1:58" ht="13.5">
      <c r="A113" s="41" t="str">
        <f>IF(Base!B111="","",Base!B111)</f>
        <v>10.407.614-9</v>
      </c>
      <c r="B113" s="41" t="str">
        <f>IF(Base!F111="","",Base!F111)</f>
        <v>CARLOS ALEJANDRO  MORA  MORA</v>
      </c>
      <c r="C113" s="41" t="str">
        <f>IF(Base!I111="","",Base!I111)</f>
        <v>Abastecimiento</v>
      </c>
      <c r="D113" s="42" t="str">
        <f>IF(Base!J111="","",Base!J111)</f>
        <v>Preparación de Insum</v>
      </c>
      <c r="E113" s="41">
        <f>IF(Base!H111="","",Base!H111)</f>
        <v>1050127</v>
      </c>
      <c r="J113" s="49">
        <v>103</v>
      </c>
      <c r="K113" s="115"/>
      <c r="L113" s="111" t="str">
        <f t="shared" si="65"/>
        <v/>
      </c>
      <c r="M113" s="111" t="str">
        <f t="shared" si="66"/>
        <v/>
      </c>
      <c r="N113" s="112" t="str">
        <f t="shared" si="43"/>
        <v/>
      </c>
      <c r="O113" s="112" t="str">
        <f t="shared" si="44"/>
        <v/>
      </c>
      <c r="P113" s="51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3">
        <f t="shared" si="54"/>
        <v>0</v>
      </c>
      <c r="AF113" s="53">
        <f t="shared" si="55"/>
        <v>0</v>
      </c>
      <c r="AG113" s="54"/>
      <c r="AL113" s="41" t="str">
        <f t="shared" si="56"/>
        <v/>
      </c>
      <c r="AM113" s="41">
        <v>104</v>
      </c>
      <c r="AN113" s="41">
        <f t="shared" si="45"/>
        <v>0</v>
      </c>
      <c r="AO113" s="41">
        <f t="shared" si="46"/>
        <v>0</v>
      </c>
      <c r="AP113" s="41">
        <f t="shared" si="47"/>
        <v>0</v>
      </c>
      <c r="AQ113" s="41">
        <f t="shared" si="48"/>
        <v>0</v>
      </c>
      <c r="AR113" s="41">
        <f t="shared" si="49"/>
        <v>0</v>
      </c>
      <c r="AS113" s="41">
        <f t="shared" si="50"/>
        <v>0</v>
      </c>
      <c r="AT113" s="41">
        <f t="shared" si="51"/>
        <v>0</v>
      </c>
      <c r="AU113" s="55">
        <f t="shared" si="52"/>
        <v>0</v>
      </c>
      <c r="AW113" s="41">
        <f t="shared" si="57"/>
        <v>0</v>
      </c>
      <c r="AX113" s="41">
        <f t="shared" si="58"/>
        <v>0</v>
      </c>
      <c r="AY113" s="41">
        <f t="shared" si="59"/>
        <v>0</v>
      </c>
      <c r="AZ113" s="41">
        <f t="shared" si="60"/>
        <v>0</v>
      </c>
      <c r="BA113" s="41">
        <f t="shared" si="61"/>
        <v>0</v>
      </c>
      <c r="BB113" s="41">
        <f t="shared" si="62"/>
        <v>0</v>
      </c>
      <c r="BC113" s="41">
        <f t="shared" si="63"/>
        <v>0</v>
      </c>
      <c r="BD113" s="55">
        <f t="shared" si="64"/>
        <v>0</v>
      </c>
      <c r="BF113" s="41">
        <f t="shared" si="53"/>
        <v>0</v>
      </c>
    </row>
    <row r="114" spans="1:58" ht="13.5">
      <c r="A114" s="41" t="str">
        <f>IF(Base!B112="","",Base!B112)</f>
        <v>13.700.526-3</v>
      </c>
      <c r="B114" s="41" t="str">
        <f>IF(Base!F112="","",Base!F112)</f>
        <v>PATRICIO  MORALES  NUÑEZ</v>
      </c>
      <c r="C114" s="41" t="str">
        <f>IF(Base!I112="","",Base!I112)</f>
        <v>Linea 7</v>
      </c>
      <c r="D114" s="42" t="str">
        <f>IF(Base!J112="","",Base!J112)</f>
        <v>Llenador</v>
      </c>
      <c r="E114" s="41">
        <f>IF(Base!H112="","",Base!H112)</f>
        <v>1050615</v>
      </c>
      <c r="J114" s="49">
        <v>104</v>
      </c>
      <c r="K114" s="115"/>
      <c r="L114" s="111" t="str">
        <f t="shared" si="65"/>
        <v/>
      </c>
      <c r="M114" s="111" t="str">
        <f t="shared" si="66"/>
        <v/>
      </c>
      <c r="N114" s="112" t="str">
        <f t="shared" si="43"/>
        <v/>
      </c>
      <c r="O114" s="112" t="str">
        <f t="shared" si="44"/>
        <v/>
      </c>
      <c r="P114" s="51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3">
        <f t="shared" si="54"/>
        <v>0</v>
      </c>
      <c r="AF114" s="53">
        <f t="shared" si="55"/>
        <v>0</v>
      </c>
      <c r="AG114" s="54"/>
      <c r="AL114" s="41" t="str">
        <f t="shared" si="56"/>
        <v/>
      </c>
      <c r="AM114" s="41">
        <v>105</v>
      </c>
      <c r="AN114" s="41">
        <f t="shared" si="45"/>
        <v>0</v>
      </c>
      <c r="AO114" s="41">
        <f t="shared" si="46"/>
        <v>0</v>
      </c>
      <c r="AP114" s="41">
        <f t="shared" si="47"/>
        <v>0</v>
      </c>
      <c r="AQ114" s="41">
        <f t="shared" si="48"/>
        <v>0</v>
      </c>
      <c r="AR114" s="41">
        <f t="shared" si="49"/>
        <v>0</v>
      </c>
      <c r="AS114" s="41">
        <f t="shared" si="50"/>
        <v>0</v>
      </c>
      <c r="AT114" s="41">
        <f t="shared" si="51"/>
        <v>0</v>
      </c>
      <c r="AU114" s="55">
        <f t="shared" si="52"/>
        <v>0</v>
      </c>
      <c r="AW114" s="41">
        <f t="shared" si="57"/>
        <v>0</v>
      </c>
      <c r="AX114" s="41">
        <f t="shared" si="58"/>
        <v>0</v>
      </c>
      <c r="AY114" s="41">
        <f t="shared" si="59"/>
        <v>0</v>
      </c>
      <c r="AZ114" s="41">
        <f t="shared" si="60"/>
        <v>0</v>
      </c>
      <c r="BA114" s="41">
        <f t="shared" si="61"/>
        <v>0</v>
      </c>
      <c r="BB114" s="41">
        <f t="shared" si="62"/>
        <v>0</v>
      </c>
      <c r="BC114" s="41">
        <f t="shared" si="63"/>
        <v>0</v>
      </c>
      <c r="BD114" s="55">
        <f t="shared" si="64"/>
        <v>0</v>
      </c>
      <c r="BF114" s="41">
        <f t="shared" si="53"/>
        <v>0</v>
      </c>
    </row>
    <row r="115" spans="1:58" ht="13.5">
      <c r="A115" s="41" t="str">
        <f>IF(Base!B113="","",Base!B113)</f>
        <v>12.690.098-8</v>
      </c>
      <c r="B115" s="41" t="str">
        <f>IF(Base!F113="","",Base!F113)</f>
        <v>RODRIGO  MORALES  OLGUIN</v>
      </c>
      <c r="C115" s="41" t="str">
        <f>IF(Base!I113="","",Base!I113)</f>
        <v>Linea 6</v>
      </c>
      <c r="D115" s="42" t="str">
        <f>IF(Base!J113="","",Base!J113)</f>
        <v>Etiquetador</v>
      </c>
      <c r="E115" s="41">
        <f>IF(Base!H113="","",Base!H113)</f>
        <v>1050610</v>
      </c>
      <c r="J115" s="49">
        <v>105</v>
      </c>
      <c r="K115" s="115"/>
      <c r="L115" s="111" t="str">
        <f t="shared" si="65"/>
        <v/>
      </c>
      <c r="M115" s="111" t="str">
        <f t="shared" si="66"/>
        <v/>
      </c>
      <c r="N115" s="112" t="str">
        <f t="shared" si="43"/>
        <v/>
      </c>
      <c r="O115" s="112" t="str">
        <f t="shared" si="44"/>
        <v/>
      </c>
      <c r="P115" s="51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3">
        <f t="shared" si="54"/>
        <v>0</v>
      </c>
      <c r="AF115" s="53">
        <f t="shared" si="55"/>
        <v>0</v>
      </c>
      <c r="AG115" s="54"/>
      <c r="AL115" s="41" t="str">
        <f t="shared" si="56"/>
        <v/>
      </c>
      <c r="AM115" s="41">
        <v>106</v>
      </c>
      <c r="AN115" s="41">
        <f t="shared" si="45"/>
        <v>0</v>
      </c>
      <c r="AO115" s="41">
        <f t="shared" si="46"/>
        <v>0</v>
      </c>
      <c r="AP115" s="41">
        <f t="shared" si="47"/>
        <v>0</v>
      </c>
      <c r="AQ115" s="41">
        <f t="shared" si="48"/>
        <v>0</v>
      </c>
      <c r="AR115" s="41">
        <f t="shared" si="49"/>
        <v>0</v>
      </c>
      <c r="AS115" s="41">
        <f t="shared" si="50"/>
        <v>0</v>
      </c>
      <c r="AT115" s="41">
        <f t="shared" si="51"/>
        <v>0</v>
      </c>
      <c r="AU115" s="55">
        <f t="shared" si="52"/>
        <v>0</v>
      </c>
      <c r="AW115" s="41">
        <f t="shared" si="57"/>
        <v>0</v>
      </c>
      <c r="AX115" s="41">
        <f t="shared" si="58"/>
        <v>0</v>
      </c>
      <c r="AY115" s="41">
        <f t="shared" si="59"/>
        <v>0</v>
      </c>
      <c r="AZ115" s="41">
        <f t="shared" si="60"/>
        <v>0</v>
      </c>
      <c r="BA115" s="41">
        <f t="shared" si="61"/>
        <v>0</v>
      </c>
      <c r="BB115" s="41">
        <f t="shared" si="62"/>
        <v>0</v>
      </c>
      <c r="BC115" s="41">
        <f t="shared" si="63"/>
        <v>0</v>
      </c>
      <c r="BD115" s="55">
        <f t="shared" si="64"/>
        <v>0</v>
      </c>
      <c r="BF115" s="41">
        <f t="shared" si="53"/>
        <v>0</v>
      </c>
    </row>
    <row r="116" spans="1:58" ht="13.5">
      <c r="A116" s="41" t="str">
        <f>IF(Base!B114="","",Base!B114)</f>
        <v>08.585.356-2</v>
      </c>
      <c r="B116" s="41" t="str">
        <f>IF(Base!F114="","",Base!F114)</f>
        <v>OSCAR E.  MORALES  ZAPATA</v>
      </c>
      <c r="C116" s="41" t="str">
        <f>IF(Base!I114="","",Base!I114)</f>
        <v>Supervisor</v>
      </c>
      <c r="D116" s="42" t="str">
        <f>IF(Base!J114="","",Base!J114)</f>
        <v>Supervisor</v>
      </c>
      <c r="E116" s="41">
        <f>IF(Base!H114="","",Base!H114)</f>
        <v>1050603</v>
      </c>
      <c r="J116" s="49">
        <v>106</v>
      </c>
      <c r="K116" s="115"/>
      <c r="L116" s="111" t="str">
        <f t="shared" si="65"/>
        <v/>
      </c>
      <c r="M116" s="111" t="str">
        <f t="shared" si="66"/>
        <v/>
      </c>
      <c r="N116" s="112" t="str">
        <f t="shared" si="43"/>
        <v/>
      </c>
      <c r="O116" s="112" t="str">
        <f t="shared" si="44"/>
        <v/>
      </c>
      <c r="P116" s="51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3">
        <f t="shared" si="54"/>
        <v>0</v>
      </c>
      <c r="AF116" s="53">
        <f t="shared" si="55"/>
        <v>0</v>
      </c>
      <c r="AG116" s="54"/>
      <c r="AL116" s="41" t="str">
        <f t="shared" si="56"/>
        <v/>
      </c>
      <c r="AM116" s="41">
        <v>107</v>
      </c>
      <c r="AN116" s="41">
        <f t="shared" si="45"/>
        <v>0</v>
      </c>
      <c r="AO116" s="41">
        <f t="shared" si="46"/>
        <v>0</v>
      </c>
      <c r="AP116" s="41">
        <f t="shared" si="47"/>
        <v>0</v>
      </c>
      <c r="AQ116" s="41">
        <f t="shared" si="48"/>
        <v>0</v>
      </c>
      <c r="AR116" s="41">
        <f t="shared" si="49"/>
        <v>0</v>
      </c>
      <c r="AS116" s="41">
        <f t="shared" si="50"/>
        <v>0</v>
      </c>
      <c r="AT116" s="41">
        <f t="shared" si="51"/>
        <v>0</v>
      </c>
      <c r="AU116" s="55">
        <f t="shared" si="52"/>
        <v>0</v>
      </c>
      <c r="AW116" s="41">
        <f t="shared" si="57"/>
        <v>0</v>
      </c>
      <c r="AX116" s="41">
        <f t="shared" si="58"/>
        <v>0</v>
      </c>
      <c r="AY116" s="41">
        <f t="shared" si="59"/>
        <v>0</v>
      </c>
      <c r="AZ116" s="41">
        <f t="shared" si="60"/>
        <v>0</v>
      </c>
      <c r="BA116" s="41">
        <f t="shared" si="61"/>
        <v>0</v>
      </c>
      <c r="BB116" s="41">
        <f t="shared" si="62"/>
        <v>0</v>
      </c>
      <c r="BC116" s="41">
        <f t="shared" si="63"/>
        <v>0</v>
      </c>
      <c r="BD116" s="55">
        <f t="shared" si="64"/>
        <v>0</v>
      </c>
      <c r="BF116" s="41">
        <f t="shared" si="53"/>
        <v>0</v>
      </c>
    </row>
    <row r="117" spans="1:58" ht="13.5">
      <c r="A117" s="41" t="str">
        <f>IF(Base!B115="","",Base!B115)</f>
        <v>11.994.656-5</v>
      </c>
      <c r="B117" s="41" t="str">
        <f>IF(Base!F115="","",Base!F115)</f>
        <v>MARIA E  MOSCOSO  LOPEZ</v>
      </c>
      <c r="C117" s="41" t="str">
        <f>IF(Base!I115="","",Base!I115)</f>
        <v>Control y Gestión</v>
      </c>
      <c r="D117" s="42" t="str">
        <f>IF(Base!J115="","",Base!J115)</f>
        <v>Secretaria operaciones</v>
      </c>
      <c r="E117" s="41">
        <f>IF(Base!H115="","",Base!H115)</f>
        <v>1050632</v>
      </c>
      <c r="J117" s="49">
        <v>107</v>
      </c>
      <c r="K117" s="115"/>
      <c r="L117" s="111" t="str">
        <f t="shared" si="65"/>
        <v/>
      </c>
      <c r="M117" s="111" t="str">
        <f t="shared" si="66"/>
        <v/>
      </c>
      <c r="N117" s="112" t="str">
        <f t="shared" si="43"/>
        <v/>
      </c>
      <c r="O117" s="112" t="str">
        <f t="shared" si="44"/>
        <v/>
      </c>
      <c r="P117" s="51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3">
        <f t="shared" si="54"/>
        <v>0</v>
      </c>
      <c r="AF117" s="53">
        <f t="shared" si="55"/>
        <v>0</v>
      </c>
      <c r="AG117" s="54"/>
      <c r="AL117" s="41" t="str">
        <f t="shared" si="56"/>
        <v/>
      </c>
      <c r="AM117" s="41">
        <v>108</v>
      </c>
      <c r="AN117" s="41">
        <f t="shared" si="45"/>
        <v>0</v>
      </c>
      <c r="AO117" s="41">
        <f t="shared" si="46"/>
        <v>0</v>
      </c>
      <c r="AP117" s="41">
        <f t="shared" si="47"/>
        <v>0</v>
      </c>
      <c r="AQ117" s="41">
        <f t="shared" si="48"/>
        <v>0</v>
      </c>
      <c r="AR117" s="41">
        <f t="shared" si="49"/>
        <v>0</v>
      </c>
      <c r="AS117" s="41">
        <f t="shared" si="50"/>
        <v>0</v>
      </c>
      <c r="AT117" s="41">
        <f t="shared" si="51"/>
        <v>0</v>
      </c>
      <c r="AU117" s="55">
        <f t="shared" si="52"/>
        <v>0</v>
      </c>
      <c r="AW117" s="41">
        <f t="shared" si="57"/>
        <v>0</v>
      </c>
      <c r="AX117" s="41">
        <f t="shared" si="58"/>
        <v>0</v>
      </c>
      <c r="AY117" s="41">
        <f t="shared" si="59"/>
        <v>0</v>
      </c>
      <c r="AZ117" s="41">
        <f t="shared" si="60"/>
        <v>0</v>
      </c>
      <c r="BA117" s="41">
        <f t="shared" si="61"/>
        <v>0</v>
      </c>
      <c r="BB117" s="41">
        <f t="shared" si="62"/>
        <v>0</v>
      </c>
      <c r="BC117" s="41">
        <f t="shared" si="63"/>
        <v>0</v>
      </c>
      <c r="BD117" s="55">
        <f t="shared" si="64"/>
        <v>0</v>
      </c>
      <c r="BF117" s="41">
        <f t="shared" si="53"/>
        <v>0</v>
      </c>
    </row>
    <row r="118" spans="1:58" ht="13.5">
      <c r="A118" s="41" t="str">
        <f>IF(Base!B116="","",Base!B116)</f>
        <v>13.552.988-5</v>
      </c>
      <c r="B118" s="41" t="str">
        <f>IF(Base!F116="","",Base!F116)</f>
        <v>DAVID  MOYA  BEROIZA</v>
      </c>
      <c r="C118" s="41" t="str">
        <f>IF(Base!I116="","",Base!I116)</f>
        <v>Linea 7</v>
      </c>
      <c r="D118" s="42" t="str">
        <f>IF(Base!J116="","",Base!J116)</f>
        <v>Despalletizador</v>
      </c>
      <c r="E118" s="41">
        <f>IF(Base!H116="","",Base!H116)</f>
        <v>1050615</v>
      </c>
      <c r="J118" s="49">
        <v>108</v>
      </c>
      <c r="K118" s="115"/>
      <c r="L118" s="111" t="str">
        <f t="shared" si="65"/>
        <v/>
      </c>
      <c r="M118" s="111" t="str">
        <f t="shared" si="66"/>
        <v/>
      </c>
      <c r="N118" s="112" t="str">
        <f t="shared" si="43"/>
        <v/>
      </c>
      <c r="O118" s="112" t="str">
        <f t="shared" si="44"/>
        <v/>
      </c>
      <c r="P118" s="51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3">
        <f t="shared" si="54"/>
        <v>0</v>
      </c>
      <c r="AF118" s="53">
        <f t="shared" si="55"/>
        <v>0</v>
      </c>
      <c r="AG118" s="54"/>
      <c r="AL118" s="41" t="str">
        <f t="shared" si="56"/>
        <v/>
      </c>
      <c r="AM118" s="41">
        <v>109</v>
      </c>
      <c r="AN118" s="41">
        <f t="shared" si="45"/>
        <v>0</v>
      </c>
      <c r="AO118" s="41">
        <f t="shared" si="46"/>
        <v>0</v>
      </c>
      <c r="AP118" s="41">
        <f t="shared" si="47"/>
        <v>0</v>
      </c>
      <c r="AQ118" s="41">
        <f t="shared" si="48"/>
        <v>0</v>
      </c>
      <c r="AR118" s="41">
        <f t="shared" si="49"/>
        <v>0</v>
      </c>
      <c r="AS118" s="41">
        <f t="shared" si="50"/>
        <v>0</v>
      </c>
      <c r="AT118" s="41">
        <f t="shared" si="51"/>
        <v>0</v>
      </c>
      <c r="AU118" s="55">
        <f t="shared" si="52"/>
        <v>0</v>
      </c>
      <c r="AW118" s="41">
        <f t="shared" si="57"/>
        <v>0</v>
      </c>
      <c r="AX118" s="41">
        <f t="shared" si="58"/>
        <v>0</v>
      </c>
      <c r="AY118" s="41">
        <f t="shared" si="59"/>
        <v>0</v>
      </c>
      <c r="AZ118" s="41">
        <f t="shared" si="60"/>
        <v>0</v>
      </c>
      <c r="BA118" s="41">
        <f t="shared" si="61"/>
        <v>0</v>
      </c>
      <c r="BB118" s="41">
        <f t="shared" si="62"/>
        <v>0</v>
      </c>
      <c r="BC118" s="41">
        <f t="shared" si="63"/>
        <v>0</v>
      </c>
      <c r="BD118" s="55">
        <f t="shared" si="64"/>
        <v>0</v>
      </c>
      <c r="BF118" s="41">
        <f t="shared" si="53"/>
        <v>0</v>
      </c>
    </row>
    <row r="119" spans="1:58" ht="13.5">
      <c r="A119" s="41" t="str">
        <f>IF(Base!B117="","",Base!B117)</f>
        <v>09.488.820-4</v>
      </c>
      <c r="B119" s="41" t="str">
        <f>IF(Base!F117="","",Base!F117)</f>
        <v>MARCO ANTONIO  MUÑOZ  BUGUEÑO</v>
      </c>
      <c r="C119" s="41" t="str">
        <f>IF(Base!I117="","",Base!I117)</f>
        <v>Linea 2</v>
      </c>
      <c r="D119" s="42" t="str">
        <f>IF(Base!J117="","",Base!J117)</f>
        <v>Despalletizador</v>
      </c>
      <c r="E119" s="41">
        <f>IF(Base!H117="","",Base!H117)</f>
        <v>1050554</v>
      </c>
      <c r="J119" s="49">
        <v>109</v>
      </c>
      <c r="K119" s="115"/>
      <c r="L119" s="111" t="str">
        <f t="shared" si="65"/>
        <v/>
      </c>
      <c r="M119" s="111" t="str">
        <f t="shared" si="66"/>
        <v/>
      </c>
      <c r="N119" s="112" t="str">
        <f t="shared" si="43"/>
        <v/>
      </c>
      <c r="O119" s="112" t="str">
        <f t="shared" si="44"/>
        <v/>
      </c>
      <c r="P119" s="51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3">
        <f t="shared" si="54"/>
        <v>0</v>
      </c>
      <c r="AF119" s="53">
        <f t="shared" si="55"/>
        <v>0</v>
      </c>
      <c r="AG119" s="54"/>
      <c r="AL119" s="41" t="str">
        <f t="shared" si="56"/>
        <v/>
      </c>
      <c r="AM119" s="41">
        <v>110</v>
      </c>
      <c r="AN119" s="41">
        <f t="shared" si="45"/>
        <v>0</v>
      </c>
      <c r="AO119" s="41">
        <f t="shared" si="46"/>
        <v>0</v>
      </c>
      <c r="AP119" s="41">
        <f t="shared" si="47"/>
        <v>0</v>
      </c>
      <c r="AQ119" s="41">
        <f t="shared" si="48"/>
        <v>0</v>
      </c>
      <c r="AR119" s="41">
        <f t="shared" si="49"/>
        <v>0</v>
      </c>
      <c r="AS119" s="41">
        <f t="shared" si="50"/>
        <v>0</v>
      </c>
      <c r="AT119" s="41">
        <f t="shared" si="51"/>
        <v>0</v>
      </c>
      <c r="AU119" s="55">
        <f t="shared" si="52"/>
        <v>0</v>
      </c>
      <c r="AW119" s="41">
        <f t="shared" si="57"/>
        <v>0</v>
      </c>
      <c r="AX119" s="41">
        <f t="shared" si="58"/>
        <v>0</v>
      </c>
      <c r="AY119" s="41">
        <f t="shared" si="59"/>
        <v>0</v>
      </c>
      <c r="AZ119" s="41">
        <f t="shared" si="60"/>
        <v>0</v>
      </c>
      <c r="BA119" s="41">
        <f t="shared" si="61"/>
        <v>0</v>
      </c>
      <c r="BB119" s="41">
        <f t="shared" si="62"/>
        <v>0</v>
      </c>
      <c r="BC119" s="41">
        <f t="shared" si="63"/>
        <v>0</v>
      </c>
      <c r="BD119" s="55">
        <f t="shared" si="64"/>
        <v>0</v>
      </c>
      <c r="BF119" s="41">
        <f t="shared" si="53"/>
        <v>0</v>
      </c>
    </row>
    <row r="120" spans="1:58" ht="13.5">
      <c r="A120" s="41" t="str">
        <f>IF(Base!B118="","",Base!B118)</f>
        <v>09.613.720-6</v>
      </c>
      <c r="B120" s="41" t="str">
        <f>IF(Base!F118="","",Base!F118)</f>
        <v>ANGELA  MUÑOZ  GONZALEZ</v>
      </c>
      <c r="C120" s="41" t="str">
        <f>IF(Base!I118="","",Base!I118)</f>
        <v>Linea 7</v>
      </c>
      <c r="D120" s="42" t="str">
        <f>IF(Base!J118="","",Base!J118)</f>
        <v>Capsulado</v>
      </c>
      <c r="E120" s="41">
        <f>IF(Base!H118="","",Base!H118)</f>
        <v>1050616</v>
      </c>
      <c r="J120" s="49">
        <v>110</v>
      </c>
      <c r="K120" s="115"/>
      <c r="L120" s="111" t="str">
        <f t="shared" si="65"/>
        <v/>
      </c>
      <c r="M120" s="111" t="str">
        <f t="shared" si="66"/>
        <v/>
      </c>
      <c r="N120" s="112" t="str">
        <f t="shared" si="43"/>
        <v/>
      </c>
      <c r="O120" s="112" t="str">
        <f t="shared" si="44"/>
        <v/>
      </c>
      <c r="P120" s="51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3">
        <f t="shared" si="54"/>
        <v>0</v>
      </c>
      <c r="AF120" s="53">
        <f t="shared" si="55"/>
        <v>0</v>
      </c>
      <c r="AG120" s="54"/>
      <c r="AL120" s="41" t="str">
        <f t="shared" si="56"/>
        <v/>
      </c>
      <c r="AM120" s="41">
        <v>111</v>
      </c>
      <c r="AN120" s="41">
        <f t="shared" si="45"/>
        <v>0</v>
      </c>
      <c r="AO120" s="41">
        <f t="shared" si="46"/>
        <v>0</v>
      </c>
      <c r="AP120" s="41">
        <f t="shared" si="47"/>
        <v>0</v>
      </c>
      <c r="AQ120" s="41">
        <f t="shared" si="48"/>
        <v>0</v>
      </c>
      <c r="AR120" s="41">
        <f t="shared" si="49"/>
        <v>0</v>
      </c>
      <c r="AS120" s="41">
        <f t="shared" si="50"/>
        <v>0</v>
      </c>
      <c r="AT120" s="41">
        <f t="shared" si="51"/>
        <v>0</v>
      </c>
      <c r="AU120" s="55">
        <f t="shared" si="52"/>
        <v>0</v>
      </c>
      <c r="AW120" s="41">
        <f t="shared" si="57"/>
        <v>0</v>
      </c>
      <c r="AX120" s="41">
        <f t="shared" si="58"/>
        <v>0</v>
      </c>
      <c r="AY120" s="41">
        <f t="shared" si="59"/>
        <v>0</v>
      </c>
      <c r="AZ120" s="41">
        <f t="shared" si="60"/>
        <v>0</v>
      </c>
      <c r="BA120" s="41">
        <f t="shared" si="61"/>
        <v>0</v>
      </c>
      <c r="BB120" s="41">
        <f t="shared" si="62"/>
        <v>0</v>
      </c>
      <c r="BC120" s="41">
        <f t="shared" si="63"/>
        <v>0</v>
      </c>
      <c r="BD120" s="55">
        <f t="shared" si="64"/>
        <v>0</v>
      </c>
      <c r="BF120" s="41">
        <f t="shared" si="53"/>
        <v>0</v>
      </c>
    </row>
    <row r="121" spans="1:58" ht="13.5">
      <c r="A121" s="41" t="str">
        <f>IF(Base!B119="","",Base!B119)</f>
        <v>11.659.510-9</v>
      </c>
      <c r="B121" s="41" t="str">
        <f>IF(Base!F119="","",Base!F119)</f>
        <v>CLAUDIO ARTURO  MUÑOZ  MUÑOZ</v>
      </c>
      <c r="C121" s="41" t="str">
        <f>IF(Base!I119="","",Base!I119)</f>
        <v>Abastecimiento</v>
      </c>
      <c r="D121" s="42" t="str">
        <f>IF(Base!J119="","",Base!J119)</f>
        <v>Control Ingresos Cen</v>
      </c>
      <c r="E121" s="41">
        <f>IF(Base!H119="","",Base!H119)</f>
        <v>1050126</v>
      </c>
      <c r="J121" s="49">
        <v>111</v>
      </c>
      <c r="K121" s="115"/>
      <c r="L121" s="111" t="str">
        <f t="shared" si="65"/>
        <v/>
      </c>
      <c r="M121" s="111" t="str">
        <f t="shared" si="66"/>
        <v/>
      </c>
      <c r="N121" s="112" t="str">
        <f t="shared" si="43"/>
        <v/>
      </c>
      <c r="O121" s="112" t="str">
        <f t="shared" si="44"/>
        <v/>
      </c>
      <c r="P121" s="51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3">
        <f t="shared" si="54"/>
        <v>0</v>
      </c>
      <c r="AF121" s="53">
        <f t="shared" si="55"/>
        <v>0</v>
      </c>
      <c r="AG121" s="54"/>
      <c r="AL121" s="41" t="str">
        <f t="shared" si="56"/>
        <v/>
      </c>
      <c r="AM121" s="41">
        <v>112</v>
      </c>
      <c r="AN121" s="41">
        <f t="shared" si="45"/>
        <v>0</v>
      </c>
      <c r="AO121" s="41">
        <f t="shared" si="46"/>
        <v>0</v>
      </c>
      <c r="AP121" s="41">
        <f t="shared" si="47"/>
        <v>0</v>
      </c>
      <c r="AQ121" s="41">
        <f t="shared" si="48"/>
        <v>0</v>
      </c>
      <c r="AR121" s="41">
        <f t="shared" si="49"/>
        <v>0</v>
      </c>
      <c r="AS121" s="41">
        <f t="shared" si="50"/>
        <v>0</v>
      </c>
      <c r="AT121" s="41">
        <f t="shared" si="51"/>
        <v>0</v>
      </c>
      <c r="AU121" s="55">
        <f t="shared" si="52"/>
        <v>0</v>
      </c>
      <c r="AW121" s="41">
        <f t="shared" si="57"/>
        <v>0</v>
      </c>
      <c r="AX121" s="41">
        <f t="shared" si="58"/>
        <v>0</v>
      </c>
      <c r="AY121" s="41">
        <f t="shared" si="59"/>
        <v>0</v>
      </c>
      <c r="AZ121" s="41">
        <f t="shared" si="60"/>
        <v>0</v>
      </c>
      <c r="BA121" s="41">
        <f t="shared" si="61"/>
        <v>0</v>
      </c>
      <c r="BB121" s="41">
        <f t="shared" si="62"/>
        <v>0</v>
      </c>
      <c r="BC121" s="41">
        <f t="shared" si="63"/>
        <v>0</v>
      </c>
      <c r="BD121" s="55">
        <f t="shared" si="64"/>
        <v>0</v>
      </c>
      <c r="BF121" s="41">
        <f t="shared" si="53"/>
        <v>0</v>
      </c>
    </row>
    <row r="122" spans="1:58" ht="13.5">
      <c r="A122" s="41" t="str">
        <f>IF(Base!B120="","",Base!B120)</f>
        <v>11.124.307-7</v>
      </c>
      <c r="B122" s="41" t="str">
        <f>IF(Base!F120="","",Base!F120)</f>
        <v>JOSE ENRIQUE  MUÑOZ  QUENPUL</v>
      </c>
      <c r="C122" s="41" t="str">
        <f>IF(Base!I120="","",Base!I120)</f>
        <v>Abastecimiento</v>
      </c>
      <c r="D122" s="42" t="str">
        <f>IF(Base!J120="","",Base!J120)</f>
        <v>Almacen Envases Pirq</v>
      </c>
      <c r="E122" s="41">
        <f>IF(Base!H120="","",Base!H120)</f>
        <v>1050162</v>
      </c>
      <c r="J122" s="49">
        <v>112</v>
      </c>
      <c r="K122" s="115"/>
      <c r="L122" s="111" t="str">
        <f t="shared" si="65"/>
        <v/>
      </c>
      <c r="M122" s="111" t="str">
        <f t="shared" si="66"/>
        <v/>
      </c>
      <c r="N122" s="112" t="str">
        <f t="shared" si="43"/>
        <v/>
      </c>
      <c r="O122" s="112" t="str">
        <f t="shared" si="44"/>
        <v/>
      </c>
      <c r="P122" s="51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3">
        <f t="shared" si="54"/>
        <v>0</v>
      </c>
      <c r="AF122" s="53">
        <f t="shared" si="55"/>
        <v>0</v>
      </c>
      <c r="AG122" s="54"/>
      <c r="AL122" s="41" t="str">
        <f t="shared" si="56"/>
        <v/>
      </c>
      <c r="AM122" s="41">
        <v>113</v>
      </c>
      <c r="AN122" s="41">
        <f t="shared" si="45"/>
        <v>0</v>
      </c>
      <c r="AO122" s="41">
        <f t="shared" si="46"/>
        <v>0</v>
      </c>
      <c r="AP122" s="41">
        <f t="shared" si="47"/>
        <v>0</v>
      </c>
      <c r="AQ122" s="41">
        <f t="shared" si="48"/>
        <v>0</v>
      </c>
      <c r="AR122" s="41">
        <f t="shared" si="49"/>
        <v>0</v>
      </c>
      <c r="AS122" s="41">
        <f t="shared" si="50"/>
        <v>0</v>
      </c>
      <c r="AT122" s="41">
        <f t="shared" si="51"/>
        <v>0</v>
      </c>
      <c r="AU122" s="55">
        <f t="shared" si="52"/>
        <v>0</v>
      </c>
      <c r="AW122" s="41">
        <f t="shared" si="57"/>
        <v>0</v>
      </c>
      <c r="AX122" s="41">
        <f t="shared" si="58"/>
        <v>0</v>
      </c>
      <c r="AY122" s="41">
        <f t="shared" si="59"/>
        <v>0</v>
      </c>
      <c r="AZ122" s="41">
        <f t="shared" si="60"/>
        <v>0</v>
      </c>
      <c r="BA122" s="41">
        <f t="shared" si="61"/>
        <v>0</v>
      </c>
      <c r="BB122" s="41">
        <f t="shared" si="62"/>
        <v>0</v>
      </c>
      <c r="BC122" s="41">
        <f t="shared" si="63"/>
        <v>0</v>
      </c>
      <c r="BD122" s="55">
        <f t="shared" si="64"/>
        <v>0</v>
      </c>
      <c r="BF122" s="41">
        <f t="shared" si="53"/>
        <v>0</v>
      </c>
    </row>
    <row r="123" spans="1:58" ht="13.5">
      <c r="A123" s="41" t="str">
        <f>IF(Base!B121="","",Base!B121)</f>
        <v>13.284.709-6</v>
      </c>
      <c r="B123" s="41" t="str">
        <f>IF(Base!F121="","",Base!F121)</f>
        <v>KATHERINE ANDREA  MUÑOZ  RAMIREZ</v>
      </c>
      <c r="C123" s="41" t="str">
        <f>IF(Base!I121="","",Base!I121)</f>
        <v>Linea 3</v>
      </c>
      <c r="D123" s="42" t="str">
        <f>IF(Base!J121="","",Base!J121)</f>
        <v>Inspector etiqueta</v>
      </c>
      <c r="E123" s="41">
        <f>IF(Base!H121="","",Base!H121)</f>
        <v>1050556</v>
      </c>
      <c r="J123" s="49">
        <v>113</v>
      </c>
      <c r="K123" s="115"/>
      <c r="L123" s="111" t="str">
        <f t="shared" si="65"/>
        <v/>
      </c>
      <c r="M123" s="111" t="str">
        <f t="shared" si="66"/>
        <v/>
      </c>
      <c r="N123" s="112" t="str">
        <f t="shared" si="43"/>
        <v/>
      </c>
      <c r="O123" s="112" t="str">
        <f t="shared" si="44"/>
        <v/>
      </c>
      <c r="P123" s="51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3">
        <f t="shared" si="54"/>
        <v>0</v>
      </c>
      <c r="AF123" s="53">
        <f t="shared" si="55"/>
        <v>0</v>
      </c>
      <c r="AG123" s="54"/>
      <c r="AL123" s="41" t="str">
        <f t="shared" si="56"/>
        <v/>
      </c>
      <c r="AM123" s="41">
        <v>114</v>
      </c>
      <c r="AN123" s="41">
        <f t="shared" si="45"/>
        <v>0</v>
      </c>
      <c r="AO123" s="41">
        <f t="shared" si="46"/>
        <v>0</v>
      </c>
      <c r="AP123" s="41">
        <f t="shared" si="47"/>
        <v>0</v>
      </c>
      <c r="AQ123" s="41">
        <f t="shared" si="48"/>
        <v>0</v>
      </c>
      <c r="AR123" s="41">
        <f t="shared" si="49"/>
        <v>0</v>
      </c>
      <c r="AS123" s="41">
        <f t="shared" si="50"/>
        <v>0</v>
      </c>
      <c r="AT123" s="41">
        <f t="shared" si="51"/>
        <v>0</v>
      </c>
      <c r="AU123" s="55">
        <f t="shared" si="52"/>
        <v>0</v>
      </c>
      <c r="AW123" s="41">
        <f t="shared" si="57"/>
        <v>0</v>
      </c>
      <c r="AX123" s="41">
        <f t="shared" si="58"/>
        <v>0</v>
      </c>
      <c r="AY123" s="41">
        <f t="shared" si="59"/>
        <v>0</v>
      </c>
      <c r="AZ123" s="41">
        <f t="shared" si="60"/>
        <v>0</v>
      </c>
      <c r="BA123" s="41">
        <f t="shared" si="61"/>
        <v>0</v>
      </c>
      <c r="BB123" s="41">
        <f t="shared" si="62"/>
        <v>0</v>
      </c>
      <c r="BC123" s="41">
        <f t="shared" si="63"/>
        <v>0</v>
      </c>
      <c r="BD123" s="55">
        <f t="shared" si="64"/>
        <v>0</v>
      </c>
      <c r="BF123" s="41">
        <f t="shared" si="53"/>
        <v>0</v>
      </c>
    </row>
    <row r="124" spans="1:58" ht="13.5">
      <c r="A124" s="41" t="str">
        <f>IF(Base!B122="","",Base!B122)</f>
        <v>15.437.429-9</v>
      </c>
      <c r="B124" s="41" t="str">
        <f>IF(Base!F122="","",Base!F122)</f>
        <v>JULIO  NADEAU  JOFRE</v>
      </c>
      <c r="C124" s="41" t="str">
        <f>IF(Base!I122="","",Base!I122)</f>
        <v>Control y Gestión</v>
      </c>
      <c r="D124" s="42" t="str">
        <f>IF(Base!J122="","",Base!J122)</f>
        <v>Analista  almacén</v>
      </c>
      <c r="E124" s="41">
        <f>IF(Base!H122="","",Base!H122)</f>
        <v>1050574</v>
      </c>
      <c r="J124" s="49">
        <v>114</v>
      </c>
      <c r="K124" s="115"/>
      <c r="L124" s="111" t="str">
        <f t="shared" si="65"/>
        <v/>
      </c>
      <c r="M124" s="111" t="str">
        <f t="shared" si="66"/>
        <v/>
      </c>
      <c r="N124" s="112" t="str">
        <f t="shared" si="43"/>
        <v/>
      </c>
      <c r="O124" s="112" t="str">
        <f t="shared" si="44"/>
        <v/>
      </c>
      <c r="P124" s="51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3">
        <f t="shared" si="54"/>
        <v>0</v>
      </c>
      <c r="AF124" s="53">
        <f t="shared" si="55"/>
        <v>0</v>
      </c>
      <c r="AG124" s="54"/>
      <c r="AL124" s="41" t="str">
        <f t="shared" si="56"/>
        <v/>
      </c>
      <c r="AM124" s="41">
        <v>115</v>
      </c>
      <c r="AN124" s="41">
        <f t="shared" si="45"/>
        <v>0</v>
      </c>
      <c r="AO124" s="41">
        <f t="shared" si="46"/>
        <v>0</v>
      </c>
      <c r="AP124" s="41">
        <f t="shared" si="47"/>
        <v>0</v>
      </c>
      <c r="AQ124" s="41">
        <f t="shared" si="48"/>
        <v>0</v>
      </c>
      <c r="AR124" s="41">
        <f t="shared" si="49"/>
        <v>0</v>
      </c>
      <c r="AS124" s="41">
        <f t="shared" si="50"/>
        <v>0</v>
      </c>
      <c r="AT124" s="41">
        <f t="shared" si="51"/>
        <v>0</v>
      </c>
      <c r="AU124" s="55">
        <f t="shared" si="52"/>
        <v>0</v>
      </c>
      <c r="AW124" s="41">
        <f t="shared" si="57"/>
        <v>0</v>
      </c>
      <c r="AX124" s="41">
        <f t="shared" si="58"/>
        <v>0</v>
      </c>
      <c r="AY124" s="41">
        <f t="shared" si="59"/>
        <v>0</v>
      </c>
      <c r="AZ124" s="41">
        <f t="shared" si="60"/>
        <v>0</v>
      </c>
      <c r="BA124" s="41">
        <f t="shared" si="61"/>
        <v>0</v>
      </c>
      <c r="BB124" s="41">
        <f t="shared" si="62"/>
        <v>0</v>
      </c>
      <c r="BC124" s="41">
        <f t="shared" si="63"/>
        <v>0</v>
      </c>
      <c r="BD124" s="55">
        <f t="shared" si="64"/>
        <v>0</v>
      </c>
      <c r="BF124" s="41">
        <f t="shared" si="53"/>
        <v>0</v>
      </c>
    </row>
    <row r="125" spans="1:58" ht="13.5">
      <c r="A125" s="41" t="str">
        <f>IF(Base!B123="","",Base!B123)</f>
        <v>11.754.811-2</v>
      </c>
      <c r="B125" s="41" t="str">
        <f>IF(Base!F123="","",Base!F123)</f>
        <v>ALEXIS ANTONIO  NARVAI  DIAZ</v>
      </c>
      <c r="C125" s="41" t="str">
        <f>IF(Base!I123="","",Base!I123)</f>
        <v>Abastecimiento</v>
      </c>
      <c r="D125" s="42" t="str">
        <f>IF(Base!J123="","",Base!J123)</f>
        <v>Supervisor Almacen Insumos</v>
      </c>
      <c r="E125" s="41">
        <f>IF(Base!H123="","",Base!H123)</f>
        <v>1050581</v>
      </c>
      <c r="J125" s="49">
        <v>115</v>
      </c>
      <c r="K125" s="115"/>
      <c r="L125" s="111" t="str">
        <f t="shared" si="65"/>
        <v/>
      </c>
      <c r="M125" s="111" t="str">
        <f t="shared" si="66"/>
        <v/>
      </c>
      <c r="N125" s="112" t="str">
        <f t="shared" si="43"/>
        <v/>
      </c>
      <c r="O125" s="112" t="str">
        <f t="shared" si="44"/>
        <v/>
      </c>
      <c r="P125" s="51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3">
        <f t="shared" si="54"/>
        <v>0</v>
      </c>
      <c r="AF125" s="53">
        <f t="shared" si="55"/>
        <v>0</v>
      </c>
      <c r="AG125" s="54"/>
      <c r="AL125" s="41" t="str">
        <f t="shared" si="56"/>
        <v/>
      </c>
      <c r="AM125" s="41">
        <v>116</v>
      </c>
      <c r="AN125" s="41">
        <f t="shared" si="45"/>
        <v>0</v>
      </c>
      <c r="AO125" s="41">
        <f t="shared" si="46"/>
        <v>0</v>
      </c>
      <c r="AP125" s="41">
        <f t="shared" si="47"/>
        <v>0</v>
      </c>
      <c r="AQ125" s="41">
        <f t="shared" si="48"/>
        <v>0</v>
      </c>
      <c r="AR125" s="41">
        <f t="shared" si="49"/>
        <v>0</v>
      </c>
      <c r="AS125" s="41">
        <f t="shared" si="50"/>
        <v>0</v>
      </c>
      <c r="AT125" s="41">
        <f t="shared" si="51"/>
        <v>0</v>
      </c>
      <c r="AU125" s="55">
        <f t="shared" si="52"/>
        <v>0</v>
      </c>
      <c r="AW125" s="41">
        <f t="shared" si="57"/>
        <v>0</v>
      </c>
      <c r="AX125" s="41">
        <f t="shared" si="58"/>
        <v>0</v>
      </c>
      <c r="AY125" s="41">
        <f t="shared" si="59"/>
        <v>0</v>
      </c>
      <c r="AZ125" s="41">
        <f t="shared" si="60"/>
        <v>0</v>
      </c>
      <c r="BA125" s="41">
        <f t="shared" si="61"/>
        <v>0</v>
      </c>
      <c r="BB125" s="41">
        <f t="shared" si="62"/>
        <v>0</v>
      </c>
      <c r="BC125" s="41">
        <f t="shared" si="63"/>
        <v>0</v>
      </c>
      <c r="BD125" s="55">
        <f t="shared" si="64"/>
        <v>0</v>
      </c>
      <c r="BF125" s="41">
        <f t="shared" si="53"/>
        <v>0</v>
      </c>
    </row>
    <row r="126" spans="1:58" ht="13.5">
      <c r="A126" s="41" t="str">
        <f>IF(Base!B124="","",Base!B124)</f>
        <v>12.828.475-3</v>
      </c>
      <c r="B126" s="41" t="str">
        <f>IF(Base!F124="","",Base!F124)</f>
        <v>ELSON GONZALO  NARVAI  DIAZ</v>
      </c>
      <c r="C126" s="41" t="str">
        <f>IF(Base!I124="","",Base!I124)</f>
        <v>Abastecimiento</v>
      </c>
      <c r="D126" s="42" t="str">
        <f>IF(Base!J124="","",Base!J124)</f>
        <v>Reimpresión</v>
      </c>
      <c r="E126" s="41">
        <f>IF(Base!H124="","",Base!H124)</f>
        <v>1050506</v>
      </c>
      <c r="J126" s="49">
        <v>116</v>
      </c>
      <c r="K126" s="115"/>
      <c r="L126" s="111" t="str">
        <f t="shared" si="65"/>
        <v/>
      </c>
      <c r="M126" s="111" t="str">
        <f t="shared" si="66"/>
        <v/>
      </c>
      <c r="N126" s="112" t="str">
        <f t="shared" si="43"/>
        <v/>
      </c>
      <c r="O126" s="112" t="str">
        <f t="shared" si="44"/>
        <v/>
      </c>
      <c r="P126" s="51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3">
        <f t="shared" si="54"/>
        <v>0</v>
      </c>
      <c r="AF126" s="53">
        <f t="shared" si="55"/>
        <v>0</v>
      </c>
      <c r="AG126" s="54"/>
      <c r="AL126" s="41" t="str">
        <f t="shared" si="56"/>
        <v/>
      </c>
      <c r="AM126" s="41">
        <v>117</v>
      </c>
      <c r="AN126" s="41">
        <f t="shared" si="45"/>
        <v>0</v>
      </c>
      <c r="AO126" s="41">
        <f t="shared" si="46"/>
        <v>0</v>
      </c>
      <c r="AP126" s="41">
        <f t="shared" si="47"/>
        <v>0</v>
      </c>
      <c r="AQ126" s="41">
        <f t="shared" si="48"/>
        <v>0</v>
      </c>
      <c r="AR126" s="41">
        <f t="shared" si="49"/>
        <v>0</v>
      </c>
      <c r="AS126" s="41">
        <f t="shared" si="50"/>
        <v>0</v>
      </c>
      <c r="AT126" s="41">
        <f t="shared" si="51"/>
        <v>0</v>
      </c>
      <c r="AU126" s="55">
        <f t="shared" si="52"/>
        <v>0</v>
      </c>
      <c r="AW126" s="41">
        <f t="shared" si="57"/>
        <v>0</v>
      </c>
      <c r="AX126" s="41">
        <f t="shared" si="58"/>
        <v>0</v>
      </c>
      <c r="AY126" s="41">
        <f t="shared" si="59"/>
        <v>0</v>
      </c>
      <c r="AZ126" s="41">
        <f t="shared" si="60"/>
        <v>0</v>
      </c>
      <c r="BA126" s="41">
        <f t="shared" si="61"/>
        <v>0</v>
      </c>
      <c r="BB126" s="41">
        <f t="shared" si="62"/>
        <v>0</v>
      </c>
      <c r="BC126" s="41">
        <f t="shared" si="63"/>
        <v>0</v>
      </c>
      <c r="BD126" s="55">
        <f t="shared" si="64"/>
        <v>0</v>
      </c>
      <c r="BF126" s="41">
        <f t="shared" si="53"/>
        <v>0</v>
      </c>
    </row>
    <row r="127" spans="1:58" ht="13.5">
      <c r="A127" s="41" t="str">
        <f>IF(Base!B125="","",Base!B125)</f>
        <v>11.523.497-8</v>
      </c>
      <c r="B127" s="41" t="str">
        <f>IF(Base!F125="","",Base!F125)</f>
        <v>LUIS  NARVAI  DIAZ</v>
      </c>
      <c r="C127" s="41" t="str">
        <f>IF(Base!I125="","",Base!I125)</f>
        <v>Abastecimiento</v>
      </c>
      <c r="D127" s="42" t="str">
        <f>IF(Base!J125="","",Base!J125)</f>
        <v>Almacen Insumos Pque</v>
      </c>
      <c r="E127" s="41">
        <f>IF(Base!H125="","",Base!H125)</f>
        <v>1050581</v>
      </c>
      <c r="J127" s="49">
        <v>117</v>
      </c>
      <c r="K127" s="115"/>
      <c r="L127" s="111" t="str">
        <f t="shared" si="65"/>
        <v/>
      </c>
      <c r="M127" s="111" t="str">
        <f t="shared" si="66"/>
        <v/>
      </c>
      <c r="N127" s="112" t="str">
        <f t="shared" si="43"/>
        <v/>
      </c>
      <c r="O127" s="112" t="str">
        <f t="shared" si="44"/>
        <v/>
      </c>
      <c r="P127" s="51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3">
        <f t="shared" si="54"/>
        <v>0</v>
      </c>
      <c r="AF127" s="53">
        <f t="shared" si="55"/>
        <v>0</v>
      </c>
      <c r="AG127" s="54"/>
      <c r="AL127" s="41" t="str">
        <f t="shared" si="56"/>
        <v/>
      </c>
      <c r="AM127" s="41">
        <v>118</v>
      </c>
      <c r="AN127" s="41">
        <f t="shared" si="45"/>
        <v>0</v>
      </c>
      <c r="AO127" s="41">
        <f t="shared" si="46"/>
        <v>0</v>
      </c>
      <c r="AP127" s="41">
        <f t="shared" si="47"/>
        <v>0</v>
      </c>
      <c r="AQ127" s="41">
        <f t="shared" si="48"/>
        <v>0</v>
      </c>
      <c r="AR127" s="41">
        <f t="shared" si="49"/>
        <v>0</v>
      </c>
      <c r="AS127" s="41">
        <f t="shared" si="50"/>
        <v>0</v>
      </c>
      <c r="AT127" s="41">
        <f t="shared" si="51"/>
        <v>0</v>
      </c>
      <c r="AU127" s="55">
        <f t="shared" si="52"/>
        <v>0</v>
      </c>
      <c r="AW127" s="41">
        <f t="shared" si="57"/>
        <v>0</v>
      </c>
      <c r="AX127" s="41">
        <f t="shared" si="58"/>
        <v>0</v>
      </c>
      <c r="AY127" s="41">
        <f t="shared" si="59"/>
        <v>0</v>
      </c>
      <c r="AZ127" s="41">
        <f t="shared" si="60"/>
        <v>0</v>
      </c>
      <c r="BA127" s="41">
        <f t="shared" si="61"/>
        <v>0</v>
      </c>
      <c r="BB127" s="41">
        <f t="shared" si="62"/>
        <v>0</v>
      </c>
      <c r="BC127" s="41">
        <f t="shared" si="63"/>
        <v>0</v>
      </c>
      <c r="BD127" s="55">
        <f t="shared" si="64"/>
        <v>0</v>
      </c>
      <c r="BF127" s="41">
        <f t="shared" si="53"/>
        <v>0</v>
      </c>
    </row>
    <row r="128" spans="1:58" ht="13.5">
      <c r="A128" s="41" t="str">
        <f>IF(Base!B126="","",Base!B126)</f>
        <v>07.481.602-9</v>
      </c>
      <c r="B128" s="41" t="str">
        <f>IF(Base!F126="","",Base!F126)</f>
        <v>JORGE PATRICIO  NARVAI  RIVERA</v>
      </c>
      <c r="C128" s="41" t="str">
        <f>IF(Base!I126="","",Base!I126)</f>
        <v>Abastecimiento</v>
      </c>
      <c r="D128" s="42" t="str">
        <f>IF(Base!J126="","",Base!J126)</f>
        <v>Control Ingresos Cen</v>
      </c>
      <c r="E128" s="41">
        <f>IF(Base!H126="","",Base!H126)</f>
        <v>1050126</v>
      </c>
      <c r="J128" s="49">
        <v>118</v>
      </c>
      <c r="K128" s="115"/>
      <c r="L128" s="111" t="str">
        <f t="shared" si="65"/>
        <v/>
      </c>
      <c r="M128" s="111" t="str">
        <f t="shared" si="66"/>
        <v/>
      </c>
      <c r="N128" s="112" t="str">
        <f t="shared" si="43"/>
        <v/>
      </c>
      <c r="O128" s="112" t="str">
        <f t="shared" si="44"/>
        <v/>
      </c>
      <c r="P128" s="51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3">
        <f t="shared" si="54"/>
        <v>0</v>
      </c>
      <c r="AF128" s="53">
        <f t="shared" si="55"/>
        <v>0</v>
      </c>
      <c r="AG128" s="54"/>
      <c r="AL128" s="41" t="str">
        <f t="shared" si="56"/>
        <v/>
      </c>
      <c r="AM128" s="41">
        <v>119</v>
      </c>
      <c r="AN128" s="41">
        <f t="shared" si="45"/>
        <v>0</v>
      </c>
      <c r="AO128" s="41">
        <f t="shared" si="46"/>
        <v>0</v>
      </c>
      <c r="AP128" s="41">
        <f t="shared" si="47"/>
        <v>0</v>
      </c>
      <c r="AQ128" s="41">
        <f t="shared" si="48"/>
        <v>0</v>
      </c>
      <c r="AR128" s="41">
        <f t="shared" si="49"/>
        <v>0</v>
      </c>
      <c r="AS128" s="41">
        <f t="shared" si="50"/>
        <v>0</v>
      </c>
      <c r="AT128" s="41">
        <f t="shared" si="51"/>
        <v>0</v>
      </c>
      <c r="AU128" s="55">
        <f t="shared" si="52"/>
        <v>0</v>
      </c>
      <c r="AW128" s="41">
        <f t="shared" si="57"/>
        <v>0</v>
      </c>
      <c r="AX128" s="41">
        <f t="shared" si="58"/>
        <v>0</v>
      </c>
      <c r="AY128" s="41">
        <f t="shared" si="59"/>
        <v>0</v>
      </c>
      <c r="AZ128" s="41">
        <f t="shared" si="60"/>
        <v>0</v>
      </c>
      <c r="BA128" s="41">
        <f t="shared" si="61"/>
        <v>0</v>
      </c>
      <c r="BB128" s="41">
        <f t="shared" si="62"/>
        <v>0</v>
      </c>
      <c r="BC128" s="41">
        <f t="shared" si="63"/>
        <v>0</v>
      </c>
      <c r="BD128" s="55">
        <f t="shared" si="64"/>
        <v>0</v>
      </c>
      <c r="BF128" s="41">
        <f t="shared" si="53"/>
        <v>0</v>
      </c>
    </row>
    <row r="129" spans="1:58" ht="13.5">
      <c r="A129" s="41" t="str">
        <f>IF(Base!B127="","",Base!B127)</f>
        <v>12.934.132-7</v>
      </c>
      <c r="B129" s="41" t="str">
        <f>IF(Base!F127="","",Base!F127)</f>
        <v>VICTOR IVAN  NITOR  TORRES</v>
      </c>
      <c r="C129" s="41" t="str">
        <f>IF(Base!I127="","",Base!I127)</f>
        <v>Supervisor</v>
      </c>
      <c r="D129" s="42" t="str">
        <f>IF(Base!J127="","",Base!J127)</f>
        <v>Supervisor</v>
      </c>
      <c r="E129" s="41">
        <f>IF(Base!H127="","",Base!H127)</f>
        <v>1050603</v>
      </c>
      <c r="J129" s="49">
        <v>119</v>
      </c>
      <c r="K129" s="115"/>
      <c r="L129" s="111" t="str">
        <f t="shared" si="65"/>
        <v/>
      </c>
      <c r="M129" s="111" t="str">
        <f t="shared" si="66"/>
        <v/>
      </c>
      <c r="N129" s="112" t="str">
        <f t="shared" si="43"/>
        <v/>
      </c>
      <c r="O129" s="112" t="str">
        <f t="shared" si="44"/>
        <v/>
      </c>
      <c r="P129" s="51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3">
        <f t="shared" si="54"/>
        <v>0</v>
      </c>
      <c r="AF129" s="53">
        <f t="shared" si="55"/>
        <v>0</v>
      </c>
      <c r="AG129" s="54"/>
      <c r="AL129" s="41" t="str">
        <f t="shared" si="56"/>
        <v/>
      </c>
      <c r="AM129" s="41">
        <v>120</v>
      </c>
      <c r="AN129" s="41">
        <f t="shared" si="45"/>
        <v>0</v>
      </c>
      <c r="AO129" s="41">
        <f t="shared" si="46"/>
        <v>0</v>
      </c>
      <c r="AP129" s="41">
        <f t="shared" si="47"/>
        <v>0</v>
      </c>
      <c r="AQ129" s="41">
        <f t="shared" si="48"/>
        <v>0</v>
      </c>
      <c r="AR129" s="41">
        <f t="shared" si="49"/>
        <v>0</v>
      </c>
      <c r="AS129" s="41">
        <f t="shared" si="50"/>
        <v>0</v>
      </c>
      <c r="AT129" s="41">
        <f t="shared" si="51"/>
        <v>0</v>
      </c>
      <c r="AU129" s="55">
        <f t="shared" si="52"/>
        <v>0</v>
      </c>
      <c r="AW129" s="41">
        <f t="shared" si="57"/>
        <v>0</v>
      </c>
      <c r="AX129" s="41">
        <f t="shared" si="58"/>
        <v>0</v>
      </c>
      <c r="AY129" s="41">
        <f t="shared" si="59"/>
        <v>0</v>
      </c>
      <c r="AZ129" s="41">
        <f t="shared" si="60"/>
        <v>0</v>
      </c>
      <c r="BA129" s="41">
        <f t="shared" si="61"/>
        <v>0</v>
      </c>
      <c r="BB129" s="41">
        <f t="shared" si="62"/>
        <v>0</v>
      </c>
      <c r="BC129" s="41">
        <f t="shared" si="63"/>
        <v>0</v>
      </c>
      <c r="BD129" s="55">
        <f t="shared" si="64"/>
        <v>0</v>
      </c>
      <c r="BF129" s="41">
        <f t="shared" si="53"/>
        <v>0</v>
      </c>
    </row>
    <row r="130" spans="1:58" ht="13.5">
      <c r="A130" s="41" t="str">
        <f>IF(Base!B128="","",Base!B128)</f>
        <v>04.776.546-3</v>
      </c>
      <c r="B130" s="41" t="str">
        <f>IF(Base!F128="","",Base!F128)</f>
        <v>EUGENIO  OLEKSIUK  SEKOWSKA</v>
      </c>
      <c r="C130" s="41" t="str">
        <f>IF(Base!I128="","",Base!I128)</f>
        <v>Linea 7</v>
      </c>
      <c r="D130" s="42" t="str">
        <f>IF(Base!J128="","",Base!J128)</f>
        <v>Embalador</v>
      </c>
      <c r="E130" s="41">
        <f>IF(Base!H128="","",Base!H128)</f>
        <v>1050616</v>
      </c>
      <c r="J130" s="49">
        <v>120</v>
      </c>
      <c r="K130" s="115"/>
      <c r="L130" s="111" t="str">
        <f t="shared" si="65"/>
        <v/>
      </c>
      <c r="M130" s="111" t="str">
        <f t="shared" si="66"/>
        <v/>
      </c>
      <c r="N130" s="112" t="str">
        <f t="shared" si="43"/>
        <v/>
      </c>
      <c r="O130" s="112" t="str">
        <f t="shared" si="44"/>
        <v/>
      </c>
      <c r="P130" s="51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3">
        <f t="shared" si="54"/>
        <v>0</v>
      </c>
      <c r="AF130" s="53">
        <f t="shared" si="55"/>
        <v>0</v>
      </c>
      <c r="AG130" s="54"/>
      <c r="AL130" s="41" t="str">
        <f t="shared" si="56"/>
        <v/>
      </c>
      <c r="AM130" s="41">
        <v>121</v>
      </c>
      <c r="AN130" s="41">
        <f t="shared" si="45"/>
        <v>0</v>
      </c>
      <c r="AO130" s="41">
        <f t="shared" si="46"/>
        <v>0</v>
      </c>
      <c r="AP130" s="41">
        <f t="shared" si="47"/>
        <v>0</v>
      </c>
      <c r="AQ130" s="41">
        <f t="shared" si="48"/>
        <v>0</v>
      </c>
      <c r="AR130" s="41">
        <f t="shared" si="49"/>
        <v>0</v>
      </c>
      <c r="AS130" s="41">
        <f t="shared" si="50"/>
        <v>0</v>
      </c>
      <c r="AT130" s="41">
        <f t="shared" si="51"/>
        <v>0</v>
      </c>
      <c r="AU130" s="55">
        <f t="shared" si="52"/>
        <v>0</v>
      </c>
      <c r="AW130" s="41">
        <f t="shared" si="57"/>
        <v>0</v>
      </c>
      <c r="AX130" s="41">
        <f t="shared" si="58"/>
        <v>0</v>
      </c>
      <c r="AY130" s="41">
        <f t="shared" si="59"/>
        <v>0</v>
      </c>
      <c r="AZ130" s="41">
        <f t="shared" si="60"/>
        <v>0</v>
      </c>
      <c r="BA130" s="41">
        <f t="shared" si="61"/>
        <v>0</v>
      </c>
      <c r="BB130" s="41">
        <f t="shared" si="62"/>
        <v>0</v>
      </c>
      <c r="BC130" s="41">
        <f t="shared" si="63"/>
        <v>0</v>
      </c>
      <c r="BD130" s="55">
        <f t="shared" si="64"/>
        <v>0</v>
      </c>
      <c r="BF130" s="41">
        <f t="shared" si="53"/>
        <v>0</v>
      </c>
    </row>
    <row r="131" spans="1:58" ht="13.5">
      <c r="A131" s="41" t="str">
        <f>IF(Base!B129="","",Base!B129)</f>
        <v>10.746.078-0</v>
      </c>
      <c r="B131" s="41" t="str">
        <f>IF(Base!F129="","",Base!F129)</f>
        <v>ARMANDO  ORELLANA  OLIVARES</v>
      </c>
      <c r="C131" s="41" t="str">
        <f>IF(Base!I129="","",Base!I129)</f>
        <v>Sala filtros</v>
      </c>
      <c r="D131" s="42" t="str">
        <f>IF(Base!J129="","",Base!J129)</f>
        <v>Operador sala de filtros</v>
      </c>
      <c r="E131" s="41">
        <f>IF(Base!H129="","",Base!H129)</f>
        <v>1050574</v>
      </c>
      <c r="J131" s="49">
        <v>121</v>
      </c>
      <c r="K131" s="115"/>
      <c r="L131" s="111" t="str">
        <f t="shared" si="65"/>
        <v/>
      </c>
      <c r="M131" s="111" t="str">
        <f t="shared" si="66"/>
        <v/>
      </c>
      <c r="N131" s="112" t="str">
        <f t="shared" si="43"/>
        <v/>
      </c>
      <c r="O131" s="112" t="str">
        <f t="shared" si="44"/>
        <v/>
      </c>
      <c r="P131" s="51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3">
        <f t="shared" si="54"/>
        <v>0</v>
      </c>
      <c r="AF131" s="53">
        <f t="shared" si="55"/>
        <v>0</v>
      </c>
      <c r="AG131" s="54"/>
      <c r="AL131" s="41" t="str">
        <f t="shared" si="56"/>
        <v/>
      </c>
      <c r="AM131" s="41">
        <v>122</v>
      </c>
      <c r="AN131" s="41">
        <f t="shared" si="45"/>
        <v>0</v>
      </c>
      <c r="AO131" s="41">
        <f t="shared" si="46"/>
        <v>0</v>
      </c>
      <c r="AP131" s="41">
        <f t="shared" si="47"/>
        <v>0</v>
      </c>
      <c r="AQ131" s="41">
        <f t="shared" si="48"/>
        <v>0</v>
      </c>
      <c r="AR131" s="41">
        <f t="shared" si="49"/>
        <v>0</v>
      </c>
      <c r="AS131" s="41">
        <f t="shared" si="50"/>
        <v>0</v>
      </c>
      <c r="AT131" s="41">
        <f t="shared" si="51"/>
        <v>0</v>
      </c>
      <c r="AU131" s="55">
        <f t="shared" si="52"/>
        <v>0</v>
      </c>
      <c r="AW131" s="41">
        <f t="shared" si="57"/>
        <v>0</v>
      </c>
      <c r="AX131" s="41">
        <f t="shared" si="58"/>
        <v>0</v>
      </c>
      <c r="AY131" s="41">
        <f t="shared" si="59"/>
        <v>0</v>
      </c>
      <c r="AZ131" s="41">
        <f t="shared" si="60"/>
        <v>0</v>
      </c>
      <c r="BA131" s="41">
        <f t="shared" si="61"/>
        <v>0</v>
      </c>
      <c r="BB131" s="41">
        <f t="shared" si="62"/>
        <v>0</v>
      </c>
      <c r="BC131" s="41">
        <f t="shared" si="63"/>
        <v>0</v>
      </c>
      <c r="BD131" s="55">
        <f t="shared" si="64"/>
        <v>0</v>
      </c>
      <c r="BF131" s="41">
        <f t="shared" si="53"/>
        <v>0</v>
      </c>
    </row>
    <row r="132" spans="1:58" ht="13.5">
      <c r="A132" s="41" t="str">
        <f>IF(Base!B130="","",Base!B130)</f>
        <v>15.823.421-1</v>
      </c>
      <c r="B132" s="41" t="str">
        <f>IF(Base!F130="","",Base!F130)</f>
        <v>ALEXIS  ORIAS  ORIAS</v>
      </c>
      <c r="C132" s="41" t="str">
        <f>IF(Base!I130="","",Base!I130)</f>
        <v>Linea 1</v>
      </c>
      <c r="D132" s="42" t="str">
        <f>IF(Base!J130="","",Base!J130)</f>
        <v>Etiquetador</v>
      </c>
      <c r="E132" s="41">
        <f>IF(Base!H130="","",Base!H130)</f>
        <v>1050552</v>
      </c>
      <c r="J132" s="49">
        <v>122</v>
      </c>
      <c r="K132" s="115"/>
      <c r="L132" s="111" t="str">
        <f t="shared" si="65"/>
        <v/>
      </c>
      <c r="M132" s="111" t="str">
        <f t="shared" si="66"/>
        <v/>
      </c>
      <c r="N132" s="112" t="str">
        <f t="shared" si="43"/>
        <v/>
      </c>
      <c r="O132" s="112" t="str">
        <f t="shared" si="44"/>
        <v/>
      </c>
      <c r="P132" s="51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3">
        <f t="shared" si="54"/>
        <v>0</v>
      </c>
      <c r="AF132" s="53">
        <f t="shared" si="55"/>
        <v>0</v>
      </c>
      <c r="AG132" s="54"/>
      <c r="AL132" s="41" t="str">
        <f t="shared" si="56"/>
        <v/>
      </c>
      <c r="AM132" s="41">
        <v>123</v>
      </c>
      <c r="AN132" s="41">
        <f t="shared" si="45"/>
        <v>0</v>
      </c>
      <c r="AO132" s="41">
        <f t="shared" si="46"/>
        <v>0</v>
      </c>
      <c r="AP132" s="41">
        <f t="shared" si="47"/>
        <v>0</v>
      </c>
      <c r="AQ132" s="41">
        <f t="shared" si="48"/>
        <v>0</v>
      </c>
      <c r="AR132" s="41">
        <f t="shared" si="49"/>
        <v>0</v>
      </c>
      <c r="AS132" s="41">
        <f t="shared" si="50"/>
        <v>0</v>
      </c>
      <c r="AT132" s="41">
        <f t="shared" si="51"/>
        <v>0</v>
      </c>
      <c r="AU132" s="55">
        <f t="shared" si="52"/>
        <v>0</v>
      </c>
      <c r="AW132" s="41">
        <f t="shared" si="57"/>
        <v>0</v>
      </c>
      <c r="AX132" s="41">
        <f t="shared" si="58"/>
        <v>0</v>
      </c>
      <c r="AY132" s="41">
        <f t="shared" si="59"/>
        <v>0</v>
      </c>
      <c r="AZ132" s="41">
        <f t="shared" si="60"/>
        <v>0</v>
      </c>
      <c r="BA132" s="41">
        <f t="shared" si="61"/>
        <v>0</v>
      </c>
      <c r="BB132" s="41">
        <f t="shared" si="62"/>
        <v>0</v>
      </c>
      <c r="BC132" s="41">
        <f t="shared" si="63"/>
        <v>0</v>
      </c>
      <c r="BD132" s="55">
        <f t="shared" si="64"/>
        <v>0</v>
      </c>
      <c r="BF132" s="41">
        <f t="shared" si="53"/>
        <v>0</v>
      </c>
    </row>
    <row r="133" spans="1:58" ht="13.5">
      <c r="A133" s="41" t="str">
        <f>IF(Base!B131="","",Base!B131)</f>
        <v>09.503.712-7</v>
      </c>
      <c r="B133" s="41" t="str">
        <f>IF(Base!F131="","",Base!F131)</f>
        <v>MANUEL  ORTIZ  CONTRERAS</v>
      </c>
      <c r="C133" s="41" t="str">
        <f>IF(Base!I131="","",Base!I131)</f>
        <v>Linea 4</v>
      </c>
      <c r="D133" s="42" t="str">
        <f>IF(Base!J131="","",Base!J131)</f>
        <v>Llenador</v>
      </c>
      <c r="E133" s="41">
        <f>IF(Base!H131="","",Base!H131)</f>
        <v>1050557</v>
      </c>
      <c r="J133" s="49">
        <v>123</v>
      </c>
      <c r="K133" s="115"/>
      <c r="L133" s="111" t="str">
        <f t="shared" si="65"/>
        <v/>
      </c>
      <c r="M133" s="111" t="str">
        <f t="shared" si="66"/>
        <v/>
      </c>
      <c r="N133" s="112" t="str">
        <f t="shared" si="43"/>
        <v/>
      </c>
      <c r="O133" s="112" t="str">
        <f t="shared" si="44"/>
        <v/>
      </c>
      <c r="P133" s="51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3">
        <f t="shared" si="54"/>
        <v>0</v>
      </c>
      <c r="AF133" s="53">
        <f t="shared" si="55"/>
        <v>0</v>
      </c>
      <c r="AG133" s="54"/>
      <c r="AL133" s="41" t="str">
        <f t="shared" si="56"/>
        <v/>
      </c>
      <c r="AM133" s="41">
        <v>124</v>
      </c>
      <c r="AN133" s="41">
        <f t="shared" si="45"/>
        <v>0</v>
      </c>
      <c r="AO133" s="41">
        <f t="shared" si="46"/>
        <v>0</v>
      </c>
      <c r="AP133" s="41">
        <f t="shared" si="47"/>
        <v>0</v>
      </c>
      <c r="AQ133" s="41">
        <f t="shared" si="48"/>
        <v>0</v>
      </c>
      <c r="AR133" s="41">
        <f t="shared" si="49"/>
        <v>0</v>
      </c>
      <c r="AS133" s="41">
        <f t="shared" si="50"/>
        <v>0</v>
      </c>
      <c r="AT133" s="41">
        <f t="shared" si="51"/>
        <v>0</v>
      </c>
      <c r="AU133" s="55">
        <f t="shared" si="52"/>
        <v>0</v>
      </c>
      <c r="AW133" s="41">
        <f t="shared" si="57"/>
        <v>0</v>
      </c>
      <c r="AX133" s="41">
        <f t="shared" si="58"/>
        <v>0</v>
      </c>
      <c r="AY133" s="41">
        <f t="shared" si="59"/>
        <v>0</v>
      </c>
      <c r="AZ133" s="41">
        <f t="shared" si="60"/>
        <v>0</v>
      </c>
      <c r="BA133" s="41">
        <f t="shared" si="61"/>
        <v>0</v>
      </c>
      <c r="BB133" s="41">
        <f t="shared" si="62"/>
        <v>0</v>
      </c>
      <c r="BC133" s="41">
        <f t="shared" si="63"/>
        <v>0</v>
      </c>
      <c r="BD133" s="55">
        <f t="shared" si="64"/>
        <v>0</v>
      </c>
      <c r="BF133" s="41">
        <f t="shared" si="53"/>
        <v>0</v>
      </c>
    </row>
    <row r="134" spans="1:58" ht="13.5">
      <c r="A134" s="41" t="str">
        <f>IF(Base!B132="","",Base!B132)</f>
        <v>08.272.509-1</v>
      </c>
      <c r="B134" s="41" t="str">
        <f>IF(Base!F132="","",Base!F132)</f>
        <v>JORGE MANUEL  OSORIO  OSORIO</v>
      </c>
      <c r="C134" s="41" t="str">
        <f>IF(Base!I132="","",Base!I132)</f>
        <v>Linea 7</v>
      </c>
      <c r="D134" s="42" t="str">
        <f>IF(Base!J132="","",Base!J132)</f>
        <v>Despalletizador</v>
      </c>
      <c r="E134" s="41">
        <f>IF(Base!H132="","",Base!H132)</f>
        <v>1050616</v>
      </c>
      <c r="J134" s="49">
        <v>124</v>
      </c>
      <c r="K134" s="115"/>
      <c r="L134" s="111" t="str">
        <f t="shared" si="65"/>
        <v/>
      </c>
      <c r="M134" s="111" t="str">
        <f t="shared" si="66"/>
        <v/>
      </c>
      <c r="N134" s="112" t="str">
        <f t="shared" si="43"/>
        <v/>
      </c>
      <c r="O134" s="112" t="str">
        <f t="shared" si="44"/>
        <v/>
      </c>
      <c r="P134" s="51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3">
        <f t="shared" si="54"/>
        <v>0</v>
      </c>
      <c r="AF134" s="53">
        <f t="shared" si="55"/>
        <v>0</v>
      </c>
      <c r="AG134" s="54"/>
      <c r="AL134" s="41" t="str">
        <f t="shared" si="56"/>
        <v/>
      </c>
      <c r="AM134" s="41">
        <v>125</v>
      </c>
      <c r="AN134" s="41">
        <f t="shared" si="45"/>
        <v>0</v>
      </c>
      <c r="AO134" s="41">
        <f t="shared" si="46"/>
        <v>0</v>
      </c>
      <c r="AP134" s="41">
        <f t="shared" si="47"/>
        <v>0</v>
      </c>
      <c r="AQ134" s="41">
        <f t="shared" si="48"/>
        <v>0</v>
      </c>
      <c r="AR134" s="41">
        <f t="shared" si="49"/>
        <v>0</v>
      </c>
      <c r="AS134" s="41">
        <f t="shared" si="50"/>
        <v>0</v>
      </c>
      <c r="AT134" s="41">
        <f t="shared" si="51"/>
        <v>0</v>
      </c>
      <c r="AU134" s="55">
        <f t="shared" si="52"/>
        <v>0</v>
      </c>
      <c r="AW134" s="41">
        <f t="shared" si="57"/>
        <v>0</v>
      </c>
      <c r="AX134" s="41">
        <f t="shared" si="58"/>
        <v>0</v>
      </c>
      <c r="AY134" s="41">
        <f t="shared" si="59"/>
        <v>0</v>
      </c>
      <c r="AZ134" s="41">
        <f t="shared" si="60"/>
        <v>0</v>
      </c>
      <c r="BA134" s="41">
        <f t="shared" si="61"/>
        <v>0</v>
      </c>
      <c r="BB134" s="41">
        <f t="shared" si="62"/>
        <v>0</v>
      </c>
      <c r="BC134" s="41">
        <f t="shared" si="63"/>
        <v>0</v>
      </c>
      <c r="BD134" s="55">
        <f t="shared" si="64"/>
        <v>0</v>
      </c>
      <c r="BF134" s="41">
        <f t="shared" si="53"/>
        <v>0</v>
      </c>
    </row>
    <row r="135" spans="1:58" ht="13.5">
      <c r="A135" s="41" t="str">
        <f>IF(Base!B133="","",Base!B133)</f>
        <v>13.681.026-K</v>
      </c>
      <c r="B135" s="41" t="str">
        <f>IF(Base!F133="","",Base!F133)</f>
        <v>JULIO HERNAN  OYANEDEL  COFRE</v>
      </c>
      <c r="C135" s="41" t="str">
        <f>IF(Base!I133="","",Base!I133)</f>
        <v>Abastecimiento</v>
      </c>
      <c r="D135" s="42" t="str">
        <f>IF(Base!J133="","",Base!J133)</f>
        <v>Almacen Insumos Pque</v>
      </c>
      <c r="E135" s="41">
        <f>IF(Base!H133="","",Base!H133)</f>
        <v>1050581</v>
      </c>
      <c r="J135" s="49">
        <v>125</v>
      </c>
      <c r="K135" s="115"/>
      <c r="L135" s="111" t="str">
        <f t="shared" si="65"/>
        <v/>
      </c>
      <c r="M135" s="111" t="str">
        <f t="shared" si="66"/>
        <v/>
      </c>
      <c r="N135" s="112" t="str">
        <f t="shared" si="43"/>
        <v/>
      </c>
      <c r="O135" s="112" t="str">
        <f t="shared" si="44"/>
        <v/>
      </c>
      <c r="P135" s="51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3">
        <f t="shared" si="54"/>
        <v>0</v>
      </c>
      <c r="AF135" s="53">
        <f t="shared" si="55"/>
        <v>0</v>
      </c>
      <c r="AG135" s="54"/>
      <c r="AL135" s="41" t="str">
        <f t="shared" si="56"/>
        <v/>
      </c>
      <c r="AM135" s="41">
        <v>126</v>
      </c>
      <c r="AN135" s="41">
        <f t="shared" si="45"/>
        <v>0</v>
      </c>
      <c r="AO135" s="41">
        <f t="shared" si="46"/>
        <v>0</v>
      </c>
      <c r="AP135" s="41">
        <f t="shared" si="47"/>
        <v>0</v>
      </c>
      <c r="AQ135" s="41">
        <f t="shared" si="48"/>
        <v>0</v>
      </c>
      <c r="AR135" s="41">
        <f t="shared" si="49"/>
        <v>0</v>
      </c>
      <c r="AS135" s="41">
        <f t="shared" si="50"/>
        <v>0</v>
      </c>
      <c r="AT135" s="41">
        <f t="shared" si="51"/>
        <v>0</v>
      </c>
      <c r="AU135" s="55">
        <f t="shared" si="52"/>
        <v>0</v>
      </c>
      <c r="AW135" s="41">
        <f t="shared" si="57"/>
        <v>0</v>
      </c>
      <c r="AX135" s="41">
        <f t="shared" si="58"/>
        <v>0</v>
      </c>
      <c r="AY135" s="41">
        <f t="shared" si="59"/>
        <v>0</v>
      </c>
      <c r="AZ135" s="41">
        <f t="shared" si="60"/>
        <v>0</v>
      </c>
      <c r="BA135" s="41">
        <f t="shared" si="61"/>
        <v>0</v>
      </c>
      <c r="BB135" s="41">
        <f t="shared" si="62"/>
        <v>0</v>
      </c>
      <c r="BC135" s="41">
        <f t="shared" si="63"/>
        <v>0</v>
      </c>
      <c r="BD135" s="55">
        <f t="shared" si="64"/>
        <v>0</v>
      </c>
      <c r="BF135" s="41">
        <f t="shared" si="53"/>
        <v>0</v>
      </c>
    </row>
    <row r="136" spans="1:58" ht="13.5">
      <c r="A136" s="41" t="str">
        <f>IF(Base!B134="","",Base!B134)</f>
        <v>14.017.495-5</v>
      </c>
      <c r="B136" s="41" t="str">
        <f>IF(Base!F134="","",Base!F134)</f>
        <v>CARLOS EUGENIO  OYARCE  DIAZ</v>
      </c>
      <c r="C136" s="41" t="str">
        <f>IF(Base!I134="","",Base!I134)</f>
        <v>Abastecimiento</v>
      </c>
      <c r="D136" s="42" t="str">
        <f>IF(Base!J134="","",Base!J134)</f>
        <v>Control Ingresos Cen</v>
      </c>
      <c r="E136" s="41">
        <f>IF(Base!H134="","",Base!H134)</f>
        <v>1050126</v>
      </c>
      <c r="J136" s="49">
        <v>126</v>
      </c>
      <c r="K136" s="115"/>
      <c r="L136" s="111" t="str">
        <f t="shared" si="65"/>
        <v/>
      </c>
      <c r="M136" s="111" t="str">
        <f t="shared" si="66"/>
        <v/>
      </c>
      <c r="N136" s="112" t="str">
        <f t="shared" si="43"/>
        <v/>
      </c>
      <c r="O136" s="112" t="str">
        <f t="shared" si="44"/>
        <v/>
      </c>
      <c r="P136" s="51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3">
        <f t="shared" si="54"/>
        <v>0</v>
      </c>
      <c r="AF136" s="53">
        <f t="shared" si="55"/>
        <v>0</v>
      </c>
      <c r="AG136" s="54"/>
      <c r="AL136" s="41" t="str">
        <f t="shared" si="56"/>
        <v/>
      </c>
      <c r="AM136" s="41">
        <v>127</v>
      </c>
      <c r="AN136" s="41">
        <f t="shared" si="45"/>
        <v>0</v>
      </c>
      <c r="AO136" s="41">
        <f t="shared" si="46"/>
        <v>0</v>
      </c>
      <c r="AP136" s="41">
        <f t="shared" si="47"/>
        <v>0</v>
      </c>
      <c r="AQ136" s="41">
        <f t="shared" si="48"/>
        <v>0</v>
      </c>
      <c r="AR136" s="41">
        <f t="shared" si="49"/>
        <v>0</v>
      </c>
      <c r="AS136" s="41">
        <f t="shared" si="50"/>
        <v>0</v>
      </c>
      <c r="AT136" s="41">
        <f t="shared" si="51"/>
        <v>0</v>
      </c>
      <c r="AU136" s="55">
        <f t="shared" si="52"/>
        <v>0</v>
      </c>
      <c r="AW136" s="41">
        <f t="shared" si="57"/>
        <v>0</v>
      </c>
      <c r="AX136" s="41">
        <f t="shared" si="58"/>
        <v>0</v>
      </c>
      <c r="AY136" s="41">
        <f t="shared" si="59"/>
        <v>0</v>
      </c>
      <c r="AZ136" s="41">
        <f t="shared" si="60"/>
        <v>0</v>
      </c>
      <c r="BA136" s="41">
        <f t="shared" si="61"/>
        <v>0</v>
      </c>
      <c r="BB136" s="41">
        <f t="shared" si="62"/>
        <v>0</v>
      </c>
      <c r="BC136" s="41">
        <f t="shared" si="63"/>
        <v>0</v>
      </c>
      <c r="BD136" s="55">
        <f t="shared" si="64"/>
        <v>0</v>
      </c>
      <c r="BF136" s="41">
        <f t="shared" si="53"/>
        <v>0</v>
      </c>
    </row>
    <row r="137" spans="1:58" ht="13.5">
      <c r="A137" s="41" t="str">
        <f>IF(Base!B135="","",Base!B135)</f>
        <v>17.543.156-K</v>
      </c>
      <c r="B137" s="41" t="str">
        <f>IF(Base!F135="","",Base!F135)</f>
        <v>FELIPE ANDRES  PALACIOS  VENEGAS</v>
      </c>
      <c r="C137" s="41" t="str">
        <f>IF(Base!I135="","",Base!I135)</f>
        <v>Linea 6</v>
      </c>
      <c r="D137" s="42" t="str">
        <f>IF(Base!J135="","",Base!J135)</f>
        <v>Despalletizador</v>
      </c>
      <c r="E137" s="41">
        <f>IF(Base!H135="","",Base!H135)</f>
        <v>1050609</v>
      </c>
      <c r="J137" s="49">
        <v>127</v>
      </c>
      <c r="K137" s="115"/>
      <c r="L137" s="111" t="str">
        <f t="shared" si="65"/>
        <v/>
      </c>
      <c r="M137" s="111" t="str">
        <f t="shared" si="66"/>
        <v/>
      </c>
      <c r="N137" s="112" t="str">
        <f t="shared" si="43"/>
        <v/>
      </c>
      <c r="O137" s="112" t="str">
        <f t="shared" si="44"/>
        <v/>
      </c>
      <c r="P137" s="51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3">
        <f t="shared" si="54"/>
        <v>0</v>
      </c>
      <c r="AF137" s="53">
        <f t="shared" si="55"/>
        <v>0</v>
      </c>
      <c r="AG137" s="54"/>
      <c r="AL137" s="41" t="str">
        <f t="shared" si="56"/>
        <v/>
      </c>
      <c r="AM137" s="41">
        <v>128</v>
      </c>
      <c r="AN137" s="41">
        <f t="shared" si="45"/>
        <v>0</v>
      </c>
      <c r="AO137" s="41">
        <f t="shared" si="46"/>
        <v>0</v>
      </c>
      <c r="AP137" s="41">
        <f t="shared" si="47"/>
        <v>0</v>
      </c>
      <c r="AQ137" s="41">
        <f t="shared" si="48"/>
        <v>0</v>
      </c>
      <c r="AR137" s="41">
        <f t="shared" si="49"/>
        <v>0</v>
      </c>
      <c r="AS137" s="41">
        <f t="shared" si="50"/>
        <v>0</v>
      </c>
      <c r="AT137" s="41">
        <f t="shared" si="51"/>
        <v>0</v>
      </c>
      <c r="AU137" s="55">
        <f t="shared" si="52"/>
        <v>0</v>
      </c>
      <c r="AW137" s="41">
        <f t="shared" si="57"/>
        <v>0</v>
      </c>
      <c r="AX137" s="41">
        <f t="shared" si="58"/>
        <v>0</v>
      </c>
      <c r="AY137" s="41">
        <f t="shared" si="59"/>
        <v>0</v>
      </c>
      <c r="AZ137" s="41">
        <f t="shared" si="60"/>
        <v>0</v>
      </c>
      <c r="BA137" s="41">
        <f t="shared" si="61"/>
        <v>0</v>
      </c>
      <c r="BB137" s="41">
        <f t="shared" si="62"/>
        <v>0</v>
      </c>
      <c r="BC137" s="41">
        <f t="shared" si="63"/>
        <v>0</v>
      </c>
      <c r="BD137" s="55">
        <f t="shared" si="64"/>
        <v>0</v>
      </c>
      <c r="BF137" s="41">
        <f t="shared" si="53"/>
        <v>0</v>
      </c>
    </row>
    <row r="138" spans="1:58" ht="13.5">
      <c r="A138" s="41" t="str">
        <f>IF(Base!B136="","",Base!B136)</f>
        <v>11.054.986-5</v>
      </c>
      <c r="B138" s="41" t="str">
        <f>IF(Base!F136="","",Base!F136)</f>
        <v>CLAUDIA  PALAVECINOS  SEPULVEDA</v>
      </c>
      <c r="C138" s="41" t="str">
        <f>IF(Base!I136="","",Base!I136)</f>
        <v>Linea 2</v>
      </c>
      <c r="D138" s="42" t="str">
        <f>IF(Base!J136="","",Base!J136)</f>
        <v>Inspector etiqueta</v>
      </c>
      <c r="E138" s="41">
        <f>IF(Base!H136="","",Base!H136)</f>
        <v>1050554</v>
      </c>
      <c r="J138" s="49">
        <v>128</v>
      </c>
      <c r="K138" s="115"/>
      <c r="L138" s="111" t="str">
        <f t="shared" si="65"/>
        <v/>
      </c>
      <c r="M138" s="111" t="str">
        <f t="shared" si="66"/>
        <v/>
      </c>
      <c r="N138" s="112" t="str">
        <f t="shared" si="43"/>
        <v/>
      </c>
      <c r="O138" s="112" t="str">
        <f t="shared" si="44"/>
        <v/>
      </c>
      <c r="P138" s="51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3">
        <f t="shared" si="54"/>
        <v>0</v>
      </c>
      <c r="AF138" s="53">
        <f t="shared" si="55"/>
        <v>0</v>
      </c>
      <c r="AG138" s="54"/>
      <c r="AL138" s="41" t="str">
        <f t="shared" si="56"/>
        <v/>
      </c>
      <c r="AM138" s="41">
        <v>129</v>
      </c>
      <c r="AN138" s="41">
        <f t="shared" si="45"/>
        <v>0</v>
      </c>
      <c r="AO138" s="41">
        <f t="shared" si="46"/>
        <v>0</v>
      </c>
      <c r="AP138" s="41">
        <f t="shared" si="47"/>
        <v>0</v>
      </c>
      <c r="AQ138" s="41">
        <f t="shared" si="48"/>
        <v>0</v>
      </c>
      <c r="AR138" s="41">
        <f t="shared" si="49"/>
        <v>0</v>
      </c>
      <c r="AS138" s="41">
        <f t="shared" si="50"/>
        <v>0</v>
      </c>
      <c r="AT138" s="41">
        <f t="shared" si="51"/>
        <v>0</v>
      </c>
      <c r="AU138" s="55">
        <f t="shared" si="52"/>
        <v>0</v>
      </c>
      <c r="AW138" s="41">
        <f t="shared" si="57"/>
        <v>0</v>
      </c>
      <c r="AX138" s="41">
        <f t="shared" si="58"/>
        <v>0</v>
      </c>
      <c r="AY138" s="41">
        <f t="shared" si="59"/>
        <v>0</v>
      </c>
      <c r="AZ138" s="41">
        <f t="shared" si="60"/>
        <v>0</v>
      </c>
      <c r="BA138" s="41">
        <f t="shared" si="61"/>
        <v>0</v>
      </c>
      <c r="BB138" s="41">
        <f t="shared" si="62"/>
        <v>0</v>
      </c>
      <c r="BC138" s="41">
        <f t="shared" si="63"/>
        <v>0</v>
      </c>
      <c r="BD138" s="55">
        <f t="shared" si="64"/>
        <v>0</v>
      </c>
      <c r="BF138" s="41">
        <f t="shared" si="53"/>
        <v>0</v>
      </c>
    </row>
    <row r="139" spans="1:58" ht="13.5">
      <c r="A139" s="41" t="str">
        <f>IF(Base!B137="","",Base!B137)</f>
        <v>12.898.844-0</v>
      </c>
      <c r="B139" s="41" t="str">
        <f>IF(Base!F137="","",Base!F137)</f>
        <v>DANIEL H.  PALMA  CLARO</v>
      </c>
      <c r="C139" s="41" t="str">
        <f>IF(Base!I137="","",Base!I137)</f>
        <v>Monitor Embalado</v>
      </c>
      <c r="D139" s="42" t="str">
        <f>IF(Base!J137="","",Base!J137)</f>
        <v>Monitor Embalado</v>
      </c>
      <c r="E139" s="41">
        <f>IF(Base!H137="","",Base!H137)</f>
        <v>1050604</v>
      </c>
      <c r="J139" s="49">
        <v>129</v>
      </c>
      <c r="K139" s="115"/>
      <c r="L139" s="111" t="str">
        <f t="shared" si="65"/>
        <v/>
      </c>
      <c r="M139" s="111" t="str">
        <f t="shared" si="66"/>
        <v/>
      </c>
      <c r="N139" s="112" t="str">
        <f t="shared" si="43"/>
        <v/>
      </c>
      <c r="O139" s="112" t="str">
        <f t="shared" si="44"/>
        <v/>
      </c>
      <c r="P139" s="51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3">
        <f t="shared" si="54"/>
        <v>0</v>
      </c>
      <c r="AF139" s="53">
        <f t="shared" si="55"/>
        <v>0</v>
      </c>
      <c r="AG139" s="54"/>
      <c r="AL139" s="41" t="str">
        <f t="shared" si="56"/>
        <v/>
      </c>
      <c r="AM139" s="41">
        <v>130</v>
      </c>
      <c r="AN139" s="41">
        <f t="shared" si="45"/>
        <v>0</v>
      </c>
      <c r="AO139" s="41">
        <f t="shared" si="46"/>
        <v>0</v>
      </c>
      <c r="AP139" s="41">
        <f t="shared" si="47"/>
        <v>0</v>
      </c>
      <c r="AQ139" s="41">
        <f t="shared" si="48"/>
        <v>0</v>
      </c>
      <c r="AR139" s="41">
        <f t="shared" si="49"/>
        <v>0</v>
      </c>
      <c r="AS139" s="41">
        <f t="shared" si="50"/>
        <v>0</v>
      </c>
      <c r="AT139" s="41">
        <f t="shared" si="51"/>
        <v>0</v>
      </c>
      <c r="AU139" s="55">
        <f t="shared" si="52"/>
        <v>0</v>
      </c>
      <c r="AW139" s="41">
        <f t="shared" si="57"/>
        <v>0</v>
      </c>
      <c r="AX139" s="41">
        <f t="shared" si="58"/>
        <v>0</v>
      </c>
      <c r="AY139" s="41">
        <f t="shared" si="59"/>
        <v>0</v>
      </c>
      <c r="AZ139" s="41">
        <f t="shared" si="60"/>
        <v>0</v>
      </c>
      <c r="BA139" s="41">
        <f t="shared" si="61"/>
        <v>0</v>
      </c>
      <c r="BB139" s="41">
        <f t="shared" si="62"/>
        <v>0</v>
      </c>
      <c r="BC139" s="41">
        <f t="shared" si="63"/>
        <v>0</v>
      </c>
      <c r="BD139" s="55">
        <f t="shared" si="64"/>
        <v>0</v>
      </c>
      <c r="BF139" s="41">
        <f t="shared" si="53"/>
        <v>0</v>
      </c>
    </row>
    <row r="140" spans="1:58" ht="13.5">
      <c r="A140" s="41" t="str">
        <f>IF(Base!B138="","",Base!B138)</f>
        <v>10.876.404-K</v>
      </c>
      <c r="B140" s="41" t="str">
        <f>IF(Base!F138="","",Base!F138)</f>
        <v>LUIS RAFAEL  PALMA  MIRANDA</v>
      </c>
      <c r="C140" s="41" t="str">
        <f>IF(Base!I138="","",Base!I138)</f>
        <v>Linea 1</v>
      </c>
      <c r="D140" s="42" t="str">
        <f>IF(Base!J138="","",Base!J138)</f>
        <v>Llenador</v>
      </c>
      <c r="E140" s="41">
        <f>IF(Base!H138="","",Base!H138)</f>
        <v>1050551</v>
      </c>
      <c r="J140" s="49">
        <v>130</v>
      </c>
      <c r="K140" s="115"/>
      <c r="L140" s="111" t="str">
        <f t="shared" ref="L140:L203" si="67">IF(K140="","",VLOOKUP($K140,A:D,2,FALSE))</f>
        <v/>
      </c>
      <c r="M140" s="111" t="str">
        <f t="shared" ref="M140:M203" si="68">IF(K140="","",VLOOKUP(K140,A:E,5,FALSE))</f>
        <v/>
      </c>
      <c r="N140" s="112" t="str">
        <f t="shared" ref="N140:N203" si="69">IF(K140="","",VLOOKUP(K140,A:C,3,FALSE))</f>
        <v/>
      </c>
      <c r="O140" s="112" t="str">
        <f t="shared" ref="O140:O203" si="70">IF(K140="","",VLOOKUP(K140,A:D,4,FALSE))</f>
        <v/>
      </c>
      <c r="P140" s="51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3">
        <f t="shared" si="54"/>
        <v>0</v>
      </c>
      <c r="AF140" s="53">
        <f t="shared" si="55"/>
        <v>0</v>
      </c>
      <c r="AG140" s="54"/>
      <c r="AL140" s="41" t="str">
        <f t="shared" si="56"/>
        <v/>
      </c>
      <c r="AM140" s="41">
        <v>131</v>
      </c>
      <c r="AN140" s="41">
        <f t="shared" ref="AN140:AN203" si="71">Q140</f>
        <v>0</v>
      </c>
      <c r="AO140" s="41">
        <f t="shared" ref="AO140:AO203" si="72">S140</f>
        <v>0</v>
      </c>
      <c r="AP140" s="41">
        <f t="shared" ref="AP140:AP203" si="73">U140</f>
        <v>0</v>
      </c>
      <c r="AQ140" s="41">
        <f t="shared" ref="AQ140:AQ203" si="74">W140</f>
        <v>0</v>
      </c>
      <c r="AR140" s="41">
        <f t="shared" ref="AR140:AR203" si="75">Y140</f>
        <v>0</v>
      </c>
      <c r="AS140" s="41">
        <f t="shared" ref="AS140:AS203" si="76">AA140</f>
        <v>0</v>
      </c>
      <c r="AT140" s="41">
        <f t="shared" ref="AT140:AT203" si="77">AC140</f>
        <v>0</v>
      </c>
      <c r="AU140" s="55">
        <f t="shared" ref="AU140:AU203" si="78">IF(SUM(AN140:AT140)=0,0,SUM(AN140:AT140))</f>
        <v>0</v>
      </c>
      <c r="AW140" s="41">
        <f t="shared" si="57"/>
        <v>0</v>
      </c>
      <c r="AX140" s="41">
        <f t="shared" si="58"/>
        <v>0</v>
      </c>
      <c r="AY140" s="41">
        <f t="shared" si="59"/>
        <v>0</v>
      </c>
      <c r="AZ140" s="41">
        <f t="shared" si="60"/>
        <v>0</v>
      </c>
      <c r="BA140" s="41">
        <f t="shared" si="61"/>
        <v>0</v>
      </c>
      <c r="BB140" s="41">
        <f t="shared" si="62"/>
        <v>0</v>
      </c>
      <c r="BC140" s="41">
        <f t="shared" si="63"/>
        <v>0</v>
      </c>
      <c r="BD140" s="55">
        <f t="shared" si="64"/>
        <v>0</v>
      </c>
      <c r="BF140" s="41">
        <f t="shared" ref="BF140:BF203" si="79">SUM(AU140+BD140)</f>
        <v>0</v>
      </c>
    </row>
    <row r="141" spans="1:58" ht="13.5">
      <c r="A141" s="41" t="str">
        <f>IF(Base!B139="","",Base!B139)</f>
        <v>07.815.083-1</v>
      </c>
      <c r="B141" s="41" t="str">
        <f>IF(Base!F139="","",Base!F139)</f>
        <v>ELOY ENRIQUE  PALMA  SEREÑO</v>
      </c>
      <c r="C141" s="41" t="str">
        <f>IF(Base!I139="","",Base!I139)</f>
        <v>Linea 2</v>
      </c>
      <c r="D141" s="42" t="str">
        <f>IF(Base!J139="","",Base!J139)</f>
        <v>Etiquetador</v>
      </c>
      <c r="E141" s="41">
        <f>IF(Base!H139="","",Base!H139)</f>
        <v>1050554</v>
      </c>
      <c r="J141" s="49">
        <v>131</v>
      </c>
      <c r="K141" s="115"/>
      <c r="L141" s="111" t="str">
        <f t="shared" si="67"/>
        <v/>
      </c>
      <c r="M141" s="111" t="str">
        <f t="shared" si="68"/>
        <v/>
      </c>
      <c r="N141" s="112" t="str">
        <f t="shared" si="69"/>
        <v/>
      </c>
      <c r="O141" s="112" t="str">
        <f t="shared" si="70"/>
        <v/>
      </c>
      <c r="P141" s="51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3">
        <f t="shared" si="54"/>
        <v>0</v>
      </c>
      <c r="AF141" s="53">
        <f t="shared" si="55"/>
        <v>0</v>
      </c>
      <c r="AG141" s="54"/>
      <c r="AL141" s="41" t="str">
        <f t="shared" si="56"/>
        <v/>
      </c>
      <c r="AM141" s="41">
        <v>132</v>
      </c>
      <c r="AN141" s="41">
        <f t="shared" si="71"/>
        <v>0</v>
      </c>
      <c r="AO141" s="41">
        <f t="shared" si="72"/>
        <v>0</v>
      </c>
      <c r="AP141" s="41">
        <f t="shared" si="73"/>
        <v>0</v>
      </c>
      <c r="AQ141" s="41">
        <f t="shared" si="74"/>
        <v>0</v>
      </c>
      <c r="AR141" s="41">
        <f t="shared" si="75"/>
        <v>0</v>
      </c>
      <c r="AS141" s="41">
        <f t="shared" si="76"/>
        <v>0</v>
      </c>
      <c r="AT141" s="41">
        <f t="shared" si="77"/>
        <v>0</v>
      </c>
      <c r="AU141" s="55">
        <f t="shared" si="78"/>
        <v>0</v>
      </c>
      <c r="AW141" s="41">
        <f t="shared" si="57"/>
        <v>0</v>
      </c>
      <c r="AX141" s="41">
        <f t="shared" si="58"/>
        <v>0</v>
      </c>
      <c r="AY141" s="41">
        <f t="shared" si="59"/>
        <v>0</v>
      </c>
      <c r="AZ141" s="41">
        <f t="shared" si="60"/>
        <v>0</v>
      </c>
      <c r="BA141" s="41">
        <f t="shared" si="61"/>
        <v>0</v>
      </c>
      <c r="BB141" s="41">
        <f t="shared" si="62"/>
        <v>0</v>
      </c>
      <c r="BC141" s="41">
        <f t="shared" si="63"/>
        <v>0</v>
      </c>
      <c r="BD141" s="55">
        <f t="shared" si="64"/>
        <v>0</v>
      </c>
      <c r="BF141" s="41">
        <f t="shared" si="79"/>
        <v>0</v>
      </c>
    </row>
    <row r="142" spans="1:58" ht="13.5">
      <c r="A142" s="41" t="str">
        <f>IF(Base!B140="","",Base!B140)</f>
        <v>06.646.724-4</v>
      </c>
      <c r="B142" s="41" t="str">
        <f>IF(Base!F140="","",Base!F140)</f>
        <v>JUAN RAMON  PALMA  SEREÑO</v>
      </c>
      <c r="C142" s="41" t="str">
        <f>IF(Base!I140="","",Base!I140)</f>
        <v>Linea 3</v>
      </c>
      <c r="D142" s="42" t="str">
        <f>IF(Base!J140="","",Base!J140)</f>
        <v>Llenador</v>
      </c>
      <c r="E142" s="41">
        <f>IF(Base!H140="","",Base!H140)</f>
        <v>1050555</v>
      </c>
      <c r="J142" s="49">
        <v>132</v>
      </c>
      <c r="K142" s="115"/>
      <c r="L142" s="111" t="str">
        <f t="shared" si="67"/>
        <v/>
      </c>
      <c r="M142" s="111" t="str">
        <f t="shared" si="68"/>
        <v/>
      </c>
      <c r="N142" s="112" t="str">
        <f t="shared" si="69"/>
        <v/>
      </c>
      <c r="O142" s="112" t="str">
        <f t="shared" si="70"/>
        <v/>
      </c>
      <c r="P142" s="51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3">
        <f t="shared" si="54"/>
        <v>0</v>
      </c>
      <c r="AF142" s="53">
        <f t="shared" si="55"/>
        <v>0</v>
      </c>
      <c r="AG142" s="54"/>
      <c r="AL142" s="41" t="str">
        <f t="shared" si="56"/>
        <v/>
      </c>
      <c r="AM142" s="41">
        <v>133</v>
      </c>
      <c r="AN142" s="41">
        <f t="shared" si="71"/>
        <v>0</v>
      </c>
      <c r="AO142" s="41">
        <f t="shared" si="72"/>
        <v>0</v>
      </c>
      <c r="AP142" s="41">
        <f t="shared" si="73"/>
        <v>0</v>
      </c>
      <c r="AQ142" s="41">
        <f t="shared" si="74"/>
        <v>0</v>
      </c>
      <c r="AR142" s="41">
        <f t="shared" si="75"/>
        <v>0</v>
      </c>
      <c r="AS142" s="41">
        <f t="shared" si="76"/>
        <v>0</v>
      </c>
      <c r="AT142" s="41">
        <f t="shared" si="77"/>
        <v>0</v>
      </c>
      <c r="AU142" s="55">
        <f t="shared" si="78"/>
        <v>0</v>
      </c>
      <c r="AW142" s="41">
        <f t="shared" si="57"/>
        <v>0</v>
      </c>
      <c r="AX142" s="41">
        <f t="shared" si="58"/>
        <v>0</v>
      </c>
      <c r="AY142" s="41">
        <f t="shared" si="59"/>
        <v>0</v>
      </c>
      <c r="AZ142" s="41">
        <f t="shared" si="60"/>
        <v>0</v>
      </c>
      <c r="BA142" s="41">
        <f t="shared" si="61"/>
        <v>0</v>
      </c>
      <c r="BB142" s="41">
        <f t="shared" si="62"/>
        <v>0</v>
      </c>
      <c r="BC142" s="41">
        <f t="shared" si="63"/>
        <v>0</v>
      </c>
      <c r="BD142" s="55">
        <f t="shared" si="64"/>
        <v>0</v>
      </c>
      <c r="BF142" s="41">
        <f t="shared" si="79"/>
        <v>0</v>
      </c>
    </row>
    <row r="143" spans="1:58" ht="13.5">
      <c r="A143" s="41" t="str">
        <f>IF(Base!B141="","",Base!B141)</f>
        <v>09.488.801-8</v>
      </c>
      <c r="B143" s="41" t="str">
        <f>IF(Base!F141="","",Base!F141)</f>
        <v>LUIS RICARDO  PALMA  SEREÑO</v>
      </c>
      <c r="C143" s="41" t="str">
        <f>IF(Base!I141="","",Base!I141)</f>
        <v>Linea 3</v>
      </c>
      <c r="D143" s="42" t="str">
        <f>IF(Base!J141="","",Base!J141)</f>
        <v>Llenador</v>
      </c>
      <c r="E143" s="41">
        <f>IF(Base!H141="","",Base!H141)</f>
        <v>1050555</v>
      </c>
      <c r="J143" s="49">
        <v>133</v>
      </c>
      <c r="K143" s="115"/>
      <c r="L143" s="111" t="str">
        <f t="shared" si="67"/>
        <v/>
      </c>
      <c r="M143" s="111" t="str">
        <f t="shared" si="68"/>
        <v/>
      </c>
      <c r="N143" s="112" t="str">
        <f t="shared" si="69"/>
        <v/>
      </c>
      <c r="O143" s="112" t="str">
        <f t="shared" si="70"/>
        <v/>
      </c>
      <c r="P143" s="51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3">
        <f t="shared" si="54"/>
        <v>0</v>
      </c>
      <c r="AF143" s="53">
        <f t="shared" si="55"/>
        <v>0</v>
      </c>
      <c r="AG143" s="54"/>
      <c r="AL143" s="41" t="str">
        <f t="shared" si="56"/>
        <v/>
      </c>
      <c r="AM143" s="41">
        <v>134</v>
      </c>
      <c r="AN143" s="41">
        <f t="shared" si="71"/>
        <v>0</v>
      </c>
      <c r="AO143" s="41">
        <f t="shared" si="72"/>
        <v>0</v>
      </c>
      <c r="AP143" s="41">
        <f t="shared" si="73"/>
        <v>0</v>
      </c>
      <c r="AQ143" s="41">
        <f t="shared" si="74"/>
        <v>0</v>
      </c>
      <c r="AR143" s="41">
        <f t="shared" si="75"/>
        <v>0</v>
      </c>
      <c r="AS143" s="41">
        <f t="shared" si="76"/>
        <v>0</v>
      </c>
      <c r="AT143" s="41">
        <f t="shared" si="77"/>
        <v>0</v>
      </c>
      <c r="AU143" s="55">
        <f t="shared" si="78"/>
        <v>0</v>
      </c>
      <c r="AW143" s="41">
        <f t="shared" si="57"/>
        <v>0</v>
      </c>
      <c r="AX143" s="41">
        <f t="shared" si="58"/>
        <v>0</v>
      </c>
      <c r="AY143" s="41">
        <f t="shared" si="59"/>
        <v>0</v>
      </c>
      <c r="AZ143" s="41">
        <f t="shared" si="60"/>
        <v>0</v>
      </c>
      <c r="BA143" s="41">
        <f t="shared" si="61"/>
        <v>0</v>
      </c>
      <c r="BB143" s="41">
        <f t="shared" si="62"/>
        <v>0</v>
      </c>
      <c r="BC143" s="41">
        <f t="shared" si="63"/>
        <v>0</v>
      </c>
      <c r="BD143" s="55">
        <f t="shared" si="64"/>
        <v>0</v>
      </c>
      <c r="BF143" s="41">
        <f t="shared" si="79"/>
        <v>0</v>
      </c>
    </row>
    <row r="144" spans="1:58" ht="13.5">
      <c r="A144" s="41" t="str">
        <f>IF(Base!B142="","",Base!B142)</f>
        <v>15.786.314-2</v>
      </c>
      <c r="B144" s="41" t="str">
        <f>IF(Base!F142="","",Base!F142)</f>
        <v>JUAN PABLO  PALMA  VERA</v>
      </c>
      <c r="C144" s="41" t="str">
        <f>IF(Base!I142="","",Base!I142)</f>
        <v>Linea 7</v>
      </c>
      <c r="D144" s="42" t="str">
        <f>IF(Base!J142="","",Base!J142)</f>
        <v>Palletizador</v>
      </c>
      <c r="E144" s="41">
        <f>IF(Base!H142="","",Base!H142)</f>
        <v>1050616</v>
      </c>
      <c r="J144" s="49">
        <v>134</v>
      </c>
      <c r="K144" s="115"/>
      <c r="L144" s="111" t="str">
        <f t="shared" si="67"/>
        <v/>
      </c>
      <c r="M144" s="111" t="str">
        <f t="shared" si="68"/>
        <v/>
      </c>
      <c r="N144" s="112" t="str">
        <f t="shared" si="69"/>
        <v/>
      </c>
      <c r="O144" s="112" t="str">
        <f t="shared" si="70"/>
        <v/>
      </c>
      <c r="P144" s="51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3">
        <f t="shared" si="54"/>
        <v>0</v>
      </c>
      <c r="AF144" s="53">
        <f t="shared" si="55"/>
        <v>0</v>
      </c>
      <c r="AG144" s="54"/>
      <c r="AL144" s="41" t="str">
        <f t="shared" si="56"/>
        <v/>
      </c>
      <c r="AM144" s="41">
        <v>135</v>
      </c>
      <c r="AN144" s="41">
        <f t="shared" si="71"/>
        <v>0</v>
      </c>
      <c r="AO144" s="41">
        <f t="shared" si="72"/>
        <v>0</v>
      </c>
      <c r="AP144" s="41">
        <f t="shared" si="73"/>
        <v>0</v>
      </c>
      <c r="AQ144" s="41">
        <f t="shared" si="74"/>
        <v>0</v>
      </c>
      <c r="AR144" s="41">
        <f t="shared" si="75"/>
        <v>0</v>
      </c>
      <c r="AS144" s="41">
        <f t="shared" si="76"/>
        <v>0</v>
      </c>
      <c r="AT144" s="41">
        <f t="shared" si="77"/>
        <v>0</v>
      </c>
      <c r="AU144" s="55">
        <f t="shared" si="78"/>
        <v>0</v>
      </c>
      <c r="AW144" s="41">
        <f t="shared" si="57"/>
        <v>0</v>
      </c>
      <c r="AX144" s="41">
        <f t="shared" si="58"/>
        <v>0</v>
      </c>
      <c r="AY144" s="41">
        <f t="shared" si="59"/>
        <v>0</v>
      </c>
      <c r="AZ144" s="41">
        <f t="shared" si="60"/>
        <v>0</v>
      </c>
      <c r="BA144" s="41">
        <f t="shared" si="61"/>
        <v>0</v>
      </c>
      <c r="BB144" s="41">
        <f t="shared" si="62"/>
        <v>0</v>
      </c>
      <c r="BC144" s="41">
        <f t="shared" si="63"/>
        <v>0</v>
      </c>
      <c r="BD144" s="55">
        <f t="shared" si="64"/>
        <v>0</v>
      </c>
      <c r="BF144" s="41">
        <f t="shared" si="79"/>
        <v>0</v>
      </c>
    </row>
    <row r="145" spans="1:58" ht="13.5">
      <c r="A145" s="41" t="str">
        <f>IF(Base!B143="","",Base!B143)</f>
        <v>16.266.817-K</v>
      </c>
      <c r="B145" s="41" t="str">
        <f>IF(Base!F143="","",Base!F143)</f>
        <v>RODRIGO ALEJANDRO  PEREZ  PADILLA</v>
      </c>
      <c r="C145" s="41" t="str">
        <f>IF(Base!I143="","",Base!I143)</f>
        <v>Abastecimiento</v>
      </c>
      <c r="D145" s="42" t="str">
        <f>IF(Base!J143="","",Base!J143)</f>
        <v>Preparación de Insum</v>
      </c>
      <c r="E145" s="41">
        <f>IF(Base!H143="","",Base!H143)</f>
        <v>1050127</v>
      </c>
      <c r="J145" s="49">
        <v>135</v>
      </c>
      <c r="K145" s="115"/>
      <c r="L145" s="111" t="str">
        <f t="shared" si="67"/>
        <v/>
      </c>
      <c r="M145" s="111" t="str">
        <f t="shared" si="68"/>
        <v/>
      </c>
      <c r="N145" s="112" t="str">
        <f t="shared" si="69"/>
        <v/>
      </c>
      <c r="O145" s="112" t="str">
        <f t="shared" si="70"/>
        <v/>
      </c>
      <c r="P145" s="51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3">
        <f t="shared" si="54"/>
        <v>0</v>
      </c>
      <c r="AF145" s="53">
        <f t="shared" si="55"/>
        <v>0</v>
      </c>
      <c r="AG145" s="54"/>
      <c r="AL145" s="41" t="str">
        <f t="shared" si="56"/>
        <v/>
      </c>
      <c r="AM145" s="41">
        <v>136</v>
      </c>
      <c r="AN145" s="41">
        <f t="shared" si="71"/>
        <v>0</v>
      </c>
      <c r="AO145" s="41">
        <f t="shared" si="72"/>
        <v>0</v>
      </c>
      <c r="AP145" s="41">
        <f t="shared" si="73"/>
        <v>0</v>
      </c>
      <c r="AQ145" s="41">
        <f t="shared" si="74"/>
        <v>0</v>
      </c>
      <c r="AR145" s="41">
        <f t="shared" si="75"/>
        <v>0</v>
      </c>
      <c r="AS145" s="41">
        <f t="shared" si="76"/>
        <v>0</v>
      </c>
      <c r="AT145" s="41">
        <f t="shared" si="77"/>
        <v>0</v>
      </c>
      <c r="AU145" s="55">
        <f t="shared" si="78"/>
        <v>0</v>
      </c>
      <c r="AW145" s="41">
        <f t="shared" si="57"/>
        <v>0</v>
      </c>
      <c r="AX145" s="41">
        <f t="shared" si="58"/>
        <v>0</v>
      </c>
      <c r="AY145" s="41">
        <f t="shared" si="59"/>
        <v>0</v>
      </c>
      <c r="AZ145" s="41">
        <f t="shared" si="60"/>
        <v>0</v>
      </c>
      <c r="BA145" s="41">
        <f t="shared" si="61"/>
        <v>0</v>
      </c>
      <c r="BB145" s="41">
        <f t="shared" si="62"/>
        <v>0</v>
      </c>
      <c r="BC145" s="41">
        <f t="shared" si="63"/>
        <v>0</v>
      </c>
      <c r="BD145" s="55">
        <f t="shared" si="64"/>
        <v>0</v>
      </c>
      <c r="BF145" s="41">
        <f t="shared" si="79"/>
        <v>0</v>
      </c>
    </row>
    <row r="146" spans="1:58" ht="13.5">
      <c r="A146" s="41" t="str">
        <f>IF(Base!B144="","",Base!B144)</f>
        <v>20.342.651-8</v>
      </c>
      <c r="B146" s="41" t="str">
        <f>IF(Base!F144="","",Base!F144)</f>
        <v>CARLOS PATRICIO  PEREZ  SALAZAR</v>
      </c>
      <c r="C146" s="41" t="str">
        <f>IF(Base!I144="","",Base!I144)</f>
        <v>Sala filtros</v>
      </c>
      <c r="D146" s="42" t="str">
        <f>IF(Base!J144="","",Base!J144)</f>
        <v>Operador sala de filtros</v>
      </c>
      <c r="E146" s="41">
        <f>IF(Base!H144="","",Base!H144)</f>
        <v>1050574</v>
      </c>
      <c r="J146" s="49">
        <v>136</v>
      </c>
      <c r="K146" s="115"/>
      <c r="L146" s="111" t="str">
        <f t="shared" si="67"/>
        <v/>
      </c>
      <c r="M146" s="111" t="str">
        <f t="shared" si="68"/>
        <v/>
      </c>
      <c r="N146" s="112" t="str">
        <f t="shared" si="69"/>
        <v/>
      </c>
      <c r="O146" s="112" t="str">
        <f t="shared" si="70"/>
        <v/>
      </c>
      <c r="P146" s="51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3">
        <f t="shared" si="54"/>
        <v>0</v>
      </c>
      <c r="AF146" s="53">
        <f t="shared" si="55"/>
        <v>0</v>
      </c>
      <c r="AG146" s="54"/>
      <c r="AL146" s="41" t="str">
        <f t="shared" si="56"/>
        <v/>
      </c>
      <c r="AM146" s="41">
        <v>137</v>
      </c>
      <c r="AN146" s="41">
        <f t="shared" si="71"/>
        <v>0</v>
      </c>
      <c r="AO146" s="41">
        <f t="shared" si="72"/>
        <v>0</v>
      </c>
      <c r="AP146" s="41">
        <f t="shared" si="73"/>
        <v>0</v>
      </c>
      <c r="AQ146" s="41">
        <f t="shared" si="74"/>
        <v>0</v>
      </c>
      <c r="AR146" s="41">
        <f t="shared" si="75"/>
        <v>0</v>
      </c>
      <c r="AS146" s="41">
        <f t="shared" si="76"/>
        <v>0</v>
      </c>
      <c r="AT146" s="41">
        <f t="shared" si="77"/>
        <v>0</v>
      </c>
      <c r="AU146" s="55">
        <f t="shared" si="78"/>
        <v>0</v>
      </c>
      <c r="AW146" s="41">
        <f t="shared" si="57"/>
        <v>0</v>
      </c>
      <c r="AX146" s="41">
        <f t="shared" si="58"/>
        <v>0</v>
      </c>
      <c r="AY146" s="41">
        <f t="shared" si="59"/>
        <v>0</v>
      </c>
      <c r="AZ146" s="41">
        <f t="shared" si="60"/>
        <v>0</v>
      </c>
      <c r="BA146" s="41">
        <f t="shared" si="61"/>
        <v>0</v>
      </c>
      <c r="BB146" s="41">
        <f t="shared" si="62"/>
        <v>0</v>
      </c>
      <c r="BC146" s="41">
        <f t="shared" si="63"/>
        <v>0</v>
      </c>
      <c r="BD146" s="55">
        <f t="shared" si="64"/>
        <v>0</v>
      </c>
      <c r="BF146" s="41">
        <f t="shared" si="79"/>
        <v>0</v>
      </c>
    </row>
    <row r="147" spans="1:58" ht="13.5">
      <c r="A147" s="41" t="str">
        <f>IF(Base!B145="","",Base!B145)</f>
        <v>09.608.532-K</v>
      </c>
      <c r="B147" s="41" t="str">
        <f>IF(Base!F145="","",Base!F145)</f>
        <v>LUIS  PEZO  ANRIQUEZ</v>
      </c>
      <c r="C147" s="41" t="str">
        <f>IF(Base!I145="","",Base!I145)</f>
        <v>Supervisor</v>
      </c>
      <c r="D147" s="42" t="str">
        <f>IF(Base!J145="","",Base!J145)</f>
        <v>Supervisor</v>
      </c>
      <c r="E147" s="41">
        <f>IF(Base!H145="","",Base!H145)</f>
        <v>1050603</v>
      </c>
      <c r="J147" s="49">
        <v>137</v>
      </c>
      <c r="K147" s="115"/>
      <c r="L147" s="111" t="str">
        <f t="shared" si="67"/>
        <v/>
      </c>
      <c r="M147" s="111" t="str">
        <f t="shared" si="68"/>
        <v/>
      </c>
      <c r="N147" s="112" t="str">
        <f t="shared" si="69"/>
        <v/>
      </c>
      <c r="O147" s="112" t="str">
        <f t="shared" si="70"/>
        <v/>
      </c>
      <c r="P147" s="51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3">
        <f t="shared" si="54"/>
        <v>0</v>
      </c>
      <c r="AF147" s="53">
        <f t="shared" si="55"/>
        <v>0</v>
      </c>
      <c r="AG147" s="54"/>
      <c r="AL147" s="41" t="str">
        <f t="shared" si="56"/>
        <v/>
      </c>
      <c r="AM147" s="41">
        <v>138</v>
      </c>
      <c r="AN147" s="41">
        <f t="shared" si="71"/>
        <v>0</v>
      </c>
      <c r="AO147" s="41">
        <f t="shared" si="72"/>
        <v>0</v>
      </c>
      <c r="AP147" s="41">
        <f t="shared" si="73"/>
        <v>0</v>
      </c>
      <c r="AQ147" s="41">
        <f t="shared" si="74"/>
        <v>0</v>
      </c>
      <c r="AR147" s="41">
        <f t="shared" si="75"/>
        <v>0</v>
      </c>
      <c r="AS147" s="41">
        <f t="shared" si="76"/>
        <v>0</v>
      </c>
      <c r="AT147" s="41">
        <f t="shared" si="77"/>
        <v>0</v>
      </c>
      <c r="AU147" s="55">
        <f t="shared" si="78"/>
        <v>0</v>
      </c>
      <c r="AW147" s="41">
        <f t="shared" si="57"/>
        <v>0</v>
      </c>
      <c r="AX147" s="41">
        <f t="shared" si="58"/>
        <v>0</v>
      </c>
      <c r="AY147" s="41">
        <f t="shared" si="59"/>
        <v>0</v>
      </c>
      <c r="AZ147" s="41">
        <f t="shared" si="60"/>
        <v>0</v>
      </c>
      <c r="BA147" s="41">
        <f t="shared" si="61"/>
        <v>0</v>
      </c>
      <c r="BB147" s="41">
        <f t="shared" si="62"/>
        <v>0</v>
      </c>
      <c r="BC147" s="41">
        <f t="shared" si="63"/>
        <v>0</v>
      </c>
      <c r="BD147" s="55">
        <f t="shared" si="64"/>
        <v>0</v>
      </c>
      <c r="BF147" s="41">
        <f t="shared" si="79"/>
        <v>0</v>
      </c>
    </row>
    <row r="148" spans="1:58" ht="13.5">
      <c r="A148" s="41" t="str">
        <f>IF(Base!B146="","",Base!B146)</f>
        <v>12.020.450-5</v>
      </c>
      <c r="B148" s="41" t="str">
        <f>IF(Base!F146="","",Base!F146)</f>
        <v>ROBERTO  PINEDA  PEREZ</v>
      </c>
      <c r="C148" s="41" t="str">
        <f>IF(Base!I146="","",Base!I146)</f>
        <v>Abastecimiento</v>
      </c>
      <c r="D148" s="42" t="str">
        <f>IF(Base!J146="","",Base!J146)</f>
        <v>Control Ingresos Cen</v>
      </c>
      <c r="E148" s="41">
        <f>IF(Base!H146="","",Base!H146)</f>
        <v>1050126</v>
      </c>
      <c r="J148" s="49">
        <v>138</v>
      </c>
      <c r="K148" s="115"/>
      <c r="L148" s="111" t="str">
        <f t="shared" si="67"/>
        <v/>
      </c>
      <c r="M148" s="111" t="str">
        <f t="shared" si="68"/>
        <v/>
      </c>
      <c r="N148" s="112" t="str">
        <f t="shared" si="69"/>
        <v/>
      </c>
      <c r="O148" s="112" t="str">
        <f t="shared" si="70"/>
        <v/>
      </c>
      <c r="P148" s="51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3">
        <f t="shared" si="54"/>
        <v>0</v>
      </c>
      <c r="AF148" s="53">
        <f t="shared" si="55"/>
        <v>0</v>
      </c>
      <c r="AG148" s="54"/>
      <c r="AL148" s="41" t="str">
        <f t="shared" si="56"/>
        <v/>
      </c>
      <c r="AM148" s="41">
        <v>139</v>
      </c>
      <c r="AN148" s="41">
        <f t="shared" si="71"/>
        <v>0</v>
      </c>
      <c r="AO148" s="41">
        <f t="shared" si="72"/>
        <v>0</v>
      </c>
      <c r="AP148" s="41">
        <f t="shared" si="73"/>
        <v>0</v>
      </c>
      <c r="AQ148" s="41">
        <f t="shared" si="74"/>
        <v>0</v>
      </c>
      <c r="AR148" s="41">
        <f t="shared" si="75"/>
        <v>0</v>
      </c>
      <c r="AS148" s="41">
        <f t="shared" si="76"/>
        <v>0</v>
      </c>
      <c r="AT148" s="41">
        <f t="shared" si="77"/>
        <v>0</v>
      </c>
      <c r="AU148" s="55">
        <f t="shared" si="78"/>
        <v>0</v>
      </c>
      <c r="AW148" s="41">
        <f t="shared" si="57"/>
        <v>0</v>
      </c>
      <c r="AX148" s="41">
        <f t="shared" si="58"/>
        <v>0</v>
      </c>
      <c r="AY148" s="41">
        <f t="shared" si="59"/>
        <v>0</v>
      </c>
      <c r="AZ148" s="41">
        <f t="shared" si="60"/>
        <v>0</v>
      </c>
      <c r="BA148" s="41">
        <f t="shared" si="61"/>
        <v>0</v>
      </c>
      <c r="BB148" s="41">
        <f t="shared" si="62"/>
        <v>0</v>
      </c>
      <c r="BC148" s="41">
        <f t="shared" si="63"/>
        <v>0</v>
      </c>
      <c r="BD148" s="55">
        <f t="shared" si="64"/>
        <v>0</v>
      </c>
      <c r="BF148" s="41">
        <f t="shared" si="79"/>
        <v>0</v>
      </c>
    </row>
    <row r="149" spans="1:58" ht="13.5">
      <c r="A149" s="41" t="str">
        <f>IF(Base!B147="","",Base!B147)</f>
        <v>06.528.911-3</v>
      </c>
      <c r="B149" s="41" t="str">
        <f>IF(Base!F147="","",Base!F147)</f>
        <v>CARLOS  PINO  MARTINEZ</v>
      </c>
      <c r="C149" s="41" t="str">
        <f>IF(Base!I147="","",Base!I147)</f>
        <v>Linea 2</v>
      </c>
      <c r="D149" s="42" t="str">
        <f>IF(Base!J147="","",Base!J147)</f>
        <v>Capsulado</v>
      </c>
      <c r="E149" s="41">
        <f>IF(Base!H147="","",Base!H147)</f>
        <v>1050554</v>
      </c>
      <c r="J149" s="49">
        <v>139</v>
      </c>
      <c r="K149" s="115"/>
      <c r="L149" s="111" t="str">
        <f t="shared" si="67"/>
        <v/>
      </c>
      <c r="M149" s="111" t="str">
        <f t="shared" si="68"/>
        <v/>
      </c>
      <c r="N149" s="112" t="str">
        <f t="shared" si="69"/>
        <v/>
      </c>
      <c r="O149" s="112" t="str">
        <f t="shared" si="70"/>
        <v/>
      </c>
      <c r="P149" s="51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3">
        <f t="shared" ref="AE149:AE212" si="80">SUM(Q149,S149,U149,W149,Y149,AA149,AC149)</f>
        <v>0</v>
      </c>
      <c r="AF149" s="53">
        <f t="shared" ref="AF149:AF212" si="81">SUM(R149,T149,V149,X149,Z149,AB149,AD149)</f>
        <v>0</v>
      </c>
      <c r="AG149" s="54"/>
      <c r="AL149" s="41" t="str">
        <f t="shared" si="56"/>
        <v/>
      </c>
      <c r="AM149" s="41">
        <v>140</v>
      </c>
      <c r="AN149" s="41">
        <f t="shared" si="71"/>
        <v>0</v>
      </c>
      <c r="AO149" s="41">
        <f t="shared" si="72"/>
        <v>0</v>
      </c>
      <c r="AP149" s="41">
        <f t="shared" si="73"/>
        <v>0</v>
      </c>
      <c r="AQ149" s="41">
        <f t="shared" si="74"/>
        <v>0</v>
      </c>
      <c r="AR149" s="41">
        <f t="shared" si="75"/>
        <v>0</v>
      </c>
      <c r="AS149" s="41">
        <f t="shared" si="76"/>
        <v>0</v>
      </c>
      <c r="AT149" s="41">
        <f t="shared" si="77"/>
        <v>0</v>
      </c>
      <c r="AU149" s="55">
        <f t="shared" si="78"/>
        <v>0</v>
      </c>
      <c r="AW149" s="41">
        <f t="shared" si="57"/>
        <v>0</v>
      </c>
      <c r="AX149" s="41">
        <f t="shared" si="58"/>
        <v>0</v>
      </c>
      <c r="AY149" s="41">
        <f t="shared" si="59"/>
        <v>0</v>
      </c>
      <c r="AZ149" s="41">
        <f t="shared" si="60"/>
        <v>0</v>
      </c>
      <c r="BA149" s="41">
        <f t="shared" si="61"/>
        <v>0</v>
      </c>
      <c r="BB149" s="41">
        <f t="shared" si="62"/>
        <v>0</v>
      </c>
      <c r="BC149" s="41">
        <f t="shared" si="63"/>
        <v>0</v>
      </c>
      <c r="BD149" s="55">
        <f t="shared" si="64"/>
        <v>0</v>
      </c>
      <c r="BF149" s="41">
        <f t="shared" si="79"/>
        <v>0</v>
      </c>
    </row>
    <row r="150" spans="1:58" ht="13.5">
      <c r="A150" s="41" t="str">
        <f>IF(Base!B148="","",Base!B148)</f>
        <v>06.010.169-8</v>
      </c>
      <c r="B150" s="41" t="str">
        <f>IF(Base!F148="","",Base!F148)</f>
        <v>GUILLERMO  PINO  QUINTANILLA</v>
      </c>
      <c r="C150" s="41" t="str">
        <f>IF(Base!I148="","",Base!I148)</f>
        <v>Linea 7</v>
      </c>
      <c r="D150" s="42" t="str">
        <f>IF(Base!J148="","",Base!J148)</f>
        <v>Embalador</v>
      </c>
      <c r="E150" s="41">
        <f>IF(Base!H148="","",Base!H148)</f>
        <v>1050616</v>
      </c>
      <c r="J150" s="49">
        <v>140</v>
      </c>
      <c r="K150" s="115"/>
      <c r="L150" s="111" t="str">
        <f t="shared" si="67"/>
        <v/>
      </c>
      <c r="M150" s="111" t="str">
        <f t="shared" si="68"/>
        <v/>
      </c>
      <c r="N150" s="112" t="str">
        <f t="shared" si="69"/>
        <v/>
      </c>
      <c r="O150" s="112" t="str">
        <f t="shared" si="70"/>
        <v/>
      </c>
      <c r="P150" s="51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3">
        <f t="shared" si="80"/>
        <v>0</v>
      </c>
      <c r="AF150" s="53">
        <f t="shared" si="81"/>
        <v>0</v>
      </c>
      <c r="AG150" s="54"/>
      <c r="AL150" s="41" t="str">
        <f t="shared" si="56"/>
        <v/>
      </c>
      <c r="AM150" s="41">
        <v>141</v>
      </c>
      <c r="AN150" s="41">
        <f t="shared" si="71"/>
        <v>0</v>
      </c>
      <c r="AO150" s="41">
        <f t="shared" si="72"/>
        <v>0</v>
      </c>
      <c r="AP150" s="41">
        <f t="shared" si="73"/>
        <v>0</v>
      </c>
      <c r="AQ150" s="41">
        <f t="shared" si="74"/>
        <v>0</v>
      </c>
      <c r="AR150" s="41">
        <f t="shared" si="75"/>
        <v>0</v>
      </c>
      <c r="AS150" s="41">
        <f t="shared" si="76"/>
        <v>0</v>
      </c>
      <c r="AT150" s="41">
        <f t="shared" si="77"/>
        <v>0</v>
      </c>
      <c r="AU150" s="55">
        <f t="shared" si="78"/>
        <v>0</v>
      </c>
      <c r="AW150" s="41">
        <f t="shared" si="57"/>
        <v>0</v>
      </c>
      <c r="AX150" s="41">
        <f t="shared" si="58"/>
        <v>0</v>
      </c>
      <c r="AY150" s="41">
        <f t="shared" si="59"/>
        <v>0</v>
      </c>
      <c r="AZ150" s="41">
        <f t="shared" si="60"/>
        <v>0</v>
      </c>
      <c r="BA150" s="41">
        <f t="shared" si="61"/>
        <v>0</v>
      </c>
      <c r="BB150" s="41">
        <f t="shared" si="62"/>
        <v>0</v>
      </c>
      <c r="BC150" s="41">
        <f t="shared" si="63"/>
        <v>0</v>
      </c>
      <c r="BD150" s="55">
        <f t="shared" si="64"/>
        <v>0</v>
      </c>
      <c r="BF150" s="41">
        <f t="shared" si="79"/>
        <v>0</v>
      </c>
    </row>
    <row r="151" spans="1:58" ht="13.5">
      <c r="A151" s="41" t="str">
        <f>IF(Base!B149="","",Base!B149)</f>
        <v>06.940.813-3</v>
      </c>
      <c r="B151" s="41" t="str">
        <f>IF(Base!F149="","",Base!F149)</f>
        <v>ISAIAS  PLAZA  ALFARO</v>
      </c>
      <c r="C151" s="41" t="str">
        <f>IF(Base!I149="","",Base!I149)</f>
        <v>Linea 3</v>
      </c>
      <c r="D151" s="42" t="str">
        <f>IF(Base!J149="","",Base!J149)</f>
        <v>Despalletizador</v>
      </c>
      <c r="E151" s="41">
        <f>IF(Base!H149="","",Base!H149)</f>
        <v>1050555</v>
      </c>
      <c r="J151" s="49">
        <v>141</v>
      </c>
      <c r="K151" s="115"/>
      <c r="L151" s="111" t="str">
        <f t="shared" si="67"/>
        <v/>
      </c>
      <c r="M151" s="111" t="str">
        <f t="shared" si="68"/>
        <v/>
      </c>
      <c r="N151" s="112" t="str">
        <f t="shared" si="69"/>
        <v/>
      </c>
      <c r="O151" s="112" t="str">
        <f t="shared" si="70"/>
        <v/>
      </c>
      <c r="P151" s="51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3">
        <f t="shared" si="80"/>
        <v>0</v>
      </c>
      <c r="AF151" s="53">
        <f t="shared" si="81"/>
        <v>0</v>
      </c>
      <c r="AG151" s="54"/>
      <c r="AL151" s="41" t="str">
        <f t="shared" si="56"/>
        <v/>
      </c>
      <c r="AM151" s="41">
        <v>142</v>
      </c>
      <c r="AN151" s="41">
        <f t="shared" si="71"/>
        <v>0</v>
      </c>
      <c r="AO151" s="41">
        <f t="shared" si="72"/>
        <v>0</v>
      </c>
      <c r="AP151" s="41">
        <f t="shared" si="73"/>
        <v>0</v>
      </c>
      <c r="AQ151" s="41">
        <f t="shared" si="74"/>
        <v>0</v>
      </c>
      <c r="AR151" s="41">
        <f t="shared" si="75"/>
        <v>0</v>
      </c>
      <c r="AS151" s="41">
        <f t="shared" si="76"/>
        <v>0</v>
      </c>
      <c r="AT151" s="41">
        <f t="shared" si="77"/>
        <v>0</v>
      </c>
      <c r="AU151" s="55">
        <f t="shared" si="78"/>
        <v>0</v>
      </c>
      <c r="AW151" s="41">
        <f t="shared" si="57"/>
        <v>0</v>
      </c>
      <c r="AX151" s="41">
        <f t="shared" si="58"/>
        <v>0</v>
      </c>
      <c r="AY151" s="41">
        <f t="shared" si="59"/>
        <v>0</v>
      </c>
      <c r="AZ151" s="41">
        <f t="shared" si="60"/>
        <v>0</v>
      </c>
      <c r="BA151" s="41">
        <f t="shared" si="61"/>
        <v>0</v>
      </c>
      <c r="BB151" s="41">
        <f t="shared" si="62"/>
        <v>0</v>
      </c>
      <c r="BC151" s="41">
        <f t="shared" si="63"/>
        <v>0</v>
      </c>
      <c r="BD151" s="55">
        <f t="shared" si="64"/>
        <v>0</v>
      </c>
      <c r="BF151" s="41">
        <f t="shared" si="79"/>
        <v>0</v>
      </c>
    </row>
    <row r="152" spans="1:58" ht="13.5">
      <c r="A152" s="41" t="str">
        <f>IF(Base!B150="","",Base!B150)</f>
        <v>15.444.951-5</v>
      </c>
      <c r="B152" s="41" t="str">
        <f>IF(Base!F150="","",Base!F150)</f>
        <v>MIGUEL ANTONIO  PLAZA  ARAYA</v>
      </c>
      <c r="C152" s="41" t="str">
        <f>IF(Base!I150="","",Base!I150)</f>
        <v>Abastecimiento</v>
      </c>
      <c r="D152" s="42" t="str">
        <f>IF(Base!J150="","",Base!J150)</f>
        <v>Suministro de Líneas</v>
      </c>
      <c r="E152" s="41">
        <f>IF(Base!H150="","",Base!H150)</f>
        <v>1050633</v>
      </c>
      <c r="J152" s="49">
        <v>142</v>
      </c>
      <c r="K152" s="115"/>
      <c r="L152" s="111" t="str">
        <f t="shared" si="67"/>
        <v/>
      </c>
      <c r="M152" s="111" t="str">
        <f t="shared" si="68"/>
        <v/>
      </c>
      <c r="N152" s="112" t="str">
        <f t="shared" si="69"/>
        <v/>
      </c>
      <c r="O152" s="112" t="str">
        <f t="shared" si="70"/>
        <v/>
      </c>
      <c r="P152" s="51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3">
        <f t="shared" si="80"/>
        <v>0</v>
      </c>
      <c r="AF152" s="53">
        <f t="shared" si="81"/>
        <v>0</v>
      </c>
      <c r="AG152" s="54"/>
      <c r="AL152" s="41" t="str">
        <f t="shared" si="56"/>
        <v/>
      </c>
      <c r="AM152" s="41">
        <v>143</v>
      </c>
      <c r="AN152" s="41">
        <f t="shared" si="71"/>
        <v>0</v>
      </c>
      <c r="AO152" s="41">
        <f t="shared" si="72"/>
        <v>0</v>
      </c>
      <c r="AP152" s="41">
        <f t="shared" si="73"/>
        <v>0</v>
      </c>
      <c r="AQ152" s="41">
        <f t="shared" si="74"/>
        <v>0</v>
      </c>
      <c r="AR152" s="41">
        <f t="shared" si="75"/>
        <v>0</v>
      </c>
      <c r="AS152" s="41">
        <f t="shared" si="76"/>
        <v>0</v>
      </c>
      <c r="AT152" s="41">
        <f t="shared" si="77"/>
        <v>0</v>
      </c>
      <c r="AU152" s="55">
        <f t="shared" si="78"/>
        <v>0</v>
      </c>
      <c r="AW152" s="41">
        <f t="shared" si="57"/>
        <v>0</v>
      </c>
      <c r="AX152" s="41">
        <f t="shared" si="58"/>
        <v>0</v>
      </c>
      <c r="AY152" s="41">
        <f t="shared" si="59"/>
        <v>0</v>
      </c>
      <c r="AZ152" s="41">
        <f t="shared" si="60"/>
        <v>0</v>
      </c>
      <c r="BA152" s="41">
        <f t="shared" si="61"/>
        <v>0</v>
      </c>
      <c r="BB152" s="41">
        <f t="shared" si="62"/>
        <v>0</v>
      </c>
      <c r="BC152" s="41">
        <f t="shared" si="63"/>
        <v>0</v>
      </c>
      <c r="BD152" s="55">
        <f t="shared" si="64"/>
        <v>0</v>
      </c>
      <c r="BF152" s="41">
        <f t="shared" si="79"/>
        <v>0</v>
      </c>
    </row>
    <row r="153" spans="1:58" ht="13.5">
      <c r="A153" s="41" t="str">
        <f>IF(Base!B151="","",Base!B151)</f>
        <v>13.297.988-K</v>
      </c>
      <c r="B153" s="41" t="str">
        <f>IF(Base!F151="","",Base!F151)</f>
        <v>JORGE  POBLETE  RIVEROS</v>
      </c>
      <c r="C153" s="41" t="str">
        <f>IF(Base!I151="","",Base!I151)</f>
        <v>Linea 6</v>
      </c>
      <c r="D153" s="42" t="str">
        <f>IF(Base!J151="","",Base!J151)</f>
        <v>Llenador</v>
      </c>
      <c r="E153" s="41">
        <f>IF(Base!H151="","",Base!H151)</f>
        <v>1050609</v>
      </c>
      <c r="J153" s="49">
        <v>143</v>
      </c>
      <c r="K153" s="115"/>
      <c r="L153" s="111" t="str">
        <f t="shared" si="67"/>
        <v/>
      </c>
      <c r="M153" s="111" t="str">
        <f t="shared" si="68"/>
        <v/>
      </c>
      <c r="N153" s="112" t="str">
        <f t="shared" si="69"/>
        <v/>
      </c>
      <c r="O153" s="112" t="str">
        <f t="shared" si="70"/>
        <v/>
      </c>
      <c r="P153" s="51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3">
        <f t="shared" si="80"/>
        <v>0</v>
      </c>
      <c r="AF153" s="53">
        <f t="shared" si="81"/>
        <v>0</v>
      </c>
      <c r="AG153" s="54"/>
      <c r="AL153" s="41" t="str">
        <f t="shared" ref="AL153:AL216" si="82">IF(K153="","",K153)</f>
        <v/>
      </c>
      <c r="AM153" s="41">
        <v>144</v>
      </c>
      <c r="AN153" s="41">
        <f t="shared" si="71"/>
        <v>0</v>
      </c>
      <c r="AO153" s="41">
        <f t="shared" si="72"/>
        <v>0</v>
      </c>
      <c r="AP153" s="41">
        <f t="shared" si="73"/>
        <v>0</v>
      </c>
      <c r="AQ153" s="41">
        <f t="shared" si="74"/>
        <v>0</v>
      </c>
      <c r="AR153" s="41">
        <f t="shared" si="75"/>
        <v>0</v>
      </c>
      <c r="AS153" s="41">
        <f t="shared" si="76"/>
        <v>0</v>
      </c>
      <c r="AT153" s="41">
        <f t="shared" si="77"/>
        <v>0</v>
      </c>
      <c r="AU153" s="55">
        <f t="shared" si="78"/>
        <v>0</v>
      </c>
      <c r="AW153" s="41">
        <f t="shared" si="57"/>
        <v>0</v>
      </c>
      <c r="AX153" s="41">
        <f t="shared" si="58"/>
        <v>0</v>
      </c>
      <c r="AY153" s="41">
        <f t="shared" si="59"/>
        <v>0</v>
      </c>
      <c r="AZ153" s="41">
        <f t="shared" si="60"/>
        <v>0</v>
      </c>
      <c r="BA153" s="41">
        <f t="shared" si="61"/>
        <v>0</v>
      </c>
      <c r="BB153" s="41">
        <f t="shared" si="62"/>
        <v>0</v>
      </c>
      <c r="BC153" s="41">
        <f t="shared" si="63"/>
        <v>0</v>
      </c>
      <c r="BD153" s="55">
        <f t="shared" si="64"/>
        <v>0</v>
      </c>
      <c r="BF153" s="41">
        <f t="shared" si="79"/>
        <v>0</v>
      </c>
    </row>
    <row r="154" spans="1:58" ht="13.5">
      <c r="A154" s="41" t="str">
        <f>IF(Base!B152="","",Base!B152)</f>
        <v>16149604-</v>
      </c>
      <c r="B154" s="41" t="str">
        <f>IF(Base!F152="","",Base!F152)</f>
        <v>RODRIGO  POBLETE  SANDOVAL</v>
      </c>
      <c r="C154" s="41" t="str">
        <f>IF(Base!I152="","",Base!I152)</f>
        <v>Setup</v>
      </c>
      <c r="D154" s="42" t="str">
        <f>IF(Base!J152="","",Base!J152)</f>
        <v>Setup</v>
      </c>
      <c r="E154" s="41">
        <f>IF(Base!H152="","",Base!H152)</f>
        <v>1050529</v>
      </c>
      <c r="J154" s="49">
        <v>144</v>
      </c>
      <c r="K154" s="115"/>
      <c r="L154" s="111" t="str">
        <f t="shared" si="67"/>
        <v/>
      </c>
      <c r="M154" s="111" t="str">
        <f t="shared" si="68"/>
        <v/>
      </c>
      <c r="N154" s="112" t="str">
        <f t="shared" si="69"/>
        <v/>
      </c>
      <c r="O154" s="112" t="str">
        <f t="shared" si="70"/>
        <v/>
      </c>
      <c r="P154" s="51"/>
      <c r="Q154" s="56"/>
      <c r="R154" s="49"/>
      <c r="S154" s="56"/>
      <c r="T154" s="49"/>
      <c r="U154" s="56"/>
      <c r="V154" s="49"/>
      <c r="W154" s="56"/>
      <c r="X154" s="49"/>
      <c r="Y154" s="56"/>
      <c r="Z154" s="49"/>
      <c r="AA154" s="56"/>
      <c r="AB154" s="49"/>
      <c r="AC154" s="56"/>
      <c r="AD154" s="49"/>
      <c r="AE154" s="53">
        <f t="shared" si="80"/>
        <v>0</v>
      </c>
      <c r="AF154" s="53">
        <f t="shared" si="81"/>
        <v>0</v>
      </c>
      <c r="AG154" s="54"/>
      <c r="AL154" s="41" t="str">
        <f t="shared" si="82"/>
        <v/>
      </c>
      <c r="AM154" s="41">
        <v>145</v>
      </c>
      <c r="AN154" s="41">
        <f t="shared" si="71"/>
        <v>0</v>
      </c>
      <c r="AO154" s="41">
        <f t="shared" si="72"/>
        <v>0</v>
      </c>
      <c r="AP154" s="41">
        <f t="shared" si="73"/>
        <v>0</v>
      </c>
      <c r="AQ154" s="41">
        <f t="shared" si="74"/>
        <v>0</v>
      </c>
      <c r="AR154" s="41">
        <f t="shared" si="75"/>
        <v>0</v>
      </c>
      <c r="AS154" s="41">
        <f t="shared" si="76"/>
        <v>0</v>
      </c>
      <c r="AT154" s="41">
        <f t="shared" si="77"/>
        <v>0</v>
      </c>
      <c r="AU154" s="55">
        <f t="shared" si="78"/>
        <v>0</v>
      </c>
      <c r="AW154" s="41">
        <f t="shared" si="57"/>
        <v>0</v>
      </c>
      <c r="AX154" s="41">
        <f t="shared" si="58"/>
        <v>0</v>
      </c>
      <c r="AY154" s="41">
        <f t="shared" si="59"/>
        <v>0</v>
      </c>
      <c r="AZ154" s="41">
        <f t="shared" si="60"/>
        <v>0</v>
      </c>
      <c r="BA154" s="41">
        <f t="shared" si="61"/>
        <v>0</v>
      </c>
      <c r="BB154" s="41">
        <f t="shared" si="62"/>
        <v>0</v>
      </c>
      <c r="BC154" s="41">
        <f t="shared" si="63"/>
        <v>0</v>
      </c>
      <c r="BD154" s="55">
        <f t="shared" si="64"/>
        <v>0</v>
      </c>
      <c r="BF154" s="41">
        <f t="shared" si="79"/>
        <v>0</v>
      </c>
    </row>
    <row r="155" spans="1:58" ht="13.5">
      <c r="A155" s="41" t="str">
        <f>IF(Base!B153="","",Base!B153)</f>
        <v>16.408.490-6</v>
      </c>
      <c r="B155" s="41" t="str">
        <f>IF(Base!F153="","",Base!F153)</f>
        <v>JUAN MIGUEL  POZO  CAMPOS</v>
      </c>
      <c r="C155" s="41" t="str">
        <f>IF(Base!I153="","",Base!I153)</f>
        <v>Reemplazo Sindicato</v>
      </c>
      <c r="D155" s="42" t="str">
        <f>IF(Base!J153="","",Base!J153)</f>
        <v>Reemplazo Sindicato</v>
      </c>
      <c r="E155" s="41">
        <f>IF(Base!H153="","",Base!H153)</f>
        <v>1050502</v>
      </c>
      <c r="J155" s="49">
        <v>145</v>
      </c>
      <c r="K155" s="115"/>
      <c r="L155" s="111" t="str">
        <f t="shared" si="67"/>
        <v/>
      </c>
      <c r="M155" s="111" t="str">
        <f t="shared" si="68"/>
        <v/>
      </c>
      <c r="N155" s="112" t="str">
        <f t="shared" si="69"/>
        <v/>
      </c>
      <c r="O155" s="112" t="str">
        <f t="shared" si="70"/>
        <v/>
      </c>
      <c r="P155" s="51"/>
      <c r="Q155" s="56"/>
      <c r="R155" s="49"/>
      <c r="S155" s="56"/>
      <c r="T155" s="49"/>
      <c r="U155" s="56"/>
      <c r="V155" s="49"/>
      <c r="W155" s="56"/>
      <c r="X155" s="49"/>
      <c r="Y155" s="56"/>
      <c r="Z155" s="49"/>
      <c r="AA155" s="56"/>
      <c r="AB155" s="49"/>
      <c r="AC155" s="56"/>
      <c r="AD155" s="49"/>
      <c r="AE155" s="53">
        <f t="shared" si="80"/>
        <v>0</v>
      </c>
      <c r="AF155" s="53">
        <f t="shared" si="81"/>
        <v>0</v>
      </c>
      <c r="AG155" s="54"/>
      <c r="AL155" s="41" t="str">
        <f t="shared" si="82"/>
        <v/>
      </c>
      <c r="AM155" s="41">
        <v>146</v>
      </c>
      <c r="AN155" s="41">
        <f t="shared" si="71"/>
        <v>0</v>
      </c>
      <c r="AO155" s="41">
        <f t="shared" si="72"/>
        <v>0</v>
      </c>
      <c r="AP155" s="41">
        <f t="shared" si="73"/>
        <v>0</v>
      </c>
      <c r="AQ155" s="41">
        <f t="shared" si="74"/>
        <v>0</v>
      </c>
      <c r="AR155" s="41">
        <f t="shared" si="75"/>
        <v>0</v>
      </c>
      <c r="AS155" s="41">
        <f t="shared" si="76"/>
        <v>0</v>
      </c>
      <c r="AT155" s="41">
        <f t="shared" si="77"/>
        <v>0</v>
      </c>
      <c r="AU155" s="55">
        <f t="shared" si="78"/>
        <v>0</v>
      </c>
      <c r="AW155" s="41">
        <f t="shared" si="57"/>
        <v>0</v>
      </c>
      <c r="AX155" s="41">
        <f t="shared" si="58"/>
        <v>0</v>
      </c>
      <c r="AY155" s="41">
        <f t="shared" si="59"/>
        <v>0</v>
      </c>
      <c r="AZ155" s="41">
        <f t="shared" si="60"/>
        <v>0</v>
      </c>
      <c r="BA155" s="41">
        <f t="shared" si="61"/>
        <v>0</v>
      </c>
      <c r="BB155" s="41">
        <f t="shared" si="62"/>
        <v>0</v>
      </c>
      <c r="BC155" s="41">
        <f t="shared" si="63"/>
        <v>0</v>
      </c>
      <c r="BD155" s="55">
        <f t="shared" si="64"/>
        <v>0</v>
      </c>
      <c r="BF155" s="41">
        <f t="shared" si="79"/>
        <v>0</v>
      </c>
    </row>
    <row r="156" spans="1:58" ht="13.5">
      <c r="A156" s="41" t="str">
        <f>IF(Base!B154="","",Base!B154)</f>
        <v>07.721.223-K</v>
      </c>
      <c r="B156" s="41" t="str">
        <f>IF(Base!F154="","",Base!F154)</f>
        <v>JOSE MANUEL  QUIROZ  VENEGAS</v>
      </c>
      <c r="C156" s="41" t="str">
        <f>IF(Base!I154="","",Base!I154)</f>
        <v>Abastecimiento</v>
      </c>
      <c r="D156" s="42" t="str">
        <f>IF(Base!J154="","",Base!J154)</f>
        <v>Suministro de Líneas</v>
      </c>
      <c r="E156" s="41">
        <f>IF(Base!H154="","",Base!H154)</f>
        <v>1050633</v>
      </c>
      <c r="J156" s="49">
        <v>146</v>
      </c>
      <c r="K156" s="115"/>
      <c r="L156" s="111" t="str">
        <f t="shared" si="67"/>
        <v/>
      </c>
      <c r="M156" s="111" t="str">
        <f t="shared" si="68"/>
        <v/>
      </c>
      <c r="N156" s="112" t="str">
        <f t="shared" si="69"/>
        <v/>
      </c>
      <c r="O156" s="112" t="str">
        <f t="shared" si="70"/>
        <v/>
      </c>
      <c r="P156" s="51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3">
        <f t="shared" si="80"/>
        <v>0</v>
      </c>
      <c r="AF156" s="53">
        <f t="shared" si="81"/>
        <v>0</v>
      </c>
      <c r="AG156" s="54"/>
      <c r="AL156" s="41" t="str">
        <f t="shared" si="82"/>
        <v/>
      </c>
      <c r="AM156" s="41">
        <v>147</v>
      </c>
      <c r="AN156" s="41">
        <f t="shared" si="71"/>
        <v>0</v>
      </c>
      <c r="AO156" s="41">
        <f t="shared" si="72"/>
        <v>0</v>
      </c>
      <c r="AP156" s="41">
        <f t="shared" si="73"/>
        <v>0</v>
      </c>
      <c r="AQ156" s="41">
        <f t="shared" si="74"/>
        <v>0</v>
      </c>
      <c r="AR156" s="41">
        <f t="shared" si="75"/>
        <v>0</v>
      </c>
      <c r="AS156" s="41">
        <f t="shared" si="76"/>
        <v>0</v>
      </c>
      <c r="AT156" s="41">
        <f t="shared" si="77"/>
        <v>0</v>
      </c>
      <c r="AU156" s="55">
        <f t="shared" si="78"/>
        <v>0</v>
      </c>
      <c r="AW156" s="41">
        <f t="shared" si="57"/>
        <v>0</v>
      </c>
      <c r="AX156" s="41">
        <f t="shared" si="58"/>
        <v>0</v>
      </c>
      <c r="AY156" s="41">
        <f t="shared" si="59"/>
        <v>0</v>
      </c>
      <c r="AZ156" s="41">
        <f t="shared" si="60"/>
        <v>0</v>
      </c>
      <c r="BA156" s="41">
        <f t="shared" si="61"/>
        <v>0</v>
      </c>
      <c r="BB156" s="41">
        <f t="shared" si="62"/>
        <v>0</v>
      </c>
      <c r="BC156" s="41">
        <f t="shared" si="63"/>
        <v>0</v>
      </c>
      <c r="BD156" s="55">
        <f t="shared" si="64"/>
        <v>0</v>
      </c>
      <c r="BF156" s="41">
        <f t="shared" si="79"/>
        <v>0</v>
      </c>
    </row>
    <row r="157" spans="1:58" ht="13.5">
      <c r="A157" s="41" t="str">
        <f>IF(Base!B155="","",Base!B155)</f>
        <v>12.051.254-4</v>
      </c>
      <c r="B157" s="41" t="str">
        <f>IF(Base!F155="","",Base!F155)</f>
        <v>MAURICIO  NOVA  FIGUEROA</v>
      </c>
      <c r="C157" s="41" t="str">
        <f>IF(Base!I155="","",Base!I155)</f>
        <v>Abastecimiento</v>
      </c>
      <c r="D157" s="42" t="str">
        <f>IF(Base!J155="","",Base!J155)</f>
        <v>Analista de Inventario</v>
      </c>
      <c r="E157" s="41">
        <f>IF(Base!H155="","",Base!H155)</f>
        <v>1050161</v>
      </c>
      <c r="J157" s="49">
        <v>147</v>
      </c>
      <c r="K157" s="115"/>
      <c r="L157" s="111" t="str">
        <f t="shared" si="67"/>
        <v/>
      </c>
      <c r="M157" s="111" t="str">
        <f t="shared" si="68"/>
        <v/>
      </c>
      <c r="N157" s="112" t="str">
        <f t="shared" si="69"/>
        <v/>
      </c>
      <c r="O157" s="112" t="str">
        <f t="shared" si="70"/>
        <v/>
      </c>
      <c r="P157" s="51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3">
        <f t="shared" si="80"/>
        <v>0</v>
      </c>
      <c r="AF157" s="53">
        <f t="shared" si="81"/>
        <v>0</v>
      </c>
      <c r="AG157" s="54"/>
      <c r="AL157" s="41" t="str">
        <f t="shared" si="82"/>
        <v/>
      </c>
      <c r="AM157" s="41">
        <v>148</v>
      </c>
      <c r="AN157" s="41">
        <f t="shared" si="71"/>
        <v>0</v>
      </c>
      <c r="AO157" s="41">
        <f t="shared" si="72"/>
        <v>0</v>
      </c>
      <c r="AP157" s="41">
        <f t="shared" si="73"/>
        <v>0</v>
      </c>
      <c r="AQ157" s="41">
        <f t="shared" si="74"/>
        <v>0</v>
      </c>
      <c r="AR157" s="41">
        <f t="shared" si="75"/>
        <v>0</v>
      </c>
      <c r="AS157" s="41">
        <f t="shared" si="76"/>
        <v>0</v>
      </c>
      <c r="AT157" s="41">
        <f t="shared" si="77"/>
        <v>0</v>
      </c>
      <c r="AU157" s="55">
        <f t="shared" si="78"/>
        <v>0</v>
      </c>
      <c r="AW157" s="41">
        <f t="shared" si="57"/>
        <v>0</v>
      </c>
      <c r="AX157" s="41">
        <f t="shared" si="58"/>
        <v>0</v>
      </c>
      <c r="AY157" s="41">
        <f t="shared" si="59"/>
        <v>0</v>
      </c>
      <c r="AZ157" s="41">
        <f t="shared" si="60"/>
        <v>0</v>
      </c>
      <c r="BA157" s="41">
        <f t="shared" si="61"/>
        <v>0</v>
      </c>
      <c r="BB157" s="41">
        <f t="shared" si="62"/>
        <v>0</v>
      </c>
      <c r="BC157" s="41">
        <f t="shared" si="63"/>
        <v>0</v>
      </c>
      <c r="BD157" s="55">
        <f t="shared" si="64"/>
        <v>0</v>
      </c>
      <c r="BF157" s="41">
        <f t="shared" si="79"/>
        <v>0</v>
      </c>
    </row>
    <row r="158" spans="1:58" ht="13.5">
      <c r="A158" s="41" t="str">
        <f>IF(Base!B156="","",Base!B156)</f>
        <v>07.913.597-6</v>
      </c>
      <c r="B158" s="41" t="str">
        <f>IF(Base!F156="","",Base!F156)</f>
        <v>JOSE  RAMIREZ  ROJAS</v>
      </c>
      <c r="C158" s="41" t="str">
        <f>IF(Base!I156="","",Base!I156)</f>
        <v>Abastecimiento</v>
      </c>
      <c r="D158" s="42" t="str">
        <f>IF(Base!J156="","",Base!J156)</f>
        <v>Preparación de Insum</v>
      </c>
      <c r="E158" s="41">
        <f>IF(Base!H156="","",Base!H156)</f>
        <v>1050127</v>
      </c>
      <c r="J158" s="49">
        <v>148</v>
      </c>
      <c r="K158" s="115"/>
      <c r="L158" s="111" t="str">
        <f t="shared" si="67"/>
        <v/>
      </c>
      <c r="M158" s="111" t="str">
        <f t="shared" si="68"/>
        <v/>
      </c>
      <c r="N158" s="112" t="str">
        <f t="shared" si="69"/>
        <v/>
      </c>
      <c r="O158" s="112" t="str">
        <f t="shared" si="70"/>
        <v/>
      </c>
      <c r="P158" s="51"/>
      <c r="Q158" s="56"/>
      <c r="R158" s="49"/>
      <c r="S158" s="56"/>
      <c r="T158" s="49"/>
      <c r="U158" s="56"/>
      <c r="V158" s="49"/>
      <c r="W158" s="56"/>
      <c r="X158" s="49"/>
      <c r="Y158" s="56"/>
      <c r="Z158" s="49"/>
      <c r="AA158" s="56"/>
      <c r="AB158" s="49"/>
      <c r="AC158" s="56"/>
      <c r="AD158" s="49"/>
      <c r="AE158" s="53">
        <f t="shared" si="80"/>
        <v>0</v>
      </c>
      <c r="AF158" s="53">
        <f t="shared" si="81"/>
        <v>0</v>
      </c>
      <c r="AG158" s="54"/>
      <c r="AL158" s="41" t="str">
        <f t="shared" si="82"/>
        <v/>
      </c>
      <c r="AM158" s="41">
        <v>149</v>
      </c>
      <c r="AN158" s="41">
        <f t="shared" si="71"/>
        <v>0</v>
      </c>
      <c r="AO158" s="41">
        <f t="shared" si="72"/>
        <v>0</v>
      </c>
      <c r="AP158" s="41">
        <f t="shared" si="73"/>
        <v>0</v>
      </c>
      <c r="AQ158" s="41">
        <f t="shared" si="74"/>
        <v>0</v>
      </c>
      <c r="AR158" s="41">
        <f t="shared" si="75"/>
        <v>0</v>
      </c>
      <c r="AS158" s="41">
        <f t="shared" si="76"/>
        <v>0</v>
      </c>
      <c r="AT158" s="41">
        <f t="shared" si="77"/>
        <v>0</v>
      </c>
      <c r="AU158" s="55">
        <f t="shared" si="78"/>
        <v>0</v>
      </c>
      <c r="AW158" s="41">
        <f t="shared" si="57"/>
        <v>0</v>
      </c>
      <c r="AX158" s="41">
        <f t="shared" si="58"/>
        <v>0</v>
      </c>
      <c r="AY158" s="41">
        <f t="shared" si="59"/>
        <v>0</v>
      </c>
      <c r="AZ158" s="41">
        <f t="shared" si="60"/>
        <v>0</v>
      </c>
      <c r="BA158" s="41">
        <f t="shared" si="61"/>
        <v>0</v>
      </c>
      <c r="BB158" s="41">
        <f t="shared" si="62"/>
        <v>0</v>
      </c>
      <c r="BC158" s="41">
        <f t="shared" si="63"/>
        <v>0</v>
      </c>
      <c r="BD158" s="55">
        <f t="shared" si="64"/>
        <v>0</v>
      </c>
      <c r="BF158" s="41">
        <f t="shared" si="79"/>
        <v>0</v>
      </c>
    </row>
    <row r="159" spans="1:58" ht="13.5">
      <c r="A159" s="41" t="str">
        <f>IF(Base!B157="","",Base!B157)</f>
        <v>10.168.958-1</v>
      </c>
      <c r="B159" s="41" t="str">
        <f>IF(Base!F157="","",Base!F157)</f>
        <v>RAUL  RAMIREZ  VASQUEZ</v>
      </c>
      <c r="C159" s="41" t="str">
        <f>IF(Base!I157="","",Base!I157)</f>
        <v>Abastecimiento</v>
      </c>
      <c r="D159" s="42" t="str">
        <f>IF(Base!J157="","",Base!J157)</f>
        <v>Suministro de Líneas</v>
      </c>
      <c r="E159" s="41">
        <f>IF(Base!H157="","",Base!H157)</f>
        <v>1050633</v>
      </c>
      <c r="J159" s="49">
        <v>149</v>
      </c>
      <c r="K159" s="115"/>
      <c r="L159" s="111" t="str">
        <f t="shared" si="67"/>
        <v/>
      </c>
      <c r="M159" s="111" t="str">
        <f t="shared" si="68"/>
        <v/>
      </c>
      <c r="N159" s="112" t="str">
        <f t="shared" si="69"/>
        <v/>
      </c>
      <c r="O159" s="112" t="str">
        <f t="shared" si="70"/>
        <v/>
      </c>
      <c r="P159" s="51"/>
      <c r="Q159" s="56"/>
      <c r="R159" s="49"/>
      <c r="S159" s="56"/>
      <c r="T159" s="49"/>
      <c r="U159" s="56"/>
      <c r="V159" s="49"/>
      <c r="W159" s="56"/>
      <c r="X159" s="49"/>
      <c r="Y159" s="56"/>
      <c r="Z159" s="49"/>
      <c r="AA159" s="56"/>
      <c r="AB159" s="49"/>
      <c r="AC159" s="56"/>
      <c r="AD159" s="49"/>
      <c r="AE159" s="53">
        <f t="shared" si="80"/>
        <v>0</v>
      </c>
      <c r="AF159" s="53">
        <f t="shared" si="81"/>
        <v>0</v>
      </c>
      <c r="AG159" s="54"/>
      <c r="AL159" s="41" t="str">
        <f t="shared" si="82"/>
        <v/>
      </c>
      <c r="AM159" s="41">
        <v>150</v>
      </c>
      <c r="AN159" s="41">
        <f t="shared" si="71"/>
        <v>0</v>
      </c>
      <c r="AO159" s="41">
        <f t="shared" si="72"/>
        <v>0</v>
      </c>
      <c r="AP159" s="41">
        <f t="shared" si="73"/>
        <v>0</v>
      </c>
      <c r="AQ159" s="41">
        <f t="shared" si="74"/>
        <v>0</v>
      </c>
      <c r="AR159" s="41">
        <f t="shared" si="75"/>
        <v>0</v>
      </c>
      <c r="AS159" s="41">
        <f t="shared" si="76"/>
        <v>0</v>
      </c>
      <c r="AT159" s="41">
        <f t="shared" si="77"/>
        <v>0</v>
      </c>
      <c r="AU159" s="55">
        <f t="shared" si="78"/>
        <v>0</v>
      </c>
      <c r="AW159" s="41">
        <f t="shared" ref="AW159:AW222" si="83">R159</f>
        <v>0</v>
      </c>
      <c r="AX159" s="41">
        <f t="shared" ref="AX159:AX222" si="84">T159</f>
        <v>0</v>
      </c>
      <c r="AY159" s="41">
        <f t="shared" ref="AY159:AY222" si="85">V159</f>
        <v>0</v>
      </c>
      <c r="AZ159" s="41">
        <f t="shared" ref="AZ159:AZ222" si="86">X159</f>
        <v>0</v>
      </c>
      <c r="BA159" s="41">
        <f t="shared" ref="BA159:BA222" si="87">Z159</f>
        <v>0</v>
      </c>
      <c r="BB159" s="41">
        <f t="shared" ref="BB159:BB222" si="88">AB159</f>
        <v>0</v>
      </c>
      <c r="BC159" s="41">
        <f t="shared" ref="BC159:BC222" si="89">AD159</f>
        <v>0</v>
      </c>
      <c r="BD159" s="55">
        <f t="shared" ref="BD159:BD222" si="90">IF(SUM(AW159:BC159)=0,0,SUM(AW159:BC159))</f>
        <v>0</v>
      </c>
      <c r="BF159" s="41">
        <f t="shared" si="79"/>
        <v>0</v>
      </c>
    </row>
    <row r="160" spans="1:58" ht="13.5">
      <c r="A160" s="41" t="str">
        <f>IF(Base!B158="","",Base!B158)</f>
        <v>09.741.880-2</v>
      </c>
      <c r="B160" s="41" t="str">
        <f>IF(Base!F158="","",Base!F158)</f>
        <v>LAURA CECILIA  REINOSO  SALAS</v>
      </c>
      <c r="C160" s="41" t="str">
        <f>IF(Base!I158="","",Base!I158)</f>
        <v>Abastecimiento</v>
      </c>
      <c r="D160" s="42" t="str">
        <f>IF(Base!J158="","",Base!J158)</f>
        <v>Control Ingresos Cen</v>
      </c>
      <c r="E160" s="41">
        <f>IF(Base!H158="","",Base!H158)</f>
        <v>1050126</v>
      </c>
      <c r="J160" s="49">
        <v>150</v>
      </c>
      <c r="K160" s="115"/>
      <c r="L160" s="111" t="str">
        <f t="shared" si="67"/>
        <v/>
      </c>
      <c r="M160" s="111" t="str">
        <f t="shared" si="68"/>
        <v/>
      </c>
      <c r="N160" s="112" t="str">
        <f t="shared" si="69"/>
        <v/>
      </c>
      <c r="O160" s="112" t="str">
        <f t="shared" si="70"/>
        <v/>
      </c>
      <c r="P160" s="51"/>
      <c r="Q160" s="56"/>
      <c r="R160" s="49"/>
      <c r="S160" s="56"/>
      <c r="T160" s="49"/>
      <c r="U160" s="56"/>
      <c r="V160" s="49"/>
      <c r="W160" s="56"/>
      <c r="X160" s="49"/>
      <c r="Y160" s="56"/>
      <c r="Z160" s="49"/>
      <c r="AA160" s="56"/>
      <c r="AB160" s="49"/>
      <c r="AC160" s="56"/>
      <c r="AD160" s="49"/>
      <c r="AE160" s="53">
        <f t="shared" si="80"/>
        <v>0</v>
      </c>
      <c r="AF160" s="53">
        <f t="shared" si="81"/>
        <v>0</v>
      </c>
      <c r="AG160" s="54"/>
      <c r="AL160" s="41" t="str">
        <f t="shared" si="82"/>
        <v/>
      </c>
      <c r="AM160" s="41">
        <v>151</v>
      </c>
      <c r="AN160" s="41">
        <f t="shared" si="71"/>
        <v>0</v>
      </c>
      <c r="AO160" s="41">
        <f t="shared" si="72"/>
        <v>0</v>
      </c>
      <c r="AP160" s="41">
        <f t="shared" si="73"/>
        <v>0</v>
      </c>
      <c r="AQ160" s="41">
        <f t="shared" si="74"/>
        <v>0</v>
      </c>
      <c r="AR160" s="41">
        <f t="shared" si="75"/>
        <v>0</v>
      </c>
      <c r="AS160" s="41">
        <f t="shared" si="76"/>
        <v>0</v>
      </c>
      <c r="AT160" s="41">
        <f t="shared" si="77"/>
        <v>0</v>
      </c>
      <c r="AU160" s="55">
        <f t="shared" si="78"/>
        <v>0</v>
      </c>
      <c r="AW160" s="41">
        <f t="shared" si="83"/>
        <v>0</v>
      </c>
      <c r="AX160" s="41">
        <f t="shared" si="84"/>
        <v>0</v>
      </c>
      <c r="AY160" s="41">
        <f t="shared" si="85"/>
        <v>0</v>
      </c>
      <c r="AZ160" s="41">
        <f t="shared" si="86"/>
        <v>0</v>
      </c>
      <c r="BA160" s="41">
        <f t="shared" si="87"/>
        <v>0</v>
      </c>
      <c r="BB160" s="41">
        <f t="shared" si="88"/>
        <v>0</v>
      </c>
      <c r="BC160" s="41">
        <f t="shared" si="89"/>
        <v>0</v>
      </c>
      <c r="BD160" s="55">
        <f t="shared" si="90"/>
        <v>0</v>
      </c>
      <c r="BF160" s="41">
        <f t="shared" si="79"/>
        <v>0</v>
      </c>
    </row>
    <row r="161" spans="1:58" ht="13.5">
      <c r="A161" s="41" t="str">
        <f>IF(Base!B159="","",Base!B159)</f>
        <v>15.444.698-2</v>
      </c>
      <c r="B161" s="41" t="str">
        <f>IF(Base!F159="","",Base!F159)</f>
        <v>MAURICIO ALEJANDRO  RETAMAL  ACUÑA</v>
      </c>
      <c r="C161" s="41" t="str">
        <f>IF(Base!I159="","",Base!I159)</f>
        <v>Abastecimiento</v>
      </c>
      <c r="D161" s="42" t="str">
        <f>IF(Base!J159="","",Base!J159)</f>
        <v>Preparación de Insum</v>
      </c>
      <c r="E161" s="41">
        <f>IF(Base!H159="","",Base!H159)</f>
        <v>1050127</v>
      </c>
      <c r="J161" s="49">
        <v>151</v>
      </c>
      <c r="K161" s="115"/>
      <c r="L161" s="111" t="str">
        <f t="shared" si="67"/>
        <v/>
      </c>
      <c r="M161" s="111" t="str">
        <f t="shared" si="68"/>
        <v/>
      </c>
      <c r="N161" s="112" t="str">
        <f t="shared" si="69"/>
        <v/>
      </c>
      <c r="O161" s="112" t="str">
        <f t="shared" si="70"/>
        <v/>
      </c>
      <c r="P161" s="51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3">
        <f t="shared" si="80"/>
        <v>0</v>
      </c>
      <c r="AF161" s="53">
        <f t="shared" si="81"/>
        <v>0</v>
      </c>
      <c r="AG161" s="54"/>
      <c r="AL161" s="41" t="str">
        <f t="shared" si="82"/>
        <v/>
      </c>
      <c r="AM161" s="41">
        <v>152</v>
      </c>
      <c r="AN161" s="41">
        <f t="shared" si="71"/>
        <v>0</v>
      </c>
      <c r="AO161" s="41">
        <f t="shared" si="72"/>
        <v>0</v>
      </c>
      <c r="AP161" s="41">
        <f t="shared" si="73"/>
        <v>0</v>
      </c>
      <c r="AQ161" s="41">
        <f t="shared" si="74"/>
        <v>0</v>
      </c>
      <c r="AR161" s="41">
        <f t="shared" si="75"/>
        <v>0</v>
      </c>
      <c r="AS161" s="41">
        <f t="shared" si="76"/>
        <v>0</v>
      </c>
      <c r="AT161" s="41">
        <f t="shared" si="77"/>
        <v>0</v>
      </c>
      <c r="AU161" s="55">
        <f t="shared" si="78"/>
        <v>0</v>
      </c>
      <c r="AW161" s="41">
        <f t="shared" si="83"/>
        <v>0</v>
      </c>
      <c r="AX161" s="41">
        <f t="shared" si="84"/>
        <v>0</v>
      </c>
      <c r="AY161" s="41">
        <f t="shared" si="85"/>
        <v>0</v>
      </c>
      <c r="AZ161" s="41">
        <f t="shared" si="86"/>
        <v>0</v>
      </c>
      <c r="BA161" s="41">
        <f t="shared" si="87"/>
        <v>0</v>
      </c>
      <c r="BB161" s="41">
        <f t="shared" si="88"/>
        <v>0</v>
      </c>
      <c r="BC161" s="41">
        <f t="shared" si="89"/>
        <v>0</v>
      </c>
      <c r="BD161" s="55">
        <f t="shared" si="90"/>
        <v>0</v>
      </c>
      <c r="BF161" s="41">
        <f t="shared" si="79"/>
        <v>0</v>
      </c>
    </row>
    <row r="162" spans="1:58" ht="13.5">
      <c r="A162" s="41" t="str">
        <f>IF(Base!B160="","",Base!B160)</f>
        <v>13.553.033-6</v>
      </c>
      <c r="B162" s="41" t="str">
        <f>IF(Base!F160="","",Base!F160)</f>
        <v>CLAUDIO  RETAMALES  SEPULVEDA</v>
      </c>
      <c r="C162" s="41" t="str">
        <f>IF(Base!I160="","",Base!I160)</f>
        <v>Linea 6</v>
      </c>
      <c r="D162" s="42" t="str">
        <f>IF(Base!J160="","",Base!J160)</f>
        <v>Etiquetador</v>
      </c>
      <c r="E162" s="41">
        <f>IF(Base!H160="","",Base!H160)</f>
        <v>1050610</v>
      </c>
      <c r="J162" s="49">
        <v>152</v>
      </c>
      <c r="K162" s="115"/>
      <c r="L162" s="111" t="str">
        <f t="shared" si="67"/>
        <v/>
      </c>
      <c r="M162" s="111" t="str">
        <f t="shared" si="68"/>
        <v/>
      </c>
      <c r="N162" s="112" t="str">
        <f t="shared" si="69"/>
        <v/>
      </c>
      <c r="O162" s="112" t="str">
        <f t="shared" si="70"/>
        <v/>
      </c>
      <c r="P162" s="51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3">
        <f t="shared" si="80"/>
        <v>0</v>
      </c>
      <c r="AF162" s="53">
        <f t="shared" si="81"/>
        <v>0</v>
      </c>
      <c r="AG162" s="54"/>
      <c r="AL162" s="41" t="str">
        <f t="shared" si="82"/>
        <v/>
      </c>
      <c r="AM162" s="41">
        <v>153</v>
      </c>
      <c r="AN162" s="41">
        <f t="shared" si="71"/>
        <v>0</v>
      </c>
      <c r="AO162" s="41">
        <f t="shared" si="72"/>
        <v>0</v>
      </c>
      <c r="AP162" s="41">
        <f t="shared" si="73"/>
        <v>0</v>
      </c>
      <c r="AQ162" s="41">
        <f t="shared" si="74"/>
        <v>0</v>
      </c>
      <c r="AR162" s="41">
        <f t="shared" si="75"/>
        <v>0</v>
      </c>
      <c r="AS162" s="41">
        <f t="shared" si="76"/>
        <v>0</v>
      </c>
      <c r="AT162" s="41">
        <f t="shared" si="77"/>
        <v>0</v>
      </c>
      <c r="AU162" s="55">
        <f t="shared" si="78"/>
        <v>0</v>
      </c>
      <c r="AW162" s="41">
        <f t="shared" si="83"/>
        <v>0</v>
      </c>
      <c r="AX162" s="41">
        <f t="shared" si="84"/>
        <v>0</v>
      </c>
      <c r="AY162" s="41">
        <f t="shared" si="85"/>
        <v>0</v>
      </c>
      <c r="AZ162" s="41">
        <f t="shared" si="86"/>
        <v>0</v>
      </c>
      <c r="BA162" s="41">
        <f t="shared" si="87"/>
        <v>0</v>
      </c>
      <c r="BB162" s="41">
        <f t="shared" si="88"/>
        <v>0</v>
      </c>
      <c r="BC162" s="41">
        <f t="shared" si="89"/>
        <v>0</v>
      </c>
      <c r="BD162" s="55">
        <f t="shared" si="90"/>
        <v>0</v>
      </c>
      <c r="BF162" s="41">
        <f t="shared" si="79"/>
        <v>0</v>
      </c>
    </row>
    <row r="163" spans="1:58" ht="13.5">
      <c r="A163" s="41" t="str">
        <f>IF(Base!B161="","",Base!B161)</f>
        <v>16.697.450-K</v>
      </c>
      <c r="B163" s="41" t="str">
        <f>IF(Base!F161="","",Base!F161)</f>
        <v>NATALIA BELEN  REYES  ESPINOZA</v>
      </c>
      <c r="C163" s="41" t="str">
        <f>IF(Base!I161="","",Base!I161)</f>
        <v>Abastecimiento</v>
      </c>
      <c r="D163" s="42" t="str">
        <f>IF(Base!J161="","",Base!J161)</f>
        <v>Preparación de Insum</v>
      </c>
      <c r="E163" s="41">
        <f>IF(Base!H161="","",Base!H161)</f>
        <v>1050127</v>
      </c>
      <c r="J163" s="49">
        <v>153</v>
      </c>
      <c r="K163" s="115"/>
      <c r="L163" s="111" t="str">
        <f t="shared" si="67"/>
        <v/>
      </c>
      <c r="M163" s="111" t="str">
        <f t="shared" si="68"/>
        <v/>
      </c>
      <c r="N163" s="112" t="str">
        <f t="shared" si="69"/>
        <v/>
      </c>
      <c r="O163" s="112" t="str">
        <f t="shared" si="70"/>
        <v/>
      </c>
      <c r="P163" s="51"/>
      <c r="Q163" s="56"/>
      <c r="R163" s="49"/>
      <c r="S163" s="56"/>
      <c r="T163" s="49"/>
      <c r="U163" s="56"/>
      <c r="V163" s="49"/>
      <c r="W163" s="56"/>
      <c r="X163" s="49"/>
      <c r="Y163" s="56"/>
      <c r="Z163" s="49"/>
      <c r="AA163" s="56"/>
      <c r="AB163" s="49"/>
      <c r="AC163" s="56"/>
      <c r="AD163" s="49"/>
      <c r="AE163" s="53">
        <f t="shared" si="80"/>
        <v>0</v>
      </c>
      <c r="AF163" s="53">
        <f t="shared" si="81"/>
        <v>0</v>
      </c>
      <c r="AG163" s="54"/>
      <c r="AL163" s="41" t="str">
        <f t="shared" si="82"/>
        <v/>
      </c>
      <c r="AM163" s="41">
        <v>154</v>
      </c>
      <c r="AN163" s="41">
        <f t="shared" si="71"/>
        <v>0</v>
      </c>
      <c r="AO163" s="41">
        <f t="shared" si="72"/>
        <v>0</v>
      </c>
      <c r="AP163" s="41">
        <f t="shared" si="73"/>
        <v>0</v>
      </c>
      <c r="AQ163" s="41">
        <f t="shared" si="74"/>
        <v>0</v>
      </c>
      <c r="AR163" s="41">
        <f t="shared" si="75"/>
        <v>0</v>
      </c>
      <c r="AS163" s="41">
        <f t="shared" si="76"/>
        <v>0</v>
      </c>
      <c r="AT163" s="41">
        <f t="shared" si="77"/>
        <v>0</v>
      </c>
      <c r="AU163" s="55">
        <f t="shared" si="78"/>
        <v>0</v>
      </c>
      <c r="AW163" s="41">
        <f t="shared" si="83"/>
        <v>0</v>
      </c>
      <c r="AX163" s="41">
        <f t="shared" si="84"/>
        <v>0</v>
      </c>
      <c r="AY163" s="41">
        <f t="shared" si="85"/>
        <v>0</v>
      </c>
      <c r="AZ163" s="41">
        <f t="shared" si="86"/>
        <v>0</v>
      </c>
      <c r="BA163" s="41">
        <f t="shared" si="87"/>
        <v>0</v>
      </c>
      <c r="BB163" s="41">
        <f t="shared" si="88"/>
        <v>0</v>
      </c>
      <c r="BC163" s="41">
        <f t="shared" si="89"/>
        <v>0</v>
      </c>
      <c r="BD163" s="55">
        <f t="shared" si="90"/>
        <v>0</v>
      </c>
      <c r="BF163" s="41">
        <f t="shared" si="79"/>
        <v>0</v>
      </c>
    </row>
    <row r="164" spans="1:58" ht="13.5">
      <c r="A164" s="41" t="str">
        <f>IF(Base!B162="","",Base!B162)</f>
        <v>14.185.109-8</v>
      </c>
      <c r="B164" s="41" t="str">
        <f>IF(Base!F162="","",Base!F162)</f>
        <v>GUILLERMO ANTONIO  REYES  FUENZALIDA</v>
      </c>
      <c r="C164" s="41" t="str">
        <f>IF(Base!I162="","",Base!I162)</f>
        <v>Abastecimiento</v>
      </c>
      <c r="D164" s="42" t="str">
        <f>IF(Base!J162="","",Base!J162)</f>
        <v>Almacen Envases Pirq</v>
      </c>
      <c r="E164" s="41">
        <f>IF(Base!H162="","",Base!H162)</f>
        <v>1050162</v>
      </c>
      <c r="J164" s="49">
        <v>154</v>
      </c>
      <c r="K164" s="115"/>
      <c r="L164" s="111" t="str">
        <f t="shared" si="67"/>
        <v/>
      </c>
      <c r="M164" s="111" t="str">
        <f t="shared" si="68"/>
        <v/>
      </c>
      <c r="N164" s="112" t="str">
        <f t="shared" si="69"/>
        <v/>
      </c>
      <c r="O164" s="112" t="str">
        <f t="shared" si="70"/>
        <v/>
      </c>
      <c r="P164" s="51"/>
      <c r="Q164" s="56"/>
      <c r="R164" s="49"/>
      <c r="S164" s="56"/>
      <c r="T164" s="49"/>
      <c r="U164" s="56"/>
      <c r="V164" s="49"/>
      <c r="W164" s="56"/>
      <c r="X164" s="49"/>
      <c r="Y164" s="56"/>
      <c r="Z164" s="49"/>
      <c r="AA164" s="56"/>
      <c r="AB164" s="49"/>
      <c r="AC164" s="56"/>
      <c r="AD164" s="49"/>
      <c r="AE164" s="53">
        <f t="shared" si="80"/>
        <v>0</v>
      </c>
      <c r="AF164" s="53">
        <f t="shared" si="81"/>
        <v>0</v>
      </c>
      <c r="AG164" s="54"/>
      <c r="AL164" s="41" t="str">
        <f t="shared" si="82"/>
        <v/>
      </c>
      <c r="AM164" s="41">
        <v>155</v>
      </c>
      <c r="AN164" s="41">
        <f t="shared" si="71"/>
        <v>0</v>
      </c>
      <c r="AO164" s="41">
        <f t="shared" si="72"/>
        <v>0</v>
      </c>
      <c r="AP164" s="41">
        <f t="shared" si="73"/>
        <v>0</v>
      </c>
      <c r="AQ164" s="41">
        <f t="shared" si="74"/>
        <v>0</v>
      </c>
      <c r="AR164" s="41">
        <f t="shared" si="75"/>
        <v>0</v>
      </c>
      <c r="AS164" s="41">
        <f t="shared" si="76"/>
        <v>0</v>
      </c>
      <c r="AT164" s="41">
        <f t="shared" si="77"/>
        <v>0</v>
      </c>
      <c r="AU164" s="55">
        <f t="shared" si="78"/>
        <v>0</v>
      </c>
      <c r="AW164" s="41">
        <f t="shared" si="83"/>
        <v>0</v>
      </c>
      <c r="AX164" s="41">
        <f t="shared" si="84"/>
        <v>0</v>
      </c>
      <c r="AY164" s="41">
        <f t="shared" si="85"/>
        <v>0</v>
      </c>
      <c r="AZ164" s="41">
        <f t="shared" si="86"/>
        <v>0</v>
      </c>
      <c r="BA164" s="41">
        <f t="shared" si="87"/>
        <v>0</v>
      </c>
      <c r="BB164" s="41">
        <f t="shared" si="88"/>
        <v>0</v>
      </c>
      <c r="BC164" s="41">
        <f t="shared" si="89"/>
        <v>0</v>
      </c>
      <c r="BD164" s="55">
        <f t="shared" si="90"/>
        <v>0</v>
      </c>
      <c r="BF164" s="41">
        <f t="shared" si="79"/>
        <v>0</v>
      </c>
    </row>
    <row r="165" spans="1:58" ht="13.5">
      <c r="A165" s="41" t="str">
        <f>IF(Base!B163="","",Base!B163)</f>
        <v>16.029.464-7</v>
      </c>
      <c r="B165" s="41" t="str">
        <f>IF(Base!F163="","",Base!F163)</f>
        <v>VICTOR  REYES  GALVEZ</v>
      </c>
      <c r="C165" s="41" t="str">
        <f>IF(Base!I163="","",Base!I163)</f>
        <v>Control y Gestión</v>
      </c>
      <c r="D165" s="42" t="str">
        <f>IF(Base!J163="","",Base!J163)</f>
        <v>Inspector tiempo</v>
      </c>
      <c r="E165" s="41">
        <f>IF(Base!H163="","",Base!H163)</f>
        <v>1050632</v>
      </c>
      <c r="J165" s="49">
        <v>155</v>
      </c>
      <c r="K165" s="115"/>
      <c r="L165" s="111" t="str">
        <f t="shared" si="67"/>
        <v/>
      </c>
      <c r="M165" s="111" t="str">
        <f t="shared" si="68"/>
        <v/>
      </c>
      <c r="N165" s="112" t="str">
        <f t="shared" si="69"/>
        <v/>
      </c>
      <c r="O165" s="112" t="str">
        <f t="shared" si="70"/>
        <v/>
      </c>
      <c r="P165" s="51"/>
      <c r="Q165" s="56"/>
      <c r="R165" s="49"/>
      <c r="S165" s="56"/>
      <c r="T165" s="49"/>
      <c r="U165" s="56"/>
      <c r="V165" s="49"/>
      <c r="W165" s="56"/>
      <c r="X165" s="49"/>
      <c r="Y165" s="56"/>
      <c r="Z165" s="49"/>
      <c r="AA165" s="56"/>
      <c r="AB165" s="49"/>
      <c r="AC165" s="56"/>
      <c r="AD165" s="49"/>
      <c r="AE165" s="53">
        <f t="shared" si="80"/>
        <v>0</v>
      </c>
      <c r="AF165" s="53">
        <f t="shared" si="81"/>
        <v>0</v>
      </c>
      <c r="AG165" s="54"/>
      <c r="AL165" s="41" t="str">
        <f t="shared" si="82"/>
        <v/>
      </c>
      <c r="AM165" s="41">
        <v>156</v>
      </c>
      <c r="AN165" s="41">
        <f t="shared" si="71"/>
        <v>0</v>
      </c>
      <c r="AO165" s="41">
        <f t="shared" si="72"/>
        <v>0</v>
      </c>
      <c r="AP165" s="41">
        <f t="shared" si="73"/>
        <v>0</v>
      </c>
      <c r="AQ165" s="41">
        <f t="shared" si="74"/>
        <v>0</v>
      </c>
      <c r="AR165" s="41">
        <f t="shared" si="75"/>
        <v>0</v>
      </c>
      <c r="AS165" s="41">
        <f t="shared" si="76"/>
        <v>0</v>
      </c>
      <c r="AT165" s="41">
        <f t="shared" si="77"/>
        <v>0</v>
      </c>
      <c r="AU165" s="55">
        <f t="shared" si="78"/>
        <v>0</v>
      </c>
      <c r="AW165" s="41">
        <f t="shared" si="83"/>
        <v>0</v>
      </c>
      <c r="AX165" s="41">
        <f t="shared" si="84"/>
        <v>0</v>
      </c>
      <c r="AY165" s="41">
        <f t="shared" si="85"/>
        <v>0</v>
      </c>
      <c r="AZ165" s="41">
        <f t="shared" si="86"/>
        <v>0</v>
      </c>
      <c r="BA165" s="41">
        <f t="shared" si="87"/>
        <v>0</v>
      </c>
      <c r="BB165" s="41">
        <f t="shared" si="88"/>
        <v>0</v>
      </c>
      <c r="BC165" s="41">
        <f t="shared" si="89"/>
        <v>0</v>
      </c>
      <c r="BD165" s="55">
        <f t="shared" si="90"/>
        <v>0</v>
      </c>
      <c r="BF165" s="41">
        <f t="shared" si="79"/>
        <v>0</v>
      </c>
    </row>
    <row r="166" spans="1:58" ht="13.5">
      <c r="A166" s="41" t="str">
        <f>IF(Base!B164="","",Base!B164)</f>
        <v>10.309.203-5</v>
      </c>
      <c r="B166" s="41" t="str">
        <f>IF(Base!F164="","",Base!F164)</f>
        <v>ANGELA ADELA  REYES  LARA</v>
      </c>
      <c r="C166" s="41" t="str">
        <f>IF(Base!I164="","",Base!I164)</f>
        <v>Abastecimiento</v>
      </c>
      <c r="D166" s="42" t="str">
        <f>IF(Base!J164="","",Base!J164)</f>
        <v>Suministro de Líneas</v>
      </c>
      <c r="E166" s="41">
        <f>IF(Base!H164="","",Base!H164)</f>
        <v>1050633</v>
      </c>
      <c r="J166" s="49">
        <v>156</v>
      </c>
      <c r="K166" s="115"/>
      <c r="L166" s="111" t="str">
        <f t="shared" si="67"/>
        <v/>
      </c>
      <c r="M166" s="111" t="str">
        <f t="shared" si="68"/>
        <v/>
      </c>
      <c r="N166" s="112" t="str">
        <f t="shared" si="69"/>
        <v/>
      </c>
      <c r="O166" s="112" t="str">
        <f t="shared" si="70"/>
        <v/>
      </c>
      <c r="P166" s="51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3">
        <f t="shared" si="80"/>
        <v>0</v>
      </c>
      <c r="AF166" s="53">
        <f t="shared" si="81"/>
        <v>0</v>
      </c>
      <c r="AG166" s="54"/>
      <c r="AL166" s="41" t="str">
        <f t="shared" si="82"/>
        <v/>
      </c>
      <c r="AM166" s="41">
        <v>157</v>
      </c>
      <c r="AN166" s="41">
        <f t="shared" si="71"/>
        <v>0</v>
      </c>
      <c r="AO166" s="41">
        <f t="shared" si="72"/>
        <v>0</v>
      </c>
      <c r="AP166" s="41">
        <f t="shared" si="73"/>
        <v>0</v>
      </c>
      <c r="AQ166" s="41">
        <f t="shared" si="74"/>
        <v>0</v>
      </c>
      <c r="AR166" s="41">
        <f t="shared" si="75"/>
        <v>0</v>
      </c>
      <c r="AS166" s="41">
        <f t="shared" si="76"/>
        <v>0</v>
      </c>
      <c r="AT166" s="41">
        <f t="shared" si="77"/>
        <v>0</v>
      </c>
      <c r="AU166" s="55">
        <f t="shared" si="78"/>
        <v>0</v>
      </c>
      <c r="AW166" s="41">
        <f t="shared" si="83"/>
        <v>0</v>
      </c>
      <c r="AX166" s="41">
        <f t="shared" si="84"/>
        <v>0</v>
      </c>
      <c r="AY166" s="41">
        <f t="shared" si="85"/>
        <v>0</v>
      </c>
      <c r="AZ166" s="41">
        <f t="shared" si="86"/>
        <v>0</v>
      </c>
      <c r="BA166" s="41">
        <f t="shared" si="87"/>
        <v>0</v>
      </c>
      <c r="BB166" s="41">
        <f t="shared" si="88"/>
        <v>0</v>
      </c>
      <c r="BC166" s="41">
        <f t="shared" si="89"/>
        <v>0</v>
      </c>
      <c r="BD166" s="55">
        <f t="shared" si="90"/>
        <v>0</v>
      </c>
      <c r="BF166" s="41">
        <f t="shared" si="79"/>
        <v>0</v>
      </c>
    </row>
    <row r="167" spans="1:58" ht="13.5">
      <c r="A167" s="41" t="str">
        <f>IF(Base!B165="","",Base!B165)</f>
        <v>18.074.081-3</v>
      </c>
      <c r="B167" s="41" t="str">
        <f>IF(Base!F165="","",Base!F165)</f>
        <v>MATIAS ANDRES  REYES  SERRANO</v>
      </c>
      <c r="C167" s="41" t="str">
        <f>IF(Base!I165="","",Base!I165)</f>
        <v>Linea 6</v>
      </c>
      <c r="D167" s="42" t="str">
        <f>IF(Base!J165="","",Base!J165)</f>
        <v>Despalletizador</v>
      </c>
      <c r="E167" s="41">
        <f>IF(Base!H165="","",Base!H165)</f>
        <v>1050609</v>
      </c>
      <c r="J167" s="49">
        <v>157</v>
      </c>
      <c r="K167" s="115"/>
      <c r="L167" s="111" t="str">
        <f t="shared" si="67"/>
        <v/>
      </c>
      <c r="M167" s="111" t="str">
        <f t="shared" si="68"/>
        <v/>
      </c>
      <c r="N167" s="112" t="str">
        <f t="shared" si="69"/>
        <v/>
      </c>
      <c r="O167" s="112" t="str">
        <f t="shared" si="70"/>
        <v/>
      </c>
      <c r="P167" s="51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3">
        <f t="shared" si="80"/>
        <v>0</v>
      </c>
      <c r="AF167" s="53">
        <f t="shared" si="81"/>
        <v>0</v>
      </c>
      <c r="AG167" s="54"/>
      <c r="AL167" s="41" t="str">
        <f t="shared" si="82"/>
        <v/>
      </c>
      <c r="AM167" s="41">
        <v>158</v>
      </c>
      <c r="AN167" s="41">
        <f t="shared" si="71"/>
        <v>0</v>
      </c>
      <c r="AO167" s="41">
        <f t="shared" si="72"/>
        <v>0</v>
      </c>
      <c r="AP167" s="41">
        <f t="shared" si="73"/>
        <v>0</v>
      </c>
      <c r="AQ167" s="41">
        <f t="shared" si="74"/>
        <v>0</v>
      </c>
      <c r="AR167" s="41">
        <f t="shared" si="75"/>
        <v>0</v>
      </c>
      <c r="AS167" s="41">
        <f t="shared" si="76"/>
        <v>0</v>
      </c>
      <c r="AT167" s="41">
        <f t="shared" si="77"/>
        <v>0</v>
      </c>
      <c r="AU167" s="55">
        <f t="shared" si="78"/>
        <v>0</v>
      </c>
      <c r="AW167" s="41">
        <f t="shared" si="83"/>
        <v>0</v>
      </c>
      <c r="AX167" s="41">
        <f t="shared" si="84"/>
        <v>0</v>
      </c>
      <c r="AY167" s="41">
        <f t="shared" si="85"/>
        <v>0</v>
      </c>
      <c r="AZ167" s="41">
        <f t="shared" si="86"/>
        <v>0</v>
      </c>
      <c r="BA167" s="41">
        <f t="shared" si="87"/>
        <v>0</v>
      </c>
      <c r="BB167" s="41">
        <f t="shared" si="88"/>
        <v>0</v>
      </c>
      <c r="BC167" s="41">
        <f t="shared" si="89"/>
        <v>0</v>
      </c>
      <c r="BD167" s="55">
        <f t="shared" si="90"/>
        <v>0</v>
      </c>
      <c r="BF167" s="41">
        <f t="shared" si="79"/>
        <v>0</v>
      </c>
    </row>
    <row r="168" spans="1:58" ht="13.5">
      <c r="A168" s="41" t="str">
        <f>IF(Base!B166="","",Base!B166)</f>
        <v>09.806.171-1</v>
      </c>
      <c r="B168" s="41" t="str">
        <f>IF(Base!F166="","",Base!F166)</f>
        <v>VICTOR MANUEL  RIOS  MIRANDA</v>
      </c>
      <c r="C168" s="41" t="str">
        <f>IF(Base!I166="","",Base!I166)</f>
        <v>BIB</v>
      </c>
      <c r="D168" s="42" t="str">
        <f>IF(Base!J166="","",Base!J166)</f>
        <v>BIB</v>
      </c>
      <c r="E168" s="41">
        <f>IF(Base!H166="","",Base!H166)</f>
        <v>1050595</v>
      </c>
      <c r="J168" s="49">
        <v>158</v>
      </c>
      <c r="K168" s="115"/>
      <c r="L168" s="111" t="str">
        <f t="shared" si="67"/>
        <v/>
      </c>
      <c r="M168" s="111" t="str">
        <f t="shared" si="68"/>
        <v/>
      </c>
      <c r="N168" s="112" t="str">
        <f t="shared" si="69"/>
        <v/>
      </c>
      <c r="O168" s="112" t="str">
        <f t="shared" si="70"/>
        <v/>
      </c>
      <c r="P168" s="51"/>
      <c r="Q168" s="56"/>
      <c r="R168" s="49"/>
      <c r="S168" s="56"/>
      <c r="T168" s="49"/>
      <c r="U168" s="56"/>
      <c r="V168" s="49"/>
      <c r="W168" s="56"/>
      <c r="X168" s="49"/>
      <c r="Y168" s="56"/>
      <c r="Z168" s="49"/>
      <c r="AA168" s="56"/>
      <c r="AB168" s="49"/>
      <c r="AC168" s="56"/>
      <c r="AD168" s="49"/>
      <c r="AE168" s="53">
        <f t="shared" si="80"/>
        <v>0</v>
      </c>
      <c r="AF168" s="53">
        <f t="shared" si="81"/>
        <v>0</v>
      </c>
      <c r="AG168" s="54"/>
      <c r="AL168" s="41" t="str">
        <f t="shared" si="82"/>
        <v/>
      </c>
      <c r="AM168" s="41">
        <v>159</v>
      </c>
      <c r="AN168" s="41">
        <f t="shared" si="71"/>
        <v>0</v>
      </c>
      <c r="AO168" s="41">
        <f t="shared" si="72"/>
        <v>0</v>
      </c>
      <c r="AP168" s="41">
        <f t="shared" si="73"/>
        <v>0</v>
      </c>
      <c r="AQ168" s="41">
        <f t="shared" si="74"/>
        <v>0</v>
      </c>
      <c r="AR168" s="41">
        <f t="shared" si="75"/>
        <v>0</v>
      </c>
      <c r="AS168" s="41">
        <f t="shared" si="76"/>
        <v>0</v>
      </c>
      <c r="AT168" s="41">
        <f t="shared" si="77"/>
        <v>0</v>
      </c>
      <c r="AU168" s="55">
        <f t="shared" si="78"/>
        <v>0</v>
      </c>
      <c r="AW168" s="41">
        <f t="shared" si="83"/>
        <v>0</v>
      </c>
      <c r="AX168" s="41">
        <f t="shared" si="84"/>
        <v>0</v>
      </c>
      <c r="AY168" s="41">
        <f t="shared" si="85"/>
        <v>0</v>
      </c>
      <c r="AZ168" s="41">
        <f t="shared" si="86"/>
        <v>0</v>
      </c>
      <c r="BA168" s="41">
        <f t="shared" si="87"/>
        <v>0</v>
      </c>
      <c r="BB168" s="41">
        <f t="shared" si="88"/>
        <v>0</v>
      </c>
      <c r="BC168" s="41">
        <f t="shared" si="89"/>
        <v>0</v>
      </c>
      <c r="BD168" s="55">
        <f t="shared" si="90"/>
        <v>0</v>
      </c>
      <c r="BF168" s="41">
        <f t="shared" si="79"/>
        <v>0</v>
      </c>
    </row>
    <row r="169" spans="1:58" ht="13.5">
      <c r="A169" s="41" t="str">
        <f>IF(Base!B167="","",Base!B167)</f>
        <v>16.296.340-6</v>
      </c>
      <c r="B169" s="41" t="str">
        <f>IF(Base!F167="","",Base!F167)</f>
        <v>FRANCISCO JAVIER  RIQUELME  GONZALEZ</v>
      </c>
      <c r="C169" s="41" t="str">
        <f>IF(Base!I167="","",Base!I167)</f>
        <v>Abastecimiento</v>
      </c>
      <c r="D169" s="42" t="str">
        <f>IF(Base!J167="","",Base!J167)</f>
        <v>Almacen Insumos Pque</v>
      </c>
      <c r="E169" s="41">
        <f>IF(Base!H167="","",Base!H167)</f>
        <v>1050581</v>
      </c>
      <c r="J169" s="49">
        <v>159</v>
      </c>
      <c r="K169" s="115"/>
      <c r="L169" s="111" t="str">
        <f t="shared" si="67"/>
        <v/>
      </c>
      <c r="M169" s="111" t="str">
        <f t="shared" si="68"/>
        <v/>
      </c>
      <c r="N169" s="112" t="str">
        <f t="shared" si="69"/>
        <v/>
      </c>
      <c r="O169" s="112" t="str">
        <f t="shared" si="70"/>
        <v/>
      </c>
      <c r="P169" s="51"/>
      <c r="Q169" s="56"/>
      <c r="R169" s="49"/>
      <c r="S169" s="56"/>
      <c r="T169" s="49"/>
      <c r="U169" s="56"/>
      <c r="V169" s="49"/>
      <c r="W169" s="56"/>
      <c r="X169" s="49"/>
      <c r="Y169" s="56"/>
      <c r="Z169" s="49"/>
      <c r="AA169" s="56"/>
      <c r="AB169" s="49"/>
      <c r="AC169" s="56"/>
      <c r="AD169" s="49"/>
      <c r="AE169" s="53">
        <f t="shared" si="80"/>
        <v>0</v>
      </c>
      <c r="AF169" s="53">
        <f t="shared" si="81"/>
        <v>0</v>
      </c>
      <c r="AG169" s="54"/>
      <c r="AL169" s="41" t="str">
        <f t="shared" si="82"/>
        <v/>
      </c>
      <c r="AM169" s="41">
        <v>160</v>
      </c>
      <c r="AN169" s="41">
        <f t="shared" si="71"/>
        <v>0</v>
      </c>
      <c r="AO169" s="41">
        <f t="shared" si="72"/>
        <v>0</v>
      </c>
      <c r="AP169" s="41">
        <f t="shared" si="73"/>
        <v>0</v>
      </c>
      <c r="AQ169" s="41">
        <f t="shared" si="74"/>
        <v>0</v>
      </c>
      <c r="AR169" s="41">
        <f t="shared" si="75"/>
        <v>0</v>
      </c>
      <c r="AS169" s="41">
        <f t="shared" si="76"/>
        <v>0</v>
      </c>
      <c r="AT169" s="41">
        <f t="shared" si="77"/>
        <v>0</v>
      </c>
      <c r="AU169" s="55">
        <f t="shared" si="78"/>
        <v>0</v>
      </c>
      <c r="AW169" s="41">
        <f t="shared" si="83"/>
        <v>0</v>
      </c>
      <c r="AX169" s="41">
        <f t="shared" si="84"/>
        <v>0</v>
      </c>
      <c r="AY169" s="41">
        <f t="shared" si="85"/>
        <v>0</v>
      </c>
      <c r="AZ169" s="41">
        <f t="shared" si="86"/>
        <v>0</v>
      </c>
      <c r="BA169" s="41">
        <f t="shared" si="87"/>
        <v>0</v>
      </c>
      <c r="BB169" s="41">
        <f t="shared" si="88"/>
        <v>0</v>
      </c>
      <c r="BC169" s="41">
        <f t="shared" si="89"/>
        <v>0</v>
      </c>
      <c r="BD169" s="55">
        <f t="shared" si="90"/>
        <v>0</v>
      </c>
      <c r="BF169" s="41">
        <f t="shared" si="79"/>
        <v>0</v>
      </c>
    </row>
    <row r="170" spans="1:58" ht="13.5">
      <c r="A170" s="41" t="str">
        <f>IF(Base!B168="","",Base!B168)</f>
        <v>12.688.280-7</v>
      </c>
      <c r="B170" s="41" t="str">
        <f>IF(Base!F168="","",Base!F168)</f>
        <v>VERONICA ANDREA  RIVERA  VARGAS</v>
      </c>
      <c r="C170" s="41" t="str">
        <f>IF(Base!I168="","",Base!I168)</f>
        <v>Abastecimiento</v>
      </c>
      <c r="D170" s="42" t="str">
        <f>IF(Base!J168="","",Base!J168)</f>
        <v>Suministro de Líneas</v>
      </c>
      <c r="E170" s="41">
        <f>IF(Base!H168="","",Base!H168)</f>
        <v>1050633</v>
      </c>
      <c r="J170" s="49">
        <v>160</v>
      </c>
      <c r="K170" s="115"/>
      <c r="L170" s="111" t="str">
        <f t="shared" si="67"/>
        <v/>
      </c>
      <c r="M170" s="111" t="str">
        <f t="shared" si="68"/>
        <v/>
      </c>
      <c r="N170" s="112" t="str">
        <f t="shared" si="69"/>
        <v/>
      </c>
      <c r="O170" s="112" t="str">
        <f t="shared" si="70"/>
        <v/>
      </c>
      <c r="P170" s="51"/>
      <c r="Q170" s="56"/>
      <c r="R170" s="49"/>
      <c r="S170" s="56"/>
      <c r="T170" s="49"/>
      <c r="U170" s="56"/>
      <c r="V170" s="49"/>
      <c r="W170" s="56"/>
      <c r="X170" s="49"/>
      <c r="Y170" s="56"/>
      <c r="Z170" s="49"/>
      <c r="AA170" s="56"/>
      <c r="AB170" s="49"/>
      <c r="AC170" s="56"/>
      <c r="AD170" s="49"/>
      <c r="AE170" s="53">
        <f t="shared" si="80"/>
        <v>0</v>
      </c>
      <c r="AF170" s="53">
        <f t="shared" si="81"/>
        <v>0</v>
      </c>
      <c r="AG170" s="54"/>
      <c r="AL170" s="41" t="str">
        <f t="shared" si="82"/>
        <v/>
      </c>
      <c r="AM170" s="41">
        <v>161</v>
      </c>
      <c r="AN170" s="41">
        <f t="shared" si="71"/>
        <v>0</v>
      </c>
      <c r="AO170" s="41">
        <f t="shared" si="72"/>
        <v>0</v>
      </c>
      <c r="AP170" s="41">
        <f t="shared" si="73"/>
        <v>0</v>
      </c>
      <c r="AQ170" s="41">
        <f t="shared" si="74"/>
        <v>0</v>
      </c>
      <c r="AR170" s="41">
        <f t="shared" si="75"/>
        <v>0</v>
      </c>
      <c r="AS170" s="41">
        <f t="shared" si="76"/>
        <v>0</v>
      </c>
      <c r="AT170" s="41">
        <f t="shared" si="77"/>
        <v>0</v>
      </c>
      <c r="AU170" s="55">
        <f t="shared" si="78"/>
        <v>0</v>
      </c>
      <c r="AW170" s="41">
        <f t="shared" si="83"/>
        <v>0</v>
      </c>
      <c r="AX170" s="41">
        <f t="shared" si="84"/>
        <v>0</v>
      </c>
      <c r="AY170" s="41">
        <f t="shared" si="85"/>
        <v>0</v>
      </c>
      <c r="AZ170" s="41">
        <f t="shared" si="86"/>
        <v>0</v>
      </c>
      <c r="BA170" s="41">
        <f t="shared" si="87"/>
        <v>0</v>
      </c>
      <c r="BB170" s="41">
        <f t="shared" si="88"/>
        <v>0</v>
      </c>
      <c r="BC170" s="41">
        <f t="shared" si="89"/>
        <v>0</v>
      </c>
      <c r="BD170" s="55">
        <f t="shared" si="90"/>
        <v>0</v>
      </c>
      <c r="BF170" s="41">
        <f t="shared" si="79"/>
        <v>0</v>
      </c>
    </row>
    <row r="171" spans="1:58" ht="13.5">
      <c r="A171" s="41" t="str">
        <f>IF(Base!B169="","",Base!B169)</f>
        <v>11.476.853-7</v>
      </c>
      <c r="B171" s="41" t="str">
        <f>IF(Base!F169="","",Base!F169)</f>
        <v>ALEJANDRA  RIVERA  PANES</v>
      </c>
      <c r="C171" s="41" t="str">
        <f>IF(Base!I169="","",Base!I169)</f>
        <v>Linea 6</v>
      </c>
      <c r="D171" s="42" t="str">
        <f>IF(Base!J169="","",Base!J169)</f>
        <v>Inspector etiqueta</v>
      </c>
      <c r="E171" s="41">
        <f>IF(Base!H169="","",Base!H169)</f>
        <v>1050610</v>
      </c>
      <c r="J171" s="49">
        <v>161</v>
      </c>
      <c r="K171" s="115"/>
      <c r="L171" s="111" t="str">
        <f t="shared" si="67"/>
        <v/>
      </c>
      <c r="M171" s="111" t="str">
        <f t="shared" si="68"/>
        <v/>
      </c>
      <c r="N171" s="112" t="str">
        <f t="shared" si="69"/>
        <v/>
      </c>
      <c r="O171" s="112" t="str">
        <f t="shared" si="70"/>
        <v/>
      </c>
      <c r="P171" s="51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3">
        <f t="shared" si="80"/>
        <v>0</v>
      </c>
      <c r="AF171" s="53">
        <f t="shared" si="81"/>
        <v>0</v>
      </c>
      <c r="AG171" s="54"/>
      <c r="AL171" s="41" t="str">
        <f t="shared" si="82"/>
        <v/>
      </c>
      <c r="AM171" s="41">
        <v>162</v>
      </c>
      <c r="AN171" s="41">
        <f t="shared" si="71"/>
        <v>0</v>
      </c>
      <c r="AO171" s="41">
        <f t="shared" si="72"/>
        <v>0</v>
      </c>
      <c r="AP171" s="41">
        <f t="shared" si="73"/>
        <v>0</v>
      </c>
      <c r="AQ171" s="41">
        <f t="shared" si="74"/>
        <v>0</v>
      </c>
      <c r="AR171" s="41">
        <f t="shared" si="75"/>
        <v>0</v>
      </c>
      <c r="AS171" s="41">
        <f t="shared" si="76"/>
        <v>0</v>
      </c>
      <c r="AT171" s="41">
        <f t="shared" si="77"/>
        <v>0</v>
      </c>
      <c r="AU171" s="55">
        <f t="shared" si="78"/>
        <v>0</v>
      </c>
      <c r="AW171" s="41">
        <f t="shared" si="83"/>
        <v>0</v>
      </c>
      <c r="AX171" s="41">
        <f t="shared" si="84"/>
        <v>0</v>
      </c>
      <c r="AY171" s="41">
        <f t="shared" si="85"/>
        <v>0</v>
      </c>
      <c r="AZ171" s="41">
        <f t="shared" si="86"/>
        <v>0</v>
      </c>
      <c r="BA171" s="41">
        <f t="shared" si="87"/>
        <v>0</v>
      </c>
      <c r="BB171" s="41">
        <f t="shared" si="88"/>
        <v>0</v>
      </c>
      <c r="BC171" s="41">
        <f t="shared" si="89"/>
        <v>0</v>
      </c>
      <c r="BD171" s="55">
        <f t="shared" si="90"/>
        <v>0</v>
      </c>
      <c r="BF171" s="41">
        <f t="shared" si="79"/>
        <v>0</v>
      </c>
    </row>
    <row r="172" spans="1:58" ht="13.5">
      <c r="A172" s="41" t="str">
        <f>IF(Base!B170="","",Base!B170)</f>
        <v>10.933.716-1</v>
      </c>
      <c r="B172" s="41" t="str">
        <f>IF(Base!F170="","",Base!F170)</f>
        <v>HERNANDO  RIVEROS  RIFFO</v>
      </c>
      <c r="C172" s="41" t="str">
        <f>IF(Base!I170="","",Base!I170)</f>
        <v>Sala filtros</v>
      </c>
      <c r="D172" s="42" t="str">
        <f>IF(Base!J170="","",Base!J170)</f>
        <v>Operador sala de filtros</v>
      </c>
      <c r="E172" s="41">
        <f>IF(Base!H170="","",Base!H170)</f>
        <v>1050574</v>
      </c>
      <c r="J172" s="49">
        <v>162</v>
      </c>
      <c r="K172" s="115"/>
      <c r="L172" s="111" t="str">
        <f t="shared" si="67"/>
        <v/>
      </c>
      <c r="M172" s="111" t="str">
        <f t="shared" si="68"/>
        <v/>
      </c>
      <c r="N172" s="112" t="str">
        <f t="shared" si="69"/>
        <v/>
      </c>
      <c r="O172" s="112" t="str">
        <f t="shared" si="70"/>
        <v/>
      </c>
      <c r="P172" s="51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3">
        <f t="shared" si="80"/>
        <v>0</v>
      </c>
      <c r="AF172" s="53">
        <f t="shared" si="81"/>
        <v>0</v>
      </c>
      <c r="AG172" s="54"/>
      <c r="AL172" s="41" t="str">
        <f t="shared" si="82"/>
        <v/>
      </c>
      <c r="AM172" s="41">
        <v>163</v>
      </c>
      <c r="AN172" s="41">
        <f t="shared" si="71"/>
        <v>0</v>
      </c>
      <c r="AO172" s="41">
        <f t="shared" si="72"/>
        <v>0</v>
      </c>
      <c r="AP172" s="41">
        <f t="shared" si="73"/>
        <v>0</v>
      </c>
      <c r="AQ172" s="41">
        <f t="shared" si="74"/>
        <v>0</v>
      </c>
      <c r="AR172" s="41">
        <f t="shared" si="75"/>
        <v>0</v>
      </c>
      <c r="AS172" s="41">
        <f t="shared" si="76"/>
        <v>0</v>
      </c>
      <c r="AT172" s="41">
        <f t="shared" si="77"/>
        <v>0</v>
      </c>
      <c r="AU172" s="55">
        <f t="shared" si="78"/>
        <v>0</v>
      </c>
      <c r="AW172" s="41">
        <f t="shared" si="83"/>
        <v>0</v>
      </c>
      <c r="AX172" s="41">
        <f t="shared" si="84"/>
        <v>0</v>
      </c>
      <c r="AY172" s="41">
        <f t="shared" si="85"/>
        <v>0</v>
      </c>
      <c r="AZ172" s="41">
        <f t="shared" si="86"/>
        <v>0</v>
      </c>
      <c r="BA172" s="41">
        <f t="shared" si="87"/>
        <v>0</v>
      </c>
      <c r="BB172" s="41">
        <f t="shared" si="88"/>
        <v>0</v>
      </c>
      <c r="BC172" s="41">
        <f t="shared" si="89"/>
        <v>0</v>
      </c>
      <c r="BD172" s="55">
        <f t="shared" si="90"/>
        <v>0</v>
      </c>
      <c r="BF172" s="41">
        <f t="shared" si="79"/>
        <v>0</v>
      </c>
    </row>
    <row r="173" spans="1:58" ht="13.5">
      <c r="A173" s="41" t="str">
        <f>IF(Base!B171="","",Base!B171)</f>
        <v>08.634.737-7</v>
      </c>
      <c r="B173" s="41" t="str">
        <f>IF(Base!F171="","",Base!F171)</f>
        <v>RAFAEL  RODRIGUEZ  CISTERNA</v>
      </c>
      <c r="C173" s="41" t="str">
        <f>IF(Base!I171="","",Base!I171)</f>
        <v>Linea 2</v>
      </c>
      <c r="D173" s="42" t="str">
        <f>IF(Base!J171="","",Base!J171)</f>
        <v>Despalletizador</v>
      </c>
      <c r="E173" s="41">
        <f>IF(Base!H171="","",Base!H171)</f>
        <v>1050553</v>
      </c>
      <c r="J173" s="49">
        <v>163</v>
      </c>
      <c r="K173" s="115"/>
      <c r="L173" s="111" t="str">
        <f t="shared" si="67"/>
        <v/>
      </c>
      <c r="M173" s="111" t="str">
        <f t="shared" si="68"/>
        <v/>
      </c>
      <c r="N173" s="112" t="str">
        <f t="shared" si="69"/>
        <v/>
      </c>
      <c r="O173" s="112" t="str">
        <f t="shared" si="70"/>
        <v/>
      </c>
      <c r="P173" s="51"/>
      <c r="Q173" s="56"/>
      <c r="R173" s="49"/>
      <c r="S173" s="56"/>
      <c r="T173" s="49"/>
      <c r="U173" s="56"/>
      <c r="V173" s="49"/>
      <c r="W173" s="56"/>
      <c r="X173" s="49"/>
      <c r="Y173" s="56"/>
      <c r="Z173" s="49"/>
      <c r="AA173" s="56"/>
      <c r="AB173" s="49"/>
      <c r="AC173" s="56"/>
      <c r="AD173" s="49"/>
      <c r="AE173" s="53">
        <f t="shared" si="80"/>
        <v>0</v>
      </c>
      <c r="AF173" s="53">
        <f t="shared" si="81"/>
        <v>0</v>
      </c>
      <c r="AG173" s="54"/>
      <c r="AL173" s="41" t="str">
        <f t="shared" si="82"/>
        <v/>
      </c>
      <c r="AM173" s="41">
        <v>164</v>
      </c>
      <c r="AN173" s="41">
        <f t="shared" si="71"/>
        <v>0</v>
      </c>
      <c r="AO173" s="41">
        <f t="shared" si="72"/>
        <v>0</v>
      </c>
      <c r="AP173" s="41">
        <f t="shared" si="73"/>
        <v>0</v>
      </c>
      <c r="AQ173" s="41">
        <f t="shared" si="74"/>
        <v>0</v>
      </c>
      <c r="AR173" s="41">
        <f t="shared" si="75"/>
        <v>0</v>
      </c>
      <c r="AS173" s="41">
        <f t="shared" si="76"/>
        <v>0</v>
      </c>
      <c r="AT173" s="41">
        <f t="shared" si="77"/>
        <v>0</v>
      </c>
      <c r="AU173" s="55">
        <f t="shared" si="78"/>
        <v>0</v>
      </c>
      <c r="AW173" s="41">
        <f t="shared" si="83"/>
        <v>0</v>
      </c>
      <c r="AX173" s="41">
        <f t="shared" si="84"/>
        <v>0</v>
      </c>
      <c r="AY173" s="41">
        <f t="shared" si="85"/>
        <v>0</v>
      </c>
      <c r="AZ173" s="41">
        <f t="shared" si="86"/>
        <v>0</v>
      </c>
      <c r="BA173" s="41">
        <f t="shared" si="87"/>
        <v>0</v>
      </c>
      <c r="BB173" s="41">
        <f t="shared" si="88"/>
        <v>0</v>
      </c>
      <c r="BC173" s="41">
        <f t="shared" si="89"/>
        <v>0</v>
      </c>
      <c r="BD173" s="55">
        <f t="shared" si="90"/>
        <v>0</v>
      </c>
      <c r="BF173" s="41">
        <f t="shared" si="79"/>
        <v>0</v>
      </c>
    </row>
    <row r="174" spans="1:58" ht="13.5">
      <c r="A174" s="41" t="str">
        <f>IF(Base!B172="","",Base!B172)</f>
        <v>09.485.526-8</v>
      </c>
      <c r="B174" s="41" t="str">
        <f>IF(Base!F172="","",Base!F172)</f>
        <v>LUIS ALBERTO  ROJAS  GONZALEZ</v>
      </c>
      <c r="C174" s="41" t="str">
        <f>IF(Base!I172="","",Base!I172)</f>
        <v>Abastecimiento</v>
      </c>
      <c r="D174" s="42" t="str">
        <f>IF(Base!J172="","",Base!J172)</f>
        <v>Preparación de Insum</v>
      </c>
      <c r="E174" s="41">
        <f>IF(Base!H172="","",Base!H172)</f>
        <v>1050127</v>
      </c>
      <c r="J174" s="49">
        <v>164</v>
      </c>
      <c r="K174" s="115"/>
      <c r="L174" s="111" t="str">
        <f t="shared" si="67"/>
        <v/>
      </c>
      <c r="M174" s="111" t="str">
        <f t="shared" si="68"/>
        <v/>
      </c>
      <c r="N174" s="112" t="str">
        <f t="shared" si="69"/>
        <v/>
      </c>
      <c r="O174" s="112" t="str">
        <f t="shared" si="70"/>
        <v/>
      </c>
      <c r="P174" s="51"/>
      <c r="Q174" s="56"/>
      <c r="R174" s="49"/>
      <c r="S174" s="56"/>
      <c r="T174" s="49"/>
      <c r="U174" s="56"/>
      <c r="V174" s="49"/>
      <c r="W174" s="56"/>
      <c r="X174" s="49"/>
      <c r="Y174" s="56"/>
      <c r="Z174" s="49"/>
      <c r="AA174" s="56"/>
      <c r="AB174" s="49"/>
      <c r="AC174" s="56"/>
      <c r="AD174" s="49"/>
      <c r="AE174" s="53">
        <f t="shared" si="80"/>
        <v>0</v>
      </c>
      <c r="AF174" s="53">
        <f t="shared" si="81"/>
        <v>0</v>
      </c>
      <c r="AG174" s="54"/>
      <c r="AL174" s="41" t="str">
        <f t="shared" si="82"/>
        <v/>
      </c>
      <c r="AM174" s="41">
        <v>165</v>
      </c>
      <c r="AN174" s="41">
        <f t="shared" si="71"/>
        <v>0</v>
      </c>
      <c r="AO174" s="41">
        <f t="shared" si="72"/>
        <v>0</v>
      </c>
      <c r="AP174" s="41">
        <f t="shared" si="73"/>
        <v>0</v>
      </c>
      <c r="AQ174" s="41">
        <f t="shared" si="74"/>
        <v>0</v>
      </c>
      <c r="AR174" s="41">
        <f t="shared" si="75"/>
        <v>0</v>
      </c>
      <c r="AS174" s="41">
        <f t="shared" si="76"/>
        <v>0</v>
      </c>
      <c r="AT174" s="41">
        <f t="shared" si="77"/>
        <v>0</v>
      </c>
      <c r="AU174" s="55">
        <f t="shared" si="78"/>
        <v>0</v>
      </c>
      <c r="AW174" s="41">
        <f t="shared" si="83"/>
        <v>0</v>
      </c>
      <c r="AX174" s="41">
        <f t="shared" si="84"/>
        <v>0</v>
      </c>
      <c r="AY174" s="41">
        <f t="shared" si="85"/>
        <v>0</v>
      </c>
      <c r="AZ174" s="41">
        <f t="shared" si="86"/>
        <v>0</v>
      </c>
      <c r="BA174" s="41">
        <f t="shared" si="87"/>
        <v>0</v>
      </c>
      <c r="BB174" s="41">
        <f t="shared" si="88"/>
        <v>0</v>
      </c>
      <c r="BC174" s="41">
        <f t="shared" si="89"/>
        <v>0</v>
      </c>
      <c r="BD174" s="55">
        <f t="shared" si="90"/>
        <v>0</v>
      </c>
      <c r="BF174" s="41">
        <f t="shared" si="79"/>
        <v>0</v>
      </c>
    </row>
    <row r="175" spans="1:58" ht="13.5">
      <c r="A175" s="41" t="str">
        <f>IF(Base!B173="","",Base!B173)</f>
        <v>17.245.009-1</v>
      </c>
      <c r="B175" s="41" t="str">
        <f>IF(Base!F173="","",Base!F173)</f>
        <v>RODRIGO ALEJANDRO  ROJAS  SALAMANCA</v>
      </c>
      <c r="C175" s="41" t="str">
        <f>IF(Base!I173="","",Base!I173)</f>
        <v>Abastecimiento</v>
      </c>
      <c r="D175" s="42" t="str">
        <f>IF(Base!J173="","",Base!J173)</f>
        <v>Almacen Insumos Pque</v>
      </c>
      <c r="E175" s="41">
        <f>IF(Base!H173="","",Base!H173)</f>
        <v>1050581</v>
      </c>
      <c r="J175" s="49">
        <v>165</v>
      </c>
      <c r="K175" s="115"/>
      <c r="L175" s="111" t="str">
        <f t="shared" si="67"/>
        <v/>
      </c>
      <c r="M175" s="111" t="str">
        <f t="shared" si="68"/>
        <v/>
      </c>
      <c r="N175" s="112" t="str">
        <f t="shared" si="69"/>
        <v/>
      </c>
      <c r="O175" s="112" t="str">
        <f t="shared" si="70"/>
        <v/>
      </c>
      <c r="P175" s="51"/>
      <c r="Q175" s="56"/>
      <c r="R175" s="49"/>
      <c r="S175" s="56"/>
      <c r="T175" s="49"/>
      <c r="U175" s="56"/>
      <c r="V175" s="49"/>
      <c r="W175" s="56"/>
      <c r="X175" s="49"/>
      <c r="Y175" s="56"/>
      <c r="Z175" s="49"/>
      <c r="AA175" s="56"/>
      <c r="AB175" s="49"/>
      <c r="AC175" s="56"/>
      <c r="AD175" s="49"/>
      <c r="AE175" s="53">
        <f t="shared" si="80"/>
        <v>0</v>
      </c>
      <c r="AF175" s="53">
        <f t="shared" si="81"/>
        <v>0</v>
      </c>
      <c r="AG175" s="54"/>
      <c r="AL175" s="41" t="str">
        <f t="shared" si="82"/>
        <v/>
      </c>
      <c r="AM175" s="41">
        <v>166</v>
      </c>
      <c r="AN175" s="41">
        <f t="shared" si="71"/>
        <v>0</v>
      </c>
      <c r="AO175" s="41">
        <f t="shared" si="72"/>
        <v>0</v>
      </c>
      <c r="AP175" s="41">
        <f t="shared" si="73"/>
        <v>0</v>
      </c>
      <c r="AQ175" s="41">
        <f t="shared" si="74"/>
        <v>0</v>
      </c>
      <c r="AR175" s="41">
        <f t="shared" si="75"/>
        <v>0</v>
      </c>
      <c r="AS175" s="41">
        <f t="shared" si="76"/>
        <v>0</v>
      </c>
      <c r="AT175" s="41">
        <f t="shared" si="77"/>
        <v>0</v>
      </c>
      <c r="AU175" s="55">
        <f t="shared" si="78"/>
        <v>0</v>
      </c>
      <c r="AW175" s="41">
        <f t="shared" si="83"/>
        <v>0</v>
      </c>
      <c r="AX175" s="41">
        <f t="shared" si="84"/>
        <v>0</v>
      </c>
      <c r="AY175" s="41">
        <f t="shared" si="85"/>
        <v>0</v>
      </c>
      <c r="AZ175" s="41">
        <f t="shared" si="86"/>
        <v>0</v>
      </c>
      <c r="BA175" s="41">
        <f t="shared" si="87"/>
        <v>0</v>
      </c>
      <c r="BB175" s="41">
        <f t="shared" si="88"/>
        <v>0</v>
      </c>
      <c r="BC175" s="41">
        <f t="shared" si="89"/>
        <v>0</v>
      </c>
      <c r="BD175" s="55">
        <f t="shared" si="90"/>
        <v>0</v>
      </c>
      <c r="BF175" s="41">
        <f t="shared" si="79"/>
        <v>0</v>
      </c>
    </row>
    <row r="176" spans="1:58" ht="13.5">
      <c r="A176" s="41" t="str">
        <f>IF(Base!B174="","",Base!B174)</f>
        <v>09.839.411-7</v>
      </c>
      <c r="B176" s="41" t="str">
        <f>IF(Base!F174="","",Base!F174)</f>
        <v>VICTOR MANUEL  RUBIO  AYALA</v>
      </c>
      <c r="C176" s="41" t="str">
        <f>IF(Base!I174="","",Base!I174)</f>
        <v>Supervisor</v>
      </c>
      <c r="D176" s="42" t="str">
        <f>IF(Base!J174="","",Base!J174)</f>
        <v>Supervisor</v>
      </c>
      <c r="E176" s="41">
        <f>IF(Base!H174="","",Base!H174)</f>
        <v>1050603</v>
      </c>
      <c r="J176" s="49">
        <v>166</v>
      </c>
      <c r="K176" s="115"/>
      <c r="L176" s="111" t="str">
        <f t="shared" si="67"/>
        <v/>
      </c>
      <c r="M176" s="111" t="str">
        <f t="shared" si="68"/>
        <v/>
      </c>
      <c r="N176" s="112" t="str">
        <f t="shared" si="69"/>
        <v/>
      </c>
      <c r="O176" s="112" t="str">
        <f t="shared" si="70"/>
        <v/>
      </c>
      <c r="P176" s="51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3">
        <f t="shared" si="80"/>
        <v>0</v>
      </c>
      <c r="AF176" s="53">
        <f t="shared" si="81"/>
        <v>0</v>
      </c>
      <c r="AG176" s="54"/>
      <c r="AL176" s="41" t="str">
        <f t="shared" si="82"/>
        <v/>
      </c>
      <c r="AM176" s="41">
        <v>167</v>
      </c>
      <c r="AN176" s="41">
        <f t="shared" si="71"/>
        <v>0</v>
      </c>
      <c r="AO176" s="41">
        <f t="shared" si="72"/>
        <v>0</v>
      </c>
      <c r="AP176" s="41">
        <f t="shared" si="73"/>
        <v>0</v>
      </c>
      <c r="AQ176" s="41">
        <f t="shared" si="74"/>
        <v>0</v>
      </c>
      <c r="AR176" s="41">
        <f t="shared" si="75"/>
        <v>0</v>
      </c>
      <c r="AS176" s="41">
        <f t="shared" si="76"/>
        <v>0</v>
      </c>
      <c r="AT176" s="41">
        <f t="shared" si="77"/>
        <v>0</v>
      </c>
      <c r="AU176" s="55">
        <f t="shared" si="78"/>
        <v>0</v>
      </c>
      <c r="AW176" s="41">
        <f t="shared" si="83"/>
        <v>0</v>
      </c>
      <c r="AX176" s="41">
        <f t="shared" si="84"/>
        <v>0</v>
      </c>
      <c r="AY176" s="41">
        <f t="shared" si="85"/>
        <v>0</v>
      </c>
      <c r="AZ176" s="41">
        <f t="shared" si="86"/>
        <v>0</v>
      </c>
      <c r="BA176" s="41">
        <f t="shared" si="87"/>
        <v>0</v>
      </c>
      <c r="BB176" s="41">
        <f t="shared" si="88"/>
        <v>0</v>
      </c>
      <c r="BC176" s="41">
        <f t="shared" si="89"/>
        <v>0</v>
      </c>
      <c r="BD176" s="55">
        <f t="shared" si="90"/>
        <v>0</v>
      </c>
      <c r="BF176" s="41">
        <f t="shared" si="79"/>
        <v>0</v>
      </c>
    </row>
    <row r="177" spans="1:58" ht="13.5">
      <c r="A177" s="41" t="str">
        <f>IF(Base!B175="","",Base!B175)</f>
        <v>07.916.907-2</v>
      </c>
      <c r="B177" s="41" t="str">
        <f>IF(Base!F175="","",Base!F175)</f>
        <v>MARCOS A  RUBIO  CASTRO</v>
      </c>
      <c r="C177" s="41" t="str">
        <f>IF(Base!I175="","",Base!I175)</f>
        <v>Monitor Llenado</v>
      </c>
      <c r="D177" s="42" t="str">
        <f>IF(Base!J175="","",Base!J175)</f>
        <v>Monitor Llenado</v>
      </c>
      <c r="E177" s="41">
        <f>IF(Base!H175="","",Base!H175)</f>
        <v>1050604</v>
      </c>
      <c r="J177" s="49">
        <v>167</v>
      </c>
      <c r="K177" s="115"/>
      <c r="L177" s="111" t="str">
        <f t="shared" si="67"/>
        <v/>
      </c>
      <c r="M177" s="111" t="str">
        <f t="shared" si="68"/>
        <v/>
      </c>
      <c r="N177" s="112" t="str">
        <f t="shared" si="69"/>
        <v/>
      </c>
      <c r="O177" s="112" t="str">
        <f t="shared" si="70"/>
        <v/>
      </c>
      <c r="P177" s="51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3">
        <f t="shared" si="80"/>
        <v>0</v>
      </c>
      <c r="AF177" s="53">
        <f t="shared" si="81"/>
        <v>0</v>
      </c>
      <c r="AG177" s="54"/>
      <c r="AL177" s="41" t="str">
        <f t="shared" si="82"/>
        <v/>
      </c>
      <c r="AM177" s="41">
        <v>168</v>
      </c>
      <c r="AN177" s="41">
        <f t="shared" si="71"/>
        <v>0</v>
      </c>
      <c r="AO177" s="41">
        <f t="shared" si="72"/>
        <v>0</v>
      </c>
      <c r="AP177" s="41">
        <f t="shared" si="73"/>
        <v>0</v>
      </c>
      <c r="AQ177" s="41">
        <f t="shared" si="74"/>
        <v>0</v>
      </c>
      <c r="AR177" s="41">
        <f t="shared" si="75"/>
        <v>0</v>
      </c>
      <c r="AS177" s="41">
        <f t="shared" si="76"/>
        <v>0</v>
      </c>
      <c r="AT177" s="41">
        <f t="shared" si="77"/>
        <v>0</v>
      </c>
      <c r="AU177" s="55">
        <f t="shared" si="78"/>
        <v>0</v>
      </c>
      <c r="AW177" s="41">
        <f t="shared" si="83"/>
        <v>0</v>
      </c>
      <c r="AX177" s="41">
        <f t="shared" si="84"/>
        <v>0</v>
      </c>
      <c r="AY177" s="41">
        <f t="shared" si="85"/>
        <v>0</v>
      </c>
      <c r="AZ177" s="41">
        <f t="shared" si="86"/>
        <v>0</v>
      </c>
      <c r="BA177" s="41">
        <f t="shared" si="87"/>
        <v>0</v>
      </c>
      <c r="BB177" s="41">
        <f t="shared" si="88"/>
        <v>0</v>
      </c>
      <c r="BC177" s="41">
        <f t="shared" si="89"/>
        <v>0</v>
      </c>
      <c r="BD177" s="55">
        <f t="shared" si="90"/>
        <v>0</v>
      </c>
      <c r="BF177" s="41">
        <f t="shared" si="79"/>
        <v>0</v>
      </c>
    </row>
    <row r="178" spans="1:58" ht="13.5">
      <c r="A178" s="41" t="str">
        <f>IF(Base!B176="","",Base!B176)</f>
        <v>14.383.969-9</v>
      </c>
      <c r="B178" s="41" t="str">
        <f>IF(Base!F176="","",Base!F176)</f>
        <v>AMERICO ANDRES  RUBIO  GUZMAN</v>
      </c>
      <c r="C178" s="41" t="str">
        <f>IF(Base!I176="","",Base!I176)</f>
        <v xml:space="preserve">Setup </v>
      </c>
      <c r="D178" s="42" t="str">
        <f>IF(Base!J176="","",Base!J176)</f>
        <v xml:space="preserve">Setup </v>
      </c>
      <c r="E178" s="41">
        <f>IF(Base!H176="","",Base!H176)</f>
        <v>1050529</v>
      </c>
      <c r="J178" s="49">
        <v>168</v>
      </c>
      <c r="K178" s="115"/>
      <c r="L178" s="111" t="str">
        <f t="shared" si="67"/>
        <v/>
      </c>
      <c r="M178" s="111" t="str">
        <f t="shared" si="68"/>
        <v/>
      </c>
      <c r="N178" s="112" t="str">
        <f t="shared" si="69"/>
        <v/>
      </c>
      <c r="O178" s="112" t="str">
        <f t="shared" si="70"/>
        <v/>
      </c>
      <c r="P178" s="51"/>
      <c r="Q178" s="56"/>
      <c r="R178" s="49"/>
      <c r="S178" s="56"/>
      <c r="T178" s="49"/>
      <c r="U178" s="56"/>
      <c r="V178" s="49"/>
      <c r="W178" s="56"/>
      <c r="X178" s="49"/>
      <c r="Y178" s="56"/>
      <c r="Z178" s="49"/>
      <c r="AA178" s="56"/>
      <c r="AB178" s="49"/>
      <c r="AC178" s="56"/>
      <c r="AD178" s="49"/>
      <c r="AE178" s="53">
        <f t="shared" si="80"/>
        <v>0</v>
      </c>
      <c r="AF178" s="53">
        <f t="shared" si="81"/>
        <v>0</v>
      </c>
      <c r="AG178" s="54"/>
      <c r="AL178" s="41" t="str">
        <f t="shared" si="82"/>
        <v/>
      </c>
      <c r="AM178" s="41">
        <v>169</v>
      </c>
      <c r="AN178" s="41">
        <f t="shared" si="71"/>
        <v>0</v>
      </c>
      <c r="AO178" s="41">
        <f t="shared" si="72"/>
        <v>0</v>
      </c>
      <c r="AP178" s="41">
        <f t="shared" si="73"/>
        <v>0</v>
      </c>
      <c r="AQ178" s="41">
        <f t="shared" si="74"/>
        <v>0</v>
      </c>
      <c r="AR178" s="41">
        <f t="shared" si="75"/>
        <v>0</v>
      </c>
      <c r="AS178" s="41">
        <f t="shared" si="76"/>
        <v>0</v>
      </c>
      <c r="AT178" s="41">
        <f t="shared" si="77"/>
        <v>0</v>
      </c>
      <c r="AU178" s="55">
        <f t="shared" si="78"/>
        <v>0</v>
      </c>
      <c r="AW178" s="41">
        <f t="shared" si="83"/>
        <v>0</v>
      </c>
      <c r="AX178" s="41">
        <f t="shared" si="84"/>
        <v>0</v>
      </c>
      <c r="AY178" s="41">
        <f t="shared" si="85"/>
        <v>0</v>
      </c>
      <c r="AZ178" s="41">
        <f t="shared" si="86"/>
        <v>0</v>
      </c>
      <c r="BA178" s="41">
        <f t="shared" si="87"/>
        <v>0</v>
      </c>
      <c r="BB178" s="41">
        <f t="shared" si="88"/>
        <v>0</v>
      </c>
      <c r="BC178" s="41">
        <f t="shared" si="89"/>
        <v>0</v>
      </c>
      <c r="BD178" s="55">
        <f t="shared" si="90"/>
        <v>0</v>
      </c>
      <c r="BF178" s="41">
        <f t="shared" si="79"/>
        <v>0</v>
      </c>
    </row>
    <row r="179" spans="1:58" ht="13.5">
      <c r="A179" s="41" t="str">
        <f>IF(Base!B177="","",Base!B177)</f>
        <v>11.657.838-7</v>
      </c>
      <c r="B179" s="41" t="str">
        <f>IF(Base!F177="","",Base!F177)</f>
        <v>JUAN RAMON  SALAMANCA  VIDAL</v>
      </c>
      <c r="C179" s="41" t="str">
        <f>IF(Base!I177="","",Base!I177)</f>
        <v>Abastecimiento</v>
      </c>
      <c r="D179" s="42" t="str">
        <f>IF(Base!J177="","",Base!J177)</f>
        <v>Preparación de Insum</v>
      </c>
      <c r="E179" s="41">
        <f>IF(Base!H177="","",Base!H177)</f>
        <v>1050127</v>
      </c>
      <c r="J179" s="49">
        <v>169</v>
      </c>
      <c r="K179" s="115"/>
      <c r="L179" s="111" t="str">
        <f t="shared" si="67"/>
        <v/>
      </c>
      <c r="M179" s="111" t="str">
        <f t="shared" si="68"/>
        <v/>
      </c>
      <c r="N179" s="112" t="str">
        <f t="shared" si="69"/>
        <v/>
      </c>
      <c r="O179" s="112" t="str">
        <f t="shared" si="70"/>
        <v/>
      </c>
      <c r="P179" s="51"/>
      <c r="Q179" s="56"/>
      <c r="R179" s="49"/>
      <c r="S179" s="56"/>
      <c r="T179" s="49"/>
      <c r="U179" s="56"/>
      <c r="V179" s="49"/>
      <c r="W179" s="56"/>
      <c r="X179" s="49"/>
      <c r="Y179" s="56"/>
      <c r="Z179" s="49"/>
      <c r="AA179" s="56"/>
      <c r="AB179" s="49"/>
      <c r="AC179" s="56"/>
      <c r="AD179" s="49"/>
      <c r="AE179" s="53">
        <f t="shared" si="80"/>
        <v>0</v>
      </c>
      <c r="AF179" s="53">
        <f t="shared" si="81"/>
        <v>0</v>
      </c>
      <c r="AG179" s="54"/>
      <c r="AL179" s="41" t="str">
        <f t="shared" si="82"/>
        <v/>
      </c>
      <c r="AM179" s="41">
        <v>170</v>
      </c>
      <c r="AN179" s="41">
        <f t="shared" si="71"/>
        <v>0</v>
      </c>
      <c r="AO179" s="41">
        <f t="shared" si="72"/>
        <v>0</v>
      </c>
      <c r="AP179" s="41">
        <f t="shared" si="73"/>
        <v>0</v>
      </c>
      <c r="AQ179" s="41">
        <f t="shared" si="74"/>
        <v>0</v>
      </c>
      <c r="AR179" s="41">
        <f t="shared" si="75"/>
        <v>0</v>
      </c>
      <c r="AS179" s="41">
        <f t="shared" si="76"/>
        <v>0</v>
      </c>
      <c r="AT179" s="41">
        <f t="shared" si="77"/>
        <v>0</v>
      </c>
      <c r="AU179" s="55">
        <f t="shared" si="78"/>
        <v>0</v>
      </c>
      <c r="AW179" s="41">
        <f t="shared" si="83"/>
        <v>0</v>
      </c>
      <c r="AX179" s="41">
        <f t="shared" si="84"/>
        <v>0</v>
      </c>
      <c r="AY179" s="41">
        <f t="shared" si="85"/>
        <v>0</v>
      </c>
      <c r="AZ179" s="41">
        <f t="shared" si="86"/>
        <v>0</v>
      </c>
      <c r="BA179" s="41">
        <f t="shared" si="87"/>
        <v>0</v>
      </c>
      <c r="BB179" s="41">
        <f t="shared" si="88"/>
        <v>0</v>
      </c>
      <c r="BC179" s="41">
        <f t="shared" si="89"/>
        <v>0</v>
      </c>
      <c r="BD179" s="55">
        <f t="shared" si="90"/>
        <v>0</v>
      </c>
      <c r="BF179" s="41">
        <f t="shared" si="79"/>
        <v>0</v>
      </c>
    </row>
    <row r="180" spans="1:58" ht="13.5">
      <c r="A180" s="41" t="str">
        <f>IF(Base!B178="","",Base!B178)</f>
        <v>07.832.770-7</v>
      </c>
      <c r="B180" s="41" t="str">
        <f>IF(Base!F178="","",Base!F178)</f>
        <v>MIGUEL  SALAS  VALENZUELA</v>
      </c>
      <c r="C180" s="41" t="str">
        <f>IF(Base!I178="","",Base!I178)</f>
        <v>Linea 7</v>
      </c>
      <c r="D180" s="42" t="str">
        <f>IF(Base!J178="","",Base!J178)</f>
        <v>Embalador</v>
      </c>
      <c r="E180" s="41">
        <f>IF(Base!H178="","",Base!H178)</f>
        <v>1050616</v>
      </c>
      <c r="J180" s="49">
        <v>170</v>
      </c>
      <c r="K180" s="115"/>
      <c r="L180" s="111" t="str">
        <f t="shared" si="67"/>
        <v/>
      </c>
      <c r="M180" s="111" t="str">
        <f t="shared" si="68"/>
        <v/>
      </c>
      <c r="N180" s="112" t="str">
        <f t="shared" si="69"/>
        <v/>
      </c>
      <c r="O180" s="112" t="str">
        <f t="shared" si="70"/>
        <v/>
      </c>
      <c r="P180" s="51"/>
      <c r="Q180" s="56"/>
      <c r="R180" s="49"/>
      <c r="S180" s="56"/>
      <c r="T180" s="49"/>
      <c r="U180" s="56"/>
      <c r="V180" s="49"/>
      <c r="W180" s="56"/>
      <c r="X180" s="49"/>
      <c r="Y180" s="56"/>
      <c r="Z180" s="49"/>
      <c r="AA180" s="56"/>
      <c r="AB180" s="49"/>
      <c r="AC180" s="56"/>
      <c r="AD180" s="49"/>
      <c r="AE180" s="53">
        <f t="shared" si="80"/>
        <v>0</v>
      </c>
      <c r="AF180" s="53">
        <f t="shared" si="81"/>
        <v>0</v>
      </c>
      <c r="AG180" s="54"/>
      <c r="AL180" s="41" t="str">
        <f t="shared" si="82"/>
        <v/>
      </c>
      <c r="AM180" s="41">
        <v>171</v>
      </c>
      <c r="AN180" s="41">
        <f t="shared" si="71"/>
        <v>0</v>
      </c>
      <c r="AO180" s="41">
        <f t="shared" si="72"/>
        <v>0</v>
      </c>
      <c r="AP180" s="41">
        <f t="shared" si="73"/>
        <v>0</v>
      </c>
      <c r="AQ180" s="41">
        <f t="shared" si="74"/>
        <v>0</v>
      </c>
      <c r="AR180" s="41">
        <f t="shared" si="75"/>
        <v>0</v>
      </c>
      <c r="AS180" s="41">
        <f t="shared" si="76"/>
        <v>0</v>
      </c>
      <c r="AT180" s="41">
        <f t="shared" si="77"/>
        <v>0</v>
      </c>
      <c r="AU180" s="55">
        <f t="shared" si="78"/>
        <v>0</v>
      </c>
      <c r="AW180" s="41">
        <f t="shared" si="83"/>
        <v>0</v>
      </c>
      <c r="AX180" s="41">
        <f t="shared" si="84"/>
        <v>0</v>
      </c>
      <c r="AY180" s="41">
        <f t="shared" si="85"/>
        <v>0</v>
      </c>
      <c r="AZ180" s="41">
        <f t="shared" si="86"/>
        <v>0</v>
      </c>
      <c r="BA180" s="41">
        <f t="shared" si="87"/>
        <v>0</v>
      </c>
      <c r="BB180" s="41">
        <f t="shared" si="88"/>
        <v>0</v>
      </c>
      <c r="BC180" s="41">
        <f t="shared" si="89"/>
        <v>0</v>
      </c>
      <c r="BD180" s="55">
        <f t="shared" si="90"/>
        <v>0</v>
      </c>
      <c r="BF180" s="41">
        <f t="shared" si="79"/>
        <v>0</v>
      </c>
    </row>
    <row r="181" spans="1:58" ht="13.5">
      <c r="A181" s="41" t="str">
        <f>IF(Base!B179="","",Base!B179)</f>
        <v>12.647.009-6</v>
      </c>
      <c r="B181" s="41" t="str">
        <f>IF(Base!F179="","",Base!F179)</f>
        <v>PAULO  SALAZAR  FREYHOFER</v>
      </c>
      <c r="C181" s="41" t="str">
        <f>IF(Base!I179="","",Base!I179)</f>
        <v>Abastecimiento</v>
      </c>
      <c r="D181" s="42" t="str">
        <f>IF(Base!J179="","",Base!J179)</f>
        <v>Supervisor Almacen Insumos</v>
      </c>
      <c r="E181" s="41">
        <f>IF(Base!H179="","",Base!H179)</f>
        <v>1050581</v>
      </c>
      <c r="J181" s="49">
        <v>171</v>
      </c>
      <c r="K181" s="115"/>
      <c r="L181" s="111" t="str">
        <f t="shared" si="67"/>
        <v/>
      </c>
      <c r="M181" s="111" t="str">
        <f t="shared" si="68"/>
        <v/>
      </c>
      <c r="N181" s="112" t="str">
        <f t="shared" si="69"/>
        <v/>
      </c>
      <c r="O181" s="112" t="str">
        <f t="shared" si="70"/>
        <v/>
      </c>
      <c r="P181" s="51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3">
        <f t="shared" si="80"/>
        <v>0</v>
      </c>
      <c r="AF181" s="53">
        <f t="shared" si="81"/>
        <v>0</v>
      </c>
      <c r="AG181" s="54"/>
      <c r="AL181" s="41" t="str">
        <f t="shared" si="82"/>
        <v/>
      </c>
      <c r="AM181" s="41">
        <v>172</v>
      </c>
      <c r="AN181" s="41">
        <f t="shared" si="71"/>
        <v>0</v>
      </c>
      <c r="AO181" s="41">
        <f t="shared" si="72"/>
        <v>0</v>
      </c>
      <c r="AP181" s="41">
        <f t="shared" si="73"/>
        <v>0</v>
      </c>
      <c r="AQ181" s="41">
        <f t="shared" si="74"/>
        <v>0</v>
      </c>
      <c r="AR181" s="41">
        <f t="shared" si="75"/>
        <v>0</v>
      </c>
      <c r="AS181" s="41">
        <f t="shared" si="76"/>
        <v>0</v>
      </c>
      <c r="AT181" s="41">
        <f t="shared" si="77"/>
        <v>0</v>
      </c>
      <c r="AU181" s="55">
        <f t="shared" si="78"/>
        <v>0</v>
      </c>
      <c r="AW181" s="41">
        <f t="shared" si="83"/>
        <v>0</v>
      </c>
      <c r="AX181" s="41">
        <f t="shared" si="84"/>
        <v>0</v>
      </c>
      <c r="AY181" s="41">
        <f t="shared" si="85"/>
        <v>0</v>
      </c>
      <c r="AZ181" s="41">
        <f t="shared" si="86"/>
        <v>0</v>
      </c>
      <c r="BA181" s="41">
        <f t="shared" si="87"/>
        <v>0</v>
      </c>
      <c r="BB181" s="41">
        <f t="shared" si="88"/>
        <v>0</v>
      </c>
      <c r="BC181" s="41">
        <f t="shared" si="89"/>
        <v>0</v>
      </c>
      <c r="BD181" s="55">
        <f t="shared" si="90"/>
        <v>0</v>
      </c>
      <c r="BF181" s="41">
        <f t="shared" si="79"/>
        <v>0</v>
      </c>
    </row>
    <row r="182" spans="1:58" ht="13.5">
      <c r="A182" s="41" t="str">
        <f>IF(Base!B180="","",Base!B180)</f>
        <v>07.009.784-2</v>
      </c>
      <c r="B182" s="41" t="str">
        <f>IF(Base!F180="","",Base!F180)</f>
        <v>HECTOR ENRIQUE  SALAZAR  VIDELA</v>
      </c>
      <c r="C182" s="41" t="str">
        <f>IF(Base!I180="","",Base!I180)</f>
        <v>Abastecimiento</v>
      </c>
      <c r="D182" s="42" t="str">
        <f>IF(Base!J180="","",Base!J180)</f>
        <v>Control Ingresos Cen</v>
      </c>
      <c r="E182" s="41">
        <f>IF(Base!H180="","",Base!H180)</f>
        <v>1050126</v>
      </c>
      <c r="J182" s="49">
        <v>172</v>
      </c>
      <c r="K182" s="115"/>
      <c r="L182" s="111" t="str">
        <f t="shared" si="67"/>
        <v/>
      </c>
      <c r="M182" s="111" t="str">
        <f t="shared" si="68"/>
        <v/>
      </c>
      <c r="N182" s="112" t="str">
        <f t="shared" si="69"/>
        <v/>
      </c>
      <c r="O182" s="112" t="str">
        <f t="shared" si="70"/>
        <v/>
      </c>
      <c r="P182" s="51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3">
        <f t="shared" si="80"/>
        <v>0</v>
      </c>
      <c r="AF182" s="53">
        <f t="shared" si="81"/>
        <v>0</v>
      </c>
      <c r="AG182" s="54"/>
      <c r="AL182" s="41" t="str">
        <f t="shared" si="82"/>
        <v/>
      </c>
      <c r="AM182" s="41">
        <v>173</v>
      </c>
      <c r="AN182" s="41">
        <f t="shared" si="71"/>
        <v>0</v>
      </c>
      <c r="AO182" s="41">
        <f t="shared" si="72"/>
        <v>0</v>
      </c>
      <c r="AP182" s="41">
        <f t="shared" si="73"/>
        <v>0</v>
      </c>
      <c r="AQ182" s="41">
        <f t="shared" si="74"/>
        <v>0</v>
      </c>
      <c r="AR182" s="41">
        <f t="shared" si="75"/>
        <v>0</v>
      </c>
      <c r="AS182" s="41">
        <f t="shared" si="76"/>
        <v>0</v>
      </c>
      <c r="AT182" s="41">
        <f t="shared" si="77"/>
        <v>0</v>
      </c>
      <c r="AU182" s="55">
        <f t="shared" si="78"/>
        <v>0</v>
      </c>
      <c r="AW182" s="41">
        <f t="shared" si="83"/>
        <v>0</v>
      </c>
      <c r="AX182" s="41">
        <f t="shared" si="84"/>
        <v>0</v>
      </c>
      <c r="AY182" s="41">
        <f t="shared" si="85"/>
        <v>0</v>
      </c>
      <c r="AZ182" s="41">
        <f t="shared" si="86"/>
        <v>0</v>
      </c>
      <c r="BA182" s="41">
        <f t="shared" si="87"/>
        <v>0</v>
      </c>
      <c r="BB182" s="41">
        <f t="shared" si="88"/>
        <v>0</v>
      </c>
      <c r="BC182" s="41">
        <f t="shared" si="89"/>
        <v>0</v>
      </c>
      <c r="BD182" s="55">
        <f t="shared" si="90"/>
        <v>0</v>
      </c>
      <c r="BF182" s="41">
        <f t="shared" si="79"/>
        <v>0</v>
      </c>
    </row>
    <row r="183" spans="1:58" ht="13.5">
      <c r="A183" s="41" t="str">
        <f>IF(Base!B181="","",Base!B181)</f>
        <v>08.245.727-5</v>
      </c>
      <c r="B183" s="41" t="str">
        <f>IF(Base!F181="","",Base!F181)</f>
        <v>JUAN  SALINAS  CUEVAS</v>
      </c>
      <c r="C183" s="41" t="str">
        <f>IF(Base!I181="","",Base!I181)</f>
        <v>Abastecimiento</v>
      </c>
      <c r="D183" s="42" t="str">
        <f>IF(Base!J181="","",Base!J181)</f>
        <v>Suministro de Líneas</v>
      </c>
      <c r="E183" s="41">
        <f>IF(Base!H181="","",Base!H181)</f>
        <v>1050633</v>
      </c>
      <c r="J183" s="49">
        <v>173</v>
      </c>
      <c r="K183" s="115"/>
      <c r="L183" s="111" t="str">
        <f t="shared" si="67"/>
        <v/>
      </c>
      <c r="M183" s="111" t="str">
        <f t="shared" si="68"/>
        <v/>
      </c>
      <c r="N183" s="112" t="str">
        <f t="shared" si="69"/>
        <v/>
      </c>
      <c r="O183" s="112" t="str">
        <f t="shared" si="70"/>
        <v/>
      </c>
      <c r="P183" s="51"/>
      <c r="Q183" s="56"/>
      <c r="R183" s="49"/>
      <c r="S183" s="56"/>
      <c r="T183" s="49"/>
      <c r="U183" s="56"/>
      <c r="V183" s="49"/>
      <c r="W183" s="56"/>
      <c r="X183" s="49"/>
      <c r="Y183" s="56"/>
      <c r="Z183" s="49"/>
      <c r="AA183" s="56"/>
      <c r="AB183" s="49"/>
      <c r="AC183" s="56"/>
      <c r="AD183" s="49"/>
      <c r="AE183" s="53">
        <f t="shared" si="80"/>
        <v>0</v>
      </c>
      <c r="AF183" s="53">
        <f t="shared" si="81"/>
        <v>0</v>
      </c>
      <c r="AG183" s="54"/>
      <c r="AL183" s="41" t="str">
        <f t="shared" si="82"/>
        <v/>
      </c>
      <c r="AM183" s="41">
        <v>174</v>
      </c>
      <c r="AN183" s="41">
        <f t="shared" si="71"/>
        <v>0</v>
      </c>
      <c r="AO183" s="41">
        <f t="shared" si="72"/>
        <v>0</v>
      </c>
      <c r="AP183" s="41">
        <f t="shared" si="73"/>
        <v>0</v>
      </c>
      <c r="AQ183" s="41">
        <f t="shared" si="74"/>
        <v>0</v>
      </c>
      <c r="AR183" s="41">
        <f t="shared" si="75"/>
        <v>0</v>
      </c>
      <c r="AS183" s="41">
        <f t="shared" si="76"/>
        <v>0</v>
      </c>
      <c r="AT183" s="41">
        <f t="shared" si="77"/>
        <v>0</v>
      </c>
      <c r="AU183" s="55">
        <f t="shared" si="78"/>
        <v>0</v>
      </c>
      <c r="AW183" s="41">
        <f t="shared" si="83"/>
        <v>0</v>
      </c>
      <c r="AX183" s="41">
        <f t="shared" si="84"/>
        <v>0</v>
      </c>
      <c r="AY183" s="41">
        <f t="shared" si="85"/>
        <v>0</v>
      </c>
      <c r="AZ183" s="41">
        <f t="shared" si="86"/>
        <v>0</v>
      </c>
      <c r="BA183" s="41">
        <f t="shared" si="87"/>
        <v>0</v>
      </c>
      <c r="BB183" s="41">
        <f t="shared" si="88"/>
        <v>0</v>
      </c>
      <c r="BC183" s="41">
        <f t="shared" si="89"/>
        <v>0</v>
      </c>
      <c r="BD183" s="55">
        <f t="shared" si="90"/>
        <v>0</v>
      </c>
      <c r="BF183" s="41">
        <f t="shared" si="79"/>
        <v>0</v>
      </c>
    </row>
    <row r="184" spans="1:58" ht="13.5">
      <c r="A184" s="41" t="str">
        <f>IF(Base!B182="","",Base!B182)</f>
        <v>13.638.571-2</v>
      </c>
      <c r="B184" s="41" t="str">
        <f>IF(Base!F182="","",Base!F182)</f>
        <v>EDUARDO  SALINAS  MARIN</v>
      </c>
      <c r="C184" s="41" t="str">
        <f>IF(Base!I182="","",Base!I182)</f>
        <v>Linea 7</v>
      </c>
      <c r="D184" s="42" t="str">
        <f>IF(Base!J182="","",Base!J182)</f>
        <v>Etiquetador</v>
      </c>
      <c r="E184" s="41">
        <f>IF(Base!H182="","",Base!H182)</f>
        <v>1050616</v>
      </c>
      <c r="J184" s="49">
        <v>174</v>
      </c>
      <c r="K184" s="115"/>
      <c r="L184" s="111" t="str">
        <f t="shared" si="67"/>
        <v/>
      </c>
      <c r="M184" s="111" t="str">
        <f t="shared" si="68"/>
        <v/>
      </c>
      <c r="N184" s="112" t="str">
        <f t="shared" si="69"/>
        <v/>
      </c>
      <c r="O184" s="112" t="str">
        <f t="shared" si="70"/>
        <v/>
      </c>
      <c r="P184" s="51"/>
      <c r="Q184" s="56"/>
      <c r="R184" s="49"/>
      <c r="S184" s="56"/>
      <c r="T184" s="49"/>
      <c r="U184" s="56"/>
      <c r="V184" s="49"/>
      <c r="W184" s="56"/>
      <c r="X184" s="49"/>
      <c r="Y184" s="56"/>
      <c r="Z184" s="49"/>
      <c r="AA184" s="56"/>
      <c r="AB184" s="49"/>
      <c r="AC184" s="56"/>
      <c r="AD184" s="49"/>
      <c r="AE184" s="53">
        <f t="shared" si="80"/>
        <v>0</v>
      </c>
      <c r="AF184" s="53">
        <f t="shared" si="81"/>
        <v>0</v>
      </c>
      <c r="AG184" s="54"/>
      <c r="AL184" s="41" t="str">
        <f t="shared" si="82"/>
        <v/>
      </c>
      <c r="AM184" s="41">
        <v>175</v>
      </c>
      <c r="AN184" s="41">
        <f t="shared" si="71"/>
        <v>0</v>
      </c>
      <c r="AO184" s="41">
        <f t="shared" si="72"/>
        <v>0</v>
      </c>
      <c r="AP184" s="41">
        <f t="shared" si="73"/>
        <v>0</v>
      </c>
      <c r="AQ184" s="41">
        <f t="shared" si="74"/>
        <v>0</v>
      </c>
      <c r="AR184" s="41">
        <f t="shared" si="75"/>
        <v>0</v>
      </c>
      <c r="AS184" s="41">
        <f t="shared" si="76"/>
        <v>0</v>
      </c>
      <c r="AT184" s="41">
        <f t="shared" si="77"/>
        <v>0</v>
      </c>
      <c r="AU184" s="55">
        <f t="shared" si="78"/>
        <v>0</v>
      </c>
      <c r="AW184" s="41">
        <f t="shared" si="83"/>
        <v>0</v>
      </c>
      <c r="AX184" s="41">
        <f t="shared" si="84"/>
        <v>0</v>
      </c>
      <c r="AY184" s="41">
        <f t="shared" si="85"/>
        <v>0</v>
      </c>
      <c r="AZ184" s="41">
        <f t="shared" si="86"/>
        <v>0</v>
      </c>
      <c r="BA184" s="41">
        <f t="shared" si="87"/>
        <v>0</v>
      </c>
      <c r="BB184" s="41">
        <f t="shared" si="88"/>
        <v>0</v>
      </c>
      <c r="BC184" s="41">
        <f t="shared" si="89"/>
        <v>0</v>
      </c>
      <c r="BD184" s="55">
        <f t="shared" si="90"/>
        <v>0</v>
      </c>
      <c r="BF184" s="41">
        <f t="shared" si="79"/>
        <v>0</v>
      </c>
    </row>
    <row r="185" spans="1:58" ht="13.5">
      <c r="A185" s="41" t="str">
        <f>IF(Base!B183="","",Base!B183)</f>
        <v>15.891.790-4</v>
      </c>
      <c r="B185" s="41" t="str">
        <f>IF(Base!F183="","",Base!F183)</f>
        <v>LUIS ALBERTO  SALINAS  SALDIAS</v>
      </c>
      <c r="C185" s="41" t="str">
        <f>IF(Base!I183="","",Base!I183)</f>
        <v>Reprocesos</v>
      </c>
      <c r="D185" s="42" t="str">
        <f>IF(Base!J183="","",Base!J183)</f>
        <v>Encargado</v>
      </c>
      <c r="E185" s="41">
        <f>IF(Base!H183="","",Base!H183)</f>
        <v>1050565</v>
      </c>
      <c r="J185" s="49">
        <v>175</v>
      </c>
      <c r="K185" s="115"/>
      <c r="L185" s="111" t="str">
        <f t="shared" si="67"/>
        <v/>
      </c>
      <c r="M185" s="111" t="str">
        <f t="shared" si="68"/>
        <v/>
      </c>
      <c r="N185" s="112" t="str">
        <f t="shared" si="69"/>
        <v/>
      </c>
      <c r="O185" s="112" t="str">
        <f t="shared" si="70"/>
        <v/>
      </c>
      <c r="P185" s="51"/>
      <c r="Q185" s="56"/>
      <c r="R185" s="49"/>
      <c r="S185" s="56"/>
      <c r="T185" s="49"/>
      <c r="U185" s="56"/>
      <c r="V185" s="49"/>
      <c r="W185" s="56"/>
      <c r="X185" s="49"/>
      <c r="Y185" s="56"/>
      <c r="Z185" s="49"/>
      <c r="AA185" s="56"/>
      <c r="AB185" s="49"/>
      <c r="AC185" s="56"/>
      <c r="AD185" s="49"/>
      <c r="AE185" s="53">
        <f t="shared" si="80"/>
        <v>0</v>
      </c>
      <c r="AF185" s="53">
        <f t="shared" si="81"/>
        <v>0</v>
      </c>
      <c r="AG185" s="54"/>
      <c r="AL185" s="41" t="str">
        <f t="shared" si="82"/>
        <v/>
      </c>
      <c r="AM185" s="41">
        <v>176</v>
      </c>
      <c r="AN185" s="41">
        <f t="shared" si="71"/>
        <v>0</v>
      </c>
      <c r="AO185" s="41">
        <f t="shared" si="72"/>
        <v>0</v>
      </c>
      <c r="AP185" s="41">
        <f t="shared" si="73"/>
        <v>0</v>
      </c>
      <c r="AQ185" s="41">
        <f t="shared" si="74"/>
        <v>0</v>
      </c>
      <c r="AR185" s="41">
        <f t="shared" si="75"/>
        <v>0</v>
      </c>
      <c r="AS185" s="41">
        <f t="shared" si="76"/>
        <v>0</v>
      </c>
      <c r="AT185" s="41">
        <f t="shared" si="77"/>
        <v>0</v>
      </c>
      <c r="AU185" s="55">
        <f t="shared" si="78"/>
        <v>0</v>
      </c>
      <c r="AW185" s="41">
        <f t="shared" si="83"/>
        <v>0</v>
      </c>
      <c r="AX185" s="41">
        <f t="shared" si="84"/>
        <v>0</v>
      </c>
      <c r="AY185" s="41">
        <f t="shared" si="85"/>
        <v>0</v>
      </c>
      <c r="AZ185" s="41">
        <f t="shared" si="86"/>
        <v>0</v>
      </c>
      <c r="BA185" s="41">
        <f t="shared" si="87"/>
        <v>0</v>
      </c>
      <c r="BB185" s="41">
        <f t="shared" si="88"/>
        <v>0</v>
      </c>
      <c r="BC185" s="41">
        <f t="shared" si="89"/>
        <v>0</v>
      </c>
      <c r="BD185" s="55">
        <f t="shared" si="90"/>
        <v>0</v>
      </c>
      <c r="BF185" s="41">
        <f t="shared" si="79"/>
        <v>0</v>
      </c>
    </row>
    <row r="186" spans="1:58" ht="13.5">
      <c r="A186" s="41" t="str">
        <f>IF(Base!B184="","",Base!B184)</f>
        <v>12.500.119-K</v>
      </c>
      <c r="B186" s="41" t="str">
        <f>IF(Base!F184="","",Base!F184)</f>
        <v>FREDDY  SANCHEZ  TORRES</v>
      </c>
      <c r="C186" s="41" t="str">
        <f>IF(Base!I184="","",Base!I184)</f>
        <v>Abastecimiento</v>
      </c>
      <c r="D186" s="42" t="str">
        <f>IF(Base!J184="","",Base!J184)</f>
        <v>Control Inventario I</v>
      </c>
      <c r="E186" s="41">
        <f>IF(Base!H184="","",Base!H184)</f>
        <v>1050161</v>
      </c>
      <c r="J186" s="49">
        <v>176</v>
      </c>
      <c r="K186" s="115"/>
      <c r="L186" s="111" t="str">
        <f t="shared" si="67"/>
        <v/>
      </c>
      <c r="M186" s="111" t="str">
        <f t="shared" si="68"/>
        <v/>
      </c>
      <c r="N186" s="112" t="str">
        <f t="shared" si="69"/>
        <v/>
      </c>
      <c r="O186" s="112" t="str">
        <f t="shared" si="70"/>
        <v/>
      </c>
      <c r="P186" s="51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3">
        <f t="shared" si="80"/>
        <v>0</v>
      </c>
      <c r="AF186" s="53">
        <f t="shared" si="81"/>
        <v>0</v>
      </c>
      <c r="AG186" s="54"/>
      <c r="AL186" s="41" t="str">
        <f t="shared" si="82"/>
        <v/>
      </c>
      <c r="AM186" s="41">
        <v>177</v>
      </c>
      <c r="AN186" s="41">
        <f t="shared" si="71"/>
        <v>0</v>
      </c>
      <c r="AO186" s="41">
        <f t="shared" si="72"/>
        <v>0</v>
      </c>
      <c r="AP186" s="41">
        <f t="shared" si="73"/>
        <v>0</v>
      </c>
      <c r="AQ186" s="41">
        <f t="shared" si="74"/>
        <v>0</v>
      </c>
      <c r="AR186" s="41">
        <f t="shared" si="75"/>
        <v>0</v>
      </c>
      <c r="AS186" s="41">
        <f t="shared" si="76"/>
        <v>0</v>
      </c>
      <c r="AT186" s="41">
        <f t="shared" si="77"/>
        <v>0</v>
      </c>
      <c r="AU186" s="55">
        <f t="shared" si="78"/>
        <v>0</v>
      </c>
      <c r="AW186" s="41">
        <f t="shared" si="83"/>
        <v>0</v>
      </c>
      <c r="AX186" s="41">
        <f t="shared" si="84"/>
        <v>0</v>
      </c>
      <c r="AY186" s="41">
        <f t="shared" si="85"/>
        <v>0</v>
      </c>
      <c r="AZ186" s="41">
        <f t="shared" si="86"/>
        <v>0</v>
      </c>
      <c r="BA186" s="41">
        <f t="shared" si="87"/>
        <v>0</v>
      </c>
      <c r="BB186" s="41">
        <f t="shared" si="88"/>
        <v>0</v>
      </c>
      <c r="BC186" s="41">
        <f t="shared" si="89"/>
        <v>0</v>
      </c>
      <c r="BD186" s="55">
        <f t="shared" si="90"/>
        <v>0</v>
      </c>
      <c r="BF186" s="41">
        <f t="shared" si="79"/>
        <v>0</v>
      </c>
    </row>
    <row r="187" spans="1:58" ht="13.5">
      <c r="A187" s="41" t="str">
        <f>IF(Base!B185="","",Base!B185)</f>
        <v>13.701.209-K</v>
      </c>
      <c r="B187" s="41" t="str">
        <f>IF(Base!F185="","",Base!F185)</f>
        <v>MARCELINO JHONATTAN  SANCHEZ  TORRES</v>
      </c>
      <c r="C187" s="41" t="str">
        <f>IF(Base!I185="","",Base!I185)</f>
        <v>Abastecimiento</v>
      </c>
      <c r="D187" s="42" t="str">
        <f>IF(Base!J185="","",Base!J185)</f>
        <v>Control Ingresos Cen</v>
      </c>
      <c r="E187" s="41">
        <f>IF(Base!H185="","",Base!H185)</f>
        <v>1050126</v>
      </c>
      <c r="J187" s="49">
        <v>177</v>
      </c>
      <c r="K187" s="115"/>
      <c r="L187" s="111" t="str">
        <f t="shared" si="67"/>
        <v/>
      </c>
      <c r="M187" s="111" t="str">
        <f t="shared" si="68"/>
        <v/>
      </c>
      <c r="N187" s="112" t="str">
        <f t="shared" si="69"/>
        <v/>
      </c>
      <c r="O187" s="112" t="str">
        <f t="shared" si="70"/>
        <v/>
      </c>
      <c r="P187" s="51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3">
        <f t="shared" si="80"/>
        <v>0</v>
      </c>
      <c r="AF187" s="53">
        <f t="shared" si="81"/>
        <v>0</v>
      </c>
      <c r="AG187" s="54"/>
      <c r="AL187" s="41" t="str">
        <f t="shared" si="82"/>
        <v/>
      </c>
      <c r="AM187" s="41">
        <v>178</v>
      </c>
      <c r="AN187" s="41">
        <f t="shared" si="71"/>
        <v>0</v>
      </c>
      <c r="AO187" s="41">
        <f t="shared" si="72"/>
        <v>0</v>
      </c>
      <c r="AP187" s="41">
        <f t="shared" si="73"/>
        <v>0</v>
      </c>
      <c r="AQ187" s="41">
        <f t="shared" si="74"/>
        <v>0</v>
      </c>
      <c r="AR187" s="41">
        <f t="shared" si="75"/>
        <v>0</v>
      </c>
      <c r="AS187" s="41">
        <f t="shared" si="76"/>
        <v>0</v>
      </c>
      <c r="AT187" s="41">
        <f t="shared" si="77"/>
        <v>0</v>
      </c>
      <c r="AU187" s="55">
        <f t="shared" si="78"/>
        <v>0</v>
      </c>
      <c r="AW187" s="41">
        <f t="shared" si="83"/>
        <v>0</v>
      </c>
      <c r="AX187" s="41">
        <f t="shared" si="84"/>
        <v>0</v>
      </c>
      <c r="AY187" s="41">
        <f t="shared" si="85"/>
        <v>0</v>
      </c>
      <c r="AZ187" s="41">
        <f t="shared" si="86"/>
        <v>0</v>
      </c>
      <c r="BA187" s="41">
        <f t="shared" si="87"/>
        <v>0</v>
      </c>
      <c r="BB187" s="41">
        <f t="shared" si="88"/>
        <v>0</v>
      </c>
      <c r="BC187" s="41">
        <f t="shared" si="89"/>
        <v>0</v>
      </c>
      <c r="BD187" s="55">
        <f t="shared" si="90"/>
        <v>0</v>
      </c>
      <c r="BF187" s="41">
        <f t="shared" si="79"/>
        <v>0</v>
      </c>
    </row>
    <row r="188" spans="1:58" ht="13.5">
      <c r="A188" s="41" t="str">
        <f>IF(Base!B186="","",Base!B186)</f>
        <v>10.835.391-0</v>
      </c>
      <c r="B188" s="41" t="str">
        <f>IF(Base!F186="","",Base!F186)</f>
        <v>DANIEL PATRICIO  SANCHEZ  VASQUEZ</v>
      </c>
      <c r="C188" s="41" t="str">
        <f>IF(Base!I186="","",Base!I186)</f>
        <v>Abastecimiento</v>
      </c>
      <c r="D188" s="42" t="str">
        <f>IF(Base!J186="","",Base!J186)</f>
        <v>Almacen Insumos Pque</v>
      </c>
      <c r="E188" s="41">
        <f>IF(Base!H186="","",Base!H186)</f>
        <v>1050581</v>
      </c>
      <c r="J188" s="49">
        <v>178</v>
      </c>
      <c r="K188" s="115"/>
      <c r="L188" s="111" t="str">
        <f t="shared" si="67"/>
        <v/>
      </c>
      <c r="M188" s="111" t="str">
        <f t="shared" si="68"/>
        <v/>
      </c>
      <c r="N188" s="112" t="str">
        <f t="shared" si="69"/>
        <v/>
      </c>
      <c r="O188" s="112" t="str">
        <f t="shared" si="70"/>
        <v/>
      </c>
      <c r="P188" s="51"/>
      <c r="Q188" s="56"/>
      <c r="R188" s="49"/>
      <c r="S188" s="56"/>
      <c r="T188" s="49"/>
      <c r="U188" s="56"/>
      <c r="V188" s="49"/>
      <c r="W188" s="56"/>
      <c r="X188" s="49"/>
      <c r="Y188" s="56"/>
      <c r="Z188" s="49"/>
      <c r="AA188" s="56"/>
      <c r="AB188" s="49"/>
      <c r="AC188" s="56"/>
      <c r="AD188" s="49"/>
      <c r="AE188" s="53">
        <f t="shared" si="80"/>
        <v>0</v>
      </c>
      <c r="AF188" s="53">
        <f t="shared" si="81"/>
        <v>0</v>
      </c>
      <c r="AG188" s="54"/>
      <c r="AL188" s="41" t="str">
        <f t="shared" si="82"/>
        <v/>
      </c>
      <c r="AM188" s="41">
        <v>179</v>
      </c>
      <c r="AN188" s="41">
        <f t="shared" si="71"/>
        <v>0</v>
      </c>
      <c r="AO188" s="41">
        <f t="shared" si="72"/>
        <v>0</v>
      </c>
      <c r="AP188" s="41">
        <f t="shared" si="73"/>
        <v>0</v>
      </c>
      <c r="AQ188" s="41">
        <f t="shared" si="74"/>
        <v>0</v>
      </c>
      <c r="AR188" s="41">
        <f t="shared" si="75"/>
        <v>0</v>
      </c>
      <c r="AS188" s="41">
        <f t="shared" si="76"/>
        <v>0</v>
      </c>
      <c r="AT188" s="41">
        <f t="shared" si="77"/>
        <v>0</v>
      </c>
      <c r="AU188" s="55">
        <f t="shared" si="78"/>
        <v>0</v>
      </c>
      <c r="AW188" s="41">
        <f t="shared" si="83"/>
        <v>0</v>
      </c>
      <c r="AX188" s="41">
        <f t="shared" si="84"/>
        <v>0</v>
      </c>
      <c r="AY188" s="41">
        <f t="shared" si="85"/>
        <v>0</v>
      </c>
      <c r="AZ188" s="41">
        <f t="shared" si="86"/>
        <v>0</v>
      </c>
      <c r="BA188" s="41">
        <f t="shared" si="87"/>
        <v>0</v>
      </c>
      <c r="BB188" s="41">
        <f t="shared" si="88"/>
        <v>0</v>
      </c>
      <c r="BC188" s="41">
        <f t="shared" si="89"/>
        <v>0</v>
      </c>
      <c r="BD188" s="55">
        <f t="shared" si="90"/>
        <v>0</v>
      </c>
      <c r="BF188" s="41">
        <f t="shared" si="79"/>
        <v>0</v>
      </c>
    </row>
    <row r="189" spans="1:58" ht="13.5">
      <c r="A189" s="41" t="str">
        <f>IF(Base!B187="","",Base!B187)</f>
        <v>08.618.882-1</v>
      </c>
      <c r="B189" s="41" t="str">
        <f>IF(Base!F187="","",Base!F187)</f>
        <v>VICTOR H.  SANDOVAL  ACUÑA</v>
      </c>
      <c r="C189" s="41" t="str">
        <f>IF(Base!I187="","",Base!I187)</f>
        <v>Abastecimiento</v>
      </c>
      <c r="D189" s="42" t="str">
        <f>IF(Base!J187="","",Base!J187)</f>
        <v>Suministro de Líneas</v>
      </c>
      <c r="E189" s="41">
        <f>IF(Base!H187="","",Base!H187)</f>
        <v>1050633</v>
      </c>
      <c r="J189" s="49">
        <v>179</v>
      </c>
      <c r="K189" s="115"/>
      <c r="L189" s="111" t="str">
        <f t="shared" si="67"/>
        <v/>
      </c>
      <c r="M189" s="111" t="str">
        <f t="shared" si="68"/>
        <v/>
      </c>
      <c r="N189" s="112" t="str">
        <f t="shared" si="69"/>
        <v/>
      </c>
      <c r="O189" s="112" t="str">
        <f t="shared" si="70"/>
        <v/>
      </c>
      <c r="P189" s="51"/>
      <c r="Q189" s="56"/>
      <c r="R189" s="49"/>
      <c r="S189" s="56"/>
      <c r="T189" s="49"/>
      <c r="U189" s="56"/>
      <c r="V189" s="49"/>
      <c r="W189" s="56"/>
      <c r="X189" s="49"/>
      <c r="Y189" s="56"/>
      <c r="Z189" s="49"/>
      <c r="AA189" s="56"/>
      <c r="AB189" s="49"/>
      <c r="AC189" s="56"/>
      <c r="AD189" s="49"/>
      <c r="AE189" s="53">
        <f t="shared" si="80"/>
        <v>0</v>
      </c>
      <c r="AF189" s="53">
        <f t="shared" si="81"/>
        <v>0</v>
      </c>
      <c r="AG189" s="54"/>
      <c r="AL189" s="41" t="str">
        <f t="shared" si="82"/>
        <v/>
      </c>
      <c r="AM189" s="41">
        <v>180</v>
      </c>
      <c r="AN189" s="41">
        <f t="shared" si="71"/>
        <v>0</v>
      </c>
      <c r="AO189" s="41">
        <f t="shared" si="72"/>
        <v>0</v>
      </c>
      <c r="AP189" s="41">
        <f t="shared" si="73"/>
        <v>0</v>
      </c>
      <c r="AQ189" s="41">
        <f t="shared" si="74"/>
        <v>0</v>
      </c>
      <c r="AR189" s="41">
        <f t="shared" si="75"/>
        <v>0</v>
      </c>
      <c r="AS189" s="41">
        <f t="shared" si="76"/>
        <v>0</v>
      </c>
      <c r="AT189" s="41">
        <f t="shared" si="77"/>
        <v>0</v>
      </c>
      <c r="AU189" s="55">
        <f t="shared" si="78"/>
        <v>0</v>
      </c>
      <c r="AW189" s="41">
        <f t="shared" si="83"/>
        <v>0</v>
      </c>
      <c r="AX189" s="41">
        <f t="shared" si="84"/>
        <v>0</v>
      </c>
      <c r="AY189" s="41">
        <f t="shared" si="85"/>
        <v>0</v>
      </c>
      <c r="AZ189" s="41">
        <f t="shared" si="86"/>
        <v>0</v>
      </c>
      <c r="BA189" s="41">
        <f t="shared" si="87"/>
        <v>0</v>
      </c>
      <c r="BB189" s="41">
        <f t="shared" si="88"/>
        <v>0</v>
      </c>
      <c r="BC189" s="41">
        <f t="shared" si="89"/>
        <v>0</v>
      </c>
      <c r="BD189" s="55">
        <f t="shared" si="90"/>
        <v>0</v>
      </c>
      <c r="BF189" s="41">
        <f t="shared" si="79"/>
        <v>0</v>
      </c>
    </row>
    <row r="190" spans="1:58" ht="13.5">
      <c r="A190" s="41" t="str">
        <f>IF(Base!B188="","",Base!B188)</f>
        <v>16.691.386-1</v>
      </c>
      <c r="B190" s="41" t="str">
        <f>IF(Base!F188="","",Base!F188)</f>
        <v>LORENZO ARTURO  SANDOVAL  ALTAMIRANO</v>
      </c>
      <c r="C190" s="41" t="str">
        <f>IF(Base!I188="","",Base!I188)</f>
        <v>Abastecimiento</v>
      </c>
      <c r="D190" s="42" t="str">
        <f>IF(Base!J188="","",Base!J188)</f>
        <v>Almacen Insumos Pque</v>
      </c>
      <c r="E190" s="41">
        <f>IF(Base!H188="","",Base!H188)</f>
        <v>1050581</v>
      </c>
      <c r="J190" s="49">
        <v>180</v>
      </c>
      <c r="K190" s="115"/>
      <c r="L190" s="111" t="str">
        <f t="shared" si="67"/>
        <v/>
      </c>
      <c r="M190" s="111" t="str">
        <f t="shared" si="68"/>
        <v/>
      </c>
      <c r="N190" s="112" t="str">
        <f t="shared" si="69"/>
        <v/>
      </c>
      <c r="O190" s="112" t="str">
        <f t="shared" si="70"/>
        <v/>
      </c>
      <c r="P190" s="51"/>
      <c r="Q190" s="56"/>
      <c r="R190" s="49"/>
      <c r="S190" s="56"/>
      <c r="T190" s="49"/>
      <c r="U190" s="56"/>
      <c r="V190" s="49"/>
      <c r="W190" s="56"/>
      <c r="X190" s="49"/>
      <c r="Y190" s="56"/>
      <c r="Z190" s="49"/>
      <c r="AA190" s="56"/>
      <c r="AB190" s="49"/>
      <c r="AC190" s="56"/>
      <c r="AD190" s="49"/>
      <c r="AE190" s="53">
        <f t="shared" si="80"/>
        <v>0</v>
      </c>
      <c r="AF190" s="53">
        <f t="shared" si="81"/>
        <v>0</v>
      </c>
      <c r="AG190" s="54"/>
      <c r="AL190" s="41" t="str">
        <f t="shared" si="82"/>
        <v/>
      </c>
      <c r="AM190" s="41">
        <v>181</v>
      </c>
      <c r="AN190" s="41">
        <f t="shared" si="71"/>
        <v>0</v>
      </c>
      <c r="AO190" s="41">
        <f t="shared" si="72"/>
        <v>0</v>
      </c>
      <c r="AP190" s="41">
        <f t="shared" si="73"/>
        <v>0</v>
      </c>
      <c r="AQ190" s="41">
        <f t="shared" si="74"/>
        <v>0</v>
      </c>
      <c r="AR190" s="41">
        <f t="shared" si="75"/>
        <v>0</v>
      </c>
      <c r="AS190" s="41">
        <f t="shared" si="76"/>
        <v>0</v>
      </c>
      <c r="AT190" s="41">
        <f t="shared" si="77"/>
        <v>0</v>
      </c>
      <c r="AU190" s="55">
        <f t="shared" si="78"/>
        <v>0</v>
      </c>
      <c r="AW190" s="41">
        <f t="shared" si="83"/>
        <v>0</v>
      </c>
      <c r="AX190" s="41">
        <f t="shared" si="84"/>
        <v>0</v>
      </c>
      <c r="AY190" s="41">
        <f t="shared" si="85"/>
        <v>0</v>
      </c>
      <c r="AZ190" s="41">
        <f t="shared" si="86"/>
        <v>0</v>
      </c>
      <c r="BA190" s="41">
        <f t="shared" si="87"/>
        <v>0</v>
      </c>
      <c r="BB190" s="41">
        <f t="shared" si="88"/>
        <v>0</v>
      </c>
      <c r="BC190" s="41">
        <f t="shared" si="89"/>
        <v>0</v>
      </c>
      <c r="BD190" s="55">
        <f t="shared" si="90"/>
        <v>0</v>
      </c>
      <c r="BF190" s="41">
        <f t="shared" si="79"/>
        <v>0</v>
      </c>
    </row>
    <row r="191" spans="1:58" ht="13.5">
      <c r="A191" s="41" t="str">
        <f>IF(Base!B189="","",Base!B189)</f>
        <v>08.085.825-6</v>
      </c>
      <c r="B191" s="41" t="str">
        <f>IF(Base!F189="","",Base!F189)</f>
        <v>ACISCLO ANTONIO  SANHUEZA  CUBILLOS</v>
      </c>
      <c r="C191" s="41" t="str">
        <f>IF(Base!I189="","",Base!I189)</f>
        <v>Linea 6</v>
      </c>
      <c r="D191" s="42" t="str">
        <f>IF(Base!J189="","",Base!J189)</f>
        <v>Llenador</v>
      </c>
      <c r="E191" s="41">
        <f>IF(Base!H189="","",Base!H189)</f>
        <v>1050609</v>
      </c>
      <c r="J191" s="49">
        <v>181</v>
      </c>
      <c r="K191" s="115"/>
      <c r="L191" s="111" t="str">
        <f t="shared" si="67"/>
        <v/>
      </c>
      <c r="M191" s="111" t="str">
        <f t="shared" si="68"/>
        <v/>
      </c>
      <c r="N191" s="112" t="str">
        <f t="shared" si="69"/>
        <v/>
      </c>
      <c r="O191" s="112" t="str">
        <f t="shared" si="70"/>
        <v/>
      </c>
      <c r="P191" s="51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3">
        <f t="shared" si="80"/>
        <v>0</v>
      </c>
      <c r="AF191" s="53">
        <f t="shared" si="81"/>
        <v>0</v>
      </c>
      <c r="AG191" s="54"/>
      <c r="AL191" s="41" t="str">
        <f t="shared" si="82"/>
        <v/>
      </c>
      <c r="AM191" s="41">
        <v>182</v>
      </c>
      <c r="AN191" s="41">
        <f t="shared" si="71"/>
        <v>0</v>
      </c>
      <c r="AO191" s="41">
        <f t="shared" si="72"/>
        <v>0</v>
      </c>
      <c r="AP191" s="41">
        <f t="shared" si="73"/>
        <v>0</v>
      </c>
      <c r="AQ191" s="41">
        <f t="shared" si="74"/>
        <v>0</v>
      </c>
      <c r="AR191" s="41">
        <f t="shared" si="75"/>
        <v>0</v>
      </c>
      <c r="AS191" s="41">
        <f t="shared" si="76"/>
        <v>0</v>
      </c>
      <c r="AT191" s="41">
        <f t="shared" si="77"/>
        <v>0</v>
      </c>
      <c r="AU191" s="55">
        <f t="shared" si="78"/>
        <v>0</v>
      </c>
      <c r="AW191" s="41">
        <f t="shared" si="83"/>
        <v>0</v>
      </c>
      <c r="AX191" s="41">
        <f t="shared" si="84"/>
        <v>0</v>
      </c>
      <c r="AY191" s="41">
        <f t="shared" si="85"/>
        <v>0</v>
      </c>
      <c r="AZ191" s="41">
        <f t="shared" si="86"/>
        <v>0</v>
      </c>
      <c r="BA191" s="41">
        <f t="shared" si="87"/>
        <v>0</v>
      </c>
      <c r="BB191" s="41">
        <f t="shared" si="88"/>
        <v>0</v>
      </c>
      <c r="BC191" s="41">
        <f t="shared" si="89"/>
        <v>0</v>
      </c>
      <c r="BD191" s="55">
        <f t="shared" si="90"/>
        <v>0</v>
      </c>
      <c r="BF191" s="41">
        <f t="shared" si="79"/>
        <v>0</v>
      </c>
    </row>
    <row r="192" spans="1:58" ht="13.5">
      <c r="A192" s="41" t="str">
        <f>IF(Base!B190="","",Base!B190)</f>
        <v>10.849.076-4</v>
      </c>
      <c r="B192" s="41" t="str">
        <f>IF(Base!F190="","",Base!F190)</f>
        <v>RICARDO  SANTANA  PEREZ</v>
      </c>
      <c r="C192" s="41" t="str">
        <f>IF(Base!I190="","",Base!I190)</f>
        <v>Linea 3</v>
      </c>
      <c r="D192" s="42" t="str">
        <f>IF(Base!J190="","",Base!J190)</f>
        <v>Llenador</v>
      </c>
      <c r="E192" s="41">
        <f>IF(Base!H190="","",Base!H190)</f>
        <v>1050555</v>
      </c>
      <c r="J192" s="49">
        <v>182</v>
      </c>
      <c r="K192" s="115"/>
      <c r="L192" s="111" t="str">
        <f t="shared" si="67"/>
        <v/>
      </c>
      <c r="M192" s="111" t="str">
        <f t="shared" si="68"/>
        <v/>
      </c>
      <c r="N192" s="112" t="str">
        <f t="shared" si="69"/>
        <v/>
      </c>
      <c r="O192" s="112" t="str">
        <f t="shared" si="70"/>
        <v/>
      </c>
      <c r="P192" s="51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3">
        <f t="shared" si="80"/>
        <v>0</v>
      </c>
      <c r="AF192" s="53">
        <f t="shared" si="81"/>
        <v>0</v>
      </c>
      <c r="AG192" s="54"/>
      <c r="AL192" s="41" t="str">
        <f t="shared" si="82"/>
        <v/>
      </c>
      <c r="AM192" s="41">
        <v>183</v>
      </c>
      <c r="AN192" s="41">
        <f t="shared" si="71"/>
        <v>0</v>
      </c>
      <c r="AO192" s="41">
        <f t="shared" si="72"/>
        <v>0</v>
      </c>
      <c r="AP192" s="41">
        <f t="shared" si="73"/>
        <v>0</v>
      </c>
      <c r="AQ192" s="41">
        <f t="shared" si="74"/>
        <v>0</v>
      </c>
      <c r="AR192" s="41">
        <f t="shared" si="75"/>
        <v>0</v>
      </c>
      <c r="AS192" s="41">
        <f t="shared" si="76"/>
        <v>0</v>
      </c>
      <c r="AT192" s="41">
        <f t="shared" si="77"/>
        <v>0</v>
      </c>
      <c r="AU192" s="55">
        <f t="shared" si="78"/>
        <v>0</v>
      </c>
      <c r="AW192" s="41">
        <f t="shared" si="83"/>
        <v>0</v>
      </c>
      <c r="AX192" s="41">
        <f t="shared" si="84"/>
        <v>0</v>
      </c>
      <c r="AY192" s="41">
        <f t="shared" si="85"/>
        <v>0</v>
      </c>
      <c r="AZ192" s="41">
        <f t="shared" si="86"/>
        <v>0</v>
      </c>
      <c r="BA192" s="41">
        <f t="shared" si="87"/>
        <v>0</v>
      </c>
      <c r="BB192" s="41">
        <f t="shared" si="88"/>
        <v>0</v>
      </c>
      <c r="BC192" s="41">
        <f t="shared" si="89"/>
        <v>0</v>
      </c>
      <c r="BD192" s="55">
        <f t="shared" si="90"/>
        <v>0</v>
      </c>
      <c r="BF192" s="41">
        <f t="shared" si="79"/>
        <v>0</v>
      </c>
    </row>
    <row r="193" spans="1:58" ht="13.5">
      <c r="A193" s="41" t="str">
        <f>IF(Base!B191="","",Base!B191)</f>
        <v>13.079.999-K</v>
      </c>
      <c r="B193" s="41" t="str">
        <f>IF(Base!F191="","",Base!F191)</f>
        <v>MAGALY ANDREA  SEPULVEDA  ARAVENA</v>
      </c>
      <c r="C193" s="41" t="str">
        <f>IF(Base!I191="","",Base!I191)</f>
        <v>Abastecimiento</v>
      </c>
      <c r="D193" s="42" t="str">
        <f>IF(Base!J191="","",Base!J191)</f>
        <v>Preparación de Insum</v>
      </c>
      <c r="E193" s="41">
        <f>IF(Base!H191="","",Base!H191)</f>
        <v>1050127</v>
      </c>
      <c r="J193" s="49">
        <v>183</v>
      </c>
      <c r="K193" s="115"/>
      <c r="L193" s="111" t="str">
        <f t="shared" si="67"/>
        <v/>
      </c>
      <c r="M193" s="111" t="str">
        <f t="shared" si="68"/>
        <v/>
      </c>
      <c r="N193" s="112" t="str">
        <f t="shared" si="69"/>
        <v/>
      </c>
      <c r="O193" s="112" t="str">
        <f t="shared" si="70"/>
        <v/>
      </c>
      <c r="P193" s="51"/>
      <c r="Q193" s="56"/>
      <c r="R193" s="49"/>
      <c r="S193" s="56"/>
      <c r="T193" s="49"/>
      <c r="U193" s="56"/>
      <c r="V193" s="49"/>
      <c r="W193" s="56"/>
      <c r="X193" s="49"/>
      <c r="Y193" s="56"/>
      <c r="Z193" s="49"/>
      <c r="AA193" s="56"/>
      <c r="AB193" s="49"/>
      <c r="AC193" s="56"/>
      <c r="AD193" s="49"/>
      <c r="AE193" s="53">
        <f t="shared" si="80"/>
        <v>0</v>
      </c>
      <c r="AF193" s="53">
        <f t="shared" si="81"/>
        <v>0</v>
      </c>
      <c r="AG193" s="54"/>
      <c r="AL193" s="41" t="str">
        <f t="shared" si="82"/>
        <v/>
      </c>
      <c r="AM193" s="41">
        <v>184</v>
      </c>
      <c r="AN193" s="41">
        <f t="shared" si="71"/>
        <v>0</v>
      </c>
      <c r="AO193" s="41">
        <f t="shared" si="72"/>
        <v>0</v>
      </c>
      <c r="AP193" s="41">
        <f t="shared" si="73"/>
        <v>0</v>
      </c>
      <c r="AQ193" s="41">
        <f t="shared" si="74"/>
        <v>0</v>
      </c>
      <c r="AR193" s="41">
        <f t="shared" si="75"/>
        <v>0</v>
      </c>
      <c r="AS193" s="41">
        <f t="shared" si="76"/>
        <v>0</v>
      </c>
      <c r="AT193" s="41">
        <f t="shared" si="77"/>
        <v>0</v>
      </c>
      <c r="AU193" s="55">
        <f t="shared" si="78"/>
        <v>0</v>
      </c>
      <c r="AW193" s="41">
        <f t="shared" si="83"/>
        <v>0</v>
      </c>
      <c r="AX193" s="41">
        <f t="shared" si="84"/>
        <v>0</v>
      </c>
      <c r="AY193" s="41">
        <f t="shared" si="85"/>
        <v>0</v>
      </c>
      <c r="AZ193" s="41">
        <f t="shared" si="86"/>
        <v>0</v>
      </c>
      <c r="BA193" s="41">
        <f t="shared" si="87"/>
        <v>0</v>
      </c>
      <c r="BB193" s="41">
        <f t="shared" si="88"/>
        <v>0</v>
      </c>
      <c r="BC193" s="41">
        <f t="shared" si="89"/>
        <v>0</v>
      </c>
      <c r="BD193" s="55">
        <f t="shared" si="90"/>
        <v>0</v>
      </c>
      <c r="BF193" s="41">
        <f t="shared" si="79"/>
        <v>0</v>
      </c>
    </row>
    <row r="194" spans="1:58" ht="13.5">
      <c r="A194" s="41" t="str">
        <f>IF(Base!B192="","",Base!B192)</f>
        <v>12.896.000-7</v>
      </c>
      <c r="B194" s="41" t="str">
        <f>IF(Base!F192="","",Base!F192)</f>
        <v>IGNACIO ANDRES  SERRANO  VEGA</v>
      </c>
      <c r="C194" s="41" t="str">
        <f>IF(Base!I192="","",Base!I192)</f>
        <v>Linea 7</v>
      </c>
      <c r="D194" s="42" t="str">
        <f>IF(Base!J192="","",Base!J192)</f>
        <v>Etiquetador</v>
      </c>
      <c r="E194" s="41">
        <f>IF(Base!H192="","",Base!H192)</f>
        <v>10505616</v>
      </c>
      <c r="J194" s="49">
        <v>184</v>
      </c>
      <c r="K194" s="115"/>
      <c r="L194" s="111" t="str">
        <f t="shared" si="67"/>
        <v/>
      </c>
      <c r="M194" s="111" t="str">
        <f t="shared" si="68"/>
        <v/>
      </c>
      <c r="N194" s="112" t="str">
        <f t="shared" si="69"/>
        <v/>
      </c>
      <c r="O194" s="112" t="str">
        <f t="shared" si="70"/>
        <v/>
      </c>
      <c r="P194" s="51"/>
      <c r="Q194" s="56"/>
      <c r="R194" s="49"/>
      <c r="S194" s="56"/>
      <c r="T194" s="49"/>
      <c r="U194" s="56"/>
      <c r="V194" s="49"/>
      <c r="W194" s="56"/>
      <c r="X194" s="49"/>
      <c r="Y194" s="56"/>
      <c r="Z194" s="49"/>
      <c r="AA194" s="56"/>
      <c r="AB194" s="49"/>
      <c r="AC194" s="56"/>
      <c r="AD194" s="49"/>
      <c r="AE194" s="53">
        <f t="shared" si="80"/>
        <v>0</v>
      </c>
      <c r="AF194" s="53">
        <f t="shared" si="81"/>
        <v>0</v>
      </c>
      <c r="AG194" s="54"/>
      <c r="AL194" s="41" t="str">
        <f t="shared" si="82"/>
        <v/>
      </c>
      <c r="AM194" s="41">
        <v>185</v>
      </c>
      <c r="AN194" s="41">
        <f t="shared" si="71"/>
        <v>0</v>
      </c>
      <c r="AO194" s="41">
        <f t="shared" si="72"/>
        <v>0</v>
      </c>
      <c r="AP194" s="41">
        <f t="shared" si="73"/>
        <v>0</v>
      </c>
      <c r="AQ194" s="41">
        <f t="shared" si="74"/>
        <v>0</v>
      </c>
      <c r="AR194" s="41">
        <f t="shared" si="75"/>
        <v>0</v>
      </c>
      <c r="AS194" s="41">
        <f t="shared" si="76"/>
        <v>0</v>
      </c>
      <c r="AT194" s="41">
        <f t="shared" si="77"/>
        <v>0</v>
      </c>
      <c r="AU194" s="55">
        <f t="shared" si="78"/>
        <v>0</v>
      </c>
      <c r="AW194" s="41">
        <f t="shared" si="83"/>
        <v>0</v>
      </c>
      <c r="AX194" s="41">
        <f t="shared" si="84"/>
        <v>0</v>
      </c>
      <c r="AY194" s="41">
        <f t="shared" si="85"/>
        <v>0</v>
      </c>
      <c r="AZ194" s="41">
        <f t="shared" si="86"/>
        <v>0</v>
      </c>
      <c r="BA194" s="41">
        <f t="shared" si="87"/>
        <v>0</v>
      </c>
      <c r="BB194" s="41">
        <f t="shared" si="88"/>
        <v>0</v>
      </c>
      <c r="BC194" s="41">
        <f t="shared" si="89"/>
        <v>0</v>
      </c>
      <c r="BD194" s="55">
        <f t="shared" si="90"/>
        <v>0</v>
      </c>
      <c r="BF194" s="41">
        <f t="shared" si="79"/>
        <v>0</v>
      </c>
    </row>
    <row r="195" spans="1:58" ht="13.5">
      <c r="A195" s="41" t="str">
        <f>IF(Base!B193="","",Base!B193)</f>
        <v>12.896.866-0</v>
      </c>
      <c r="B195" s="41" t="str">
        <f>IF(Base!F193="","",Base!F193)</f>
        <v>EDDIE LUIS  SOTO  SOTO</v>
      </c>
      <c r="C195" s="41" t="str">
        <f>IF(Base!I193="","",Base!I193)</f>
        <v>BIB</v>
      </c>
      <c r="D195" s="42" t="str">
        <f>IF(Base!J193="","",Base!J193)</f>
        <v>BIB</v>
      </c>
      <c r="E195" s="41">
        <f>IF(Base!H193="","",Base!H193)</f>
        <v>1050595</v>
      </c>
      <c r="J195" s="49">
        <v>185</v>
      </c>
      <c r="K195" s="115"/>
      <c r="L195" s="111" t="str">
        <f t="shared" si="67"/>
        <v/>
      </c>
      <c r="M195" s="111" t="str">
        <f t="shared" si="68"/>
        <v/>
      </c>
      <c r="N195" s="112" t="str">
        <f t="shared" si="69"/>
        <v/>
      </c>
      <c r="O195" s="112" t="str">
        <f t="shared" si="70"/>
        <v/>
      </c>
      <c r="P195" s="51"/>
      <c r="Q195" s="56"/>
      <c r="R195" s="49"/>
      <c r="S195" s="56"/>
      <c r="T195" s="49"/>
      <c r="U195" s="56"/>
      <c r="V195" s="49"/>
      <c r="W195" s="56"/>
      <c r="X195" s="49"/>
      <c r="Y195" s="56"/>
      <c r="Z195" s="49"/>
      <c r="AA195" s="56"/>
      <c r="AB195" s="49"/>
      <c r="AC195" s="56"/>
      <c r="AD195" s="49"/>
      <c r="AE195" s="53">
        <f t="shared" si="80"/>
        <v>0</v>
      </c>
      <c r="AF195" s="53">
        <f t="shared" si="81"/>
        <v>0</v>
      </c>
      <c r="AG195" s="54"/>
      <c r="AL195" s="41" t="str">
        <f t="shared" si="82"/>
        <v/>
      </c>
      <c r="AM195" s="41">
        <v>186</v>
      </c>
      <c r="AN195" s="41">
        <f t="shared" si="71"/>
        <v>0</v>
      </c>
      <c r="AO195" s="41">
        <f t="shared" si="72"/>
        <v>0</v>
      </c>
      <c r="AP195" s="41">
        <f t="shared" si="73"/>
        <v>0</v>
      </c>
      <c r="AQ195" s="41">
        <f t="shared" si="74"/>
        <v>0</v>
      </c>
      <c r="AR195" s="41">
        <f t="shared" si="75"/>
        <v>0</v>
      </c>
      <c r="AS195" s="41">
        <f t="shared" si="76"/>
        <v>0</v>
      </c>
      <c r="AT195" s="41">
        <f t="shared" si="77"/>
        <v>0</v>
      </c>
      <c r="AU195" s="55">
        <f t="shared" si="78"/>
        <v>0</v>
      </c>
      <c r="AW195" s="41">
        <f t="shared" si="83"/>
        <v>0</v>
      </c>
      <c r="AX195" s="41">
        <f t="shared" si="84"/>
        <v>0</v>
      </c>
      <c r="AY195" s="41">
        <f t="shared" si="85"/>
        <v>0</v>
      </c>
      <c r="AZ195" s="41">
        <f t="shared" si="86"/>
        <v>0</v>
      </c>
      <c r="BA195" s="41">
        <f t="shared" si="87"/>
        <v>0</v>
      </c>
      <c r="BB195" s="41">
        <f t="shared" si="88"/>
        <v>0</v>
      </c>
      <c r="BC195" s="41">
        <f t="shared" si="89"/>
        <v>0</v>
      </c>
      <c r="BD195" s="55">
        <f t="shared" si="90"/>
        <v>0</v>
      </c>
      <c r="BF195" s="41">
        <f t="shared" si="79"/>
        <v>0</v>
      </c>
    </row>
    <row r="196" spans="1:58" ht="13.5">
      <c r="A196" s="41" t="str">
        <f>IF(Base!B194="","",Base!B194)</f>
        <v>12.392.999-3</v>
      </c>
      <c r="B196" s="41" t="str">
        <f>IF(Base!F194="","",Base!F194)</f>
        <v>CARLOS  TAPIA  CANTILLANA</v>
      </c>
      <c r="C196" s="41" t="str">
        <f>IF(Base!I194="","",Base!I194)</f>
        <v>Linea 6</v>
      </c>
      <c r="D196" s="42" t="str">
        <f>IF(Base!J194="","",Base!J194)</f>
        <v>Etiquetador</v>
      </c>
      <c r="E196" s="41">
        <f>IF(Base!H194="","",Base!H194)</f>
        <v>1050610</v>
      </c>
      <c r="J196" s="49">
        <v>186</v>
      </c>
      <c r="K196" s="115"/>
      <c r="L196" s="111" t="str">
        <f t="shared" si="67"/>
        <v/>
      </c>
      <c r="M196" s="111" t="str">
        <f t="shared" si="68"/>
        <v/>
      </c>
      <c r="N196" s="112" t="str">
        <f t="shared" si="69"/>
        <v/>
      </c>
      <c r="O196" s="112" t="str">
        <f t="shared" si="70"/>
        <v/>
      </c>
      <c r="P196" s="51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3">
        <f t="shared" si="80"/>
        <v>0</v>
      </c>
      <c r="AF196" s="53">
        <f t="shared" si="81"/>
        <v>0</v>
      </c>
      <c r="AG196" s="54"/>
      <c r="AL196" s="41" t="str">
        <f t="shared" si="82"/>
        <v/>
      </c>
      <c r="AM196" s="41">
        <v>187</v>
      </c>
      <c r="AN196" s="41">
        <f t="shared" si="71"/>
        <v>0</v>
      </c>
      <c r="AO196" s="41">
        <f t="shared" si="72"/>
        <v>0</v>
      </c>
      <c r="AP196" s="41">
        <f t="shared" si="73"/>
        <v>0</v>
      </c>
      <c r="AQ196" s="41">
        <f t="shared" si="74"/>
        <v>0</v>
      </c>
      <c r="AR196" s="41">
        <f t="shared" si="75"/>
        <v>0</v>
      </c>
      <c r="AS196" s="41">
        <f t="shared" si="76"/>
        <v>0</v>
      </c>
      <c r="AT196" s="41">
        <f t="shared" si="77"/>
        <v>0</v>
      </c>
      <c r="AU196" s="55">
        <f t="shared" si="78"/>
        <v>0</v>
      </c>
      <c r="AW196" s="41">
        <f t="shared" si="83"/>
        <v>0</v>
      </c>
      <c r="AX196" s="41">
        <f t="shared" si="84"/>
        <v>0</v>
      </c>
      <c r="AY196" s="41">
        <f t="shared" si="85"/>
        <v>0</v>
      </c>
      <c r="AZ196" s="41">
        <f t="shared" si="86"/>
        <v>0</v>
      </c>
      <c r="BA196" s="41">
        <f t="shared" si="87"/>
        <v>0</v>
      </c>
      <c r="BB196" s="41">
        <f t="shared" si="88"/>
        <v>0</v>
      </c>
      <c r="BC196" s="41">
        <f t="shared" si="89"/>
        <v>0</v>
      </c>
      <c r="BD196" s="55">
        <f t="shared" si="90"/>
        <v>0</v>
      </c>
      <c r="BF196" s="41">
        <f t="shared" si="79"/>
        <v>0</v>
      </c>
    </row>
    <row r="197" spans="1:58" ht="13.5">
      <c r="A197" s="41" t="str">
        <f>IF(Base!B195="","",Base!B195)</f>
        <v>14.193.049-4</v>
      </c>
      <c r="B197" s="41" t="str">
        <f>IF(Base!F195="","",Base!F195)</f>
        <v>CESAR  TAPIA  IBARRA</v>
      </c>
      <c r="C197" s="41" t="str">
        <f>IF(Base!I195="","",Base!I195)</f>
        <v>Linea 6</v>
      </c>
      <c r="D197" s="42" t="str">
        <f>IF(Base!J195="","",Base!J195)</f>
        <v>Despalletizador</v>
      </c>
      <c r="E197" s="41">
        <f>IF(Base!H195="","",Base!H195)</f>
        <v>1050609</v>
      </c>
      <c r="J197" s="49">
        <v>187</v>
      </c>
      <c r="K197" s="115"/>
      <c r="L197" s="111" t="str">
        <f t="shared" si="67"/>
        <v/>
      </c>
      <c r="M197" s="111" t="str">
        <f t="shared" si="68"/>
        <v/>
      </c>
      <c r="N197" s="112" t="str">
        <f t="shared" si="69"/>
        <v/>
      </c>
      <c r="O197" s="112" t="str">
        <f t="shared" si="70"/>
        <v/>
      </c>
      <c r="P197" s="51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3">
        <f t="shared" si="80"/>
        <v>0</v>
      </c>
      <c r="AF197" s="53">
        <f t="shared" si="81"/>
        <v>0</v>
      </c>
      <c r="AG197" s="54"/>
      <c r="AL197" s="41" t="str">
        <f t="shared" si="82"/>
        <v/>
      </c>
      <c r="AM197" s="41">
        <v>188</v>
      </c>
      <c r="AN197" s="41">
        <f t="shared" si="71"/>
        <v>0</v>
      </c>
      <c r="AO197" s="41">
        <f t="shared" si="72"/>
        <v>0</v>
      </c>
      <c r="AP197" s="41">
        <f t="shared" si="73"/>
        <v>0</v>
      </c>
      <c r="AQ197" s="41">
        <f t="shared" si="74"/>
        <v>0</v>
      </c>
      <c r="AR197" s="41">
        <f t="shared" si="75"/>
        <v>0</v>
      </c>
      <c r="AS197" s="41">
        <f t="shared" si="76"/>
        <v>0</v>
      </c>
      <c r="AT197" s="41">
        <f t="shared" si="77"/>
        <v>0</v>
      </c>
      <c r="AU197" s="55">
        <f t="shared" si="78"/>
        <v>0</v>
      </c>
      <c r="AW197" s="41">
        <f t="shared" si="83"/>
        <v>0</v>
      </c>
      <c r="AX197" s="41">
        <f t="shared" si="84"/>
        <v>0</v>
      </c>
      <c r="AY197" s="41">
        <f t="shared" si="85"/>
        <v>0</v>
      </c>
      <c r="AZ197" s="41">
        <f t="shared" si="86"/>
        <v>0</v>
      </c>
      <c r="BA197" s="41">
        <f t="shared" si="87"/>
        <v>0</v>
      </c>
      <c r="BB197" s="41">
        <f t="shared" si="88"/>
        <v>0</v>
      </c>
      <c r="BC197" s="41">
        <f t="shared" si="89"/>
        <v>0</v>
      </c>
      <c r="BD197" s="55">
        <f t="shared" si="90"/>
        <v>0</v>
      </c>
      <c r="BF197" s="41">
        <f t="shared" si="79"/>
        <v>0</v>
      </c>
    </row>
    <row r="198" spans="1:58" ht="13.5">
      <c r="A198" s="41" t="str">
        <f>IF(Base!B196="","",Base!B196)</f>
        <v>06.467.952-K</v>
      </c>
      <c r="B198" s="41" t="str">
        <f>IF(Base!F196="","",Base!F196)</f>
        <v>ORLANDINO GUMERCINDO  TAPIA  OLIVARES</v>
      </c>
      <c r="C198" s="41" t="str">
        <f>IF(Base!I196="","",Base!I196)</f>
        <v>Abastecimiento</v>
      </c>
      <c r="D198" s="42" t="str">
        <f>IF(Base!J196="","",Base!J196)</f>
        <v>Suministro de Líneas</v>
      </c>
      <c r="E198" s="41">
        <f>IF(Base!H196="","",Base!H196)</f>
        <v>1050633</v>
      </c>
      <c r="J198" s="49">
        <v>188</v>
      </c>
      <c r="K198" s="115"/>
      <c r="L198" s="111" t="str">
        <f t="shared" si="67"/>
        <v/>
      </c>
      <c r="M198" s="111" t="str">
        <f t="shared" si="68"/>
        <v/>
      </c>
      <c r="N198" s="112" t="str">
        <f t="shared" si="69"/>
        <v/>
      </c>
      <c r="O198" s="112" t="str">
        <f t="shared" si="70"/>
        <v/>
      </c>
      <c r="P198" s="51"/>
      <c r="Q198" s="56"/>
      <c r="R198" s="49"/>
      <c r="S198" s="56"/>
      <c r="T198" s="49"/>
      <c r="U198" s="56"/>
      <c r="V198" s="49"/>
      <c r="W198" s="56"/>
      <c r="X198" s="49"/>
      <c r="Y198" s="56"/>
      <c r="Z198" s="49"/>
      <c r="AA198" s="56"/>
      <c r="AB198" s="49"/>
      <c r="AC198" s="56"/>
      <c r="AD198" s="49"/>
      <c r="AE198" s="53">
        <f t="shared" si="80"/>
        <v>0</v>
      </c>
      <c r="AF198" s="53">
        <f t="shared" si="81"/>
        <v>0</v>
      </c>
      <c r="AG198" s="54"/>
      <c r="AL198" s="41" t="str">
        <f t="shared" si="82"/>
        <v/>
      </c>
      <c r="AM198" s="41">
        <v>189</v>
      </c>
      <c r="AN198" s="41">
        <f t="shared" si="71"/>
        <v>0</v>
      </c>
      <c r="AO198" s="41">
        <f t="shared" si="72"/>
        <v>0</v>
      </c>
      <c r="AP198" s="41">
        <f t="shared" si="73"/>
        <v>0</v>
      </c>
      <c r="AQ198" s="41">
        <f t="shared" si="74"/>
        <v>0</v>
      </c>
      <c r="AR198" s="41">
        <f t="shared" si="75"/>
        <v>0</v>
      </c>
      <c r="AS198" s="41">
        <f t="shared" si="76"/>
        <v>0</v>
      </c>
      <c r="AT198" s="41">
        <f t="shared" si="77"/>
        <v>0</v>
      </c>
      <c r="AU198" s="55">
        <f t="shared" si="78"/>
        <v>0</v>
      </c>
      <c r="AW198" s="41">
        <f t="shared" si="83"/>
        <v>0</v>
      </c>
      <c r="AX198" s="41">
        <f t="shared" si="84"/>
        <v>0</v>
      </c>
      <c r="AY198" s="41">
        <f t="shared" si="85"/>
        <v>0</v>
      </c>
      <c r="AZ198" s="41">
        <f t="shared" si="86"/>
        <v>0</v>
      </c>
      <c r="BA198" s="41">
        <f t="shared" si="87"/>
        <v>0</v>
      </c>
      <c r="BB198" s="41">
        <f t="shared" si="88"/>
        <v>0</v>
      </c>
      <c r="BC198" s="41">
        <f t="shared" si="89"/>
        <v>0</v>
      </c>
      <c r="BD198" s="55">
        <f t="shared" si="90"/>
        <v>0</v>
      </c>
      <c r="BF198" s="41">
        <f t="shared" si="79"/>
        <v>0</v>
      </c>
    </row>
    <row r="199" spans="1:58" ht="13.5">
      <c r="A199" s="41" t="str">
        <f>IF(Base!B197="","",Base!B197)</f>
        <v>11.840.491-2</v>
      </c>
      <c r="B199" s="41" t="str">
        <f>IF(Base!F197="","",Base!F197)</f>
        <v>CESAR OMAR  TORRES  FARIAS</v>
      </c>
      <c r="C199" s="41" t="str">
        <f>IF(Base!I197="","",Base!I197)</f>
        <v>Linea 7</v>
      </c>
      <c r="D199" s="42" t="str">
        <f>IF(Base!J197="","",Base!J197)</f>
        <v>Palletizador</v>
      </c>
      <c r="E199" s="41">
        <f>IF(Base!H197="","",Base!H197)</f>
        <v>1050616</v>
      </c>
      <c r="J199" s="49">
        <v>189</v>
      </c>
      <c r="K199" s="115"/>
      <c r="L199" s="111" t="str">
        <f t="shared" si="67"/>
        <v/>
      </c>
      <c r="M199" s="111" t="str">
        <f t="shared" si="68"/>
        <v/>
      </c>
      <c r="N199" s="112" t="str">
        <f t="shared" si="69"/>
        <v/>
      </c>
      <c r="O199" s="112" t="str">
        <f t="shared" si="70"/>
        <v/>
      </c>
      <c r="P199" s="51"/>
      <c r="Q199" s="56"/>
      <c r="R199" s="49"/>
      <c r="S199" s="56"/>
      <c r="T199" s="49"/>
      <c r="U199" s="56"/>
      <c r="V199" s="49"/>
      <c r="W199" s="56"/>
      <c r="X199" s="49"/>
      <c r="Y199" s="56"/>
      <c r="Z199" s="49"/>
      <c r="AA199" s="56"/>
      <c r="AB199" s="49"/>
      <c r="AC199" s="56"/>
      <c r="AD199" s="49"/>
      <c r="AE199" s="53">
        <f t="shared" si="80"/>
        <v>0</v>
      </c>
      <c r="AF199" s="53">
        <f t="shared" si="81"/>
        <v>0</v>
      </c>
      <c r="AG199" s="54"/>
      <c r="AL199" s="41" t="str">
        <f t="shared" si="82"/>
        <v/>
      </c>
      <c r="AM199" s="41">
        <v>190</v>
      </c>
      <c r="AN199" s="41">
        <f t="shared" si="71"/>
        <v>0</v>
      </c>
      <c r="AO199" s="41">
        <f t="shared" si="72"/>
        <v>0</v>
      </c>
      <c r="AP199" s="41">
        <f t="shared" si="73"/>
        <v>0</v>
      </c>
      <c r="AQ199" s="41">
        <f t="shared" si="74"/>
        <v>0</v>
      </c>
      <c r="AR199" s="41">
        <f t="shared" si="75"/>
        <v>0</v>
      </c>
      <c r="AS199" s="41">
        <f t="shared" si="76"/>
        <v>0</v>
      </c>
      <c r="AT199" s="41">
        <f t="shared" si="77"/>
        <v>0</v>
      </c>
      <c r="AU199" s="55">
        <f t="shared" si="78"/>
        <v>0</v>
      </c>
      <c r="AW199" s="41">
        <f t="shared" si="83"/>
        <v>0</v>
      </c>
      <c r="AX199" s="41">
        <f t="shared" si="84"/>
        <v>0</v>
      </c>
      <c r="AY199" s="41">
        <f t="shared" si="85"/>
        <v>0</v>
      </c>
      <c r="AZ199" s="41">
        <f t="shared" si="86"/>
        <v>0</v>
      </c>
      <c r="BA199" s="41">
        <f t="shared" si="87"/>
        <v>0</v>
      </c>
      <c r="BB199" s="41">
        <f t="shared" si="88"/>
        <v>0</v>
      </c>
      <c r="BC199" s="41">
        <f t="shared" si="89"/>
        <v>0</v>
      </c>
      <c r="BD199" s="55">
        <f t="shared" si="90"/>
        <v>0</v>
      </c>
      <c r="BF199" s="41">
        <f t="shared" si="79"/>
        <v>0</v>
      </c>
    </row>
    <row r="200" spans="1:58" ht="13.5">
      <c r="A200" s="41" t="str">
        <f>IF(Base!B198="","",Base!B198)</f>
        <v>13.839.512-K</v>
      </c>
      <c r="B200" s="41" t="str">
        <f>IF(Base!F198="","",Base!F198)</f>
        <v>EMILIO  URETA  PAREDES</v>
      </c>
      <c r="C200" s="41" t="str">
        <f>IF(Base!I198="","",Base!I198)</f>
        <v>Linea 2</v>
      </c>
      <c r="D200" s="42" t="str">
        <f>IF(Base!J198="","",Base!J198)</f>
        <v>Etiquetador</v>
      </c>
      <c r="E200" s="41">
        <f>IF(Base!H198="","",Base!H198)</f>
        <v>1050554</v>
      </c>
      <c r="J200" s="49">
        <v>190</v>
      </c>
      <c r="K200" s="115"/>
      <c r="L200" s="111" t="str">
        <f t="shared" si="67"/>
        <v/>
      </c>
      <c r="M200" s="111" t="str">
        <f t="shared" si="68"/>
        <v/>
      </c>
      <c r="N200" s="112" t="str">
        <f t="shared" si="69"/>
        <v/>
      </c>
      <c r="O200" s="112" t="str">
        <f t="shared" si="70"/>
        <v/>
      </c>
      <c r="P200" s="51"/>
      <c r="Q200" s="56"/>
      <c r="R200" s="49"/>
      <c r="S200" s="56"/>
      <c r="T200" s="49"/>
      <c r="U200" s="56"/>
      <c r="V200" s="49"/>
      <c r="W200" s="56"/>
      <c r="X200" s="49"/>
      <c r="Y200" s="56"/>
      <c r="Z200" s="49"/>
      <c r="AA200" s="56"/>
      <c r="AB200" s="49"/>
      <c r="AC200" s="56"/>
      <c r="AD200" s="49"/>
      <c r="AE200" s="53">
        <f t="shared" si="80"/>
        <v>0</v>
      </c>
      <c r="AF200" s="53">
        <f t="shared" si="81"/>
        <v>0</v>
      </c>
      <c r="AG200" s="54"/>
      <c r="AL200" s="41" t="str">
        <f t="shared" si="82"/>
        <v/>
      </c>
      <c r="AM200" s="41">
        <v>191</v>
      </c>
      <c r="AN200" s="41">
        <f t="shared" si="71"/>
        <v>0</v>
      </c>
      <c r="AO200" s="41">
        <f t="shared" si="72"/>
        <v>0</v>
      </c>
      <c r="AP200" s="41">
        <f t="shared" si="73"/>
        <v>0</v>
      </c>
      <c r="AQ200" s="41">
        <f t="shared" si="74"/>
        <v>0</v>
      </c>
      <c r="AR200" s="41">
        <f t="shared" si="75"/>
        <v>0</v>
      </c>
      <c r="AS200" s="41">
        <f t="shared" si="76"/>
        <v>0</v>
      </c>
      <c r="AT200" s="41">
        <f t="shared" si="77"/>
        <v>0</v>
      </c>
      <c r="AU200" s="55">
        <f t="shared" si="78"/>
        <v>0</v>
      </c>
      <c r="AW200" s="41">
        <f t="shared" si="83"/>
        <v>0</v>
      </c>
      <c r="AX200" s="41">
        <f t="shared" si="84"/>
        <v>0</v>
      </c>
      <c r="AY200" s="41">
        <f t="shared" si="85"/>
        <v>0</v>
      </c>
      <c r="AZ200" s="41">
        <f t="shared" si="86"/>
        <v>0</v>
      </c>
      <c r="BA200" s="41">
        <f t="shared" si="87"/>
        <v>0</v>
      </c>
      <c r="BB200" s="41">
        <f t="shared" si="88"/>
        <v>0</v>
      </c>
      <c r="BC200" s="41">
        <f t="shared" si="89"/>
        <v>0</v>
      </c>
      <c r="BD200" s="55">
        <f t="shared" si="90"/>
        <v>0</v>
      </c>
      <c r="BF200" s="41">
        <f t="shared" si="79"/>
        <v>0</v>
      </c>
    </row>
    <row r="201" spans="1:58" ht="13.5">
      <c r="A201" s="41" t="str">
        <f>IF(Base!B199="","",Base!B199)</f>
        <v>21.516.766-6</v>
      </c>
      <c r="B201" s="41" t="str">
        <f>IF(Base!F199="","",Base!F199)</f>
        <v>LUIS  VALDEZ  WERNLI</v>
      </c>
      <c r="C201" s="41" t="str">
        <f>IF(Base!I199="","",Base!I199)</f>
        <v>Linea 3</v>
      </c>
      <c r="D201" s="42" t="str">
        <f>IF(Base!J199="","",Base!J199)</f>
        <v>Etiquetador</v>
      </c>
      <c r="E201" s="41">
        <f>IF(Base!H199="","",Base!H199)</f>
        <v>1050556</v>
      </c>
      <c r="J201" s="49">
        <v>191</v>
      </c>
      <c r="K201" s="115"/>
      <c r="L201" s="111" t="str">
        <f t="shared" si="67"/>
        <v/>
      </c>
      <c r="M201" s="111" t="str">
        <f t="shared" si="68"/>
        <v/>
      </c>
      <c r="N201" s="112" t="str">
        <f t="shared" si="69"/>
        <v/>
      </c>
      <c r="O201" s="112" t="str">
        <f t="shared" si="70"/>
        <v/>
      </c>
      <c r="P201" s="51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3">
        <f t="shared" si="80"/>
        <v>0</v>
      </c>
      <c r="AF201" s="53">
        <f t="shared" si="81"/>
        <v>0</v>
      </c>
      <c r="AG201" s="54"/>
      <c r="AL201" s="41" t="str">
        <f t="shared" si="82"/>
        <v/>
      </c>
      <c r="AM201" s="41">
        <v>192</v>
      </c>
      <c r="AN201" s="41">
        <f t="shared" si="71"/>
        <v>0</v>
      </c>
      <c r="AO201" s="41">
        <f t="shared" si="72"/>
        <v>0</v>
      </c>
      <c r="AP201" s="41">
        <f t="shared" si="73"/>
        <v>0</v>
      </c>
      <c r="AQ201" s="41">
        <f t="shared" si="74"/>
        <v>0</v>
      </c>
      <c r="AR201" s="41">
        <f t="shared" si="75"/>
        <v>0</v>
      </c>
      <c r="AS201" s="41">
        <f t="shared" si="76"/>
        <v>0</v>
      </c>
      <c r="AT201" s="41">
        <f t="shared" si="77"/>
        <v>0</v>
      </c>
      <c r="AU201" s="55">
        <f t="shared" si="78"/>
        <v>0</v>
      </c>
      <c r="AW201" s="41">
        <f t="shared" si="83"/>
        <v>0</v>
      </c>
      <c r="AX201" s="41">
        <f t="shared" si="84"/>
        <v>0</v>
      </c>
      <c r="AY201" s="41">
        <f t="shared" si="85"/>
        <v>0</v>
      </c>
      <c r="AZ201" s="41">
        <f t="shared" si="86"/>
        <v>0</v>
      </c>
      <c r="BA201" s="41">
        <f t="shared" si="87"/>
        <v>0</v>
      </c>
      <c r="BB201" s="41">
        <f t="shared" si="88"/>
        <v>0</v>
      </c>
      <c r="BC201" s="41">
        <f t="shared" si="89"/>
        <v>0</v>
      </c>
      <c r="BD201" s="55">
        <f t="shared" si="90"/>
        <v>0</v>
      </c>
      <c r="BF201" s="41">
        <f t="shared" si="79"/>
        <v>0</v>
      </c>
    </row>
    <row r="202" spans="1:58" ht="13.5">
      <c r="A202" s="41" t="str">
        <f>IF(Base!B200="","",Base!B200)</f>
        <v>15.436.097-2</v>
      </c>
      <c r="B202" s="41" t="str">
        <f>IF(Base!F200="","",Base!F200)</f>
        <v>LUIS  VALENZUELA  DIAZ</v>
      </c>
      <c r="C202" s="41" t="str">
        <f>IF(Base!I200="","",Base!I200)</f>
        <v>Linea 1</v>
      </c>
      <c r="D202" s="42" t="str">
        <f>IF(Base!J200="","",Base!J200)</f>
        <v>Embalador</v>
      </c>
      <c r="E202" s="41">
        <f>IF(Base!H200="","",Base!H200)</f>
        <v>1050552</v>
      </c>
      <c r="J202" s="49">
        <v>192</v>
      </c>
      <c r="K202" s="115"/>
      <c r="L202" s="111" t="str">
        <f t="shared" si="67"/>
        <v/>
      </c>
      <c r="M202" s="111" t="str">
        <f t="shared" si="68"/>
        <v/>
      </c>
      <c r="N202" s="112" t="str">
        <f t="shared" si="69"/>
        <v/>
      </c>
      <c r="O202" s="112" t="str">
        <f t="shared" si="70"/>
        <v/>
      </c>
      <c r="P202" s="51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3">
        <f t="shared" si="80"/>
        <v>0</v>
      </c>
      <c r="AF202" s="53">
        <f t="shared" si="81"/>
        <v>0</v>
      </c>
      <c r="AG202" s="54"/>
      <c r="AL202" s="41" t="str">
        <f t="shared" si="82"/>
        <v/>
      </c>
      <c r="AM202" s="41">
        <v>193</v>
      </c>
      <c r="AN202" s="41">
        <f t="shared" si="71"/>
        <v>0</v>
      </c>
      <c r="AO202" s="41">
        <f t="shared" si="72"/>
        <v>0</v>
      </c>
      <c r="AP202" s="41">
        <f t="shared" si="73"/>
        <v>0</v>
      </c>
      <c r="AQ202" s="41">
        <f t="shared" si="74"/>
        <v>0</v>
      </c>
      <c r="AR202" s="41">
        <f t="shared" si="75"/>
        <v>0</v>
      </c>
      <c r="AS202" s="41">
        <f t="shared" si="76"/>
        <v>0</v>
      </c>
      <c r="AT202" s="41">
        <f t="shared" si="77"/>
        <v>0</v>
      </c>
      <c r="AU202" s="55">
        <f t="shared" si="78"/>
        <v>0</v>
      </c>
      <c r="AW202" s="41">
        <f t="shared" si="83"/>
        <v>0</v>
      </c>
      <c r="AX202" s="41">
        <f t="shared" si="84"/>
        <v>0</v>
      </c>
      <c r="AY202" s="41">
        <f t="shared" si="85"/>
        <v>0</v>
      </c>
      <c r="AZ202" s="41">
        <f t="shared" si="86"/>
        <v>0</v>
      </c>
      <c r="BA202" s="41">
        <f t="shared" si="87"/>
        <v>0</v>
      </c>
      <c r="BB202" s="41">
        <f t="shared" si="88"/>
        <v>0</v>
      </c>
      <c r="BC202" s="41">
        <f t="shared" si="89"/>
        <v>0</v>
      </c>
      <c r="BD202" s="55">
        <f t="shared" si="90"/>
        <v>0</v>
      </c>
      <c r="BF202" s="41">
        <f t="shared" si="79"/>
        <v>0</v>
      </c>
    </row>
    <row r="203" spans="1:58" ht="13.5">
      <c r="A203" s="41" t="str">
        <f>IF(Base!B201="","",Base!B201)</f>
        <v>10.737.908-8</v>
      </c>
      <c r="B203" s="41" t="str">
        <f>IF(Base!F201="","",Base!F201)</f>
        <v>DANIEL  VALENZUELA   AREVALO</v>
      </c>
      <c r="C203" s="41" t="str">
        <f>IF(Base!I201="","",Base!I201)</f>
        <v>Abastecimiento</v>
      </c>
      <c r="D203" s="42" t="str">
        <f>IF(Base!J201="","",Base!J201)</f>
        <v>Jefe Centro Insumos</v>
      </c>
      <c r="E203" s="41">
        <f>IF(Base!H201="","",Base!H201)</f>
        <v>1050581</v>
      </c>
      <c r="J203" s="49">
        <v>193</v>
      </c>
      <c r="K203" s="115"/>
      <c r="L203" s="111" t="str">
        <f t="shared" si="67"/>
        <v/>
      </c>
      <c r="M203" s="111" t="str">
        <f t="shared" si="68"/>
        <v/>
      </c>
      <c r="N203" s="112" t="str">
        <f t="shared" si="69"/>
        <v/>
      </c>
      <c r="O203" s="112" t="str">
        <f t="shared" si="70"/>
        <v/>
      </c>
      <c r="P203" s="51"/>
      <c r="Q203" s="56"/>
      <c r="R203" s="49"/>
      <c r="S203" s="56"/>
      <c r="T203" s="49"/>
      <c r="U203" s="56"/>
      <c r="V203" s="49"/>
      <c r="W203" s="56"/>
      <c r="X203" s="49"/>
      <c r="Y203" s="56"/>
      <c r="Z203" s="49"/>
      <c r="AA203" s="56"/>
      <c r="AB203" s="49"/>
      <c r="AC203" s="56"/>
      <c r="AD203" s="49"/>
      <c r="AE203" s="53">
        <f t="shared" si="80"/>
        <v>0</v>
      </c>
      <c r="AF203" s="53">
        <f t="shared" si="81"/>
        <v>0</v>
      </c>
      <c r="AG203" s="54"/>
      <c r="AL203" s="41" t="str">
        <f t="shared" si="82"/>
        <v/>
      </c>
      <c r="AM203" s="41">
        <v>194</v>
      </c>
      <c r="AN203" s="41">
        <f t="shared" si="71"/>
        <v>0</v>
      </c>
      <c r="AO203" s="41">
        <f t="shared" si="72"/>
        <v>0</v>
      </c>
      <c r="AP203" s="41">
        <f t="shared" si="73"/>
        <v>0</v>
      </c>
      <c r="AQ203" s="41">
        <f t="shared" si="74"/>
        <v>0</v>
      </c>
      <c r="AR203" s="41">
        <f t="shared" si="75"/>
        <v>0</v>
      </c>
      <c r="AS203" s="41">
        <f t="shared" si="76"/>
        <v>0</v>
      </c>
      <c r="AT203" s="41">
        <f t="shared" si="77"/>
        <v>0</v>
      </c>
      <c r="AU203" s="55">
        <f t="shared" si="78"/>
        <v>0</v>
      </c>
      <c r="AW203" s="41">
        <f t="shared" si="83"/>
        <v>0</v>
      </c>
      <c r="AX203" s="41">
        <f t="shared" si="84"/>
        <v>0</v>
      </c>
      <c r="AY203" s="41">
        <f t="shared" si="85"/>
        <v>0</v>
      </c>
      <c r="AZ203" s="41">
        <f t="shared" si="86"/>
        <v>0</v>
      </c>
      <c r="BA203" s="41">
        <f t="shared" si="87"/>
        <v>0</v>
      </c>
      <c r="BB203" s="41">
        <f t="shared" si="88"/>
        <v>0</v>
      </c>
      <c r="BC203" s="41">
        <f t="shared" si="89"/>
        <v>0</v>
      </c>
      <c r="BD203" s="55">
        <f t="shared" si="90"/>
        <v>0</v>
      </c>
      <c r="BF203" s="41">
        <f t="shared" si="79"/>
        <v>0</v>
      </c>
    </row>
    <row r="204" spans="1:58" ht="13.5">
      <c r="A204" s="41" t="str">
        <f>IF(Base!B202="","",Base!B202)</f>
        <v>11.123.851-0</v>
      </c>
      <c r="B204" s="41" t="str">
        <f>IF(Base!F202="","",Base!F202)</f>
        <v>MAURICIO  VALLE  GONZALEZ</v>
      </c>
      <c r="C204" s="41" t="str">
        <f>IF(Base!I202="","",Base!I202)</f>
        <v>BIB</v>
      </c>
      <c r="D204" s="42" t="str">
        <f>IF(Base!J202="","",Base!J202)</f>
        <v>BIB</v>
      </c>
      <c r="E204" s="41">
        <f>IF(Base!H202="","",Base!H202)</f>
        <v>1050595</v>
      </c>
      <c r="J204" s="49">
        <v>194</v>
      </c>
      <c r="K204" s="115"/>
      <c r="L204" s="111" t="str">
        <f t="shared" ref="L204:L260" si="91">IF(K204="","",VLOOKUP($K204,A:D,2,FALSE))</f>
        <v/>
      </c>
      <c r="M204" s="111" t="str">
        <f t="shared" ref="M204:M260" si="92">IF(K204="","",VLOOKUP(K204,A:E,5,FALSE))</f>
        <v/>
      </c>
      <c r="N204" s="112" t="str">
        <f t="shared" ref="N204:N260" si="93">IF(K204="","",VLOOKUP(K204,A:C,3,FALSE))</f>
        <v/>
      </c>
      <c r="O204" s="112" t="str">
        <f t="shared" ref="O204:O260" si="94">IF(K204="","",VLOOKUP(K204,A:D,4,FALSE))</f>
        <v/>
      </c>
      <c r="P204" s="51"/>
      <c r="Q204" s="56"/>
      <c r="R204" s="49"/>
      <c r="S204" s="56"/>
      <c r="T204" s="49"/>
      <c r="U204" s="56"/>
      <c r="V204" s="49"/>
      <c r="W204" s="56"/>
      <c r="X204" s="49"/>
      <c r="Y204" s="56"/>
      <c r="Z204" s="49"/>
      <c r="AA204" s="56"/>
      <c r="AB204" s="49"/>
      <c r="AC204" s="56"/>
      <c r="AD204" s="49"/>
      <c r="AE204" s="53">
        <f t="shared" si="80"/>
        <v>0</v>
      </c>
      <c r="AF204" s="53">
        <f t="shared" si="81"/>
        <v>0</v>
      </c>
      <c r="AG204" s="54"/>
      <c r="AL204" s="41" t="str">
        <f t="shared" si="82"/>
        <v/>
      </c>
      <c r="AM204" s="41">
        <v>195</v>
      </c>
      <c r="AN204" s="41">
        <f t="shared" ref="AN204:AN260" si="95">Q204</f>
        <v>0</v>
      </c>
      <c r="AO204" s="41">
        <f t="shared" ref="AO204:AO260" si="96">S204</f>
        <v>0</v>
      </c>
      <c r="AP204" s="41">
        <f t="shared" ref="AP204:AP260" si="97">U204</f>
        <v>0</v>
      </c>
      <c r="AQ204" s="41">
        <f t="shared" ref="AQ204:AQ260" si="98">W204</f>
        <v>0</v>
      </c>
      <c r="AR204" s="41">
        <f t="shared" ref="AR204:AR260" si="99">Y204</f>
        <v>0</v>
      </c>
      <c r="AS204" s="41">
        <f t="shared" ref="AS204:AS260" si="100">AA204</f>
        <v>0</v>
      </c>
      <c r="AT204" s="41">
        <f t="shared" ref="AT204:AT260" si="101">AC204</f>
        <v>0</v>
      </c>
      <c r="AU204" s="55">
        <f t="shared" ref="AU204:AU260" si="102">IF(SUM(AN204:AT204)=0,0,SUM(AN204:AT204))</f>
        <v>0</v>
      </c>
      <c r="AW204" s="41">
        <f t="shared" si="83"/>
        <v>0</v>
      </c>
      <c r="AX204" s="41">
        <f t="shared" si="84"/>
        <v>0</v>
      </c>
      <c r="AY204" s="41">
        <f t="shared" si="85"/>
        <v>0</v>
      </c>
      <c r="AZ204" s="41">
        <f t="shared" si="86"/>
        <v>0</v>
      </c>
      <c r="BA204" s="41">
        <f t="shared" si="87"/>
        <v>0</v>
      </c>
      <c r="BB204" s="41">
        <f t="shared" si="88"/>
        <v>0</v>
      </c>
      <c r="BC204" s="41">
        <f t="shared" si="89"/>
        <v>0</v>
      </c>
      <c r="BD204" s="55">
        <f t="shared" si="90"/>
        <v>0</v>
      </c>
      <c r="BF204" s="41">
        <f t="shared" ref="BF204:BF260" si="103">SUM(AU204+BD204)</f>
        <v>0</v>
      </c>
    </row>
    <row r="205" spans="1:58" ht="13.5">
      <c r="A205" s="41" t="str">
        <f>IF(Base!B203="","",Base!B203)</f>
        <v>10.572.816-6</v>
      </c>
      <c r="B205" s="41" t="str">
        <f>IF(Base!F203="","",Base!F203)</f>
        <v>MARCO ANTONIO  VARGAS  MORENO</v>
      </c>
      <c r="C205" s="41" t="str">
        <f>IF(Base!I203="","",Base!I203)</f>
        <v>Abastecimiento</v>
      </c>
      <c r="D205" s="42" t="str">
        <f>IF(Base!J203="","",Base!J203)</f>
        <v>Suministro de Líneas</v>
      </c>
      <c r="E205" s="41">
        <f>IF(Base!H203="","",Base!H203)</f>
        <v>1050633</v>
      </c>
      <c r="J205" s="49">
        <v>195</v>
      </c>
      <c r="K205" s="115"/>
      <c r="L205" s="111" t="str">
        <f t="shared" si="91"/>
        <v/>
      </c>
      <c r="M205" s="111" t="str">
        <f t="shared" si="92"/>
        <v/>
      </c>
      <c r="N205" s="112" t="str">
        <f t="shared" si="93"/>
        <v/>
      </c>
      <c r="O205" s="112" t="str">
        <f t="shared" si="94"/>
        <v/>
      </c>
      <c r="P205" s="51"/>
      <c r="Q205" s="56"/>
      <c r="R205" s="49"/>
      <c r="S205" s="56"/>
      <c r="T205" s="49"/>
      <c r="U205" s="56"/>
      <c r="V205" s="49"/>
      <c r="W205" s="56"/>
      <c r="X205" s="49"/>
      <c r="Y205" s="56"/>
      <c r="Z205" s="49"/>
      <c r="AA205" s="56"/>
      <c r="AB205" s="49"/>
      <c r="AC205" s="56"/>
      <c r="AD205" s="49"/>
      <c r="AE205" s="53">
        <f t="shared" si="80"/>
        <v>0</v>
      </c>
      <c r="AF205" s="53">
        <f t="shared" si="81"/>
        <v>0</v>
      </c>
      <c r="AG205" s="54"/>
      <c r="AL205" s="41" t="str">
        <f t="shared" si="82"/>
        <v/>
      </c>
      <c r="AM205" s="41">
        <v>196</v>
      </c>
      <c r="AN205" s="41">
        <f t="shared" si="95"/>
        <v>0</v>
      </c>
      <c r="AO205" s="41">
        <f t="shared" si="96"/>
        <v>0</v>
      </c>
      <c r="AP205" s="41">
        <f t="shared" si="97"/>
        <v>0</v>
      </c>
      <c r="AQ205" s="41">
        <f t="shared" si="98"/>
        <v>0</v>
      </c>
      <c r="AR205" s="41">
        <f t="shared" si="99"/>
        <v>0</v>
      </c>
      <c r="AS205" s="41">
        <f t="shared" si="100"/>
        <v>0</v>
      </c>
      <c r="AT205" s="41">
        <f t="shared" si="101"/>
        <v>0</v>
      </c>
      <c r="AU205" s="55">
        <f t="shared" si="102"/>
        <v>0</v>
      </c>
      <c r="AW205" s="41">
        <f t="shared" si="83"/>
        <v>0</v>
      </c>
      <c r="AX205" s="41">
        <f t="shared" si="84"/>
        <v>0</v>
      </c>
      <c r="AY205" s="41">
        <f t="shared" si="85"/>
        <v>0</v>
      </c>
      <c r="AZ205" s="41">
        <f t="shared" si="86"/>
        <v>0</v>
      </c>
      <c r="BA205" s="41">
        <f t="shared" si="87"/>
        <v>0</v>
      </c>
      <c r="BB205" s="41">
        <f t="shared" si="88"/>
        <v>0</v>
      </c>
      <c r="BC205" s="41">
        <f t="shared" si="89"/>
        <v>0</v>
      </c>
      <c r="BD205" s="55">
        <f t="shared" si="90"/>
        <v>0</v>
      </c>
      <c r="BF205" s="41">
        <f t="shared" si="103"/>
        <v>0</v>
      </c>
    </row>
    <row r="206" spans="1:58" ht="13.5">
      <c r="A206" s="41" t="str">
        <f>IF(Base!B204="","",Base!B204)</f>
        <v>15.327.501-7</v>
      </c>
      <c r="B206" s="41" t="str">
        <f>IF(Base!F204="","",Base!F204)</f>
        <v>LEONARDO  VASQUEZ  MONTECINO</v>
      </c>
      <c r="C206" s="41" t="str">
        <f>IF(Base!I204="","",Base!I204)</f>
        <v>Control y Gestión</v>
      </c>
      <c r="D206" s="42" t="str">
        <f>IF(Base!J204="","",Base!J204)</f>
        <v>Inspector tiempo</v>
      </c>
      <c r="E206" s="41">
        <f>IF(Base!H204="","",Base!H204)</f>
        <v>1050632</v>
      </c>
      <c r="J206" s="49">
        <v>196</v>
      </c>
      <c r="K206" s="115"/>
      <c r="L206" s="111" t="str">
        <f t="shared" si="91"/>
        <v/>
      </c>
      <c r="M206" s="111" t="str">
        <f t="shared" si="92"/>
        <v/>
      </c>
      <c r="N206" s="112" t="str">
        <f t="shared" si="93"/>
        <v/>
      </c>
      <c r="O206" s="112" t="str">
        <f t="shared" si="94"/>
        <v/>
      </c>
      <c r="P206" s="51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3">
        <f t="shared" si="80"/>
        <v>0</v>
      </c>
      <c r="AF206" s="53">
        <f t="shared" si="81"/>
        <v>0</v>
      </c>
      <c r="AG206" s="54"/>
      <c r="AL206" s="41" t="str">
        <f t="shared" si="82"/>
        <v/>
      </c>
      <c r="AM206" s="41">
        <v>197</v>
      </c>
      <c r="AN206" s="41">
        <f t="shared" si="95"/>
        <v>0</v>
      </c>
      <c r="AO206" s="41">
        <f t="shared" si="96"/>
        <v>0</v>
      </c>
      <c r="AP206" s="41">
        <f t="shared" si="97"/>
        <v>0</v>
      </c>
      <c r="AQ206" s="41">
        <f t="shared" si="98"/>
        <v>0</v>
      </c>
      <c r="AR206" s="41">
        <f t="shared" si="99"/>
        <v>0</v>
      </c>
      <c r="AS206" s="41">
        <f t="shared" si="100"/>
        <v>0</v>
      </c>
      <c r="AT206" s="41">
        <f t="shared" si="101"/>
        <v>0</v>
      </c>
      <c r="AU206" s="55">
        <f t="shared" si="102"/>
        <v>0</v>
      </c>
      <c r="AW206" s="41">
        <f t="shared" si="83"/>
        <v>0</v>
      </c>
      <c r="AX206" s="41">
        <f t="shared" si="84"/>
        <v>0</v>
      </c>
      <c r="AY206" s="41">
        <f t="shared" si="85"/>
        <v>0</v>
      </c>
      <c r="AZ206" s="41">
        <f t="shared" si="86"/>
        <v>0</v>
      </c>
      <c r="BA206" s="41">
        <f t="shared" si="87"/>
        <v>0</v>
      </c>
      <c r="BB206" s="41">
        <f t="shared" si="88"/>
        <v>0</v>
      </c>
      <c r="BC206" s="41">
        <f t="shared" si="89"/>
        <v>0</v>
      </c>
      <c r="BD206" s="55">
        <f t="shared" si="90"/>
        <v>0</v>
      </c>
      <c r="BF206" s="41">
        <f t="shared" si="103"/>
        <v>0</v>
      </c>
    </row>
    <row r="207" spans="1:58" ht="13.5">
      <c r="A207" s="41" t="str">
        <f>IF(Base!B205="","",Base!B205)</f>
        <v>08.881.760-5</v>
      </c>
      <c r="B207" s="41" t="str">
        <f>IF(Base!F205="","",Base!F205)</f>
        <v>MANUEL ORLANDO  VEGA  LEYTON</v>
      </c>
      <c r="C207" s="41" t="str">
        <f>IF(Base!I205="","",Base!I205)</f>
        <v>Sala filtros</v>
      </c>
      <c r="D207" s="42" t="str">
        <f>IF(Base!J205="","",Base!J205)</f>
        <v>Operador sala de filtros</v>
      </c>
      <c r="E207" s="41">
        <f>IF(Base!H205="","",Base!H205)</f>
        <v>1050574</v>
      </c>
      <c r="J207" s="49">
        <v>197</v>
      </c>
      <c r="K207" s="115"/>
      <c r="L207" s="111" t="str">
        <f t="shared" si="91"/>
        <v/>
      </c>
      <c r="M207" s="111" t="str">
        <f t="shared" si="92"/>
        <v/>
      </c>
      <c r="N207" s="112" t="str">
        <f t="shared" si="93"/>
        <v/>
      </c>
      <c r="O207" s="112" t="str">
        <f t="shared" si="94"/>
        <v/>
      </c>
      <c r="P207" s="51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3">
        <f t="shared" si="80"/>
        <v>0</v>
      </c>
      <c r="AF207" s="53">
        <f t="shared" si="81"/>
        <v>0</v>
      </c>
      <c r="AG207" s="54"/>
      <c r="AL207" s="41" t="str">
        <f t="shared" si="82"/>
        <v/>
      </c>
      <c r="AM207" s="41">
        <v>198</v>
      </c>
      <c r="AN207" s="41">
        <f t="shared" si="95"/>
        <v>0</v>
      </c>
      <c r="AO207" s="41">
        <f t="shared" si="96"/>
        <v>0</v>
      </c>
      <c r="AP207" s="41">
        <f t="shared" si="97"/>
        <v>0</v>
      </c>
      <c r="AQ207" s="41">
        <f t="shared" si="98"/>
        <v>0</v>
      </c>
      <c r="AR207" s="41">
        <f t="shared" si="99"/>
        <v>0</v>
      </c>
      <c r="AS207" s="41">
        <f t="shared" si="100"/>
        <v>0</v>
      </c>
      <c r="AT207" s="41">
        <f t="shared" si="101"/>
        <v>0</v>
      </c>
      <c r="AU207" s="55">
        <f t="shared" si="102"/>
        <v>0</v>
      </c>
      <c r="AW207" s="41">
        <f t="shared" si="83"/>
        <v>0</v>
      </c>
      <c r="AX207" s="41">
        <f t="shared" si="84"/>
        <v>0</v>
      </c>
      <c r="AY207" s="41">
        <f t="shared" si="85"/>
        <v>0</v>
      </c>
      <c r="AZ207" s="41">
        <f t="shared" si="86"/>
        <v>0</v>
      </c>
      <c r="BA207" s="41">
        <f t="shared" si="87"/>
        <v>0</v>
      </c>
      <c r="BB207" s="41">
        <f t="shared" si="88"/>
        <v>0</v>
      </c>
      <c r="BC207" s="41">
        <f t="shared" si="89"/>
        <v>0</v>
      </c>
      <c r="BD207" s="55">
        <f t="shared" si="90"/>
        <v>0</v>
      </c>
      <c r="BF207" s="41">
        <f t="shared" si="103"/>
        <v>0</v>
      </c>
    </row>
    <row r="208" spans="1:58" ht="13.5">
      <c r="A208" s="41" t="str">
        <f>IF(Base!B206="","",Base!B206)</f>
        <v>09.959.939-1</v>
      </c>
      <c r="B208" s="41" t="str">
        <f>IF(Base!F206="","",Base!F206)</f>
        <v>LEONOR VARINIA  VENEGAS  SANCHEZ</v>
      </c>
      <c r="C208" s="41" t="str">
        <f>IF(Base!I206="","",Base!I206)</f>
        <v>Linea 3</v>
      </c>
      <c r="D208" s="42" t="str">
        <f>IF(Base!J206="","",Base!J206)</f>
        <v>Inspector etiqueta</v>
      </c>
      <c r="E208" s="41">
        <f>IF(Base!H206="","",Base!H206)</f>
        <v>1050556</v>
      </c>
      <c r="J208" s="49">
        <v>198</v>
      </c>
      <c r="K208" s="115"/>
      <c r="L208" s="111" t="str">
        <f t="shared" si="91"/>
        <v/>
      </c>
      <c r="M208" s="111" t="str">
        <f t="shared" si="92"/>
        <v/>
      </c>
      <c r="N208" s="112" t="str">
        <f t="shared" si="93"/>
        <v/>
      </c>
      <c r="O208" s="112" t="str">
        <f t="shared" si="94"/>
        <v/>
      </c>
      <c r="P208" s="51"/>
      <c r="Q208" s="56"/>
      <c r="R208" s="49"/>
      <c r="S208" s="56"/>
      <c r="T208" s="49"/>
      <c r="U208" s="56"/>
      <c r="V208" s="49"/>
      <c r="W208" s="56"/>
      <c r="X208" s="49"/>
      <c r="Y208" s="56"/>
      <c r="Z208" s="49"/>
      <c r="AA208" s="56"/>
      <c r="AB208" s="49"/>
      <c r="AC208" s="56"/>
      <c r="AD208" s="49"/>
      <c r="AE208" s="53">
        <f t="shared" si="80"/>
        <v>0</v>
      </c>
      <c r="AF208" s="53">
        <f t="shared" si="81"/>
        <v>0</v>
      </c>
      <c r="AG208" s="54"/>
      <c r="AL208" s="41" t="str">
        <f t="shared" si="82"/>
        <v/>
      </c>
      <c r="AM208" s="41">
        <v>199</v>
      </c>
      <c r="AN208" s="41">
        <f t="shared" si="95"/>
        <v>0</v>
      </c>
      <c r="AO208" s="41">
        <f t="shared" si="96"/>
        <v>0</v>
      </c>
      <c r="AP208" s="41">
        <f t="shared" si="97"/>
        <v>0</v>
      </c>
      <c r="AQ208" s="41">
        <f t="shared" si="98"/>
        <v>0</v>
      </c>
      <c r="AR208" s="41">
        <f t="shared" si="99"/>
        <v>0</v>
      </c>
      <c r="AS208" s="41">
        <f t="shared" si="100"/>
        <v>0</v>
      </c>
      <c r="AT208" s="41">
        <f t="shared" si="101"/>
        <v>0</v>
      </c>
      <c r="AU208" s="55">
        <f t="shared" si="102"/>
        <v>0</v>
      </c>
      <c r="AW208" s="41">
        <f t="shared" si="83"/>
        <v>0</v>
      </c>
      <c r="AX208" s="41">
        <f t="shared" si="84"/>
        <v>0</v>
      </c>
      <c r="AY208" s="41">
        <f t="shared" si="85"/>
        <v>0</v>
      </c>
      <c r="AZ208" s="41">
        <f t="shared" si="86"/>
        <v>0</v>
      </c>
      <c r="BA208" s="41">
        <f t="shared" si="87"/>
        <v>0</v>
      </c>
      <c r="BB208" s="41">
        <f t="shared" si="88"/>
        <v>0</v>
      </c>
      <c r="BC208" s="41">
        <f t="shared" si="89"/>
        <v>0</v>
      </c>
      <c r="BD208" s="55">
        <f t="shared" si="90"/>
        <v>0</v>
      </c>
      <c r="BF208" s="41">
        <f t="shared" si="103"/>
        <v>0</v>
      </c>
    </row>
    <row r="209" spans="1:58" ht="13.5">
      <c r="A209" s="41" t="str">
        <f>IF(Base!B207="","",Base!B207)</f>
        <v>14.182.371-K</v>
      </c>
      <c r="B209" s="41" t="str">
        <f>IF(Base!F207="","",Base!F207)</f>
        <v>OSCAR EDUARDO  VERA  PALAVECINO</v>
      </c>
      <c r="C209" s="41" t="str">
        <f>IF(Base!I207="","",Base!I207)</f>
        <v>Control y Gestión</v>
      </c>
      <c r="D209" s="42" t="str">
        <f>IF(Base!J207="","",Base!J207)</f>
        <v>Inspector tiempo</v>
      </c>
      <c r="E209" s="41">
        <f>IF(Base!H207="","",Base!H207)</f>
        <v>1050632</v>
      </c>
      <c r="J209" s="49">
        <v>199</v>
      </c>
      <c r="K209" s="115"/>
      <c r="L209" s="111" t="str">
        <f t="shared" si="91"/>
        <v/>
      </c>
      <c r="M209" s="111" t="str">
        <f t="shared" si="92"/>
        <v/>
      </c>
      <c r="N209" s="112" t="str">
        <f t="shared" si="93"/>
        <v/>
      </c>
      <c r="O209" s="112" t="str">
        <f t="shared" si="94"/>
        <v/>
      </c>
      <c r="P209" s="51"/>
      <c r="Q209" s="56"/>
      <c r="R209" s="49"/>
      <c r="S209" s="56"/>
      <c r="T209" s="49"/>
      <c r="U209" s="56"/>
      <c r="V209" s="49"/>
      <c r="W209" s="56"/>
      <c r="X209" s="49"/>
      <c r="Y209" s="56"/>
      <c r="Z209" s="49"/>
      <c r="AA209" s="56"/>
      <c r="AB209" s="49"/>
      <c r="AC209" s="56"/>
      <c r="AD209" s="49"/>
      <c r="AE209" s="53">
        <f t="shared" si="80"/>
        <v>0</v>
      </c>
      <c r="AF209" s="53">
        <f t="shared" si="81"/>
        <v>0</v>
      </c>
      <c r="AG209" s="54"/>
      <c r="AL209" s="41" t="str">
        <f t="shared" si="82"/>
        <v/>
      </c>
      <c r="AM209" s="41">
        <v>200</v>
      </c>
      <c r="AN209" s="41">
        <f t="shared" si="95"/>
        <v>0</v>
      </c>
      <c r="AO209" s="41">
        <f t="shared" si="96"/>
        <v>0</v>
      </c>
      <c r="AP209" s="41">
        <f t="shared" si="97"/>
        <v>0</v>
      </c>
      <c r="AQ209" s="41">
        <f t="shared" si="98"/>
        <v>0</v>
      </c>
      <c r="AR209" s="41">
        <f t="shared" si="99"/>
        <v>0</v>
      </c>
      <c r="AS209" s="41">
        <f t="shared" si="100"/>
        <v>0</v>
      </c>
      <c r="AT209" s="41">
        <f t="shared" si="101"/>
        <v>0</v>
      </c>
      <c r="AU209" s="55">
        <f t="shared" si="102"/>
        <v>0</v>
      </c>
      <c r="AW209" s="41">
        <f t="shared" si="83"/>
        <v>0</v>
      </c>
      <c r="AX209" s="41">
        <f t="shared" si="84"/>
        <v>0</v>
      </c>
      <c r="AY209" s="41">
        <f t="shared" si="85"/>
        <v>0</v>
      </c>
      <c r="AZ209" s="41">
        <f t="shared" si="86"/>
        <v>0</v>
      </c>
      <c r="BA209" s="41">
        <f t="shared" si="87"/>
        <v>0</v>
      </c>
      <c r="BB209" s="41">
        <f t="shared" si="88"/>
        <v>0</v>
      </c>
      <c r="BC209" s="41">
        <f t="shared" si="89"/>
        <v>0</v>
      </c>
      <c r="BD209" s="55">
        <f t="shared" si="90"/>
        <v>0</v>
      </c>
      <c r="BF209" s="41">
        <f t="shared" si="103"/>
        <v>0</v>
      </c>
    </row>
    <row r="210" spans="1:58" ht="13.5">
      <c r="A210" s="41" t="str">
        <f>IF(Base!B208="","",Base!B208)</f>
        <v>16.267.560-5</v>
      </c>
      <c r="B210" s="41" t="str">
        <f>IF(Base!F208="","",Base!F208)</f>
        <v>BRAULIO SEBASTIAN  VICENCIO  ALVEAR</v>
      </c>
      <c r="C210" s="41" t="str">
        <f>IF(Base!I208="","",Base!I208)</f>
        <v>Linea 2</v>
      </c>
      <c r="D210" s="42" t="str">
        <f>IF(Base!J208="","",Base!J208)</f>
        <v>Embalador</v>
      </c>
      <c r="E210" s="41">
        <f>IF(Base!H208="","",Base!H208)</f>
        <v>1050554</v>
      </c>
      <c r="J210" s="49">
        <v>200</v>
      </c>
      <c r="K210" s="115"/>
      <c r="L210" s="111" t="str">
        <f t="shared" si="91"/>
        <v/>
      </c>
      <c r="M210" s="111" t="str">
        <f t="shared" si="92"/>
        <v/>
      </c>
      <c r="N210" s="112" t="str">
        <f t="shared" si="93"/>
        <v/>
      </c>
      <c r="O210" s="112" t="str">
        <f t="shared" si="94"/>
        <v/>
      </c>
      <c r="P210" s="51"/>
      <c r="Q210" s="56"/>
      <c r="R210" s="49"/>
      <c r="S210" s="56"/>
      <c r="T210" s="49"/>
      <c r="U210" s="56"/>
      <c r="V210" s="49"/>
      <c r="W210" s="56"/>
      <c r="X210" s="49"/>
      <c r="Y210" s="56"/>
      <c r="Z210" s="49"/>
      <c r="AA210" s="56"/>
      <c r="AB210" s="49"/>
      <c r="AC210" s="56"/>
      <c r="AD210" s="49"/>
      <c r="AE210" s="53">
        <f t="shared" si="80"/>
        <v>0</v>
      </c>
      <c r="AF210" s="53">
        <f t="shared" si="81"/>
        <v>0</v>
      </c>
      <c r="AG210" s="54"/>
      <c r="AL210" s="41" t="str">
        <f t="shared" si="82"/>
        <v/>
      </c>
      <c r="AM210" s="41">
        <v>201</v>
      </c>
      <c r="AN210" s="41">
        <f t="shared" si="95"/>
        <v>0</v>
      </c>
      <c r="AO210" s="41">
        <f t="shared" si="96"/>
        <v>0</v>
      </c>
      <c r="AP210" s="41">
        <f t="shared" si="97"/>
        <v>0</v>
      </c>
      <c r="AQ210" s="41">
        <f t="shared" si="98"/>
        <v>0</v>
      </c>
      <c r="AR210" s="41">
        <f t="shared" si="99"/>
        <v>0</v>
      </c>
      <c r="AS210" s="41">
        <f t="shared" si="100"/>
        <v>0</v>
      </c>
      <c r="AT210" s="41">
        <f t="shared" si="101"/>
        <v>0</v>
      </c>
      <c r="AU210" s="55">
        <f t="shared" si="102"/>
        <v>0</v>
      </c>
      <c r="AW210" s="41">
        <f t="shared" si="83"/>
        <v>0</v>
      </c>
      <c r="AX210" s="41">
        <f t="shared" si="84"/>
        <v>0</v>
      </c>
      <c r="AY210" s="41">
        <f t="shared" si="85"/>
        <v>0</v>
      </c>
      <c r="AZ210" s="41">
        <f t="shared" si="86"/>
        <v>0</v>
      </c>
      <c r="BA210" s="41">
        <f t="shared" si="87"/>
        <v>0</v>
      </c>
      <c r="BB210" s="41">
        <f t="shared" si="88"/>
        <v>0</v>
      </c>
      <c r="BC210" s="41">
        <f t="shared" si="89"/>
        <v>0</v>
      </c>
      <c r="BD210" s="55">
        <f t="shared" si="90"/>
        <v>0</v>
      </c>
      <c r="BF210" s="41">
        <f t="shared" si="103"/>
        <v>0</v>
      </c>
    </row>
    <row r="211" spans="1:58" ht="13.5">
      <c r="A211" s="41" t="str">
        <f>IF(Base!B209="","",Base!B209)</f>
        <v>10.311.290-7</v>
      </c>
      <c r="B211" s="41" t="str">
        <f>IF(Base!F209="","",Base!F209)</f>
        <v>RICARDO V.  VIDAL  ATENAS</v>
      </c>
      <c r="C211" s="41" t="str">
        <f>IF(Base!I209="","",Base!I209)</f>
        <v>Sala filtros</v>
      </c>
      <c r="D211" s="42" t="str">
        <f>IF(Base!J209="","",Base!J209)</f>
        <v>Operador sala de filtros</v>
      </c>
      <c r="E211" s="41">
        <f>IF(Base!H209="","",Base!H209)</f>
        <v>1050574</v>
      </c>
      <c r="J211" s="49">
        <v>201</v>
      </c>
      <c r="K211" s="115"/>
      <c r="L211" s="111" t="str">
        <f t="shared" si="91"/>
        <v/>
      </c>
      <c r="M211" s="111" t="str">
        <f t="shared" si="92"/>
        <v/>
      </c>
      <c r="N211" s="112" t="str">
        <f t="shared" si="93"/>
        <v/>
      </c>
      <c r="O211" s="112" t="str">
        <f t="shared" si="94"/>
        <v/>
      </c>
      <c r="P211" s="51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3">
        <f t="shared" si="80"/>
        <v>0</v>
      </c>
      <c r="AF211" s="53">
        <f t="shared" si="81"/>
        <v>0</v>
      </c>
      <c r="AG211" s="54"/>
      <c r="AL211" s="41" t="str">
        <f t="shared" si="82"/>
        <v/>
      </c>
      <c r="AM211" s="41">
        <v>202</v>
      </c>
      <c r="AN211" s="41">
        <f t="shared" si="95"/>
        <v>0</v>
      </c>
      <c r="AO211" s="41">
        <f t="shared" si="96"/>
        <v>0</v>
      </c>
      <c r="AP211" s="41">
        <f t="shared" si="97"/>
        <v>0</v>
      </c>
      <c r="AQ211" s="41">
        <f t="shared" si="98"/>
        <v>0</v>
      </c>
      <c r="AR211" s="41">
        <f t="shared" si="99"/>
        <v>0</v>
      </c>
      <c r="AS211" s="41">
        <f t="shared" si="100"/>
        <v>0</v>
      </c>
      <c r="AT211" s="41">
        <f t="shared" si="101"/>
        <v>0</v>
      </c>
      <c r="AU211" s="55">
        <f t="shared" si="102"/>
        <v>0</v>
      </c>
      <c r="AW211" s="41">
        <f t="shared" si="83"/>
        <v>0</v>
      </c>
      <c r="AX211" s="41">
        <f t="shared" si="84"/>
        <v>0</v>
      </c>
      <c r="AY211" s="41">
        <f t="shared" si="85"/>
        <v>0</v>
      </c>
      <c r="AZ211" s="41">
        <f t="shared" si="86"/>
        <v>0</v>
      </c>
      <c r="BA211" s="41">
        <f t="shared" si="87"/>
        <v>0</v>
      </c>
      <c r="BB211" s="41">
        <f t="shared" si="88"/>
        <v>0</v>
      </c>
      <c r="BC211" s="41">
        <f t="shared" si="89"/>
        <v>0</v>
      </c>
      <c r="BD211" s="55">
        <f t="shared" si="90"/>
        <v>0</v>
      </c>
      <c r="BF211" s="41">
        <f t="shared" si="103"/>
        <v>0</v>
      </c>
    </row>
    <row r="212" spans="1:58" ht="13.5">
      <c r="A212" s="41" t="str">
        <f>IF(Base!B210="","",Base!B210)</f>
        <v>07.807.741-7</v>
      </c>
      <c r="B212" s="41" t="str">
        <f>IF(Base!F210="","",Base!F210)</f>
        <v>RUBEN A  VIDAL  ORMAZABAL</v>
      </c>
      <c r="C212" s="41" t="str">
        <f>IF(Base!I210="","",Base!I210)</f>
        <v>BIB</v>
      </c>
      <c r="D212" s="42" t="str">
        <f>IF(Base!J210="","",Base!J210)</f>
        <v>BIB</v>
      </c>
      <c r="E212" s="41">
        <f>IF(Base!H210="","",Base!H210)</f>
        <v>1050595</v>
      </c>
      <c r="J212" s="49">
        <v>202</v>
      </c>
      <c r="K212" s="115"/>
      <c r="L212" s="111" t="str">
        <f t="shared" si="91"/>
        <v/>
      </c>
      <c r="M212" s="111" t="str">
        <f t="shared" si="92"/>
        <v/>
      </c>
      <c r="N212" s="112" t="str">
        <f t="shared" si="93"/>
        <v/>
      </c>
      <c r="O212" s="112" t="str">
        <f t="shared" si="94"/>
        <v/>
      </c>
      <c r="P212" s="51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3">
        <f t="shared" si="80"/>
        <v>0</v>
      </c>
      <c r="AF212" s="53">
        <f t="shared" si="81"/>
        <v>0</v>
      </c>
      <c r="AG212" s="54"/>
      <c r="AL212" s="41" t="str">
        <f t="shared" si="82"/>
        <v/>
      </c>
      <c r="AM212" s="41">
        <v>203</v>
      </c>
      <c r="AN212" s="41">
        <f t="shared" si="95"/>
        <v>0</v>
      </c>
      <c r="AO212" s="41">
        <f t="shared" si="96"/>
        <v>0</v>
      </c>
      <c r="AP212" s="41">
        <f t="shared" si="97"/>
        <v>0</v>
      </c>
      <c r="AQ212" s="41">
        <f t="shared" si="98"/>
        <v>0</v>
      </c>
      <c r="AR212" s="41">
        <f t="shared" si="99"/>
        <v>0</v>
      </c>
      <c r="AS212" s="41">
        <f t="shared" si="100"/>
        <v>0</v>
      </c>
      <c r="AT212" s="41">
        <f t="shared" si="101"/>
        <v>0</v>
      </c>
      <c r="AU212" s="55">
        <f t="shared" si="102"/>
        <v>0</v>
      </c>
      <c r="AW212" s="41">
        <f t="shared" si="83"/>
        <v>0</v>
      </c>
      <c r="AX212" s="41">
        <f t="shared" si="84"/>
        <v>0</v>
      </c>
      <c r="AY212" s="41">
        <f t="shared" si="85"/>
        <v>0</v>
      </c>
      <c r="AZ212" s="41">
        <f t="shared" si="86"/>
        <v>0</v>
      </c>
      <c r="BA212" s="41">
        <f t="shared" si="87"/>
        <v>0</v>
      </c>
      <c r="BB212" s="41">
        <f t="shared" si="88"/>
        <v>0</v>
      </c>
      <c r="BC212" s="41">
        <f t="shared" si="89"/>
        <v>0</v>
      </c>
      <c r="BD212" s="55">
        <f t="shared" si="90"/>
        <v>0</v>
      </c>
      <c r="BF212" s="41">
        <f t="shared" si="103"/>
        <v>0</v>
      </c>
    </row>
    <row r="213" spans="1:58" ht="13.5">
      <c r="A213" s="41" t="str">
        <f>IF(Base!B211="","",Base!B211)</f>
        <v>13.835.927-1</v>
      </c>
      <c r="B213" s="41" t="str">
        <f>IF(Base!F211="","",Base!F211)</f>
        <v>FELIPE  ZAVALA  ARAVENA</v>
      </c>
      <c r="C213" s="41" t="str">
        <f>IF(Base!I211="","",Base!I211)</f>
        <v>Linea 3</v>
      </c>
      <c r="D213" s="42" t="str">
        <f>IF(Base!J211="","",Base!J211)</f>
        <v>Lavador externo</v>
      </c>
      <c r="E213" s="41">
        <f>IF(Base!H211="","",Base!H211)</f>
        <v>1050556</v>
      </c>
      <c r="J213" s="49">
        <v>203</v>
      </c>
      <c r="K213" s="115"/>
      <c r="L213" s="111" t="str">
        <f t="shared" si="91"/>
        <v/>
      </c>
      <c r="M213" s="111" t="str">
        <f t="shared" si="92"/>
        <v/>
      </c>
      <c r="N213" s="112" t="str">
        <f t="shared" si="93"/>
        <v/>
      </c>
      <c r="O213" s="112" t="str">
        <f t="shared" si="94"/>
        <v/>
      </c>
      <c r="P213" s="51"/>
      <c r="Q213" s="56"/>
      <c r="R213" s="49"/>
      <c r="S213" s="56"/>
      <c r="T213" s="49"/>
      <c r="U213" s="56"/>
      <c r="V213" s="49"/>
      <c r="W213" s="56"/>
      <c r="X213" s="49"/>
      <c r="Y213" s="56"/>
      <c r="Z213" s="49"/>
      <c r="AA213" s="56"/>
      <c r="AB213" s="49"/>
      <c r="AC213" s="56"/>
      <c r="AD213" s="49"/>
      <c r="AE213" s="53">
        <f t="shared" ref="AE213:AE260" si="104">SUM(Q213,S213,U213,W213,Y213,AA213,AC213)</f>
        <v>0</v>
      </c>
      <c r="AF213" s="53">
        <f t="shared" ref="AF213:AF260" si="105">SUM(R213,T213,V213,X213,Z213,AB213,AD213)</f>
        <v>0</v>
      </c>
      <c r="AG213" s="54"/>
      <c r="AL213" s="41" t="str">
        <f t="shared" si="82"/>
        <v/>
      </c>
      <c r="AM213" s="41">
        <v>204</v>
      </c>
      <c r="AN213" s="41">
        <f t="shared" si="95"/>
        <v>0</v>
      </c>
      <c r="AO213" s="41">
        <f t="shared" si="96"/>
        <v>0</v>
      </c>
      <c r="AP213" s="41">
        <f t="shared" si="97"/>
        <v>0</v>
      </c>
      <c r="AQ213" s="41">
        <f t="shared" si="98"/>
        <v>0</v>
      </c>
      <c r="AR213" s="41">
        <f t="shared" si="99"/>
        <v>0</v>
      </c>
      <c r="AS213" s="41">
        <f t="shared" si="100"/>
        <v>0</v>
      </c>
      <c r="AT213" s="41">
        <f t="shared" si="101"/>
        <v>0</v>
      </c>
      <c r="AU213" s="55">
        <f t="shared" si="102"/>
        <v>0</v>
      </c>
      <c r="AW213" s="41">
        <f t="shared" si="83"/>
        <v>0</v>
      </c>
      <c r="AX213" s="41">
        <f t="shared" si="84"/>
        <v>0</v>
      </c>
      <c r="AY213" s="41">
        <f t="shared" si="85"/>
        <v>0</v>
      </c>
      <c r="AZ213" s="41">
        <f t="shared" si="86"/>
        <v>0</v>
      </c>
      <c r="BA213" s="41">
        <f t="shared" si="87"/>
        <v>0</v>
      </c>
      <c r="BB213" s="41">
        <f t="shared" si="88"/>
        <v>0</v>
      </c>
      <c r="BC213" s="41">
        <f t="shared" si="89"/>
        <v>0</v>
      </c>
      <c r="BD213" s="55">
        <f t="shared" si="90"/>
        <v>0</v>
      </c>
      <c r="BF213" s="41">
        <f t="shared" si="103"/>
        <v>0</v>
      </c>
    </row>
    <row r="214" spans="1:58" ht="13.5">
      <c r="A214" s="41" t="str">
        <f>IF(Base!B212="","",Base!B212)</f>
        <v>12719073-9</v>
      </c>
      <c r="B214" s="41" t="str">
        <f>IF(Base!F212="","",Base!F212)</f>
        <v>ALEX  EYZAGUIRRE  LARA</v>
      </c>
      <c r="C214" s="41" t="str">
        <f>IF(Base!I212="","",Base!I212)</f>
        <v>Supervisor</v>
      </c>
      <c r="D214" s="42" t="str">
        <f>IF(Base!J212="","",Base!J212)</f>
        <v>Supervisor</v>
      </c>
      <c r="E214" s="41">
        <f>IF(Base!H212="","",Base!H212)</f>
        <v>1050603</v>
      </c>
      <c r="J214" s="49">
        <v>204</v>
      </c>
      <c r="K214" s="115"/>
      <c r="L214" s="111" t="str">
        <f t="shared" si="91"/>
        <v/>
      </c>
      <c r="M214" s="111" t="str">
        <f t="shared" si="92"/>
        <v/>
      </c>
      <c r="N214" s="112" t="str">
        <f t="shared" si="93"/>
        <v/>
      </c>
      <c r="O214" s="112" t="str">
        <f t="shared" si="94"/>
        <v/>
      </c>
      <c r="P214" s="51"/>
      <c r="Q214" s="56"/>
      <c r="R214" s="49"/>
      <c r="S214" s="56"/>
      <c r="T214" s="49"/>
      <c r="U214" s="56"/>
      <c r="V214" s="49"/>
      <c r="W214" s="56"/>
      <c r="X214" s="49"/>
      <c r="Y214" s="56"/>
      <c r="Z214" s="49"/>
      <c r="AA214" s="56"/>
      <c r="AB214" s="49"/>
      <c r="AC214" s="56"/>
      <c r="AD214" s="49"/>
      <c r="AE214" s="53">
        <f t="shared" si="104"/>
        <v>0</v>
      </c>
      <c r="AF214" s="53">
        <f t="shared" si="105"/>
        <v>0</v>
      </c>
      <c r="AG214" s="54"/>
      <c r="AL214" s="41" t="str">
        <f t="shared" si="82"/>
        <v/>
      </c>
      <c r="AM214" s="41">
        <v>205</v>
      </c>
      <c r="AN214" s="41">
        <f t="shared" si="95"/>
        <v>0</v>
      </c>
      <c r="AO214" s="41">
        <f t="shared" si="96"/>
        <v>0</v>
      </c>
      <c r="AP214" s="41">
        <f t="shared" si="97"/>
        <v>0</v>
      </c>
      <c r="AQ214" s="41">
        <f t="shared" si="98"/>
        <v>0</v>
      </c>
      <c r="AR214" s="41">
        <f t="shared" si="99"/>
        <v>0</v>
      </c>
      <c r="AS214" s="41">
        <f t="shared" si="100"/>
        <v>0</v>
      </c>
      <c r="AT214" s="41">
        <f t="shared" si="101"/>
        <v>0</v>
      </c>
      <c r="AU214" s="55">
        <f t="shared" si="102"/>
        <v>0</v>
      </c>
      <c r="AW214" s="41">
        <f t="shared" si="83"/>
        <v>0</v>
      </c>
      <c r="AX214" s="41">
        <f t="shared" si="84"/>
        <v>0</v>
      </c>
      <c r="AY214" s="41">
        <f t="shared" si="85"/>
        <v>0</v>
      </c>
      <c r="AZ214" s="41">
        <f t="shared" si="86"/>
        <v>0</v>
      </c>
      <c r="BA214" s="41">
        <f t="shared" si="87"/>
        <v>0</v>
      </c>
      <c r="BB214" s="41">
        <f t="shared" si="88"/>
        <v>0</v>
      </c>
      <c r="BC214" s="41">
        <f t="shared" si="89"/>
        <v>0</v>
      </c>
      <c r="BD214" s="55">
        <f t="shared" si="90"/>
        <v>0</v>
      </c>
      <c r="BF214" s="41">
        <f t="shared" si="103"/>
        <v>0</v>
      </c>
    </row>
    <row r="215" spans="1:58" ht="13.5">
      <c r="A215" s="41" t="str">
        <f>IF(Base!B213="","",Base!B213)</f>
        <v>12.175.753-2</v>
      </c>
      <c r="B215" s="41" t="str">
        <f>IF(Base!F213="","",Base!F213)</f>
        <v>MARIO  MESIAS  PALMA</v>
      </c>
      <c r="C215" s="41" t="str">
        <f>IF(Base!I213="","",Base!I213)</f>
        <v>Jefe control y gestión</v>
      </c>
      <c r="D215" s="42" t="str">
        <f>IF(Base!J213="","",Base!J213)</f>
        <v>Jefe control y gestión</v>
      </c>
      <c r="E215" s="41">
        <f>IF(Base!H213="","",Base!H213)</f>
        <v>1050632</v>
      </c>
      <c r="J215" s="49">
        <v>205</v>
      </c>
      <c r="K215" s="115"/>
      <c r="L215" s="111" t="str">
        <f t="shared" si="91"/>
        <v/>
      </c>
      <c r="M215" s="111" t="str">
        <f t="shared" si="92"/>
        <v/>
      </c>
      <c r="N215" s="112" t="str">
        <f t="shared" si="93"/>
        <v/>
      </c>
      <c r="O215" s="112" t="str">
        <f t="shared" si="94"/>
        <v/>
      </c>
      <c r="P215" s="51"/>
      <c r="Q215" s="56"/>
      <c r="R215" s="49"/>
      <c r="S215" s="56"/>
      <c r="T215" s="49"/>
      <c r="U215" s="56"/>
      <c r="V215" s="49"/>
      <c r="W215" s="56"/>
      <c r="X215" s="49"/>
      <c r="Y215" s="56"/>
      <c r="Z215" s="49"/>
      <c r="AA215" s="56"/>
      <c r="AB215" s="49"/>
      <c r="AC215" s="56"/>
      <c r="AD215" s="49"/>
      <c r="AE215" s="53">
        <f t="shared" si="104"/>
        <v>0</v>
      </c>
      <c r="AF215" s="53">
        <f t="shared" si="105"/>
        <v>0</v>
      </c>
      <c r="AG215" s="54"/>
      <c r="AL215" s="41" t="str">
        <f t="shared" si="82"/>
        <v/>
      </c>
      <c r="AM215" s="41">
        <v>206</v>
      </c>
      <c r="AN215" s="41">
        <f t="shared" si="95"/>
        <v>0</v>
      </c>
      <c r="AO215" s="41">
        <f t="shared" si="96"/>
        <v>0</v>
      </c>
      <c r="AP215" s="41">
        <f t="shared" si="97"/>
        <v>0</v>
      </c>
      <c r="AQ215" s="41">
        <f t="shared" si="98"/>
        <v>0</v>
      </c>
      <c r="AR215" s="41">
        <f t="shared" si="99"/>
        <v>0</v>
      </c>
      <c r="AS215" s="41">
        <f t="shared" si="100"/>
        <v>0</v>
      </c>
      <c r="AT215" s="41">
        <f t="shared" si="101"/>
        <v>0</v>
      </c>
      <c r="AU215" s="55">
        <f t="shared" si="102"/>
        <v>0</v>
      </c>
      <c r="AW215" s="41">
        <f t="shared" si="83"/>
        <v>0</v>
      </c>
      <c r="AX215" s="41">
        <f t="shared" si="84"/>
        <v>0</v>
      </c>
      <c r="AY215" s="41">
        <f t="shared" si="85"/>
        <v>0</v>
      </c>
      <c r="AZ215" s="41">
        <f t="shared" si="86"/>
        <v>0</v>
      </c>
      <c r="BA215" s="41">
        <f t="shared" si="87"/>
        <v>0</v>
      </c>
      <c r="BB215" s="41">
        <f t="shared" si="88"/>
        <v>0</v>
      </c>
      <c r="BC215" s="41">
        <f t="shared" si="89"/>
        <v>0</v>
      </c>
      <c r="BD215" s="55">
        <f t="shared" si="90"/>
        <v>0</v>
      </c>
      <c r="BF215" s="41">
        <f t="shared" si="103"/>
        <v>0</v>
      </c>
    </row>
    <row r="216" spans="1:58" ht="13.5">
      <c r="A216" s="41" t="str">
        <f>IF(Base!B214="","",Base!B214)</f>
        <v>13.045.231-0</v>
      </c>
      <c r="B216" s="41" t="str">
        <f>IF(Base!F214="","",Base!F214)</f>
        <v>FELIPE  ARANCIBIA  SILVA</v>
      </c>
      <c r="C216" s="41" t="str">
        <f>IF(Base!I214="","",Base!I214)</f>
        <v xml:space="preserve">Setup </v>
      </c>
      <c r="D216" s="42" t="str">
        <f>IF(Base!J214="","",Base!J214)</f>
        <v xml:space="preserve">Setup </v>
      </c>
      <c r="E216" s="41">
        <f>IF(Base!H214="","",Base!H214)</f>
        <v>1050529</v>
      </c>
      <c r="J216" s="49">
        <v>206</v>
      </c>
      <c r="K216" s="115"/>
      <c r="L216" s="111" t="str">
        <f t="shared" si="91"/>
        <v/>
      </c>
      <c r="M216" s="111" t="str">
        <f t="shared" si="92"/>
        <v/>
      </c>
      <c r="N216" s="112" t="str">
        <f t="shared" si="93"/>
        <v/>
      </c>
      <c r="O216" s="112" t="str">
        <f t="shared" si="94"/>
        <v/>
      </c>
      <c r="P216" s="51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3">
        <f t="shared" si="104"/>
        <v>0</v>
      </c>
      <c r="AF216" s="53">
        <f t="shared" si="105"/>
        <v>0</v>
      </c>
      <c r="AG216" s="54"/>
      <c r="AL216" s="41" t="str">
        <f t="shared" si="82"/>
        <v/>
      </c>
      <c r="AM216" s="41">
        <v>207</v>
      </c>
      <c r="AN216" s="41">
        <f t="shared" si="95"/>
        <v>0</v>
      </c>
      <c r="AO216" s="41">
        <f t="shared" si="96"/>
        <v>0</v>
      </c>
      <c r="AP216" s="41">
        <f t="shared" si="97"/>
        <v>0</v>
      </c>
      <c r="AQ216" s="41">
        <f t="shared" si="98"/>
        <v>0</v>
      </c>
      <c r="AR216" s="41">
        <f t="shared" si="99"/>
        <v>0</v>
      </c>
      <c r="AS216" s="41">
        <f t="shared" si="100"/>
        <v>0</v>
      </c>
      <c r="AT216" s="41">
        <f t="shared" si="101"/>
        <v>0</v>
      </c>
      <c r="AU216" s="55">
        <f t="shared" si="102"/>
        <v>0</v>
      </c>
      <c r="AW216" s="41">
        <f t="shared" si="83"/>
        <v>0</v>
      </c>
      <c r="AX216" s="41">
        <f t="shared" si="84"/>
        <v>0</v>
      </c>
      <c r="AY216" s="41">
        <f t="shared" si="85"/>
        <v>0</v>
      </c>
      <c r="AZ216" s="41">
        <f t="shared" si="86"/>
        <v>0</v>
      </c>
      <c r="BA216" s="41">
        <f t="shared" si="87"/>
        <v>0</v>
      </c>
      <c r="BB216" s="41">
        <f t="shared" si="88"/>
        <v>0</v>
      </c>
      <c r="BC216" s="41">
        <f t="shared" si="89"/>
        <v>0</v>
      </c>
      <c r="BD216" s="55">
        <f t="shared" si="90"/>
        <v>0</v>
      </c>
      <c r="BF216" s="41">
        <f t="shared" si="103"/>
        <v>0</v>
      </c>
    </row>
    <row r="217" spans="1:58" ht="13.5">
      <c r="A217" s="41" t="str">
        <f>IF(Base!B215="","",Base!B215)</f>
        <v>14.307.619-9</v>
      </c>
      <c r="B217" s="41" t="str">
        <f>IF(Base!F215="","",Base!F215)</f>
        <v>LUIS ROBERTO  BERRIOS  LOPEZ</v>
      </c>
      <c r="C217" s="41" t="str">
        <f>IF(Base!I215="","",Base!I215)</f>
        <v xml:space="preserve">Setup </v>
      </c>
      <c r="D217" s="42" t="str">
        <f>IF(Base!J215="","",Base!J215)</f>
        <v xml:space="preserve">Setup </v>
      </c>
      <c r="E217" s="41">
        <f>IF(Base!H215="","",Base!H215)</f>
        <v>1050529</v>
      </c>
      <c r="J217" s="49">
        <v>207</v>
      </c>
      <c r="K217" s="115"/>
      <c r="L217" s="111" t="str">
        <f t="shared" si="91"/>
        <v/>
      </c>
      <c r="M217" s="111" t="str">
        <f t="shared" si="92"/>
        <v/>
      </c>
      <c r="N217" s="112" t="str">
        <f t="shared" si="93"/>
        <v/>
      </c>
      <c r="O217" s="112" t="str">
        <f t="shared" si="94"/>
        <v/>
      </c>
      <c r="P217" s="51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3">
        <f t="shared" si="104"/>
        <v>0</v>
      </c>
      <c r="AF217" s="53">
        <f t="shared" si="105"/>
        <v>0</v>
      </c>
      <c r="AG217" s="54"/>
      <c r="AL217" s="41" t="str">
        <f t="shared" ref="AL217:AL260" si="106">IF(K217="","",K217)</f>
        <v/>
      </c>
      <c r="AM217" s="41">
        <v>208</v>
      </c>
      <c r="AN217" s="41">
        <f t="shared" si="95"/>
        <v>0</v>
      </c>
      <c r="AO217" s="41">
        <f t="shared" si="96"/>
        <v>0</v>
      </c>
      <c r="AP217" s="41">
        <f t="shared" si="97"/>
        <v>0</v>
      </c>
      <c r="AQ217" s="41">
        <f t="shared" si="98"/>
        <v>0</v>
      </c>
      <c r="AR217" s="41">
        <f t="shared" si="99"/>
        <v>0</v>
      </c>
      <c r="AS217" s="41">
        <f t="shared" si="100"/>
        <v>0</v>
      </c>
      <c r="AT217" s="41">
        <f t="shared" si="101"/>
        <v>0</v>
      </c>
      <c r="AU217" s="55">
        <f t="shared" si="102"/>
        <v>0</v>
      </c>
      <c r="AW217" s="41">
        <f t="shared" si="83"/>
        <v>0</v>
      </c>
      <c r="AX217" s="41">
        <f t="shared" si="84"/>
        <v>0</v>
      </c>
      <c r="AY217" s="41">
        <f t="shared" si="85"/>
        <v>0</v>
      </c>
      <c r="AZ217" s="41">
        <f t="shared" si="86"/>
        <v>0</v>
      </c>
      <c r="BA217" s="41">
        <f t="shared" si="87"/>
        <v>0</v>
      </c>
      <c r="BB217" s="41">
        <f t="shared" si="88"/>
        <v>0</v>
      </c>
      <c r="BC217" s="41">
        <f t="shared" si="89"/>
        <v>0</v>
      </c>
      <c r="BD217" s="55">
        <f t="shared" si="90"/>
        <v>0</v>
      </c>
      <c r="BF217" s="41">
        <f t="shared" si="103"/>
        <v>0</v>
      </c>
    </row>
    <row r="218" spans="1:58" ht="13.5">
      <c r="A218" s="41" t="str">
        <f>IF(Base!B216="","",Base!B216)</f>
        <v>15.439.409-5</v>
      </c>
      <c r="B218" s="41" t="str">
        <f>IF(Base!F216="","",Base!F216)</f>
        <v>MARICEL ANDREA  BRAVO  SALAMANCA</v>
      </c>
      <c r="C218" s="41" t="str">
        <f>IF(Base!I216="","",Base!I216)</f>
        <v xml:space="preserve">Setup </v>
      </c>
      <c r="D218" s="42" t="str">
        <f>IF(Base!J216="","",Base!J216)</f>
        <v xml:space="preserve">Setup </v>
      </c>
      <c r="E218" s="41">
        <f>IF(Base!H216="","",Base!H216)</f>
        <v>1050529</v>
      </c>
      <c r="J218" s="49">
        <v>208</v>
      </c>
      <c r="K218" s="115"/>
      <c r="L218" s="111" t="str">
        <f t="shared" si="91"/>
        <v/>
      </c>
      <c r="M218" s="111" t="str">
        <f t="shared" si="92"/>
        <v/>
      </c>
      <c r="N218" s="112" t="str">
        <f t="shared" si="93"/>
        <v/>
      </c>
      <c r="O218" s="112" t="str">
        <f t="shared" si="94"/>
        <v/>
      </c>
      <c r="P218" s="51"/>
      <c r="Q218" s="56"/>
      <c r="R218" s="49"/>
      <c r="S218" s="56"/>
      <c r="T218" s="49"/>
      <c r="U218" s="56"/>
      <c r="V218" s="49"/>
      <c r="W218" s="56"/>
      <c r="X218" s="49"/>
      <c r="Y218" s="56"/>
      <c r="Z218" s="49"/>
      <c r="AA218" s="56"/>
      <c r="AB218" s="49"/>
      <c r="AC218" s="56"/>
      <c r="AD218" s="49"/>
      <c r="AE218" s="53">
        <f t="shared" si="104"/>
        <v>0</v>
      </c>
      <c r="AF218" s="53">
        <f t="shared" si="105"/>
        <v>0</v>
      </c>
      <c r="AG218" s="54"/>
      <c r="AL218" s="41" t="str">
        <f t="shared" si="106"/>
        <v/>
      </c>
      <c r="AM218" s="41">
        <v>209</v>
      </c>
      <c r="AN218" s="41">
        <f t="shared" si="95"/>
        <v>0</v>
      </c>
      <c r="AO218" s="41">
        <f t="shared" si="96"/>
        <v>0</v>
      </c>
      <c r="AP218" s="41">
        <f t="shared" si="97"/>
        <v>0</v>
      </c>
      <c r="AQ218" s="41">
        <f t="shared" si="98"/>
        <v>0</v>
      </c>
      <c r="AR218" s="41">
        <f t="shared" si="99"/>
        <v>0</v>
      </c>
      <c r="AS218" s="41">
        <f t="shared" si="100"/>
        <v>0</v>
      </c>
      <c r="AT218" s="41">
        <f t="shared" si="101"/>
        <v>0</v>
      </c>
      <c r="AU218" s="55">
        <f t="shared" si="102"/>
        <v>0</v>
      </c>
      <c r="AW218" s="41">
        <f t="shared" si="83"/>
        <v>0</v>
      </c>
      <c r="AX218" s="41">
        <f t="shared" si="84"/>
        <v>0</v>
      </c>
      <c r="AY218" s="41">
        <f t="shared" si="85"/>
        <v>0</v>
      </c>
      <c r="AZ218" s="41">
        <f t="shared" si="86"/>
        <v>0</v>
      </c>
      <c r="BA218" s="41">
        <f t="shared" si="87"/>
        <v>0</v>
      </c>
      <c r="BB218" s="41">
        <f t="shared" si="88"/>
        <v>0</v>
      </c>
      <c r="BC218" s="41">
        <f t="shared" si="89"/>
        <v>0</v>
      </c>
      <c r="BD218" s="55">
        <f t="shared" si="90"/>
        <v>0</v>
      </c>
      <c r="BF218" s="41">
        <f t="shared" si="103"/>
        <v>0</v>
      </c>
    </row>
    <row r="219" spans="1:58" ht="13.5">
      <c r="A219" s="41" t="str">
        <f>IF(Base!B217="","",Base!B217)</f>
        <v>09.774.031-3</v>
      </c>
      <c r="B219" s="41" t="str">
        <f>IF(Base!F217="","",Base!F217)</f>
        <v>VICTOR  CACERES  VASQUEZ</v>
      </c>
      <c r="C219" s="41" t="str">
        <f>IF(Base!I217="","",Base!I217)</f>
        <v>Setup</v>
      </c>
      <c r="D219" s="42" t="str">
        <f>IF(Base!J217="","",Base!J217)</f>
        <v>Setup</v>
      </c>
      <c r="E219" s="41">
        <f>IF(Base!H217="","",Base!H217)</f>
        <v>1050529</v>
      </c>
      <c r="J219" s="49">
        <v>209</v>
      </c>
      <c r="K219" s="115"/>
      <c r="L219" s="111" t="str">
        <f t="shared" si="91"/>
        <v/>
      </c>
      <c r="M219" s="111" t="str">
        <f t="shared" si="92"/>
        <v/>
      </c>
      <c r="N219" s="112" t="str">
        <f t="shared" si="93"/>
        <v/>
      </c>
      <c r="O219" s="112" t="str">
        <f t="shared" si="94"/>
        <v/>
      </c>
      <c r="P219" s="51"/>
      <c r="Q219" s="56"/>
      <c r="R219" s="49"/>
      <c r="S219" s="56"/>
      <c r="T219" s="49"/>
      <c r="U219" s="56"/>
      <c r="V219" s="49"/>
      <c r="W219" s="56"/>
      <c r="X219" s="49"/>
      <c r="Y219" s="56"/>
      <c r="Z219" s="49"/>
      <c r="AA219" s="56"/>
      <c r="AB219" s="49"/>
      <c r="AC219" s="56"/>
      <c r="AD219" s="49"/>
      <c r="AE219" s="53">
        <f t="shared" si="104"/>
        <v>0</v>
      </c>
      <c r="AF219" s="53">
        <f t="shared" si="105"/>
        <v>0</v>
      </c>
      <c r="AG219" s="54"/>
      <c r="AL219" s="41" t="str">
        <f t="shared" si="106"/>
        <v/>
      </c>
      <c r="AM219" s="41">
        <v>210</v>
      </c>
      <c r="AN219" s="41">
        <f t="shared" si="95"/>
        <v>0</v>
      </c>
      <c r="AO219" s="41">
        <f t="shared" si="96"/>
        <v>0</v>
      </c>
      <c r="AP219" s="41">
        <f t="shared" si="97"/>
        <v>0</v>
      </c>
      <c r="AQ219" s="41">
        <f t="shared" si="98"/>
        <v>0</v>
      </c>
      <c r="AR219" s="41">
        <f t="shared" si="99"/>
        <v>0</v>
      </c>
      <c r="AS219" s="41">
        <f t="shared" si="100"/>
        <v>0</v>
      </c>
      <c r="AT219" s="41">
        <f t="shared" si="101"/>
        <v>0</v>
      </c>
      <c r="AU219" s="55">
        <f t="shared" si="102"/>
        <v>0</v>
      </c>
      <c r="AW219" s="41">
        <f t="shared" si="83"/>
        <v>0</v>
      </c>
      <c r="AX219" s="41">
        <f t="shared" si="84"/>
        <v>0</v>
      </c>
      <c r="AY219" s="41">
        <f t="shared" si="85"/>
        <v>0</v>
      </c>
      <c r="AZ219" s="41">
        <f t="shared" si="86"/>
        <v>0</v>
      </c>
      <c r="BA219" s="41">
        <f t="shared" si="87"/>
        <v>0</v>
      </c>
      <c r="BB219" s="41">
        <f t="shared" si="88"/>
        <v>0</v>
      </c>
      <c r="BC219" s="41">
        <f t="shared" si="89"/>
        <v>0</v>
      </c>
      <c r="BD219" s="55">
        <f t="shared" si="90"/>
        <v>0</v>
      </c>
      <c r="BF219" s="41">
        <f t="shared" si="103"/>
        <v>0</v>
      </c>
    </row>
    <row r="220" spans="1:58" ht="13.5">
      <c r="A220" s="41" t="str">
        <f>IF(Base!B218="","",Base!B218)</f>
        <v>08.406.841-1</v>
      </c>
      <c r="B220" s="41" t="str">
        <f>IF(Base!F218="","",Base!F218)</f>
        <v>BRAULIO GUILLERMO  CASANOVA  SALINAS</v>
      </c>
      <c r="C220" s="41" t="str">
        <f>IF(Base!I218="","",Base!I218)</f>
        <v xml:space="preserve">Setup </v>
      </c>
      <c r="D220" s="42" t="str">
        <f>IF(Base!J218="","",Base!J218)</f>
        <v xml:space="preserve">Setup </v>
      </c>
      <c r="E220" s="41">
        <f>IF(Base!H218="","",Base!H218)</f>
        <v>1050529</v>
      </c>
      <c r="J220" s="49">
        <v>210</v>
      </c>
      <c r="K220" s="115"/>
      <c r="L220" s="111" t="str">
        <f t="shared" si="91"/>
        <v/>
      </c>
      <c r="M220" s="111" t="str">
        <f t="shared" si="92"/>
        <v/>
      </c>
      <c r="N220" s="112" t="str">
        <f t="shared" si="93"/>
        <v/>
      </c>
      <c r="O220" s="112" t="str">
        <f t="shared" si="94"/>
        <v/>
      </c>
      <c r="P220" s="51"/>
      <c r="Q220" s="56"/>
      <c r="R220" s="49"/>
      <c r="S220" s="56"/>
      <c r="T220" s="49"/>
      <c r="U220" s="56"/>
      <c r="V220" s="49"/>
      <c r="W220" s="56"/>
      <c r="X220" s="49"/>
      <c r="Y220" s="56"/>
      <c r="Z220" s="49"/>
      <c r="AA220" s="56"/>
      <c r="AB220" s="49"/>
      <c r="AC220" s="56"/>
      <c r="AD220" s="49"/>
      <c r="AE220" s="53">
        <f t="shared" si="104"/>
        <v>0</v>
      </c>
      <c r="AF220" s="53">
        <f t="shared" si="105"/>
        <v>0</v>
      </c>
      <c r="AG220" s="54"/>
      <c r="AL220" s="41" t="str">
        <f t="shared" si="106"/>
        <v/>
      </c>
      <c r="AM220" s="41">
        <v>211</v>
      </c>
      <c r="AN220" s="41">
        <f t="shared" si="95"/>
        <v>0</v>
      </c>
      <c r="AO220" s="41">
        <f t="shared" si="96"/>
        <v>0</v>
      </c>
      <c r="AP220" s="41">
        <f t="shared" si="97"/>
        <v>0</v>
      </c>
      <c r="AQ220" s="41">
        <f t="shared" si="98"/>
        <v>0</v>
      </c>
      <c r="AR220" s="41">
        <f t="shared" si="99"/>
        <v>0</v>
      </c>
      <c r="AS220" s="41">
        <f t="shared" si="100"/>
        <v>0</v>
      </c>
      <c r="AT220" s="41">
        <f t="shared" si="101"/>
        <v>0</v>
      </c>
      <c r="AU220" s="55">
        <f t="shared" si="102"/>
        <v>0</v>
      </c>
      <c r="AW220" s="41">
        <f t="shared" si="83"/>
        <v>0</v>
      </c>
      <c r="AX220" s="41">
        <f t="shared" si="84"/>
        <v>0</v>
      </c>
      <c r="AY220" s="41">
        <f t="shared" si="85"/>
        <v>0</v>
      </c>
      <c r="AZ220" s="41">
        <f t="shared" si="86"/>
        <v>0</v>
      </c>
      <c r="BA220" s="41">
        <f t="shared" si="87"/>
        <v>0</v>
      </c>
      <c r="BB220" s="41">
        <f t="shared" si="88"/>
        <v>0</v>
      </c>
      <c r="BC220" s="41">
        <f t="shared" si="89"/>
        <v>0</v>
      </c>
      <c r="BD220" s="55">
        <f t="shared" si="90"/>
        <v>0</v>
      </c>
      <c r="BF220" s="41">
        <f t="shared" si="103"/>
        <v>0</v>
      </c>
    </row>
    <row r="221" spans="1:58" ht="13.5">
      <c r="A221" s="41" t="str">
        <f>IF(Base!B219="","",Base!B219)</f>
        <v>10.042.994-2</v>
      </c>
      <c r="B221" s="41" t="str">
        <f>IF(Base!F219="","",Base!F219)</f>
        <v>ELIZABETH  CONCHA  VALDEBENITO</v>
      </c>
      <c r="C221" s="41" t="str">
        <f>IF(Base!I219="","",Base!I219)</f>
        <v xml:space="preserve">Setup </v>
      </c>
      <c r="D221" s="42" t="str">
        <f>IF(Base!J219="","",Base!J219)</f>
        <v xml:space="preserve">Setup </v>
      </c>
      <c r="E221" s="41">
        <f>IF(Base!H219="","",Base!H219)</f>
        <v>1050529</v>
      </c>
      <c r="J221" s="49">
        <v>211</v>
      </c>
      <c r="K221" s="115"/>
      <c r="L221" s="111" t="str">
        <f t="shared" si="91"/>
        <v/>
      </c>
      <c r="M221" s="111" t="str">
        <f t="shared" si="92"/>
        <v/>
      </c>
      <c r="N221" s="112" t="str">
        <f t="shared" si="93"/>
        <v/>
      </c>
      <c r="O221" s="112" t="str">
        <f t="shared" si="94"/>
        <v/>
      </c>
      <c r="P221" s="51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3">
        <f t="shared" si="104"/>
        <v>0</v>
      </c>
      <c r="AF221" s="53">
        <f t="shared" si="105"/>
        <v>0</v>
      </c>
      <c r="AG221" s="54"/>
      <c r="AL221" s="41" t="str">
        <f t="shared" si="106"/>
        <v/>
      </c>
      <c r="AM221" s="41">
        <v>212</v>
      </c>
      <c r="AN221" s="41">
        <f t="shared" si="95"/>
        <v>0</v>
      </c>
      <c r="AO221" s="41">
        <f t="shared" si="96"/>
        <v>0</v>
      </c>
      <c r="AP221" s="41">
        <f t="shared" si="97"/>
        <v>0</v>
      </c>
      <c r="AQ221" s="41">
        <f t="shared" si="98"/>
        <v>0</v>
      </c>
      <c r="AR221" s="41">
        <f t="shared" si="99"/>
        <v>0</v>
      </c>
      <c r="AS221" s="41">
        <f t="shared" si="100"/>
        <v>0</v>
      </c>
      <c r="AT221" s="41">
        <f t="shared" si="101"/>
        <v>0</v>
      </c>
      <c r="AU221" s="55">
        <f t="shared" si="102"/>
        <v>0</v>
      </c>
      <c r="AW221" s="41">
        <f t="shared" si="83"/>
        <v>0</v>
      </c>
      <c r="AX221" s="41">
        <f t="shared" si="84"/>
        <v>0</v>
      </c>
      <c r="AY221" s="41">
        <f t="shared" si="85"/>
        <v>0</v>
      </c>
      <c r="AZ221" s="41">
        <f t="shared" si="86"/>
        <v>0</v>
      </c>
      <c r="BA221" s="41">
        <f t="shared" si="87"/>
        <v>0</v>
      </c>
      <c r="BB221" s="41">
        <f t="shared" si="88"/>
        <v>0</v>
      </c>
      <c r="BC221" s="41">
        <f t="shared" si="89"/>
        <v>0</v>
      </c>
      <c r="BD221" s="55">
        <f t="shared" si="90"/>
        <v>0</v>
      </c>
      <c r="BF221" s="41">
        <f t="shared" si="103"/>
        <v>0</v>
      </c>
    </row>
    <row r="222" spans="1:58" ht="13.5">
      <c r="A222" s="41" t="str">
        <f>IF(Base!B220="","",Base!B220)</f>
        <v>12.093.149-0</v>
      </c>
      <c r="B222" s="41" t="str">
        <f>IF(Base!F220="","",Base!F220)</f>
        <v>ANGEL GUILLERMO  CONTRERAS  CORTES</v>
      </c>
      <c r="C222" s="41" t="str">
        <f>IF(Base!I220="","",Base!I220)</f>
        <v xml:space="preserve">Setup </v>
      </c>
      <c r="D222" s="42" t="str">
        <f>IF(Base!J220="","",Base!J220)</f>
        <v xml:space="preserve">Setup </v>
      </c>
      <c r="E222" s="41">
        <f>IF(Base!H220="","",Base!H220)</f>
        <v>1050529</v>
      </c>
      <c r="J222" s="49">
        <v>212</v>
      </c>
      <c r="K222" s="115"/>
      <c r="L222" s="111" t="str">
        <f t="shared" si="91"/>
        <v/>
      </c>
      <c r="M222" s="111" t="str">
        <f t="shared" si="92"/>
        <v/>
      </c>
      <c r="N222" s="112" t="str">
        <f t="shared" si="93"/>
        <v/>
      </c>
      <c r="O222" s="112" t="str">
        <f t="shared" si="94"/>
        <v/>
      </c>
      <c r="P222" s="51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3">
        <f t="shared" si="104"/>
        <v>0</v>
      </c>
      <c r="AF222" s="53">
        <f t="shared" si="105"/>
        <v>0</v>
      </c>
      <c r="AG222" s="54"/>
      <c r="AL222" s="41" t="str">
        <f t="shared" si="106"/>
        <v/>
      </c>
      <c r="AM222" s="41">
        <v>213</v>
      </c>
      <c r="AN222" s="41">
        <f t="shared" si="95"/>
        <v>0</v>
      </c>
      <c r="AO222" s="41">
        <f t="shared" si="96"/>
        <v>0</v>
      </c>
      <c r="AP222" s="41">
        <f t="shared" si="97"/>
        <v>0</v>
      </c>
      <c r="AQ222" s="41">
        <f t="shared" si="98"/>
        <v>0</v>
      </c>
      <c r="AR222" s="41">
        <f t="shared" si="99"/>
        <v>0</v>
      </c>
      <c r="AS222" s="41">
        <f t="shared" si="100"/>
        <v>0</v>
      </c>
      <c r="AT222" s="41">
        <f t="shared" si="101"/>
        <v>0</v>
      </c>
      <c r="AU222" s="55">
        <f t="shared" si="102"/>
        <v>0</v>
      </c>
      <c r="AW222" s="41">
        <f t="shared" si="83"/>
        <v>0</v>
      </c>
      <c r="AX222" s="41">
        <f t="shared" si="84"/>
        <v>0</v>
      </c>
      <c r="AY222" s="41">
        <f t="shared" si="85"/>
        <v>0</v>
      </c>
      <c r="AZ222" s="41">
        <f t="shared" si="86"/>
        <v>0</v>
      </c>
      <c r="BA222" s="41">
        <f t="shared" si="87"/>
        <v>0</v>
      </c>
      <c r="BB222" s="41">
        <f t="shared" si="88"/>
        <v>0</v>
      </c>
      <c r="BC222" s="41">
        <f t="shared" si="89"/>
        <v>0</v>
      </c>
      <c r="BD222" s="55">
        <f t="shared" si="90"/>
        <v>0</v>
      </c>
      <c r="BF222" s="41">
        <f t="shared" si="103"/>
        <v>0</v>
      </c>
    </row>
    <row r="223" spans="1:58" ht="13.5">
      <c r="A223" s="41" t="str">
        <f>IF(Base!B221="","",Base!B221)</f>
        <v>21.318.186-6</v>
      </c>
      <c r="B223" s="41" t="str">
        <f>IF(Base!F221="","",Base!F221)</f>
        <v>CLAUDIO ALBERTO  DONOSO  ROSAS</v>
      </c>
      <c r="C223" s="41" t="str">
        <f>IF(Base!I221="","",Base!I221)</f>
        <v>Linea 1</v>
      </c>
      <c r="D223" s="42" t="str">
        <f>IF(Base!J221="","",Base!J221)</f>
        <v>Etiquetador</v>
      </c>
      <c r="E223" s="41">
        <f>IF(Base!H221="","",Base!H221)</f>
        <v>1050552</v>
      </c>
      <c r="J223" s="49">
        <v>213</v>
      </c>
      <c r="K223" s="115"/>
      <c r="L223" s="111" t="str">
        <f t="shared" si="91"/>
        <v/>
      </c>
      <c r="M223" s="111" t="str">
        <f t="shared" si="92"/>
        <v/>
      </c>
      <c r="N223" s="112" t="str">
        <f t="shared" si="93"/>
        <v/>
      </c>
      <c r="O223" s="112" t="str">
        <f t="shared" si="94"/>
        <v/>
      </c>
      <c r="P223" s="51"/>
      <c r="Q223" s="56"/>
      <c r="R223" s="49"/>
      <c r="S223" s="56"/>
      <c r="T223" s="49"/>
      <c r="U223" s="56"/>
      <c r="V223" s="49"/>
      <c r="W223" s="56"/>
      <c r="X223" s="49"/>
      <c r="Y223" s="56"/>
      <c r="Z223" s="49"/>
      <c r="AA223" s="56"/>
      <c r="AB223" s="49"/>
      <c r="AC223" s="56"/>
      <c r="AD223" s="49"/>
      <c r="AE223" s="53">
        <f t="shared" si="104"/>
        <v>0</v>
      </c>
      <c r="AF223" s="53">
        <f t="shared" si="105"/>
        <v>0</v>
      </c>
      <c r="AG223" s="54"/>
      <c r="AL223" s="41" t="str">
        <f t="shared" si="106"/>
        <v/>
      </c>
      <c r="AM223" s="41">
        <v>214</v>
      </c>
      <c r="AN223" s="41">
        <f t="shared" si="95"/>
        <v>0</v>
      </c>
      <c r="AO223" s="41">
        <f t="shared" si="96"/>
        <v>0</v>
      </c>
      <c r="AP223" s="41">
        <f t="shared" si="97"/>
        <v>0</v>
      </c>
      <c r="AQ223" s="41">
        <f t="shared" si="98"/>
        <v>0</v>
      </c>
      <c r="AR223" s="41">
        <f t="shared" si="99"/>
        <v>0</v>
      </c>
      <c r="AS223" s="41">
        <f t="shared" si="100"/>
        <v>0</v>
      </c>
      <c r="AT223" s="41">
        <f t="shared" si="101"/>
        <v>0</v>
      </c>
      <c r="AU223" s="55">
        <f t="shared" si="102"/>
        <v>0</v>
      </c>
      <c r="AW223" s="41">
        <f t="shared" ref="AW223:AW260" si="107">R223</f>
        <v>0</v>
      </c>
      <c r="AX223" s="41">
        <f t="shared" ref="AX223:AX260" si="108">T223</f>
        <v>0</v>
      </c>
      <c r="AY223" s="41">
        <f t="shared" ref="AY223:AY260" si="109">V223</f>
        <v>0</v>
      </c>
      <c r="AZ223" s="41">
        <f t="shared" ref="AZ223:AZ260" si="110">X223</f>
        <v>0</v>
      </c>
      <c r="BA223" s="41">
        <f t="shared" ref="BA223:BA260" si="111">Z223</f>
        <v>0</v>
      </c>
      <c r="BB223" s="41">
        <f t="shared" ref="BB223:BB260" si="112">AB223</f>
        <v>0</v>
      </c>
      <c r="BC223" s="41">
        <f t="shared" ref="BC223:BC260" si="113">AD223</f>
        <v>0</v>
      </c>
      <c r="BD223" s="55">
        <f t="shared" ref="BD223:BD260" si="114">IF(SUM(AW223:BC223)=0,0,SUM(AW223:BC223))</f>
        <v>0</v>
      </c>
      <c r="BF223" s="41">
        <f t="shared" si="103"/>
        <v>0</v>
      </c>
    </row>
    <row r="224" spans="1:58" ht="13.5">
      <c r="A224" s="41" t="str">
        <f>IF(Base!B222="","",Base!B222)</f>
        <v>15.533.689-7</v>
      </c>
      <c r="B224" s="41" t="str">
        <f>IF(Base!F222="","",Base!F222)</f>
        <v>ROBERTO  DURAN  BRAVO</v>
      </c>
      <c r="C224" s="41" t="str">
        <f>IF(Base!I222="","",Base!I222)</f>
        <v xml:space="preserve">Setup </v>
      </c>
      <c r="D224" s="42" t="str">
        <f>IF(Base!J222="","",Base!J222)</f>
        <v xml:space="preserve">Setup </v>
      </c>
      <c r="E224" s="41">
        <f>IF(Base!H222="","",Base!H222)</f>
        <v>1050529</v>
      </c>
      <c r="J224" s="49">
        <v>214</v>
      </c>
      <c r="K224" s="115"/>
      <c r="L224" s="111" t="str">
        <f t="shared" si="91"/>
        <v/>
      </c>
      <c r="M224" s="111" t="str">
        <f t="shared" si="92"/>
        <v/>
      </c>
      <c r="N224" s="112" t="str">
        <f t="shared" si="93"/>
        <v/>
      </c>
      <c r="O224" s="112" t="str">
        <f t="shared" si="94"/>
        <v/>
      </c>
      <c r="P224" s="51"/>
      <c r="Q224" s="56"/>
      <c r="R224" s="49"/>
      <c r="S224" s="56"/>
      <c r="T224" s="49"/>
      <c r="U224" s="56"/>
      <c r="V224" s="49"/>
      <c r="W224" s="56"/>
      <c r="X224" s="49"/>
      <c r="Y224" s="56"/>
      <c r="Z224" s="49"/>
      <c r="AA224" s="56"/>
      <c r="AB224" s="49"/>
      <c r="AC224" s="56"/>
      <c r="AD224" s="49"/>
      <c r="AE224" s="53">
        <f t="shared" si="104"/>
        <v>0</v>
      </c>
      <c r="AF224" s="53">
        <f t="shared" si="105"/>
        <v>0</v>
      </c>
      <c r="AG224" s="54"/>
      <c r="AL224" s="41" t="str">
        <f t="shared" si="106"/>
        <v/>
      </c>
      <c r="AM224" s="41">
        <v>215</v>
      </c>
      <c r="AN224" s="41">
        <f t="shared" si="95"/>
        <v>0</v>
      </c>
      <c r="AO224" s="41">
        <f t="shared" si="96"/>
        <v>0</v>
      </c>
      <c r="AP224" s="41">
        <f t="shared" si="97"/>
        <v>0</v>
      </c>
      <c r="AQ224" s="41">
        <f t="shared" si="98"/>
        <v>0</v>
      </c>
      <c r="AR224" s="41">
        <f t="shared" si="99"/>
        <v>0</v>
      </c>
      <c r="AS224" s="41">
        <f t="shared" si="100"/>
        <v>0</v>
      </c>
      <c r="AT224" s="41">
        <f t="shared" si="101"/>
        <v>0</v>
      </c>
      <c r="AU224" s="55">
        <f t="shared" si="102"/>
        <v>0</v>
      </c>
      <c r="AW224" s="41">
        <f t="shared" si="107"/>
        <v>0</v>
      </c>
      <c r="AX224" s="41">
        <f t="shared" si="108"/>
        <v>0</v>
      </c>
      <c r="AY224" s="41">
        <f t="shared" si="109"/>
        <v>0</v>
      </c>
      <c r="AZ224" s="41">
        <f t="shared" si="110"/>
        <v>0</v>
      </c>
      <c r="BA224" s="41">
        <f t="shared" si="111"/>
        <v>0</v>
      </c>
      <c r="BB224" s="41">
        <f t="shared" si="112"/>
        <v>0</v>
      </c>
      <c r="BC224" s="41">
        <f t="shared" si="113"/>
        <v>0</v>
      </c>
      <c r="BD224" s="55">
        <f t="shared" si="114"/>
        <v>0</v>
      </c>
      <c r="BF224" s="41">
        <f t="shared" si="103"/>
        <v>0</v>
      </c>
    </row>
    <row r="225" spans="1:58" ht="13.5">
      <c r="A225" s="41" t="str">
        <f>IF(Base!B223="","",Base!B223)</f>
        <v>15.449.281-K</v>
      </c>
      <c r="B225" s="41" t="str">
        <f>IF(Base!F223="","",Base!F223)</f>
        <v>ROBERTO FABIAN  DURAN  MIRANDA</v>
      </c>
      <c r="C225" s="41" t="str">
        <f>IF(Base!I223="","",Base!I223)</f>
        <v xml:space="preserve">Setup </v>
      </c>
      <c r="D225" s="42" t="str">
        <f>IF(Base!J223="","",Base!J223)</f>
        <v xml:space="preserve">Setup </v>
      </c>
      <c r="E225" s="41">
        <f>IF(Base!H223="","",Base!H223)</f>
        <v>1050529</v>
      </c>
      <c r="J225" s="49">
        <v>215</v>
      </c>
      <c r="K225" s="115"/>
      <c r="L225" s="111" t="str">
        <f t="shared" si="91"/>
        <v/>
      </c>
      <c r="M225" s="111" t="str">
        <f t="shared" si="92"/>
        <v/>
      </c>
      <c r="N225" s="112" t="str">
        <f t="shared" si="93"/>
        <v/>
      </c>
      <c r="O225" s="112" t="str">
        <f t="shared" si="94"/>
        <v/>
      </c>
      <c r="P225" s="51"/>
      <c r="Q225" s="56"/>
      <c r="R225" s="49"/>
      <c r="S225" s="56"/>
      <c r="T225" s="49"/>
      <c r="U225" s="56"/>
      <c r="V225" s="49"/>
      <c r="W225" s="56"/>
      <c r="X225" s="49"/>
      <c r="Y225" s="56"/>
      <c r="Z225" s="49"/>
      <c r="AA225" s="56"/>
      <c r="AB225" s="49"/>
      <c r="AC225" s="56"/>
      <c r="AD225" s="49"/>
      <c r="AE225" s="53">
        <f t="shared" si="104"/>
        <v>0</v>
      </c>
      <c r="AF225" s="53">
        <f t="shared" si="105"/>
        <v>0</v>
      </c>
      <c r="AG225" s="54"/>
      <c r="AL225" s="41" t="str">
        <f t="shared" si="106"/>
        <v/>
      </c>
      <c r="AM225" s="41">
        <v>216</v>
      </c>
      <c r="AN225" s="41">
        <f t="shared" si="95"/>
        <v>0</v>
      </c>
      <c r="AO225" s="41">
        <f t="shared" si="96"/>
        <v>0</v>
      </c>
      <c r="AP225" s="41">
        <f t="shared" si="97"/>
        <v>0</v>
      </c>
      <c r="AQ225" s="41">
        <f t="shared" si="98"/>
        <v>0</v>
      </c>
      <c r="AR225" s="41">
        <f t="shared" si="99"/>
        <v>0</v>
      </c>
      <c r="AS225" s="41">
        <f t="shared" si="100"/>
        <v>0</v>
      </c>
      <c r="AT225" s="41">
        <f t="shared" si="101"/>
        <v>0</v>
      </c>
      <c r="AU225" s="55">
        <f t="shared" si="102"/>
        <v>0</v>
      </c>
      <c r="AW225" s="41">
        <f t="shared" si="107"/>
        <v>0</v>
      </c>
      <c r="AX225" s="41">
        <f t="shared" si="108"/>
        <v>0</v>
      </c>
      <c r="AY225" s="41">
        <f t="shared" si="109"/>
        <v>0</v>
      </c>
      <c r="AZ225" s="41">
        <f t="shared" si="110"/>
        <v>0</v>
      </c>
      <c r="BA225" s="41">
        <f t="shared" si="111"/>
        <v>0</v>
      </c>
      <c r="BB225" s="41">
        <f t="shared" si="112"/>
        <v>0</v>
      </c>
      <c r="BC225" s="41">
        <f t="shared" si="113"/>
        <v>0</v>
      </c>
      <c r="BD225" s="55">
        <f t="shared" si="114"/>
        <v>0</v>
      </c>
      <c r="BF225" s="41">
        <f t="shared" si="103"/>
        <v>0</v>
      </c>
    </row>
    <row r="226" spans="1:58" ht="13.5">
      <c r="A226" s="41" t="str">
        <f>IF(Base!B224="","",Base!B224)</f>
        <v>08.247.677-6</v>
      </c>
      <c r="B226" s="41" t="str">
        <f>IF(Base!F224="","",Base!F224)</f>
        <v>HUMBERTO GERMAN  ESCOBAR  GUTIERREZ</v>
      </c>
      <c r="C226" s="41" t="str">
        <f>IF(Base!I224="","",Base!I224)</f>
        <v xml:space="preserve">Setup </v>
      </c>
      <c r="D226" s="42" t="str">
        <f>IF(Base!J224="","",Base!J224)</f>
        <v xml:space="preserve">Setup </v>
      </c>
      <c r="E226" s="41">
        <f>IF(Base!H224="","",Base!H224)</f>
        <v>1050529</v>
      </c>
      <c r="J226" s="49">
        <v>216</v>
      </c>
      <c r="K226" s="115"/>
      <c r="L226" s="111" t="str">
        <f t="shared" si="91"/>
        <v/>
      </c>
      <c r="M226" s="111" t="str">
        <f t="shared" si="92"/>
        <v/>
      </c>
      <c r="N226" s="112" t="str">
        <f t="shared" si="93"/>
        <v/>
      </c>
      <c r="O226" s="112" t="str">
        <f t="shared" si="94"/>
        <v/>
      </c>
      <c r="P226" s="51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3">
        <f t="shared" si="104"/>
        <v>0</v>
      </c>
      <c r="AF226" s="53">
        <f t="shared" si="105"/>
        <v>0</v>
      </c>
      <c r="AG226" s="54"/>
      <c r="AL226" s="41" t="str">
        <f t="shared" si="106"/>
        <v/>
      </c>
      <c r="AM226" s="41">
        <v>217</v>
      </c>
      <c r="AN226" s="41">
        <f t="shared" si="95"/>
        <v>0</v>
      </c>
      <c r="AO226" s="41">
        <f t="shared" si="96"/>
        <v>0</v>
      </c>
      <c r="AP226" s="41">
        <f t="shared" si="97"/>
        <v>0</v>
      </c>
      <c r="AQ226" s="41">
        <f t="shared" si="98"/>
        <v>0</v>
      </c>
      <c r="AR226" s="41">
        <f t="shared" si="99"/>
        <v>0</v>
      </c>
      <c r="AS226" s="41">
        <f t="shared" si="100"/>
        <v>0</v>
      </c>
      <c r="AT226" s="41">
        <f t="shared" si="101"/>
        <v>0</v>
      </c>
      <c r="AU226" s="55">
        <f t="shared" si="102"/>
        <v>0</v>
      </c>
      <c r="AW226" s="41">
        <f t="shared" si="107"/>
        <v>0</v>
      </c>
      <c r="AX226" s="41">
        <f t="shared" si="108"/>
        <v>0</v>
      </c>
      <c r="AY226" s="41">
        <f t="shared" si="109"/>
        <v>0</v>
      </c>
      <c r="AZ226" s="41">
        <f t="shared" si="110"/>
        <v>0</v>
      </c>
      <c r="BA226" s="41">
        <f t="shared" si="111"/>
        <v>0</v>
      </c>
      <c r="BB226" s="41">
        <f t="shared" si="112"/>
        <v>0</v>
      </c>
      <c r="BC226" s="41">
        <f t="shared" si="113"/>
        <v>0</v>
      </c>
      <c r="BD226" s="55">
        <f t="shared" si="114"/>
        <v>0</v>
      </c>
      <c r="BF226" s="41">
        <f t="shared" si="103"/>
        <v>0</v>
      </c>
    </row>
    <row r="227" spans="1:58" ht="13.5">
      <c r="A227" s="41" t="str">
        <f>IF(Base!B225="","",Base!B225)</f>
        <v>16.413.939-5</v>
      </c>
      <c r="B227" s="41" t="str">
        <f>IF(Base!F225="","",Base!F225)</f>
        <v>FABIAN  ESPINOZA  MATURANA</v>
      </c>
      <c r="C227" s="41" t="str">
        <f>IF(Base!I225="","",Base!I225)</f>
        <v>Linea 7</v>
      </c>
      <c r="D227" s="42" t="str">
        <f>IF(Base!J225="","",Base!J225)</f>
        <v>Etiquetador</v>
      </c>
      <c r="E227" s="41">
        <f>IF(Base!H225="","",Base!H225)</f>
        <v>1050616</v>
      </c>
      <c r="J227" s="49">
        <v>217</v>
      </c>
      <c r="K227" s="115"/>
      <c r="L227" s="111" t="str">
        <f t="shared" si="91"/>
        <v/>
      </c>
      <c r="M227" s="111" t="str">
        <f t="shared" si="92"/>
        <v/>
      </c>
      <c r="N227" s="112" t="str">
        <f t="shared" si="93"/>
        <v/>
      </c>
      <c r="O227" s="112" t="str">
        <f t="shared" si="94"/>
        <v/>
      </c>
      <c r="P227" s="51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3">
        <f t="shared" si="104"/>
        <v>0</v>
      </c>
      <c r="AF227" s="53">
        <f t="shared" si="105"/>
        <v>0</v>
      </c>
      <c r="AG227" s="54"/>
      <c r="AL227" s="41" t="str">
        <f t="shared" si="106"/>
        <v/>
      </c>
      <c r="AM227" s="41">
        <v>218</v>
      </c>
      <c r="AN227" s="41">
        <f t="shared" si="95"/>
        <v>0</v>
      </c>
      <c r="AO227" s="41">
        <f t="shared" si="96"/>
        <v>0</v>
      </c>
      <c r="AP227" s="41">
        <f t="shared" si="97"/>
        <v>0</v>
      </c>
      <c r="AQ227" s="41">
        <f t="shared" si="98"/>
        <v>0</v>
      </c>
      <c r="AR227" s="41">
        <f t="shared" si="99"/>
        <v>0</v>
      </c>
      <c r="AS227" s="41">
        <f t="shared" si="100"/>
        <v>0</v>
      </c>
      <c r="AT227" s="41">
        <f t="shared" si="101"/>
        <v>0</v>
      </c>
      <c r="AU227" s="55">
        <f t="shared" si="102"/>
        <v>0</v>
      </c>
      <c r="AW227" s="41">
        <f t="shared" si="107"/>
        <v>0</v>
      </c>
      <c r="AX227" s="41">
        <f t="shared" si="108"/>
        <v>0</v>
      </c>
      <c r="AY227" s="41">
        <f t="shared" si="109"/>
        <v>0</v>
      </c>
      <c r="AZ227" s="41">
        <f t="shared" si="110"/>
        <v>0</v>
      </c>
      <c r="BA227" s="41">
        <f t="shared" si="111"/>
        <v>0</v>
      </c>
      <c r="BB227" s="41">
        <f t="shared" si="112"/>
        <v>0</v>
      </c>
      <c r="BC227" s="41">
        <f t="shared" si="113"/>
        <v>0</v>
      </c>
      <c r="BD227" s="55">
        <f t="shared" si="114"/>
        <v>0</v>
      </c>
      <c r="BF227" s="41">
        <f t="shared" si="103"/>
        <v>0</v>
      </c>
    </row>
    <row r="228" spans="1:58" ht="13.5">
      <c r="A228" s="41" t="str">
        <f>IF(Base!B226="","",Base!B226)</f>
        <v>07.974.375-5</v>
      </c>
      <c r="B228" s="41" t="str">
        <f>IF(Base!F226="","",Base!F226)</f>
        <v>WILSON  GARRIDO  ACEVEDO</v>
      </c>
      <c r="C228" s="41" t="str">
        <f>IF(Base!I226="","",Base!I226)</f>
        <v xml:space="preserve">Setup </v>
      </c>
      <c r="D228" s="42" t="str">
        <f>IF(Base!J226="","",Base!J226)</f>
        <v xml:space="preserve">Setup </v>
      </c>
      <c r="E228" s="41">
        <f>IF(Base!H226="","",Base!H226)</f>
        <v>1050529</v>
      </c>
      <c r="J228" s="49">
        <v>218</v>
      </c>
      <c r="K228" s="113"/>
      <c r="L228" s="111" t="str">
        <f t="shared" si="91"/>
        <v/>
      </c>
      <c r="M228" s="111" t="str">
        <f t="shared" si="92"/>
        <v/>
      </c>
      <c r="N228" s="112" t="str">
        <f t="shared" si="93"/>
        <v/>
      </c>
      <c r="O228" s="112" t="str">
        <f t="shared" si="94"/>
        <v/>
      </c>
      <c r="P228" s="51"/>
      <c r="Q228" s="56"/>
      <c r="R228" s="49"/>
      <c r="S228" s="56"/>
      <c r="T228" s="49"/>
      <c r="U228" s="56"/>
      <c r="V228" s="49"/>
      <c r="W228" s="56"/>
      <c r="X228" s="49"/>
      <c r="Y228" s="56"/>
      <c r="Z228" s="49"/>
      <c r="AA228" s="56"/>
      <c r="AB228" s="49"/>
      <c r="AC228" s="56"/>
      <c r="AD228" s="49"/>
      <c r="AE228" s="53">
        <f t="shared" si="104"/>
        <v>0</v>
      </c>
      <c r="AF228" s="53">
        <f t="shared" si="105"/>
        <v>0</v>
      </c>
      <c r="AG228" s="54"/>
      <c r="AL228" s="41" t="str">
        <f t="shared" si="106"/>
        <v/>
      </c>
      <c r="AM228" s="41">
        <v>219</v>
      </c>
      <c r="AN228" s="41">
        <f t="shared" si="95"/>
        <v>0</v>
      </c>
      <c r="AO228" s="41">
        <f t="shared" si="96"/>
        <v>0</v>
      </c>
      <c r="AP228" s="41">
        <f t="shared" si="97"/>
        <v>0</v>
      </c>
      <c r="AQ228" s="41">
        <f t="shared" si="98"/>
        <v>0</v>
      </c>
      <c r="AR228" s="41">
        <f t="shared" si="99"/>
        <v>0</v>
      </c>
      <c r="AS228" s="41">
        <f t="shared" si="100"/>
        <v>0</v>
      </c>
      <c r="AT228" s="41">
        <f t="shared" si="101"/>
        <v>0</v>
      </c>
      <c r="AU228" s="55">
        <f t="shared" si="102"/>
        <v>0</v>
      </c>
      <c r="AW228" s="41">
        <f t="shared" si="107"/>
        <v>0</v>
      </c>
      <c r="AX228" s="41">
        <f t="shared" si="108"/>
        <v>0</v>
      </c>
      <c r="AY228" s="41">
        <f t="shared" si="109"/>
        <v>0</v>
      </c>
      <c r="AZ228" s="41">
        <f t="shared" si="110"/>
        <v>0</v>
      </c>
      <c r="BA228" s="41">
        <f t="shared" si="111"/>
        <v>0</v>
      </c>
      <c r="BB228" s="41">
        <f t="shared" si="112"/>
        <v>0</v>
      </c>
      <c r="BC228" s="41">
        <f t="shared" si="113"/>
        <v>0</v>
      </c>
      <c r="BD228" s="55">
        <f t="shared" si="114"/>
        <v>0</v>
      </c>
      <c r="BF228" s="41">
        <f t="shared" si="103"/>
        <v>0</v>
      </c>
    </row>
    <row r="229" spans="1:58" ht="13.5">
      <c r="A229" s="41" t="str">
        <f>IF(Base!B227="","",Base!B227)</f>
        <v>07.815.068-8</v>
      </c>
      <c r="B229" s="41" t="str">
        <f>IF(Base!F227="","",Base!F227)</f>
        <v>ANA MARITZA  JORQUERA  DURAN</v>
      </c>
      <c r="C229" s="41" t="str">
        <f>IF(Base!I227="","",Base!I227)</f>
        <v xml:space="preserve">Setup </v>
      </c>
      <c r="D229" s="42" t="str">
        <f>IF(Base!J227="","",Base!J227)</f>
        <v xml:space="preserve">Setup </v>
      </c>
      <c r="E229" s="41">
        <f>IF(Base!H227="","",Base!H227)</f>
        <v>1050529</v>
      </c>
      <c r="J229" s="49">
        <v>219</v>
      </c>
      <c r="K229" s="113"/>
      <c r="L229" s="111" t="str">
        <f t="shared" si="91"/>
        <v/>
      </c>
      <c r="M229" s="111" t="str">
        <f t="shared" si="92"/>
        <v/>
      </c>
      <c r="N229" s="112" t="str">
        <f t="shared" si="93"/>
        <v/>
      </c>
      <c r="O229" s="112" t="str">
        <f t="shared" si="94"/>
        <v/>
      </c>
      <c r="P229" s="51"/>
      <c r="Q229" s="56"/>
      <c r="R229" s="49"/>
      <c r="S229" s="56"/>
      <c r="T229" s="49"/>
      <c r="U229" s="56"/>
      <c r="V229" s="49"/>
      <c r="W229" s="56"/>
      <c r="X229" s="49"/>
      <c r="Y229" s="56"/>
      <c r="Z229" s="49"/>
      <c r="AA229" s="56"/>
      <c r="AB229" s="49"/>
      <c r="AC229" s="56"/>
      <c r="AD229" s="49"/>
      <c r="AE229" s="53">
        <f t="shared" si="104"/>
        <v>0</v>
      </c>
      <c r="AF229" s="53">
        <f t="shared" si="105"/>
        <v>0</v>
      </c>
      <c r="AG229" s="54"/>
      <c r="AL229" s="41" t="str">
        <f t="shared" si="106"/>
        <v/>
      </c>
      <c r="AM229" s="41">
        <v>220</v>
      </c>
      <c r="AN229" s="41">
        <f t="shared" si="95"/>
        <v>0</v>
      </c>
      <c r="AO229" s="41">
        <f t="shared" si="96"/>
        <v>0</v>
      </c>
      <c r="AP229" s="41">
        <f t="shared" si="97"/>
        <v>0</v>
      </c>
      <c r="AQ229" s="41">
        <f t="shared" si="98"/>
        <v>0</v>
      </c>
      <c r="AR229" s="41">
        <f t="shared" si="99"/>
        <v>0</v>
      </c>
      <c r="AS229" s="41">
        <f t="shared" si="100"/>
        <v>0</v>
      </c>
      <c r="AT229" s="41">
        <f t="shared" si="101"/>
        <v>0</v>
      </c>
      <c r="AU229" s="55">
        <f t="shared" si="102"/>
        <v>0</v>
      </c>
      <c r="AW229" s="41">
        <f t="shared" si="107"/>
        <v>0</v>
      </c>
      <c r="AX229" s="41">
        <f t="shared" si="108"/>
        <v>0</v>
      </c>
      <c r="AY229" s="41">
        <f t="shared" si="109"/>
        <v>0</v>
      </c>
      <c r="AZ229" s="41">
        <f t="shared" si="110"/>
        <v>0</v>
      </c>
      <c r="BA229" s="41">
        <f t="shared" si="111"/>
        <v>0</v>
      </c>
      <c r="BB229" s="41">
        <f t="shared" si="112"/>
        <v>0</v>
      </c>
      <c r="BC229" s="41">
        <f t="shared" si="113"/>
        <v>0</v>
      </c>
      <c r="BD229" s="55">
        <f t="shared" si="114"/>
        <v>0</v>
      </c>
      <c r="BF229" s="41">
        <f t="shared" si="103"/>
        <v>0</v>
      </c>
    </row>
    <row r="230" spans="1:58" ht="13.5">
      <c r="A230" s="41" t="str">
        <f>IF(Base!B228="","",Base!B228)</f>
        <v>15.445.100-5</v>
      </c>
      <c r="B230" s="41" t="str">
        <f>IF(Base!F228="","",Base!F228)</f>
        <v>FELIPE ANDRES  MACAYA  MOSCOSO</v>
      </c>
      <c r="C230" s="41" t="str">
        <f>IF(Base!I228="","",Base!I228)</f>
        <v xml:space="preserve">Setup </v>
      </c>
      <c r="D230" s="42" t="str">
        <f>IF(Base!J228="","",Base!J228)</f>
        <v xml:space="preserve">Setup </v>
      </c>
      <c r="E230" s="41">
        <f>IF(Base!H228="","",Base!H228)</f>
        <v>1050529</v>
      </c>
      <c r="J230" s="49">
        <v>220</v>
      </c>
      <c r="K230" s="113"/>
      <c r="L230" s="111" t="str">
        <f t="shared" si="91"/>
        <v/>
      </c>
      <c r="M230" s="111" t="str">
        <f t="shared" si="92"/>
        <v/>
      </c>
      <c r="N230" s="112" t="str">
        <f t="shared" si="93"/>
        <v/>
      </c>
      <c r="O230" s="112" t="str">
        <f t="shared" si="94"/>
        <v/>
      </c>
      <c r="P230" s="51"/>
      <c r="Q230" s="56"/>
      <c r="R230" s="49"/>
      <c r="S230" s="56"/>
      <c r="T230" s="49"/>
      <c r="U230" s="56"/>
      <c r="V230" s="49"/>
      <c r="W230" s="56"/>
      <c r="X230" s="49"/>
      <c r="Y230" s="56"/>
      <c r="Z230" s="49"/>
      <c r="AA230" s="56"/>
      <c r="AB230" s="49"/>
      <c r="AC230" s="56"/>
      <c r="AD230" s="49"/>
      <c r="AE230" s="53">
        <f t="shared" si="104"/>
        <v>0</v>
      </c>
      <c r="AF230" s="53">
        <f t="shared" si="105"/>
        <v>0</v>
      </c>
      <c r="AG230" s="54"/>
      <c r="AL230" s="41" t="str">
        <f t="shared" si="106"/>
        <v/>
      </c>
      <c r="AM230" s="41">
        <v>221</v>
      </c>
      <c r="AN230" s="41">
        <f t="shared" si="95"/>
        <v>0</v>
      </c>
      <c r="AO230" s="41">
        <f t="shared" si="96"/>
        <v>0</v>
      </c>
      <c r="AP230" s="41">
        <f t="shared" si="97"/>
        <v>0</v>
      </c>
      <c r="AQ230" s="41">
        <f t="shared" si="98"/>
        <v>0</v>
      </c>
      <c r="AR230" s="41">
        <f t="shared" si="99"/>
        <v>0</v>
      </c>
      <c r="AS230" s="41">
        <f t="shared" si="100"/>
        <v>0</v>
      </c>
      <c r="AT230" s="41">
        <f t="shared" si="101"/>
        <v>0</v>
      </c>
      <c r="AU230" s="55">
        <f t="shared" si="102"/>
        <v>0</v>
      </c>
      <c r="AW230" s="41">
        <f t="shared" si="107"/>
        <v>0</v>
      </c>
      <c r="AX230" s="41">
        <f t="shared" si="108"/>
        <v>0</v>
      </c>
      <c r="AY230" s="41">
        <f t="shared" si="109"/>
        <v>0</v>
      </c>
      <c r="AZ230" s="41">
        <f t="shared" si="110"/>
        <v>0</v>
      </c>
      <c r="BA230" s="41">
        <f t="shared" si="111"/>
        <v>0</v>
      </c>
      <c r="BB230" s="41">
        <f t="shared" si="112"/>
        <v>0</v>
      </c>
      <c r="BC230" s="41">
        <f t="shared" si="113"/>
        <v>0</v>
      </c>
      <c r="BD230" s="55">
        <f t="shared" si="114"/>
        <v>0</v>
      </c>
      <c r="BF230" s="41">
        <f t="shared" si="103"/>
        <v>0</v>
      </c>
    </row>
    <row r="231" spans="1:58" ht="13.5">
      <c r="A231" s="41" t="str">
        <f>IF(Base!B229="","",Base!B229)</f>
        <v>15.102.640-0</v>
      </c>
      <c r="B231" s="41" t="str">
        <f>IF(Base!F229="","",Base!F229)</f>
        <v>LUIS  MARDONES  ROJAS</v>
      </c>
      <c r="C231" s="41" t="str">
        <f>IF(Base!I229="","",Base!I229)</f>
        <v xml:space="preserve">Setup </v>
      </c>
      <c r="D231" s="42" t="str">
        <f>IF(Base!J229="","",Base!J229)</f>
        <v xml:space="preserve">Setup </v>
      </c>
      <c r="E231" s="41">
        <f>IF(Base!H229="","",Base!H229)</f>
        <v>1050529</v>
      </c>
      <c r="J231" s="49">
        <v>221</v>
      </c>
      <c r="K231" s="113"/>
      <c r="L231" s="111" t="str">
        <f t="shared" si="91"/>
        <v/>
      </c>
      <c r="M231" s="111" t="str">
        <f t="shared" si="92"/>
        <v/>
      </c>
      <c r="N231" s="112" t="str">
        <f t="shared" si="93"/>
        <v/>
      </c>
      <c r="O231" s="112" t="str">
        <f t="shared" si="94"/>
        <v/>
      </c>
      <c r="P231" s="51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3">
        <f t="shared" si="104"/>
        <v>0</v>
      </c>
      <c r="AF231" s="53">
        <f t="shared" si="105"/>
        <v>0</v>
      </c>
      <c r="AG231" s="54"/>
      <c r="AL231" s="41" t="str">
        <f t="shared" si="106"/>
        <v/>
      </c>
      <c r="AM231" s="41">
        <v>222</v>
      </c>
      <c r="AN231" s="41">
        <f t="shared" si="95"/>
        <v>0</v>
      </c>
      <c r="AO231" s="41">
        <f t="shared" si="96"/>
        <v>0</v>
      </c>
      <c r="AP231" s="41">
        <f t="shared" si="97"/>
        <v>0</v>
      </c>
      <c r="AQ231" s="41">
        <f t="shared" si="98"/>
        <v>0</v>
      </c>
      <c r="AR231" s="41">
        <f t="shared" si="99"/>
        <v>0</v>
      </c>
      <c r="AS231" s="41">
        <f t="shared" si="100"/>
        <v>0</v>
      </c>
      <c r="AT231" s="41">
        <f t="shared" si="101"/>
        <v>0</v>
      </c>
      <c r="AU231" s="55">
        <f t="shared" si="102"/>
        <v>0</v>
      </c>
      <c r="AW231" s="41">
        <f t="shared" si="107"/>
        <v>0</v>
      </c>
      <c r="AX231" s="41">
        <f t="shared" si="108"/>
        <v>0</v>
      </c>
      <c r="AY231" s="41">
        <f t="shared" si="109"/>
        <v>0</v>
      </c>
      <c r="AZ231" s="41">
        <f t="shared" si="110"/>
        <v>0</v>
      </c>
      <c r="BA231" s="41">
        <f t="shared" si="111"/>
        <v>0</v>
      </c>
      <c r="BB231" s="41">
        <f t="shared" si="112"/>
        <v>0</v>
      </c>
      <c r="BC231" s="41">
        <f t="shared" si="113"/>
        <v>0</v>
      </c>
      <c r="BD231" s="55">
        <f t="shared" si="114"/>
        <v>0</v>
      </c>
      <c r="BF231" s="41">
        <f t="shared" si="103"/>
        <v>0</v>
      </c>
    </row>
    <row r="232" spans="1:58" ht="13.5">
      <c r="A232" s="41" t="str">
        <f>IF(Base!B230="","",Base!B230)</f>
        <v>16.649.200-9</v>
      </c>
      <c r="B232" s="41" t="str">
        <f>IF(Base!F230="","",Base!F230)</f>
        <v>VICTOR ALFONSO  MARTINEZ  RIVERA</v>
      </c>
      <c r="C232" s="41" t="str">
        <f>IF(Base!I230="","",Base!I230)</f>
        <v xml:space="preserve">Setup </v>
      </c>
      <c r="D232" s="42" t="str">
        <f>IF(Base!J230="","",Base!J230)</f>
        <v xml:space="preserve">Setup </v>
      </c>
      <c r="E232" s="41">
        <f>IF(Base!H230="","",Base!H230)</f>
        <v>1050529</v>
      </c>
      <c r="J232" s="49">
        <v>222</v>
      </c>
      <c r="K232" s="113"/>
      <c r="L232" s="111" t="str">
        <f t="shared" si="91"/>
        <v/>
      </c>
      <c r="M232" s="111" t="str">
        <f t="shared" si="92"/>
        <v/>
      </c>
      <c r="N232" s="112" t="str">
        <f t="shared" si="93"/>
        <v/>
      </c>
      <c r="O232" s="112" t="str">
        <f t="shared" si="94"/>
        <v/>
      </c>
      <c r="P232" s="51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3">
        <f t="shared" si="104"/>
        <v>0</v>
      </c>
      <c r="AF232" s="53">
        <f t="shared" si="105"/>
        <v>0</v>
      </c>
      <c r="AG232" s="54"/>
      <c r="AL232" s="41" t="str">
        <f t="shared" si="106"/>
        <v/>
      </c>
      <c r="AM232" s="41">
        <v>223</v>
      </c>
      <c r="AN232" s="41">
        <f t="shared" si="95"/>
        <v>0</v>
      </c>
      <c r="AO232" s="41">
        <f t="shared" si="96"/>
        <v>0</v>
      </c>
      <c r="AP232" s="41">
        <f t="shared" si="97"/>
        <v>0</v>
      </c>
      <c r="AQ232" s="41">
        <f t="shared" si="98"/>
        <v>0</v>
      </c>
      <c r="AR232" s="41">
        <f t="shared" si="99"/>
        <v>0</v>
      </c>
      <c r="AS232" s="41">
        <f t="shared" si="100"/>
        <v>0</v>
      </c>
      <c r="AT232" s="41">
        <f t="shared" si="101"/>
        <v>0</v>
      </c>
      <c r="AU232" s="55">
        <f t="shared" si="102"/>
        <v>0</v>
      </c>
      <c r="AW232" s="41">
        <f t="shared" si="107"/>
        <v>0</v>
      </c>
      <c r="AX232" s="41">
        <f t="shared" si="108"/>
        <v>0</v>
      </c>
      <c r="AY232" s="41">
        <f t="shared" si="109"/>
        <v>0</v>
      </c>
      <c r="AZ232" s="41">
        <f t="shared" si="110"/>
        <v>0</v>
      </c>
      <c r="BA232" s="41">
        <f t="shared" si="111"/>
        <v>0</v>
      </c>
      <c r="BB232" s="41">
        <f t="shared" si="112"/>
        <v>0</v>
      </c>
      <c r="BC232" s="41">
        <f t="shared" si="113"/>
        <v>0</v>
      </c>
      <c r="BD232" s="55">
        <f t="shared" si="114"/>
        <v>0</v>
      </c>
      <c r="BF232" s="41">
        <f t="shared" si="103"/>
        <v>0</v>
      </c>
    </row>
    <row r="233" spans="1:58" ht="13.5">
      <c r="A233" s="41" t="str">
        <f>IF(Base!B231="","",Base!B231)</f>
        <v>10.033.627-8</v>
      </c>
      <c r="B233" s="41" t="str">
        <f>IF(Base!F231="","",Base!F231)</f>
        <v>MARCO  MOLINA  FERNANDEZ</v>
      </c>
      <c r="C233" s="41" t="str">
        <f>IF(Base!I231="","",Base!I231)</f>
        <v xml:space="preserve">Setup </v>
      </c>
      <c r="D233" s="42" t="str">
        <f>IF(Base!J231="","",Base!J231)</f>
        <v xml:space="preserve">Setup </v>
      </c>
      <c r="E233" s="41">
        <f>IF(Base!H231="","",Base!H231)</f>
        <v>1050529</v>
      </c>
      <c r="J233" s="49">
        <v>223</v>
      </c>
      <c r="K233" s="113"/>
      <c r="L233" s="111" t="str">
        <f t="shared" si="91"/>
        <v/>
      </c>
      <c r="M233" s="111" t="str">
        <f t="shared" si="92"/>
        <v/>
      </c>
      <c r="N233" s="112" t="str">
        <f t="shared" si="93"/>
        <v/>
      </c>
      <c r="O233" s="112" t="str">
        <f t="shared" si="94"/>
        <v/>
      </c>
      <c r="P233" s="51"/>
      <c r="Q233" s="56"/>
      <c r="R233" s="49"/>
      <c r="S233" s="56"/>
      <c r="T233" s="49"/>
      <c r="U233" s="56"/>
      <c r="V233" s="49"/>
      <c r="W233" s="56"/>
      <c r="X233" s="49"/>
      <c r="Y233" s="56"/>
      <c r="Z233" s="49"/>
      <c r="AA233" s="56"/>
      <c r="AB233" s="49"/>
      <c r="AC233" s="56"/>
      <c r="AD233" s="49"/>
      <c r="AE233" s="53">
        <f t="shared" si="104"/>
        <v>0</v>
      </c>
      <c r="AF233" s="53">
        <f t="shared" si="105"/>
        <v>0</v>
      </c>
      <c r="AG233" s="54"/>
      <c r="AL233" s="41" t="str">
        <f t="shared" si="106"/>
        <v/>
      </c>
      <c r="AM233" s="41">
        <v>224</v>
      </c>
      <c r="AN233" s="41">
        <f t="shared" si="95"/>
        <v>0</v>
      </c>
      <c r="AO233" s="41">
        <f t="shared" si="96"/>
        <v>0</v>
      </c>
      <c r="AP233" s="41">
        <f t="shared" si="97"/>
        <v>0</v>
      </c>
      <c r="AQ233" s="41">
        <f t="shared" si="98"/>
        <v>0</v>
      </c>
      <c r="AR233" s="41">
        <f t="shared" si="99"/>
        <v>0</v>
      </c>
      <c r="AS233" s="41">
        <f t="shared" si="100"/>
        <v>0</v>
      </c>
      <c r="AT233" s="41">
        <f t="shared" si="101"/>
        <v>0</v>
      </c>
      <c r="AU233" s="55">
        <f t="shared" si="102"/>
        <v>0</v>
      </c>
      <c r="AW233" s="41">
        <f t="shared" si="107"/>
        <v>0</v>
      </c>
      <c r="AX233" s="41">
        <f t="shared" si="108"/>
        <v>0</v>
      </c>
      <c r="AY233" s="41">
        <f t="shared" si="109"/>
        <v>0</v>
      </c>
      <c r="AZ233" s="41">
        <f t="shared" si="110"/>
        <v>0</v>
      </c>
      <c r="BA233" s="41">
        <f t="shared" si="111"/>
        <v>0</v>
      </c>
      <c r="BB233" s="41">
        <f t="shared" si="112"/>
        <v>0</v>
      </c>
      <c r="BC233" s="41">
        <f t="shared" si="113"/>
        <v>0</v>
      </c>
      <c r="BD233" s="55">
        <f t="shared" si="114"/>
        <v>0</v>
      </c>
      <c r="BF233" s="41">
        <f t="shared" si="103"/>
        <v>0</v>
      </c>
    </row>
    <row r="234" spans="1:58" ht="13.5">
      <c r="A234" s="41" t="str">
        <f>IF(Base!B232="","",Base!B232)</f>
        <v>13.835.073-8</v>
      </c>
      <c r="B234" s="41" t="str">
        <f>IF(Base!F232="","",Base!F232)</f>
        <v>AMERICO  NORESE  GUAJARDO</v>
      </c>
      <c r="C234" s="41" t="str">
        <f>IF(Base!I232="","",Base!I232)</f>
        <v xml:space="preserve">Setup </v>
      </c>
      <c r="D234" s="42" t="str">
        <f>IF(Base!J232="","",Base!J232)</f>
        <v xml:space="preserve">Setup </v>
      </c>
      <c r="E234" s="41">
        <f>IF(Base!H232="","",Base!H232)</f>
        <v>1050529</v>
      </c>
      <c r="J234" s="49">
        <v>224</v>
      </c>
      <c r="K234" s="113"/>
      <c r="L234" s="111" t="str">
        <f t="shared" si="91"/>
        <v/>
      </c>
      <c r="M234" s="111" t="str">
        <f t="shared" si="92"/>
        <v/>
      </c>
      <c r="N234" s="112" t="str">
        <f t="shared" si="93"/>
        <v/>
      </c>
      <c r="O234" s="112" t="str">
        <f t="shared" si="94"/>
        <v/>
      </c>
      <c r="P234" s="51"/>
      <c r="Q234" s="56"/>
      <c r="R234" s="49"/>
      <c r="S234" s="56"/>
      <c r="T234" s="49"/>
      <c r="U234" s="56"/>
      <c r="V234" s="49"/>
      <c r="W234" s="56"/>
      <c r="X234" s="49"/>
      <c r="Y234" s="56"/>
      <c r="Z234" s="49"/>
      <c r="AA234" s="56"/>
      <c r="AB234" s="49"/>
      <c r="AC234" s="56"/>
      <c r="AD234" s="49"/>
      <c r="AE234" s="53">
        <f t="shared" si="104"/>
        <v>0</v>
      </c>
      <c r="AF234" s="53">
        <f t="shared" si="105"/>
        <v>0</v>
      </c>
      <c r="AG234" s="54"/>
      <c r="AL234" s="41" t="str">
        <f t="shared" si="106"/>
        <v/>
      </c>
      <c r="AM234" s="41">
        <v>225</v>
      </c>
      <c r="AN234" s="41">
        <f t="shared" si="95"/>
        <v>0</v>
      </c>
      <c r="AO234" s="41">
        <f t="shared" si="96"/>
        <v>0</v>
      </c>
      <c r="AP234" s="41">
        <f t="shared" si="97"/>
        <v>0</v>
      </c>
      <c r="AQ234" s="41">
        <f t="shared" si="98"/>
        <v>0</v>
      </c>
      <c r="AR234" s="41">
        <f t="shared" si="99"/>
        <v>0</v>
      </c>
      <c r="AS234" s="41">
        <f t="shared" si="100"/>
        <v>0</v>
      </c>
      <c r="AT234" s="41">
        <f t="shared" si="101"/>
        <v>0</v>
      </c>
      <c r="AU234" s="55">
        <f t="shared" si="102"/>
        <v>0</v>
      </c>
      <c r="AW234" s="41">
        <f t="shared" si="107"/>
        <v>0</v>
      </c>
      <c r="AX234" s="41">
        <f t="shared" si="108"/>
        <v>0</v>
      </c>
      <c r="AY234" s="41">
        <f t="shared" si="109"/>
        <v>0</v>
      </c>
      <c r="AZ234" s="41">
        <f t="shared" si="110"/>
        <v>0</v>
      </c>
      <c r="BA234" s="41">
        <f t="shared" si="111"/>
        <v>0</v>
      </c>
      <c r="BB234" s="41">
        <f t="shared" si="112"/>
        <v>0</v>
      </c>
      <c r="BC234" s="41">
        <f t="shared" si="113"/>
        <v>0</v>
      </c>
      <c r="BD234" s="55">
        <f t="shared" si="114"/>
        <v>0</v>
      </c>
      <c r="BF234" s="41">
        <f t="shared" si="103"/>
        <v>0</v>
      </c>
    </row>
    <row r="235" spans="1:58" ht="13.5">
      <c r="A235" s="41" t="str">
        <f>IF(Base!B233="","",Base!B233)</f>
        <v>16.169.301-4</v>
      </c>
      <c r="B235" s="41" t="str">
        <f>IF(Base!F233="","",Base!F233)</f>
        <v>JOSE MAURICIO  ÑANCUCHEO  MARIQUEO</v>
      </c>
      <c r="C235" s="41" t="str">
        <f>IF(Base!I233="","",Base!I233)</f>
        <v xml:space="preserve">Setup </v>
      </c>
      <c r="D235" s="42" t="str">
        <f>IF(Base!J233="","",Base!J233)</f>
        <v xml:space="preserve">Setup </v>
      </c>
      <c r="E235" s="41">
        <f>IF(Base!H233="","",Base!H233)</f>
        <v>1050529</v>
      </c>
      <c r="J235" s="49">
        <v>225</v>
      </c>
      <c r="K235" s="113"/>
      <c r="L235" s="111" t="str">
        <f t="shared" si="91"/>
        <v/>
      </c>
      <c r="M235" s="111" t="str">
        <f t="shared" si="92"/>
        <v/>
      </c>
      <c r="N235" s="112" t="str">
        <f t="shared" si="93"/>
        <v/>
      </c>
      <c r="O235" s="112" t="str">
        <f t="shared" si="94"/>
        <v/>
      </c>
      <c r="P235" s="51"/>
      <c r="Q235" s="56"/>
      <c r="R235" s="49"/>
      <c r="S235" s="56"/>
      <c r="T235" s="49"/>
      <c r="U235" s="56"/>
      <c r="V235" s="49"/>
      <c r="W235" s="56"/>
      <c r="X235" s="49"/>
      <c r="Y235" s="56"/>
      <c r="Z235" s="49"/>
      <c r="AA235" s="56"/>
      <c r="AB235" s="49"/>
      <c r="AC235" s="56"/>
      <c r="AD235" s="49"/>
      <c r="AE235" s="53">
        <f t="shared" si="104"/>
        <v>0</v>
      </c>
      <c r="AF235" s="53">
        <f t="shared" si="105"/>
        <v>0</v>
      </c>
      <c r="AG235" s="54"/>
      <c r="AL235" s="41" t="str">
        <f t="shared" si="106"/>
        <v/>
      </c>
      <c r="AM235" s="41">
        <v>226</v>
      </c>
      <c r="AN235" s="41">
        <f t="shared" si="95"/>
        <v>0</v>
      </c>
      <c r="AO235" s="41">
        <f t="shared" si="96"/>
        <v>0</v>
      </c>
      <c r="AP235" s="41">
        <f t="shared" si="97"/>
        <v>0</v>
      </c>
      <c r="AQ235" s="41">
        <f t="shared" si="98"/>
        <v>0</v>
      </c>
      <c r="AR235" s="41">
        <f t="shared" si="99"/>
        <v>0</v>
      </c>
      <c r="AS235" s="41">
        <f t="shared" si="100"/>
        <v>0</v>
      </c>
      <c r="AT235" s="41">
        <f t="shared" si="101"/>
        <v>0</v>
      </c>
      <c r="AU235" s="55">
        <f t="shared" si="102"/>
        <v>0</v>
      </c>
      <c r="AW235" s="41">
        <f t="shared" si="107"/>
        <v>0</v>
      </c>
      <c r="AX235" s="41">
        <f t="shared" si="108"/>
        <v>0</v>
      </c>
      <c r="AY235" s="41">
        <f t="shared" si="109"/>
        <v>0</v>
      </c>
      <c r="AZ235" s="41">
        <f t="shared" si="110"/>
        <v>0</v>
      </c>
      <c r="BA235" s="41">
        <f t="shared" si="111"/>
        <v>0</v>
      </c>
      <c r="BB235" s="41">
        <f t="shared" si="112"/>
        <v>0</v>
      </c>
      <c r="BC235" s="41">
        <f t="shared" si="113"/>
        <v>0</v>
      </c>
      <c r="BD235" s="55">
        <f t="shared" si="114"/>
        <v>0</v>
      </c>
      <c r="BF235" s="41">
        <f t="shared" si="103"/>
        <v>0</v>
      </c>
    </row>
    <row r="236" spans="1:58" ht="13.5">
      <c r="A236" s="41" t="str">
        <f>IF(Base!B234="","",Base!B234)</f>
        <v>13.284.475-5</v>
      </c>
      <c r="B236" s="41" t="str">
        <f>IF(Base!F234="","",Base!F234)</f>
        <v>ESTEBAN  OSORIO  LUCERO</v>
      </c>
      <c r="C236" s="41" t="str">
        <f>IF(Base!I234="","",Base!I234)</f>
        <v>Linea 1</v>
      </c>
      <c r="D236" s="42" t="str">
        <f>IF(Base!J234="","",Base!J234)</f>
        <v>Llenador</v>
      </c>
      <c r="E236" s="41">
        <f>IF(Base!H234="","",Base!H234)</f>
        <v>1050551</v>
      </c>
      <c r="J236" s="49">
        <v>226</v>
      </c>
      <c r="K236" s="113"/>
      <c r="L236" s="111" t="str">
        <f t="shared" si="91"/>
        <v/>
      </c>
      <c r="M236" s="111" t="str">
        <f t="shared" si="92"/>
        <v/>
      </c>
      <c r="N236" s="112" t="str">
        <f t="shared" si="93"/>
        <v/>
      </c>
      <c r="O236" s="112" t="str">
        <f t="shared" si="94"/>
        <v/>
      </c>
      <c r="P236" s="51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3">
        <f t="shared" si="104"/>
        <v>0</v>
      </c>
      <c r="AF236" s="53">
        <f t="shared" si="105"/>
        <v>0</v>
      </c>
      <c r="AG236" s="54"/>
      <c r="AL236" s="41" t="str">
        <f t="shared" si="106"/>
        <v/>
      </c>
      <c r="AM236" s="41">
        <v>227</v>
      </c>
      <c r="AN236" s="41">
        <f t="shared" si="95"/>
        <v>0</v>
      </c>
      <c r="AO236" s="41">
        <f t="shared" si="96"/>
        <v>0</v>
      </c>
      <c r="AP236" s="41">
        <f t="shared" si="97"/>
        <v>0</v>
      </c>
      <c r="AQ236" s="41">
        <f t="shared" si="98"/>
        <v>0</v>
      </c>
      <c r="AR236" s="41">
        <f t="shared" si="99"/>
        <v>0</v>
      </c>
      <c r="AS236" s="41">
        <f t="shared" si="100"/>
        <v>0</v>
      </c>
      <c r="AT236" s="41">
        <f t="shared" si="101"/>
        <v>0</v>
      </c>
      <c r="AU236" s="55">
        <f t="shared" si="102"/>
        <v>0</v>
      </c>
      <c r="AW236" s="41">
        <f t="shared" si="107"/>
        <v>0</v>
      </c>
      <c r="AX236" s="41">
        <f t="shared" si="108"/>
        <v>0</v>
      </c>
      <c r="AY236" s="41">
        <f t="shared" si="109"/>
        <v>0</v>
      </c>
      <c r="AZ236" s="41">
        <f t="shared" si="110"/>
        <v>0</v>
      </c>
      <c r="BA236" s="41">
        <f t="shared" si="111"/>
        <v>0</v>
      </c>
      <c r="BB236" s="41">
        <f t="shared" si="112"/>
        <v>0</v>
      </c>
      <c r="BC236" s="41">
        <f t="shared" si="113"/>
        <v>0</v>
      </c>
      <c r="BD236" s="55">
        <f t="shared" si="114"/>
        <v>0</v>
      </c>
      <c r="BF236" s="41">
        <f t="shared" si="103"/>
        <v>0</v>
      </c>
    </row>
    <row r="237" spans="1:58" ht="13.5">
      <c r="A237" s="41" t="str">
        <f>IF(Base!B235="","",Base!B235)</f>
        <v>07.816.805-6</v>
      </c>
      <c r="B237" s="41" t="str">
        <f>IF(Base!F235="","",Base!F235)</f>
        <v>JULIO CESAR  PINTO  FLORES</v>
      </c>
      <c r="C237" s="41" t="str">
        <f>IF(Base!I235="","",Base!I235)</f>
        <v xml:space="preserve">Setup </v>
      </c>
      <c r="D237" s="42" t="str">
        <f>IF(Base!J235="","",Base!J235)</f>
        <v xml:space="preserve">Setup </v>
      </c>
      <c r="E237" s="41">
        <f>IF(Base!H235="","",Base!H235)</f>
        <v>1050529</v>
      </c>
      <c r="J237" s="49">
        <v>227</v>
      </c>
      <c r="K237" s="113"/>
      <c r="L237" s="111" t="str">
        <f t="shared" si="91"/>
        <v/>
      </c>
      <c r="M237" s="111" t="str">
        <f t="shared" si="92"/>
        <v/>
      </c>
      <c r="N237" s="112" t="str">
        <f t="shared" si="93"/>
        <v/>
      </c>
      <c r="O237" s="112" t="str">
        <f t="shared" si="94"/>
        <v/>
      </c>
      <c r="P237" s="51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3">
        <f t="shared" si="104"/>
        <v>0</v>
      </c>
      <c r="AF237" s="53">
        <f t="shared" si="105"/>
        <v>0</v>
      </c>
      <c r="AG237" s="54"/>
      <c r="AL237" s="41" t="str">
        <f t="shared" si="106"/>
        <v/>
      </c>
      <c r="AM237" s="41">
        <v>228</v>
      </c>
      <c r="AN237" s="41">
        <f t="shared" si="95"/>
        <v>0</v>
      </c>
      <c r="AO237" s="41">
        <f t="shared" si="96"/>
        <v>0</v>
      </c>
      <c r="AP237" s="41">
        <f t="shared" si="97"/>
        <v>0</v>
      </c>
      <c r="AQ237" s="41">
        <f t="shared" si="98"/>
        <v>0</v>
      </c>
      <c r="AR237" s="41">
        <f t="shared" si="99"/>
        <v>0</v>
      </c>
      <c r="AS237" s="41">
        <f t="shared" si="100"/>
        <v>0</v>
      </c>
      <c r="AT237" s="41">
        <f t="shared" si="101"/>
        <v>0</v>
      </c>
      <c r="AU237" s="55">
        <f t="shared" si="102"/>
        <v>0</v>
      </c>
      <c r="AW237" s="41">
        <f t="shared" si="107"/>
        <v>0</v>
      </c>
      <c r="AX237" s="41">
        <f t="shared" si="108"/>
        <v>0</v>
      </c>
      <c r="AY237" s="41">
        <f t="shared" si="109"/>
        <v>0</v>
      </c>
      <c r="AZ237" s="41">
        <f t="shared" si="110"/>
        <v>0</v>
      </c>
      <c r="BA237" s="41">
        <f t="shared" si="111"/>
        <v>0</v>
      </c>
      <c r="BB237" s="41">
        <f t="shared" si="112"/>
        <v>0</v>
      </c>
      <c r="BC237" s="41">
        <f t="shared" si="113"/>
        <v>0</v>
      </c>
      <c r="BD237" s="55">
        <f t="shared" si="114"/>
        <v>0</v>
      </c>
      <c r="BF237" s="41">
        <f t="shared" si="103"/>
        <v>0</v>
      </c>
    </row>
    <row r="238" spans="1:58" ht="13.5">
      <c r="A238" s="41" t="str">
        <f>IF(Base!B236="","",Base!B236)</f>
        <v>10.042.860-1</v>
      </c>
      <c r="B238" s="41" t="str">
        <f>IF(Base!F236="","",Base!F236)</f>
        <v>LUIS ABRAHAM  QUIROGA  GARCIA</v>
      </c>
      <c r="C238" s="41" t="str">
        <f>IF(Base!I236="","",Base!I236)</f>
        <v xml:space="preserve">Setup </v>
      </c>
      <c r="D238" s="42" t="str">
        <f>IF(Base!J236="","",Base!J236)</f>
        <v xml:space="preserve">Setup </v>
      </c>
      <c r="E238" s="41">
        <f>IF(Base!H236="","",Base!H236)</f>
        <v>1050529</v>
      </c>
      <c r="J238" s="49">
        <v>228</v>
      </c>
      <c r="K238" s="113"/>
      <c r="L238" s="111" t="str">
        <f t="shared" si="91"/>
        <v/>
      </c>
      <c r="M238" s="111" t="str">
        <f t="shared" si="92"/>
        <v/>
      </c>
      <c r="N238" s="112" t="str">
        <f t="shared" si="93"/>
        <v/>
      </c>
      <c r="O238" s="112" t="str">
        <f t="shared" si="94"/>
        <v/>
      </c>
      <c r="P238" s="51"/>
      <c r="Q238" s="56"/>
      <c r="R238" s="49"/>
      <c r="S238" s="56"/>
      <c r="T238" s="49"/>
      <c r="U238" s="56"/>
      <c r="V238" s="49"/>
      <c r="W238" s="56"/>
      <c r="X238" s="49"/>
      <c r="Y238" s="56"/>
      <c r="Z238" s="49"/>
      <c r="AA238" s="56"/>
      <c r="AB238" s="49"/>
      <c r="AC238" s="56"/>
      <c r="AD238" s="49"/>
      <c r="AE238" s="53">
        <f t="shared" si="104"/>
        <v>0</v>
      </c>
      <c r="AF238" s="53">
        <f t="shared" si="105"/>
        <v>0</v>
      </c>
      <c r="AG238" s="54"/>
      <c r="AL238" s="41" t="str">
        <f t="shared" si="106"/>
        <v/>
      </c>
      <c r="AM238" s="41">
        <v>229</v>
      </c>
      <c r="AN238" s="41">
        <f t="shared" si="95"/>
        <v>0</v>
      </c>
      <c r="AO238" s="41">
        <f t="shared" si="96"/>
        <v>0</v>
      </c>
      <c r="AP238" s="41">
        <f t="shared" si="97"/>
        <v>0</v>
      </c>
      <c r="AQ238" s="41">
        <f t="shared" si="98"/>
        <v>0</v>
      </c>
      <c r="AR238" s="41">
        <f t="shared" si="99"/>
        <v>0</v>
      </c>
      <c r="AS238" s="41">
        <f t="shared" si="100"/>
        <v>0</v>
      </c>
      <c r="AT238" s="41">
        <f t="shared" si="101"/>
        <v>0</v>
      </c>
      <c r="AU238" s="55">
        <f t="shared" si="102"/>
        <v>0</v>
      </c>
      <c r="AW238" s="41">
        <f t="shared" si="107"/>
        <v>0</v>
      </c>
      <c r="AX238" s="41">
        <f t="shared" si="108"/>
        <v>0</v>
      </c>
      <c r="AY238" s="41">
        <f t="shared" si="109"/>
        <v>0</v>
      </c>
      <c r="AZ238" s="41">
        <f t="shared" si="110"/>
        <v>0</v>
      </c>
      <c r="BA238" s="41">
        <f t="shared" si="111"/>
        <v>0</v>
      </c>
      <c r="BB238" s="41">
        <f t="shared" si="112"/>
        <v>0</v>
      </c>
      <c r="BC238" s="41">
        <f t="shared" si="113"/>
        <v>0</v>
      </c>
      <c r="BD238" s="55">
        <f t="shared" si="114"/>
        <v>0</v>
      </c>
      <c r="BF238" s="41">
        <f t="shared" si="103"/>
        <v>0</v>
      </c>
    </row>
    <row r="239" spans="1:58" ht="13.5">
      <c r="A239" s="41" t="str">
        <f>IF(Base!B237="","",Base!B237)</f>
        <v>14.005.587-5</v>
      </c>
      <c r="B239" s="41" t="str">
        <f>IF(Base!F237="","",Base!F237)</f>
        <v>GERARDO ALBERTO  RODRIGUEZ  TORO</v>
      </c>
      <c r="C239" s="41" t="str">
        <f>IF(Base!I237="","",Base!I237)</f>
        <v xml:space="preserve">Setup </v>
      </c>
      <c r="D239" s="42" t="str">
        <f>IF(Base!J237="","",Base!J237)</f>
        <v xml:space="preserve">Setup </v>
      </c>
      <c r="E239" s="41">
        <f>IF(Base!H237="","",Base!H237)</f>
        <v>1050529</v>
      </c>
      <c r="J239" s="49">
        <v>229</v>
      </c>
      <c r="K239" s="113"/>
      <c r="L239" s="111" t="str">
        <f t="shared" si="91"/>
        <v/>
      </c>
      <c r="M239" s="111" t="str">
        <f t="shared" si="92"/>
        <v/>
      </c>
      <c r="N239" s="112" t="str">
        <f t="shared" si="93"/>
        <v/>
      </c>
      <c r="O239" s="112" t="str">
        <f t="shared" si="94"/>
        <v/>
      </c>
      <c r="P239" s="51"/>
      <c r="Q239" s="56"/>
      <c r="R239" s="49"/>
      <c r="S239" s="56"/>
      <c r="T239" s="49"/>
      <c r="U239" s="56"/>
      <c r="V239" s="49"/>
      <c r="W239" s="56"/>
      <c r="X239" s="49"/>
      <c r="Y239" s="56"/>
      <c r="Z239" s="49"/>
      <c r="AA239" s="56"/>
      <c r="AB239" s="49"/>
      <c r="AC239" s="56"/>
      <c r="AD239" s="49"/>
      <c r="AE239" s="53">
        <f t="shared" si="104"/>
        <v>0</v>
      </c>
      <c r="AF239" s="53">
        <f t="shared" si="105"/>
        <v>0</v>
      </c>
      <c r="AG239" s="54"/>
      <c r="AL239" s="41" t="str">
        <f t="shared" si="106"/>
        <v/>
      </c>
      <c r="AM239" s="41">
        <v>230</v>
      </c>
      <c r="AN239" s="41">
        <f t="shared" si="95"/>
        <v>0</v>
      </c>
      <c r="AO239" s="41">
        <f t="shared" si="96"/>
        <v>0</v>
      </c>
      <c r="AP239" s="41">
        <f t="shared" si="97"/>
        <v>0</v>
      </c>
      <c r="AQ239" s="41">
        <f t="shared" si="98"/>
        <v>0</v>
      </c>
      <c r="AR239" s="41">
        <f t="shared" si="99"/>
        <v>0</v>
      </c>
      <c r="AS239" s="41">
        <f t="shared" si="100"/>
        <v>0</v>
      </c>
      <c r="AT239" s="41">
        <f t="shared" si="101"/>
        <v>0</v>
      </c>
      <c r="AU239" s="55">
        <f t="shared" si="102"/>
        <v>0</v>
      </c>
      <c r="AW239" s="41">
        <f t="shared" si="107"/>
        <v>0</v>
      </c>
      <c r="AX239" s="41">
        <f t="shared" si="108"/>
        <v>0</v>
      </c>
      <c r="AY239" s="41">
        <f t="shared" si="109"/>
        <v>0</v>
      </c>
      <c r="AZ239" s="41">
        <f t="shared" si="110"/>
        <v>0</v>
      </c>
      <c r="BA239" s="41">
        <f t="shared" si="111"/>
        <v>0</v>
      </c>
      <c r="BB239" s="41">
        <f t="shared" si="112"/>
        <v>0</v>
      </c>
      <c r="BC239" s="41">
        <f t="shared" si="113"/>
        <v>0</v>
      </c>
      <c r="BD239" s="55">
        <f t="shared" si="114"/>
        <v>0</v>
      </c>
      <c r="BF239" s="41">
        <f t="shared" si="103"/>
        <v>0</v>
      </c>
    </row>
    <row r="240" spans="1:58" ht="13.5">
      <c r="A240" s="41" t="str">
        <f>IF(Base!B238="","",Base!B238)</f>
        <v>13.836.182-9</v>
      </c>
      <c r="B240" s="41" t="str">
        <f>IF(Base!F238="","",Base!F238)</f>
        <v>JOSE LUIS  SEPULVEDA  ANTILEO</v>
      </c>
      <c r="C240" s="41" t="str">
        <f>IF(Base!I238="","",Base!I238)</f>
        <v xml:space="preserve">Setup </v>
      </c>
      <c r="D240" s="42" t="str">
        <f>IF(Base!J238="","",Base!J238)</f>
        <v xml:space="preserve">Setup </v>
      </c>
      <c r="E240" s="41">
        <f>IF(Base!H238="","",Base!H238)</f>
        <v>1050529</v>
      </c>
      <c r="J240" s="49">
        <v>230</v>
      </c>
      <c r="K240" s="113"/>
      <c r="L240" s="111" t="str">
        <f t="shared" si="91"/>
        <v/>
      </c>
      <c r="M240" s="111" t="str">
        <f t="shared" si="92"/>
        <v/>
      </c>
      <c r="N240" s="112" t="str">
        <f t="shared" si="93"/>
        <v/>
      </c>
      <c r="O240" s="112" t="str">
        <f t="shared" si="94"/>
        <v/>
      </c>
      <c r="P240" s="51"/>
      <c r="Q240" s="56"/>
      <c r="R240" s="49"/>
      <c r="S240" s="56"/>
      <c r="T240" s="49"/>
      <c r="U240" s="56"/>
      <c r="V240" s="49"/>
      <c r="W240" s="56"/>
      <c r="X240" s="49"/>
      <c r="Y240" s="56"/>
      <c r="Z240" s="49"/>
      <c r="AA240" s="56"/>
      <c r="AB240" s="49"/>
      <c r="AC240" s="56"/>
      <c r="AD240" s="49"/>
      <c r="AE240" s="53">
        <f t="shared" si="104"/>
        <v>0</v>
      </c>
      <c r="AF240" s="53">
        <f t="shared" si="105"/>
        <v>0</v>
      </c>
      <c r="AG240" s="54"/>
      <c r="AL240" s="41" t="str">
        <f t="shared" si="106"/>
        <v/>
      </c>
      <c r="AM240" s="41">
        <v>231</v>
      </c>
      <c r="AN240" s="41">
        <f t="shared" si="95"/>
        <v>0</v>
      </c>
      <c r="AO240" s="41">
        <f t="shared" si="96"/>
        <v>0</v>
      </c>
      <c r="AP240" s="41">
        <f t="shared" si="97"/>
        <v>0</v>
      </c>
      <c r="AQ240" s="41">
        <f t="shared" si="98"/>
        <v>0</v>
      </c>
      <c r="AR240" s="41">
        <f t="shared" si="99"/>
        <v>0</v>
      </c>
      <c r="AS240" s="41">
        <f t="shared" si="100"/>
        <v>0</v>
      </c>
      <c r="AT240" s="41">
        <f t="shared" si="101"/>
        <v>0</v>
      </c>
      <c r="AU240" s="55">
        <f t="shared" si="102"/>
        <v>0</v>
      </c>
      <c r="AW240" s="41">
        <f t="shared" si="107"/>
        <v>0</v>
      </c>
      <c r="AX240" s="41">
        <f t="shared" si="108"/>
        <v>0</v>
      </c>
      <c r="AY240" s="41">
        <f t="shared" si="109"/>
        <v>0</v>
      </c>
      <c r="AZ240" s="41">
        <f t="shared" si="110"/>
        <v>0</v>
      </c>
      <c r="BA240" s="41">
        <f t="shared" si="111"/>
        <v>0</v>
      </c>
      <c r="BB240" s="41">
        <f t="shared" si="112"/>
        <v>0</v>
      </c>
      <c r="BC240" s="41">
        <f t="shared" si="113"/>
        <v>0</v>
      </c>
      <c r="BD240" s="55">
        <f t="shared" si="114"/>
        <v>0</v>
      </c>
      <c r="BF240" s="41">
        <f t="shared" si="103"/>
        <v>0</v>
      </c>
    </row>
    <row r="241" spans="1:58" ht="13.5">
      <c r="A241" s="41" t="str">
        <f>IF(Base!B239="","",Base!B239)</f>
        <v>13.295.279-5</v>
      </c>
      <c r="B241" s="41" t="str">
        <f>IF(Base!F239="","",Base!F239)</f>
        <v>JUAN OSVALDO  TOLEDO  YEVENES</v>
      </c>
      <c r="C241" s="41" t="str">
        <f>IF(Base!I239="","",Base!I239)</f>
        <v xml:space="preserve">Setup </v>
      </c>
      <c r="D241" s="42" t="str">
        <f>IF(Base!J239="","",Base!J239)</f>
        <v xml:space="preserve">Setup </v>
      </c>
      <c r="E241" s="41">
        <f>IF(Base!H239="","",Base!H239)</f>
        <v>1050529</v>
      </c>
      <c r="J241" s="49">
        <v>231</v>
      </c>
      <c r="K241" s="113"/>
      <c r="L241" s="111" t="str">
        <f t="shared" si="91"/>
        <v/>
      </c>
      <c r="M241" s="111" t="str">
        <f t="shared" si="92"/>
        <v/>
      </c>
      <c r="N241" s="112" t="str">
        <f t="shared" si="93"/>
        <v/>
      </c>
      <c r="O241" s="112" t="str">
        <f t="shared" si="94"/>
        <v/>
      </c>
      <c r="P241" s="51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3">
        <f t="shared" si="104"/>
        <v>0</v>
      </c>
      <c r="AF241" s="53">
        <f t="shared" si="105"/>
        <v>0</v>
      </c>
      <c r="AG241" s="54"/>
      <c r="AL241" s="41" t="str">
        <f t="shared" si="106"/>
        <v/>
      </c>
      <c r="AM241" s="41">
        <v>232</v>
      </c>
      <c r="AN241" s="41">
        <f t="shared" si="95"/>
        <v>0</v>
      </c>
      <c r="AO241" s="41">
        <f t="shared" si="96"/>
        <v>0</v>
      </c>
      <c r="AP241" s="41">
        <f t="shared" si="97"/>
        <v>0</v>
      </c>
      <c r="AQ241" s="41">
        <f t="shared" si="98"/>
        <v>0</v>
      </c>
      <c r="AR241" s="41">
        <f t="shared" si="99"/>
        <v>0</v>
      </c>
      <c r="AS241" s="41">
        <f t="shared" si="100"/>
        <v>0</v>
      </c>
      <c r="AT241" s="41">
        <f t="shared" si="101"/>
        <v>0</v>
      </c>
      <c r="AU241" s="55">
        <f t="shared" si="102"/>
        <v>0</v>
      </c>
      <c r="AW241" s="41">
        <f t="shared" si="107"/>
        <v>0</v>
      </c>
      <c r="AX241" s="41">
        <f t="shared" si="108"/>
        <v>0</v>
      </c>
      <c r="AY241" s="41">
        <f t="shared" si="109"/>
        <v>0</v>
      </c>
      <c r="AZ241" s="41">
        <f t="shared" si="110"/>
        <v>0</v>
      </c>
      <c r="BA241" s="41">
        <f t="shared" si="111"/>
        <v>0</v>
      </c>
      <c r="BB241" s="41">
        <f t="shared" si="112"/>
        <v>0</v>
      </c>
      <c r="BC241" s="41">
        <f t="shared" si="113"/>
        <v>0</v>
      </c>
      <c r="BD241" s="55">
        <f t="shared" si="114"/>
        <v>0</v>
      </c>
      <c r="BF241" s="41">
        <f t="shared" si="103"/>
        <v>0</v>
      </c>
    </row>
    <row r="242" spans="1:58" ht="13.5">
      <c r="A242" s="41" t="str">
        <f>IF(Base!B240="","",Base!B240)</f>
        <v>10.849.486-7</v>
      </c>
      <c r="B242" s="41" t="str">
        <f>IF(Base!F240="","",Base!F240)</f>
        <v>ELVIO  VALDENEGRO  GARRIDO</v>
      </c>
      <c r="C242" s="41" t="str">
        <f>IF(Base!I240="","",Base!I240)</f>
        <v xml:space="preserve">Setup </v>
      </c>
      <c r="D242" s="42" t="str">
        <f>IF(Base!J240="","",Base!J240)</f>
        <v xml:space="preserve">Setup </v>
      </c>
      <c r="E242" s="41">
        <f>IF(Base!H240="","",Base!H240)</f>
        <v>1050529</v>
      </c>
      <c r="J242" s="49">
        <v>232</v>
      </c>
      <c r="K242" s="113"/>
      <c r="L242" s="111" t="str">
        <f t="shared" si="91"/>
        <v/>
      </c>
      <c r="M242" s="111" t="str">
        <f t="shared" si="92"/>
        <v/>
      </c>
      <c r="N242" s="112" t="str">
        <f t="shared" si="93"/>
        <v/>
      </c>
      <c r="O242" s="112" t="str">
        <f t="shared" si="94"/>
        <v/>
      </c>
      <c r="P242" s="51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3">
        <f t="shared" si="104"/>
        <v>0</v>
      </c>
      <c r="AF242" s="53">
        <f t="shared" si="105"/>
        <v>0</v>
      </c>
      <c r="AG242" s="54"/>
      <c r="AL242" s="41" t="str">
        <f t="shared" si="106"/>
        <v/>
      </c>
      <c r="AM242" s="41">
        <v>233</v>
      </c>
      <c r="AN242" s="41">
        <f t="shared" si="95"/>
        <v>0</v>
      </c>
      <c r="AO242" s="41">
        <f t="shared" si="96"/>
        <v>0</v>
      </c>
      <c r="AP242" s="41">
        <f t="shared" si="97"/>
        <v>0</v>
      </c>
      <c r="AQ242" s="41">
        <f t="shared" si="98"/>
        <v>0</v>
      </c>
      <c r="AR242" s="41">
        <f t="shared" si="99"/>
        <v>0</v>
      </c>
      <c r="AS242" s="41">
        <f t="shared" si="100"/>
        <v>0</v>
      </c>
      <c r="AT242" s="41">
        <f t="shared" si="101"/>
        <v>0</v>
      </c>
      <c r="AU242" s="55">
        <f t="shared" si="102"/>
        <v>0</v>
      </c>
      <c r="AW242" s="41">
        <f t="shared" si="107"/>
        <v>0</v>
      </c>
      <c r="AX242" s="41">
        <f t="shared" si="108"/>
        <v>0</v>
      </c>
      <c r="AY242" s="41">
        <f t="shared" si="109"/>
        <v>0</v>
      </c>
      <c r="AZ242" s="41">
        <f t="shared" si="110"/>
        <v>0</v>
      </c>
      <c r="BA242" s="41">
        <f t="shared" si="111"/>
        <v>0</v>
      </c>
      <c r="BB242" s="41">
        <f t="shared" si="112"/>
        <v>0</v>
      </c>
      <c r="BC242" s="41">
        <f t="shared" si="113"/>
        <v>0</v>
      </c>
      <c r="BD242" s="55">
        <f t="shared" si="114"/>
        <v>0</v>
      </c>
      <c r="BF242" s="41">
        <f t="shared" si="103"/>
        <v>0</v>
      </c>
    </row>
    <row r="243" spans="1:58" ht="13.5">
      <c r="A243" s="41" t="str">
        <f>IF(Base!B241="","",Base!B241)</f>
        <v>15.441.831-8</v>
      </c>
      <c r="B243" s="41" t="str">
        <f>IF(Base!F241="","",Base!F241)</f>
        <v>ROBERTO MARIO  VALDERRAMA  CAÑAS</v>
      </c>
      <c r="C243" s="41" t="str">
        <f>IF(Base!I241="","",Base!I241)</f>
        <v xml:space="preserve">Setup </v>
      </c>
      <c r="D243" s="42" t="str">
        <f>IF(Base!J241="","",Base!J241)</f>
        <v xml:space="preserve">Setup </v>
      </c>
      <c r="E243" s="41">
        <f>IF(Base!H241="","",Base!H241)</f>
        <v>1050529</v>
      </c>
      <c r="J243" s="49">
        <v>233</v>
      </c>
      <c r="K243" s="113"/>
      <c r="L243" s="111" t="str">
        <f t="shared" si="91"/>
        <v/>
      </c>
      <c r="M243" s="111" t="str">
        <f t="shared" si="92"/>
        <v/>
      </c>
      <c r="N243" s="112" t="str">
        <f t="shared" si="93"/>
        <v/>
      </c>
      <c r="O243" s="112" t="str">
        <f t="shared" si="94"/>
        <v/>
      </c>
      <c r="P243" s="51"/>
      <c r="Q243" s="56"/>
      <c r="R243" s="49"/>
      <c r="S243" s="56"/>
      <c r="T243" s="49"/>
      <c r="U243" s="56"/>
      <c r="V243" s="49"/>
      <c r="W243" s="56"/>
      <c r="X243" s="49"/>
      <c r="Y243" s="56"/>
      <c r="Z243" s="49"/>
      <c r="AA243" s="56"/>
      <c r="AB243" s="49"/>
      <c r="AC243" s="56"/>
      <c r="AD243" s="49"/>
      <c r="AE243" s="53">
        <f t="shared" si="104"/>
        <v>0</v>
      </c>
      <c r="AF243" s="53">
        <f t="shared" si="105"/>
        <v>0</v>
      </c>
      <c r="AG243" s="54"/>
      <c r="AL243" s="41" t="str">
        <f t="shared" si="106"/>
        <v/>
      </c>
      <c r="AM243" s="41">
        <v>234</v>
      </c>
      <c r="AN243" s="41">
        <f t="shared" si="95"/>
        <v>0</v>
      </c>
      <c r="AO243" s="41">
        <f t="shared" si="96"/>
        <v>0</v>
      </c>
      <c r="AP243" s="41">
        <f t="shared" si="97"/>
        <v>0</v>
      </c>
      <c r="AQ243" s="41">
        <f t="shared" si="98"/>
        <v>0</v>
      </c>
      <c r="AR243" s="41">
        <f t="shared" si="99"/>
        <v>0</v>
      </c>
      <c r="AS243" s="41">
        <f t="shared" si="100"/>
        <v>0</v>
      </c>
      <c r="AT243" s="41">
        <f t="shared" si="101"/>
        <v>0</v>
      </c>
      <c r="AU243" s="55">
        <f t="shared" si="102"/>
        <v>0</v>
      </c>
      <c r="AW243" s="41">
        <f t="shared" si="107"/>
        <v>0</v>
      </c>
      <c r="AX243" s="41">
        <f t="shared" si="108"/>
        <v>0</v>
      </c>
      <c r="AY243" s="41">
        <f t="shared" si="109"/>
        <v>0</v>
      </c>
      <c r="AZ243" s="41">
        <f t="shared" si="110"/>
        <v>0</v>
      </c>
      <c r="BA243" s="41">
        <f t="shared" si="111"/>
        <v>0</v>
      </c>
      <c r="BB243" s="41">
        <f t="shared" si="112"/>
        <v>0</v>
      </c>
      <c r="BC243" s="41">
        <f t="shared" si="113"/>
        <v>0</v>
      </c>
      <c r="BD243" s="55">
        <f t="shared" si="114"/>
        <v>0</v>
      </c>
      <c r="BF243" s="41">
        <f t="shared" si="103"/>
        <v>0</v>
      </c>
    </row>
    <row r="244" spans="1:58" ht="13.5">
      <c r="A244" s="41" t="str">
        <f>IF(Base!B242="","",Base!B242)</f>
        <v>13.688.839-0</v>
      </c>
      <c r="B244" s="41" t="str">
        <f>IF(Base!F242="","",Base!F242)</f>
        <v>NOLBERTO  VILLAFAÑA  IBAÑEZ</v>
      </c>
      <c r="C244" s="41" t="str">
        <f>IF(Base!I242="","",Base!I242)</f>
        <v>Linea 6</v>
      </c>
      <c r="D244" s="42" t="str">
        <f>IF(Base!J242="","",Base!J242)</f>
        <v>Llenador</v>
      </c>
      <c r="E244" s="41">
        <f>IF(Base!H242="","",Base!H242)</f>
        <v>1050616</v>
      </c>
      <c r="J244" s="49">
        <v>234</v>
      </c>
      <c r="K244" s="113"/>
      <c r="L244" s="111" t="str">
        <f t="shared" si="91"/>
        <v/>
      </c>
      <c r="M244" s="111" t="str">
        <f t="shared" si="92"/>
        <v/>
      </c>
      <c r="N244" s="112" t="str">
        <f t="shared" si="93"/>
        <v/>
      </c>
      <c r="O244" s="112" t="str">
        <f t="shared" si="94"/>
        <v/>
      </c>
      <c r="P244" s="51"/>
      <c r="Q244" s="56"/>
      <c r="R244" s="49"/>
      <c r="S244" s="56"/>
      <c r="T244" s="49"/>
      <c r="U244" s="56"/>
      <c r="V244" s="49"/>
      <c r="W244" s="56"/>
      <c r="X244" s="49"/>
      <c r="Y244" s="56"/>
      <c r="Z244" s="49"/>
      <c r="AA244" s="56"/>
      <c r="AB244" s="49"/>
      <c r="AC244" s="56"/>
      <c r="AD244" s="49"/>
      <c r="AE244" s="53">
        <f t="shared" si="104"/>
        <v>0</v>
      </c>
      <c r="AF244" s="53">
        <f t="shared" si="105"/>
        <v>0</v>
      </c>
      <c r="AG244" s="54"/>
      <c r="AL244" s="41" t="str">
        <f t="shared" si="106"/>
        <v/>
      </c>
      <c r="AM244" s="41">
        <v>235</v>
      </c>
      <c r="AN244" s="41">
        <f t="shared" si="95"/>
        <v>0</v>
      </c>
      <c r="AO244" s="41">
        <f t="shared" si="96"/>
        <v>0</v>
      </c>
      <c r="AP244" s="41">
        <f t="shared" si="97"/>
        <v>0</v>
      </c>
      <c r="AQ244" s="41">
        <f t="shared" si="98"/>
        <v>0</v>
      </c>
      <c r="AR244" s="41">
        <f t="shared" si="99"/>
        <v>0</v>
      </c>
      <c r="AS244" s="41">
        <f t="shared" si="100"/>
        <v>0</v>
      </c>
      <c r="AT244" s="41">
        <f t="shared" si="101"/>
        <v>0</v>
      </c>
      <c r="AU244" s="55">
        <f t="shared" si="102"/>
        <v>0</v>
      </c>
      <c r="AW244" s="41">
        <f t="shared" si="107"/>
        <v>0</v>
      </c>
      <c r="AX244" s="41">
        <f t="shared" si="108"/>
        <v>0</v>
      </c>
      <c r="AY244" s="41">
        <f t="shared" si="109"/>
        <v>0</v>
      </c>
      <c r="AZ244" s="41">
        <f t="shared" si="110"/>
        <v>0</v>
      </c>
      <c r="BA244" s="41">
        <f t="shared" si="111"/>
        <v>0</v>
      </c>
      <c r="BB244" s="41">
        <f t="shared" si="112"/>
        <v>0</v>
      </c>
      <c r="BC244" s="41">
        <f t="shared" si="113"/>
        <v>0</v>
      </c>
      <c r="BD244" s="55">
        <f t="shared" si="114"/>
        <v>0</v>
      </c>
      <c r="BF244" s="41">
        <f t="shared" si="103"/>
        <v>0</v>
      </c>
    </row>
    <row r="245" spans="1:58" ht="13.5">
      <c r="A245" s="41" t="str">
        <f>IF(Base!B243="","",Base!B243)</f>
        <v>08.110.698-3</v>
      </c>
      <c r="B245" s="41" t="str">
        <f>IF(Base!F243="","",Base!F243)</f>
        <v>XIMENA DEL ROSARIO  GUZMAN  CASTAÑEDA</v>
      </c>
      <c r="C245" s="41" t="str">
        <f>IF(Base!I243="","",Base!I243)</f>
        <v>Control y Gestión</v>
      </c>
      <c r="D245" s="42" t="str">
        <f>IF(Base!J243="","",Base!J243)</f>
        <v>Inspector tiempo</v>
      </c>
      <c r="E245" s="41">
        <f>IF(Base!H243="","",Base!H243)</f>
        <v>1050632</v>
      </c>
      <c r="J245" s="49">
        <v>235</v>
      </c>
      <c r="K245" s="113"/>
      <c r="L245" s="111" t="str">
        <f t="shared" si="91"/>
        <v/>
      </c>
      <c r="M245" s="111" t="str">
        <f t="shared" si="92"/>
        <v/>
      </c>
      <c r="N245" s="112" t="str">
        <f t="shared" si="93"/>
        <v/>
      </c>
      <c r="O245" s="112" t="str">
        <f t="shared" si="94"/>
        <v/>
      </c>
      <c r="P245" s="51"/>
      <c r="Q245" s="56"/>
      <c r="R245" s="49"/>
      <c r="S245" s="56"/>
      <c r="T245" s="49"/>
      <c r="U245" s="56"/>
      <c r="V245" s="49"/>
      <c r="W245" s="56"/>
      <c r="X245" s="49"/>
      <c r="Y245" s="56"/>
      <c r="Z245" s="49"/>
      <c r="AA245" s="56"/>
      <c r="AB245" s="49"/>
      <c r="AC245" s="56"/>
      <c r="AD245" s="49"/>
      <c r="AE245" s="53">
        <f t="shared" si="104"/>
        <v>0</v>
      </c>
      <c r="AF245" s="53">
        <f t="shared" si="105"/>
        <v>0</v>
      </c>
      <c r="AG245" s="54"/>
      <c r="AL245" s="41" t="str">
        <f t="shared" si="106"/>
        <v/>
      </c>
      <c r="AM245" s="41">
        <v>236</v>
      </c>
      <c r="AN245" s="41">
        <f t="shared" si="95"/>
        <v>0</v>
      </c>
      <c r="AO245" s="41">
        <f t="shared" si="96"/>
        <v>0</v>
      </c>
      <c r="AP245" s="41">
        <f t="shared" si="97"/>
        <v>0</v>
      </c>
      <c r="AQ245" s="41">
        <f t="shared" si="98"/>
        <v>0</v>
      </c>
      <c r="AR245" s="41">
        <f t="shared" si="99"/>
        <v>0</v>
      </c>
      <c r="AS245" s="41">
        <f t="shared" si="100"/>
        <v>0</v>
      </c>
      <c r="AT245" s="41">
        <f t="shared" si="101"/>
        <v>0</v>
      </c>
      <c r="AU245" s="55">
        <f t="shared" si="102"/>
        <v>0</v>
      </c>
      <c r="AW245" s="41">
        <f t="shared" si="107"/>
        <v>0</v>
      </c>
      <c r="AX245" s="41">
        <f t="shared" si="108"/>
        <v>0</v>
      </c>
      <c r="AY245" s="41">
        <f t="shared" si="109"/>
        <v>0</v>
      </c>
      <c r="AZ245" s="41">
        <f t="shared" si="110"/>
        <v>0</v>
      </c>
      <c r="BA245" s="41">
        <f t="shared" si="111"/>
        <v>0</v>
      </c>
      <c r="BB245" s="41">
        <f t="shared" si="112"/>
        <v>0</v>
      </c>
      <c r="BC245" s="41">
        <f t="shared" si="113"/>
        <v>0</v>
      </c>
      <c r="BD245" s="55">
        <f t="shared" si="114"/>
        <v>0</v>
      </c>
      <c r="BF245" s="41">
        <f t="shared" si="103"/>
        <v>0</v>
      </c>
    </row>
    <row r="246" spans="1:58" ht="13.5">
      <c r="A246" s="41" t="str">
        <f>IF(Base!B244="","",Base!B244)</f>
        <v>15444116-6</v>
      </c>
      <c r="B246" s="41" t="str">
        <f>IF(Base!F244="","",Base!F244)</f>
        <v>MANUEL  MAULEN   GUTIERREZ</v>
      </c>
      <c r="C246" s="41" t="str">
        <f>IF(Base!I244="","",Base!I244)</f>
        <v>Linea 2</v>
      </c>
      <c r="D246" s="42" t="str">
        <f>IF(Base!J244="","",Base!J244)</f>
        <v>Embalador</v>
      </c>
      <c r="E246" s="41">
        <f>IF(Base!H244="","",Base!H244)</f>
        <v>1050554</v>
      </c>
      <c r="J246" s="49">
        <v>236</v>
      </c>
      <c r="K246" s="113"/>
      <c r="L246" s="111" t="str">
        <f t="shared" si="91"/>
        <v/>
      </c>
      <c r="M246" s="111" t="str">
        <f t="shared" si="92"/>
        <v/>
      </c>
      <c r="N246" s="112" t="str">
        <f t="shared" si="93"/>
        <v/>
      </c>
      <c r="O246" s="112" t="str">
        <f t="shared" si="94"/>
        <v/>
      </c>
      <c r="P246" s="51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3">
        <f t="shared" si="104"/>
        <v>0</v>
      </c>
      <c r="AF246" s="53">
        <f t="shared" si="105"/>
        <v>0</v>
      </c>
      <c r="AG246" s="54"/>
      <c r="AL246" s="41" t="str">
        <f t="shared" si="106"/>
        <v/>
      </c>
      <c r="AM246" s="41">
        <v>237</v>
      </c>
      <c r="AN246" s="41">
        <f t="shared" si="95"/>
        <v>0</v>
      </c>
      <c r="AO246" s="41">
        <f t="shared" si="96"/>
        <v>0</v>
      </c>
      <c r="AP246" s="41">
        <f t="shared" si="97"/>
        <v>0</v>
      </c>
      <c r="AQ246" s="41">
        <f t="shared" si="98"/>
        <v>0</v>
      </c>
      <c r="AR246" s="41">
        <f t="shared" si="99"/>
        <v>0</v>
      </c>
      <c r="AS246" s="41">
        <f t="shared" si="100"/>
        <v>0</v>
      </c>
      <c r="AT246" s="41">
        <f t="shared" si="101"/>
        <v>0</v>
      </c>
      <c r="AU246" s="55">
        <f t="shared" si="102"/>
        <v>0</v>
      </c>
      <c r="AW246" s="41">
        <f t="shared" si="107"/>
        <v>0</v>
      </c>
      <c r="AX246" s="41">
        <f t="shared" si="108"/>
        <v>0</v>
      </c>
      <c r="AY246" s="41">
        <f t="shared" si="109"/>
        <v>0</v>
      </c>
      <c r="AZ246" s="41">
        <f t="shared" si="110"/>
        <v>0</v>
      </c>
      <c r="BA246" s="41">
        <f t="shared" si="111"/>
        <v>0</v>
      </c>
      <c r="BB246" s="41">
        <f t="shared" si="112"/>
        <v>0</v>
      </c>
      <c r="BC246" s="41">
        <f t="shared" si="113"/>
        <v>0</v>
      </c>
      <c r="BD246" s="55">
        <f t="shared" si="114"/>
        <v>0</v>
      </c>
      <c r="BF246" s="41">
        <f t="shared" si="103"/>
        <v>0</v>
      </c>
    </row>
    <row r="247" spans="1:58" ht="13.5">
      <c r="A247" s="41" t="str">
        <f>IF(Base!B245="","",Base!B245)</f>
        <v>16.441.596-1</v>
      </c>
      <c r="B247" s="41" t="str">
        <f>IF(Base!F245="","",Base!F245)</f>
        <v>DAYANA PAULETTE  VIDAL  OTAROLA</v>
      </c>
      <c r="C247" s="41" t="str">
        <f>IF(Base!I245="","",Base!I245)</f>
        <v>TPM</v>
      </c>
      <c r="D247" s="42" t="str">
        <f>IF(Base!J245="","",Base!J245)</f>
        <v>Secretaria TPM</v>
      </c>
      <c r="E247" s="41">
        <f>IF(Base!H245="","",Base!H245)</f>
        <v>1050604</v>
      </c>
      <c r="J247" s="49">
        <v>237</v>
      </c>
      <c r="K247" s="113"/>
      <c r="L247" s="111" t="str">
        <f t="shared" si="91"/>
        <v/>
      </c>
      <c r="M247" s="111" t="str">
        <f t="shared" si="92"/>
        <v/>
      </c>
      <c r="N247" s="112" t="str">
        <f t="shared" si="93"/>
        <v/>
      </c>
      <c r="O247" s="112" t="str">
        <f t="shared" si="94"/>
        <v/>
      </c>
      <c r="P247" s="51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3">
        <f t="shared" si="104"/>
        <v>0</v>
      </c>
      <c r="AF247" s="53">
        <f t="shared" si="105"/>
        <v>0</v>
      </c>
      <c r="AG247" s="54"/>
      <c r="AL247" s="41" t="str">
        <f t="shared" si="106"/>
        <v/>
      </c>
      <c r="AM247" s="41">
        <v>238</v>
      </c>
      <c r="AN247" s="41">
        <f t="shared" si="95"/>
        <v>0</v>
      </c>
      <c r="AO247" s="41">
        <f t="shared" si="96"/>
        <v>0</v>
      </c>
      <c r="AP247" s="41">
        <f t="shared" si="97"/>
        <v>0</v>
      </c>
      <c r="AQ247" s="41">
        <f t="shared" si="98"/>
        <v>0</v>
      </c>
      <c r="AR247" s="41">
        <f t="shared" si="99"/>
        <v>0</v>
      </c>
      <c r="AS247" s="41">
        <f t="shared" si="100"/>
        <v>0</v>
      </c>
      <c r="AT247" s="41">
        <f t="shared" si="101"/>
        <v>0</v>
      </c>
      <c r="AU247" s="55">
        <f t="shared" si="102"/>
        <v>0</v>
      </c>
      <c r="AW247" s="41">
        <f t="shared" si="107"/>
        <v>0</v>
      </c>
      <c r="AX247" s="41">
        <f t="shared" si="108"/>
        <v>0</v>
      </c>
      <c r="AY247" s="41">
        <f t="shared" si="109"/>
        <v>0</v>
      </c>
      <c r="AZ247" s="41">
        <f t="shared" si="110"/>
        <v>0</v>
      </c>
      <c r="BA247" s="41">
        <f t="shared" si="111"/>
        <v>0</v>
      </c>
      <c r="BB247" s="41">
        <f t="shared" si="112"/>
        <v>0</v>
      </c>
      <c r="BC247" s="41">
        <f t="shared" si="113"/>
        <v>0</v>
      </c>
      <c r="BD247" s="55">
        <f t="shared" si="114"/>
        <v>0</v>
      </c>
      <c r="BF247" s="41">
        <f t="shared" si="103"/>
        <v>0</v>
      </c>
    </row>
    <row r="248" spans="1:58" ht="13.5">
      <c r="A248" s="41" t="str">
        <f>IF(Base!B246="","",Base!B246)</f>
        <v>12.210.109-0</v>
      </c>
      <c r="B248" s="41" t="str">
        <f>IF(Base!F246="","",Base!F246)</f>
        <v>ROBERTO FERNANDO  ESCOBAR  RIVERA</v>
      </c>
      <c r="C248" s="41" t="str">
        <f>IF(Base!I246="","",Base!I246)</f>
        <v>Setup</v>
      </c>
      <c r="D248" s="42" t="str">
        <f>IF(Base!J246="","",Base!J246)</f>
        <v>Setup</v>
      </c>
      <c r="E248" s="41">
        <f>IF(Base!H246="","",Base!H246)</f>
        <v>1050529</v>
      </c>
      <c r="J248" s="49">
        <v>238</v>
      </c>
      <c r="K248" s="113"/>
      <c r="L248" s="111" t="str">
        <f t="shared" si="91"/>
        <v/>
      </c>
      <c r="M248" s="111" t="str">
        <f t="shared" si="92"/>
        <v/>
      </c>
      <c r="N248" s="112" t="str">
        <f t="shared" si="93"/>
        <v/>
      </c>
      <c r="O248" s="112" t="str">
        <f t="shared" si="94"/>
        <v/>
      </c>
      <c r="P248" s="51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3">
        <f t="shared" si="104"/>
        <v>0</v>
      </c>
      <c r="AF248" s="53">
        <f t="shared" si="105"/>
        <v>0</v>
      </c>
      <c r="AG248" s="54"/>
      <c r="AL248" s="41" t="str">
        <f t="shared" si="106"/>
        <v/>
      </c>
      <c r="AM248" s="41">
        <v>239</v>
      </c>
      <c r="AN248" s="41">
        <f t="shared" si="95"/>
        <v>0</v>
      </c>
      <c r="AO248" s="41">
        <f t="shared" si="96"/>
        <v>0</v>
      </c>
      <c r="AP248" s="41">
        <f t="shared" si="97"/>
        <v>0</v>
      </c>
      <c r="AQ248" s="41">
        <f t="shared" si="98"/>
        <v>0</v>
      </c>
      <c r="AR248" s="41">
        <f t="shared" si="99"/>
        <v>0</v>
      </c>
      <c r="AS248" s="41">
        <f t="shared" si="100"/>
        <v>0</v>
      </c>
      <c r="AT248" s="41">
        <f t="shared" si="101"/>
        <v>0</v>
      </c>
      <c r="AU248" s="55">
        <f t="shared" si="102"/>
        <v>0</v>
      </c>
      <c r="AW248" s="41">
        <f t="shared" si="107"/>
        <v>0</v>
      </c>
      <c r="AX248" s="41">
        <f t="shared" si="108"/>
        <v>0</v>
      </c>
      <c r="AY248" s="41">
        <f t="shared" si="109"/>
        <v>0</v>
      </c>
      <c r="AZ248" s="41">
        <f t="shared" si="110"/>
        <v>0</v>
      </c>
      <c r="BA248" s="41">
        <f t="shared" si="111"/>
        <v>0</v>
      </c>
      <c r="BB248" s="41">
        <f t="shared" si="112"/>
        <v>0</v>
      </c>
      <c r="BC248" s="41">
        <f t="shared" si="113"/>
        <v>0</v>
      </c>
      <c r="BD248" s="55">
        <f t="shared" si="114"/>
        <v>0</v>
      </c>
      <c r="BF248" s="41">
        <f t="shared" si="103"/>
        <v>0</v>
      </c>
    </row>
    <row r="249" spans="1:58" ht="13.5">
      <c r="A249" s="41" t="str">
        <f>IF(Base!B247="","",Base!B247)</f>
        <v>9.004.326-9</v>
      </c>
      <c r="B249" s="41" t="str">
        <f>IF(Base!F247="","",Base!F247)</f>
        <v>ANDRES EDUARDO  LORCA  FARIAS</v>
      </c>
      <c r="C249" s="41" t="str">
        <f>IF(Base!I247="","",Base!I247)</f>
        <v>TPM</v>
      </c>
      <c r="D249" s="42" t="str">
        <f>IF(Base!J247="","",Base!J247)</f>
        <v>Encargado TPM</v>
      </c>
      <c r="E249" s="41">
        <f>IF(Base!H247="","",Base!H247)</f>
        <v>1050604</v>
      </c>
      <c r="J249" s="49">
        <v>239</v>
      </c>
      <c r="K249" s="113"/>
      <c r="L249" s="111" t="str">
        <f t="shared" si="91"/>
        <v/>
      </c>
      <c r="M249" s="111" t="str">
        <f t="shared" si="92"/>
        <v/>
      </c>
      <c r="N249" s="112" t="str">
        <f t="shared" si="93"/>
        <v/>
      </c>
      <c r="O249" s="112" t="str">
        <f t="shared" si="94"/>
        <v/>
      </c>
      <c r="P249" s="51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3">
        <f t="shared" si="104"/>
        <v>0</v>
      </c>
      <c r="AF249" s="53">
        <f t="shared" si="105"/>
        <v>0</v>
      </c>
      <c r="AG249" s="54"/>
      <c r="AL249" s="41" t="str">
        <f t="shared" si="106"/>
        <v/>
      </c>
      <c r="AM249" s="41">
        <v>240</v>
      </c>
      <c r="AN249" s="41">
        <f t="shared" si="95"/>
        <v>0</v>
      </c>
      <c r="AO249" s="41">
        <f t="shared" si="96"/>
        <v>0</v>
      </c>
      <c r="AP249" s="41">
        <f t="shared" si="97"/>
        <v>0</v>
      </c>
      <c r="AQ249" s="41">
        <f t="shared" si="98"/>
        <v>0</v>
      </c>
      <c r="AR249" s="41">
        <f t="shared" si="99"/>
        <v>0</v>
      </c>
      <c r="AS249" s="41">
        <f t="shared" si="100"/>
        <v>0</v>
      </c>
      <c r="AT249" s="41">
        <f t="shared" si="101"/>
        <v>0</v>
      </c>
      <c r="AU249" s="55">
        <f t="shared" si="102"/>
        <v>0</v>
      </c>
      <c r="AW249" s="41">
        <f t="shared" si="107"/>
        <v>0</v>
      </c>
      <c r="AX249" s="41">
        <f t="shared" si="108"/>
        <v>0</v>
      </c>
      <c r="AY249" s="41">
        <f t="shared" si="109"/>
        <v>0</v>
      </c>
      <c r="AZ249" s="41">
        <f t="shared" si="110"/>
        <v>0</v>
      </c>
      <c r="BA249" s="41">
        <f t="shared" si="111"/>
        <v>0</v>
      </c>
      <c r="BB249" s="41">
        <f t="shared" si="112"/>
        <v>0</v>
      </c>
      <c r="BC249" s="41">
        <f t="shared" si="113"/>
        <v>0</v>
      </c>
      <c r="BD249" s="55">
        <f t="shared" si="114"/>
        <v>0</v>
      </c>
      <c r="BF249" s="41">
        <f t="shared" si="103"/>
        <v>0</v>
      </c>
    </row>
    <row r="250" spans="1:58" ht="13.5">
      <c r="A250" s="41" t="str">
        <f>IF(Base!B248="","",Base!B248)</f>
        <v>14.277.186-1</v>
      </c>
      <c r="B250" s="41" t="str">
        <f>IF(Base!F248="","",Base!F248)</f>
        <v>ALEJANDRO  SANHUEZA  SOTO</v>
      </c>
      <c r="C250" s="41" t="str">
        <f>IF(Base!I248="","",Base!I248)</f>
        <v>Control y Gestión</v>
      </c>
      <c r="D250" s="42" t="str">
        <f>IF(Base!J248="","",Base!J248)</f>
        <v>Inspector tiempo</v>
      </c>
      <c r="E250" s="41">
        <f>IF(Base!H248="","",Base!H248)</f>
        <v>1050632</v>
      </c>
      <c r="J250" s="49">
        <v>240</v>
      </c>
      <c r="K250" s="113"/>
      <c r="L250" s="111" t="str">
        <f t="shared" si="91"/>
        <v/>
      </c>
      <c r="M250" s="111" t="str">
        <f t="shared" si="92"/>
        <v/>
      </c>
      <c r="N250" s="112" t="str">
        <f t="shared" si="93"/>
        <v/>
      </c>
      <c r="O250" s="112" t="str">
        <f t="shared" si="94"/>
        <v/>
      </c>
      <c r="P250" s="51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3">
        <f t="shared" si="104"/>
        <v>0</v>
      </c>
      <c r="AF250" s="53">
        <f t="shared" si="105"/>
        <v>0</v>
      </c>
      <c r="AG250" s="54"/>
      <c r="AL250" s="41" t="str">
        <f t="shared" si="106"/>
        <v/>
      </c>
      <c r="AM250" s="41">
        <v>241</v>
      </c>
      <c r="AN250" s="41">
        <f t="shared" si="95"/>
        <v>0</v>
      </c>
      <c r="AO250" s="41">
        <f t="shared" si="96"/>
        <v>0</v>
      </c>
      <c r="AP250" s="41">
        <f t="shared" si="97"/>
        <v>0</v>
      </c>
      <c r="AQ250" s="41">
        <f t="shared" si="98"/>
        <v>0</v>
      </c>
      <c r="AR250" s="41">
        <f t="shared" si="99"/>
        <v>0</v>
      </c>
      <c r="AS250" s="41">
        <f t="shared" si="100"/>
        <v>0</v>
      </c>
      <c r="AT250" s="41">
        <f t="shared" si="101"/>
        <v>0</v>
      </c>
      <c r="AU250" s="55">
        <f t="shared" si="102"/>
        <v>0</v>
      </c>
      <c r="AW250" s="41">
        <f t="shared" si="107"/>
        <v>0</v>
      </c>
      <c r="AX250" s="41">
        <f t="shared" si="108"/>
        <v>0</v>
      </c>
      <c r="AY250" s="41">
        <f t="shared" si="109"/>
        <v>0</v>
      </c>
      <c r="AZ250" s="41">
        <f t="shared" si="110"/>
        <v>0</v>
      </c>
      <c r="BA250" s="41">
        <f t="shared" si="111"/>
        <v>0</v>
      </c>
      <c r="BB250" s="41">
        <f t="shared" si="112"/>
        <v>0</v>
      </c>
      <c r="BC250" s="41">
        <f t="shared" si="113"/>
        <v>0</v>
      </c>
      <c r="BD250" s="55">
        <f t="shared" si="114"/>
        <v>0</v>
      </c>
      <c r="BF250" s="41">
        <f t="shared" si="103"/>
        <v>0</v>
      </c>
    </row>
    <row r="251" spans="1:58" ht="13.5">
      <c r="A251" s="41" t="str">
        <f>IF(Base!B249="","",Base!B249)</f>
        <v>12.896.236-0</v>
      </c>
      <c r="B251" s="41" t="str">
        <f>IF(Base!F249="","",Base!F249)</f>
        <v>GABRIEL   CANDIA   MUÑOZ</v>
      </c>
      <c r="C251" s="41" t="str">
        <f>IF(Base!I249="","",Base!I249)</f>
        <v>Control y Gestión</v>
      </c>
      <c r="D251" s="42" t="str">
        <f>IF(Base!J249="","",Base!J249)</f>
        <v>Inspector tiempo</v>
      </c>
      <c r="E251" s="41">
        <f>IF(Base!H249="","",Base!H249)</f>
        <v>1050632</v>
      </c>
      <c r="J251" s="49">
        <v>241</v>
      </c>
      <c r="K251" s="113"/>
      <c r="L251" s="111" t="str">
        <f t="shared" si="91"/>
        <v/>
      </c>
      <c r="M251" s="111" t="str">
        <f t="shared" si="92"/>
        <v/>
      </c>
      <c r="N251" s="112" t="str">
        <f t="shared" si="93"/>
        <v/>
      </c>
      <c r="O251" s="112" t="str">
        <f t="shared" si="94"/>
        <v/>
      </c>
      <c r="P251" s="51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3">
        <f t="shared" si="104"/>
        <v>0</v>
      </c>
      <c r="AF251" s="53">
        <f t="shared" si="105"/>
        <v>0</v>
      </c>
      <c r="AG251" s="54"/>
      <c r="AL251" s="41" t="str">
        <f t="shared" si="106"/>
        <v/>
      </c>
      <c r="AM251" s="41">
        <v>242</v>
      </c>
      <c r="AN251" s="41">
        <f t="shared" si="95"/>
        <v>0</v>
      </c>
      <c r="AO251" s="41">
        <f t="shared" si="96"/>
        <v>0</v>
      </c>
      <c r="AP251" s="41">
        <f t="shared" si="97"/>
        <v>0</v>
      </c>
      <c r="AQ251" s="41">
        <f t="shared" si="98"/>
        <v>0</v>
      </c>
      <c r="AR251" s="41">
        <f t="shared" si="99"/>
        <v>0</v>
      </c>
      <c r="AS251" s="41">
        <f t="shared" si="100"/>
        <v>0</v>
      </c>
      <c r="AT251" s="41">
        <f t="shared" si="101"/>
        <v>0</v>
      </c>
      <c r="AU251" s="55">
        <f t="shared" si="102"/>
        <v>0</v>
      </c>
      <c r="AW251" s="41">
        <f t="shared" si="107"/>
        <v>0</v>
      </c>
      <c r="AX251" s="41">
        <f t="shared" si="108"/>
        <v>0</v>
      </c>
      <c r="AY251" s="41">
        <f t="shared" si="109"/>
        <v>0</v>
      </c>
      <c r="AZ251" s="41">
        <f t="shared" si="110"/>
        <v>0</v>
      </c>
      <c r="BA251" s="41">
        <f t="shared" si="111"/>
        <v>0</v>
      </c>
      <c r="BB251" s="41">
        <f t="shared" si="112"/>
        <v>0</v>
      </c>
      <c r="BC251" s="41">
        <f t="shared" si="113"/>
        <v>0</v>
      </c>
      <c r="BD251" s="55">
        <f t="shared" si="114"/>
        <v>0</v>
      </c>
      <c r="BF251" s="41">
        <f t="shared" si="103"/>
        <v>0</v>
      </c>
    </row>
    <row r="252" spans="1:58" ht="13.5">
      <c r="A252" s="41" t="str">
        <f>IF(Base!B250="","",Base!B250)</f>
        <v>15.391.242-4</v>
      </c>
      <c r="B252" s="41" t="str">
        <f>IF(Base!F250="","",Base!F250)</f>
        <v>JUAN  GUERRERO  MALIO</v>
      </c>
      <c r="C252" s="41" t="str">
        <f>IF(Base!I250="","",Base!I250)</f>
        <v>Control y Gestión</v>
      </c>
      <c r="D252" s="42" t="str">
        <f>IF(Base!J250="","",Base!J250)</f>
        <v>Inspector tiempo</v>
      </c>
      <c r="E252" s="41">
        <f>IF(Base!H250="","",Base!H250)</f>
        <v>1050632</v>
      </c>
      <c r="J252" s="49">
        <v>242</v>
      </c>
      <c r="K252" s="113"/>
      <c r="L252" s="111" t="str">
        <f t="shared" si="91"/>
        <v/>
      </c>
      <c r="M252" s="111" t="str">
        <f t="shared" si="92"/>
        <v/>
      </c>
      <c r="N252" s="112" t="str">
        <f t="shared" si="93"/>
        <v/>
      </c>
      <c r="O252" s="112" t="str">
        <f t="shared" si="94"/>
        <v/>
      </c>
      <c r="P252" s="51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3">
        <f t="shared" si="104"/>
        <v>0</v>
      </c>
      <c r="AF252" s="53">
        <f t="shared" si="105"/>
        <v>0</v>
      </c>
      <c r="AG252" s="54"/>
      <c r="AL252" s="41" t="str">
        <f t="shared" si="106"/>
        <v/>
      </c>
      <c r="AM252" s="41">
        <v>243</v>
      </c>
      <c r="AN252" s="41">
        <f t="shared" si="95"/>
        <v>0</v>
      </c>
      <c r="AO252" s="41">
        <f t="shared" si="96"/>
        <v>0</v>
      </c>
      <c r="AP252" s="41">
        <f t="shared" si="97"/>
        <v>0</v>
      </c>
      <c r="AQ252" s="41">
        <f t="shared" si="98"/>
        <v>0</v>
      </c>
      <c r="AR252" s="41">
        <f t="shared" si="99"/>
        <v>0</v>
      </c>
      <c r="AS252" s="41">
        <f t="shared" si="100"/>
        <v>0</v>
      </c>
      <c r="AT252" s="41">
        <f t="shared" si="101"/>
        <v>0</v>
      </c>
      <c r="AU252" s="55">
        <f t="shared" si="102"/>
        <v>0</v>
      </c>
      <c r="AW252" s="41">
        <f t="shared" si="107"/>
        <v>0</v>
      </c>
      <c r="AX252" s="41">
        <f t="shared" si="108"/>
        <v>0</v>
      </c>
      <c r="AY252" s="41">
        <f t="shared" si="109"/>
        <v>0</v>
      </c>
      <c r="AZ252" s="41">
        <f t="shared" si="110"/>
        <v>0</v>
      </c>
      <c r="BA252" s="41">
        <f t="shared" si="111"/>
        <v>0</v>
      </c>
      <c r="BB252" s="41">
        <f t="shared" si="112"/>
        <v>0</v>
      </c>
      <c r="BC252" s="41">
        <f t="shared" si="113"/>
        <v>0</v>
      </c>
      <c r="BD252" s="55">
        <f t="shared" si="114"/>
        <v>0</v>
      </c>
      <c r="BF252" s="41">
        <f t="shared" si="103"/>
        <v>0</v>
      </c>
    </row>
    <row r="253" spans="1:58" ht="13.5">
      <c r="A253" s="41" t="str">
        <f>IF(Base!B251="","",Base!B251)</f>
        <v>16.268.829-4</v>
      </c>
      <c r="B253" s="41" t="str">
        <f>IF(Base!F251="","",Base!F251)</f>
        <v>ALBERTO  MORALES  DIAZ</v>
      </c>
      <c r="C253" s="41" t="str">
        <f>IF(Base!I251="","",Base!I251)</f>
        <v>Linea 6</v>
      </c>
      <c r="D253" s="42" t="str">
        <f>IF(Base!J251="","",Base!J251)</f>
        <v>Etiquetador</v>
      </c>
      <c r="E253" s="41">
        <f>IF(Base!H251="","",Base!H251)</f>
        <v>1050610</v>
      </c>
      <c r="J253" s="49">
        <v>243</v>
      </c>
      <c r="K253" s="113"/>
      <c r="L253" s="111" t="str">
        <f t="shared" si="91"/>
        <v/>
      </c>
      <c r="M253" s="111" t="str">
        <f t="shared" si="92"/>
        <v/>
      </c>
      <c r="N253" s="112" t="str">
        <f t="shared" si="93"/>
        <v/>
      </c>
      <c r="O253" s="112" t="str">
        <f t="shared" si="94"/>
        <v/>
      </c>
      <c r="P253" s="51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3">
        <f t="shared" si="104"/>
        <v>0</v>
      </c>
      <c r="AF253" s="53">
        <f t="shared" si="105"/>
        <v>0</v>
      </c>
      <c r="AG253" s="54"/>
      <c r="AL253" s="41" t="str">
        <f t="shared" si="106"/>
        <v/>
      </c>
      <c r="AM253" s="41">
        <v>244</v>
      </c>
      <c r="AN253" s="41">
        <f t="shared" si="95"/>
        <v>0</v>
      </c>
      <c r="AO253" s="41">
        <f t="shared" si="96"/>
        <v>0</v>
      </c>
      <c r="AP253" s="41">
        <f t="shared" si="97"/>
        <v>0</v>
      </c>
      <c r="AQ253" s="41">
        <f t="shared" si="98"/>
        <v>0</v>
      </c>
      <c r="AR253" s="41">
        <f t="shared" si="99"/>
        <v>0</v>
      </c>
      <c r="AS253" s="41">
        <f t="shared" si="100"/>
        <v>0</v>
      </c>
      <c r="AT253" s="41">
        <f t="shared" si="101"/>
        <v>0</v>
      </c>
      <c r="AU253" s="55">
        <f t="shared" si="102"/>
        <v>0</v>
      </c>
      <c r="AW253" s="41">
        <f t="shared" si="107"/>
        <v>0</v>
      </c>
      <c r="AX253" s="41">
        <f t="shared" si="108"/>
        <v>0</v>
      </c>
      <c r="AY253" s="41">
        <f t="shared" si="109"/>
        <v>0</v>
      </c>
      <c r="AZ253" s="41">
        <f t="shared" si="110"/>
        <v>0</v>
      </c>
      <c r="BA253" s="41">
        <f t="shared" si="111"/>
        <v>0</v>
      </c>
      <c r="BB253" s="41">
        <f t="shared" si="112"/>
        <v>0</v>
      </c>
      <c r="BC253" s="41">
        <f t="shared" si="113"/>
        <v>0</v>
      </c>
      <c r="BD253" s="55">
        <f t="shared" si="114"/>
        <v>0</v>
      </c>
      <c r="BF253" s="41">
        <f t="shared" si="103"/>
        <v>0</v>
      </c>
    </row>
    <row r="254" spans="1:58" ht="13.5">
      <c r="A254" s="41" t="str">
        <f>IF(Base!B252="","",Base!B252)</f>
        <v>5.738.427-1</v>
      </c>
      <c r="B254" s="41" t="str">
        <f>IF(Base!F252="","",Base!F252)</f>
        <v>RAÚL   MARTINEZ  VASQUEZ</v>
      </c>
      <c r="C254" s="41" t="str">
        <f>IF(Base!I252="","",Base!I252)</f>
        <v>Aseo</v>
      </c>
      <c r="D254" s="42" t="str">
        <f>IF(Base!J252="","",Base!J252)</f>
        <v>Aseo</v>
      </c>
      <c r="E254" s="41">
        <f>IF(Base!H252="","",Base!H252)</f>
        <v>1050603</v>
      </c>
      <c r="J254" s="49">
        <v>244</v>
      </c>
      <c r="K254" s="113"/>
      <c r="L254" s="111" t="str">
        <f t="shared" si="91"/>
        <v/>
      </c>
      <c r="M254" s="111" t="str">
        <f t="shared" si="92"/>
        <v/>
      </c>
      <c r="N254" s="112" t="str">
        <f t="shared" si="93"/>
        <v/>
      </c>
      <c r="O254" s="112" t="str">
        <f t="shared" si="94"/>
        <v/>
      </c>
      <c r="P254" s="51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3">
        <f t="shared" si="104"/>
        <v>0</v>
      </c>
      <c r="AF254" s="53">
        <f t="shared" si="105"/>
        <v>0</v>
      </c>
      <c r="AG254" s="54"/>
      <c r="AL254" s="41" t="str">
        <f t="shared" si="106"/>
        <v/>
      </c>
      <c r="AM254" s="41">
        <v>245</v>
      </c>
      <c r="AN254" s="41">
        <f t="shared" si="95"/>
        <v>0</v>
      </c>
      <c r="AO254" s="41">
        <f t="shared" si="96"/>
        <v>0</v>
      </c>
      <c r="AP254" s="41">
        <f t="shared" si="97"/>
        <v>0</v>
      </c>
      <c r="AQ254" s="41">
        <f t="shared" si="98"/>
        <v>0</v>
      </c>
      <c r="AR254" s="41">
        <f t="shared" si="99"/>
        <v>0</v>
      </c>
      <c r="AS254" s="41">
        <f t="shared" si="100"/>
        <v>0</v>
      </c>
      <c r="AT254" s="41">
        <f t="shared" si="101"/>
        <v>0</v>
      </c>
      <c r="AU254" s="55">
        <f t="shared" si="102"/>
        <v>0</v>
      </c>
      <c r="AW254" s="41">
        <f t="shared" si="107"/>
        <v>0</v>
      </c>
      <c r="AX254" s="41">
        <f t="shared" si="108"/>
        <v>0</v>
      </c>
      <c r="AY254" s="41">
        <f t="shared" si="109"/>
        <v>0</v>
      </c>
      <c r="AZ254" s="41">
        <f t="shared" si="110"/>
        <v>0</v>
      </c>
      <c r="BA254" s="41">
        <f t="shared" si="111"/>
        <v>0</v>
      </c>
      <c r="BB254" s="41">
        <f t="shared" si="112"/>
        <v>0</v>
      </c>
      <c r="BC254" s="41">
        <f t="shared" si="113"/>
        <v>0</v>
      </c>
      <c r="BD254" s="55">
        <f t="shared" si="114"/>
        <v>0</v>
      </c>
      <c r="BF254" s="41">
        <f t="shared" si="103"/>
        <v>0</v>
      </c>
    </row>
    <row r="255" spans="1:58" ht="13.5">
      <c r="A255" s="41" t="str">
        <f>IF(Base!B253="","",Base!B253)</f>
        <v>18.364.293-6</v>
      </c>
      <c r="B255" s="41" t="str">
        <f>IF(Base!F253="","",Base!F253)</f>
        <v>CRISTOPHER ANDRES ZUÑIGA CACERES</v>
      </c>
      <c r="C255" s="41" t="str">
        <f>IF(Base!I253="","",Base!I253)</f>
        <v>TPM</v>
      </c>
      <c r="D255" s="42" t="str">
        <f>IF(Base!J253="","",Base!J253)</f>
        <v>Trainee</v>
      </c>
      <c r="E255" s="41">
        <f>IF(Base!H253="","",Base!H253)</f>
        <v>1050604</v>
      </c>
      <c r="J255" s="49">
        <v>245</v>
      </c>
      <c r="K255" s="113"/>
      <c r="L255" s="111" t="str">
        <f t="shared" si="91"/>
        <v/>
      </c>
      <c r="M255" s="111" t="str">
        <f t="shared" si="92"/>
        <v/>
      </c>
      <c r="N255" s="112" t="str">
        <f t="shared" si="93"/>
        <v/>
      </c>
      <c r="O255" s="112" t="str">
        <f t="shared" si="94"/>
        <v/>
      </c>
      <c r="P255" s="51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3">
        <f t="shared" si="104"/>
        <v>0</v>
      </c>
      <c r="AF255" s="53">
        <f t="shared" si="105"/>
        <v>0</v>
      </c>
      <c r="AG255" s="54"/>
      <c r="AL255" s="41" t="str">
        <f t="shared" si="106"/>
        <v/>
      </c>
      <c r="AM255" s="41">
        <v>246</v>
      </c>
      <c r="AN255" s="41">
        <f t="shared" si="95"/>
        <v>0</v>
      </c>
      <c r="AO255" s="41">
        <f t="shared" si="96"/>
        <v>0</v>
      </c>
      <c r="AP255" s="41">
        <f t="shared" si="97"/>
        <v>0</v>
      </c>
      <c r="AQ255" s="41">
        <f t="shared" si="98"/>
        <v>0</v>
      </c>
      <c r="AR255" s="41">
        <f t="shared" si="99"/>
        <v>0</v>
      </c>
      <c r="AS255" s="41">
        <f t="shared" si="100"/>
        <v>0</v>
      </c>
      <c r="AT255" s="41">
        <f t="shared" si="101"/>
        <v>0</v>
      </c>
      <c r="AU255" s="55">
        <f t="shared" si="102"/>
        <v>0</v>
      </c>
      <c r="AW255" s="41">
        <f t="shared" si="107"/>
        <v>0</v>
      </c>
      <c r="AX255" s="41">
        <f t="shared" si="108"/>
        <v>0</v>
      </c>
      <c r="AY255" s="41">
        <f t="shared" si="109"/>
        <v>0</v>
      </c>
      <c r="AZ255" s="41">
        <f t="shared" si="110"/>
        <v>0</v>
      </c>
      <c r="BA255" s="41">
        <f t="shared" si="111"/>
        <v>0</v>
      </c>
      <c r="BB255" s="41">
        <f t="shared" si="112"/>
        <v>0</v>
      </c>
      <c r="BC255" s="41">
        <f t="shared" si="113"/>
        <v>0</v>
      </c>
      <c r="BD255" s="55">
        <f t="shared" si="114"/>
        <v>0</v>
      </c>
      <c r="BF255" s="41">
        <f t="shared" si="103"/>
        <v>0</v>
      </c>
    </row>
    <row r="256" spans="1:58" ht="13.5">
      <c r="A256" s="41" t="str">
        <f>IF(Base!B254="","",Base!B254)</f>
        <v>18.045.411-k</v>
      </c>
      <c r="B256" s="41" t="str">
        <f>IF(Base!F254="","",Base!F254)</f>
        <v>RICARDO ANDRES GONZALES GONZALES</v>
      </c>
      <c r="C256" s="41" t="str">
        <f>IF(Base!I254="","",Base!I254)</f>
        <v>TPM</v>
      </c>
      <c r="D256" s="42" t="str">
        <f>IF(Base!J254="","",Base!J254)</f>
        <v>Trainee</v>
      </c>
      <c r="E256" s="41">
        <f>IF(Base!H254="","",Base!H254)</f>
        <v>1050604</v>
      </c>
      <c r="J256" s="49">
        <v>246</v>
      </c>
      <c r="K256" s="113"/>
      <c r="L256" s="111" t="str">
        <f t="shared" si="91"/>
        <v/>
      </c>
      <c r="M256" s="111" t="str">
        <f t="shared" si="92"/>
        <v/>
      </c>
      <c r="N256" s="112" t="str">
        <f t="shared" si="93"/>
        <v/>
      </c>
      <c r="O256" s="112" t="str">
        <f t="shared" si="94"/>
        <v/>
      </c>
      <c r="P256" s="51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3">
        <f t="shared" si="104"/>
        <v>0</v>
      </c>
      <c r="AF256" s="53">
        <f t="shared" si="105"/>
        <v>0</v>
      </c>
      <c r="AG256" s="54"/>
      <c r="AL256" s="41" t="str">
        <f t="shared" si="106"/>
        <v/>
      </c>
      <c r="AM256" s="41">
        <v>247</v>
      </c>
      <c r="AN256" s="41">
        <f t="shared" si="95"/>
        <v>0</v>
      </c>
      <c r="AO256" s="41">
        <f t="shared" si="96"/>
        <v>0</v>
      </c>
      <c r="AP256" s="41">
        <f t="shared" si="97"/>
        <v>0</v>
      </c>
      <c r="AQ256" s="41">
        <f t="shared" si="98"/>
        <v>0</v>
      </c>
      <c r="AR256" s="41">
        <f t="shared" si="99"/>
        <v>0</v>
      </c>
      <c r="AS256" s="41">
        <f t="shared" si="100"/>
        <v>0</v>
      </c>
      <c r="AT256" s="41">
        <f t="shared" si="101"/>
        <v>0</v>
      </c>
      <c r="AU256" s="55">
        <f t="shared" si="102"/>
        <v>0</v>
      </c>
      <c r="AW256" s="41">
        <f t="shared" si="107"/>
        <v>0</v>
      </c>
      <c r="AX256" s="41">
        <f t="shared" si="108"/>
        <v>0</v>
      </c>
      <c r="AY256" s="41">
        <f t="shared" si="109"/>
        <v>0</v>
      </c>
      <c r="AZ256" s="41">
        <f t="shared" si="110"/>
        <v>0</v>
      </c>
      <c r="BA256" s="41">
        <f t="shared" si="111"/>
        <v>0</v>
      </c>
      <c r="BB256" s="41">
        <f t="shared" si="112"/>
        <v>0</v>
      </c>
      <c r="BC256" s="41">
        <f t="shared" si="113"/>
        <v>0</v>
      </c>
      <c r="BD256" s="55">
        <f t="shared" si="114"/>
        <v>0</v>
      </c>
      <c r="BF256" s="41">
        <f t="shared" si="103"/>
        <v>0</v>
      </c>
    </row>
    <row r="257" spans="1:58" ht="13.5">
      <c r="A257" s="41" t="str">
        <f>IF(Base!B255="","",Base!B255)</f>
        <v>18.187.438-4</v>
      </c>
      <c r="B257" s="41" t="str">
        <f>IF(Base!F255="","",Base!F255)</f>
        <v>NICOLAS FRANCISCO GAVELO DEVIA</v>
      </c>
      <c r="C257" s="41" t="str">
        <f>IF(Base!I255="","",Base!I255)</f>
        <v>TPM</v>
      </c>
      <c r="D257" s="42" t="str">
        <f>IF(Base!J255="","",Base!J255)</f>
        <v>Trainee</v>
      </c>
      <c r="E257" s="41">
        <f>IF(Base!H255="","",Base!H255)</f>
        <v>1050604</v>
      </c>
      <c r="J257" s="49">
        <v>247</v>
      </c>
      <c r="K257" s="113"/>
      <c r="L257" s="111" t="str">
        <f t="shared" si="91"/>
        <v/>
      </c>
      <c r="M257" s="111" t="str">
        <f t="shared" si="92"/>
        <v/>
      </c>
      <c r="N257" s="112" t="str">
        <f t="shared" si="93"/>
        <v/>
      </c>
      <c r="O257" s="112" t="str">
        <f t="shared" si="94"/>
        <v/>
      </c>
      <c r="P257" s="51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3">
        <f t="shared" si="104"/>
        <v>0</v>
      </c>
      <c r="AF257" s="53">
        <f t="shared" si="105"/>
        <v>0</v>
      </c>
      <c r="AG257" s="54"/>
      <c r="AL257" s="41" t="str">
        <f t="shared" si="106"/>
        <v/>
      </c>
      <c r="AM257" s="41">
        <v>248</v>
      </c>
      <c r="AN257" s="41">
        <f t="shared" si="95"/>
        <v>0</v>
      </c>
      <c r="AO257" s="41">
        <f t="shared" si="96"/>
        <v>0</v>
      </c>
      <c r="AP257" s="41">
        <f t="shared" si="97"/>
        <v>0</v>
      </c>
      <c r="AQ257" s="41">
        <f t="shared" si="98"/>
        <v>0</v>
      </c>
      <c r="AR257" s="41">
        <f t="shared" si="99"/>
        <v>0</v>
      </c>
      <c r="AS257" s="41">
        <f t="shared" si="100"/>
        <v>0</v>
      </c>
      <c r="AT257" s="41">
        <f t="shared" si="101"/>
        <v>0</v>
      </c>
      <c r="AU257" s="55">
        <f t="shared" si="102"/>
        <v>0</v>
      </c>
      <c r="AW257" s="41">
        <f t="shared" si="107"/>
        <v>0</v>
      </c>
      <c r="AX257" s="41">
        <f t="shared" si="108"/>
        <v>0</v>
      </c>
      <c r="AY257" s="41">
        <f t="shared" si="109"/>
        <v>0</v>
      </c>
      <c r="AZ257" s="41">
        <f t="shared" si="110"/>
        <v>0</v>
      </c>
      <c r="BA257" s="41">
        <f t="shared" si="111"/>
        <v>0</v>
      </c>
      <c r="BB257" s="41">
        <f t="shared" si="112"/>
        <v>0</v>
      </c>
      <c r="BC257" s="41">
        <f t="shared" si="113"/>
        <v>0</v>
      </c>
      <c r="BD257" s="55">
        <f t="shared" si="114"/>
        <v>0</v>
      </c>
      <c r="BF257" s="41">
        <f t="shared" si="103"/>
        <v>0</v>
      </c>
    </row>
    <row r="258" spans="1:58" ht="13.5">
      <c r="A258" s="41" t="str">
        <f>IF(Base!B256="","",Base!B256)</f>
        <v>17.546.614-2</v>
      </c>
      <c r="B258" s="41" t="str">
        <f>IF(Base!F256="","",Base!F256)</f>
        <v>ISAAC MARTINEZ</v>
      </c>
      <c r="C258" s="41" t="str">
        <f>IF(Base!I256="","",Base!I256)</f>
        <v>Abastecimiento</v>
      </c>
      <c r="D258" s="42" t="str">
        <f>IF(Base!J256="","",Base!J256)</f>
        <v>Operario Almacenamiento</v>
      </c>
      <c r="E258" s="41">
        <f>IF(Base!H256="","",Base!H256)</f>
        <v>1050633</v>
      </c>
      <c r="J258" s="49">
        <v>248</v>
      </c>
      <c r="K258" s="113"/>
      <c r="L258" s="111" t="str">
        <f t="shared" si="91"/>
        <v/>
      </c>
      <c r="M258" s="111" t="str">
        <f t="shared" si="92"/>
        <v/>
      </c>
      <c r="N258" s="112" t="str">
        <f t="shared" si="93"/>
        <v/>
      </c>
      <c r="O258" s="112" t="str">
        <f t="shared" si="94"/>
        <v/>
      </c>
      <c r="P258" s="51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3">
        <f t="shared" si="104"/>
        <v>0</v>
      </c>
      <c r="AF258" s="53">
        <f t="shared" si="105"/>
        <v>0</v>
      </c>
      <c r="AG258" s="54"/>
      <c r="AL258" s="41" t="str">
        <f t="shared" si="106"/>
        <v/>
      </c>
      <c r="AM258" s="41">
        <v>249</v>
      </c>
      <c r="AN258" s="41">
        <f t="shared" si="95"/>
        <v>0</v>
      </c>
      <c r="AO258" s="41">
        <f t="shared" si="96"/>
        <v>0</v>
      </c>
      <c r="AP258" s="41">
        <f t="shared" si="97"/>
        <v>0</v>
      </c>
      <c r="AQ258" s="41">
        <f t="shared" si="98"/>
        <v>0</v>
      </c>
      <c r="AR258" s="41">
        <f t="shared" si="99"/>
        <v>0</v>
      </c>
      <c r="AS258" s="41">
        <f t="shared" si="100"/>
        <v>0</v>
      </c>
      <c r="AT258" s="41">
        <f t="shared" si="101"/>
        <v>0</v>
      </c>
      <c r="AU258" s="55">
        <f t="shared" si="102"/>
        <v>0</v>
      </c>
      <c r="AW258" s="41">
        <f t="shared" si="107"/>
        <v>0</v>
      </c>
      <c r="AX258" s="41">
        <f t="shared" si="108"/>
        <v>0</v>
      </c>
      <c r="AY258" s="41">
        <f t="shared" si="109"/>
        <v>0</v>
      </c>
      <c r="AZ258" s="41">
        <f t="shared" si="110"/>
        <v>0</v>
      </c>
      <c r="BA258" s="41">
        <f t="shared" si="111"/>
        <v>0</v>
      </c>
      <c r="BB258" s="41">
        <f t="shared" si="112"/>
        <v>0</v>
      </c>
      <c r="BC258" s="41">
        <f t="shared" si="113"/>
        <v>0</v>
      </c>
      <c r="BD258" s="55">
        <f t="shared" si="114"/>
        <v>0</v>
      </c>
      <c r="BF258" s="41">
        <f t="shared" si="103"/>
        <v>0</v>
      </c>
    </row>
    <row r="259" spans="1:58" ht="13.5">
      <c r="A259" s="41" t="str">
        <f>IF(Base!B257="","",Base!B257)</f>
        <v>14005685-7</v>
      </c>
      <c r="B259" s="41" t="str">
        <f>IF(Base!F257="","",Base!F257)</f>
        <v>NICOLAS NARVAI ZUBICUETA</v>
      </c>
      <c r="C259" s="41" t="str">
        <f>IF(Base!I257="","",Base!I257)</f>
        <v>Abastecimiento</v>
      </c>
      <c r="D259" s="42" t="str">
        <f>IF(Base!J257="","",Base!J257)</f>
        <v>Operario Almacenamiento</v>
      </c>
      <c r="E259" s="41">
        <f>IF(Base!H257="","",Base!H257)</f>
        <v>1050633</v>
      </c>
      <c r="J259" s="49">
        <v>249</v>
      </c>
      <c r="K259" s="113"/>
      <c r="L259" s="111" t="str">
        <f t="shared" si="91"/>
        <v/>
      </c>
      <c r="M259" s="111" t="str">
        <f t="shared" si="92"/>
        <v/>
      </c>
      <c r="N259" s="112" t="str">
        <f t="shared" si="93"/>
        <v/>
      </c>
      <c r="O259" s="112" t="str">
        <f t="shared" si="94"/>
        <v/>
      </c>
      <c r="P259" s="51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3">
        <f t="shared" si="104"/>
        <v>0</v>
      </c>
      <c r="AF259" s="53">
        <f t="shared" si="105"/>
        <v>0</v>
      </c>
      <c r="AG259" s="54"/>
      <c r="AL259" s="41" t="str">
        <f t="shared" si="106"/>
        <v/>
      </c>
      <c r="AM259" s="41">
        <v>250</v>
      </c>
      <c r="AN259" s="41">
        <f t="shared" si="95"/>
        <v>0</v>
      </c>
      <c r="AO259" s="41">
        <f t="shared" si="96"/>
        <v>0</v>
      </c>
      <c r="AP259" s="41">
        <f t="shared" si="97"/>
        <v>0</v>
      </c>
      <c r="AQ259" s="41">
        <f t="shared" si="98"/>
        <v>0</v>
      </c>
      <c r="AR259" s="41">
        <f t="shared" si="99"/>
        <v>0</v>
      </c>
      <c r="AS259" s="41">
        <f t="shared" si="100"/>
        <v>0</v>
      </c>
      <c r="AT259" s="41">
        <f t="shared" si="101"/>
        <v>0</v>
      </c>
      <c r="AU259" s="55">
        <f t="shared" si="102"/>
        <v>0</v>
      </c>
      <c r="AW259" s="41">
        <f t="shared" si="107"/>
        <v>0</v>
      </c>
      <c r="AX259" s="41">
        <f t="shared" si="108"/>
        <v>0</v>
      </c>
      <c r="AY259" s="41">
        <f t="shared" si="109"/>
        <v>0</v>
      </c>
      <c r="AZ259" s="41">
        <f t="shared" si="110"/>
        <v>0</v>
      </c>
      <c r="BA259" s="41">
        <f t="shared" si="111"/>
        <v>0</v>
      </c>
      <c r="BB259" s="41">
        <f t="shared" si="112"/>
        <v>0</v>
      </c>
      <c r="BC259" s="41">
        <f t="shared" si="113"/>
        <v>0</v>
      </c>
      <c r="BD259" s="55">
        <f t="shared" si="114"/>
        <v>0</v>
      </c>
      <c r="BF259" s="41">
        <f t="shared" si="103"/>
        <v>0</v>
      </c>
    </row>
    <row r="260" spans="1:58" ht="13.5">
      <c r="A260" s="41" t="str">
        <f>IF(Base!B258="","",Base!B258)</f>
        <v>23.040.236-1</v>
      </c>
      <c r="B260" s="41" t="str">
        <f>IF(Base!F258="","",Base!F258)</f>
        <v>SEBASTIAN PEREZ</v>
      </c>
      <c r="C260" s="41" t="str">
        <f>IF(Base!I258="","",Base!I258)</f>
        <v>Abastecimiento</v>
      </c>
      <c r="D260" s="42" t="str">
        <f>IF(Base!J258="","",Base!J258)</f>
        <v>Operario Almacenamiento</v>
      </c>
      <c r="E260" s="41">
        <f>IF(Base!H258="","",Base!H258)</f>
        <v>1050506</v>
      </c>
      <c r="J260" s="49">
        <v>250</v>
      </c>
      <c r="K260" s="113"/>
      <c r="L260" s="111" t="str">
        <f t="shared" si="91"/>
        <v/>
      </c>
      <c r="M260" s="111" t="str">
        <f t="shared" si="92"/>
        <v/>
      </c>
      <c r="N260" s="112" t="str">
        <f t="shared" si="93"/>
        <v/>
      </c>
      <c r="O260" s="112" t="str">
        <f t="shared" si="94"/>
        <v/>
      </c>
      <c r="P260" s="51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3">
        <f t="shared" si="104"/>
        <v>0</v>
      </c>
      <c r="AF260" s="53">
        <f t="shared" si="105"/>
        <v>0</v>
      </c>
      <c r="AG260" s="54"/>
      <c r="AL260" s="41" t="str">
        <f t="shared" si="106"/>
        <v/>
      </c>
      <c r="AM260" s="41">
        <v>251</v>
      </c>
      <c r="AN260" s="41">
        <f t="shared" si="95"/>
        <v>0</v>
      </c>
      <c r="AO260" s="41">
        <f t="shared" si="96"/>
        <v>0</v>
      </c>
      <c r="AP260" s="41">
        <f t="shared" si="97"/>
        <v>0</v>
      </c>
      <c r="AQ260" s="41">
        <f t="shared" si="98"/>
        <v>0</v>
      </c>
      <c r="AR260" s="41">
        <f t="shared" si="99"/>
        <v>0</v>
      </c>
      <c r="AS260" s="41">
        <f t="shared" si="100"/>
        <v>0</v>
      </c>
      <c r="AT260" s="41">
        <f t="shared" si="101"/>
        <v>0</v>
      </c>
      <c r="AU260" s="55">
        <f t="shared" si="102"/>
        <v>0</v>
      </c>
      <c r="AW260" s="41">
        <f t="shared" si="107"/>
        <v>0</v>
      </c>
      <c r="AX260" s="41">
        <f t="shared" si="108"/>
        <v>0</v>
      </c>
      <c r="AY260" s="41">
        <f t="shared" si="109"/>
        <v>0</v>
      </c>
      <c r="AZ260" s="41">
        <f t="shared" si="110"/>
        <v>0</v>
      </c>
      <c r="BA260" s="41">
        <f t="shared" si="111"/>
        <v>0</v>
      </c>
      <c r="BB260" s="41">
        <f t="shared" si="112"/>
        <v>0</v>
      </c>
      <c r="BC260" s="41">
        <f t="shared" si="113"/>
        <v>0</v>
      </c>
      <c r="BD260" s="55">
        <f t="shared" si="114"/>
        <v>0</v>
      </c>
      <c r="BF260" s="41">
        <f t="shared" si="103"/>
        <v>0</v>
      </c>
    </row>
    <row r="261" spans="1:58" ht="13.5">
      <c r="A261" s="41" t="str">
        <f>IF(Base!B259="","",Base!B259)</f>
        <v>11.267.622-8</v>
      </c>
      <c r="B261" s="41" t="str">
        <f>IF(Base!F259="","",Base!F259)</f>
        <v>JOSE MATURANA RIOS</v>
      </c>
      <c r="C261" s="41" t="str">
        <f>IF(Base!I259="","",Base!I259)</f>
        <v>Abastecimiento</v>
      </c>
      <c r="D261" s="42" t="str">
        <f>IF(Base!J259="","",Base!J259)</f>
        <v>Operario Almacenamiento</v>
      </c>
      <c r="E261" s="41">
        <f>IF(Base!H259="","",Base!H259)</f>
        <v>1050633</v>
      </c>
      <c r="L261" s="50"/>
    </row>
    <row r="262" spans="1:58">
      <c r="A262" s="41" t="str">
        <f>IF(Base!B260="","",Base!B260)</f>
        <v>16.558.908-4</v>
      </c>
      <c r="B262" s="41" t="str">
        <f>IF(Base!F260="","",Base!F260)</f>
        <v>MARCELO ROJAS MUÑOZ</v>
      </c>
      <c r="C262" s="41" t="str">
        <f>IF(Base!I260="","",Base!I260)</f>
        <v>Setup</v>
      </c>
      <c r="D262" s="42" t="str">
        <f>IF(Base!J260="","",Base!J260)</f>
        <v>Setup</v>
      </c>
      <c r="E262" s="41">
        <f>IF(Base!H260="","",Base!H260)</f>
        <v>1050529</v>
      </c>
    </row>
    <row r="263" spans="1:58">
      <c r="A263" s="41" t="str">
        <f>IF(Base!B261="","",Base!B261)</f>
        <v/>
      </c>
      <c r="B263" s="41" t="str">
        <f>IF(Base!F261="","",Base!F261)</f>
        <v/>
      </c>
      <c r="C263" s="41" t="str">
        <f>IF(Base!I261="","",Base!I261)</f>
        <v/>
      </c>
      <c r="D263" s="42" t="str">
        <f>IF(Base!J261="","",Base!J261)</f>
        <v/>
      </c>
      <c r="E263" s="41" t="str">
        <f>IF(Base!H261="","",Base!H261)</f>
        <v/>
      </c>
    </row>
    <row r="264" spans="1:58">
      <c r="A264" s="41" t="str">
        <f>IF(Base!B262="","",Base!B262)</f>
        <v/>
      </c>
      <c r="B264" s="41" t="str">
        <f>IF(Base!F262="","",Base!F262)</f>
        <v/>
      </c>
      <c r="C264" s="41" t="str">
        <f>IF(Base!I262="","",Base!I262)</f>
        <v/>
      </c>
      <c r="D264" s="42" t="str">
        <f>IF(Base!J262="","",Base!J262)</f>
        <v/>
      </c>
      <c r="E264" s="41" t="str">
        <f>IF(Base!H262="","",Base!H262)</f>
        <v/>
      </c>
    </row>
    <row r="265" spans="1:58">
      <c r="A265" s="41" t="str">
        <f>IF(Base!B263="","",Base!B263)</f>
        <v/>
      </c>
      <c r="B265" s="41" t="str">
        <f>IF(Base!F263="","",Base!F263)</f>
        <v/>
      </c>
      <c r="C265" s="41" t="str">
        <f>IF(Base!I263="","",Base!I263)</f>
        <v/>
      </c>
      <c r="D265" s="42" t="str">
        <f>IF(Base!J263="","",Base!J263)</f>
        <v/>
      </c>
      <c r="E265" s="41" t="str">
        <f>IF(Base!H263="","",Base!H263)</f>
        <v/>
      </c>
    </row>
    <row r="266" spans="1:58">
      <c r="A266" s="41" t="str">
        <f>IF(Base!B264="","",Base!B264)</f>
        <v/>
      </c>
      <c r="B266" s="41" t="str">
        <f>IF(Base!F264="","",Base!F264)</f>
        <v/>
      </c>
      <c r="C266" s="41" t="str">
        <f>IF(Base!I264="","",Base!I264)</f>
        <v/>
      </c>
      <c r="D266" s="42" t="str">
        <f>IF(Base!J264="","",Base!J264)</f>
        <v/>
      </c>
      <c r="E266" s="41" t="str">
        <f>IF(Base!H264="","",Base!H264)</f>
        <v/>
      </c>
    </row>
    <row r="267" spans="1:58">
      <c r="A267" s="41" t="str">
        <f>IF(Base!B265="","",Base!B265)</f>
        <v/>
      </c>
      <c r="B267" s="41" t="str">
        <f>IF(Base!F265="","",Base!F265)</f>
        <v/>
      </c>
      <c r="C267" s="41" t="str">
        <f>IF(Base!I265="","",Base!I265)</f>
        <v/>
      </c>
      <c r="D267" s="42" t="str">
        <f>IF(Base!J265="","",Base!J265)</f>
        <v/>
      </c>
      <c r="E267" s="41" t="str">
        <f>IF(Base!H265="","",Base!H265)</f>
        <v/>
      </c>
    </row>
    <row r="268" spans="1:58">
      <c r="A268" s="41" t="str">
        <f>IF(Base!B266="","",Base!B266)</f>
        <v/>
      </c>
      <c r="B268" s="41" t="str">
        <f>IF(Base!F266="","",Base!F266)</f>
        <v/>
      </c>
      <c r="C268" s="41" t="str">
        <f>IF(Base!I266="","",Base!I266)</f>
        <v/>
      </c>
      <c r="D268" s="42" t="str">
        <f>IF(Base!J266="","",Base!J266)</f>
        <v/>
      </c>
      <c r="E268" s="41" t="str">
        <f>IF(Base!H266="","",Base!H266)</f>
        <v/>
      </c>
    </row>
    <row r="269" spans="1:58">
      <c r="A269" s="41" t="str">
        <f>IF(Base!B267="","",Base!B267)</f>
        <v/>
      </c>
      <c r="B269" s="41" t="str">
        <f>IF(Base!F267="","",Base!F267)</f>
        <v/>
      </c>
      <c r="C269" s="41" t="str">
        <f>IF(Base!I267="","",Base!I267)</f>
        <v/>
      </c>
      <c r="D269" s="42" t="str">
        <f>IF(Base!J267="","",Base!J267)</f>
        <v/>
      </c>
      <c r="E269" s="41" t="str">
        <f>IF(Base!H267="","",Base!H267)</f>
        <v/>
      </c>
    </row>
    <row r="270" spans="1:58">
      <c r="A270" s="41" t="str">
        <f>IF(Base!B268="","",Base!B268)</f>
        <v/>
      </c>
      <c r="B270" s="41" t="str">
        <f>IF(Base!F268="","",Base!F268)</f>
        <v/>
      </c>
      <c r="C270" s="41" t="str">
        <f>IF(Base!I268="","",Base!I268)</f>
        <v/>
      </c>
      <c r="D270" s="42" t="str">
        <f>IF(Base!J268="","",Base!J268)</f>
        <v/>
      </c>
      <c r="E270" s="41" t="str">
        <f>IF(Base!H268="","",Base!H268)</f>
        <v/>
      </c>
    </row>
    <row r="271" spans="1:58">
      <c r="A271" s="41" t="str">
        <f>IF(Base!B269="","",Base!B269)</f>
        <v/>
      </c>
      <c r="B271" s="41" t="str">
        <f>IF(Base!F269="","",Base!F269)</f>
        <v/>
      </c>
      <c r="C271" s="41" t="str">
        <f>IF(Base!I269="","",Base!I269)</f>
        <v/>
      </c>
      <c r="D271" s="42" t="str">
        <f>IF(Base!J269="","",Base!J269)</f>
        <v/>
      </c>
      <c r="E271" s="41" t="str">
        <f>IF(Base!H269="","",Base!H269)</f>
        <v/>
      </c>
    </row>
    <row r="272" spans="1:58">
      <c r="A272" s="41" t="str">
        <f>IF(Base!B270="","",Base!B270)</f>
        <v/>
      </c>
      <c r="B272" s="41" t="str">
        <f>IF(Base!F270="","",Base!F270)</f>
        <v/>
      </c>
      <c r="C272" s="41" t="str">
        <f>IF(Base!I270="","",Base!I270)</f>
        <v/>
      </c>
      <c r="D272" s="42" t="str">
        <f>IF(Base!J270="","",Base!J270)</f>
        <v/>
      </c>
      <c r="E272" s="41" t="str">
        <f>IF(Base!H270="","",Base!H270)</f>
        <v/>
      </c>
    </row>
    <row r="273" spans="1:5">
      <c r="A273" s="41" t="str">
        <f>IF(Base!B271="","",Base!B271)</f>
        <v/>
      </c>
      <c r="B273" s="41" t="str">
        <f>IF(Base!F271="","",Base!F271)</f>
        <v/>
      </c>
      <c r="C273" s="41" t="str">
        <f>IF(Base!I271="","",Base!I271)</f>
        <v/>
      </c>
      <c r="D273" s="42" t="str">
        <f>IF(Base!J271="","",Base!J271)</f>
        <v/>
      </c>
      <c r="E273" s="41" t="str">
        <f>IF(Base!H271="","",Base!H271)</f>
        <v/>
      </c>
    </row>
    <row r="274" spans="1:5">
      <c r="A274" s="41" t="str">
        <f>IF(Base!B272="","",Base!B272)</f>
        <v/>
      </c>
      <c r="B274" s="41" t="str">
        <f>IF(Base!F272="","",Base!F272)</f>
        <v/>
      </c>
      <c r="C274" s="41" t="str">
        <f>IF(Base!I272="","",Base!I272)</f>
        <v/>
      </c>
      <c r="D274" s="42" t="str">
        <f>IF(Base!J272="","",Base!J272)</f>
        <v/>
      </c>
      <c r="E274" s="41" t="str">
        <f>IF(Base!H272="","",Base!H272)</f>
        <v/>
      </c>
    </row>
    <row r="275" spans="1:5">
      <c r="A275" s="41" t="str">
        <f>IF(Base!B273="","",Base!B273)</f>
        <v/>
      </c>
      <c r="B275" s="41" t="str">
        <f>IF(Base!F273="","",Base!F273)</f>
        <v/>
      </c>
      <c r="C275" s="41" t="str">
        <f>IF(Base!I273="","",Base!I273)</f>
        <v/>
      </c>
      <c r="D275" s="42" t="str">
        <f>IF(Base!J273="","",Base!J273)</f>
        <v/>
      </c>
      <c r="E275" s="41" t="str">
        <f>IF(Base!H273="","",Base!H273)</f>
        <v/>
      </c>
    </row>
    <row r="276" spans="1:5">
      <c r="A276" s="41" t="str">
        <f>IF(Base!B274="","",Base!B274)</f>
        <v/>
      </c>
      <c r="B276" s="41" t="str">
        <f>IF(Base!F274="","",Base!F274)</f>
        <v/>
      </c>
      <c r="C276" s="41" t="str">
        <f>IF(Base!I274="","",Base!I274)</f>
        <v/>
      </c>
      <c r="D276" s="42" t="str">
        <f>IF(Base!J274="","",Base!J274)</f>
        <v/>
      </c>
      <c r="E276" s="41" t="str">
        <f>IF(Base!H274="","",Base!H274)</f>
        <v/>
      </c>
    </row>
    <row r="277" spans="1:5">
      <c r="A277" s="41" t="str">
        <f>IF(Base!B275="","",Base!B275)</f>
        <v/>
      </c>
      <c r="B277" s="41" t="str">
        <f>IF(Base!F275="","",Base!F275)</f>
        <v/>
      </c>
      <c r="C277" s="41" t="str">
        <f>IF(Base!I275="","",Base!I275)</f>
        <v/>
      </c>
      <c r="D277" s="42" t="str">
        <f>IF(Base!J275="","",Base!J275)</f>
        <v/>
      </c>
      <c r="E277" s="41" t="str">
        <f>IF(Base!H275="","",Base!H275)</f>
        <v/>
      </c>
    </row>
    <row r="278" spans="1:5">
      <c r="A278" s="41" t="str">
        <f>IF(Base!B276="","",Base!B276)</f>
        <v/>
      </c>
      <c r="B278" s="41" t="str">
        <f>IF(Base!F276="","",Base!F276)</f>
        <v/>
      </c>
      <c r="C278" s="41" t="str">
        <f>IF(Base!I276="","",Base!I276)</f>
        <v/>
      </c>
      <c r="D278" s="42" t="str">
        <f>IF(Base!J276="","",Base!J276)</f>
        <v/>
      </c>
      <c r="E278" s="41" t="str">
        <f>IF(Base!H276="","",Base!H276)</f>
        <v/>
      </c>
    </row>
    <row r="279" spans="1:5">
      <c r="A279" s="41" t="str">
        <f>IF(Base!B277="","",Base!B277)</f>
        <v/>
      </c>
      <c r="B279" s="41" t="str">
        <f>IF(Base!F277="","",Base!F277)</f>
        <v/>
      </c>
      <c r="C279" s="41" t="str">
        <f>IF(Base!I277="","",Base!I277)</f>
        <v/>
      </c>
      <c r="D279" s="42" t="str">
        <f>IF(Base!J277="","",Base!J277)</f>
        <v/>
      </c>
      <c r="E279" s="41" t="str">
        <f>IF(Base!H277="","",Base!H277)</f>
        <v/>
      </c>
    </row>
    <row r="280" spans="1:5">
      <c r="A280" s="41" t="str">
        <f>IF(Base!B278="","",Base!B278)</f>
        <v/>
      </c>
      <c r="B280" s="41" t="str">
        <f>IF(Base!F278="","",Base!F278)</f>
        <v/>
      </c>
      <c r="C280" s="41" t="str">
        <f>IF(Base!I278="","",Base!I278)</f>
        <v/>
      </c>
      <c r="D280" s="42" t="str">
        <f>IF(Base!J278="","",Base!J278)</f>
        <v/>
      </c>
      <c r="E280" s="41" t="str">
        <f>IF(Base!H278="","",Base!H278)</f>
        <v/>
      </c>
    </row>
    <row r="281" spans="1:5">
      <c r="A281" s="41" t="str">
        <f>IF(Base!B279="","",Base!B279)</f>
        <v/>
      </c>
      <c r="B281" s="41" t="str">
        <f>IF(Base!F279="","",Base!F279)</f>
        <v/>
      </c>
      <c r="C281" s="41" t="str">
        <f>IF(Base!I279="","",Base!I279)</f>
        <v/>
      </c>
      <c r="D281" s="42" t="str">
        <f>IF(Base!J279="","",Base!J279)</f>
        <v/>
      </c>
      <c r="E281" s="41" t="str">
        <f>IF(Base!H279="","",Base!H279)</f>
        <v/>
      </c>
    </row>
    <row r="282" spans="1:5">
      <c r="A282" s="41" t="str">
        <f>IF(Base!B280="","",Base!B280)</f>
        <v/>
      </c>
      <c r="B282" s="41" t="str">
        <f>IF(Base!F280="","",Base!F280)</f>
        <v/>
      </c>
      <c r="C282" s="41" t="str">
        <f>IF(Base!I280="","",Base!I280)</f>
        <v/>
      </c>
      <c r="D282" s="42" t="str">
        <f>IF(Base!J280="","",Base!J280)</f>
        <v/>
      </c>
      <c r="E282" s="41" t="str">
        <f>IF(Base!H280="","",Base!H280)</f>
        <v/>
      </c>
    </row>
    <row r="283" spans="1:5">
      <c r="A283" s="41" t="str">
        <f>IF(Base!B281="","",Base!B281)</f>
        <v/>
      </c>
      <c r="B283" s="41" t="str">
        <f>IF(Base!F281="","",Base!F281)</f>
        <v/>
      </c>
      <c r="C283" s="41" t="str">
        <f>IF(Base!I281="","",Base!I281)</f>
        <v/>
      </c>
      <c r="D283" s="42" t="str">
        <f>IF(Base!J281="","",Base!J281)</f>
        <v/>
      </c>
      <c r="E283" s="41" t="str">
        <f>IF(Base!H281="","",Base!H281)</f>
        <v/>
      </c>
    </row>
    <row r="284" spans="1:5">
      <c r="A284" s="41" t="str">
        <f>IF(Base!B282="","",Base!B282)</f>
        <v/>
      </c>
      <c r="B284" s="41" t="str">
        <f>IF(Base!F282="","",Base!F282)</f>
        <v/>
      </c>
      <c r="C284" s="41" t="str">
        <f>IF(Base!I282="","",Base!I282)</f>
        <v/>
      </c>
      <c r="D284" s="42" t="str">
        <f>IF(Base!J282="","",Base!J282)</f>
        <v/>
      </c>
      <c r="E284" s="41" t="str">
        <f>IF(Base!H282="","",Base!H282)</f>
        <v/>
      </c>
    </row>
    <row r="285" spans="1:5">
      <c r="A285" s="41" t="str">
        <f>IF(Base!B283="","",Base!B283)</f>
        <v/>
      </c>
      <c r="B285" s="41" t="str">
        <f>IF(Base!F283="","",Base!F283)</f>
        <v/>
      </c>
      <c r="C285" s="41" t="str">
        <f>IF(Base!I283="","",Base!I283)</f>
        <v/>
      </c>
      <c r="D285" s="42" t="str">
        <f>IF(Base!J283="","",Base!J283)</f>
        <v/>
      </c>
      <c r="E285" s="41" t="str">
        <f>IF(Base!H283="","",Base!H283)</f>
        <v/>
      </c>
    </row>
    <row r="286" spans="1:5">
      <c r="A286" s="41" t="str">
        <f>IF(Base!B284="","",Base!B284)</f>
        <v/>
      </c>
      <c r="B286" s="41" t="str">
        <f>IF(Base!F284="","",Base!F284)</f>
        <v/>
      </c>
      <c r="C286" s="41" t="str">
        <f>IF(Base!I284="","",Base!I284)</f>
        <v/>
      </c>
      <c r="D286" s="42" t="str">
        <f>IF(Base!J284="","",Base!J284)</f>
        <v/>
      </c>
      <c r="E286" s="41" t="str">
        <f>IF(Base!H284="","",Base!H284)</f>
        <v/>
      </c>
    </row>
    <row r="287" spans="1:5">
      <c r="A287" s="41" t="str">
        <f>IF(Base!B285="","",Base!B285)</f>
        <v/>
      </c>
      <c r="B287" s="41" t="str">
        <f>IF(Base!F285="","",Base!F285)</f>
        <v/>
      </c>
      <c r="C287" s="41" t="str">
        <f>IF(Base!I285="","",Base!I285)</f>
        <v/>
      </c>
      <c r="D287" s="42" t="str">
        <f>IF(Base!J285="","",Base!J285)</f>
        <v/>
      </c>
      <c r="E287" s="41" t="str">
        <f>IF(Base!H285="","",Base!H285)</f>
        <v/>
      </c>
    </row>
    <row r="288" spans="1:5">
      <c r="A288" s="41" t="str">
        <f>IF(Base!B286="","",Base!B286)</f>
        <v/>
      </c>
      <c r="B288" s="41" t="str">
        <f>IF(Base!F286="","",Base!F286)</f>
        <v/>
      </c>
      <c r="C288" s="41" t="str">
        <f>IF(Base!I286="","",Base!I286)</f>
        <v/>
      </c>
      <c r="D288" s="42" t="str">
        <f>IF(Base!J286="","",Base!J286)</f>
        <v/>
      </c>
      <c r="E288" s="41" t="str">
        <f>IF(Base!H286="","",Base!H286)</f>
        <v/>
      </c>
    </row>
    <row r="289" spans="1:5">
      <c r="A289" s="41" t="str">
        <f>IF(Base!B287="","",Base!B287)</f>
        <v/>
      </c>
      <c r="B289" s="41" t="str">
        <f>IF(Base!F287="","",Base!F287)</f>
        <v/>
      </c>
      <c r="C289" s="41" t="str">
        <f>IF(Base!I287="","",Base!I287)</f>
        <v/>
      </c>
      <c r="D289" s="42" t="str">
        <f>IF(Base!J287="","",Base!J287)</f>
        <v/>
      </c>
      <c r="E289" s="41" t="str">
        <f>IF(Base!H287="","",Base!H287)</f>
        <v/>
      </c>
    </row>
    <row r="290" spans="1:5">
      <c r="A290" s="41" t="str">
        <f>IF(Base!B288="","",Base!B288)</f>
        <v/>
      </c>
      <c r="B290" s="41" t="str">
        <f>IF(Base!F288="","",Base!F288)</f>
        <v/>
      </c>
      <c r="C290" s="41" t="str">
        <f>IF(Base!I288="","",Base!I288)</f>
        <v/>
      </c>
      <c r="D290" s="42" t="str">
        <f>IF(Base!J288="","",Base!J288)</f>
        <v/>
      </c>
      <c r="E290" s="41" t="str">
        <f>IF(Base!H288="","",Base!H288)</f>
        <v/>
      </c>
    </row>
    <row r="291" spans="1:5">
      <c r="A291" s="41" t="str">
        <f>IF(Base!B289="","",Base!B289)</f>
        <v/>
      </c>
      <c r="B291" s="41" t="str">
        <f>IF(Base!F289="","",Base!F289)</f>
        <v/>
      </c>
      <c r="C291" s="41" t="str">
        <f>IF(Base!I289="","",Base!I289)</f>
        <v/>
      </c>
      <c r="D291" s="42" t="str">
        <f>IF(Base!J289="","",Base!J289)</f>
        <v/>
      </c>
      <c r="E291" s="41" t="str">
        <f>IF(Base!H289="","",Base!H289)</f>
        <v/>
      </c>
    </row>
    <row r="292" spans="1:5">
      <c r="A292" s="41" t="str">
        <f>IF(Base!B290="","",Base!B290)</f>
        <v/>
      </c>
      <c r="B292" s="41" t="str">
        <f>IF(Base!F290="","",Base!F290)</f>
        <v/>
      </c>
      <c r="C292" s="41" t="str">
        <f>IF(Base!I290="","",Base!I290)</f>
        <v/>
      </c>
      <c r="D292" s="42" t="str">
        <f>IF(Base!J290="","",Base!J290)</f>
        <v/>
      </c>
      <c r="E292" s="41" t="str">
        <f>IF(Base!H290="","",Base!H290)</f>
        <v/>
      </c>
    </row>
    <row r="293" spans="1:5">
      <c r="A293" s="41" t="str">
        <f>IF(Base!B291="","",Base!B291)</f>
        <v/>
      </c>
      <c r="B293" s="41" t="str">
        <f>IF(Base!F291="","",Base!F291)</f>
        <v/>
      </c>
      <c r="C293" s="41" t="str">
        <f>IF(Base!I291="","",Base!I291)</f>
        <v/>
      </c>
      <c r="D293" s="42" t="str">
        <f>IF(Base!J291="","",Base!J291)</f>
        <v/>
      </c>
      <c r="E293" s="41" t="str">
        <f>IF(Base!H291="","",Base!H291)</f>
        <v/>
      </c>
    </row>
    <row r="294" spans="1:5">
      <c r="A294" s="41" t="str">
        <f>IF(Base!B292="","",Base!B292)</f>
        <v/>
      </c>
      <c r="B294" s="41" t="str">
        <f>IF(Base!F292="","",Base!F292)</f>
        <v/>
      </c>
      <c r="C294" s="41" t="str">
        <f>IF(Base!I292="","",Base!I292)</f>
        <v/>
      </c>
      <c r="D294" s="42" t="str">
        <f>IF(Base!J292="","",Base!J292)</f>
        <v/>
      </c>
      <c r="E294" s="41" t="str">
        <f>IF(Base!H292="","",Base!H292)</f>
        <v/>
      </c>
    </row>
    <row r="295" spans="1:5">
      <c r="A295" s="41" t="str">
        <f>IF(Base!B293="","",Base!B293)</f>
        <v/>
      </c>
      <c r="B295" s="41" t="str">
        <f>IF(Base!F293="","",Base!F293)</f>
        <v/>
      </c>
      <c r="C295" s="41" t="str">
        <f>IF(Base!I293="","",Base!I293)</f>
        <v/>
      </c>
      <c r="D295" s="42" t="str">
        <f>IF(Base!J293="","",Base!J293)</f>
        <v/>
      </c>
      <c r="E295" s="41" t="str">
        <f>IF(Base!H293="","",Base!H293)</f>
        <v/>
      </c>
    </row>
    <row r="296" spans="1:5">
      <c r="A296" s="41" t="str">
        <f>IF(Base!B294="","",Base!B294)</f>
        <v/>
      </c>
      <c r="B296" s="41" t="str">
        <f>IF(Base!F294="","",Base!F294)</f>
        <v/>
      </c>
      <c r="C296" s="41" t="str">
        <f>IF(Base!I294="","",Base!I294)</f>
        <v/>
      </c>
      <c r="D296" s="42" t="str">
        <f>IF(Base!J294="","",Base!J294)</f>
        <v/>
      </c>
      <c r="E296" s="41" t="str">
        <f>IF(Base!H294="","",Base!H294)</f>
        <v/>
      </c>
    </row>
    <row r="297" spans="1:5">
      <c r="A297" s="41" t="str">
        <f>IF(Base!B295="","",Base!B295)</f>
        <v/>
      </c>
      <c r="B297" s="41" t="str">
        <f>IF(Base!F295="","",Base!F295)</f>
        <v/>
      </c>
      <c r="C297" s="41" t="str">
        <f>IF(Base!I295="","",Base!I295)</f>
        <v/>
      </c>
      <c r="D297" s="42" t="str">
        <f>IF(Base!J295="","",Base!J295)</f>
        <v/>
      </c>
      <c r="E297" s="41" t="str">
        <f>IF(Base!H295="","",Base!H295)</f>
        <v/>
      </c>
    </row>
    <row r="298" spans="1:5">
      <c r="A298" s="41" t="str">
        <f>IF(Base!B296="","",Base!B296)</f>
        <v/>
      </c>
      <c r="B298" s="41" t="str">
        <f>IF(Base!F296="","",Base!F296)</f>
        <v/>
      </c>
      <c r="C298" s="41" t="str">
        <f>IF(Base!I296="","",Base!I296)</f>
        <v/>
      </c>
      <c r="D298" s="42" t="str">
        <f>IF(Base!J296="","",Base!J296)</f>
        <v/>
      </c>
      <c r="E298" s="41" t="str">
        <f>IF(Base!H296="","",Base!H296)</f>
        <v/>
      </c>
    </row>
    <row r="299" spans="1:5">
      <c r="A299" s="41" t="str">
        <f>IF(Base!B297="","",Base!B297)</f>
        <v/>
      </c>
      <c r="B299" s="41" t="str">
        <f>IF(Base!F297="","",Base!F297)</f>
        <v/>
      </c>
      <c r="C299" s="41" t="str">
        <f>IF(Base!I297="","",Base!I297)</f>
        <v/>
      </c>
      <c r="D299" s="42" t="str">
        <f>IF(Base!J297="","",Base!J297)</f>
        <v/>
      </c>
      <c r="E299" s="41" t="str">
        <f>IF(Base!H297="","",Base!H297)</f>
        <v/>
      </c>
    </row>
    <row r="300" spans="1:5">
      <c r="A300" s="41" t="str">
        <f>IF(Base!B298="","",Base!B298)</f>
        <v/>
      </c>
      <c r="B300" s="41" t="str">
        <f>IF(Base!F298="","",Base!F298)</f>
        <v/>
      </c>
      <c r="C300" s="41" t="str">
        <f>IF(Base!I298="","",Base!I298)</f>
        <v/>
      </c>
      <c r="D300" s="42" t="str">
        <f>IF(Base!J298="","",Base!J298)</f>
        <v/>
      </c>
      <c r="E300" s="41" t="str">
        <f>IF(Base!H298="","",Base!H298)</f>
        <v/>
      </c>
    </row>
    <row r="301" spans="1:5">
      <c r="A301" s="41" t="str">
        <f>IF(Base!B299="","",Base!B299)</f>
        <v/>
      </c>
      <c r="B301" s="41" t="str">
        <f>IF(Base!F299="","",Base!F299)</f>
        <v/>
      </c>
      <c r="C301" s="41" t="str">
        <f>IF(Base!I299="","",Base!I299)</f>
        <v/>
      </c>
      <c r="D301" s="42" t="str">
        <f>IF(Base!J299="","",Base!J299)</f>
        <v/>
      </c>
      <c r="E301" s="41" t="str">
        <f>IF(Base!H299="","",Base!H299)</f>
        <v/>
      </c>
    </row>
    <row r="302" spans="1:5">
      <c r="A302" s="41" t="str">
        <f>IF(Base!B300="","",Base!B300)</f>
        <v/>
      </c>
      <c r="B302" s="41" t="str">
        <f>IF(Base!F300="","",Base!F300)</f>
        <v/>
      </c>
      <c r="C302" s="41" t="str">
        <f>IF(Base!I300="","",Base!I300)</f>
        <v/>
      </c>
      <c r="D302" s="42" t="str">
        <f>IF(Base!J300="","",Base!J300)</f>
        <v/>
      </c>
      <c r="E302" s="41" t="str">
        <f>IF(Base!H300="","",Base!H300)</f>
        <v/>
      </c>
    </row>
    <row r="303" spans="1:5">
      <c r="A303" s="41" t="str">
        <f>IF(Base!B301="","",Base!B301)</f>
        <v/>
      </c>
      <c r="B303" s="41" t="str">
        <f>IF(Base!F301="","",Base!F301)</f>
        <v/>
      </c>
      <c r="C303" s="41" t="str">
        <f>IF(Base!I301="","",Base!I301)</f>
        <v/>
      </c>
      <c r="D303" s="42" t="str">
        <f>IF(Base!J301="","",Base!J301)</f>
        <v/>
      </c>
      <c r="E303" s="41" t="str">
        <f>IF(Base!H301="","",Base!H301)</f>
        <v/>
      </c>
    </row>
    <row r="304" spans="1:5">
      <c r="A304" s="41" t="str">
        <f>IF(Base!B302="","",Base!B302)</f>
        <v/>
      </c>
      <c r="B304" s="41" t="str">
        <f>IF(Base!F302="","",Base!F302)</f>
        <v/>
      </c>
      <c r="C304" s="41" t="str">
        <f>IF(Base!I302="","",Base!I302)</f>
        <v/>
      </c>
      <c r="D304" s="42" t="str">
        <f>IF(Base!J302="","",Base!J302)</f>
        <v/>
      </c>
      <c r="E304" s="41" t="str">
        <f>IF(Base!H302="","",Base!H302)</f>
        <v/>
      </c>
    </row>
    <row r="305" spans="1:5">
      <c r="A305" s="41" t="str">
        <f>IF(Base!B303="","",Base!B303)</f>
        <v/>
      </c>
      <c r="B305" s="41" t="str">
        <f>IF(Base!F303="","",Base!F303)</f>
        <v/>
      </c>
      <c r="C305" s="41" t="str">
        <f>IF(Base!I303="","",Base!I303)</f>
        <v/>
      </c>
      <c r="D305" s="42" t="str">
        <f>IF(Base!J303="","",Base!J303)</f>
        <v/>
      </c>
      <c r="E305" s="41" t="str">
        <f>IF(Base!H303="","",Base!H303)</f>
        <v/>
      </c>
    </row>
    <row r="306" spans="1:5">
      <c r="A306" s="41" t="str">
        <f>IF(Base!B304="","",Base!B304)</f>
        <v/>
      </c>
      <c r="B306" s="41" t="str">
        <f>IF(Base!F304="","",Base!F304)</f>
        <v/>
      </c>
      <c r="C306" s="41" t="str">
        <f>IF(Base!I304="","",Base!I304)</f>
        <v/>
      </c>
      <c r="D306" s="42" t="str">
        <f>IF(Base!J304="","",Base!J304)</f>
        <v/>
      </c>
      <c r="E306" s="41" t="str">
        <f>IF(Base!H304="","",Base!H304)</f>
        <v/>
      </c>
    </row>
    <row r="307" spans="1:5">
      <c r="A307" s="41" t="str">
        <f>IF(Base!B305="","",Base!B305)</f>
        <v/>
      </c>
      <c r="B307" s="41" t="str">
        <f>IF(Base!F305="","",Base!F305)</f>
        <v/>
      </c>
      <c r="C307" s="41" t="str">
        <f>IF(Base!I305="","",Base!I305)</f>
        <v/>
      </c>
      <c r="D307" s="42" t="str">
        <f>IF(Base!J305="","",Base!J305)</f>
        <v/>
      </c>
      <c r="E307" s="41" t="str">
        <f>IF(Base!H305="","",Base!H305)</f>
        <v/>
      </c>
    </row>
    <row r="308" spans="1:5">
      <c r="A308" s="41" t="str">
        <f>IF(Base!B306="","",Base!B306)</f>
        <v/>
      </c>
      <c r="B308" s="41" t="str">
        <f>IF(Base!F306="","",Base!F306)</f>
        <v/>
      </c>
      <c r="C308" s="41" t="str">
        <f>IF(Base!I306="","",Base!I306)</f>
        <v/>
      </c>
      <c r="D308" s="42" t="str">
        <f>IF(Base!J306="","",Base!J306)</f>
        <v/>
      </c>
      <c r="E308" s="41" t="str">
        <f>IF(Base!H306="","",Base!H306)</f>
        <v/>
      </c>
    </row>
    <row r="309" spans="1:5">
      <c r="A309" s="41" t="str">
        <f>IF(Base!B307="","",Base!B307)</f>
        <v/>
      </c>
      <c r="B309" s="41" t="str">
        <f>IF(Base!F307="","",Base!F307)</f>
        <v/>
      </c>
      <c r="C309" s="41" t="str">
        <f>IF(Base!I307="","",Base!I307)</f>
        <v/>
      </c>
      <c r="D309" s="42" t="str">
        <f>IF(Base!J307="","",Base!J307)</f>
        <v/>
      </c>
      <c r="E309" s="41" t="str">
        <f>IF(Base!H307="","",Base!H307)</f>
        <v/>
      </c>
    </row>
    <row r="310" spans="1:5">
      <c r="A310" s="41" t="str">
        <f>IF(Base!B308="","",Base!B308)</f>
        <v/>
      </c>
      <c r="B310" s="41" t="str">
        <f>IF(Base!F308="","",Base!F308)</f>
        <v/>
      </c>
      <c r="C310" s="41" t="str">
        <f>IF(Base!I308="","",Base!I308)</f>
        <v/>
      </c>
      <c r="D310" s="42" t="str">
        <f>IF(Base!J308="","",Base!J308)</f>
        <v/>
      </c>
      <c r="E310" s="41" t="str">
        <f>IF(Base!H308="","",Base!H308)</f>
        <v/>
      </c>
    </row>
    <row r="311" spans="1:5">
      <c r="A311" s="41" t="str">
        <f>IF(Base!B309="","",Base!B309)</f>
        <v/>
      </c>
      <c r="B311" s="41" t="str">
        <f>IF(Base!F309="","",Base!F309)</f>
        <v/>
      </c>
      <c r="C311" s="41" t="str">
        <f>IF(Base!I309="","",Base!I309)</f>
        <v/>
      </c>
      <c r="D311" s="42" t="str">
        <f>IF(Base!J309="","",Base!J309)</f>
        <v/>
      </c>
      <c r="E311" s="41" t="str">
        <f>IF(Base!H309="","",Base!H309)</f>
        <v/>
      </c>
    </row>
    <row r="312" spans="1:5">
      <c r="A312" s="41" t="str">
        <f>IF(Base!B310="","",Base!B310)</f>
        <v/>
      </c>
      <c r="B312" s="41" t="str">
        <f>IF(Base!F310="","",Base!F310)</f>
        <v/>
      </c>
      <c r="C312" s="41" t="str">
        <f>IF(Base!I310="","",Base!I310)</f>
        <v/>
      </c>
      <c r="D312" s="42" t="str">
        <f>IF(Base!J310="","",Base!J310)</f>
        <v/>
      </c>
      <c r="E312" s="41" t="str">
        <f>IF(Base!H310="","",Base!H310)</f>
        <v/>
      </c>
    </row>
    <row r="313" spans="1:5">
      <c r="A313" s="41" t="str">
        <f>IF(Base!B311="","",Base!B311)</f>
        <v/>
      </c>
      <c r="B313" s="41" t="str">
        <f>IF(Base!F311="","",Base!F311)</f>
        <v/>
      </c>
      <c r="C313" s="41" t="str">
        <f>IF(Base!I311="","",Base!I311)</f>
        <v/>
      </c>
      <c r="D313" s="42" t="str">
        <f>IF(Base!J311="","",Base!J311)</f>
        <v/>
      </c>
      <c r="E313" s="41" t="str">
        <f>IF(Base!H311="","",Base!H311)</f>
        <v/>
      </c>
    </row>
    <row r="314" spans="1:5">
      <c r="A314" s="41" t="str">
        <f>IF(Base!B312="","",Base!B312)</f>
        <v/>
      </c>
      <c r="B314" s="41" t="str">
        <f>IF(Base!F312="","",Base!F312)</f>
        <v/>
      </c>
      <c r="C314" s="41" t="str">
        <f>IF(Base!I312="","",Base!I312)</f>
        <v/>
      </c>
      <c r="D314" s="42" t="str">
        <f>IF(Base!J312="","",Base!J312)</f>
        <v/>
      </c>
      <c r="E314" s="41" t="str">
        <f>IF(Base!H312="","",Base!H312)</f>
        <v/>
      </c>
    </row>
    <row r="315" spans="1:5">
      <c r="A315" s="41" t="str">
        <f>IF(Base!B313="","",Base!B313)</f>
        <v/>
      </c>
      <c r="B315" s="41" t="str">
        <f>IF(Base!F313="","",Base!F313)</f>
        <v/>
      </c>
      <c r="C315" s="41" t="str">
        <f>IF(Base!I313="","",Base!I313)</f>
        <v/>
      </c>
      <c r="D315" s="42" t="str">
        <f>IF(Base!J313="","",Base!J313)</f>
        <v/>
      </c>
      <c r="E315" s="41" t="str">
        <f>IF(Base!H313="","",Base!H313)</f>
        <v/>
      </c>
    </row>
    <row r="316" spans="1:5">
      <c r="A316" s="41" t="str">
        <f>IF(Base!B314="","",Base!B314)</f>
        <v/>
      </c>
      <c r="B316" s="41" t="str">
        <f>IF(Base!F314="","",Base!F314)</f>
        <v/>
      </c>
      <c r="C316" s="41" t="str">
        <f>IF(Base!I314="","",Base!I314)</f>
        <v/>
      </c>
      <c r="D316" s="42" t="str">
        <f>IF(Base!J314="","",Base!J314)</f>
        <v/>
      </c>
      <c r="E316" s="41" t="str">
        <f>IF(Base!H314="","",Base!H314)</f>
        <v/>
      </c>
    </row>
    <row r="317" spans="1:5">
      <c r="A317" s="41" t="str">
        <f>IF(Base!B315="","",Base!B315)</f>
        <v/>
      </c>
      <c r="B317" s="41" t="str">
        <f>IF(Base!F315="","",Base!F315)</f>
        <v/>
      </c>
      <c r="C317" s="41" t="str">
        <f>IF(Base!I315="","",Base!I315)</f>
        <v/>
      </c>
      <c r="D317" s="42" t="str">
        <f>IF(Base!J315="","",Base!J315)</f>
        <v/>
      </c>
      <c r="E317" s="41" t="str">
        <f>IF(Base!H315="","",Base!H315)</f>
        <v/>
      </c>
    </row>
    <row r="318" spans="1:5">
      <c r="A318" s="41" t="str">
        <f>IF(Base!B316="","",Base!B316)</f>
        <v/>
      </c>
      <c r="B318" s="41" t="str">
        <f>IF(Base!F316="","",Base!F316)</f>
        <v/>
      </c>
      <c r="C318" s="41" t="str">
        <f>IF(Base!I316="","",Base!I316)</f>
        <v/>
      </c>
      <c r="D318" s="42" t="str">
        <f>IF(Base!J316="","",Base!J316)</f>
        <v/>
      </c>
      <c r="E318" s="41" t="str">
        <f>IF(Base!H316="","",Base!H316)</f>
        <v/>
      </c>
    </row>
    <row r="319" spans="1:5">
      <c r="A319" s="41" t="str">
        <f>IF(Base!B317="","",Base!B317)</f>
        <v/>
      </c>
      <c r="B319" s="41" t="str">
        <f>IF(Base!F317="","",Base!F317)</f>
        <v/>
      </c>
      <c r="C319" s="41" t="str">
        <f>IF(Base!I317="","",Base!I317)</f>
        <v/>
      </c>
      <c r="D319" s="42" t="str">
        <f>IF(Base!J317="","",Base!J317)</f>
        <v/>
      </c>
      <c r="E319" s="41" t="str">
        <f>IF(Base!H317="","",Base!H317)</f>
        <v/>
      </c>
    </row>
    <row r="320" spans="1:5">
      <c r="A320" s="41" t="str">
        <f>IF(Base!B318="","",Base!B318)</f>
        <v/>
      </c>
      <c r="B320" s="41" t="str">
        <f>IF(Base!F318="","",Base!F318)</f>
        <v/>
      </c>
      <c r="C320" s="41" t="str">
        <f>IF(Base!I318="","",Base!I318)</f>
        <v/>
      </c>
      <c r="D320" s="42" t="str">
        <f>IF(Base!J318="","",Base!J318)</f>
        <v/>
      </c>
      <c r="E320" s="41" t="str">
        <f>IF(Base!H318="","",Base!H318)</f>
        <v/>
      </c>
    </row>
    <row r="321" spans="1:5">
      <c r="A321" s="41" t="str">
        <f>IF(Base!B319="","",Base!B319)</f>
        <v/>
      </c>
      <c r="B321" s="41" t="str">
        <f>IF(Base!F319="","",Base!F319)</f>
        <v/>
      </c>
      <c r="C321" s="41" t="str">
        <f>IF(Base!I319="","",Base!I319)</f>
        <v/>
      </c>
      <c r="D321" s="42" t="str">
        <f>IF(Base!J319="","",Base!J319)</f>
        <v/>
      </c>
      <c r="E321" s="41" t="str">
        <f>IF(Base!H319="","",Base!H319)</f>
        <v/>
      </c>
    </row>
    <row r="322" spans="1:5">
      <c r="A322" s="41" t="str">
        <f>IF(Base!B320="","",Base!B320)</f>
        <v/>
      </c>
      <c r="B322" s="41" t="str">
        <f>IF(Base!F320="","",Base!F320)</f>
        <v/>
      </c>
      <c r="C322" s="41" t="str">
        <f>IF(Base!I320="","",Base!I320)</f>
        <v/>
      </c>
      <c r="D322" s="42" t="str">
        <f>IF(Base!J320="","",Base!J320)</f>
        <v/>
      </c>
      <c r="E322" s="41" t="str">
        <f>IF(Base!H320="","",Base!H320)</f>
        <v/>
      </c>
    </row>
    <row r="323" spans="1:5">
      <c r="A323" s="41" t="str">
        <f>IF(Base!B321="","",Base!B321)</f>
        <v/>
      </c>
      <c r="B323" s="41" t="str">
        <f>IF(Base!F321="","",Base!F321)</f>
        <v/>
      </c>
      <c r="C323" s="41" t="str">
        <f>IF(Base!I321="","",Base!I321)</f>
        <v/>
      </c>
      <c r="D323" s="42" t="str">
        <f>IF(Base!J321="","",Base!J321)</f>
        <v/>
      </c>
      <c r="E323" s="41" t="str">
        <f>IF(Base!H321="","",Base!H321)</f>
        <v/>
      </c>
    </row>
    <row r="324" spans="1:5">
      <c r="A324" s="41" t="str">
        <f>IF(Base!B322="","",Base!B322)</f>
        <v/>
      </c>
      <c r="B324" s="41" t="str">
        <f>IF(Base!F322="","",Base!F322)</f>
        <v/>
      </c>
      <c r="C324" s="41" t="str">
        <f>IF(Base!I322="","",Base!I322)</f>
        <v/>
      </c>
      <c r="D324" s="42" t="str">
        <f>IF(Base!J322="","",Base!J322)</f>
        <v/>
      </c>
      <c r="E324" s="41" t="str">
        <f>IF(Base!H322="","",Base!H322)</f>
        <v/>
      </c>
    </row>
    <row r="325" spans="1:5">
      <c r="A325" s="41" t="str">
        <f>IF(Base!B323="","",Base!B323)</f>
        <v/>
      </c>
      <c r="B325" s="41" t="str">
        <f>IF(Base!F323="","",Base!F323)</f>
        <v/>
      </c>
      <c r="C325" s="41" t="str">
        <f>IF(Base!I323="","",Base!I323)</f>
        <v/>
      </c>
      <c r="D325" s="42" t="str">
        <f>IF(Base!J323="","",Base!J323)</f>
        <v/>
      </c>
      <c r="E325" s="41" t="str">
        <f>IF(Base!H323="","",Base!H323)</f>
        <v/>
      </c>
    </row>
    <row r="326" spans="1:5">
      <c r="A326" s="41" t="str">
        <f>IF(Base!B324="","",Base!B324)</f>
        <v/>
      </c>
      <c r="B326" s="41" t="str">
        <f>IF(Base!F324="","",Base!F324)</f>
        <v/>
      </c>
      <c r="C326" s="41" t="str">
        <f>IF(Base!I324="","",Base!I324)</f>
        <v/>
      </c>
      <c r="D326" s="42" t="str">
        <f>IF(Base!J324="","",Base!J324)</f>
        <v/>
      </c>
      <c r="E326" s="41" t="str">
        <f>IF(Base!H324="","",Base!H324)</f>
        <v/>
      </c>
    </row>
    <row r="327" spans="1:5">
      <c r="A327" s="41" t="str">
        <f>IF(Base!B325="","",Base!B325)</f>
        <v/>
      </c>
      <c r="B327" s="41" t="str">
        <f>IF(Base!F325="","",Base!F325)</f>
        <v/>
      </c>
      <c r="C327" s="41" t="str">
        <f>IF(Base!I325="","",Base!I325)</f>
        <v/>
      </c>
      <c r="D327" s="42" t="str">
        <f>IF(Base!J325="","",Base!J325)</f>
        <v/>
      </c>
      <c r="E327" s="41" t="str">
        <f>IF(Base!H325="","",Base!H325)</f>
        <v/>
      </c>
    </row>
    <row r="328" spans="1:5">
      <c r="A328" s="41" t="str">
        <f>IF(Base!B326="","",Base!B326)</f>
        <v/>
      </c>
      <c r="B328" s="41" t="str">
        <f>IF(Base!F326="","",Base!F326)</f>
        <v/>
      </c>
      <c r="C328" s="41" t="str">
        <f>IF(Base!I326="","",Base!I326)</f>
        <v/>
      </c>
      <c r="D328" s="42" t="str">
        <f>IF(Base!J326="","",Base!J326)</f>
        <v/>
      </c>
      <c r="E328" s="41" t="str">
        <f>IF(Base!H326="","",Base!H326)</f>
        <v/>
      </c>
    </row>
    <row r="329" spans="1:5">
      <c r="A329" s="41" t="str">
        <f>IF(Base!B327="","",Base!B327)</f>
        <v/>
      </c>
      <c r="B329" s="41" t="str">
        <f>IF(Base!F327="","",Base!F327)</f>
        <v/>
      </c>
      <c r="C329" s="41" t="str">
        <f>IF(Base!I327="","",Base!I327)</f>
        <v/>
      </c>
      <c r="D329" s="42" t="str">
        <f>IF(Base!J327="","",Base!J327)</f>
        <v/>
      </c>
      <c r="E329" s="41" t="str">
        <f>IF(Base!H327="","",Base!H327)</f>
        <v/>
      </c>
    </row>
    <row r="330" spans="1:5">
      <c r="A330" s="41" t="str">
        <f>IF(Base!B328="","",Base!B328)</f>
        <v/>
      </c>
      <c r="B330" s="41" t="str">
        <f>IF(Base!F328="","",Base!F328)</f>
        <v/>
      </c>
      <c r="C330" s="41" t="str">
        <f>IF(Base!I328="","",Base!I328)</f>
        <v/>
      </c>
      <c r="D330" s="42" t="str">
        <f>IF(Base!J328="","",Base!J328)</f>
        <v/>
      </c>
      <c r="E330" s="41" t="str">
        <f>IF(Base!H328="","",Base!H328)</f>
        <v/>
      </c>
    </row>
    <row r="331" spans="1:5">
      <c r="A331" s="41" t="str">
        <f>IF(Base!B329="","",Base!B329)</f>
        <v/>
      </c>
      <c r="B331" s="41" t="str">
        <f>IF(Base!F329="","",Base!F329)</f>
        <v/>
      </c>
      <c r="C331" s="41" t="str">
        <f>IF(Base!I329="","",Base!I329)</f>
        <v/>
      </c>
      <c r="D331" s="42" t="str">
        <f>IF(Base!J329="","",Base!J329)</f>
        <v/>
      </c>
      <c r="E331" s="41" t="str">
        <f>IF(Base!H329="","",Base!H329)</f>
        <v/>
      </c>
    </row>
    <row r="332" spans="1:5">
      <c r="A332" s="41" t="str">
        <f>IF(Base!B330="","",Base!B330)</f>
        <v/>
      </c>
      <c r="B332" s="41" t="str">
        <f>IF(Base!F330="","",Base!F330)</f>
        <v/>
      </c>
      <c r="C332" s="41" t="str">
        <f>IF(Base!I330="","",Base!I330)</f>
        <v/>
      </c>
      <c r="D332" s="42" t="str">
        <f>IF(Base!J330="","",Base!J330)</f>
        <v/>
      </c>
      <c r="E332" s="41" t="str">
        <f>IF(Base!H330="","",Base!H330)</f>
        <v/>
      </c>
    </row>
    <row r="333" spans="1:5">
      <c r="A333" s="41" t="str">
        <f>IF(Base!B331="","",Base!B331)</f>
        <v/>
      </c>
      <c r="B333" s="41" t="str">
        <f>IF(Base!F331="","",Base!F331)</f>
        <v/>
      </c>
      <c r="C333" s="41" t="str">
        <f>IF(Base!I331="","",Base!I331)</f>
        <v/>
      </c>
      <c r="D333" s="42" t="str">
        <f>IF(Base!J331="","",Base!J331)</f>
        <v/>
      </c>
      <c r="E333" s="41" t="str">
        <f>IF(Base!H331="","",Base!H331)</f>
        <v/>
      </c>
    </row>
    <row r="334" spans="1:5">
      <c r="A334" s="41" t="str">
        <f>IF(Base!B332="","",Base!B332)</f>
        <v/>
      </c>
      <c r="B334" s="41" t="str">
        <f>IF(Base!F332="","",Base!F332)</f>
        <v/>
      </c>
      <c r="C334" s="41" t="str">
        <f>IF(Base!I332="","",Base!I332)</f>
        <v/>
      </c>
      <c r="D334" s="42" t="str">
        <f>IF(Base!J332="","",Base!J332)</f>
        <v/>
      </c>
      <c r="E334" s="41" t="str">
        <f>IF(Base!H332="","",Base!H332)</f>
        <v/>
      </c>
    </row>
    <row r="335" spans="1:5">
      <c r="A335" s="41" t="str">
        <f>IF(Base!B333="","",Base!B333)</f>
        <v/>
      </c>
      <c r="B335" s="41" t="str">
        <f>IF(Base!F333="","",Base!F333)</f>
        <v/>
      </c>
      <c r="C335" s="41" t="str">
        <f>IF(Base!I333="","",Base!I333)</f>
        <v/>
      </c>
      <c r="D335" s="42" t="str">
        <f>IF(Base!J333="","",Base!J333)</f>
        <v/>
      </c>
      <c r="E335" s="41" t="str">
        <f>IF(Base!H333="","",Base!H333)</f>
        <v/>
      </c>
    </row>
    <row r="336" spans="1:5">
      <c r="A336" s="41" t="str">
        <f>IF(Base!B334="","",Base!B334)</f>
        <v/>
      </c>
      <c r="B336" s="41" t="str">
        <f>IF(Base!F334="","",Base!F334)</f>
        <v/>
      </c>
      <c r="C336" s="41" t="str">
        <f>IF(Base!I334="","",Base!I334)</f>
        <v/>
      </c>
      <c r="D336" s="42" t="str">
        <f>IF(Base!J334="","",Base!J334)</f>
        <v/>
      </c>
      <c r="E336" s="41" t="str">
        <f>IF(Base!H334="","",Base!H334)</f>
        <v/>
      </c>
    </row>
    <row r="337" spans="1:5">
      <c r="A337" s="41" t="str">
        <f>IF(Base!B335="","",Base!B335)</f>
        <v/>
      </c>
      <c r="B337" s="41" t="str">
        <f>IF(Base!F335="","",Base!F335)</f>
        <v/>
      </c>
      <c r="C337" s="41" t="str">
        <f>IF(Base!I335="","",Base!I335)</f>
        <v/>
      </c>
      <c r="D337" s="42" t="str">
        <f>IF(Base!J335="","",Base!J335)</f>
        <v/>
      </c>
      <c r="E337" s="41" t="str">
        <f>IF(Base!H335="","",Base!H335)</f>
        <v/>
      </c>
    </row>
    <row r="338" spans="1:5">
      <c r="A338" s="41" t="str">
        <f>IF(Base!B336="","",Base!B336)</f>
        <v/>
      </c>
      <c r="B338" s="41" t="str">
        <f>IF(Base!F336="","",Base!F336)</f>
        <v/>
      </c>
      <c r="C338" s="41" t="str">
        <f>IF(Base!I336="","",Base!I336)</f>
        <v/>
      </c>
      <c r="D338" s="42" t="str">
        <f>IF(Base!J336="","",Base!J336)</f>
        <v/>
      </c>
      <c r="E338" s="41" t="str">
        <f>IF(Base!H336="","",Base!H336)</f>
        <v/>
      </c>
    </row>
    <row r="339" spans="1:5">
      <c r="A339" s="41" t="str">
        <f>IF(Base!B337="","",Base!B337)</f>
        <v/>
      </c>
      <c r="B339" s="41" t="str">
        <f>IF(Base!F337="","",Base!F337)</f>
        <v/>
      </c>
      <c r="C339" s="41" t="str">
        <f>IF(Base!I337="","",Base!I337)</f>
        <v/>
      </c>
      <c r="D339" s="42" t="str">
        <f>IF(Base!J337="","",Base!J337)</f>
        <v/>
      </c>
      <c r="E339" s="41" t="str">
        <f>IF(Base!H337="","",Base!H337)</f>
        <v/>
      </c>
    </row>
    <row r="340" spans="1:5">
      <c r="A340" s="41" t="str">
        <f>IF(Base!B338="","",Base!B338)</f>
        <v/>
      </c>
      <c r="B340" s="41" t="str">
        <f>IF(Base!F338="","",Base!F338)</f>
        <v/>
      </c>
      <c r="C340" s="41" t="str">
        <f>IF(Base!I338="","",Base!I338)</f>
        <v/>
      </c>
      <c r="D340" s="42" t="str">
        <f>IF(Base!J338="","",Base!J338)</f>
        <v/>
      </c>
      <c r="E340" s="41" t="str">
        <f>IF(Base!H338="","",Base!H338)</f>
        <v/>
      </c>
    </row>
    <row r="341" spans="1:5">
      <c r="A341" s="41" t="str">
        <f>IF(Base!B339="","",Base!B339)</f>
        <v/>
      </c>
      <c r="B341" s="41" t="str">
        <f>IF(Base!F339="","",Base!F339)</f>
        <v/>
      </c>
      <c r="C341" s="41" t="str">
        <f>IF(Base!I339="","",Base!I339)</f>
        <v/>
      </c>
      <c r="D341" s="42" t="str">
        <f>IF(Base!J339="","",Base!J339)</f>
        <v/>
      </c>
      <c r="E341" s="41" t="str">
        <f>IF(Base!H339="","",Base!H339)</f>
        <v/>
      </c>
    </row>
    <row r="342" spans="1:5">
      <c r="A342" s="41" t="str">
        <f>IF(Base!B340="","",Base!B340)</f>
        <v/>
      </c>
      <c r="B342" s="41" t="str">
        <f>IF(Base!F340="","",Base!F340)</f>
        <v/>
      </c>
      <c r="C342" s="41" t="str">
        <f>IF(Base!I340="","",Base!I340)</f>
        <v/>
      </c>
      <c r="D342" s="42" t="str">
        <f>IF(Base!J340="","",Base!J340)</f>
        <v/>
      </c>
      <c r="E342" s="41" t="str">
        <f>IF(Base!H340="","",Base!H340)</f>
        <v/>
      </c>
    </row>
    <row r="343" spans="1:5">
      <c r="A343" s="41" t="str">
        <f>IF(Base!B341="","",Base!B341)</f>
        <v/>
      </c>
      <c r="B343" s="41" t="str">
        <f>IF(Base!F341="","",Base!F341)</f>
        <v/>
      </c>
      <c r="C343" s="41" t="str">
        <f>IF(Base!I341="","",Base!I341)</f>
        <v/>
      </c>
      <c r="D343" s="42" t="str">
        <f>IF(Base!J341="","",Base!J341)</f>
        <v/>
      </c>
      <c r="E343" s="41" t="str">
        <f>IF(Base!H341="","",Base!H341)</f>
        <v/>
      </c>
    </row>
    <row r="344" spans="1:5">
      <c r="A344" s="41" t="str">
        <f>IF(Base!B342="","",Base!B342)</f>
        <v/>
      </c>
      <c r="B344" s="41" t="str">
        <f>IF(Base!F342="","",Base!F342)</f>
        <v/>
      </c>
      <c r="C344" s="41" t="str">
        <f>IF(Base!I342="","",Base!I342)</f>
        <v/>
      </c>
      <c r="D344" s="42" t="str">
        <f>IF(Base!J342="","",Base!J342)</f>
        <v/>
      </c>
      <c r="E344" s="41" t="str">
        <f>IF(Base!H342="","",Base!H342)</f>
        <v/>
      </c>
    </row>
    <row r="345" spans="1:5">
      <c r="A345" s="41" t="str">
        <f>IF(Base!B343="","",Base!B343)</f>
        <v/>
      </c>
      <c r="B345" s="41" t="str">
        <f>IF(Base!F343="","",Base!F343)</f>
        <v/>
      </c>
      <c r="C345" s="41" t="str">
        <f>IF(Base!I343="","",Base!I343)</f>
        <v/>
      </c>
      <c r="D345" s="42" t="str">
        <f>IF(Base!J343="","",Base!J343)</f>
        <v/>
      </c>
      <c r="E345" s="41" t="str">
        <f>IF(Base!H343="","",Base!H343)</f>
        <v/>
      </c>
    </row>
    <row r="346" spans="1:5">
      <c r="A346" s="41" t="str">
        <f>IF(Base!B344="","",Base!B344)</f>
        <v/>
      </c>
      <c r="B346" s="41" t="str">
        <f>IF(Base!F344="","",Base!F344)</f>
        <v/>
      </c>
      <c r="C346" s="41" t="str">
        <f>IF(Base!I344="","",Base!I344)</f>
        <v/>
      </c>
      <c r="D346" s="42" t="str">
        <f>IF(Base!J344="","",Base!J344)</f>
        <v/>
      </c>
      <c r="E346" s="41" t="str">
        <f>IF(Base!H344="","",Base!H344)</f>
        <v/>
      </c>
    </row>
    <row r="347" spans="1:5">
      <c r="A347" s="41" t="str">
        <f>IF(Base!B345="","",Base!B345)</f>
        <v/>
      </c>
      <c r="B347" s="41" t="str">
        <f>IF(Base!F345="","",Base!F345)</f>
        <v/>
      </c>
      <c r="C347" s="41" t="str">
        <f>IF(Base!I345="","",Base!I345)</f>
        <v/>
      </c>
      <c r="D347" s="42" t="str">
        <f>IF(Base!J345="","",Base!J345)</f>
        <v/>
      </c>
      <c r="E347" s="41" t="str">
        <f>IF(Base!H345="","",Base!H345)</f>
        <v/>
      </c>
    </row>
    <row r="348" spans="1:5">
      <c r="A348" s="41" t="str">
        <f>IF(Base!B346="","",Base!B346)</f>
        <v/>
      </c>
      <c r="B348" s="41" t="str">
        <f>IF(Base!F346="","",Base!F346)</f>
        <v/>
      </c>
      <c r="C348" s="41" t="str">
        <f>IF(Base!I346="","",Base!I346)</f>
        <v/>
      </c>
      <c r="D348" s="42" t="str">
        <f>IF(Base!J346="","",Base!J346)</f>
        <v/>
      </c>
      <c r="E348" s="41" t="str">
        <f>IF(Base!H346="","",Base!H346)</f>
        <v/>
      </c>
    </row>
    <row r="349" spans="1:5">
      <c r="A349" s="41" t="str">
        <f>IF(Base!B347="","",Base!B347)</f>
        <v/>
      </c>
      <c r="B349" s="41" t="str">
        <f>IF(Base!F347="","",Base!F347)</f>
        <v/>
      </c>
      <c r="C349" s="41" t="str">
        <f>IF(Base!I347="","",Base!I347)</f>
        <v/>
      </c>
      <c r="D349" s="42" t="str">
        <f>IF(Base!J347="","",Base!J347)</f>
        <v/>
      </c>
      <c r="E349" s="41" t="str">
        <f>IF(Base!H347="","",Base!H347)</f>
        <v/>
      </c>
    </row>
    <row r="350" spans="1:5">
      <c r="A350" s="41" t="str">
        <f>IF(Base!B348="","",Base!B348)</f>
        <v/>
      </c>
      <c r="B350" s="41" t="str">
        <f>IF(Base!F348="","",Base!F348)</f>
        <v/>
      </c>
      <c r="C350" s="41" t="str">
        <f>IF(Base!I348="","",Base!I348)</f>
        <v/>
      </c>
      <c r="D350" s="42" t="str">
        <f>IF(Base!J348="","",Base!J348)</f>
        <v/>
      </c>
      <c r="E350" s="41" t="str">
        <f>IF(Base!H348="","",Base!H348)</f>
        <v/>
      </c>
    </row>
    <row r="351" spans="1:5">
      <c r="A351" s="41" t="str">
        <f>IF(Base!B349="","",Base!B349)</f>
        <v/>
      </c>
      <c r="B351" s="41" t="str">
        <f>IF(Base!F349="","",Base!F349)</f>
        <v/>
      </c>
      <c r="C351" s="41" t="str">
        <f>IF(Base!I349="","",Base!I349)</f>
        <v/>
      </c>
      <c r="D351" s="42" t="str">
        <f>IF(Base!J349="","",Base!J349)</f>
        <v/>
      </c>
      <c r="E351" s="41" t="str">
        <f>IF(Base!H349="","",Base!H349)</f>
        <v/>
      </c>
    </row>
    <row r="352" spans="1:5">
      <c r="A352" s="41" t="str">
        <f>IF(Base!B350="","",Base!B350)</f>
        <v/>
      </c>
      <c r="B352" s="41" t="str">
        <f>IF(Base!F350="","",Base!F350)</f>
        <v/>
      </c>
      <c r="C352" s="41" t="str">
        <f>IF(Base!I350="","",Base!I350)</f>
        <v/>
      </c>
      <c r="D352" s="42" t="str">
        <f>IF(Base!J350="","",Base!J350)</f>
        <v/>
      </c>
      <c r="E352" s="41" t="str">
        <f>IF(Base!H350="","",Base!H350)</f>
        <v/>
      </c>
    </row>
    <row r="353" spans="1:5">
      <c r="A353" s="41" t="str">
        <f>IF(Base!B351="","",Base!B351)</f>
        <v/>
      </c>
      <c r="B353" s="41" t="str">
        <f>IF(Base!F351="","",Base!F351)</f>
        <v/>
      </c>
      <c r="C353" s="41" t="str">
        <f>IF(Base!I351="","",Base!I351)</f>
        <v/>
      </c>
      <c r="D353" s="42" t="str">
        <f>IF(Base!J351="","",Base!J351)</f>
        <v/>
      </c>
      <c r="E353" s="41" t="str">
        <f>IF(Base!H351="","",Base!H351)</f>
        <v/>
      </c>
    </row>
    <row r="354" spans="1:5">
      <c r="A354" s="41" t="str">
        <f>IF(Base!B352="","",Base!B352)</f>
        <v/>
      </c>
      <c r="B354" s="41" t="str">
        <f>IF(Base!F352="","",Base!F352)</f>
        <v/>
      </c>
      <c r="C354" s="41" t="str">
        <f>IF(Base!I352="","",Base!I352)</f>
        <v/>
      </c>
      <c r="D354" s="42" t="str">
        <f>IF(Base!J352="","",Base!J352)</f>
        <v/>
      </c>
      <c r="E354" s="41" t="str">
        <f>IF(Base!H352="","",Base!H352)</f>
        <v/>
      </c>
    </row>
    <row r="355" spans="1:5">
      <c r="A355" s="41" t="str">
        <f>IF(Base!B353="","",Base!B353)</f>
        <v/>
      </c>
      <c r="B355" s="41" t="str">
        <f>IF(Base!F353="","",Base!F353)</f>
        <v/>
      </c>
      <c r="C355" s="41" t="str">
        <f>IF(Base!I353="","",Base!I353)</f>
        <v/>
      </c>
      <c r="D355" s="42" t="str">
        <f>IF(Base!J353="","",Base!J353)</f>
        <v/>
      </c>
      <c r="E355" s="41" t="str">
        <f>IF(Base!H353="","",Base!H353)</f>
        <v/>
      </c>
    </row>
    <row r="356" spans="1:5">
      <c r="A356" s="41" t="str">
        <f>IF(Base!B354="","",Base!B354)</f>
        <v/>
      </c>
      <c r="B356" s="41" t="str">
        <f>IF(Base!F354="","",Base!F354)</f>
        <v/>
      </c>
      <c r="C356" s="41" t="str">
        <f>IF(Base!I354="","",Base!I354)</f>
        <v/>
      </c>
      <c r="D356" s="42" t="str">
        <f>IF(Base!J354="","",Base!J354)</f>
        <v/>
      </c>
      <c r="E356" s="41" t="str">
        <f>IF(Base!H354="","",Base!H354)</f>
        <v/>
      </c>
    </row>
    <row r="357" spans="1:5">
      <c r="A357" s="41" t="str">
        <f>IF(Base!B355="","",Base!B355)</f>
        <v/>
      </c>
      <c r="B357" s="41" t="str">
        <f>IF(Base!F355="","",Base!F355)</f>
        <v/>
      </c>
      <c r="C357" s="41" t="str">
        <f>IF(Base!I355="","",Base!I355)</f>
        <v/>
      </c>
      <c r="D357" s="42" t="str">
        <f>IF(Base!J355="","",Base!J355)</f>
        <v/>
      </c>
      <c r="E357" s="41" t="str">
        <f>IF(Base!H355="","",Base!H355)</f>
        <v/>
      </c>
    </row>
    <row r="358" spans="1:5">
      <c r="A358" s="41" t="str">
        <f>IF(Base!B356="","",Base!B356)</f>
        <v/>
      </c>
      <c r="B358" s="41" t="str">
        <f>IF(Base!F356="","",Base!F356)</f>
        <v/>
      </c>
      <c r="C358" s="41" t="str">
        <f>IF(Base!I356="","",Base!I356)</f>
        <v/>
      </c>
      <c r="D358" s="42" t="str">
        <f>IF(Base!J356="","",Base!J356)</f>
        <v/>
      </c>
      <c r="E358" s="41" t="str">
        <f>IF(Base!H356="","",Base!H356)</f>
        <v/>
      </c>
    </row>
    <row r="359" spans="1:5">
      <c r="A359" s="41" t="str">
        <f>IF(Base!B357="","",Base!B357)</f>
        <v/>
      </c>
      <c r="B359" s="41" t="str">
        <f>IF(Base!F357="","",Base!F357)</f>
        <v/>
      </c>
      <c r="C359" s="41" t="str">
        <f>IF(Base!I357="","",Base!I357)</f>
        <v/>
      </c>
      <c r="D359" s="42" t="str">
        <f>IF(Base!J357="","",Base!J357)</f>
        <v/>
      </c>
      <c r="E359" s="41" t="str">
        <f>IF(Base!H357="","",Base!H357)</f>
        <v/>
      </c>
    </row>
    <row r="360" spans="1:5">
      <c r="A360" s="41" t="str">
        <f>IF(Base!B358="","",Base!B358)</f>
        <v/>
      </c>
      <c r="B360" s="41" t="str">
        <f>IF(Base!F358="","",Base!F358)</f>
        <v/>
      </c>
      <c r="C360" s="41" t="str">
        <f>IF(Base!I358="","",Base!I358)</f>
        <v/>
      </c>
      <c r="D360" s="42" t="str">
        <f>IF(Base!J358="","",Base!J358)</f>
        <v/>
      </c>
      <c r="E360" s="41" t="str">
        <f>IF(Base!H358="","",Base!H358)</f>
        <v/>
      </c>
    </row>
    <row r="361" spans="1:5">
      <c r="A361" s="41" t="str">
        <f>IF(Base!B359="","",Base!B359)</f>
        <v/>
      </c>
      <c r="B361" s="41" t="str">
        <f>IF(Base!F359="","",Base!F359)</f>
        <v/>
      </c>
      <c r="C361" s="41" t="str">
        <f>IF(Base!I359="","",Base!I359)</f>
        <v/>
      </c>
      <c r="D361" s="42" t="str">
        <f>IF(Base!J359="","",Base!J359)</f>
        <v/>
      </c>
      <c r="E361" s="41" t="str">
        <f>IF(Base!H359="","",Base!H359)</f>
        <v/>
      </c>
    </row>
    <row r="362" spans="1:5">
      <c r="A362" s="41" t="str">
        <f>IF(Base!B360="","",Base!B360)</f>
        <v/>
      </c>
      <c r="B362" s="41" t="str">
        <f>IF(Base!F360="","",Base!F360)</f>
        <v/>
      </c>
      <c r="C362" s="41" t="str">
        <f>IF(Base!I360="","",Base!I360)</f>
        <v/>
      </c>
      <c r="D362" s="42" t="str">
        <f>IF(Base!J360="","",Base!J360)</f>
        <v/>
      </c>
      <c r="E362" s="41" t="str">
        <f>IF(Base!H360="","",Base!H360)</f>
        <v/>
      </c>
    </row>
    <row r="363" spans="1:5">
      <c r="A363" s="41" t="str">
        <f>IF(Base!B361="","",Base!B361)</f>
        <v/>
      </c>
      <c r="B363" s="41" t="str">
        <f>IF(Base!F361="","",Base!F361)</f>
        <v/>
      </c>
      <c r="C363" s="41" t="str">
        <f>IF(Base!I361="","",Base!I361)</f>
        <v/>
      </c>
      <c r="D363" s="42" t="str">
        <f>IF(Base!J361="","",Base!J361)</f>
        <v/>
      </c>
      <c r="E363" s="41" t="str">
        <f>IF(Base!H361="","",Base!H361)</f>
        <v/>
      </c>
    </row>
    <row r="364" spans="1:5">
      <c r="A364" s="41" t="str">
        <f>IF(Base!B362="","",Base!B362)</f>
        <v/>
      </c>
      <c r="B364" s="41" t="str">
        <f>IF(Base!F362="","",Base!F362)</f>
        <v/>
      </c>
      <c r="C364" s="41" t="str">
        <f>IF(Base!I362="","",Base!I362)</f>
        <v/>
      </c>
      <c r="D364" s="42" t="str">
        <f>IF(Base!J362="","",Base!J362)</f>
        <v/>
      </c>
      <c r="E364" s="41" t="str">
        <f>IF(Base!H362="","",Base!H362)</f>
        <v/>
      </c>
    </row>
    <row r="365" spans="1:5">
      <c r="A365" s="41" t="str">
        <f>IF(Base!B363="","",Base!B363)</f>
        <v/>
      </c>
      <c r="B365" s="41" t="str">
        <f>IF(Base!F363="","",Base!F363)</f>
        <v/>
      </c>
      <c r="C365" s="41" t="str">
        <f>IF(Base!I363="","",Base!I363)</f>
        <v/>
      </c>
      <c r="D365" s="42" t="str">
        <f>IF(Base!J363="","",Base!J363)</f>
        <v/>
      </c>
      <c r="E365" s="41" t="str">
        <f>IF(Base!H363="","",Base!H363)</f>
        <v/>
      </c>
    </row>
    <row r="366" spans="1:5">
      <c r="A366" s="41" t="str">
        <f>IF(Base!B364="","",Base!B364)</f>
        <v/>
      </c>
      <c r="B366" s="41" t="str">
        <f>IF(Base!F364="","",Base!F364)</f>
        <v/>
      </c>
      <c r="C366" s="41" t="str">
        <f>IF(Base!I364="","",Base!I364)</f>
        <v/>
      </c>
      <c r="D366" s="42" t="str">
        <f>IF(Base!J364="","",Base!J364)</f>
        <v/>
      </c>
      <c r="E366" s="41" t="str">
        <f>IF(Base!H364="","",Base!H364)</f>
        <v/>
      </c>
    </row>
    <row r="367" spans="1:5">
      <c r="A367" s="41" t="str">
        <f>IF(Base!B365="","",Base!B365)</f>
        <v/>
      </c>
      <c r="B367" s="41" t="str">
        <f>IF(Base!F365="","",Base!F365)</f>
        <v/>
      </c>
      <c r="C367" s="41" t="str">
        <f>IF(Base!I365="","",Base!I365)</f>
        <v/>
      </c>
      <c r="D367" s="42" t="str">
        <f>IF(Base!J365="","",Base!J365)</f>
        <v/>
      </c>
      <c r="E367" s="41" t="str">
        <f>IF(Base!H365="","",Base!H365)</f>
        <v/>
      </c>
    </row>
    <row r="368" spans="1:5">
      <c r="A368" s="41" t="str">
        <f>IF(Base!B366="","",Base!B366)</f>
        <v/>
      </c>
      <c r="B368" s="41" t="str">
        <f>IF(Base!F366="","",Base!F366)</f>
        <v/>
      </c>
      <c r="C368" s="41" t="str">
        <f>IF(Base!I366="","",Base!I366)</f>
        <v/>
      </c>
      <c r="D368" s="42" t="str">
        <f>IF(Base!J366="","",Base!J366)</f>
        <v/>
      </c>
      <c r="E368" s="41" t="str">
        <f>IF(Base!H366="","",Base!H366)</f>
        <v/>
      </c>
    </row>
    <row r="369" spans="1:5">
      <c r="A369" s="41" t="str">
        <f>IF(Base!B367="","",Base!B367)</f>
        <v/>
      </c>
      <c r="B369" s="41" t="str">
        <f>IF(Base!F367="","",Base!F367)</f>
        <v/>
      </c>
      <c r="C369" s="41" t="str">
        <f>IF(Base!I367="","",Base!I367)</f>
        <v/>
      </c>
      <c r="D369" s="42" t="str">
        <f>IF(Base!J367="","",Base!J367)</f>
        <v/>
      </c>
      <c r="E369" s="41" t="str">
        <f>IF(Base!H367="","",Base!H367)</f>
        <v/>
      </c>
    </row>
    <row r="370" spans="1:5">
      <c r="A370" s="41" t="str">
        <f>IF(Base!B368="","",Base!B368)</f>
        <v/>
      </c>
      <c r="B370" s="41" t="str">
        <f>IF(Base!F368="","",Base!F368)</f>
        <v/>
      </c>
      <c r="C370" s="41" t="str">
        <f>IF(Base!I368="","",Base!I368)</f>
        <v/>
      </c>
      <c r="D370" s="42" t="str">
        <f>IF(Base!J368="","",Base!J368)</f>
        <v/>
      </c>
      <c r="E370" s="41" t="str">
        <f>IF(Base!H368="","",Base!H368)</f>
        <v/>
      </c>
    </row>
    <row r="371" spans="1:5">
      <c r="A371" s="41" t="str">
        <f>IF(Base!B369="","",Base!B369)</f>
        <v/>
      </c>
      <c r="B371" s="41" t="str">
        <f>IF(Base!F369="","",Base!F369)</f>
        <v/>
      </c>
      <c r="C371" s="41" t="str">
        <f>IF(Base!I369="","",Base!I369)</f>
        <v/>
      </c>
      <c r="D371" s="42" t="str">
        <f>IF(Base!J369="","",Base!J369)</f>
        <v/>
      </c>
      <c r="E371" s="41" t="str">
        <f>IF(Base!H369="","",Base!H369)</f>
        <v/>
      </c>
    </row>
    <row r="372" spans="1:5">
      <c r="A372" s="41" t="str">
        <f>IF(Base!B370="","",Base!B370)</f>
        <v/>
      </c>
      <c r="B372" s="41" t="str">
        <f>IF(Base!F370="","",Base!F370)</f>
        <v/>
      </c>
      <c r="C372" s="41" t="str">
        <f>IF(Base!I370="","",Base!I370)</f>
        <v/>
      </c>
      <c r="D372" s="42" t="str">
        <f>IF(Base!J370="","",Base!J370)</f>
        <v/>
      </c>
      <c r="E372" s="41" t="str">
        <f>IF(Base!H370="","",Base!H370)</f>
        <v/>
      </c>
    </row>
    <row r="373" spans="1:5">
      <c r="A373" s="41" t="str">
        <f>IF(Base!B371="","",Base!B371)</f>
        <v/>
      </c>
      <c r="B373" s="41" t="str">
        <f>IF(Base!F371="","",Base!F371)</f>
        <v/>
      </c>
      <c r="C373" s="41" t="str">
        <f>IF(Base!I371="","",Base!I371)</f>
        <v/>
      </c>
      <c r="D373" s="42" t="str">
        <f>IF(Base!J371="","",Base!J371)</f>
        <v/>
      </c>
      <c r="E373" s="41" t="str">
        <f>IF(Base!H371="","",Base!H371)</f>
        <v/>
      </c>
    </row>
    <row r="374" spans="1:5">
      <c r="A374" s="41" t="str">
        <f>IF(Base!B372="","",Base!B372)</f>
        <v/>
      </c>
      <c r="B374" s="41" t="str">
        <f>IF(Base!F372="","",Base!F372)</f>
        <v/>
      </c>
      <c r="C374" s="41" t="str">
        <f>IF(Base!I372="","",Base!I372)</f>
        <v/>
      </c>
      <c r="D374" s="42" t="str">
        <f>IF(Base!J372="","",Base!J372)</f>
        <v/>
      </c>
      <c r="E374" s="41" t="str">
        <f>IF(Base!H372="","",Base!H372)</f>
        <v/>
      </c>
    </row>
    <row r="375" spans="1:5">
      <c r="A375" s="41" t="str">
        <f>IF(Base!B373="","",Base!B373)</f>
        <v/>
      </c>
      <c r="B375" s="41" t="str">
        <f>IF(Base!F373="","",Base!F373)</f>
        <v/>
      </c>
      <c r="C375" s="41" t="str">
        <f>IF(Base!I373="","",Base!I373)</f>
        <v/>
      </c>
      <c r="D375" s="42" t="str">
        <f>IF(Base!J373="","",Base!J373)</f>
        <v/>
      </c>
      <c r="E375" s="41" t="str">
        <f>IF(Base!H373="","",Base!H373)</f>
        <v/>
      </c>
    </row>
    <row r="376" spans="1:5">
      <c r="A376" s="41" t="str">
        <f>IF(Base!B374="","",Base!B374)</f>
        <v/>
      </c>
      <c r="B376" s="41" t="str">
        <f>IF(Base!F374="","",Base!F374)</f>
        <v/>
      </c>
      <c r="C376" s="41" t="str">
        <f>IF(Base!I374="","",Base!I374)</f>
        <v/>
      </c>
      <c r="D376" s="42" t="str">
        <f>IF(Base!J374="","",Base!J374)</f>
        <v/>
      </c>
      <c r="E376" s="41" t="str">
        <f>IF(Base!H374="","",Base!H374)</f>
        <v/>
      </c>
    </row>
    <row r="377" spans="1:5">
      <c r="A377" s="41" t="str">
        <f>IF(Base!B375="","",Base!B375)</f>
        <v/>
      </c>
      <c r="B377" s="41" t="str">
        <f>IF(Base!F375="","",Base!F375)</f>
        <v/>
      </c>
      <c r="C377" s="41" t="str">
        <f>IF(Base!I375="","",Base!I375)</f>
        <v/>
      </c>
      <c r="D377" s="42" t="str">
        <f>IF(Base!J375="","",Base!J375)</f>
        <v/>
      </c>
      <c r="E377" s="41" t="str">
        <f>IF(Base!H375="","",Base!H375)</f>
        <v/>
      </c>
    </row>
    <row r="378" spans="1:5">
      <c r="A378" s="41" t="str">
        <f>IF(Base!B376="","",Base!B376)</f>
        <v/>
      </c>
      <c r="B378" s="41" t="str">
        <f>IF(Base!F376="","",Base!F376)</f>
        <v/>
      </c>
      <c r="C378" s="41" t="str">
        <f>IF(Base!I376="","",Base!I376)</f>
        <v/>
      </c>
      <c r="D378" s="42" t="str">
        <f>IF(Base!J376="","",Base!J376)</f>
        <v/>
      </c>
      <c r="E378" s="41" t="str">
        <f>IF(Base!H376="","",Base!H376)</f>
        <v/>
      </c>
    </row>
    <row r="379" spans="1:5">
      <c r="A379" s="41" t="str">
        <f>IF(Base!B377="","",Base!B377)</f>
        <v/>
      </c>
      <c r="B379" s="41" t="str">
        <f>IF(Base!F377="","",Base!F377)</f>
        <v/>
      </c>
      <c r="C379" s="41" t="str">
        <f>IF(Base!I377="","",Base!I377)</f>
        <v/>
      </c>
      <c r="D379" s="42" t="str">
        <f>IF(Base!J377="","",Base!J377)</f>
        <v/>
      </c>
      <c r="E379" s="41" t="str">
        <f>IF(Base!H377="","",Base!H377)</f>
        <v/>
      </c>
    </row>
    <row r="380" spans="1:5">
      <c r="A380" s="41" t="str">
        <f>IF(Base!B378="","",Base!B378)</f>
        <v/>
      </c>
      <c r="B380" s="41" t="str">
        <f>IF(Base!F378="","",Base!F378)</f>
        <v/>
      </c>
      <c r="C380" s="41" t="str">
        <f>IF(Base!I378="","",Base!I378)</f>
        <v/>
      </c>
      <c r="D380" s="42" t="str">
        <f>IF(Base!J378="","",Base!J378)</f>
        <v/>
      </c>
      <c r="E380" s="41" t="str">
        <f>IF(Base!H378="","",Base!H378)</f>
        <v/>
      </c>
    </row>
    <row r="381" spans="1:5">
      <c r="A381" s="41" t="str">
        <f>IF(Base!B379="","",Base!B379)</f>
        <v/>
      </c>
      <c r="B381" s="41" t="str">
        <f>IF(Base!F379="","",Base!F379)</f>
        <v/>
      </c>
      <c r="C381" s="41" t="str">
        <f>IF(Base!I379="","",Base!I379)</f>
        <v/>
      </c>
      <c r="D381" s="42" t="str">
        <f>IF(Base!J379="","",Base!J379)</f>
        <v/>
      </c>
      <c r="E381" s="41" t="str">
        <f>IF(Base!H379="","",Base!H379)</f>
        <v/>
      </c>
    </row>
    <row r="382" spans="1:5">
      <c r="A382" s="41" t="str">
        <f>IF(Base!B380="","",Base!B380)</f>
        <v/>
      </c>
      <c r="B382" s="41" t="str">
        <f>IF(Base!F380="","",Base!F380)</f>
        <v/>
      </c>
      <c r="C382" s="41" t="str">
        <f>IF(Base!I380="","",Base!I380)</f>
        <v/>
      </c>
      <c r="D382" s="42" t="str">
        <f>IF(Base!J380="","",Base!J380)</f>
        <v/>
      </c>
      <c r="E382" s="41" t="str">
        <f>IF(Base!H380="","",Base!H380)</f>
        <v/>
      </c>
    </row>
    <row r="383" spans="1:5">
      <c r="A383" s="41" t="str">
        <f>IF(Base!B381="","",Base!B381)</f>
        <v/>
      </c>
      <c r="B383" s="41" t="str">
        <f>IF(Base!F381="","",Base!F381)</f>
        <v/>
      </c>
      <c r="C383" s="41" t="str">
        <f>IF(Base!I381="","",Base!I381)</f>
        <v/>
      </c>
      <c r="D383" s="42" t="str">
        <f>IF(Base!J381="","",Base!J381)</f>
        <v/>
      </c>
      <c r="E383" s="41" t="str">
        <f>IF(Base!H381="","",Base!H381)</f>
        <v/>
      </c>
    </row>
    <row r="384" spans="1:5">
      <c r="A384" s="41" t="str">
        <f>IF(Base!B382="","",Base!B382)</f>
        <v/>
      </c>
      <c r="B384" s="41" t="str">
        <f>IF(Base!F382="","",Base!F382)</f>
        <v/>
      </c>
      <c r="C384" s="41" t="str">
        <f>IF(Base!I382="","",Base!I382)</f>
        <v/>
      </c>
      <c r="D384" s="42" t="str">
        <f>IF(Base!J382="","",Base!J382)</f>
        <v/>
      </c>
      <c r="E384" s="41" t="str">
        <f>IF(Base!H382="","",Base!H382)</f>
        <v/>
      </c>
    </row>
    <row r="385" spans="1:5">
      <c r="A385" s="41" t="str">
        <f>IF(Base!B383="","",Base!B383)</f>
        <v/>
      </c>
      <c r="B385" s="41" t="str">
        <f>IF(Base!F383="","",Base!F383)</f>
        <v/>
      </c>
      <c r="C385" s="41" t="str">
        <f>IF(Base!I383="","",Base!I383)</f>
        <v/>
      </c>
      <c r="D385" s="42" t="str">
        <f>IF(Base!J383="","",Base!J383)</f>
        <v/>
      </c>
      <c r="E385" s="41" t="str">
        <f>IF(Base!H383="","",Base!H383)</f>
        <v/>
      </c>
    </row>
    <row r="386" spans="1:5">
      <c r="A386" s="41" t="str">
        <f>IF(Base!B384="","",Base!B384)</f>
        <v/>
      </c>
      <c r="B386" s="41" t="str">
        <f>IF(Base!F384="","",Base!F384)</f>
        <v/>
      </c>
      <c r="C386" s="41" t="str">
        <f>IF(Base!I384="","",Base!I384)</f>
        <v/>
      </c>
      <c r="D386" s="42" t="str">
        <f>IF(Base!J384="","",Base!J384)</f>
        <v/>
      </c>
      <c r="E386" s="41" t="str">
        <f>IF(Base!H384="","",Base!H384)</f>
        <v/>
      </c>
    </row>
    <row r="387" spans="1:5">
      <c r="A387" s="41" t="str">
        <f>IF(Base!B385="","",Base!B385)</f>
        <v/>
      </c>
      <c r="B387" s="41" t="str">
        <f>IF(Base!F385="","",Base!F385)</f>
        <v/>
      </c>
      <c r="C387" s="41" t="str">
        <f>IF(Base!I385="","",Base!I385)</f>
        <v/>
      </c>
      <c r="D387" s="42" t="str">
        <f>IF(Base!J385="","",Base!J385)</f>
        <v/>
      </c>
      <c r="E387" s="41" t="str">
        <f>IF(Base!H385="","",Base!H385)</f>
        <v/>
      </c>
    </row>
    <row r="388" spans="1:5">
      <c r="A388" s="41" t="str">
        <f>IF(Base!B386="","",Base!B386)</f>
        <v/>
      </c>
      <c r="B388" s="41" t="str">
        <f>IF(Base!F386="","",Base!F386)</f>
        <v/>
      </c>
      <c r="C388" s="41" t="str">
        <f>IF(Base!I386="","",Base!I386)</f>
        <v/>
      </c>
      <c r="D388" s="42" t="str">
        <f>IF(Base!J386="","",Base!J386)</f>
        <v/>
      </c>
      <c r="E388" s="41" t="str">
        <f>IF(Base!H386="","",Base!H386)</f>
        <v/>
      </c>
    </row>
    <row r="389" spans="1:5">
      <c r="A389" s="41" t="str">
        <f>IF(Base!B387="","",Base!B387)</f>
        <v/>
      </c>
      <c r="B389" s="41" t="str">
        <f>IF(Base!F387="","",Base!F387)</f>
        <v/>
      </c>
      <c r="C389" s="41" t="str">
        <f>IF(Base!I387="","",Base!I387)</f>
        <v/>
      </c>
      <c r="D389" s="42" t="str">
        <f>IF(Base!J387="","",Base!J387)</f>
        <v/>
      </c>
      <c r="E389" s="41" t="str">
        <f>IF(Base!H387="","",Base!H387)</f>
        <v/>
      </c>
    </row>
    <row r="390" spans="1:5">
      <c r="A390" s="41" t="str">
        <f>IF(Base!B388="","",Base!B388)</f>
        <v/>
      </c>
      <c r="B390" s="41" t="str">
        <f>IF(Base!F388="","",Base!F388)</f>
        <v/>
      </c>
      <c r="C390" s="41" t="str">
        <f>IF(Base!I388="","",Base!I388)</f>
        <v/>
      </c>
      <c r="D390" s="42" t="str">
        <f>IF(Base!J388="","",Base!J388)</f>
        <v/>
      </c>
      <c r="E390" s="41" t="str">
        <f>IF(Base!H388="","",Base!H388)</f>
        <v/>
      </c>
    </row>
    <row r="391" spans="1:5">
      <c r="A391" s="41" t="str">
        <f>IF(Base!B389="","",Base!B389)</f>
        <v/>
      </c>
      <c r="B391" s="41" t="str">
        <f>IF(Base!F389="","",Base!F389)</f>
        <v/>
      </c>
      <c r="C391" s="41" t="str">
        <f>IF(Base!I389="","",Base!I389)</f>
        <v/>
      </c>
      <c r="D391" s="42" t="str">
        <f>IF(Base!J389="","",Base!J389)</f>
        <v/>
      </c>
      <c r="E391" s="41" t="str">
        <f>IF(Base!H389="","",Base!H389)</f>
        <v/>
      </c>
    </row>
    <row r="392" spans="1:5">
      <c r="A392" s="41" t="str">
        <f>IF(Base!B390="","",Base!B390)</f>
        <v/>
      </c>
      <c r="B392" s="41" t="str">
        <f>IF(Base!F390="","",Base!F390)</f>
        <v/>
      </c>
      <c r="C392" s="41" t="str">
        <f>IF(Base!I390="","",Base!I390)</f>
        <v/>
      </c>
      <c r="D392" s="42" t="str">
        <f>IF(Base!J390="","",Base!J390)</f>
        <v/>
      </c>
      <c r="E392" s="41" t="str">
        <f>IF(Base!H390="","",Base!H390)</f>
        <v/>
      </c>
    </row>
    <row r="393" spans="1:5">
      <c r="A393" s="41" t="str">
        <f>IF(Base!B391="","",Base!B391)</f>
        <v/>
      </c>
      <c r="B393" s="41" t="str">
        <f>IF(Base!F391="","",Base!F391)</f>
        <v/>
      </c>
      <c r="C393" s="41" t="str">
        <f>IF(Base!I391="","",Base!I391)</f>
        <v/>
      </c>
      <c r="D393" s="42" t="str">
        <f>IF(Base!J391="","",Base!J391)</f>
        <v/>
      </c>
      <c r="E393" s="41" t="str">
        <f>IF(Base!H391="","",Base!H391)</f>
        <v/>
      </c>
    </row>
    <row r="394" spans="1:5">
      <c r="A394" s="41" t="str">
        <f>IF(Base!B392="","",Base!B392)</f>
        <v/>
      </c>
      <c r="B394" s="41" t="str">
        <f>IF(Base!F392="","",Base!F392)</f>
        <v/>
      </c>
      <c r="C394" s="41" t="str">
        <f>IF(Base!I392="","",Base!I392)</f>
        <v/>
      </c>
      <c r="D394" s="42" t="str">
        <f>IF(Base!J392="","",Base!J392)</f>
        <v/>
      </c>
      <c r="E394" s="41" t="str">
        <f>IF(Base!H392="","",Base!H392)</f>
        <v/>
      </c>
    </row>
    <row r="395" spans="1:5">
      <c r="A395" s="41" t="str">
        <f>IF(Base!B393="","",Base!B393)</f>
        <v/>
      </c>
      <c r="B395" s="41" t="str">
        <f>IF(Base!F393="","",Base!F393)</f>
        <v/>
      </c>
      <c r="C395" s="41" t="str">
        <f>IF(Base!I393="","",Base!I393)</f>
        <v/>
      </c>
      <c r="D395" s="42" t="str">
        <f>IF(Base!J393="","",Base!J393)</f>
        <v/>
      </c>
      <c r="E395" s="41" t="str">
        <f>IF(Base!H393="","",Base!H393)</f>
        <v/>
      </c>
    </row>
    <row r="396" spans="1:5">
      <c r="A396" s="41" t="str">
        <f>IF(Base!B394="","",Base!B394)</f>
        <v/>
      </c>
      <c r="B396" s="41" t="str">
        <f>IF(Base!F394="","",Base!F394)</f>
        <v/>
      </c>
      <c r="C396" s="41" t="str">
        <f>IF(Base!I394="","",Base!I394)</f>
        <v/>
      </c>
      <c r="D396" s="42" t="str">
        <f>IF(Base!J394="","",Base!J394)</f>
        <v/>
      </c>
      <c r="E396" s="41" t="str">
        <f>IF(Base!H394="","",Base!H394)</f>
        <v/>
      </c>
    </row>
    <row r="397" spans="1:5">
      <c r="A397" s="41" t="str">
        <f>IF(Base!B395="","",Base!B395)</f>
        <v/>
      </c>
      <c r="B397" s="41" t="str">
        <f>IF(Base!F395="","",Base!F395)</f>
        <v/>
      </c>
      <c r="C397" s="41" t="str">
        <f>IF(Base!I395="","",Base!I395)</f>
        <v/>
      </c>
      <c r="D397" s="42" t="str">
        <f>IF(Base!J395="","",Base!J395)</f>
        <v/>
      </c>
      <c r="E397" s="41" t="str">
        <f>IF(Base!H395="","",Base!H395)</f>
        <v/>
      </c>
    </row>
    <row r="398" spans="1:5">
      <c r="A398" s="41" t="str">
        <f>IF(Base!B396="","",Base!B396)</f>
        <v/>
      </c>
      <c r="B398" s="41" t="str">
        <f>IF(Base!F396="","",Base!F396)</f>
        <v/>
      </c>
      <c r="C398" s="41" t="str">
        <f>IF(Base!I396="","",Base!I396)</f>
        <v/>
      </c>
      <c r="D398" s="42" t="str">
        <f>IF(Base!J396="","",Base!J396)</f>
        <v/>
      </c>
      <c r="E398" s="41" t="str">
        <f>IF(Base!H396="","",Base!H396)</f>
        <v/>
      </c>
    </row>
    <row r="399" spans="1:5">
      <c r="A399" s="41" t="str">
        <f>IF(Base!B397="","",Base!B397)</f>
        <v/>
      </c>
      <c r="B399" s="41" t="str">
        <f>IF(Base!F397="","",Base!F397)</f>
        <v/>
      </c>
      <c r="C399" s="41" t="str">
        <f>IF(Base!I397="","",Base!I397)</f>
        <v/>
      </c>
      <c r="D399" s="42" t="str">
        <f>IF(Base!J397="","",Base!J397)</f>
        <v/>
      </c>
      <c r="E399" s="41" t="str">
        <f>IF(Base!H397="","",Base!H397)</f>
        <v/>
      </c>
    </row>
    <row r="400" spans="1:5">
      <c r="A400" s="41" t="str">
        <f>IF(Base!B398="","",Base!B398)</f>
        <v/>
      </c>
      <c r="B400" s="41" t="str">
        <f>IF(Base!F398="","",Base!F398)</f>
        <v/>
      </c>
      <c r="C400" s="41" t="str">
        <f>IF(Base!I398="","",Base!I398)</f>
        <v/>
      </c>
      <c r="D400" s="42" t="str">
        <f>IF(Base!J398="","",Base!J398)</f>
        <v/>
      </c>
      <c r="E400" s="41" t="str">
        <f>IF(Base!H398="","",Base!H398)</f>
        <v/>
      </c>
    </row>
    <row r="401" spans="1:5">
      <c r="A401" s="41" t="str">
        <f>IF(Base!B399="","",Base!B399)</f>
        <v/>
      </c>
      <c r="B401" s="41" t="str">
        <f>IF(Base!F399="","",Base!F399)</f>
        <v/>
      </c>
      <c r="C401" s="41" t="str">
        <f>IF(Base!I399="","",Base!I399)</f>
        <v/>
      </c>
      <c r="D401" s="42" t="str">
        <f>IF(Base!J399="","",Base!J399)</f>
        <v/>
      </c>
      <c r="E401" s="41" t="str">
        <f>IF(Base!H399="","",Base!H399)</f>
        <v/>
      </c>
    </row>
    <row r="402" spans="1:5">
      <c r="A402" s="41" t="str">
        <f>IF(Base!B400="","",Base!B400)</f>
        <v/>
      </c>
      <c r="B402" s="41" t="str">
        <f>IF(Base!F400="","",Base!F400)</f>
        <v/>
      </c>
      <c r="C402" s="41" t="str">
        <f>IF(Base!I400="","",Base!I400)</f>
        <v/>
      </c>
      <c r="D402" s="42" t="str">
        <f>IF(Base!J400="","",Base!J400)</f>
        <v/>
      </c>
      <c r="E402" s="41" t="str">
        <f>IF(Base!H400="","",Base!H400)</f>
        <v/>
      </c>
    </row>
    <row r="403" spans="1:5">
      <c r="A403" s="41" t="str">
        <f>IF(Base!B401="","",Base!B401)</f>
        <v/>
      </c>
      <c r="B403" s="41" t="str">
        <f>IF(Base!F401="","",Base!F401)</f>
        <v/>
      </c>
      <c r="C403" s="41" t="str">
        <f>IF(Base!I401="","",Base!I401)</f>
        <v/>
      </c>
      <c r="D403" s="42" t="str">
        <f>IF(Base!J401="","",Base!J401)</f>
        <v/>
      </c>
      <c r="E403" s="41" t="str">
        <f>IF(Base!H401="","",Base!H401)</f>
        <v/>
      </c>
    </row>
    <row r="404" spans="1:5">
      <c r="A404" s="41" t="str">
        <f>IF(Base!B402="","",Base!B402)</f>
        <v/>
      </c>
      <c r="B404" s="41" t="str">
        <f>IF(Base!F402="","",Base!F402)</f>
        <v/>
      </c>
      <c r="C404" s="41" t="str">
        <f>IF(Base!I402="","",Base!I402)</f>
        <v/>
      </c>
      <c r="D404" s="42" t="str">
        <f>IF(Base!J402="","",Base!J402)</f>
        <v/>
      </c>
      <c r="E404" s="41" t="str">
        <f>IF(Base!H402="","",Base!H402)</f>
        <v/>
      </c>
    </row>
    <row r="405" spans="1:5">
      <c r="A405" s="41" t="str">
        <f>IF(Base!B403="","",Base!B403)</f>
        <v/>
      </c>
      <c r="B405" s="41" t="str">
        <f>IF(Base!F403="","",Base!F403)</f>
        <v/>
      </c>
      <c r="C405" s="41" t="str">
        <f>IF(Base!I403="","",Base!I403)</f>
        <v/>
      </c>
      <c r="D405" s="42" t="str">
        <f>IF(Base!J403="","",Base!J403)</f>
        <v/>
      </c>
      <c r="E405" s="41" t="str">
        <f>IF(Base!H403="","",Base!H403)</f>
        <v/>
      </c>
    </row>
    <row r="406" spans="1:5">
      <c r="A406" s="41" t="str">
        <f>IF(Base!B404="","",Base!B404)</f>
        <v/>
      </c>
      <c r="B406" s="41" t="str">
        <f>IF(Base!F404="","",Base!F404)</f>
        <v/>
      </c>
      <c r="C406" s="41" t="str">
        <f>IF(Base!I404="","",Base!I404)</f>
        <v/>
      </c>
      <c r="D406" s="42" t="str">
        <f>IF(Base!J404="","",Base!J404)</f>
        <v/>
      </c>
      <c r="E406" s="41" t="str">
        <f>IF(Base!H404="","",Base!H404)</f>
        <v/>
      </c>
    </row>
    <row r="407" spans="1:5">
      <c r="A407" s="41" t="str">
        <f>IF(Base!B405="","",Base!B405)</f>
        <v/>
      </c>
      <c r="B407" s="41" t="str">
        <f>IF(Base!F405="","",Base!F405)</f>
        <v/>
      </c>
      <c r="C407" s="41" t="str">
        <f>IF(Base!I405="","",Base!I405)</f>
        <v/>
      </c>
      <c r="D407" s="42" t="str">
        <f>IF(Base!J405="","",Base!J405)</f>
        <v/>
      </c>
      <c r="E407" s="41" t="str">
        <f>IF(Base!H405="","",Base!H405)</f>
        <v/>
      </c>
    </row>
    <row r="408" spans="1:5">
      <c r="A408" s="41" t="str">
        <f>IF(Base!B406="","",Base!B406)</f>
        <v/>
      </c>
      <c r="B408" s="41" t="str">
        <f>IF(Base!F406="","",Base!F406)</f>
        <v/>
      </c>
      <c r="C408" s="41" t="str">
        <f>IF(Base!I406="","",Base!I406)</f>
        <v/>
      </c>
      <c r="D408" s="42" t="str">
        <f>IF(Base!J406="","",Base!J406)</f>
        <v/>
      </c>
      <c r="E408" s="41" t="str">
        <f>IF(Base!H406="","",Base!H406)</f>
        <v/>
      </c>
    </row>
    <row r="409" spans="1:5">
      <c r="A409" s="41" t="str">
        <f>IF(Base!B407="","",Base!B407)</f>
        <v/>
      </c>
      <c r="B409" s="41" t="str">
        <f>IF(Base!F407="","",Base!F407)</f>
        <v/>
      </c>
      <c r="C409" s="41" t="str">
        <f>IF(Base!I407="","",Base!I407)</f>
        <v/>
      </c>
      <c r="D409" s="42" t="str">
        <f>IF(Base!J407="","",Base!J407)</f>
        <v/>
      </c>
      <c r="E409" s="41" t="str">
        <f>IF(Base!H407="","",Base!H407)</f>
        <v/>
      </c>
    </row>
    <row r="410" spans="1:5">
      <c r="A410" s="41" t="str">
        <f>IF(Base!B408="","",Base!B408)</f>
        <v/>
      </c>
      <c r="B410" s="41" t="str">
        <f>IF(Base!F408="","",Base!F408)</f>
        <v/>
      </c>
      <c r="C410" s="41" t="str">
        <f>IF(Base!I408="","",Base!I408)</f>
        <v/>
      </c>
      <c r="D410" s="42" t="str">
        <f>IF(Base!J408="","",Base!J408)</f>
        <v/>
      </c>
      <c r="E410" s="41" t="str">
        <f>IF(Base!H408="","",Base!H408)</f>
        <v/>
      </c>
    </row>
    <row r="411" spans="1:5">
      <c r="A411" s="41" t="str">
        <f>IF(Base!B409="","",Base!B409)</f>
        <v/>
      </c>
      <c r="B411" s="41" t="str">
        <f>IF(Base!F409="","",Base!F409)</f>
        <v/>
      </c>
      <c r="C411" s="41" t="str">
        <f>IF(Base!I409="","",Base!I409)</f>
        <v/>
      </c>
      <c r="D411" s="42" t="str">
        <f>IF(Base!J409="","",Base!J409)</f>
        <v/>
      </c>
      <c r="E411" s="41" t="str">
        <f>IF(Base!H409="","",Base!H409)</f>
        <v/>
      </c>
    </row>
    <row r="412" spans="1:5">
      <c r="A412" s="41" t="str">
        <f>IF(Base!B410="","",Base!B410)</f>
        <v/>
      </c>
      <c r="B412" s="41" t="str">
        <f>IF(Base!F410="","",Base!F410)</f>
        <v/>
      </c>
      <c r="C412" s="41" t="str">
        <f>IF(Base!I410="","",Base!I410)</f>
        <v/>
      </c>
      <c r="D412" s="42" t="str">
        <f>IF(Base!J410="","",Base!J410)</f>
        <v/>
      </c>
      <c r="E412" s="41" t="str">
        <f>IF(Base!H410="","",Base!H410)</f>
        <v/>
      </c>
    </row>
    <row r="413" spans="1:5">
      <c r="A413" s="41" t="str">
        <f>IF(Base!B411="","",Base!B411)</f>
        <v/>
      </c>
      <c r="B413" s="41" t="str">
        <f>IF(Base!F411="","",Base!F411)</f>
        <v/>
      </c>
      <c r="C413" s="41" t="str">
        <f>IF(Base!I411="","",Base!I411)</f>
        <v/>
      </c>
      <c r="D413" s="42" t="str">
        <f>IF(Base!J411="","",Base!J411)</f>
        <v/>
      </c>
      <c r="E413" s="41" t="str">
        <f>IF(Base!H411="","",Base!H411)</f>
        <v/>
      </c>
    </row>
    <row r="414" spans="1:5">
      <c r="A414" s="41" t="str">
        <f>IF(Base!B412="","",Base!B412)</f>
        <v/>
      </c>
      <c r="B414" s="41" t="str">
        <f>IF(Base!F412="","",Base!F412)</f>
        <v/>
      </c>
      <c r="C414" s="41" t="str">
        <f>IF(Base!I412="","",Base!I412)</f>
        <v/>
      </c>
      <c r="D414" s="42" t="str">
        <f>IF(Base!J412="","",Base!J412)</f>
        <v/>
      </c>
      <c r="E414" s="41" t="str">
        <f>IF(Base!H412="","",Base!H412)</f>
        <v/>
      </c>
    </row>
    <row r="415" spans="1:5">
      <c r="A415" s="41" t="str">
        <f>IF(Base!B413="","",Base!B413)</f>
        <v/>
      </c>
      <c r="B415" s="41" t="str">
        <f>IF(Base!F413="","",Base!F413)</f>
        <v/>
      </c>
      <c r="C415" s="41" t="str">
        <f>IF(Base!I413="","",Base!I413)</f>
        <v/>
      </c>
      <c r="D415" s="42" t="str">
        <f>IF(Base!J413="","",Base!J413)</f>
        <v/>
      </c>
      <c r="E415" s="41" t="str">
        <f>IF(Base!H413="","",Base!H413)</f>
        <v/>
      </c>
    </row>
    <row r="416" spans="1:5">
      <c r="A416" s="41" t="str">
        <f>IF(Base!B414="","",Base!B414)</f>
        <v/>
      </c>
      <c r="B416" s="41" t="str">
        <f>IF(Base!F414="","",Base!F414)</f>
        <v/>
      </c>
      <c r="C416" s="41" t="str">
        <f>IF(Base!I414="","",Base!I414)</f>
        <v/>
      </c>
      <c r="D416" s="42" t="str">
        <f>IF(Base!J414="","",Base!J414)</f>
        <v/>
      </c>
      <c r="E416" s="41" t="str">
        <f>IF(Base!H414="","",Base!H414)</f>
        <v/>
      </c>
    </row>
    <row r="417" spans="1:5">
      <c r="A417" s="41" t="str">
        <f>IF(Base!B415="","",Base!B415)</f>
        <v/>
      </c>
      <c r="B417" s="41" t="str">
        <f>IF(Base!F415="","",Base!F415)</f>
        <v/>
      </c>
      <c r="C417" s="41" t="str">
        <f>IF(Base!I415="","",Base!I415)</f>
        <v/>
      </c>
      <c r="D417" s="42" t="str">
        <f>IF(Base!J415="","",Base!J415)</f>
        <v/>
      </c>
      <c r="E417" s="41" t="str">
        <f>IF(Base!H415="","",Base!H415)</f>
        <v/>
      </c>
    </row>
    <row r="418" spans="1:5">
      <c r="A418" s="41" t="str">
        <f>IF(Base!B416="","",Base!B416)</f>
        <v/>
      </c>
      <c r="B418" s="41" t="str">
        <f>IF(Base!F416="","",Base!F416)</f>
        <v/>
      </c>
      <c r="C418" s="41" t="str">
        <f>IF(Base!I416="","",Base!I416)</f>
        <v/>
      </c>
      <c r="D418" s="42" t="str">
        <f>IF(Base!J416="","",Base!J416)</f>
        <v/>
      </c>
      <c r="E418" s="41" t="str">
        <f>IF(Base!H416="","",Base!H416)</f>
        <v/>
      </c>
    </row>
    <row r="419" spans="1:5">
      <c r="A419" s="41" t="str">
        <f>IF(Base!B417="","",Base!B417)</f>
        <v/>
      </c>
      <c r="B419" s="41" t="str">
        <f>IF(Base!F417="","",Base!F417)</f>
        <v/>
      </c>
      <c r="C419" s="41" t="str">
        <f>IF(Base!I417="","",Base!I417)</f>
        <v/>
      </c>
      <c r="D419" s="42" t="str">
        <f>IF(Base!J417="","",Base!J417)</f>
        <v/>
      </c>
      <c r="E419" s="41" t="str">
        <f>IF(Base!H417="","",Base!H417)</f>
        <v/>
      </c>
    </row>
    <row r="420" spans="1:5">
      <c r="A420" s="41" t="str">
        <f>IF(Base!B418="","",Base!B418)</f>
        <v/>
      </c>
      <c r="B420" s="41" t="str">
        <f>IF(Base!F418="","",Base!F418)</f>
        <v/>
      </c>
      <c r="C420" s="41" t="str">
        <f>IF(Base!I418="","",Base!I418)</f>
        <v/>
      </c>
      <c r="D420" s="42" t="str">
        <f>IF(Base!J418="","",Base!J418)</f>
        <v/>
      </c>
      <c r="E420" s="41" t="str">
        <f>IF(Base!H418="","",Base!H418)</f>
        <v/>
      </c>
    </row>
    <row r="421" spans="1:5">
      <c r="A421" s="41" t="str">
        <f>IF(Base!B419="","",Base!B419)</f>
        <v/>
      </c>
      <c r="B421" s="41" t="str">
        <f>IF(Base!F419="","",Base!F419)</f>
        <v/>
      </c>
      <c r="C421" s="41" t="str">
        <f>IF(Base!I419="","",Base!I419)</f>
        <v/>
      </c>
      <c r="D421" s="42" t="str">
        <f>IF(Base!J419="","",Base!J419)</f>
        <v/>
      </c>
      <c r="E421" s="41" t="str">
        <f>IF(Base!H419="","",Base!H419)</f>
        <v/>
      </c>
    </row>
    <row r="422" spans="1:5">
      <c r="A422" s="41" t="str">
        <f>IF(Base!B420="","",Base!B420)</f>
        <v/>
      </c>
      <c r="B422" s="41" t="str">
        <f>IF(Base!F420="","",Base!F420)</f>
        <v/>
      </c>
      <c r="C422" s="41" t="str">
        <f>IF(Base!I420="","",Base!I420)</f>
        <v/>
      </c>
      <c r="D422" s="42" t="str">
        <f>IF(Base!J420="","",Base!J420)</f>
        <v/>
      </c>
      <c r="E422" s="41" t="str">
        <f>IF(Base!H420="","",Base!H420)</f>
        <v/>
      </c>
    </row>
    <row r="423" spans="1:5">
      <c r="A423" s="41" t="str">
        <f>IF(Base!B421="","",Base!B421)</f>
        <v/>
      </c>
      <c r="B423" s="41" t="str">
        <f>IF(Base!F421="","",Base!F421)</f>
        <v/>
      </c>
      <c r="C423" s="41" t="str">
        <f>IF(Base!I421="","",Base!I421)</f>
        <v/>
      </c>
      <c r="D423" s="42" t="str">
        <f>IF(Base!J421="","",Base!J421)</f>
        <v/>
      </c>
      <c r="E423" s="41" t="str">
        <f>IF(Base!H421="","",Base!H421)</f>
        <v/>
      </c>
    </row>
    <row r="424" spans="1:5">
      <c r="A424" s="41" t="str">
        <f>IF(Base!B422="","",Base!B422)</f>
        <v/>
      </c>
      <c r="B424" s="41" t="str">
        <f>IF(Base!F422="","",Base!F422)</f>
        <v/>
      </c>
      <c r="C424" s="41" t="str">
        <f>IF(Base!I422="","",Base!I422)</f>
        <v/>
      </c>
      <c r="D424" s="42" t="str">
        <f>IF(Base!J422="","",Base!J422)</f>
        <v/>
      </c>
      <c r="E424" s="41" t="str">
        <f>IF(Base!H422="","",Base!H422)</f>
        <v/>
      </c>
    </row>
    <row r="425" spans="1:5">
      <c r="A425" s="41" t="str">
        <f>IF(Base!B423="","",Base!B423)</f>
        <v/>
      </c>
      <c r="B425" s="41" t="str">
        <f>IF(Base!F423="","",Base!F423)</f>
        <v/>
      </c>
      <c r="C425" s="41" t="str">
        <f>IF(Base!I423="","",Base!I423)</f>
        <v/>
      </c>
      <c r="D425" s="42" t="str">
        <f>IF(Base!J423="","",Base!J423)</f>
        <v/>
      </c>
      <c r="E425" s="41" t="str">
        <f>IF(Base!H423="","",Base!H423)</f>
        <v/>
      </c>
    </row>
    <row r="426" spans="1:5">
      <c r="A426" s="41" t="str">
        <f>IF(Base!B424="","",Base!B424)</f>
        <v/>
      </c>
      <c r="B426" s="41" t="str">
        <f>IF(Base!F424="","",Base!F424)</f>
        <v/>
      </c>
      <c r="C426" s="41" t="str">
        <f>IF(Base!I424="","",Base!I424)</f>
        <v/>
      </c>
      <c r="D426" s="42" t="str">
        <f>IF(Base!J424="","",Base!J424)</f>
        <v/>
      </c>
      <c r="E426" s="41" t="str">
        <f>IF(Base!H424="","",Base!H424)</f>
        <v/>
      </c>
    </row>
    <row r="427" spans="1:5">
      <c r="A427" s="41" t="str">
        <f>IF(Base!B425="","",Base!B425)</f>
        <v/>
      </c>
      <c r="B427" s="41" t="str">
        <f>IF(Base!F425="","",Base!F425)</f>
        <v/>
      </c>
      <c r="C427" s="41" t="str">
        <f>IF(Base!I425="","",Base!I425)</f>
        <v/>
      </c>
      <c r="D427" s="42" t="str">
        <f>IF(Base!J425="","",Base!J425)</f>
        <v/>
      </c>
      <c r="E427" s="41" t="str">
        <f>IF(Base!H425="","",Base!H425)</f>
        <v/>
      </c>
    </row>
    <row r="428" spans="1:5">
      <c r="A428" s="41" t="str">
        <f>IF(Base!B426="","",Base!B426)</f>
        <v/>
      </c>
      <c r="B428" s="41" t="str">
        <f>IF(Base!F426="","",Base!F426)</f>
        <v/>
      </c>
      <c r="C428" s="41" t="str">
        <f>IF(Base!I426="","",Base!I426)</f>
        <v/>
      </c>
      <c r="D428" s="42" t="str">
        <f>IF(Base!J426="","",Base!J426)</f>
        <v/>
      </c>
      <c r="E428" s="41" t="str">
        <f>IF(Base!H426="","",Base!H426)</f>
        <v/>
      </c>
    </row>
    <row r="429" spans="1:5">
      <c r="A429" s="41" t="str">
        <f>IF(Base!B427="","",Base!B427)</f>
        <v/>
      </c>
      <c r="B429" s="41" t="str">
        <f>IF(Base!F427="","",Base!F427)</f>
        <v/>
      </c>
      <c r="C429" s="41" t="str">
        <f>IF(Base!I427="","",Base!I427)</f>
        <v/>
      </c>
      <c r="D429" s="42" t="str">
        <f>IF(Base!J427="","",Base!J427)</f>
        <v/>
      </c>
      <c r="E429" s="41" t="str">
        <f>IF(Base!H427="","",Base!H427)</f>
        <v/>
      </c>
    </row>
    <row r="430" spans="1:5">
      <c r="A430" s="41" t="str">
        <f>IF(Base!B428="","",Base!B428)</f>
        <v/>
      </c>
      <c r="B430" s="41" t="str">
        <f>IF(Base!F428="","",Base!F428)</f>
        <v/>
      </c>
      <c r="C430" s="41" t="str">
        <f>IF(Base!I428="","",Base!I428)</f>
        <v/>
      </c>
      <c r="D430" s="42" t="str">
        <f>IF(Base!J428="","",Base!J428)</f>
        <v/>
      </c>
      <c r="E430" s="41" t="str">
        <f>IF(Base!H428="","",Base!H428)</f>
        <v/>
      </c>
    </row>
    <row r="431" spans="1:5">
      <c r="A431" s="41" t="str">
        <f>IF(Base!B429="","",Base!B429)</f>
        <v/>
      </c>
      <c r="B431" s="41" t="str">
        <f>IF(Base!F429="","",Base!F429)</f>
        <v/>
      </c>
      <c r="C431" s="41" t="str">
        <f>IF(Base!I429="","",Base!I429)</f>
        <v/>
      </c>
      <c r="D431" s="42" t="str">
        <f>IF(Base!J429="","",Base!J429)</f>
        <v/>
      </c>
      <c r="E431" s="41" t="str">
        <f>IF(Base!H429="","",Base!H429)</f>
        <v/>
      </c>
    </row>
    <row r="432" spans="1:5">
      <c r="A432" s="41" t="str">
        <f>IF(Base!B430="","",Base!B430)</f>
        <v/>
      </c>
      <c r="B432" s="41" t="str">
        <f>IF(Base!F430="","",Base!F430)</f>
        <v/>
      </c>
      <c r="C432" s="41" t="str">
        <f>IF(Base!I430="","",Base!I430)</f>
        <v/>
      </c>
      <c r="D432" s="42" t="str">
        <f>IF(Base!J430="","",Base!J430)</f>
        <v/>
      </c>
      <c r="E432" s="41" t="str">
        <f>IF(Base!H430="","",Base!H430)</f>
        <v/>
      </c>
    </row>
    <row r="433" spans="1:5">
      <c r="A433" s="41" t="str">
        <f>IF(Base!B431="","",Base!B431)</f>
        <v/>
      </c>
      <c r="B433" s="41" t="str">
        <f>IF(Base!F431="","",Base!F431)</f>
        <v/>
      </c>
      <c r="C433" s="41" t="str">
        <f>IF(Base!I431="","",Base!I431)</f>
        <v/>
      </c>
      <c r="D433" s="42" t="str">
        <f>IF(Base!J431="","",Base!J431)</f>
        <v/>
      </c>
      <c r="E433" s="41" t="str">
        <f>IF(Base!H431="","",Base!H431)</f>
        <v/>
      </c>
    </row>
    <row r="434" spans="1:5">
      <c r="A434" s="41" t="str">
        <f>IF(Base!B432="","",Base!B432)</f>
        <v/>
      </c>
      <c r="B434" s="41" t="str">
        <f>IF(Base!F432="","",Base!F432)</f>
        <v/>
      </c>
      <c r="C434" s="41" t="str">
        <f>IF(Base!I432="","",Base!I432)</f>
        <v/>
      </c>
      <c r="D434" s="42" t="str">
        <f>IF(Base!J432="","",Base!J432)</f>
        <v/>
      </c>
      <c r="E434" s="41" t="str">
        <f>IF(Base!H432="","",Base!H432)</f>
        <v/>
      </c>
    </row>
    <row r="435" spans="1:5">
      <c r="A435" s="41" t="str">
        <f>IF(Base!B433="","",Base!B433)</f>
        <v/>
      </c>
      <c r="B435" s="41" t="str">
        <f>IF(Base!F433="","",Base!F433)</f>
        <v/>
      </c>
      <c r="C435" s="41" t="str">
        <f>IF(Base!I433="","",Base!I433)</f>
        <v/>
      </c>
      <c r="D435" s="42" t="str">
        <f>IF(Base!J433="","",Base!J433)</f>
        <v/>
      </c>
      <c r="E435" s="41" t="str">
        <f>IF(Base!H433="","",Base!H433)</f>
        <v/>
      </c>
    </row>
    <row r="436" spans="1:5">
      <c r="A436" s="41" t="str">
        <f>IF(Base!B434="","",Base!B434)</f>
        <v/>
      </c>
      <c r="B436" s="41" t="str">
        <f>IF(Base!F434="","",Base!F434)</f>
        <v/>
      </c>
      <c r="C436" s="41" t="str">
        <f>IF(Base!I434="","",Base!I434)</f>
        <v/>
      </c>
      <c r="D436" s="42" t="str">
        <f>IF(Base!J434="","",Base!J434)</f>
        <v/>
      </c>
      <c r="E436" s="41" t="str">
        <f>IF(Base!H434="","",Base!H434)</f>
        <v/>
      </c>
    </row>
    <row r="437" spans="1:5">
      <c r="A437" s="41" t="str">
        <f>IF(Base!B435="","",Base!B435)</f>
        <v/>
      </c>
      <c r="B437" s="41" t="str">
        <f>IF(Base!F435="","",Base!F435)</f>
        <v/>
      </c>
      <c r="C437" s="41" t="str">
        <f>IF(Base!I435="","",Base!I435)</f>
        <v/>
      </c>
      <c r="D437" s="42" t="str">
        <f>IF(Base!J435="","",Base!J435)</f>
        <v/>
      </c>
      <c r="E437" s="41" t="str">
        <f>IF(Base!H435="","",Base!H435)</f>
        <v/>
      </c>
    </row>
    <row r="438" spans="1:5">
      <c r="A438" s="41" t="str">
        <f>IF(Base!B436="","",Base!B436)</f>
        <v/>
      </c>
      <c r="B438" s="41" t="str">
        <f>IF(Base!F436="","",Base!F436)</f>
        <v/>
      </c>
      <c r="C438" s="41" t="str">
        <f>IF(Base!I436="","",Base!I436)</f>
        <v/>
      </c>
      <c r="D438" s="42" t="str">
        <f>IF(Base!J436="","",Base!J436)</f>
        <v/>
      </c>
      <c r="E438" s="41" t="str">
        <f>IF(Base!H436="","",Base!H436)</f>
        <v/>
      </c>
    </row>
    <row r="439" spans="1:5">
      <c r="A439" s="41" t="str">
        <f>IF(Base!B437="","",Base!B437)</f>
        <v/>
      </c>
      <c r="B439" s="41" t="str">
        <f>IF(Base!F437="","",Base!F437)</f>
        <v/>
      </c>
      <c r="C439" s="41" t="str">
        <f>IF(Base!I437="","",Base!I437)</f>
        <v/>
      </c>
      <c r="D439" s="42" t="str">
        <f>IF(Base!J437="","",Base!J437)</f>
        <v/>
      </c>
      <c r="E439" s="41" t="str">
        <f>IF(Base!H437="","",Base!H437)</f>
        <v/>
      </c>
    </row>
    <row r="440" spans="1:5">
      <c r="A440" s="41" t="str">
        <f>IF(Base!B438="","",Base!B438)</f>
        <v/>
      </c>
      <c r="B440" s="41" t="str">
        <f>IF(Base!F438="","",Base!F438)</f>
        <v/>
      </c>
      <c r="C440" s="41" t="str">
        <f>IF(Base!I438="","",Base!I438)</f>
        <v/>
      </c>
      <c r="D440" s="42" t="str">
        <f>IF(Base!J438="","",Base!J438)</f>
        <v/>
      </c>
      <c r="E440" s="41" t="str">
        <f>IF(Base!H438="","",Base!H438)</f>
        <v/>
      </c>
    </row>
    <row r="441" spans="1:5">
      <c r="A441" s="41" t="str">
        <f>IF(Base!B439="","",Base!B439)</f>
        <v/>
      </c>
      <c r="B441" s="41" t="str">
        <f>IF(Base!F439="","",Base!F439)</f>
        <v/>
      </c>
      <c r="C441" s="41" t="str">
        <f>IF(Base!I439="","",Base!I439)</f>
        <v/>
      </c>
      <c r="D441" s="42" t="str">
        <f>IF(Base!J439="","",Base!J439)</f>
        <v/>
      </c>
      <c r="E441" s="41" t="str">
        <f>IF(Base!H439="","",Base!H439)</f>
        <v/>
      </c>
    </row>
    <row r="442" spans="1:5">
      <c r="A442" s="41" t="str">
        <f>IF(Base!B440="","",Base!B440)</f>
        <v/>
      </c>
      <c r="B442" s="41" t="str">
        <f>IF(Base!F440="","",Base!F440)</f>
        <v/>
      </c>
      <c r="C442" s="41" t="str">
        <f>IF(Base!I440="","",Base!I440)</f>
        <v/>
      </c>
      <c r="D442" s="42" t="str">
        <f>IF(Base!J440="","",Base!J440)</f>
        <v/>
      </c>
      <c r="E442" s="41" t="str">
        <f>IF(Base!H440="","",Base!H440)</f>
        <v/>
      </c>
    </row>
    <row r="443" spans="1:5">
      <c r="A443" s="41" t="str">
        <f>IF(Base!B441="","",Base!B441)</f>
        <v/>
      </c>
      <c r="B443" s="41" t="str">
        <f>IF(Base!F441="","",Base!F441)</f>
        <v/>
      </c>
      <c r="C443" s="41" t="str">
        <f>IF(Base!I441="","",Base!I441)</f>
        <v/>
      </c>
      <c r="D443" s="42" t="str">
        <f>IF(Base!J441="","",Base!J441)</f>
        <v/>
      </c>
      <c r="E443" s="41" t="str">
        <f>IF(Base!H441="","",Base!H441)</f>
        <v/>
      </c>
    </row>
    <row r="444" spans="1:5">
      <c r="A444" s="41" t="str">
        <f>IF(Base!B442="","",Base!B442)</f>
        <v/>
      </c>
      <c r="B444" s="41" t="str">
        <f>IF(Base!F442="","",Base!F442)</f>
        <v/>
      </c>
      <c r="C444" s="41" t="str">
        <f>IF(Base!I442="","",Base!I442)</f>
        <v/>
      </c>
      <c r="D444" s="42" t="str">
        <f>IF(Base!J442="","",Base!J442)</f>
        <v/>
      </c>
      <c r="E444" s="41" t="str">
        <f>IF(Base!H442="","",Base!H442)</f>
        <v/>
      </c>
    </row>
    <row r="445" spans="1:5">
      <c r="A445" s="41" t="str">
        <f>IF(Base!B443="","",Base!B443)</f>
        <v/>
      </c>
      <c r="B445" s="41" t="str">
        <f>IF(Base!F443="","",Base!F443)</f>
        <v/>
      </c>
      <c r="C445" s="41" t="str">
        <f>IF(Base!I443="","",Base!I443)</f>
        <v/>
      </c>
      <c r="D445" s="42" t="str">
        <f>IF(Base!J443="","",Base!J443)</f>
        <v/>
      </c>
      <c r="E445" s="41" t="str">
        <f>IF(Base!H443="","",Base!H443)</f>
        <v/>
      </c>
    </row>
    <row r="446" spans="1:5">
      <c r="A446" s="41" t="str">
        <f>IF(Base!B444="","",Base!B444)</f>
        <v/>
      </c>
      <c r="B446" s="41" t="str">
        <f>IF(Base!F444="","",Base!F444)</f>
        <v/>
      </c>
      <c r="C446" s="41" t="str">
        <f>IF(Base!I444="","",Base!I444)</f>
        <v/>
      </c>
      <c r="D446" s="42" t="str">
        <f>IF(Base!J444="","",Base!J444)</f>
        <v/>
      </c>
      <c r="E446" s="41" t="str">
        <f>IF(Base!H444="","",Base!H444)</f>
        <v/>
      </c>
    </row>
    <row r="447" spans="1:5">
      <c r="A447" s="41" t="str">
        <f>IF(Base!B445="","",Base!B445)</f>
        <v/>
      </c>
      <c r="B447" s="41" t="str">
        <f>IF(Base!F445="","",Base!F445)</f>
        <v/>
      </c>
      <c r="C447" s="41" t="str">
        <f>IF(Base!I445="","",Base!I445)</f>
        <v/>
      </c>
      <c r="D447" s="42" t="str">
        <f>IF(Base!J445="","",Base!J445)</f>
        <v/>
      </c>
      <c r="E447" s="41" t="str">
        <f>IF(Base!H445="","",Base!H445)</f>
        <v/>
      </c>
    </row>
    <row r="448" spans="1:5">
      <c r="A448" s="41" t="str">
        <f>IF(Base!B446="","",Base!B446)</f>
        <v/>
      </c>
      <c r="B448" s="41" t="str">
        <f>IF(Base!F446="","",Base!F446)</f>
        <v/>
      </c>
      <c r="C448" s="41" t="str">
        <f>IF(Base!I446="","",Base!I446)</f>
        <v/>
      </c>
      <c r="D448" s="42" t="str">
        <f>IF(Base!J446="","",Base!J446)</f>
        <v/>
      </c>
      <c r="E448" s="41" t="str">
        <f>IF(Base!H446="","",Base!H446)</f>
        <v/>
      </c>
    </row>
    <row r="449" spans="1:5">
      <c r="A449" s="41" t="str">
        <f>IF(Base!B447="","",Base!B447)</f>
        <v/>
      </c>
      <c r="B449" s="41" t="str">
        <f>IF(Base!F447="","",Base!F447)</f>
        <v/>
      </c>
      <c r="C449" s="41" t="str">
        <f>IF(Base!I447="","",Base!I447)</f>
        <v/>
      </c>
      <c r="D449" s="42" t="str">
        <f>IF(Base!J447="","",Base!J447)</f>
        <v/>
      </c>
      <c r="E449" s="41" t="str">
        <f>IF(Base!H447="","",Base!H447)</f>
        <v/>
      </c>
    </row>
    <row r="450" spans="1:5">
      <c r="A450" s="41" t="str">
        <f>IF(Base!B448="","",Base!B448)</f>
        <v/>
      </c>
      <c r="B450" s="41" t="str">
        <f>IF(Base!F448="","",Base!F448)</f>
        <v/>
      </c>
      <c r="C450" s="41" t="str">
        <f>IF(Base!I448="","",Base!I448)</f>
        <v/>
      </c>
      <c r="D450" s="42" t="str">
        <f>IF(Base!J448="","",Base!J448)</f>
        <v/>
      </c>
      <c r="E450" s="41" t="str">
        <f>IF(Base!H448="","",Base!H448)</f>
        <v/>
      </c>
    </row>
    <row r="451" spans="1:5">
      <c r="A451" s="41" t="str">
        <f>IF(Base!B449="","",Base!B449)</f>
        <v/>
      </c>
      <c r="B451" s="41" t="str">
        <f>IF(Base!F449="","",Base!F449)</f>
        <v/>
      </c>
      <c r="C451" s="41" t="str">
        <f>IF(Base!I449="","",Base!I449)</f>
        <v/>
      </c>
      <c r="D451" s="42" t="str">
        <f>IF(Base!J449="","",Base!J449)</f>
        <v/>
      </c>
      <c r="E451" s="41" t="str">
        <f>IF(Base!H449="","",Base!H449)</f>
        <v/>
      </c>
    </row>
    <row r="452" spans="1:5">
      <c r="A452" s="41" t="str">
        <f>IF(Base!B450="","",Base!B450)</f>
        <v/>
      </c>
      <c r="B452" s="41" t="str">
        <f>IF(Base!F450="","",Base!F450)</f>
        <v/>
      </c>
      <c r="C452" s="41" t="str">
        <f>IF(Base!I450="","",Base!I450)</f>
        <v/>
      </c>
      <c r="D452" s="42" t="str">
        <f>IF(Base!J450="","",Base!J450)</f>
        <v/>
      </c>
      <c r="E452" s="41" t="str">
        <f>IF(Base!H450="","",Base!H450)</f>
        <v/>
      </c>
    </row>
    <row r="453" spans="1:5">
      <c r="A453" s="41" t="str">
        <f>IF(Base!B451="","",Base!B451)</f>
        <v/>
      </c>
      <c r="B453" s="41" t="str">
        <f>IF(Base!F451="","",Base!F451)</f>
        <v/>
      </c>
      <c r="C453" s="41" t="str">
        <f>IF(Base!I451="","",Base!I451)</f>
        <v/>
      </c>
      <c r="D453" s="42" t="str">
        <f>IF(Base!J451="","",Base!J451)</f>
        <v/>
      </c>
      <c r="E453" s="41" t="str">
        <f>IF(Base!H451="","",Base!H451)</f>
        <v/>
      </c>
    </row>
    <row r="454" spans="1:5">
      <c r="A454" s="41" t="str">
        <f>IF(Base!B452="","",Base!B452)</f>
        <v/>
      </c>
      <c r="B454" s="41" t="str">
        <f>IF(Base!F452="","",Base!F452)</f>
        <v/>
      </c>
      <c r="C454" s="41" t="str">
        <f>IF(Base!I452="","",Base!I452)</f>
        <v/>
      </c>
      <c r="D454" s="42" t="str">
        <f>IF(Base!J452="","",Base!J452)</f>
        <v/>
      </c>
      <c r="E454" s="41" t="str">
        <f>IF(Base!H452="","",Base!H452)</f>
        <v/>
      </c>
    </row>
    <row r="455" spans="1:5">
      <c r="A455" s="41" t="str">
        <f>IF(Base!B453="","",Base!B453)</f>
        <v/>
      </c>
      <c r="B455" s="41" t="str">
        <f>IF(Base!F453="","",Base!F453)</f>
        <v/>
      </c>
      <c r="C455" s="41" t="str">
        <f>IF(Base!I453="","",Base!I453)</f>
        <v/>
      </c>
      <c r="D455" s="42" t="str">
        <f>IF(Base!J453="","",Base!J453)</f>
        <v/>
      </c>
      <c r="E455" s="41" t="str">
        <f>IF(Base!H453="","",Base!H453)</f>
        <v/>
      </c>
    </row>
    <row r="456" spans="1:5">
      <c r="A456" s="41" t="str">
        <f>IF(Base!B454="","",Base!B454)</f>
        <v/>
      </c>
      <c r="B456" s="41" t="str">
        <f>IF(Base!F454="","",Base!F454)</f>
        <v/>
      </c>
      <c r="C456" s="41" t="str">
        <f>IF(Base!I454="","",Base!I454)</f>
        <v/>
      </c>
      <c r="D456" s="42" t="str">
        <f>IF(Base!J454="","",Base!J454)</f>
        <v/>
      </c>
      <c r="E456" s="41" t="str">
        <f>IF(Base!H454="","",Base!H454)</f>
        <v/>
      </c>
    </row>
    <row r="457" spans="1:5">
      <c r="A457" s="41" t="str">
        <f>IF(Base!B455="","",Base!B455)</f>
        <v/>
      </c>
      <c r="B457" s="41" t="str">
        <f>IF(Base!F455="","",Base!F455)</f>
        <v/>
      </c>
      <c r="C457" s="41" t="str">
        <f>IF(Base!I455="","",Base!I455)</f>
        <v/>
      </c>
      <c r="D457" s="42" t="str">
        <f>IF(Base!J455="","",Base!J455)</f>
        <v/>
      </c>
      <c r="E457" s="41" t="str">
        <f>IF(Base!H455="","",Base!H455)</f>
        <v/>
      </c>
    </row>
    <row r="458" spans="1:5">
      <c r="A458" s="41" t="str">
        <f>IF(Base!B456="","",Base!B456)</f>
        <v/>
      </c>
      <c r="B458" s="41" t="str">
        <f>IF(Base!F456="","",Base!F456)</f>
        <v/>
      </c>
      <c r="C458" s="41" t="str">
        <f>IF(Base!I456="","",Base!I456)</f>
        <v/>
      </c>
      <c r="D458" s="42" t="str">
        <f>IF(Base!J456="","",Base!J456)</f>
        <v/>
      </c>
      <c r="E458" s="41" t="str">
        <f>IF(Base!H456="","",Base!H456)</f>
        <v/>
      </c>
    </row>
    <row r="459" spans="1:5">
      <c r="A459" s="41" t="str">
        <f>IF(Base!B457="","",Base!B457)</f>
        <v/>
      </c>
      <c r="B459" s="41" t="str">
        <f>IF(Base!F457="","",Base!F457)</f>
        <v/>
      </c>
      <c r="C459" s="41" t="str">
        <f>IF(Base!I457="","",Base!I457)</f>
        <v/>
      </c>
      <c r="D459" s="42" t="str">
        <f>IF(Base!J457="","",Base!J457)</f>
        <v/>
      </c>
      <c r="E459" s="41" t="str">
        <f>IF(Base!H457="","",Base!H457)</f>
        <v/>
      </c>
    </row>
    <row r="460" spans="1:5">
      <c r="A460" s="41" t="str">
        <f>IF(Base!B458="","",Base!B458)</f>
        <v/>
      </c>
      <c r="B460" s="41" t="str">
        <f>IF(Base!F458="","",Base!F458)</f>
        <v/>
      </c>
      <c r="C460" s="41" t="str">
        <f>IF(Base!I458="","",Base!I458)</f>
        <v/>
      </c>
      <c r="D460" s="42" t="str">
        <f>IF(Base!J458="","",Base!J458)</f>
        <v/>
      </c>
      <c r="E460" s="41" t="str">
        <f>IF(Base!H458="","",Base!H458)</f>
        <v/>
      </c>
    </row>
    <row r="461" spans="1:5">
      <c r="A461" s="41" t="str">
        <f>IF(Base!B459="","",Base!B459)</f>
        <v/>
      </c>
      <c r="B461" s="41" t="str">
        <f>IF(Base!F459="","",Base!F459)</f>
        <v/>
      </c>
      <c r="C461" s="41" t="str">
        <f>IF(Base!I459="","",Base!I459)</f>
        <v/>
      </c>
      <c r="D461" s="42" t="str">
        <f>IF(Base!J459="","",Base!J459)</f>
        <v/>
      </c>
      <c r="E461" s="41" t="str">
        <f>IF(Base!H459="","",Base!H459)</f>
        <v/>
      </c>
    </row>
    <row r="462" spans="1:5">
      <c r="A462" s="41" t="str">
        <f>IF(Base!B460="","",Base!B460)</f>
        <v/>
      </c>
      <c r="B462" s="41" t="str">
        <f>IF(Base!F460="","",Base!F460)</f>
        <v/>
      </c>
      <c r="C462" s="41" t="str">
        <f>IF(Base!I460="","",Base!I460)</f>
        <v/>
      </c>
      <c r="D462" s="42" t="str">
        <f>IF(Base!J460="","",Base!J460)</f>
        <v/>
      </c>
      <c r="E462" s="41" t="str">
        <f>IF(Base!H460="","",Base!H460)</f>
        <v/>
      </c>
    </row>
    <row r="463" spans="1:5">
      <c r="A463" s="41" t="str">
        <f>IF(Base!B461="","",Base!B461)</f>
        <v/>
      </c>
      <c r="B463" s="41" t="str">
        <f>IF(Base!F461="","",Base!F461)</f>
        <v/>
      </c>
      <c r="C463" s="41" t="str">
        <f>IF(Base!I461="","",Base!I461)</f>
        <v/>
      </c>
      <c r="D463" s="42" t="str">
        <f>IF(Base!J461="","",Base!J461)</f>
        <v/>
      </c>
      <c r="E463" s="41" t="str">
        <f>IF(Base!H461="","",Base!H461)</f>
        <v/>
      </c>
    </row>
    <row r="464" spans="1:5">
      <c r="A464" s="41" t="str">
        <f>IF(Base!B462="","",Base!B462)</f>
        <v/>
      </c>
      <c r="B464" s="41" t="str">
        <f>IF(Base!F462="","",Base!F462)</f>
        <v/>
      </c>
      <c r="C464" s="41" t="str">
        <f>IF(Base!I462="","",Base!I462)</f>
        <v/>
      </c>
      <c r="D464" s="42" t="str">
        <f>IF(Base!J462="","",Base!J462)</f>
        <v/>
      </c>
      <c r="E464" s="41" t="str">
        <f>IF(Base!H462="","",Base!H462)</f>
        <v/>
      </c>
    </row>
    <row r="465" spans="1:5">
      <c r="A465" s="41" t="str">
        <f>IF(Base!B463="","",Base!B463)</f>
        <v/>
      </c>
      <c r="B465" s="41" t="str">
        <f>IF(Base!F463="","",Base!F463)</f>
        <v/>
      </c>
      <c r="C465" s="41" t="str">
        <f>IF(Base!I463="","",Base!I463)</f>
        <v/>
      </c>
      <c r="D465" s="42" t="str">
        <f>IF(Base!J463="","",Base!J463)</f>
        <v/>
      </c>
      <c r="E465" s="41" t="str">
        <f>IF(Base!H463="","",Base!H463)</f>
        <v/>
      </c>
    </row>
    <row r="466" spans="1:5">
      <c r="A466" s="41" t="str">
        <f>IF(Base!B464="","",Base!B464)</f>
        <v/>
      </c>
      <c r="B466" s="41" t="str">
        <f>IF(Base!F464="","",Base!F464)</f>
        <v/>
      </c>
      <c r="C466" s="41" t="str">
        <f>IF(Base!I464="","",Base!I464)</f>
        <v/>
      </c>
      <c r="D466" s="42" t="str">
        <f>IF(Base!J464="","",Base!J464)</f>
        <v/>
      </c>
      <c r="E466" s="41" t="str">
        <f>IF(Base!H464="","",Base!H464)</f>
        <v/>
      </c>
    </row>
    <row r="467" spans="1:5">
      <c r="A467" s="41" t="str">
        <f>IF(Base!B465="","",Base!B465)</f>
        <v/>
      </c>
      <c r="B467" s="41" t="str">
        <f>IF(Base!F465="","",Base!F465)</f>
        <v/>
      </c>
      <c r="C467" s="41" t="str">
        <f>IF(Base!I465="","",Base!I465)</f>
        <v/>
      </c>
      <c r="D467" s="42" t="str">
        <f>IF(Base!J465="","",Base!J465)</f>
        <v/>
      </c>
      <c r="E467" s="41" t="str">
        <f>IF(Base!H465="","",Base!H465)</f>
        <v/>
      </c>
    </row>
    <row r="468" spans="1:5">
      <c r="A468" s="41" t="str">
        <f>IF(Base!B466="","",Base!B466)</f>
        <v/>
      </c>
      <c r="B468" s="41" t="str">
        <f>IF(Base!F466="","",Base!F466)</f>
        <v/>
      </c>
      <c r="C468" s="41" t="str">
        <f>IF(Base!I466="","",Base!I466)</f>
        <v/>
      </c>
      <c r="D468" s="42" t="str">
        <f>IF(Base!J466="","",Base!J466)</f>
        <v/>
      </c>
      <c r="E468" s="41" t="str">
        <f>IF(Base!H466="","",Base!H466)</f>
        <v/>
      </c>
    </row>
    <row r="469" spans="1:5">
      <c r="A469" s="41" t="str">
        <f>IF(Base!B467="","",Base!B467)</f>
        <v/>
      </c>
      <c r="B469" s="41" t="str">
        <f>IF(Base!F467="","",Base!F467)</f>
        <v/>
      </c>
      <c r="C469" s="41" t="str">
        <f>IF(Base!I467="","",Base!I467)</f>
        <v/>
      </c>
      <c r="D469" s="42" t="str">
        <f>IF(Base!J467="","",Base!J467)</f>
        <v/>
      </c>
      <c r="E469" s="41" t="str">
        <f>IF(Base!H467="","",Base!H467)</f>
        <v/>
      </c>
    </row>
    <row r="470" spans="1:5">
      <c r="A470" s="41" t="str">
        <f>IF(Base!B468="","",Base!B468)</f>
        <v/>
      </c>
      <c r="B470" s="41" t="str">
        <f>IF(Base!F468="","",Base!F468)</f>
        <v/>
      </c>
      <c r="C470" s="41" t="str">
        <f>IF(Base!I468="","",Base!I468)</f>
        <v/>
      </c>
      <c r="D470" s="42" t="str">
        <f>IF(Base!J468="","",Base!J468)</f>
        <v/>
      </c>
      <c r="E470" s="41" t="str">
        <f>IF(Base!H468="","",Base!H468)</f>
        <v/>
      </c>
    </row>
    <row r="471" spans="1:5">
      <c r="A471" s="41" t="str">
        <f>IF(Base!B469="","",Base!B469)</f>
        <v/>
      </c>
      <c r="B471" s="41" t="str">
        <f>IF(Base!F469="","",Base!F469)</f>
        <v/>
      </c>
      <c r="C471" s="41" t="str">
        <f>IF(Base!I469="","",Base!I469)</f>
        <v/>
      </c>
      <c r="D471" s="42" t="str">
        <f>IF(Base!J469="","",Base!J469)</f>
        <v/>
      </c>
      <c r="E471" s="41" t="str">
        <f>IF(Base!H469="","",Base!H469)</f>
        <v/>
      </c>
    </row>
    <row r="472" spans="1:5">
      <c r="A472" s="41" t="str">
        <f>IF(Base!B470="","",Base!B470)</f>
        <v/>
      </c>
      <c r="B472" s="41" t="str">
        <f>IF(Base!F470="","",Base!F470)</f>
        <v/>
      </c>
      <c r="C472" s="41" t="str">
        <f>IF(Base!I470="","",Base!I470)</f>
        <v/>
      </c>
      <c r="D472" s="42" t="str">
        <f>IF(Base!J470="","",Base!J470)</f>
        <v/>
      </c>
      <c r="E472" s="41" t="str">
        <f>IF(Base!H470="","",Base!H470)</f>
        <v/>
      </c>
    </row>
    <row r="473" spans="1:5">
      <c r="A473" s="41" t="str">
        <f>IF(Base!B471="","",Base!B471)</f>
        <v/>
      </c>
      <c r="B473" s="41" t="str">
        <f>IF(Base!F471="","",Base!F471)</f>
        <v/>
      </c>
      <c r="C473" s="41" t="str">
        <f>IF(Base!I471="","",Base!I471)</f>
        <v/>
      </c>
      <c r="D473" s="42" t="str">
        <f>IF(Base!J471="","",Base!J471)</f>
        <v/>
      </c>
      <c r="E473" s="41" t="str">
        <f>IF(Base!H471="","",Base!H471)</f>
        <v/>
      </c>
    </row>
    <row r="474" spans="1:5">
      <c r="A474" s="41" t="str">
        <f>IF(Base!B472="","",Base!B472)</f>
        <v/>
      </c>
      <c r="B474" s="41" t="str">
        <f>IF(Base!F472="","",Base!F472)</f>
        <v/>
      </c>
      <c r="C474" s="41" t="str">
        <f>IF(Base!I472="","",Base!I472)</f>
        <v/>
      </c>
      <c r="D474" s="42" t="str">
        <f>IF(Base!J472="","",Base!J472)</f>
        <v/>
      </c>
      <c r="E474" s="41" t="str">
        <f>IF(Base!H472="","",Base!H472)</f>
        <v/>
      </c>
    </row>
    <row r="475" spans="1:5">
      <c r="A475" s="41" t="str">
        <f>IF(Base!B473="","",Base!B473)</f>
        <v/>
      </c>
      <c r="B475" s="41" t="str">
        <f>IF(Base!F473="","",Base!F473)</f>
        <v/>
      </c>
      <c r="C475" s="41" t="str">
        <f>IF(Base!I473="","",Base!I473)</f>
        <v/>
      </c>
      <c r="D475" s="42" t="str">
        <f>IF(Base!J473="","",Base!J473)</f>
        <v/>
      </c>
      <c r="E475" s="41" t="str">
        <f>IF(Base!H473="","",Base!H473)</f>
        <v/>
      </c>
    </row>
    <row r="476" spans="1:5">
      <c r="A476" s="41" t="str">
        <f>IF(Base!B474="","",Base!B474)</f>
        <v/>
      </c>
      <c r="B476" s="41" t="str">
        <f>IF(Base!F474="","",Base!F474)</f>
        <v/>
      </c>
      <c r="C476" s="41" t="str">
        <f>IF(Base!I474="","",Base!I474)</f>
        <v/>
      </c>
      <c r="D476" s="42" t="str">
        <f>IF(Base!J474="","",Base!J474)</f>
        <v/>
      </c>
      <c r="E476" s="41" t="str">
        <f>IF(Base!H474="","",Base!H474)</f>
        <v/>
      </c>
    </row>
    <row r="477" spans="1:5">
      <c r="A477" s="41" t="str">
        <f>IF(Base!B475="","",Base!B475)</f>
        <v/>
      </c>
      <c r="B477" s="41" t="str">
        <f>IF(Base!F475="","",Base!F475)</f>
        <v/>
      </c>
      <c r="C477" s="41" t="str">
        <f>IF(Base!I475="","",Base!I475)</f>
        <v/>
      </c>
      <c r="D477" s="42" t="str">
        <f>IF(Base!J475="","",Base!J475)</f>
        <v/>
      </c>
      <c r="E477" s="41" t="str">
        <f>IF(Base!H475="","",Base!H475)</f>
        <v/>
      </c>
    </row>
    <row r="478" spans="1:5">
      <c r="A478" s="41" t="str">
        <f>IF(Base!B476="","",Base!B476)</f>
        <v/>
      </c>
      <c r="B478" s="41" t="str">
        <f>IF(Base!F476="","",Base!F476)</f>
        <v/>
      </c>
      <c r="C478" s="41" t="str">
        <f>IF(Base!I476="","",Base!I476)</f>
        <v/>
      </c>
      <c r="D478" s="42" t="str">
        <f>IF(Base!J476="","",Base!J476)</f>
        <v/>
      </c>
      <c r="E478" s="41" t="str">
        <f>IF(Base!H476="","",Base!H476)</f>
        <v/>
      </c>
    </row>
    <row r="479" spans="1:5">
      <c r="A479" s="41" t="str">
        <f>IF(Base!B477="","",Base!B477)</f>
        <v/>
      </c>
      <c r="B479" s="41" t="str">
        <f>IF(Base!F477="","",Base!F477)</f>
        <v/>
      </c>
      <c r="C479" s="41" t="str">
        <f>IF(Base!I477="","",Base!I477)</f>
        <v/>
      </c>
      <c r="D479" s="42" t="str">
        <f>IF(Base!J477="","",Base!J477)</f>
        <v/>
      </c>
      <c r="E479" s="41" t="str">
        <f>IF(Base!H477="","",Base!H477)</f>
        <v/>
      </c>
    </row>
    <row r="480" spans="1:5">
      <c r="A480" s="41" t="str">
        <f>IF(Base!B478="","",Base!B478)</f>
        <v/>
      </c>
      <c r="B480" s="41" t="str">
        <f>IF(Base!F478="","",Base!F478)</f>
        <v/>
      </c>
      <c r="C480" s="41" t="str">
        <f>IF(Base!I478="","",Base!I478)</f>
        <v/>
      </c>
      <c r="D480" s="42" t="str">
        <f>IF(Base!J478="","",Base!J478)</f>
        <v/>
      </c>
      <c r="E480" s="41" t="str">
        <f>IF(Base!H478="","",Base!H478)</f>
        <v/>
      </c>
    </row>
    <row r="481" spans="1:5">
      <c r="A481" s="41" t="str">
        <f>IF(Base!B479="","",Base!B479)</f>
        <v/>
      </c>
      <c r="B481" s="41" t="str">
        <f>IF(Base!F479="","",Base!F479)</f>
        <v/>
      </c>
      <c r="C481" s="41" t="str">
        <f>IF(Base!I479="","",Base!I479)</f>
        <v/>
      </c>
      <c r="D481" s="42" t="str">
        <f>IF(Base!J479="","",Base!J479)</f>
        <v/>
      </c>
      <c r="E481" s="41" t="str">
        <f>IF(Base!H479="","",Base!H479)</f>
        <v/>
      </c>
    </row>
    <row r="482" spans="1:5">
      <c r="A482" s="41" t="str">
        <f>IF(Base!B480="","",Base!B480)</f>
        <v/>
      </c>
      <c r="B482" s="41" t="str">
        <f>IF(Base!F480="","",Base!F480)</f>
        <v/>
      </c>
      <c r="C482" s="41" t="str">
        <f>IF(Base!I480="","",Base!I480)</f>
        <v/>
      </c>
      <c r="D482" s="42" t="str">
        <f>IF(Base!J480="","",Base!J480)</f>
        <v/>
      </c>
      <c r="E482" s="41" t="str">
        <f>IF(Base!H480="","",Base!H480)</f>
        <v/>
      </c>
    </row>
    <row r="483" spans="1:5">
      <c r="A483" s="41" t="str">
        <f>IF(Base!B481="","",Base!B481)</f>
        <v/>
      </c>
      <c r="B483" s="41" t="str">
        <f>IF(Base!F481="","",Base!F481)</f>
        <v/>
      </c>
      <c r="C483" s="41" t="str">
        <f>IF(Base!I481="","",Base!I481)</f>
        <v/>
      </c>
      <c r="D483" s="42" t="str">
        <f>IF(Base!J481="","",Base!J481)</f>
        <v/>
      </c>
      <c r="E483" s="41" t="str">
        <f>IF(Base!H481="","",Base!H481)</f>
        <v/>
      </c>
    </row>
    <row r="484" spans="1:5">
      <c r="A484" s="41" t="str">
        <f>IF(Base!B482="","",Base!B482)</f>
        <v/>
      </c>
      <c r="B484" s="41" t="str">
        <f>IF(Base!F482="","",Base!F482)</f>
        <v/>
      </c>
      <c r="C484" s="41" t="str">
        <f>IF(Base!I482="","",Base!I482)</f>
        <v/>
      </c>
      <c r="D484" s="42" t="str">
        <f>IF(Base!J482="","",Base!J482)</f>
        <v/>
      </c>
      <c r="E484" s="41" t="str">
        <f>IF(Base!H482="","",Base!H482)</f>
        <v/>
      </c>
    </row>
    <row r="485" spans="1:5">
      <c r="A485" s="41" t="str">
        <f>IF(Base!B483="","",Base!B483)</f>
        <v/>
      </c>
      <c r="B485" s="41" t="str">
        <f>IF(Base!F483="","",Base!F483)</f>
        <v/>
      </c>
      <c r="C485" s="41" t="str">
        <f>IF(Base!I483="","",Base!I483)</f>
        <v/>
      </c>
      <c r="D485" s="42" t="str">
        <f>IF(Base!J483="","",Base!J483)</f>
        <v/>
      </c>
      <c r="E485" s="41" t="str">
        <f>IF(Base!H483="","",Base!H483)</f>
        <v/>
      </c>
    </row>
    <row r="486" spans="1:5">
      <c r="A486" s="41" t="str">
        <f>IF(Base!B484="","",Base!B484)</f>
        <v/>
      </c>
      <c r="B486" s="41" t="str">
        <f>IF(Base!F484="","",Base!F484)</f>
        <v/>
      </c>
      <c r="C486" s="41" t="str">
        <f>IF(Base!I484="","",Base!I484)</f>
        <v/>
      </c>
      <c r="D486" s="42" t="str">
        <f>IF(Base!J484="","",Base!J484)</f>
        <v/>
      </c>
      <c r="E486" s="41" t="str">
        <f>IF(Base!H484="","",Base!H484)</f>
        <v/>
      </c>
    </row>
    <row r="487" spans="1:5">
      <c r="A487" s="41" t="str">
        <f>IF(Base!B485="","",Base!B485)</f>
        <v/>
      </c>
      <c r="B487" s="41" t="str">
        <f>IF(Base!F485="","",Base!F485)</f>
        <v/>
      </c>
      <c r="C487" s="41" t="str">
        <f>IF(Base!I485="","",Base!I485)</f>
        <v/>
      </c>
      <c r="D487" s="42" t="str">
        <f>IF(Base!J485="","",Base!J485)</f>
        <v/>
      </c>
      <c r="E487" s="41" t="str">
        <f>IF(Base!H485="","",Base!H485)</f>
        <v/>
      </c>
    </row>
    <row r="488" spans="1:5">
      <c r="A488" s="41" t="str">
        <f>IF(Base!B486="","",Base!B486)</f>
        <v/>
      </c>
      <c r="B488" s="41" t="str">
        <f>IF(Base!F486="","",Base!F486)</f>
        <v/>
      </c>
      <c r="C488" s="41" t="str">
        <f>IF(Base!I486="","",Base!I486)</f>
        <v/>
      </c>
      <c r="D488" s="42" t="str">
        <f>IF(Base!J486="","",Base!J486)</f>
        <v/>
      </c>
      <c r="E488" s="41" t="str">
        <f>IF(Base!H486="","",Base!H486)</f>
        <v/>
      </c>
    </row>
    <row r="489" spans="1:5">
      <c r="A489" s="41" t="str">
        <f>IF(Base!B487="","",Base!B487)</f>
        <v/>
      </c>
      <c r="B489" s="41" t="str">
        <f>IF(Base!F487="","",Base!F487)</f>
        <v/>
      </c>
      <c r="C489" s="41" t="str">
        <f>IF(Base!I487="","",Base!I487)</f>
        <v/>
      </c>
      <c r="D489" s="42" t="str">
        <f>IF(Base!J487="","",Base!J487)</f>
        <v/>
      </c>
      <c r="E489" s="41" t="str">
        <f>IF(Base!H487="","",Base!H487)</f>
        <v/>
      </c>
    </row>
    <row r="490" spans="1:5">
      <c r="A490" s="41" t="str">
        <f>IF(Base!B488="","",Base!B488)</f>
        <v/>
      </c>
      <c r="B490" s="41" t="str">
        <f>IF(Base!F488="","",Base!F488)</f>
        <v/>
      </c>
      <c r="C490" s="41" t="str">
        <f>IF(Base!I488="","",Base!I488)</f>
        <v/>
      </c>
      <c r="D490" s="42" t="str">
        <f>IF(Base!J488="","",Base!J488)</f>
        <v/>
      </c>
      <c r="E490" s="41" t="str">
        <f>IF(Base!H488="","",Base!H488)</f>
        <v/>
      </c>
    </row>
    <row r="491" spans="1:5">
      <c r="A491" s="41" t="str">
        <f>IF(Base!B489="","",Base!B489)</f>
        <v/>
      </c>
      <c r="B491" s="41" t="str">
        <f>IF(Base!F489="","",Base!F489)</f>
        <v/>
      </c>
      <c r="C491" s="41" t="str">
        <f>IF(Base!I489="","",Base!I489)</f>
        <v/>
      </c>
      <c r="D491" s="42" t="str">
        <f>IF(Base!J489="","",Base!J489)</f>
        <v/>
      </c>
      <c r="E491" s="41" t="str">
        <f>IF(Base!H489="","",Base!H489)</f>
        <v/>
      </c>
    </row>
    <row r="492" spans="1:5">
      <c r="A492" s="41" t="str">
        <f>IF(Base!B490="","",Base!B490)</f>
        <v/>
      </c>
      <c r="B492" s="41" t="str">
        <f>IF(Base!F490="","",Base!F490)</f>
        <v/>
      </c>
      <c r="C492" s="41" t="str">
        <f>IF(Base!I490="","",Base!I490)</f>
        <v/>
      </c>
      <c r="D492" s="42" t="str">
        <f>IF(Base!J490="","",Base!J490)</f>
        <v/>
      </c>
      <c r="E492" s="41" t="str">
        <f>IF(Base!H490="","",Base!H490)</f>
        <v/>
      </c>
    </row>
    <row r="493" spans="1:5">
      <c r="A493" s="41" t="str">
        <f>IF(Base!B491="","",Base!B491)</f>
        <v/>
      </c>
      <c r="B493" s="41" t="str">
        <f>IF(Base!F491="","",Base!F491)</f>
        <v/>
      </c>
      <c r="C493" s="41" t="str">
        <f>IF(Base!I491="","",Base!I491)</f>
        <v/>
      </c>
      <c r="D493" s="42" t="str">
        <f>IF(Base!J491="","",Base!J491)</f>
        <v/>
      </c>
      <c r="E493" s="41" t="str">
        <f>IF(Base!H491="","",Base!H491)</f>
        <v/>
      </c>
    </row>
    <row r="494" spans="1:5">
      <c r="A494" s="41" t="str">
        <f>IF(Base!B492="","",Base!B492)</f>
        <v/>
      </c>
      <c r="B494" s="41" t="str">
        <f>IF(Base!F492="","",Base!F492)</f>
        <v/>
      </c>
      <c r="C494" s="41" t="str">
        <f>IF(Base!I492="","",Base!I492)</f>
        <v/>
      </c>
      <c r="D494" s="42" t="str">
        <f>IF(Base!J492="","",Base!J492)</f>
        <v/>
      </c>
      <c r="E494" s="41" t="str">
        <f>IF(Base!H492="","",Base!H492)</f>
        <v/>
      </c>
    </row>
    <row r="495" spans="1:5">
      <c r="A495" s="41" t="str">
        <f>IF(Base!B493="","",Base!B493)</f>
        <v/>
      </c>
      <c r="B495" s="41" t="str">
        <f>IF(Base!F493="","",Base!F493)</f>
        <v/>
      </c>
      <c r="C495" s="41" t="str">
        <f>IF(Base!I493="","",Base!I493)</f>
        <v/>
      </c>
      <c r="D495" s="42" t="str">
        <f>IF(Base!J493="","",Base!J493)</f>
        <v/>
      </c>
      <c r="E495" s="41" t="str">
        <f>IF(Base!H493="","",Base!H493)</f>
        <v/>
      </c>
    </row>
    <row r="496" spans="1:5">
      <c r="A496" s="41" t="str">
        <f>IF(Base!B494="","",Base!B494)</f>
        <v/>
      </c>
      <c r="B496" s="41" t="str">
        <f>IF(Base!F494="","",Base!F494)</f>
        <v/>
      </c>
      <c r="C496" s="41" t="str">
        <f>IF(Base!I494="","",Base!I494)</f>
        <v/>
      </c>
      <c r="D496" s="42" t="str">
        <f>IF(Base!J494="","",Base!J494)</f>
        <v/>
      </c>
      <c r="E496" s="41" t="str">
        <f>IF(Base!H494="","",Base!H494)</f>
        <v/>
      </c>
    </row>
    <row r="497" spans="1:5">
      <c r="A497" s="41" t="str">
        <f>IF(Base!B495="","",Base!B495)</f>
        <v/>
      </c>
      <c r="B497" s="41" t="str">
        <f>IF(Base!F495="","",Base!F495)</f>
        <v/>
      </c>
      <c r="C497" s="41" t="str">
        <f>IF(Base!I495="","",Base!I495)</f>
        <v/>
      </c>
      <c r="D497" s="42" t="str">
        <f>IF(Base!J495="","",Base!J495)</f>
        <v/>
      </c>
      <c r="E497" s="41" t="str">
        <f>IF(Base!H495="","",Base!H495)</f>
        <v/>
      </c>
    </row>
    <row r="498" spans="1:5">
      <c r="A498" s="41" t="str">
        <f>IF(Base!B496="","",Base!B496)</f>
        <v/>
      </c>
      <c r="B498" s="41" t="str">
        <f>IF(Base!F496="","",Base!F496)</f>
        <v/>
      </c>
      <c r="C498" s="41" t="str">
        <f>IF(Base!I496="","",Base!I496)</f>
        <v/>
      </c>
      <c r="D498" s="42" t="str">
        <f>IF(Base!J496="","",Base!J496)</f>
        <v/>
      </c>
      <c r="E498" s="41" t="str">
        <f>IF(Base!H496="","",Base!H496)</f>
        <v/>
      </c>
    </row>
    <row r="499" spans="1:5">
      <c r="A499" s="41" t="str">
        <f>IF(Base!B497="","",Base!B497)</f>
        <v/>
      </c>
      <c r="B499" s="41" t="str">
        <f>IF(Base!F497="","",Base!F497)</f>
        <v/>
      </c>
      <c r="C499" s="41" t="str">
        <f>IF(Base!I497="","",Base!I497)</f>
        <v/>
      </c>
      <c r="D499" s="42" t="str">
        <f>IF(Base!J497="","",Base!J497)</f>
        <v/>
      </c>
      <c r="E499" s="41" t="str">
        <f>IF(Base!H497="","",Base!H497)</f>
        <v/>
      </c>
    </row>
    <row r="500" spans="1:5">
      <c r="A500" s="41" t="str">
        <f>IF(Base!B498="","",Base!B498)</f>
        <v/>
      </c>
      <c r="B500" s="41" t="str">
        <f>IF(Base!F498="","",Base!F498)</f>
        <v/>
      </c>
      <c r="C500" s="41" t="str">
        <f>IF(Base!I498="","",Base!I498)</f>
        <v/>
      </c>
      <c r="D500" s="42" t="str">
        <f>IF(Base!J498="","",Base!J498)</f>
        <v/>
      </c>
      <c r="E500" s="41" t="str">
        <f>IF(Base!H498="","",Base!H498)</f>
        <v/>
      </c>
    </row>
    <row r="501" spans="1:5">
      <c r="A501" s="41" t="str">
        <f>IF(Base!B499="","",Base!B499)</f>
        <v/>
      </c>
      <c r="B501" s="41" t="str">
        <f>IF(Base!F499="","",Base!F499)</f>
        <v/>
      </c>
      <c r="C501" s="41" t="str">
        <f>IF(Base!I499="","",Base!I499)</f>
        <v/>
      </c>
      <c r="D501" s="42" t="str">
        <f>IF(Base!J499="","",Base!J499)</f>
        <v/>
      </c>
      <c r="E501" s="41" t="str">
        <f>IF(Base!H499="","",Base!H499)</f>
        <v/>
      </c>
    </row>
    <row r="502" spans="1:5">
      <c r="A502" s="41" t="str">
        <f>IF(Base!B500="","",Base!B500)</f>
        <v/>
      </c>
      <c r="B502" s="41" t="str">
        <f>IF(Base!F500="","",Base!F500)</f>
        <v/>
      </c>
      <c r="C502" s="41" t="str">
        <f>IF(Base!I500="","",Base!I500)</f>
        <v/>
      </c>
      <c r="D502" s="42" t="str">
        <f>IF(Base!J500="","",Base!J500)</f>
        <v/>
      </c>
      <c r="E502" s="41" t="str">
        <f>IF(Base!H500="","",Base!H500)</f>
        <v/>
      </c>
    </row>
    <row r="503" spans="1:5">
      <c r="A503" s="41" t="str">
        <f>IF(Base!B501="","",Base!B501)</f>
        <v/>
      </c>
      <c r="B503" s="41" t="str">
        <f>IF(Base!F501="","",Base!F501)</f>
        <v/>
      </c>
      <c r="C503" s="41" t="str">
        <f>IF(Base!I501="","",Base!I501)</f>
        <v/>
      </c>
      <c r="D503" s="42" t="str">
        <f>IF(Base!J501="","",Base!J501)</f>
        <v/>
      </c>
      <c r="E503" s="41" t="str">
        <f>IF(Base!H501="","",Base!H501)</f>
        <v/>
      </c>
    </row>
    <row r="504" spans="1:5">
      <c r="A504" s="41" t="str">
        <f>IF(Base!B502="","",Base!B502)</f>
        <v/>
      </c>
      <c r="B504" s="41" t="str">
        <f>IF(Base!F502="","",Base!F502)</f>
        <v/>
      </c>
      <c r="C504" s="41" t="str">
        <f>IF(Base!I502="","",Base!I502)</f>
        <v/>
      </c>
      <c r="D504" s="42" t="str">
        <f>IF(Base!J502="","",Base!J502)</f>
        <v/>
      </c>
      <c r="E504" s="41" t="str">
        <f>IF(Base!H502="","",Base!H502)</f>
        <v/>
      </c>
    </row>
    <row r="505" spans="1:5">
      <c r="A505" s="41" t="str">
        <f>IF(Base!B503="","",Base!B503)</f>
        <v/>
      </c>
      <c r="B505" s="41" t="str">
        <f>IF(Base!F503="","",Base!F503)</f>
        <v/>
      </c>
      <c r="C505" s="41" t="str">
        <f>IF(Base!I503="","",Base!I503)</f>
        <v/>
      </c>
      <c r="D505" s="42" t="str">
        <f>IF(Base!J503="","",Base!J503)</f>
        <v/>
      </c>
      <c r="E505" s="41" t="str">
        <f>IF(Base!H503="","",Base!H503)</f>
        <v/>
      </c>
    </row>
    <row r="506" spans="1:5">
      <c r="A506" s="41" t="str">
        <f>IF(Base!B504="","",Base!B504)</f>
        <v/>
      </c>
      <c r="B506" s="41" t="str">
        <f>IF(Base!F504="","",Base!F504)</f>
        <v/>
      </c>
      <c r="C506" s="41" t="str">
        <f>IF(Base!I504="","",Base!I504)</f>
        <v/>
      </c>
      <c r="D506" s="42" t="str">
        <f>IF(Base!J504="","",Base!J504)</f>
        <v/>
      </c>
      <c r="E506" s="41" t="str">
        <f>IF(Base!H504="","",Base!H504)</f>
        <v/>
      </c>
    </row>
    <row r="507" spans="1:5">
      <c r="A507" s="41" t="str">
        <f>IF(Base!B505="","",Base!B505)</f>
        <v/>
      </c>
      <c r="B507" s="41" t="str">
        <f>IF(Base!F505="","",Base!F505)</f>
        <v/>
      </c>
      <c r="C507" s="41" t="str">
        <f>IF(Base!I505="","",Base!I505)</f>
        <v/>
      </c>
      <c r="D507" s="42" t="str">
        <f>IF(Base!J505="","",Base!J505)</f>
        <v/>
      </c>
      <c r="E507" s="41" t="str">
        <f>IF(Base!H505="","",Base!H505)</f>
        <v/>
      </c>
    </row>
    <row r="508" spans="1:5">
      <c r="A508" s="41" t="str">
        <f>IF(Base!B506="","",Base!B506)</f>
        <v/>
      </c>
      <c r="B508" s="41" t="str">
        <f>IF(Base!F506="","",Base!F506)</f>
        <v/>
      </c>
      <c r="C508" s="41" t="str">
        <f>IF(Base!I506="","",Base!I506)</f>
        <v/>
      </c>
      <c r="D508" s="42" t="str">
        <f>IF(Base!J506="","",Base!J506)</f>
        <v/>
      </c>
      <c r="E508" s="41" t="str">
        <f>IF(Base!H506="","",Base!H506)</f>
        <v/>
      </c>
    </row>
    <row r="509" spans="1:5">
      <c r="A509" s="41" t="str">
        <f>IF(Base!B507="","",Base!B507)</f>
        <v/>
      </c>
      <c r="B509" s="41" t="str">
        <f>IF(Base!F507="","",Base!F507)</f>
        <v/>
      </c>
      <c r="C509" s="41" t="str">
        <f>IF(Base!I507="","",Base!I507)</f>
        <v/>
      </c>
      <c r="D509" s="42" t="str">
        <f>IF(Base!J507="","",Base!J507)</f>
        <v/>
      </c>
      <c r="E509" s="41" t="str">
        <f>IF(Base!H507="","",Base!H507)</f>
        <v/>
      </c>
    </row>
    <row r="510" spans="1:5">
      <c r="A510" s="41" t="str">
        <f>IF(Base!B508="","",Base!B508)</f>
        <v/>
      </c>
      <c r="B510" s="41" t="str">
        <f>IF(Base!F508="","",Base!F508)</f>
        <v/>
      </c>
      <c r="C510" s="41" t="str">
        <f>IF(Base!I508="","",Base!I508)</f>
        <v/>
      </c>
      <c r="D510" s="42" t="str">
        <f>IF(Base!J508="","",Base!J508)</f>
        <v/>
      </c>
      <c r="E510" s="41" t="str">
        <f>IF(Base!H508="","",Base!H508)</f>
        <v/>
      </c>
    </row>
    <row r="511" spans="1:5">
      <c r="A511" s="41" t="str">
        <f>IF(Base!B509="","",Base!B509)</f>
        <v/>
      </c>
      <c r="B511" s="41" t="str">
        <f>IF(Base!F509="","",Base!F509)</f>
        <v/>
      </c>
      <c r="C511" s="41" t="str">
        <f>IF(Base!I509="","",Base!I509)</f>
        <v/>
      </c>
      <c r="D511" s="42" t="str">
        <f>IF(Base!J509="","",Base!J509)</f>
        <v/>
      </c>
      <c r="E511" s="41" t="str">
        <f>IF(Base!H509="","",Base!H509)</f>
        <v/>
      </c>
    </row>
    <row r="512" spans="1:5">
      <c r="A512" s="41" t="str">
        <f>IF(Base!B510="","",Base!B510)</f>
        <v/>
      </c>
      <c r="B512" s="41" t="str">
        <f>IF(Base!F510="","",Base!F510)</f>
        <v/>
      </c>
      <c r="C512" s="41" t="str">
        <f>IF(Base!I510="","",Base!I510)</f>
        <v/>
      </c>
      <c r="D512" s="42" t="str">
        <f>IF(Base!J510="","",Base!J510)</f>
        <v/>
      </c>
      <c r="E512" s="41" t="str">
        <f>IF(Base!H510="","",Base!H510)</f>
        <v/>
      </c>
    </row>
    <row r="513" spans="1:5">
      <c r="A513" s="41" t="str">
        <f>IF(Base!B511="","",Base!B511)</f>
        <v/>
      </c>
      <c r="B513" s="41" t="str">
        <f>IF(Base!F511="","",Base!F511)</f>
        <v/>
      </c>
      <c r="C513" s="41" t="str">
        <f>IF(Base!I511="","",Base!I511)</f>
        <v/>
      </c>
      <c r="D513" s="42" t="str">
        <f>IF(Base!J511="","",Base!J511)</f>
        <v/>
      </c>
      <c r="E513" s="41" t="str">
        <f>IF(Base!H511="","",Base!H511)</f>
        <v/>
      </c>
    </row>
    <row r="514" spans="1:5">
      <c r="A514" s="41" t="str">
        <f>IF(Base!B512="","",Base!B512)</f>
        <v/>
      </c>
      <c r="B514" s="41" t="str">
        <f>IF(Base!F512="","",Base!F512)</f>
        <v/>
      </c>
      <c r="C514" s="41" t="str">
        <f>IF(Base!I512="","",Base!I512)</f>
        <v/>
      </c>
      <c r="D514" s="42" t="str">
        <f>IF(Base!J512="","",Base!J512)</f>
        <v/>
      </c>
      <c r="E514" s="41" t="str">
        <f>IF(Base!H512="","",Base!H512)</f>
        <v/>
      </c>
    </row>
    <row r="515" spans="1:5">
      <c r="A515" s="41" t="str">
        <f>IF(Base!B513="","",Base!B513)</f>
        <v/>
      </c>
      <c r="B515" s="41" t="str">
        <f>IF(Base!F513="","",Base!F513)</f>
        <v/>
      </c>
      <c r="C515" s="41" t="str">
        <f>IF(Base!I513="","",Base!I513)</f>
        <v/>
      </c>
      <c r="D515" s="42" t="str">
        <f>IF(Base!J513="","",Base!J513)</f>
        <v/>
      </c>
      <c r="E515" s="41" t="str">
        <f>IF(Base!H513="","",Base!H513)</f>
        <v/>
      </c>
    </row>
    <row r="516" spans="1:5">
      <c r="A516" s="41" t="str">
        <f>IF(Base!B514="","",Base!B514)</f>
        <v/>
      </c>
      <c r="B516" s="41" t="str">
        <f>IF(Base!F514="","",Base!F514)</f>
        <v/>
      </c>
      <c r="C516" s="41" t="str">
        <f>IF(Base!I514="","",Base!I514)</f>
        <v/>
      </c>
      <c r="D516" s="42" t="str">
        <f>IF(Base!J514="","",Base!J514)</f>
        <v/>
      </c>
      <c r="E516" s="41" t="str">
        <f>IF(Base!H514="","",Base!H514)</f>
        <v/>
      </c>
    </row>
    <row r="517" spans="1:5">
      <c r="A517" s="41" t="str">
        <f>IF(Base!B515="","",Base!B515)</f>
        <v/>
      </c>
      <c r="B517" s="41" t="str">
        <f>IF(Base!F515="","",Base!F515)</f>
        <v/>
      </c>
      <c r="C517" s="41" t="str">
        <f>IF(Base!I515="","",Base!I515)</f>
        <v/>
      </c>
      <c r="D517" s="42" t="str">
        <f>IF(Base!J515="","",Base!J515)</f>
        <v/>
      </c>
      <c r="E517" s="41" t="str">
        <f>IF(Base!H515="","",Base!H515)</f>
        <v/>
      </c>
    </row>
    <row r="518" spans="1:5">
      <c r="A518" s="41" t="str">
        <f>IF(Base!B516="","",Base!B516)</f>
        <v/>
      </c>
      <c r="B518" s="41" t="str">
        <f>IF(Base!F516="","",Base!F516)</f>
        <v/>
      </c>
      <c r="C518" s="41" t="str">
        <f>IF(Base!I516="","",Base!I516)</f>
        <v/>
      </c>
      <c r="D518" s="42" t="str">
        <f>IF(Base!J516="","",Base!J516)</f>
        <v/>
      </c>
      <c r="E518" s="41" t="str">
        <f>IF(Base!H516="","",Base!H516)</f>
        <v/>
      </c>
    </row>
    <row r="519" spans="1:5">
      <c r="A519" s="41" t="str">
        <f>IF(Base!B517="","",Base!B517)</f>
        <v/>
      </c>
      <c r="B519" s="41" t="str">
        <f>IF(Base!F517="","",Base!F517)</f>
        <v/>
      </c>
      <c r="C519" s="41" t="str">
        <f>IF(Base!I517="","",Base!I517)</f>
        <v/>
      </c>
      <c r="D519" s="42" t="str">
        <f>IF(Base!J517="","",Base!J517)</f>
        <v/>
      </c>
      <c r="E519" s="41" t="str">
        <f>IF(Base!H517="","",Base!H517)</f>
        <v/>
      </c>
    </row>
    <row r="520" spans="1:5">
      <c r="A520" s="41" t="str">
        <f>IF(Base!B518="","",Base!B518)</f>
        <v/>
      </c>
      <c r="B520" s="41" t="str">
        <f>IF(Base!F518="","",Base!F518)</f>
        <v/>
      </c>
      <c r="C520" s="41" t="str">
        <f>IF(Base!I518="","",Base!I518)</f>
        <v/>
      </c>
      <c r="D520" s="42" t="str">
        <f>IF(Base!J518="","",Base!J518)</f>
        <v/>
      </c>
      <c r="E520" s="41" t="str">
        <f>IF(Base!H518="","",Base!H518)</f>
        <v/>
      </c>
    </row>
    <row r="521" spans="1:5">
      <c r="A521" s="41" t="str">
        <f>IF(Base!B519="","",Base!B519)</f>
        <v/>
      </c>
      <c r="B521" s="41" t="str">
        <f>IF(Base!F519="","",Base!F519)</f>
        <v/>
      </c>
      <c r="C521" s="41" t="str">
        <f>IF(Base!I519="","",Base!I519)</f>
        <v/>
      </c>
      <c r="D521" s="42" t="str">
        <f>IF(Base!J519="","",Base!J519)</f>
        <v/>
      </c>
      <c r="E521" s="41" t="str">
        <f>IF(Base!H519="","",Base!H519)</f>
        <v/>
      </c>
    </row>
    <row r="522" spans="1:5">
      <c r="A522" s="41" t="str">
        <f>IF(Base!B520="","",Base!B520)</f>
        <v/>
      </c>
      <c r="B522" s="41" t="str">
        <f>IF(Base!F520="","",Base!F520)</f>
        <v/>
      </c>
      <c r="C522" s="41" t="str">
        <f>IF(Base!I520="","",Base!I520)</f>
        <v/>
      </c>
      <c r="D522" s="42" t="str">
        <f>IF(Base!J520="","",Base!J520)</f>
        <v/>
      </c>
      <c r="E522" s="41" t="str">
        <f>IF(Base!H520="","",Base!H520)</f>
        <v/>
      </c>
    </row>
    <row r="523" spans="1:5">
      <c r="A523" s="41" t="str">
        <f>IF(Base!B521="","",Base!B521)</f>
        <v/>
      </c>
      <c r="B523" s="41" t="str">
        <f>IF(Base!F521="","",Base!F521)</f>
        <v/>
      </c>
      <c r="C523" s="41" t="str">
        <f>IF(Base!I521="","",Base!I521)</f>
        <v/>
      </c>
      <c r="D523" s="42" t="str">
        <f>IF(Base!J521="","",Base!J521)</f>
        <v/>
      </c>
      <c r="E523" s="41" t="str">
        <f>IF(Base!H521="","",Base!H521)</f>
        <v/>
      </c>
    </row>
    <row r="524" spans="1:5">
      <c r="A524" s="41" t="str">
        <f>IF(Base!B522="","",Base!B522)</f>
        <v/>
      </c>
      <c r="B524" s="41" t="str">
        <f>IF(Base!F522="","",Base!F522)</f>
        <v/>
      </c>
      <c r="C524" s="41" t="str">
        <f>IF(Base!I522="","",Base!I522)</f>
        <v/>
      </c>
      <c r="D524" s="42" t="str">
        <f>IF(Base!J522="","",Base!J522)</f>
        <v/>
      </c>
      <c r="E524" s="41" t="str">
        <f>IF(Base!H522="","",Base!H522)</f>
        <v/>
      </c>
    </row>
    <row r="525" spans="1:5">
      <c r="A525" s="41" t="str">
        <f>IF(Base!B523="","",Base!B523)</f>
        <v/>
      </c>
      <c r="B525" s="41" t="str">
        <f>IF(Base!F523="","",Base!F523)</f>
        <v/>
      </c>
      <c r="C525" s="41" t="str">
        <f>IF(Base!I523="","",Base!I523)</f>
        <v/>
      </c>
      <c r="D525" s="42" t="str">
        <f>IF(Base!J523="","",Base!J523)</f>
        <v/>
      </c>
      <c r="E525" s="41" t="str">
        <f>IF(Base!H523="","",Base!H523)</f>
        <v/>
      </c>
    </row>
    <row r="526" spans="1:5">
      <c r="A526" s="41" t="str">
        <f>IF(Base!B524="","",Base!B524)</f>
        <v/>
      </c>
      <c r="B526" s="41" t="str">
        <f>IF(Base!F524="","",Base!F524)</f>
        <v/>
      </c>
      <c r="C526" s="41" t="str">
        <f>IF(Base!I524="","",Base!I524)</f>
        <v/>
      </c>
      <c r="D526" s="42" t="str">
        <f>IF(Base!J524="","",Base!J524)</f>
        <v/>
      </c>
      <c r="E526" s="41" t="str">
        <f>IF(Base!H524="","",Base!H524)</f>
        <v/>
      </c>
    </row>
    <row r="527" spans="1:5">
      <c r="A527" s="41" t="str">
        <f>IF(Base!B525="","",Base!B525)</f>
        <v/>
      </c>
      <c r="B527" s="41" t="str">
        <f>IF(Base!F525="","",Base!F525)</f>
        <v/>
      </c>
      <c r="C527" s="41" t="str">
        <f>IF(Base!I525="","",Base!I525)</f>
        <v/>
      </c>
      <c r="D527" s="42" t="str">
        <f>IF(Base!J525="","",Base!J525)</f>
        <v/>
      </c>
      <c r="E527" s="41" t="str">
        <f>IF(Base!H525="","",Base!H525)</f>
        <v/>
      </c>
    </row>
    <row r="528" spans="1:5">
      <c r="A528" s="41" t="str">
        <f>IF(Base!B526="","",Base!B526)</f>
        <v/>
      </c>
      <c r="B528" s="41" t="str">
        <f>IF(Base!F526="","",Base!F526)</f>
        <v/>
      </c>
      <c r="C528" s="41" t="str">
        <f>IF(Base!I526="","",Base!I526)</f>
        <v/>
      </c>
      <c r="D528" s="42" t="str">
        <f>IF(Base!J526="","",Base!J526)</f>
        <v/>
      </c>
      <c r="E528" s="41" t="str">
        <f>IF(Base!H526="","",Base!H526)</f>
        <v/>
      </c>
    </row>
    <row r="529" spans="1:5">
      <c r="A529" s="41" t="str">
        <f>IF(Base!B527="","",Base!B527)</f>
        <v/>
      </c>
      <c r="B529" s="41" t="str">
        <f>IF(Base!F527="","",Base!F527)</f>
        <v/>
      </c>
      <c r="C529" s="41" t="str">
        <f>IF(Base!I527="","",Base!I527)</f>
        <v/>
      </c>
      <c r="D529" s="42" t="str">
        <f>IF(Base!J527="","",Base!J527)</f>
        <v/>
      </c>
      <c r="E529" s="41" t="str">
        <f>IF(Base!H527="","",Base!H527)</f>
        <v/>
      </c>
    </row>
    <row r="530" spans="1:5">
      <c r="A530" s="41" t="str">
        <f>IF(Base!B528="","",Base!B528)</f>
        <v/>
      </c>
      <c r="B530" s="41" t="str">
        <f>IF(Base!F528="","",Base!F528)</f>
        <v/>
      </c>
      <c r="C530" s="41" t="str">
        <f>IF(Base!I528="","",Base!I528)</f>
        <v/>
      </c>
      <c r="D530" s="42" t="str">
        <f>IF(Base!J528="","",Base!J528)</f>
        <v/>
      </c>
      <c r="E530" s="41" t="str">
        <f>IF(Base!H528="","",Base!H528)</f>
        <v/>
      </c>
    </row>
    <row r="531" spans="1:5">
      <c r="A531" s="41" t="str">
        <f>IF(Base!B529="","",Base!B529)</f>
        <v/>
      </c>
      <c r="B531" s="41" t="str">
        <f>IF(Base!F529="","",Base!F529)</f>
        <v/>
      </c>
      <c r="C531" s="41" t="str">
        <f>IF(Base!I529="","",Base!I529)</f>
        <v/>
      </c>
      <c r="D531" s="42" t="str">
        <f>IF(Base!J529="","",Base!J529)</f>
        <v/>
      </c>
      <c r="E531" s="41" t="str">
        <f>IF(Base!H529="","",Base!H529)</f>
        <v/>
      </c>
    </row>
    <row r="532" spans="1:5">
      <c r="A532" s="41" t="str">
        <f>IF(Base!B530="","",Base!B530)</f>
        <v/>
      </c>
      <c r="B532" s="41" t="str">
        <f>IF(Base!F530="","",Base!F530)</f>
        <v/>
      </c>
      <c r="C532" s="41" t="str">
        <f>IF(Base!I530="","",Base!I530)</f>
        <v/>
      </c>
      <c r="D532" s="42" t="str">
        <f>IF(Base!J530="","",Base!J530)</f>
        <v/>
      </c>
      <c r="E532" s="41" t="str">
        <f>IF(Base!H530="","",Base!H530)</f>
        <v/>
      </c>
    </row>
    <row r="533" spans="1:5">
      <c r="A533" s="41" t="str">
        <f>IF(Base!B531="","",Base!B531)</f>
        <v/>
      </c>
      <c r="B533" s="41" t="str">
        <f>IF(Base!F531="","",Base!F531)</f>
        <v/>
      </c>
      <c r="C533" s="41" t="str">
        <f>IF(Base!I531="","",Base!I531)</f>
        <v/>
      </c>
      <c r="D533" s="42" t="str">
        <f>IF(Base!J531="","",Base!J531)</f>
        <v/>
      </c>
      <c r="E533" s="41" t="str">
        <f>IF(Base!H531="","",Base!H531)</f>
        <v/>
      </c>
    </row>
    <row r="534" spans="1:5">
      <c r="A534" s="41" t="str">
        <f>IF(Base!B532="","",Base!B532)</f>
        <v/>
      </c>
      <c r="B534" s="41" t="str">
        <f>IF(Base!F532="","",Base!F532)</f>
        <v/>
      </c>
      <c r="C534" s="41" t="str">
        <f>IF(Base!I532="","",Base!I532)</f>
        <v/>
      </c>
      <c r="D534" s="42" t="str">
        <f>IF(Base!J532="","",Base!J532)</f>
        <v/>
      </c>
      <c r="E534" s="41" t="str">
        <f>IF(Base!H532="","",Base!H532)</f>
        <v/>
      </c>
    </row>
    <row r="535" spans="1:5">
      <c r="A535" s="41" t="str">
        <f>IF(Base!B533="","",Base!B533)</f>
        <v/>
      </c>
      <c r="B535" s="41" t="str">
        <f>IF(Base!F533="","",Base!F533)</f>
        <v/>
      </c>
      <c r="C535" s="41" t="str">
        <f>IF(Base!I533="","",Base!I533)</f>
        <v/>
      </c>
      <c r="D535" s="42" t="str">
        <f>IF(Base!J533="","",Base!J533)</f>
        <v/>
      </c>
      <c r="E535" s="41" t="str">
        <f>IF(Base!H533="","",Base!H533)</f>
        <v/>
      </c>
    </row>
    <row r="536" spans="1:5">
      <c r="A536" s="41" t="str">
        <f>IF(Base!B534="","",Base!B534)</f>
        <v/>
      </c>
      <c r="B536" s="41" t="str">
        <f>IF(Base!F534="","",Base!F534)</f>
        <v/>
      </c>
      <c r="C536" s="41" t="str">
        <f>IF(Base!I534="","",Base!I534)</f>
        <v/>
      </c>
      <c r="D536" s="42" t="str">
        <f>IF(Base!J534="","",Base!J534)</f>
        <v/>
      </c>
      <c r="E536" s="41" t="str">
        <f>IF(Base!H534="","",Base!H534)</f>
        <v/>
      </c>
    </row>
    <row r="537" spans="1:5">
      <c r="A537" s="41" t="str">
        <f>IF(Base!B535="","",Base!B535)</f>
        <v/>
      </c>
      <c r="B537" s="41" t="str">
        <f>IF(Base!F535="","",Base!F535)</f>
        <v/>
      </c>
      <c r="C537" s="41" t="str">
        <f>IF(Base!I535="","",Base!I535)</f>
        <v/>
      </c>
      <c r="D537" s="42" t="str">
        <f>IF(Base!J535="","",Base!J535)</f>
        <v/>
      </c>
      <c r="E537" s="41" t="str">
        <f>IF(Base!H535="","",Base!H535)</f>
        <v/>
      </c>
    </row>
    <row r="538" spans="1:5">
      <c r="A538" s="41" t="str">
        <f>IF(Base!B536="","",Base!B536)</f>
        <v/>
      </c>
      <c r="B538" s="41" t="str">
        <f>IF(Base!F536="","",Base!F536)</f>
        <v/>
      </c>
      <c r="C538" s="41" t="str">
        <f>IF(Base!I536="","",Base!I536)</f>
        <v/>
      </c>
      <c r="D538" s="42" t="str">
        <f>IF(Base!J536="","",Base!J536)</f>
        <v/>
      </c>
      <c r="E538" s="41" t="str">
        <f>IF(Base!H536="","",Base!H536)</f>
        <v/>
      </c>
    </row>
    <row r="539" spans="1:5">
      <c r="A539" s="41" t="str">
        <f>IF(Base!B537="","",Base!B537)</f>
        <v/>
      </c>
      <c r="B539" s="41" t="str">
        <f>IF(Base!F537="","",Base!F537)</f>
        <v/>
      </c>
      <c r="C539" s="41" t="str">
        <f>IF(Base!I537="","",Base!I537)</f>
        <v/>
      </c>
      <c r="D539" s="42" t="str">
        <f>IF(Base!J537="","",Base!J537)</f>
        <v/>
      </c>
      <c r="E539" s="41" t="str">
        <f>IF(Base!H537="","",Base!H537)</f>
        <v/>
      </c>
    </row>
    <row r="540" spans="1:5">
      <c r="A540" s="41" t="str">
        <f>IF(Base!B538="","",Base!B538)</f>
        <v/>
      </c>
      <c r="B540" s="41" t="str">
        <f>IF(Base!F538="","",Base!F538)</f>
        <v/>
      </c>
      <c r="C540" s="41" t="str">
        <f>IF(Base!I538="","",Base!I538)</f>
        <v/>
      </c>
      <c r="D540" s="42" t="str">
        <f>IF(Base!J538="","",Base!J538)</f>
        <v/>
      </c>
      <c r="E540" s="41" t="str">
        <f>IF(Base!H538="","",Base!H538)</f>
        <v/>
      </c>
    </row>
    <row r="541" spans="1:5">
      <c r="A541" s="41" t="str">
        <f>IF(Base!B539="","",Base!B539)</f>
        <v/>
      </c>
      <c r="B541" s="41" t="str">
        <f>IF(Base!F539="","",Base!F539)</f>
        <v/>
      </c>
      <c r="C541" s="41" t="str">
        <f>IF(Base!I539="","",Base!I539)</f>
        <v/>
      </c>
      <c r="D541" s="42" t="str">
        <f>IF(Base!J539="","",Base!J539)</f>
        <v/>
      </c>
      <c r="E541" s="41" t="str">
        <f>IF(Base!H539="","",Base!H539)</f>
        <v/>
      </c>
    </row>
    <row r="542" spans="1:5">
      <c r="A542" s="41" t="str">
        <f>IF(Base!B540="","",Base!B540)</f>
        <v/>
      </c>
      <c r="B542" s="41" t="str">
        <f>IF(Base!F540="","",Base!F540)</f>
        <v/>
      </c>
      <c r="C542" s="41" t="str">
        <f>IF(Base!I540="","",Base!I540)</f>
        <v/>
      </c>
      <c r="D542" s="42" t="str">
        <f>IF(Base!J540="","",Base!J540)</f>
        <v/>
      </c>
      <c r="E542" s="41" t="str">
        <f>IF(Base!H540="","",Base!H540)</f>
        <v/>
      </c>
    </row>
    <row r="543" spans="1:5">
      <c r="A543" s="41" t="str">
        <f>IF(Base!B541="","",Base!B541)</f>
        <v/>
      </c>
      <c r="B543" s="41" t="str">
        <f>IF(Base!F541="","",Base!F541)</f>
        <v/>
      </c>
      <c r="C543" s="41" t="str">
        <f>IF(Base!I541="","",Base!I541)</f>
        <v/>
      </c>
      <c r="D543" s="42" t="str">
        <f>IF(Base!J541="","",Base!J541)</f>
        <v/>
      </c>
      <c r="E543" s="41" t="str">
        <f>IF(Base!H541="","",Base!H541)</f>
        <v/>
      </c>
    </row>
    <row r="544" spans="1:5">
      <c r="A544" s="41" t="str">
        <f>IF(Base!B542="","",Base!B542)</f>
        <v/>
      </c>
      <c r="B544" s="41" t="str">
        <f>IF(Base!F542="","",Base!F542)</f>
        <v/>
      </c>
      <c r="C544" s="41" t="str">
        <f>IF(Base!I542="","",Base!I542)</f>
        <v/>
      </c>
      <c r="D544" s="42" t="str">
        <f>IF(Base!J542="","",Base!J542)</f>
        <v/>
      </c>
      <c r="E544" s="41" t="str">
        <f>IF(Base!H542="","",Base!H542)</f>
        <v/>
      </c>
    </row>
    <row r="545" spans="1:5">
      <c r="A545" s="41" t="str">
        <f>IF(Base!B543="","",Base!B543)</f>
        <v/>
      </c>
      <c r="B545" s="41" t="str">
        <f>IF(Base!F543="","",Base!F543)</f>
        <v/>
      </c>
      <c r="C545" s="41" t="str">
        <f>IF(Base!I543="","",Base!I543)</f>
        <v/>
      </c>
      <c r="D545" s="42" t="str">
        <f>IF(Base!J543="","",Base!J543)</f>
        <v/>
      </c>
      <c r="E545" s="41" t="str">
        <f>IF(Base!H543="","",Base!H543)</f>
        <v/>
      </c>
    </row>
    <row r="546" spans="1:5">
      <c r="A546" s="41" t="str">
        <f>IF(Base!B544="","",Base!B544)</f>
        <v/>
      </c>
      <c r="B546" s="41" t="str">
        <f>IF(Base!F544="","",Base!F544)</f>
        <v/>
      </c>
      <c r="C546" s="41" t="str">
        <f>IF(Base!I544="","",Base!I544)</f>
        <v/>
      </c>
      <c r="D546" s="42" t="str">
        <f>IF(Base!J544="","",Base!J544)</f>
        <v/>
      </c>
      <c r="E546" s="41" t="str">
        <f>IF(Base!H544="","",Base!H544)</f>
        <v/>
      </c>
    </row>
    <row r="547" spans="1:5">
      <c r="A547" s="41" t="str">
        <f>IF(Base!B545="","",Base!B545)</f>
        <v/>
      </c>
      <c r="B547" s="41" t="str">
        <f>IF(Base!F545="","",Base!F545)</f>
        <v/>
      </c>
      <c r="C547" s="41" t="str">
        <f>IF(Base!I545="","",Base!I545)</f>
        <v/>
      </c>
      <c r="D547" s="42" t="str">
        <f>IF(Base!J545="","",Base!J545)</f>
        <v/>
      </c>
      <c r="E547" s="41" t="str">
        <f>IF(Base!H545="","",Base!H545)</f>
        <v/>
      </c>
    </row>
    <row r="548" spans="1:5">
      <c r="A548" s="41" t="str">
        <f>IF(Base!B546="","",Base!B546)</f>
        <v/>
      </c>
      <c r="B548" s="41" t="str">
        <f>IF(Base!F546="","",Base!F546)</f>
        <v/>
      </c>
      <c r="C548" s="41" t="str">
        <f>IF(Base!I546="","",Base!I546)</f>
        <v/>
      </c>
      <c r="D548" s="42" t="str">
        <f>IF(Base!J546="","",Base!J546)</f>
        <v/>
      </c>
      <c r="E548" s="41" t="str">
        <f>IF(Base!H546="","",Base!H546)</f>
        <v/>
      </c>
    </row>
    <row r="549" spans="1:5">
      <c r="A549" s="41" t="str">
        <f>IF(Base!B547="","",Base!B547)</f>
        <v/>
      </c>
      <c r="B549" s="41" t="str">
        <f>IF(Base!F547="","",Base!F547)</f>
        <v/>
      </c>
      <c r="C549" s="41" t="str">
        <f>IF(Base!I547="","",Base!I547)</f>
        <v/>
      </c>
      <c r="D549" s="42" t="str">
        <f>IF(Base!J547="","",Base!J547)</f>
        <v/>
      </c>
      <c r="E549" s="41" t="str">
        <f>IF(Base!H547="","",Base!H547)</f>
        <v/>
      </c>
    </row>
    <row r="550" spans="1:5">
      <c r="A550" s="41" t="str">
        <f>IF(Base!B548="","",Base!B548)</f>
        <v/>
      </c>
      <c r="B550" s="41" t="str">
        <f>IF(Base!F548="","",Base!F548)</f>
        <v/>
      </c>
      <c r="C550" s="41" t="str">
        <f>IF(Base!I548="","",Base!I548)</f>
        <v/>
      </c>
      <c r="D550" s="42" t="str">
        <f>IF(Base!J548="","",Base!J548)</f>
        <v/>
      </c>
      <c r="E550" s="41" t="str">
        <f>IF(Base!H548="","",Base!H548)</f>
        <v/>
      </c>
    </row>
    <row r="551" spans="1:5">
      <c r="A551" s="41" t="str">
        <f>IF(Base!B549="","",Base!B549)</f>
        <v/>
      </c>
      <c r="B551" s="41" t="str">
        <f>IF(Base!F549="","",Base!F549)</f>
        <v/>
      </c>
      <c r="C551" s="41" t="str">
        <f>IF(Base!I549="","",Base!I549)</f>
        <v/>
      </c>
      <c r="D551" s="42" t="str">
        <f>IF(Base!J549="","",Base!J549)</f>
        <v/>
      </c>
      <c r="E551" s="41" t="str">
        <f>IF(Base!H549="","",Base!H549)</f>
        <v/>
      </c>
    </row>
    <row r="552" spans="1:5">
      <c r="A552" s="41" t="str">
        <f>IF(Base!B550="","",Base!B550)</f>
        <v/>
      </c>
      <c r="B552" s="41" t="str">
        <f>IF(Base!F550="","",Base!F550)</f>
        <v/>
      </c>
      <c r="C552" s="41" t="str">
        <f>IF(Base!I550="","",Base!I550)</f>
        <v/>
      </c>
      <c r="D552" s="42" t="str">
        <f>IF(Base!J550="","",Base!J550)</f>
        <v/>
      </c>
      <c r="E552" s="41" t="str">
        <f>IF(Base!H550="","",Base!H550)</f>
        <v/>
      </c>
    </row>
    <row r="553" spans="1:5">
      <c r="A553" s="41" t="str">
        <f>IF(Base!B551="","",Base!B551)</f>
        <v/>
      </c>
      <c r="B553" s="41" t="str">
        <f>IF(Base!F551="","",Base!F551)</f>
        <v/>
      </c>
      <c r="C553" s="41" t="str">
        <f>IF(Base!I551="","",Base!I551)</f>
        <v/>
      </c>
      <c r="D553" s="42" t="str">
        <f>IF(Base!J551="","",Base!J551)</f>
        <v/>
      </c>
      <c r="E553" s="41" t="str">
        <f>IF(Base!H551="","",Base!H551)</f>
        <v/>
      </c>
    </row>
    <row r="554" spans="1:5">
      <c r="A554" s="41" t="str">
        <f>IF(Base!B552="","",Base!B552)</f>
        <v/>
      </c>
      <c r="B554" s="41" t="str">
        <f>IF(Base!F552="","",Base!F552)</f>
        <v/>
      </c>
      <c r="C554" s="41" t="str">
        <f>IF(Base!I552="","",Base!I552)</f>
        <v/>
      </c>
      <c r="D554" s="42" t="str">
        <f>IF(Base!J552="","",Base!J552)</f>
        <v/>
      </c>
      <c r="E554" s="41" t="str">
        <f>IF(Base!H552="","",Base!H552)</f>
        <v/>
      </c>
    </row>
    <row r="555" spans="1:5">
      <c r="A555" s="41" t="str">
        <f>IF(Base!B553="","",Base!B553)</f>
        <v/>
      </c>
      <c r="B555" s="41" t="str">
        <f>IF(Base!F553="","",Base!F553)</f>
        <v/>
      </c>
      <c r="C555" s="41" t="str">
        <f>IF(Base!I553="","",Base!I553)</f>
        <v/>
      </c>
      <c r="D555" s="42" t="str">
        <f>IF(Base!J553="","",Base!J553)</f>
        <v/>
      </c>
      <c r="E555" s="41" t="str">
        <f>IF(Base!H553="","",Base!H553)</f>
        <v/>
      </c>
    </row>
    <row r="556" spans="1:5">
      <c r="A556" s="41" t="str">
        <f>IF(Base!B554="","",Base!B554)</f>
        <v/>
      </c>
      <c r="B556" s="41" t="str">
        <f>IF(Base!F554="","",Base!F554)</f>
        <v/>
      </c>
      <c r="C556" s="41" t="str">
        <f>IF(Base!I554="","",Base!I554)</f>
        <v/>
      </c>
      <c r="D556" s="42" t="str">
        <f>IF(Base!J554="","",Base!J554)</f>
        <v/>
      </c>
      <c r="E556" s="41" t="str">
        <f>IF(Base!H554="","",Base!H554)</f>
        <v/>
      </c>
    </row>
    <row r="557" spans="1:5">
      <c r="A557" s="41" t="str">
        <f>IF(Base!B555="","",Base!B555)</f>
        <v/>
      </c>
      <c r="B557" s="41" t="str">
        <f>IF(Base!F555="","",Base!F555)</f>
        <v/>
      </c>
      <c r="C557" s="41" t="str">
        <f>IF(Base!I555="","",Base!I555)</f>
        <v/>
      </c>
      <c r="D557" s="42" t="str">
        <f>IF(Base!J555="","",Base!J555)</f>
        <v/>
      </c>
      <c r="E557" s="41" t="str">
        <f>IF(Base!H555="","",Base!H555)</f>
        <v/>
      </c>
    </row>
    <row r="558" spans="1:5">
      <c r="A558" s="41" t="str">
        <f>IF(Base!B556="","",Base!B556)</f>
        <v/>
      </c>
      <c r="B558" s="41" t="str">
        <f>IF(Base!F556="","",Base!F556)</f>
        <v/>
      </c>
      <c r="C558" s="41" t="str">
        <f>IF(Base!I556="","",Base!I556)</f>
        <v/>
      </c>
      <c r="D558" s="42" t="str">
        <f>IF(Base!J556="","",Base!J556)</f>
        <v/>
      </c>
      <c r="E558" s="41" t="str">
        <f>IF(Base!H556="","",Base!H556)</f>
        <v/>
      </c>
    </row>
    <row r="559" spans="1:5">
      <c r="A559" s="41" t="str">
        <f>IF(Base!B557="","",Base!B557)</f>
        <v/>
      </c>
      <c r="B559" s="41" t="str">
        <f>IF(Base!F557="","",Base!F557)</f>
        <v/>
      </c>
      <c r="C559" s="41" t="str">
        <f>IF(Base!I557="","",Base!I557)</f>
        <v/>
      </c>
      <c r="D559" s="42" t="str">
        <f>IF(Base!J557="","",Base!J557)</f>
        <v/>
      </c>
      <c r="E559" s="41" t="str">
        <f>IF(Base!H557="","",Base!H557)</f>
        <v/>
      </c>
    </row>
    <row r="560" spans="1:5">
      <c r="A560" s="41" t="str">
        <f>IF(Base!B558="","",Base!B558)</f>
        <v/>
      </c>
      <c r="B560" s="41" t="str">
        <f>IF(Base!F558="","",Base!F558)</f>
        <v/>
      </c>
      <c r="C560" s="41" t="str">
        <f>IF(Base!I558="","",Base!I558)</f>
        <v/>
      </c>
      <c r="D560" s="42" t="str">
        <f>IF(Base!J558="","",Base!J558)</f>
        <v/>
      </c>
      <c r="E560" s="41" t="str">
        <f>IF(Base!H558="","",Base!H558)</f>
        <v/>
      </c>
    </row>
    <row r="561" spans="1:5">
      <c r="A561" s="41" t="str">
        <f>IF(Base!B559="","",Base!B559)</f>
        <v/>
      </c>
      <c r="B561" s="41" t="str">
        <f>IF(Base!F559="","",Base!F559)</f>
        <v/>
      </c>
      <c r="C561" s="41" t="str">
        <f>IF(Base!I559="","",Base!I559)</f>
        <v/>
      </c>
      <c r="D561" s="42" t="str">
        <f>IF(Base!J559="","",Base!J559)</f>
        <v/>
      </c>
      <c r="E561" s="41" t="str">
        <f>IF(Base!H559="","",Base!H559)</f>
        <v/>
      </c>
    </row>
    <row r="562" spans="1:5">
      <c r="A562" s="41" t="str">
        <f>IF(Base!B560="","",Base!B560)</f>
        <v/>
      </c>
      <c r="B562" s="41" t="str">
        <f>IF(Base!F560="","",Base!F560)</f>
        <v/>
      </c>
      <c r="C562" s="41" t="str">
        <f>IF(Base!I560="","",Base!I560)</f>
        <v/>
      </c>
      <c r="D562" s="42" t="str">
        <f>IF(Base!J560="","",Base!J560)</f>
        <v/>
      </c>
      <c r="E562" s="41" t="str">
        <f>IF(Base!H560="","",Base!H560)</f>
        <v/>
      </c>
    </row>
    <row r="563" spans="1:5">
      <c r="A563" s="41" t="str">
        <f>IF(Base!B561="","",Base!B561)</f>
        <v/>
      </c>
      <c r="B563" s="41" t="str">
        <f>IF(Base!F561="","",Base!F561)</f>
        <v/>
      </c>
      <c r="C563" s="41" t="str">
        <f>IF(Base!I561="","",Base!I561)</f>
        <v/>
      </c>
      <c r="D563" s="42" t="str">
        <f>IF(Base!J561="","",Base!J561)</f>
        <v/>
      </c>
      <c r="E563" s="41" t="str">
        <f>IF(Base!H561="","",Base!H561)</f>
        <v/>
      </c>
    </row>
    <row r="564" spans="1:5">
      <c r="A564" s="41" t="str">
        <f>IF(Base!B562="","",Base!B562)</f>
        <v/>
      </c>
      <c r="B564" s="41" t="str">
        <f>IF(Base!F562="","",Base!F562)</f>
        <v/>
      </c>
      <c r="C564" s="41" t="str">
        <f>IF(Base!I562="","",Base!I562)</f>
        <v/>
      </c>
      <c r="D564" s="42" t="str">
        <f>IF(Base!J562="","",Base!J562)</f>
        <v/>
      </c>
      <c r="E564" s="41" t="str">
        <f>IF(Base!H562="","",Base!H562)</f>
        <v/>
      </c>
    </row>
    <row r="565" spans="1:5">
      <c r="A565" s="41" t="str">
        <f>IF(Base!B563="","",Base!B563)</f>
        <v/>
      </c>
      <c r="B565" s="41" t="str">
        <f>IF(Base!F563="","",Base!F563)</f>
        <v/>
      </c>
      <c r="C565" s="41" t="str">
        <f>IF(Base!I563="","",Base!I563)</f>
        <v/>
      </c>
      <c r="D565" s="42" t="str">
        <f>IF(Base!J563="","",Base!J563)</f>
        <v/>
      </c>
      <c r="E565" s="41" t="str">
        <f>IF(Base!H563="","",Base!H563)</f>
        <v/>
      </c>
    </row>
    <row r="566" spans="1:5">
      <c r="A566" s="41" t="str">
        <f>IF(Base!B564="","",Base!B564)</f>
        <v/>
      </c>
      <c r="B566" s="41" t="str">
        <f>IF(Base!F564="","",Base!F564)</f>
        <v/>
      </c>
      <c r="C566" s="41" t="str">
        <f>IF(Base!I564="","",Base!I564)</f>
        <v/>
      </c>
      <c r="D566" s="42" t="str">
        <f>IF(Base!J564="","",Base!J564)</f>
        <v/>
      </c>
      <c r="E566" s="41" t="str">
        <f>IF(Base!H564="","",Base!H564)</f>
        <v/>
      </c>
    </row>
    <row r="567" spans="1:5">
      <c r="A567" s="41" t="str">
        <f>IF(Base!B565="","",Base!B565)</f>
        <v/>
      </c>
      <c r="B567" s="41" t="str">
        <f>IF(Base!F565="","",Base!F565)</f>
        <v/>
      </c>
      <c r="C567" s="41" t="str">
        <f>IF(Base!I565="","",Base!I565)</f>
        <v/>
      </c>
      <c r="D567" s="42" t="str">
        <f>IF(Base!J565="","",Base!J565)</f>
        <v/>
      </c>
      <c r="E567" s="41" t="str">
        <f>IF(Base!H565="","",Base!H565)</f>
        <v/>
      </c>
    </row>
    <row r="568" spans="1:5">
      <c r="A568" s="41" t="str">
        <f>IF(Base!B566="","",Base!B566)</f>
        <v/>
      </c>
      <c r="B568" s="41" t="str">
        <f>IF(Base!F566="","",Base!F566)</f>
        <v/>
      </c>
      <c r="C568" s="41" t="str">
        <f>IF(Base!I566="","",Base!I566)</f>
        <v/>
      </c>
      <c r="D568" s="42" t="str">
        <f>IF(Base!J566="","",Base!J566)</f>
        <v/>
      </c>
      <c r="E568" s="41" t="str">
        <f>IF(Base!H566="","",Base!H566)</f>
        <v/>
      </c>
    </row>
    <row r="569" spans="1:5">
      <c r="A569" s="41" t="str">
        <f>IF(Base!B567="","",Base!B567)</f>
        <v/>
      </c>
      <c r="B569" s="41" t="str">
        <f>IF(Base!F567="","",Base!F567)</f>
        <v/>
      </c>
      <c r="C569" s="41" t="str">
        <f>IF(Base!I567="","",Base!I567)</f>
        <v/>
      </c>
      <c r="D569" s="42" t="str">
        <f>IF(Base!J567="","",Base!J567)</f>
        <v/>
      </c>
      <c r="E569" s="41" t="str">
        <f>IF(Base!H567="","",Base!H567)</f>
        <v/>
      </c>
    </row>
    <row r="570" spans="1:5">
      <c r="A570" s="41" t="str">
        <f>IF(Base!B568="","",Base!B568)</f>
        <v/>
      </c>
      <c r="B570" s="41" t="str">
        <f>IF(Base!F568="","",Base!F568)</f>
        <v/>
      </c>
      <c r="C570" s="41" t="str">
        <f>IF(Base!I568="","",Base!I568)</f>
        <v/>
      </c>
      <c r="D570" s="42" t="str">
        <f>IF(Base!J568="","",Base!J568)</f>
        <v/>
      </c>
      <c r="E570" s="41" t="str">
        <f>IF(Base!H568="","",Base!H568)</f>
        <v/>
      </c>
    </row>
    <row r="571" spans="1:5">
      <c r="A571" s="41" t="str">
        <f>IF(Base!B569="","",Base!B569)</f>
        <v/>
      </c>
      <c r="B571" s="41" t="str">
        <f>IF(Base!F569="","",Base!F569)</f>
        <v/>
      </c>
      <c r="C571" s="41" t="str">
        <f>IF(Base!I569="","",Base!I569)</f>
        <v/>
      </c>
      <c r="D571" s="42" t="str">
        <f>IF(Base!J569="","",Base!J569)</f>
        <v/>
      </c>
      <c r="E571" s="41" t="str">
        <f>IF(Base!H569="","",Base!H569)</f>
        <v/>
      </c>
    </row>
    <row r="572" spans="1:5">
      <c r="A572" s="41" t="str">
        <f>IF(Base!B570="","",Base!B570)</f>
        <v/>
      </c>
      <c r="B572" s="41" t="str">
        <f>IF(Base!F570="","",Base!F570)</f>
        <v/>
      </c>
      <c r="C572" s="41" t="str">
        <f>IF(Base!I570="","",Base!I570)</f>
        <v/>
      </c>
      <c r="D572" s="42" t="str">
        <f>IF(Base!J570="","",Base!J570)</f>
        <v/>
      </c>
      <c r="E572" s="41" t="str">
        <f>IF(Base!H570="","",Base!H570)</f>
        <v/>
      </c>
    </row>
    <row r="573" spans="1:5">
      <c r="A573" s="41" t="str">
        <f>IF(Base!B571="","",Base!B571)</f>
        <v/>
      </c>
      <c r="B573" s="41" t="str">
        <f>IF(Base!F571="","",Base!F571)</f>
        <v/>
      </c>
      <c r="C573" s="41" t="str">
        <f>IF(Base!I571="","",Base!I571)</f>
        <v/>
      </c>
      <c r="D573" s="42" t="str">
        <f>IF(Base!J571="","",Base!J571)</f>
        <v/>
      </c>
      <c r="E573" s="41" t="str">
        <f>IF(Base!H571="","",Base!H571)</f>
        <v/>
      </c>
    </row>
    <row r="574" spans="1:5">
      <c r="A574" s="41" t="str">
        <f>IF(Base!B572="","",Base!B572)</f>
        <v/>
      </c>
      <c r="B574" s="41" t="str">
        <f>IF(Base!F572="","",Base!F572)</f>
        <v/>
      </c>
      <c r="C574" s="41" t="str">
        <f>IF(Base!I572="","",Base!I572)</f>
        <v/>
      </c>
      <c r="D574" s="42" t="str">
        <f>IF(Base!J572="","",Base!J572)</f>
        <v/>
      </c>
      <c r="E574" s="41" t="str">
        <f>IF(Base!H572="","",Base!H572)</f>
        <v/>
      </c>
    </row>
    <row r="575" spans="1:5">
      <c r="A575" s="41" t="str">
        <f>IF(Base!B573="","",Base!B573)</f>
        <v/>
      </c>
      <c r="B575" s="41" t="str">
        <f>IF(Base!F573="","",Base!F573)</f>
        <v/>
      </c>
      <c r="C575" s="41" t="str">
        <f>IF(Base!I573="","",Base!I573)</f>
        <v/>
      </c>
      <c r="D575" s="42" t="str">
        <f>IF(Base!J573="","",Base!J573)</f>
        <v/>
      </c>
      <c r="E575" s="41" t="str">
        <f>IF(Base!H573="","",Base!H573)</f>
        <v/>
      </c>
    </row>
    <row r="576" spans="1:5">
      <c r="A576" s="41" t="str">
        <f>IF(Base!B574="","",Base!B574)</f>
        <v/>
      </c>
      <c r="B576" s="41" t="str">
        <f>IF(Base!F574="","",Base!F574)</f>
        <v/>
      </c>
      <c r="C576" s="41" t="str">
        <f>IF(Base!I574="","",Base!I574)</f>
        <v/>
      </c>
      <c r="D576" s="42" t="str">
        <f>IF(Base!J574="","",Base!J574)</f>
        <v/>
      </c>
      <c r="E576" s="41" t="str">
        <f>IF(Base!H574="","",Base!H574)</f>
        <v/>
      </c>
    </row>
    <row r="577" spans="1:5">
      <c r="A577" s="41" t="str">
        <f>IF(Base!B575="","",Base!B575)</f>
        <v/>
      </c>
      <c r="B577" s="41" t="str">
        <f>IF(Base!F575="","",Base!F575)</f>
        <v/>
      </c>
      <c r="C577" s="41" t="str">
        <f>IF(Base!I575="","",Base!I575)</f>
        <v/>
      </c>
      <c r="D577" s="42" t="str">
        <f>IF(Base!J575="","",Base!J575)</f>
        <v/>
      </c>
      <c r="E577" s="41" t="str">
        <f>IF(Base!H575="","",Base!H575)</f>
        <v/>
      </c>
    </row>
    <row r="578" spans="1:5">
      <c r="A578" s="41" t="str">
        <f>IF(Base!B576="","",Base!B576)</f>
        <v/>
      </c>
      <c r="B578" s="41" t="str">
        <f>IF(Base!F576="","",Base!F576)</f>
        <v/>
      </c>
      <c r="C578" s="41" t="str">
        <f>IF(Base!I576="","",Base!I576)</f>
        <v/>
      </c>
      <c r="D578" s="42" t="str">
        <f>IF(Base!J576="","",Base!J576)</f>
        <v/>
      </c>
      <c r="E578" s="41" t="str">
        <f>IF(Base!H576="","",Base!H576)</f>
        <v/>
      </c>
    </row>
    <row r="579" spans="1:5">
      <c r="A579" s="41" t="str">
        <f>IF(Base!B577="","",Base!B577)</f>
        <v/>
      </c>
      <c r="B579" s="41" t="str">
        <f>IF(Base!F577="","",Base!F577)</f>
        <v/>
      </c>
      <c r="C579" s="41" t="str">
        <f>IF(Base!I577="","",Base!I577)</f>
        <v/>
      </c>
      <c r="D579" s="42" t="str">
        <f>IF(Base!J577="","",Base!J577)</f>
        <v/>
      </c>
      <c r="E579" s="41" t="str">
        <f>IF(Base!H577="","",Base!H577)</f>
        <v/>
      </c>
    </row>
    <row r="580" spans="1:5">
      <c r="A580" s="41" t="str">
        <f>IF(Base!B578="","",Base!B578)</f>
        <v/>
      </c>
      <c r="B580" s="41" t="str">
        <f>IF(Base!F578="","",Base!F578)</f>
        <v/>
      </c>
      <c r="C580" s="41" t="str">
        <f>IF(Base!I578="","",Base!I578)</f>
        <v/>
      </c>
      <c r="D580" s="42" t="str">
        <f>IF(Base!J578="","",Base!J578)</f>
        <v/>
      </c>
      <c r="E580" s="41" t="str">
        <f>IF(Base!H578="","",Base!H578)</f>
        <v/>
      </c>
    </row>
    <row r="581" spans="1:5">
      <c r="A581" s="41" t="str">
        <f>IF(Base!B579="","",Base!B579)</f>
        <v/>
      </c>
      <c r="B581" s="41" t="str">
        <f>IF(Base!F579="","",Base!F579)</f>
        <v/>
      </c>
      <c r="C581" s="41" t="str">
        <f>IF(Base!I579="","",Base!I579)</f>
        <v/>
      </c>
      <c r="D581" s="42" t="str">
        <f>IF(Base!J579="","",Base!J579)</f>
        <v/>
      </c>
      <c r="E581" s="41" t="str">
        <f>IF(Base!H579="","",Base!H579)</f>
        <v/>
      </c>
    </row>
    <row r="582" spans="1:5">
      <c r="A582" s="41" t="str">
        <f>IF(Base!B580="","",Base!B580)</f>
        <v/>
      </c>
      <c r="B582" s="41" t="str">
        <f>IF(Base!F580="","",Base!F580)</f>
        <v/>
      </c>
      <c r="C582" s="41" t="str">
        <f>IF(Base!I580="","",Base!I580)</f>
        <v/>
      </c>
      <c r="D582" s="42" t="str">
        <f>IF(Base!J580="","",Base!J580)</f>
        <v/>
      </c>
      <c r="E582" s="41" t="str">
        <f>IF(Base!H580="","",Base!H580)</f>
        <v/>
      </c>
    </row>
    <row r="583" spans="1:5">
      <c r="A583" s="41" t="str">
        <f>IF(Base!B581="","",Base!B581)</f>
        <v/>
      </c>
      <c r="B583" s="41" t="str">
        <f>IF(Base!F581="","",Base!F581)</f>
        <v/>
      </c>
      <c r="C583" s="41" t="str">
        <f>IF(Base!I581="","",Base!I581)</f>
        <v/>
      </c>
      <c r="D583" s="42" t="str">
        <f>IF(Base!J581="","",Base!J581)</f>
        <v/>
      </c>
      <c r="E583" s="41" t="str">
        <f>IF(Base!H581="","",Base!H581)</f>
        <v/>
      </c>
    </row>
    <row r="584" spans="1:5">
      <c r="A584" s="41" t="str">
        <f>IF(Base!B582="","",Base!B582)</f>
        <v/>
      </c>
      <c r="B584" s="41" t="str">
        <f>IF(Base!F582="","",Base!F582)</f>
        <v/>
      </c>
      <c r="C584" s="41" t="str">
        <f>IF(Base!I582="","",Base!I582)</f>
        <v/>
      </c>
      <c r="D584" s="42" t="str">
        <f>IF(Base!J582="","",Base!J582)</f>
        <v/>
      </c>
      <c r="E584" s="41" t="str">
        <f>IF(Base!H582="","",Base!H582)</f>
        <v/>
      </c>
    </row>
    <row r="585" spans="1:5">
      <c r="A585" s="41" t="str">
        <f>IF(Base!B583="","",Base!B583)</f>
        <v/>
      </c>
      <c r="B585" s="41" t="str">
        <f>IF(Base!F583="","",Base!F583)</f>
        <v/>
      </c>
      <c r="C585" s="41" t="str">
        <f>IF(Base!I583="","",Base!I583)</f>
        <v/>
      </c>
      <c r="D585" s="42" t="str">
        <f>IF(Base!J583="","",Base!J583)</f>
        <v/>
      </c>
      <c r="E585" s="41" t="str">
        <f>IF(Base!H583="","",Base!H583)</f>
        <v/>
      </c>
    </row>
    <row r="586" spans="1:5">
      <c r="A586" s="41" t="str">
        <f>IF(Base!B584="","",Base!B584)</f>
        <v/>
      </c>
      <c r="B586" s="41" t="str">
        <f>IF(Base!F584="","",Base!F584)</f>
        <v/>
      </c>
      <c r="C586" s="41" t="str">
        <f>IF(Base!I584="","",Base!I584)</f>
        <v/>
      </c>
      <c r="D586" s="42" t="str">
        <f>IF(Base!J584="","",Base!J584)</f>
        <v/>
      </c>
      <c r="E586" s="41" t="str">
        <f>IF(Base!H584="","",Base!H584)</f>
        <v/>
      </c>
    </row>
    <row r="587" spans="1:5">
      <c r="A587" s="41" t="str">
        <f>IF(Base!B585="","",Base!B585)</f>
        <v/>
      </c>
      <c r="B587" s="41" t="str">
        <f>IF(Base!F585="","",Base!F585)</f>
        <v/>
      </c>
      <c r="C587" s="41" t="str">
        <f>IF(Base!I585="","",Base!I585)</f>
        <v/>
      </c>
      <c r="D587" s="42" t="str">
        <f>IF(Base!J585="","",Base!J585)</f>
        <v/>
      </c>
      <c r="E587" s="41" t="str">
        <f>IF(Base!H585="","",Base!H585)</f>
        <v/>
      </c>
    </row>
    <row r="588" spans="1:5">
      <c r="A588" s="41" t="str">
        <f>IF(Base!B586="","",Base!B586)</f>
        <v/>
      </c>
      <c r="B588" s="41" t="str">
        <f>IF(Base!F586="","",Base!F586)</f>
        <v/>
      </c>
      <c r="C588" s="41" t="str">
        <f>IF(Base!I586="","",Base!I586)</f>
        <v/>
      </c>
      <c r="D588" s="42" t="str">
        <f>IF(Base!J586="","",Base!J586)</f>
        <v/>
      </c>
      <c r="E588" s="41" t="str">
        <f>IF(Base!H586="","",Base!H586)</f>
        <v/>
      </c>
    </row>
    <row r="589" spans="1:5">
      <c r="A589" s="41" t="str">
        <f>IF(Base!B587="","",Base!B587)</f>
        <v/>
      </c>
      <c r="B589" s="41" t="str">
        <f>IF(Base!F587="","",Base!F587)</f>
        <v/>
      </c>
      <c r="C589" s="41" t="str">
        <f>IF(Base!I587="","",Base!I587)</f>
        <v/>
      </c>
      <c r="D589" s="42" t="str">
        <f>IF(Base!J587="","",Base!J587)</f>
        <v/>
      </c>
      <c r="E589" s="41" t="str">
        <f>IF(Base!H587="","",Base!H587)</f>
        <v/>
      </c>
    </row>
    <row r="590" spans="1:5">
      <c r="A590" s="41" t="str">
        <f>IF(Base!B588="","",Base!B588)</f>
        <v/>
      </c>
      <c r="B590" s="41" t="str">
        <f>IF(Base!F588="","",Base!F588)</f>
        <v/>
      </c>
      <c r="C590" s="41" t="str">
        <f>IF(Base!I588="","",Base!I588)</f>
        <v/>
      </c>
      <c r="D590" s="42" t="str">
        <f>IF(Base!J588="","",Base!J588)</f>
        <v/>
      </c>
      <c r="E590" s="41" t="str">
        <f>IF(Base!H588="","",Base!H588)</f>
        <v/>
      </c>
    </row>
    <row r="591" spans="1:5">
      <c r="A591" s="41" t="str">
        <f>IF(Base!B589="","",Base!B589)</f>
        <v/>
      </c>
      <c r="B591" s="41" t="str">
        <f>IF(Base!F589="","",Base!F589)</f>
        <v/>
      </c>
      <c r="C591" s="41" t="str">
        <f>IF(Base!I589="","",Base!I589)</f>
        <v/>
      </c>
      <c r="D591" s="42" t="str">
        <f>IF(Base!J589="","",Base!J589)</f>
        <v/>
      </c>
      <c r="E591" s="41" t="str">
        <f>IF(Base!H589="","",Base!H589)</f>
        <v/>
      </c>
    </row>
    <row r="592" spans="1:5">
      <c r="A592" s="41" t="str">
        <f>IF(Base!B590="","",Base!B590)</f>
        <v/>
      </c>
      <c r="B592" s="41" t="str">
        <f>IF(Base!F590="","",Base!F590)</f>
        <v/>
      </c>
      <c r="C592" s="41" t="str">
        <f>IF(Base!I590="","",Base!I590)</f>
        <v/>
      </c>
      <c r="D592" s="42" t="str">
        <f>IF(Base!J590="","",Base!J590)</f>
        <v/>
      </c>
      <c r="E592" s="41" t="str">
        <f>IF(Base!H590="","",Base!H590)</f>
        <v/>
      </c>
    </row>
    <row r="593" spans="1:5">
      <c r="A593" s="41" t="str">
        <f>IF(Base!B591="","",Base!B591)</f>
        <v/>
      </c>
      <c r="B593" s="41" t="str">
        <f>IF(Base!F591="","",Base!F591)</f>
        <v/>
      </c>
      <c r="C593" s="41" t="str">
        <f>IF(Base!I591="","",Base!I591)</f>
        <v/>
      </c>
      <c r="D593" s="42" t="str">
        <f>IF(Base!J591="","",Base!J591)</f>
        <v/>
      </c>
      <c r="E593" s="41" t="str">
        <f>IF(Base!H591="","",Base!H591)</f>
        <v/>
      </c>
    </row>
    <row r="594" spans="1:5">
      <c r="A594" s="41" t="str">
        <f>IF(Base!B592="","",Base!B592)</f>
        <v/>
      </c>
      <c r="B594" s="41" t="str">
        <f>IF(Base!F592="","",Base!F592)</f>
        <v/>
      </c>
      <c r="C594" s="41" t="str">
        <f>IF(Base!I592="","",Base!I592)</f>
        <v/>
      </c>
      <c r="D594" s="42" t="str">
        <f>IF(Base!J592="","",Base!J592)</f>
        <v/>
      </c>
      <c r="E594" s="41" t="str">
        <f>IF(Base!H592="","",Base!H592)</f>
        <v/>
      </c>
    </row>
    <row r="595" spans="1:5">
      <c r="A595" s="41" t="str">
        <f>IF(Base!B593="","",Base!B593)</f>
        <v/>
      </c>
      <c r="B595" s="41" t="str">
        <f>IF(Base!F593="","",Base!F593)</f>
        <v/>
      </c>
      <c r="C595" s="41" t="str">
        <f>IF(Base!I593="","",Base!I593)</f>
        <v/>
      </c>
      <c r="D595" s="42" t="str">
        <f>IF(Base!J593="","",Base!J593)</f>
        <v/>
      </c>
      <c r="E595" s="41" t="str">
        <f>IF(Base!H593="","",Base!H593)</f>
        <v/>
      </c>
    </row>
    <row r="596" spans="1:5">
      <c r="A596" s="41" t="str">
        <f>IF(Base!B594="","",Base!B594)</f>
        <v/>
      </c>
      <c r="B596" s="41" t="str">
        <f>IF(Base!F594="","",Base!F594)</f>
        <v/>
      </c>
      <c r="C596" s="41" t="str">
        <f>IF(Base!I594="","",Base!I594)</f>
        <v/>
      </c>
      <c r="D596" s="42" t="str">
        <f>IF(Base!J594="","",Base!J594)</f>
        <v/>
      </c>
      <c r="E596" s="41" t="str">
        <f>IF(Base!H594="","",Base!H594)</f>
        <v/>
      </c>
    </row>
    <row r="597" spans="1:5">
      <c r="A597" s="41" t="str">
        <f>IF(Base!B595="","",Base!B595)</f>
        <v/>
      </c>
      <c r="B597" s="41" t="str">
        <f>IF(Base!F595="","",Base!F595)</f>
        <v/>
      </c>
      <c r="C597" s="41" t="str">
        <f>IF(Base!I595="","",Base!I595)</f>
        <v/>
      </c>
      <c r="D597" s="42" t="str">
        <f>IF(Base!J595="","",Base!J595)</f>
        <v/>
      </c>
      <c r="E597" s="41" t="str">
        <f>IF(Base!H595="","",Base!H595)</f>
        <v/>
      </c>
    </row>
    <row r="598" spans="1:5">
      <c r="A598" s="41" t="str">
        <f>IF(Base!B596="","",Base!B596)</f>
        <v/>
      </c>
      <c r="B598" s="41" t="str">
        <f>IF(Base!F596="","",Base!F596)</f>
        <v/>
      </c>
      <c r="C598" s="41" t="str">
        <f>IF(Base!I596="","",Base!I596)</f>
        <v/>
      </c>
      <c r="D598" s="42" t="str">
        <f>IF(Base!J596="","",Base!J596)</f>
        <v/>
      </c>
      <c r="E598" s="41" t="str">
        <f>IF(Base!H596="","",Base!H596)</f>
        <v/>
      </c>
    </row>
    <row r="599" spans="1:5">
      <c r="A599" s="41" t="str">
        <f>IF(Base!B597="","",Base!B597)</f>
        <v/>
      </c>
      <c r="B599" s="41" t="str">
        <f>IF(Base!F597="","",Base!F597)</f>
        <v/>
      </c>
      <c r="C599" s="41" t="str">
        <f>IF(Base!I597="","",Base!I597)</f>
        <v/>
      </c>
      <c r="D599" s="42" t="str">
        <f>IF(Base!J597="","",Base!J597)</f>
        <v/>
      </c>
      <c r="E599" s="41" t="str">
        <f>IF(Base!H597="","",Base!H597)</f>
        <v/>
      </c>
    </row>
    <row r="600" spans="1:5">
      <c r="A600" s="41" t="str">
        <f>IF(Base!B598="","",Base!B598)</f>
        <v/>
      </c>
      <c r="B600" s="41" t="str">
        <f>IF(Base!F598="","",Base!F598)</f>
        <v/>
      </c>
      <c r="C600" s="41" t="str">
        <f>IF(Base!I598="","",Base!I598)</f>
        <v/>
      </c>
      <c r="D600" s="42" t="str">
        <f>IF(Base!J598="","",Base!J598)</f>
        <v/>
      </c>
      <c r="E600" s="41" t="str">
        <f>IF(Base!H598="","",Base!H598)</f>
        <v/>
      </c>
    </row>
    <row r="601" spans="1:5">
      <c r="A601" s="41" t="str">
        <f>IF(Base!B599="","",Base!B599)</f>
        <v/>
      </c>
      <c r="B601" s="41" t="str">
        <f>IF(Base!F599="","",Base!F599)</f>
        <v/>
      </c>
      <c r="C601" s="41" t="str">
        <f>IF(Base!I599="","",Base!I599)</f>
        <v/>
      </c>
      <c r="D601" s="42" t="str">
        <f>IF(Base!J599="","",Base!J599)</f>
        <v/>
      </c>
      <c r="E601" s="41" t="str">
        <f>IF(Base!H599="","",Base!H599)</f>
        <v/>
      </c>
    </row>
    <row r="602" spans="1:5">
      <c r="A602" s="41" t="str">
        <f>IF(Base!B600="","",Base!B600)</f>
        <v/>
      </c>
      <c r="B602" s="41" t="str">
        <f>IF(Base!F600="","",Base!F600)</f>
        <v/>
      </c>
      <c r="C602" s="41" t="str">
        <f>IF(Base!I600="","",Base!I600)</f>
        <v/>
      </c>
      <c r="D602" s="42" t="str">
        <f>IF(Base!J600="","",Base!J600)</f>
        <v/>
      </c>
      <c r="E602" s="41" t="str">
        <f>IF(Base!H600="","",Base!H600)</f>
        <v/>
      </c>
    </row>
    <row r="603" spans="1:5">
      <c r="A603" s="41" t="str">
        <f>IF(Base!B601="","",Base!B601)</f>
        <v/>
      </c>
      <c r="B603" s="41" t="str">
        <f>IF(Base!F601="","",Base!F601)</f>
        <v/>
      </c>
      <c r="C603" s="41" t="str">
        <f>IF(Base!I601="","",Base!I601)</f>
        <v/>
      </c>
      <c r="D603" s="42" t="str">
        <f>IF(Base!J601="","",Base!J601)</f>
        <v/>
      </c>
      <c r="E603" s="41" t="str">
        <f>IF(Base!H601="","",Base!H601)</f>
        <v/>
      </c>
    </row>
    <row r="604" spans="1:5">
      <c r="A604" s="41" t="str">
        <f>IF(Base!B602="","",Base!B602)</f>
        <v/>
      </c>
      <c r="B604" s="41" t="str">
        <f>IF(Base!F602="","",Base!F602)</f>
        <v/>
      </c>
      <c r="C604" s="41" t="str">
        <f>IF(Base!I602="","",Base!I602)</f>
        <v/>
      </c>
      <c r="D604" s="42" t="str">
        <f>IF(Base!J602="","",Base!J602)</f>
        <v/>
      </c>
      <c r="E604" s="41" t="str">
        <f>IF(Base!H602="","",Base!H602)</f>
        <v/>
      </c>
    </row>
    <row r="605" spans="1:5">
      <c r="A605" s="41" t="str">
        <f>IF(Base!B603="","",Base!B603)</f>
        <v/>
      </c>
      <c r="B605" s="41" t="str">
        <f>IF(Base!F603="","",Base!F603)</f>
        <v/>
      </c>
      <c r="C605" s="41" t="str">
        <f>IF(Base!I603="","",Base!I603)</f>
        <v/>
      </c>
      <c r="D605" s="42" t="str">
        <f>IF(Base!J603="","",Base!J603)</f>
        <v/>
      </c>
      <c r="E605" s="41" t="str">
        <f>IF(Base!H603="","",Base!H603)</f>
        <v/>
      </c>
    </row>
    <row r="606" spans="1:5">
      <c r="A606" s="41" t="str">
        <f>IF(Base!B604="","",Base!B604)</f>
        <v/>
      </c>
      <c r="B606" s="41" t="str">
        <f>IF(Base!F604="","",Base!F604)</f>
        <v/>
      </c>
      <c r="C606" s="41" t="str">
        <f>IF(Base!I604="","",Base!I604)</f>
        <v/>
      </c>
      <c r="D606" s="42" t="str">
        <f>IF(Base!J604="","",Base!J604)</f>
        <v/>
      </c>
      <c r="E606" s="41" t="str">
        <f>IF(Base!H604="","",Base!H604)</f>
        <v/>
      </c>
    </row>
    <row r="607" spans="1:5">
      <c r="A607" s="41" t="str">
        <f>IF(Base!B605="","",Base!B605)</f>
        <v/>
      </c>
      <c r="B607" s="41" t="str">
        <f>IF(Base!F605="","",Base!F605)</f>
        <v/>
      </c>
      <c r="C607" s="41" t="str">
        <f>IF(Base!I605="","",Base!I605)</f>
        <v/>
      </c>
      <c r="D607" s="42" t="str">
        <f>IF(Base!J605="","",Base!J605)</f>
        <v/>
      </c>
      <c r="E607" s="41" t="str">
        <f>IF(Base!H605="","",Base!H605)</f>
        <v/>
      </c>
    </row>
    <row r="608" spans="1:5">
      <c r="A608" s="41" t="str">
        <f>IF(Base!B606="","",Base!B606)</f>
        <v/>
      </c>
      <c r="B608" s="41" t="str">
        <f>IF(Base!F606="","",Base!F606)</f>
        <v/>
      </c>
      <c r="C608" s="41" t="str">
        <f>IF(Base!I606="","",Base!I606)</f>
        <v/>
      </c>
      <c r="D608" s="42" t="str">
        <f>IF(Base!J606="","",Base!J606)</f>
        <v/>
      </c>
      <c r="E608" s="41" t="str">
        <f>IF(Base!H606="","",Base!H606)</f>
        <v/>
      </c>
    </row>
    <row r="609" spans="1:5">
      <c r="A609" s="41" t="str">
        <f>IF(Base!B607="","",Base!B607)</f>
        <v/>
      </c>
      <c r="B609" s="41" t="str">
        <f>IF(Base!F607="","",Base!F607)</f>
        <v/>
      </c>
      <c r="C609" s="41" t="str">
        <f>IF(Base!I607="","",Base!I607)</f>
        <v/>
      </c>
      <c r="D609" s="42" t="str">
        <f>IF(Base!J607="","",Base!J607)</f>
        <v/>
      </c>
      <c r="E609" s="41" t="str">
        <f>IF(Base!H607="","",Base!H607)</f>
        <v/>
      </c>
    </row>
    <row r="610" spans="1:5">
      <c r="A610" s="41" t="str">
        <f>IF(Base!B608="","",Base!B608)</f>
        <v/>
      </c>
      <c r="B610" s="41" t="str">
        <f>IF(Base!F608="","",Base!F608)</f>
        <v/>
      </c>
      <c r="C610" s="41" t="str">
        <f>IF(Base!I608="","",Base!I608)</f>
        <v/>
      </c>
      <c r="D610" s="42" t="str">
        <f>IF(Base!J608="","",Base!J608)</f>
        <v/>
      </c>
      <c r="E610" s="41" t="str">
        <f>IF(Base!H608="","",Base!H608)</f>
        <v/>
      </c>
    </row>
    <row r="611" spans="1:5">
      <c r="A611" s="41" t="str">
        <f>IF(Base!B609="","",Base!B609)</f>
        <v/>
      </c>
      <c r="B611" s="41" t="str">
        <f>IF(Base!F609="","",Base!F609)</f>
        <v/>
      </c>
      <c r="C611" s="41" t="str">
        <f>IF(Base!I609="","",Base!I609)</f>
        <v/>
      </c>
      <c r="D611" s="42" t="str">
        <f>IF(Base!J609="","",Base!J609)</f>
        <v/>
      </c>
      <c r="E611" s="41" t="str">
        <f>IF(Base!H609="","",Base!H609)</f>
        <v/>
      </c>
    </row>
    <row r="612" spans="1:5">
      <c r="A612" s="41" t="str">
        <f>IF(Base!B610="","",Base!B610)</f>
        <v/>
      </c>
      <c r="B612" s="41" t="str">
        <f>IF(Base!F610="","",Base!F610)</f>
        <v/>
      </c>
      <c r="C612" s="41" t="str">
        <f>IF(Base!I610="","",Base!I610)</f>
        <v/>
      </c>
      <c r="D612" s="42" t="str">
        <f>IF(Base!J610="","",Base!J610)</f>
        <v/>
      </c>
      <c r="E612" s="41" t="str">
        <f>IF(Base!H610="","",Base!H610)</f>
        <v/>
      </c>
    </row>
    <row r="613" spans="1:5">
      <c r="A613" s="41" t="str">
        <f>IF(Base!B611="","",Base!B611)</f>
        <v/>
      </c>
      <c r="B613" s="41" t="str">
        <f>IF(Base!F611="","",Base!F611)</f>
        <v/>
      </c>
      <c r="C613" s="41" t="str">
        <f>IF(Base!I611="","",Base!I611)</f>
        <v/>
      </c>
      <c r="D613" s="42" t="str">
        <f>IF(Base!J611="","",Base!J611)</f>
        <v/>
      </c>
      <c r="E613" s="41" t="str">
        <f>IF(Base!H611="","",Base!H611)</f>
        <v/>
      </c>
    </row>
    <row r="614" spans="1:5">
      <c r="A614" s="41" t="str">
        <f>IF(Base!B612="","",Base!B612)</f>
        <v/>
      </c>
      <c r="B614" s="41" t="str">
        <f>IF(Base!F612="","",Base!F612)</f>
        <v/>
      </c>
      <c r="C614" s="41" t="str">
        <f>IF(Base!I612="","",Base!I612)</f>
        <v/>
      </c>
      <c r="D614" s="42" t="str">
        <f>IF(Base!J612="","",Base!J612)</f>
        <v/>
      </c>
      <c r="E614" s="41" t="str">
        <f>IF(Base!H612="","",Base!H612)</f>
        <v/>
      </c>
    </row>
    <row r="615" spans="1:5">
      <c r="A615" s="41" t="str">
        <f>IF(Base!B613="","",Base!B613)</f>
        <v/>
      </c>
      <c r="B615" s="41" t="str">
        <f>IF(Base!F613="","",Base!F613)</f>
        <v/>
      </c>
      <c r="C615" s="41" t="str">
        <f>IF(Base!I613="","",Base!I613)</f>
        <v/>
      </c>
      <c r="D615" s="42" t="str">
        <f>IF(Base!J613="","",Base!J613)</f>
        <v/>
      </c>
      <c r="E615" s="41" t="str">
        <f>IF(Base!H613="","",Base!H613)</f>
        <v/>
      </c>
    </row>
    <row r="616" spans="1:5">
      <c r="A616" s="41" t="str">
        <f>IF(Base!B614="","",Base!B614)</f>
        <v/>
      </c>
      <c r="B616" s="41" t="str">
        <f>IF(Base!F614="","",Base!F614)</f>
        <v/>
      </c>
      <c r="C616" s="41" t="str">
        <f>IF(Base!I614="","",Base!I614)</f>
        <v/>
      </c>
      <c r="D616" s="42" t="str">
        <f>IF(Base!J614="","",Base!J614)</f>
        <v/>
      </c>
      <c r="E616" s="41" t="str">
        <f>IF(Base!H614="","",Base!H614)</f>
        <v/>
      </c>
    </row>
    <row r="617" spans="1:5">
      <c r="A617" s="41" t="str">
        <f>IF(Base!B615="","",Base!B615)</f>
        <v/>
      </c>
      <c r="B617" s="41" t="str">
        <f>IF(Base!F615="","",Base!F615)</f>
        <v/>
      </c>
      <c r="C617" s="41" t="str">
        <f>IF(Base!I615="","",Base!I615)</f>
        <v/>
      </c>
      <c r="D617" s="42" t="str">
        <f>IF(Base!J615="","",Base!J615)</f>
        <v/>
      </c>
      <c r="E617" s="41" t="str">
        <f>IF(Base!H615="","",Base!H615)</f>
        <v/>
      </c>
    </row>
    <row r="618" spans="1:5">
      <c r="A618" s="41" t="str">
        <f>IF(Base!B616="","",Base!B616)</f>
        <v/>
      </c>
      <c r="B618" s="41" t="str">
        <f>IF(Base!F616="","",Base!F616)</f>
        <v/>
      </c>
      <c r="C618" s="41" t="str">
        <f>IF(Base!I616="","",Base!I616)</f>
        <v/>
      </c>
      <c r="D618" s="42" t="str">
        <f>IF(Base!J616="","",Base!J616)</f>
        <v/>
      </c>
      <c r="E618" s="41" t="str">
        <f>IF(Base!H616="","",Base!H616)</f>
        <v/>
      </c>
    </row>
    <row r="619" spans="1:5">
      <c r="A619" s="41" t="str">
        <f>IF(Base!B617="","",Base!B617)</f>
        <v/>
      </c>
      <c r="B619" s="41" t="str">
        <f>IF(Base!F617="","",Base!F617)</f>
        <v/>
      </c>
      <c r="C619" s="41" t="str">
        <f>IF(Base!I617="","",Base!I617)</f>
        <v/>
      </c>
      <c r="D619" s="42" t="str">
        <f>IF(Base!J617="","",Base!J617)</f>
        <v/>
      </c>
      <c r="E619" s="41" t="str">
        <f>IF(Base!H617="","",Base!H617)</f>
        <v/>
      </c>
    </row>
    <row r="620" spans="1:5">
      <c r="A620" s="41" t="str">
        <f>IF(Base!B618="","",Base!B618)</f>
        <v/>
      </c>
      <c r="B620" s="41" t="str">
        <f>IF(Base!F618="","",Base!F618)</f>
        <v/>
      </c>
      <c r="C620" s="41" t="str">
        <f>IF(Base!I618="","",Base!I618)</f>
        <v/>
      </c>
      <c r="D620" s="42" t="str">
        <f>IF(Base!J618="","",Base!J618)</f>
        <v/>
      </c>
      <c r="E620" s="41" t="str">
        <f>IF(Base!H618="","",Base!H618)</f>
        <v/>
      </c>
    </row>
    <row r="621" spans="1:5">
      <c r="A621" s="41" t="str">
        <f>IF(Base!B619="","",Base!B619)</f>
        <v/>
      </c>
      <c r="B621" s="41" t="str">
        <f>IF(Base!F619="","",Base!F619)</f>
        <v/>
      </c>
      <c r="C621" s="41" t="str">
        <f>IF(Base!I619="","",Base!I619)</f>
        <v/>
      </c>
      <c r="D621" s="42" t="str">
        <f>IF(Base!J619="","",Base!J619)</f>
        <v/>
      </c>
      <c r="E621" s="41" t="str">
        <f>IF(Base!H619="","",Base!H619)</f>
        <v/>
      </c>
    </row>
    <row r="622" spans="1:5">
      <c r="A622" s="41" t="str">
        <f>IF(Base!B620="","",Base!B620)</f>
        <v/>
      </c>
      <c r="B622" s="41" t="str">
        <f>IF(Base!F620="","",Base!F620)</f>
        <v/>
      </c>
      <c r="C622" s="41" t="str">
        <f>IF(Base!I620="","",Base!I620)</f>
        <v/>
      </c>
      <c r="D622" s="42" t="str">
        <f>IF(Base!J620="","",Base!J620)</f>
        <v/>
      </c>
      <c r="E622" s="41" t="str">
        <f>IF(Base!H620="","",Base!H620)</f>
        <v/>
      </c>
    </row>
    <row r="623" spans="1:5">
      <c r="A623" s="41" t="str">
        <f>IF(Base!B621="","",Base!B621)</f>
        <v/>
      </c>
      <c r="B623" s="41" t="str">
        <f>IF(Base!F621="","",Base!F621)</f>
        <v/>
      </c>
      <c r="C623" s="41" t="str">
        <f>IF(Base!I621="","",Base!I621)</f>
        <v/>
      </c>
      <c r="D623" s="42" t="str">
        <f>IF(Base!J621="","",Base!J621)</f>
        <v/>
      </c>
      <c r="E623" s="41" t="str">
        <f>IF(Base!H621="","",Base!H621)</f>
        <v/>
      </c>
    </row>
    <row r="624" spans="1:5">
      <c r="A624" s="41" t="str">
        <f>IF(Base!B622="","",Base!B622)</f>
        <v/>
      </c>
      <c r="B624" s="41" t="str">
        <f>IF(Base!F622="","",Base!F622)</f>
        <v/>
      </c>
      <c r="C624" s="41" t="str">
        <f>IF(Base!I622="","",Base!I622)</f>
        <v/>
      </c>
      <c r="D624" s="42" t="str">
        <f>IF(Base!J622="","",Base!J622)</f>
        <v/>
      </c>
      <c r="E624" s="41" t="str">
        <f>IF(Base!H622="","",Base!H622)</f>
        <v/>
      </c>
    </row>
    <row r="625" spans="1:5">
      <c r="A625" s="41" t="str">
        <f>IF(Base!B623="","",Base!B623)</f>
        <v/>
      </c>
      <c r="B625" s="41" t="str">
        <f>IF(Base!F623="","",Base!F623)</f>
        <v/>
      </c>
      <c r="C625" s="41" t="str">
        <f>IF(Base!I623="","",Base!I623)</f>
        <v/>
      </c>
      <c r="D625" s="42" t="str">
        <f>IF(Base!J623="","",Base!J623)</f>
        <v/>
      </c>
      <c r="E625" s="41" t="str">
        <f>IF(Base!H623="","",Base!H623)</f>
        <v/>
      </c>
    </row>
    <row r="626" spans="1:5">
      <c r="A626" s="41" t="str">
        <f>IF(Base!B624="","",Base!B624)</f>
        <v/>
      </c>
      <c r="B626" s="41" t="str">
        <f>IF(Base!F624="","",Base!F624)</f>
        <v/>
      </c>
      <c r="C626" s="41" t="str">
        <f>IF(Base!I624="","",Base!I624)</f>
        <v/>
      </c>
      <c r="D626" s="42" t="str">
        <f>IF(Base!J624="","",Base!J624)</f>
        <v/>
      </c>
      <c r="E626" s="41" t="str">
        <f>IF(Base!H624="","",Base!H624)</f>
        <v/>
      </c>
    </row>
    <row r="627" spans="1:5">
      <c r="A627" s="41" t="str">
        <f>IF(Base!B625="","",Base!B625)</f>
        <v/>
      </c>
      <c r="B627" s="41" t="str">
        <f>IF(Base!F625="","",Base!F625)</f>
        <v/>
      </c>
      <c r="C627" s="41" t="str">
        <f>IF(Base!I625="","",Base!I625)</f>
        <v/>
      </c>
      <c r="D627" s="42" t="str">
        <f>IF(Base!J625="","",Base!J625)</f>
        <v/>
      </c>
      <c r="E627" s="41" t="str">
        <f>IF(Base!H625="","",Base!H625)</f>
        <v/>
      </c>
    </row>
    <row r="628" spans="1:5">
      <c r="A628" s="41" t="str">
        <f>IF(Base!B626="","",Base!B626)</f>
        <v/>
      </c>
      <c r="B628" s="41" t="str">
        <f>IF(Base!F626="","",Base!F626)</f>
        <v/>
      </c>
      <c r="C628" s="41" t="str">
        <f>IF(Base!I626="","",Base!I626)</f>
        <v/>
      </c>
      <c r="D628" s="42" t="str">
        <f>IF(Base!J626="","",Base!J626)</f>
        <v/>
      </c>
      <c r="E628" s="41" t="str">
        <f>IF(Base!H626="","",Base!H626)</f>
        <v/>
      </c>
    </row>
    <row r="629" spans="1:5">
      <c r="A629" s="41" t="str">
        <f>IF(Base!B627="","",Base!B627)</f>
        <v/>
      </c>
      <c r="B629" s="41" t="str">
        <f>IF(Base!F627="","",Base!F627)</f>
        <v/>
      </c>
      <c r="C629" s="41" t="str">
        <f>IF(Base!I627="","",Base!I627)</f>
        <v/>
      </c>
      <c r="D629" s="42" t="str">
        <f>IF(Base!J627="","",Base!J627)</f>
        <v/>
      </c>
      <c r="E629" s="41" t="str">
        <f>IF(Base!H627="","",Base!H627)</f>
        <v/>
      </c>
    </row>
    <row r="630" spans="1:5">
      <c r="A630" s="41" t="str">
        <f>IF(Base!B628="","",Base!B628)</f>
        <v/>
      </c>
      <c r="B630" s="41" t="str">
        <f>IF(Base!F628="","",Base!F628)</f>
        <v/>
      </c>
      <c r="C630" s="41" t="str">
        <f>IF(Base!I628="","",Base!I628)</f>
        <v/>
      </c>
      <c r="D630" s="42" t="str">
        <f>IF(Base!J628="","",Base!J628)</f>
        <v/>
      </c>
      <c r="E630" s="41" t="str">
        <f>IF(Base!H628="","",Base!H628)</f>
        <v/>
      </c>
    </row>
    <row r="631" spans="1:5">
      <c r="A631" s="41" t="str">
        <f>IF(Base!B629="","",Base!B629)</f>
        <v/>
      </c>
      <c r="B631" s="41" t="str">
        <f>IF(Base!F629="","",Base!F629)</f>
        <v/>
      </c>
      <c r="C631" s="41" t="str">
        <f>IF(Base!I629="","",Base!I629)</f>
        <v/>
      </c>
      <c r="D631" s="42" t="str">
        <f>IF(Base!J629="","",Base!J629)</f>
        <v/>
      </c>
      <c r="E631" s="41" t="str">
        <f>IF(Base!H629="","",Base!H629)</f>
        <v/>
      </c>
    </row>
    <row r="632" spans="1:5">
      <c r="A632" s="41" t="str">
        <f>IF(Base!B630="","",Base!B630)</f>
        <v/>
      </c>
      <c r="B632" s="41" t="str">
        <f>IF(Base!F630="","",Base!F630)</f>
        <v/>
      </c>
      <c r="C632" s="41" t="str">
        <f>IF(Base!I630="","",Base!I630)</f>
        <v/>
      </c>
      <c r="D632" s="42" t="str">
        <f>IF(Base!J630="","",Base!J630)</f>
        <v/>
      </c>
      <c r="E632" s="41" t="str">
        <f>IF(Base!H630="","",Base!H630)</f>
        <v/>
      </c>
    </row>
    <row r="633" spans="1:5">
      <c r="A633" s="41" t="str">
        <f>IF(Base!B631="","",Base!B631)</f>
        <v/>
      </c>
      <c r="B633" s="41" t="str">
        <f>IF(Base!F631="","",Base!F631)</f>
        <v/>
      </c>
      <c r="C633" s="41" t="str">
        <f>IF(Base!I631="","",Base!I631)</f>
        <v/>
      </c>
      <c r="D633" s="42" t="str">
        <f>IF(Base!J631="","",Base!J631)</f>
        <v/>
      </c>
      <c r="E633" s="41" t="str">
        <f>IF(Base!H631="","",Base!H631)</f>
        <v/>
      </c>
    </row>
    <row r="634" spans="1:5">
      <c r="A634" s="41" t="str">
        <f>IF(Base!B632="","",Base!B632)</f>
        <v/>
      </c>
      <c r="B634" s="41" t="str">
        <f>IF(Base!F632="","",Base!F632)</f>
        <v/>
      </c>
      <c r="C634" s="41" t="str">
        <f>IF(Base!I632="","",Base!I632)</f>
        <v/>
      </c>
      <c r="D634" s="42" t="str">
        <f>IF(Base!J632="","",Base!J632)</f>
        <v/>
      </c>
      <c r="E634" s="41" t="str">
        <f>IF(Base!H632="","",Base!H632)</f>
        <v/>
      </c>
    </row>
    <row r="635" spans="1:5">
      <c r="A635" s="41" t="str">
        <f>IF(Base!B633="","",Base!B633)</f>
        <v/>
      </c>
      <c r="B635" s="41" t="str">
        <f>IF(Base!F633="","",Base!F633)</f>
        <v/>
      </c>
      <c r="C635" s="41" t="str">
        <f>IF(Base!I633="","",Base!I633)</f>
        <v/>
      </c>
      <c r="D635" s="42" t="str">
        <f>IF(Base!J633="","",Base!J633)</f>
        <v/>
      </c>
      <c r="E635" s="41" t="str">
        <f>IF(Base!H633="","",Base!H633)</f>
        <v/>
      </c>
    </row>
    <row r="636" spans="1:5">
      <c r="A636" s="41" t="str">
        <f>IF(Base!B634="","",Base!B634)</f>
        <v/>
      </c>
      <c r="B636" s="41" t="str">
        <f>IF(Base!F634="","",Base!F634)</f>
        <v/>
      </c>
      <c r="C636" s="41" t="str">
        <f>IF(Base!I634="","",Base!I634)</f>
        <v/>
      </c>
      <c r="D636" s="42" t="str">
        <f>IF(Base!J634="","",Base!J634)</f>
        <v/>
      </c>
      <c r="E636" s="41" t="str">
        <f>IF(Base!H634="","",Base!H634)</f>
        <v/>
      </c>
    </row>
    <row r="637" spans="1:5">
      <c r="A637" s="41" t="str">
        <f>IF(Base!B635="","",Base!B635)</f>
        <v/>
      </c>
      <c r="B637" s="41" t="str">
        <f>IF(Base!F635="","",Base!F635)</f>
        <v/>
      </c>
      <c r="C637" s="41" t="str">
        <f>IF(Base!I635="","",Base!I635)</f>
        <v/>
      </c>
      <c r="D637" s="42" t="str">
        <f>IF(Base!J635="","",Base!J635)</f>
        <v/>
      </c>
      <c r="E637" s="41" t="str">
        <f>IF(Base!H635="","",Base!H635)</f>
        <v/>
      </c>
    </row>
    <row r="638" spans="1:5">
      <c r="A638" s="41" t="str">
        <f>IF(Base!B636="","",Base!B636)</f>
        <v/>
      </c>
      <c r="B638" s="41" t="str">
        <f>IF(Base!F636="","",Base!F636)</f>
        <v/>
      </c>
      <c r="C638" s="41" t="str">
        <f>IF(Base!I636="","",Base!I636)</f>
        <v/>
      </c>
      <c r="D638" s="42" t="str">
        <f>IF(Base!J636="","",Base!J636)</f>
        <v/>
      </c>
      <c r="E638" s="41" t="str">
        <f>IF(Base!H636="","",Base!H636)</f>
        <v/>
      </c>
    </row>
    <row r="639" spans="1:5">
      <c r="A639" s="41" t="str">
        <f>IF(Base!B637="","",Base!B637)</f>
        <v/>
      </c>
      <c r="B639" s="41" t="str">
        <f>IF(Base!F637="","",Base!F637)</f>
        <v/>
      </c>
      <c r="C639" s="41" t="str">
        <f>IF(Base!I637="","",Base!I637)</f>
        <v/>
      </c>
      <c r="D639" s="42" t="str">
        <f>IF(Base!J637="","",Base!J637)</f>
        <v/>
      </c>
      <c r="E639" s="41" t="str">
        <f>IF(Base!H637="","",Base!H637)</f>
        <v/>
      </c>
    </row>
    <row r="640" spans="1:5">
      <c r="A640" s="41" t="str">
        <f>IF(Base!B638="","",Base!B638)</f>
        <v/>
      </c>
      <c r="B640" s="41" t="str">
        <f>IF(Base!F638="","",Base!F638)</f>
        <v/>
      </c>
      <c r="C640" s="41" t="str">
        <f>IF(Base!I638="","",Base!I638)</f>
        <v/>
      </c>
      <c r="D640" s="42" t="str">
        <f>IF(Base!J638="","",Base!J638)</f>
        <v/>
      </c>
      <c r="E640" s="41" t="str">
        <f>IF(Base!H638="","",Base!H638)</f>
        <v/>
      </c>
    </row>
    <row r="641" spans="1:5">
      <c r="A641" s="41" t="str">
        <f>IF(Base!B639="","",Base!B639)</f>
        <v/>
      </c>
      <c r="B641" s="41" t="str">
        <f>IF(Base!F639="","",Base!F639)</f>
        <v/>
      </c>
      <c r="C641" s="41" t="str">
        <f>IF(Base!I639="","",Base!I639)</f>
        <v/>
      </c>
      <c r="D641" s="42" t="str">
        <f>IF(Base!J639="","",Base!J639)</f>
        <v/>
      </c>
      <c r="E641" s="41" t="str">
        <f>IF(Base!H639="","",Base!H639)</f>
        <v/>
      </c>
    </row>
    <row r="642" spans="1:5">
      <c r="A642" s="41" t="str">
        <f>IF(Base!B640="","",Base!B640)</f>
        <v/>
      </c>
      <c r="B642" s="41" t="str">
        <f>IF(Base!F640="","",Base!F640)</f>
        <v/>
      </c>
      <c r="C642" s="41" t="str">
        <f>IF(Base!I640="","",Base!I640)</f>
        <v/>
      </c>
      <c r="D642" s="42" t="str">
        <f>IF(Base!J640="","",Base!J640)</f>
        <v/>
      </c>
      <c r="E642" s="41" t="str">
        <f>IF(Base!H640="","",Base!H640)</f>
        <v/>
      </c>
    </row>
    <row r="643" spans="1:5">
      <c r="A643" s="41" t="str">
        <f>IF(Base!B641="","",Base!B641)</f>
        <v/>
      </c>
      <c r="B643" s="41" t="str">
        <f>IF(Base!F641="","",Base!F641)</f>
        <v/>
      </c>
      <c r="C643" s="41" t="str">
        <f>IF(Base!I641="","",Base!I641)</f>
        <v/>
      </c>
      <c r="D643" s="42" t="str">
        <f>IF(Base!J641="","",Base!J641)</f>
        <v/>
      </c>
      <c r="E643" s="41" t="str">
        <f>IF(Base!H641="","",Base!H641)</f>
        <v/>
      </c>
    </row>
    <row r="644" spans="1:5">
      <c r="A644" s="41" t="str">
        <f>IF(Base!B642="","",Base!B642)</f>
        <v/>
      </c>
      <c r="B644" s="41" t="str">
        <f>IF(Base!F642="","",Base!F642)</f>
        <v/>
      </c>
      <c r="C644" s="41" t="str">
        <f>IF(Base!I642="","",Base!I642)</f>
        <v/>
      </c>
      <c r="D644" s="42" t="str">
        <f>IF(Base!J642="","",Base!J642)</f>
        <v/>
      </c>
      <c r="E644" s="41" t="str">
        <f>IF(Base!H642="","",Base!H642)</f>
        <v/>
      </c>
    </row>
    <row r="645" spans="1:5">
      <c r="A645" s="41" t="str">
        <f>IF(Base!B643="","",Base!B643)</f>
        <v/>
      </c>
      <c r="B645" s="41" t="str">
        <f>IF(Base!F643="","",Base!F643)</f>
        <v/>
      </c>
      <c r="C645" s="41" t="str">
        <f>IF(Base!I643="","",Base!I643)</f>
        <v/>
      </c>
      <c r="D645" s="42" t="str">
        <f>IF(Base!J643="","",Base!J643)</f>
        <v/>
      </c>
      <c r="E645" s="41" t="str">
        <f>IF(Base!H643="","",Base!H643)</f>
        <v/>
      </c>
    </row>
    <row r="646" spans="1:5">
      <c r="A646" s="41" t="str">
        <f>IF(Base!B644="","",Base!B644)</f>
        <v/>
      </c>
      <c r="B646" s="41" t="str">
        <f>IF(Base!F644="","",Base!F644)</f>
        <v/>
      </c>
      <c r="C646" s="41" t="str">
        <f>IF(Base!I644="","",Base!I644)</f>
        <v/>
      </c>
      <c r="D646" s="42" t="str">
        <f>IF(Base!J644="","",Base!J644)</f>
        <v/>
      </c>
      <c r="E646" s="41" t="str">
        <f>IF(Base!H644="","",Base!H644)</f>
        <v/>
      </c>
    </row>
    <row r="647" spans="1:5">
      <c r="A647" s="41" t="str">
        <f>IF(Base!B645="","",Base!B645)</f>
        <v/>
      </c>
      <c r="B647" s="41" t="str">
        <f>IF(Base!F645="","",Base!F645)</f>
        <v/>
      </c>
      <c r="C647" s="41" t="str">
        <f>IF(Base!I645="","",Base!I645)</f>
        <v/>
      </c>
      <c r="D647" s="42" t="str">
        <f>IF(Base!J645="","",Base!J645)</f>
        <v/>
      </c>
      <c r="E647" s="41" t="str">
        <f>IF(Base!H645="","",Base!H645)</f>
        <v/>
      </c>
    </row>
    <row r="648" spans="1:5">
      <c r="A648" s="41" t="str">
        <f>IF(Base!B646="","",Base!B646)</f>
        <v/>
      </c>
      <c r="B648" s="41" t="str">
        <f>IF(Base!F646="","",Base!F646)</f>
        <v/>
      </c>
      <c r="C648" s="41" t="str">
        <f>IF(Base!I646="","",Base!I646)</f>
        <v/>
      </c>
      <c r="D648" s="42" t="str">
        <f>IF(Base!J646="","",Base!J646)</f>
        <v/>
      </c>
      <c r="E648" s="41" t="str">
        <f>IF(Base!H646="","",Base!H646)</f>
        <v/>
      </c>
    </row>
    <row r="649" spans="1:5">
      <c r="A649" s="41" t="str">
        <f>IF(Base!B647="","",Base!B647)</f>
        <v/>
      </c>
      <c r="B649" s="41" t="str">
        <f>IF(Base!F647="","",Base!F647)</f>
        <v/>
      </c>
      <c r="C649" s="41" t="str">
        <f>IF(Base!I647="","",Base!I647)</f>
        <v/>
      </c>
      <c r="D649" s="42" t="str">
        <f>IF(Base!J647="","",Base!J647)</f>
        <v/>
      </c>
      <c r="E649" s="41" t="str">
        <f>IF(Base!H647="","",Base!H647)</f>
        <v/>
      </c>
    </row>
    <row r="650" spans="1:5">
      <c r="A650" s="41" t="str">
        <f>IF(Base!B648="","",Base!B648)</f>
        <v/>
      </c>
      <c r="B650" s="41" t="str">
        <f>IF(Base!F648="","",Base!F648)</f>
        <v/>
      </c>
      <c r="C650" s="41" t="str">
        <f>IF(Base!I648="","",Base!I648)</f>
        <v/>
      </c>
      <c r="D650" s="42" t="str">
        <f>IF(Base!J648="","",Base!J648)</f>
        <v/>
      </c>
      <c r="E650" s="41" t="str">
        <f>IF(Base!H648="","",Base!H648)</f>
        <v/>
      </c>
    </row>
    <row r="651" spans="1:5">
      <c r="A651" s="41" t="str">
        <f>IF(Base!B649="","",Base!B649)</f>
        <v/>
      </c>
      <c r="B651" s="41" t="str">
        <f>IF(Base!F649="","",Base!F649)</f>
        <v/>
      </c>
      <c r="C651" s="41" t="str">
        <f>IF(Base!I649="","",Base!I649)</f>
        <v/>
      </c>
      <c r="D651" s="42" t="str">
        <f>IF(Base!J649="","",Base!J649)</f>
        <v/>
      </c>
      <c r="E651" s="41" t="str">
        <f>IF(Base!H649="","",Base!H649)</f>
        <v/>
      </c>
    </row>
    <row r="652" spans="1:5">
      <c r="A652" s="41" t="str">
        <f>IF(Base!B650="","",Base!B650)</f>
        <v/>
      </c>
      <c r="B652" s="41" t="str">
        <f>IF(Base!F650="","",Base!F650)</f>
        <v/>
      </c>
      <c r="C652" s="41" t="str">
        <f>IF(Base!I650="","",Base!I650)</f>
        <v/>
      </c>
      <c r="D652" s="42" t="str">
        <f>IF(Base!J650="","",Base!J650)</f>
        <v/>
      </c>
      <c r="E652" s="41" t="str">
        <f>IF(Base!H650="","",Base!H650)</f>
        <v/>
      </c>
    </row>
    <row r="653" spans="1:5">
      <c r="A653" s="41" t="str">
        <f>IF(Base!B651="","",Base!B651)</f>
        <v/>
      </c>
      <c r="B653" s="41" t="str">
        <f>IF(Base!F651="","",Base!F651)</f>
        <v/>
      </c>
      <c r="C653" s="41" t="str">
        <f>IF(Base!I651="","",Base!I651)</f>
        <v/>
      </c>
      <c r="D653" s="42" t="str">
        <f>IF(Base!J651="","",Base!J651)</f>
        <v/>
      </c>
      <c r="E653" s="41" t="str">
        <f>IF(Base!H651="","",Base!H651)</f>
        <v/>
      </c>
    </row>
    <row r="654" spans="1:5">
      <c r="A654" s="41" t="str">
        <f>IF(Base!B652="","",Base!B652)</f>
        <v/>
      </c>
      <c r="B654" s="41" t="str">
        <f>IF(Base!F652="","",Base!F652)</f>
        <v/>
      </c>
      <c r="C654" s="41" t="str">
        <f>IF(Base!I652="","",Base!I652)</f>
        <v/>
      </c>
      <c r="D654" s="42" t="str">
        <f>IF(Base!J652="","",Base!J652)</f>
        <v/>
      </c>
      <c r="E654" s="41" t="str">
        <f>IF(Base!H652="","",Base!H652)</f>
        <v/>
      </c>
    </row>
    <row r="655" spans="1:5">
      <c r="A655" s="41" t="str">
        <f>IF(Base!B653="","",Base!B653)</f>
        <v/>
      </c>
      <c r="B655" s="41" t="str">
        <f>IF(Base!F653="","",Base!F653)</f>
        <v/>
      </c>
      <c r="C655" s="41" t="str">
        <f>IF(Base!I653="","",Base!I653)</f>
        <v/>
      </c>
      <c r="D655" s="42" t="str">
        <f>IF(Base!J653="","",Base!J653)</f>
        <v/>
      </c>
      <c r="E655" s="41" t="str">
        <f>IF(Base!H653="","",Base!H653)</f>
        <v/>
      </c>
    </row>
    <row r="656" spans="1:5">
      <c r="A656" s="41" t="str">
        <f>IF(Base!B654="","",Base!B654)</f>
        <v/>
      </c>
      <c r="B656" s="41" t="str">
        <f>IF(Base!F654="","",Base!F654)</f>
        <v/>
      </c>
      <c r="C656" s="41" t="str">
        <f>IF(Base!I654="","",Base!I654)</f>
        <v/>
      </c>
      <c r="D656" s="42" t="str">
        <f>IF(Base!J654="","",Base!J654)</f>
        <v/>
      </c>
      <c r="E656" s="41" t="str">
        <f>IF(Base!H654="","",Base!H654)</f>
        <v/>
      </c>
    </row>
    <row r="657" spans="1:5">
      <c r="A657" s="41" t="str">
        <f>IF(Base!B655="","",Base!B655)</f>
        <v/>
      </c>
      <c r="B657" s="41" t="str">
        <f>IF(Base!F655="","",Base!F655)</f>
        <v/>
      </c>
      <c r="C657" s="41" t="str">
        <f>IF(Base!I655="","",Base!I655)</f>
        <v/>
      </c>
      <c r="D657" s="42" t="str">
        <f>IF(Base!J655="","",Base!J655)</f>
        <v/>
      </c>
      <c r="E657" s="41" t="str">
        <f>IF(Base!H655="","",Base!H655)</f>
        <v/>
      </c>
    </row>
    <row r="658" spans="1:5">
      <c r="A658" s="41" t="str">
        <f>IF(Base!B656="","",Base!B656)</f>
        <v/>
      </c>
      <c r="B658" s="41" t="str">
        <f>IF(Base!F656="","",Base!F656)</f>
        <v/>
      </c>
      <c r="C658" s="41" t="str">
        <f>IF(Base!I656="","",Base!I656)</f>
        <v/>
      </c>
      <c r="D658" s="42" t="str">
        <f>IF(Base!J656="","",Base!J656)</f>
        <v/>
      </c>
      <c r="E658" s="41" t="str">
        <f>IF(Base!H656="","",Base!H656)</f>
        <v/>
      </c>
    </row>
    <row r="659" spans="1:5">
      <c r="A659" s="41" t="str">
        <f>IF(Base!B657="","",Base!B657)</f>
        <v/>
      </c>
      <c r="B659" s="41" t="str">
        <f>IF(Base!F657="","",Base!F657)</f>
        <v/>
      </c>
      <c r="C659" s="41" t="str">
        <f>IF(Base!I657="","",Base!I657)</f>
        <v/>
      </c>
      <c r="D659" s="42" t="str">
        <f>IF(Base!J657="","",Base!J657)</f>
        <v/>
      </c>
      <c r="E659" s="41" t="str">
        <f>IF(Base!H657="","",Base!H657)</f>
        <v/>
      </c>
    </row>
    <row r="660" spans="1:5">
      <c r="A660" s="41" t="str">
        <f>IF(Base!B658="","",Base!B658)</f>
        <v/>
      </c>
      <c r="B660" s="41" t="str">
        <f>IF(Base!F658="","",Base!F658)</f>
        <v/>
      </c>
      <c r="C660" s="41" t="str">
        <f>IF(Base!I658="","",Base!I658)</f>
        <v/>
      </c>
      <c r="D660" s="42" t="str">
        <f>IF(Base!J658="","",Base!J658)</f>
        <v/>
      </c>
      <c r="E660" s="41" t="str">
        <f>IF(Base!H658="","",Base!H658)</f>
        <v/>
      </c>
    </row>
    <row r="661" spans="1:5">
      <c r="A661" s="41" t="str">
        <f>IF(Base!B659="","",Base!B659)</f>
        <v/>
      </c>
      <c r="B661" s="41" t="str">
        <f>IF(Base!F659="","",Base!F659)</f>
        <v/>
      </c>
      <c r="C661" s="41" t="str">
        <f>IF(Base!I659="","",Base!I659)</f>
        <v/>
      </c>
      <c r="D661" s="42" t="str">
        <f>IF(Base!J659="","",Base!J659)</f>
        <v/>
      </c>
      <c r="E661" s="41" t="str">
        <f>IF(Base!H659="","",Base!H659)</f>
        <v/>
      </c>
    </row>
    <row r="662" spans="1:5">
      <c r="A662" s="41" t="str">
        <f>IF(Base!B660="","",Base!B660)</f>
        <v/>
      </c>
      <c r="B662" s="41" t="str">
        <f>IF(Base!F660="","",Base!F660)</f>
        <v/>
      </c>
      <c r="C662" s="41" t="str">
        <f>IF(Base!I660="","",Base!I660)</f>
        <v/>
      </c>
      <c r="D662" s="42" t="str">
        <f>IF(Base!J660="","",Base!J660)</f>
        <v/>
      </c>
      <c r="E662" s="41" t="str">
        <f>IF(Base!H660="","",Base!H660)</f>
        <v/>
      </c>
    </row>
    <row r="663" spans="1:5">
      <c r="A663" s="41" t="str">
        <f>IF(Base!B661="","",Base!B661)</f>
        <v/>
      </c>
      <c r="B663" s="41" t="str">
        <f>IF(Base!F661="","",Base!F661)</f>
        <v/>
      </c>
      <c r="C663" s="41" t="str">
        <f>IF(Base!I661="","",Base!I661)</f>
        <v/>
      </c>
      <c r="D663" s="42" t="str">
        <f>IF(Base!J661="","",Base!J661)</f>
        <v/>
      </c>
      <c r="E663" s="41" t="str">
        <f>IF(Base!H661="","",Base!H661)</f>
        <v/>
      </c>
    </row>
    <row r="664" spans="1:5">
      <c r="A664" s="41" t="str">
        <f>IF(Base!B662="","",Base!B662)</f>
        <v/>
      </c>
      <c r="B664" s="41" t="str">
        <f>IF(Base!F662="","",Base!F662)</f>
        <v/>
      </c>
      <c r="C664" s="41" t="str">
        <f>IF(Base!I662="","",Base!I662)</f>
        <v/>
      </c>
      <c r="D664" s="42" t="str">
        <f>IF(Base!J662="","",Base!J662)</f>
        <v/>
      </c>
      <c r="E664" s="41" t="str">
        <f>IF(Base!H662="","",Base!H662)</f>
        <v/>
      </c>
    </row>
    <row r="665" spans="1:5">
      <c r="A665" s="41" t="str">
        <f>IF(Base!B663="","",Base!B663)</f>
        <v/>
      </c>
      <c r="B665" s="41" t="str">
        <f>IF(Base!F663="","",Base!F663)</f>
        <v/>
      </c>
      <c r="C665" s="41" t="str">
        <f>IF(Base!I663="","",Base!I663)</f>
        <v/>
      </c>
      <c r="D665" s="42" t="str">
        <f>IF(Base!J663="","",Base!J663)</f>
        <v/>
      </c>
      <c r="E665" s="41" t="str">
        <f>IF(Base!H663="","",Base!H663)</f>
        <v/>
      </c>
    </row>
    <row r="666" spans="1:5">
      <c r="A666" s="41" t="str">
        <f>IF(Base!B664="","",Base!B664)</f>
        <v/>
      </c>
      <c r="B666" s="41" t="str">
        <f>IF(Base!F664="","",Base!F664)</f>
        <v/>
      </c>
      <c r="C666" s="41" t="str">
        <f>IF(Base!I664="","",Base!I664)</f>
        <v/>
      </c>
      <c r="D666" s="42" t="str">
        <f>IF(Base!J664="","",Base!J664)</f>
        <v/>
      </c>
      <c r="E666" s="41" t="str">
        <f>IF(Base!H664="","",Base!H664)</f>
        <v/>
      </c>
    </row>
    <row r="667" spans="1:5">
      <c r="A667" s="41" t="str">
        <f>IF(Base!B665="","",Base!B665)</f>
        <v/>
      </c>
      <c r="B667" s="41" t="str">
        <f>IF(Base!F665="","",Base!F665)</f>
        <v/>
      </c>
      <c r="C667" s="41" t="str">
        <f>IF(Base!I665="","",Base!I665)</f>
        <v/>
      </c>
      <c r="D667" s="42" t="str">
        <f>IF(Base!J665="","",Base!J665)</f>
        <v/>
      </c>
      <c r="E667" s="41" t="str">
        <f>IF(Base!H665="","",Base!H665)</f>
        <v/>
      </c>
    </row>
    <row r="668" spans="1:5">
      <c r="A668" s="41" t="str">
        <f>IF(Base!B666="","",Base!B666)</f>
        <v/>
      </c>
      <c r="B668" s="41" t="str">
        <f>IF(Base!F666="","",Base!F666)</f>
        <v/>
      </c>
      <c r="C668" s="41" t="str">
        <f>IF(Base!I666="","",Base!I666)</f>
        <v/>
      </c>
      <c r="D668" s="42" t="str">
        <f>IF(Base!J666="","",Base!J666)</f>
        <v/>
      </c>
      <c r="E668" s="41" t="str">
        <f>IF(Base!H666="","",Base!H666)</f>
        <v/>
      </c>
    </row>
    <row r="669" spans="1:5">
      <c r="A669" s="41" t="str">
        <f>IF(Base!B667="","",Base!B667)</f>
        <v/>
      </c>
      <c r="B669" s="41" t="str">
        <f>IF(Base!F667="","",Base!F667)</f>
        <v/>
      </c>
      <c r="C669" s="41" t="str">
        <f>IF(Base!I667="","",Base!I667)</f>
        <v/>
      </c>
      <c r="D669" s="42" t="str">
        <f>IF(Base!J667="","",Base!J667)</f>
        <v/>
      </c>
      <c r="E669" s="41" t="str">
        <f>IF(Base!H667="","",Base!H667)</f>
        <v/>
      </c>
    </row>
    <row r="670" spans="1:5">
      <c r="A670" s="41" t="str">
        <f>IF(Base!B668="","",Base!B668)</f>
        <v/>
      </c>
      <c r="B670" s="41" t="str">
        <f>IF(Base!F668="","",Base!F668)</f>
        <v/>
      </c>
      <c r="C670" s="41" t="str">
        <f>IF(Base!I668="","",Base!I668)</f>
        <v/>
      </c>
      <c r="D670" s="42" t="str">
        <f>IF(Base!J668="","",Base!J668)</f>
        <v/>
      </c>
      <c r="E670" s="41" t="str">
        <f>IF(Base!H668="","",Base!H668)</f>
        <v/>
      </c>
    </row>
    <row r="671" spans="1:5">
      <c r="A671" s="41" t="str">
        <f>IF(Base!B669="","",Base!B669)</f>
        <v/>
      </c>
      <c r="B671" s="41" t="str">
        <f>IF(Base!F669="","",Base!F669)</f>
        <v/>
      </c>
      <c r="C671" s="41" t="str">
        <f>IF(Base!I669="","",Base!I669)</f>
        <v/>
      </c>
      <c r="D671" s="42" t="str">
        <f>IF(Base!J669="","",Base!J669)</f>
        <v/>
      </c>
      <c r="E671" s="41" t="str">
        <f>IF(Base!H669="","",Base!H669)</f>
        <v/>
      </c>
    </row>
    <row r="672" spans="1:5">
      <c r="A672" s="41" t="str">
        <f>IF(Base!B670="","",Base!B670)</f>
        <v/>
      </c>
      <c r="B672" s="41" t="str">
        <f>IF(Base!F670="","",Base!F670)</f>
        <v/>
      </c>
      <c r="C672" s="41" t="str">
        <f>IF(Base!I670="","",Base!I670)</f>
        <v/>
      </c>
      <c r="D672" s="42" t="str">
        <f>IF(Base!J670="","",Base!J670)</f>
        <v/>
      </c>
      <c r="E672" s="41" t="str">
        <f>IF(Base!H670="","",Base!H670)</f>
        <v/>
      </c>
    </row>
    <row r="673" spans="1:5">
      <c r="A673" s="41" t="str">
        <f>IF(Base!B671="","",Base!B671)</f>
        <v/>
      </c>
      <c r="B673" s="41" t="str">
        <f>IF(Base!F671="","",Base!F671)</f>
        <v/>
      </c>
      <c r="C673" s="41" t="str">
        <f>IF(Base!I671="","",Base!I671)</f>
        <v/>
      </c>
      <c r="D673" s="42" t="str">
        <f>IF(Base!J671="","",Base!J671)</f>
        <v/>
      </c>
      <c r="E673" s="41" t="str">
        <f>IF(Base!H671="","",Base!H671)</f>
        <v/>
      </c>
    </row>
    <row r="674" spans="1:5">
      <c r="A674" s="41" t="str">
        <f>IF(Base!B672="","",Base!B672)</f>
        <v/>
      </c>
      <c r="B674" s="41" t="str">
        <f>IF(Base!F672="","",Base!F672)</f>
        <v/>
      </c>
      <c r="C674" s="41" t="str">
        <f>IF(Base!I672="","",Base!I672)</f>
        <v/>
      </c>
      <c r="D674" s="42" t="str">
        <f>IF(Base!J672="","",Base!J672)</f>
        <v/>
      </c>
      <c r="E674" s="41" t="str">
        <f>IF(Base!H672="","",Base!H672)</f>
        <v/>
      </c>
    </row>
    <row r="675" spans="1:5">
      <c r="A675" s="41" t="str">
        <f>IF(Base!B673="","",Base!B673)</f>
        <v/>
      </c>
      <c r="B675" s="41" t="str">
        <f>IF(Base!F673="","",Base!F673)</f>
        <v/>
      </c>
      <c r="C675" s="41" t="str">
        <f>IF(Base!I673="","",Base!I673)</f>
        <v/>
      </c>
      <c r="D675" s="42" t="str">
        <f>IF(Base!J673="","",Base!J673)</f>
        <v/>
      </c>
      <c r="E675" s="41" t="str">
        <f>IF(Base!H673="","",Base!H673)</f>
        <v/>
      </c>
    </row>
    <row r="676" spans="1:5">
      <c r="A676" s="41" t="str">
        <f>IF(Base!B674="","",Base!B674)</f>
        <v/>
      </c>
      <c r="B676" s="41" t="str">
        <f>IF(Base!F674="","",Base!F674)</f>
        <v/>
      </c>
      <c r="C676" s="41" t="str">
        <f>IF(Base!I674="","",Base!I674)</f>
        <v/>
      </c>
      <c r="D676" s="42" t="str">
        <f>IF(Base!J674="","",Base!J674)</f>
        <v/>
      </c>
      <c r="E676" s="41" t="str">
        <f>IF(Base!H674="","",Base!H674)</f>
        <v/>
      </c>
    </row>
    <row r="677" spans="1:5">
      <c r="A677" s="41" t="str">
        <f>IF(Base!B675="","",Base!B675)</f>
        <v/>
      </c>
      <c r="B677" s="41" t="str">
        <f>IF(Base!F675="","",Base!F675)</f>
        <v/>
      </c>
      <c r="C677" s="41" t="str">
        <f>IF(Base!I675="","",Base!I675)</f>
        <v/>
      </c>
      <c r="D677" s="42" t="str">
        <f>IF(Base!J675="","",Base!J675)</f>
        <v/>
      </c>
      <c r="E677" s="41" t="str">
        <f>IF(Base!H675="","",Base!H675)</f>
        <v/>
      </c>
    </row>
    <row r="678" spans="1:5">
      <c r="A678" s="41" t="str">
        <f>IF(Base!B676="","",Base!B676)</f>
        <v/>
      </c>
      <c r="B678" s="41" t="str">
        <f>IF(Base!F676="","",Base!F676)</f>
        <v/>
      </c>
      <c r="C678" s="41" t="str">
        <f>IF(Base!I676="","",Base!I676)</f>
        <v/>
      </c>
      <c r="D678" s="42" t="str">
        <f>IF(Base!J676="","",Base!J676)</f>
        <v/>
      </c>
      <c r="E678" s="41" t="str">
        <f>IF(Base!H676="","",Base!H676)</f>
        <v/>
      </c>
    </row>
    <row r="679" spans="1:5">
      <c r="A679" s="41" t="str">
        <f>IF(Base!B677="","",Base!B677)</f>
        <v/>
      </c>
      <c r="B679" s="41" t="str">
        <f>IF(Base!F677="","",Base!F677)</f>
        <v/>
      </c>
      <c r="C679" s="41" t="str">
        <f>IF(Base!I677="","",Base!I677)</f>
        <v/>
      </c>
      <c r="D679" s="42" t="str">
        <f>IF(Base!J677="","",Base!J677)</f>
        <v/>
      </c>
      <c r="E679" s="41" t="str">
        <f>IF(Base!H677="","",Base!H677)</f>
        <v/>
      </c>
    </row>
    <row r="680" spans="1:5">
      <c r="A680" s="41" t="str">
        <f>IF(Base!B678="","",Base!B678)</f>
        <v/>
      </c>
      <c r="B680" s="41" t="str">
        <f>IF(Base!F678="","",Base!F678)</f>
        <v/>
      </c>
      <c r="C680" s="41" t="str">
        <f>IF(Base!I678="","",Base!I678)</f>
        <v/>
      </c>
      <c r="D680" s="42" t="str">
        <f>IF(Base!J678="","",Base!J678)</f>
        <v/>
      </c>
      <c r="E680" s="41" t="str">
        <f>IF(Base!H678="","",Base!H678)</f>
        <v/>
      </c>
    </row>
    <row r="681" spans="1:5">
      <c r="A681" s="41" t="str">
        <f>IF(Base!B679="","",Base!B679)</f>
        <v/>
      </c>
      <c r="B681" s="41" t="str">
        <f>IF(Base!F679="","",Base!F679)</f>
        <v/>
      </c>
      <c r="C681" s="41" t="str">
        <f>IF(Base!I679="","",Base!I679)</f>
        <v/>
      </c>
      <c r="D681" s="42" t="str">
        <f>IF(Base!J679="","",Base!J679)</f>
        <v/>
      </c>
      <c r="E681" s="41" t="str">
        <f>IF(Base!H679="","",Base!H679)</f>
        <v/>
      </c>
    </row>
    <row r="682" spans="1:5">
      <c r="A682" s="41" t="str">
        <f>IF(Base!B680="","",Base!B680)</f>
        <v/>
      </c>
      <c r="B682" s="41" t="str">
        <f>IF(Base!F680="","",Base!F680)</f>
        <v/>
      </c>
      <c r="C682" s="41" t="str">
        <f>IF(Base!I680="","",Base!I680)</f>
        <v/>
      </c>
      <c r="D682" s="42" t="str">
        <f>IF(Base!J680="","",Base!J680)</f>
        <v/>
      </c>
      <c r="E682" s="41" t="str">
        <f>IF(Base!H680="","",Base!H680)</f>
        <v/>
      </c>
    </row>
    <row r="683" spans="1:5">
      <c r="A683" s="41" t="str">
        <f>IF(Base!B681="","",Base!B681)</f>
        <v/>
      </c>
      <c r="B683" s="41" t="str">
        <f>IF(Base!F681="","",Base!F681)</f>
        <v/>
      </c>
      <c r="C683" s="41" t="str">
        <f>IF(Base!I681="","",Base!I681)</f>
        <v/>
      </c>
      <c r="D683" s="42" t="str">
        <f>IF(Base!J681="","",Base!J681)</f>
        <v/>
      </c>
      <c r="E683" s="41" t="str">
        <f>IF(Base!H681="","",Base!H681)</f>
        <v/>
      </c>
    </row>
    <row r="684" spans="1:5">
      <c r="A684" s="41" t="str">
        <f>IF(Base!B682="","",Base!B682)</f>
        <v/>
      </c>
      <c r="B684" s="41" t="str">
        <f>IF(Base!F682="","",Base!F682)</f>
        <v/>
      </c>
      <c r="C684" s="41" t="str">
        <f>IF(Base!I682="","",Base!I682)</f>
        <v/>
      </c>
      <c r="D684" s="42" t="str">
        <f>IF(Base!J682="","",Base!J682)</f>
        <v/>
      </c>
      <c r="E684" s="41" t="str">
        <f>IF(Base!H682="","",Base!H682)</f>
        <v/>
      </c>
    </row>
    <row r="685" spans="1:5">
      <c r="A685" s="41" t="str">
        <f>IF(Base!B683="","",Base!B683)</f>
        <v/>
      </c>
      <c r="B685" s="41" t="str">
        <f>IF(Base!F683="","",Base!F683)</f>
        <v/>
      </c>
      <c r="C685" s="41" t="str">
        <f>IF(Base!I683="","",Base!I683)</f>
        <v/>
      </c>
      <c r="D685" s="42" t="str">
        <f>IF(Base!J683="","",Base!J683)</f>
        <v/>
      </c>
      <c r="E685" s="41" t="str">
        <f>IF(Base!H683="","",Base!H683)</f>
        <v/>
      </c>
    </row>
    <row r="686" spans="1:5">
      <c r="A686" s="41" t="str">
        <f>IF(Base!B684="","",Base!B684)</f>
        <v/>
      </c>
      <c r="B686" s="41" t="str">
        <f>IF(Base!F684="","",Base!F684)</f>
        <v/>
      </c>
      <c r="C686" s="41" t="str">
        <f>IF(Base!I684="","",Base!I684)</f>
        <v/>
      </c>
      <c r="D686" s="42" t="str">
        <f>IF(Base!J684="","",Base!J684)</f>
        <v/>
      </c>
      <c r="E686" s="41" t="str">
        <f>IF(Base!H684="","",Base!H684)</f>
        <v/>
      </c>
    </row>
    <row r="687" spans="1:5">
      <c r="A687" s="41" t="str">
        <f>IF(Base!B685="","",Base!B685)</f>
        <v/>
      </c>
      <c r="B687" s="41" t="str">
        <f>IF(Base!F685="","",Base!F685)</f>
        <v/>
      </c>
      <c r="C687" s="41" t="str">
        <f>IF(Base!I685="","",Base!I685)</f>
        <v/>
      </c>
      <c r="D687" s="42" t="str">
        <f>IF(Base!J685="","",Base!J685)</f>
        <v/>
      </c>
      <c r="E687" s="41" t="str">
        <f>IF(Base!H685="","",Base!H685)</f>
        <v/>
      </c>
    </row>
    <row r="688" spans="1:5">
      <c r="A688" s="41" t="str">
        <f>IF(Base!B686="","",Base!B686)</f>
        <v/>
      </c>
      <c r="B688" s="41" t="str">
        <f>IF(Base!F686="","",Base!F686)</f>
        <v/>
      </c>
      <c r="C688" s="41" t="str">
        <f>IF(Base!I686="","",Base!I686)</f>
        <v/>
      </c>
      <c r="D688" s="42" t="str">
        <f>IF(Base!J686="","",Base!J686)</f>
        <v/>
      </c>
      <c r="E688" s="41" t="str">
        <f>IF(Base!H686="","",Base!H686)</f>
        <v/>
      </c>
    </row>
    <row r="689" spans="1:5">
      <c r="A689" s="41" t="str">
        <f>IF(Base!B687="","",Base!B687)</f>
        <v/>
      </c>
      <c r="B689" s="41" t="str">
        <f>IF(Base!F687="","",Base!F687)</f>
        <v/>
      </c>
      <c r="C689" s="41" t="str">
        <f>IF(Base!I687="","",Base!I687)</f>
        <v/>
      </c>
      <c r="D689" s="42" t="str">
        <f>IF(Base!J687="","",Base!J687)</f>
        <v/>
      </c>
      <c r="E689" s="41" t="str">
        <f>IF(Base!H687="","",Base!H687)</f>
        <v/>
      </c>
    </row>
    <row r="690" spans="1:5">
      <c r="A690" s="41" t="str">
        <f>IF(Base!B688="","",Base!B688)</f>
        <v/>
      </c>
      <c r="B690" s="41" t="str">
        <f>IF(Base!F688="","",Base!F688)</f>
        <v/>
      </c>
      <c r="C690" s="41" t="str">
        <f>IF(Base!I688="","",Base!I688)</f>
        <v/>
      </c>
      <c r="D690" s="42" t="str">
        <f>IF(Base!J688="","",Base!J688)</f>
        <v/>
      </c>
      <c r="E690" s="41" t="str">
        <f>IF(Base!H688="","",Base!H688)</f>
        <v/>
      </c>
    </row>
    <row r="691" spans="1:5">
      <c r="A691" s="41" t="str">
        <f>IF(Base!B689="","",Base!B689)</f>
        <v/>
      </c>
      <c r="B691" s="41" t="str">
        <f>IF(Base!F689="","",Base!F689)</f>
        <v/>
      </c>
      <c r="C691" s="41" t="str">
        <f>IF(Base!I689="","",Base!I689)</f>
        <v/>
      </c>
      <c r="D691" s="42" t="str">
        <f>IF(Base!J689="","",Base!J689)</f>
        <v/>
      </c>
      <c r="E691" s="41" t="str">
        <f>IF(Base!H689="","",Base!H689)</f>
        <v/>
      </c>
    </row>
    <row r="692" spans="1:5">
      <c r="A692" s="41" t="str">
        <f>IF(Base!B690="","",Base!B690)</f>
        <v/>
      </c>
      <c r="B692" s="41" t="str">
        <f>IF(Base!F690="","",Base!F690)</f>
        <v/>
      </c>
      <c r="C692" s="41" t="str">
        <f>IF(Base!I690="","",Base!I690)</f>
        <v/>
      </c>
      <c r="D692" s="42" t="str">
        <f>IF(Base!J690="","",Base!J690)</f>
        <v/>
      </c>
      <c r="E692" s="41" t="str">
        <f>IF(Base!H690="","",Base!H690)</f>
        <v/>
      </c>
    </row>
    <row r="693" spans="1:5">
      <c r="A693" s="41" t="str">
        <f>IF(Base!B691="","",Base!B691)</f>
        <v/>
      </c>
      <c r="B693" s="41" t="str">
        <f>IF(Base!F691="","",Base!F691)</f>
        <v/>
      </c>
      <c r="C693" s="41" t="str">
        <f>IF(Base!I691="","",Base!I691)</f>
        <v/>
      </c>
      <c r="D693" s="42" t="str">
        <f>IF(Base!J691="","",Base!J691)</f>
        <v/>
      </c>
      <c r="E693" s="41" t="str">
        <f>IF(Base!H691="","",Base!H691)</f>
        <v/>
      </c>
    </row>
    <row r="694" spans="1:5">
      <c r="A694" s="41" t="str">
        <f>IF(Base!B692="","",Base!B692)</f>
        <v/>
      </c>
      <c r="B694" s="41" t="str">
        <f>IF(Base!F692="","",Base!F692)</f>
        <v/>
      </c>
      <c r="C694" s="41" t="str">
        <f>IF(Base!I692="","",Base!I692)</f>
        <v/>
      </c>
      <c r="D694" s="42" t="str">
        <f>IF(Base!J692="","",Base!J692)</f>
        <v/>
      </c>
      <c r="E694" s="41" t="str">
        <f>IF(Base!H692="","",Base!H692)</f>
        <v/>
      </c>
    </row>
    <row r="695" spans="1:5">
      <c r="A695" s="41" t="str">
        <f>IF(Base!B693="","",Base!B693)</f>
        <v/>
      </c>
      <c r="B695" s="41" t="str">
        <f>IF(Base!F693="","",Base!F693)</f>
        <v/>
      </c>
      <c r="C695" s="41" t="str">
        <f>IF(Base!I693="","",Base!I693)</f>
        <v/>
      </c>
      <c r="D695" s="42" t="str">
        <f>IF(Base!J693="","",Base!J693)</f>
        <v/>
      </c>
      <c r="E695" s="41" t="str">
        <f>IF(Base!H693="","",Base!H693)</f>
        <v/>
      </c>
    </row>
    <row r="696" spans="1:5">
      <c r="A696" s="41" t="str">
        <f>IF(Base!B694="","",Base!B694)</f>
        <v/>
      </c>
      <c r="B696" s="41" t="str">
        <f>IF(Base!F694="","",Base!F694)</f>
        <v/>
      </c>
      <c r="C696" s="41" t="str">
        <f>IF(Base!I694="","",Base!I694)</f>
        <v/>
      </c>
      <c r="D696" s="42" t="str">
        <f>IF(Base!J694="","",Base!J694)</f>
        <v/>
      </c>
      <c r="E696" s="41" t="str">
        <f>IF(Base!H694="","",Base!H694)</f>
        <v/>
      </c>
    </row>
    <row r="697" spans="1:5">
      <c r="A697" s="41" t="str">
        <f>IF(Base!B695="","",Base!B695)</f>
        <v/>
      </c>
      <c r="B697" s="41" t="str">
        <f>IF(Base!F695="","",Base!F695)</f>
        <v/>
      </c>
      <c r="C697" s="41" t="str">
        <f>IF(Base!I695="","",Base!I695)</f>
        <v/>
      </c>
      <c r="D697" s="42" t="str">
        <f>IF(Base!J695="","",Base!J695)</f>
        <v/>
      </c>
      <c r="E697" s="41" t="str">
        <f>IF(Base!H695="","",Base!H695)</f>
        <v/>
      </c>
    </row>
    <row r="698" spans="1:5">
      <c r="A698" s="41" t="str">
        <f>IF(Base!B696="","",Base!B696)</f>
        <v/>
      </c>
      <c r="B698" s="41" t="str">
        <f>IF(Base!F696="","",Base!F696)</f>
        <v/>
      </c>
      <c r="C698" s="41" t="str">
        <f>IF(Base!I696="","",Base!I696)</f>
        <v/>
      </c>
      <c r="D698" s="42" t="str">
        <f>IF(Base!J696="","",Base!J696)</f>
        <v/>
      </c>
      <c r="E698" s="41" t="str">
        <f>IF(Base!H696="","",Base!H696)</f>
        <v/>
      </c>
    </row>
    <row r="699" spans="1:5">
      <c r="A699" s="41" t="str">
        <f>IF(Base!B697="","",Base!B697)</f>
        <v/>
      </c>
      <c r="B699" s="41" t="str">
        <f>IF(Base!F697="","",Base!F697)</f>
        <v/>
      </c>
      <c r="C699" s="41" t="str">
        <f>IF(Base!I697="","",Base!I697)</f>
        <v/>
      </c>
      <c r="D699" s="42" t="str">
        <f>IF(Base!J697="","",Base!J697)</f>
        <v/>
      </c>
      <c r="E699" s="41" t="str">
        <f>IF(Base!H697="","",Base!H697)</f>
        <v/>
      </c>
    </row>
    <row r="700" spans="1:5">
      <c r="A700" s="41" t="str">
        <f>IF(Base!B698="","",Base!B698)</f>
        <v/>
      </c>
      <c r="B700" s="41" t="str">
        <f>IF(Base!F698="","",Base!F698)</f>
        <v/>
      </c>
      <c r="C700" s="41" t="str">
        <f>IF(Base!I698="","",Base!I698)</f>
        <v/>
      </c>
      <c r="D700" s="42" t="str">
        <f>IF(Base!J698="","",Base!J698)</f>
        <v/>
      </c>
      <c r="E700" s="41" t="str">
        <f>IF(Base!H698="","",Base!H698)</f>
        <v/>
      </c>
    </row>
  </sheetData>
  <mergeCells count="16">
    <mergeCell ref="AE9:AF9"/>
    <mergeCell ref="AG9:AG10"/>
    <mergeCell ref="AA8:AB8"/>
    <mergeCell ref="AC8:AD8"/>
    <mergeCell ref="Q8:R8"/>
    <mergeCell ref="S8:T8"/>
    <mergeCell ref="U8:V8"/>
    <mergeCell ref="W8:X8"/>
    <mergeCell ref="Y8:Z8"/>
    <mergeCell ref="AA9:AB9"/>
    <mergeCell ref="AC9:AD9"/>
    <mergeCell ref="Q9:R9"/>
    <mergeCell ref="S9:T9"/>
    <mergeCell ref="U9:V9"/>
    <mergeCell ref="W9:X9"/>
    <mergeCell ref="Y9:Z9"/>
  </mergeCells>
  <dataValidations count="6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1:P260">
      <formula1>$H$3:$H$6</formula1>
    </dataValidation>
    <dataValidation type="list" allowBlank="1" showInputMessage="1" showErrorMessage="1" errorTitle="Datos" error="Use la lista desplegable para ingresar el turno" sqref="P11:P110">
      <formula1>$H$3:$H$7</formula1>
    </dataValidation>
    <dataValidation type="list" allowBlank="1" showInputMessage="1" showErrorMessage="1" sqref="L4">
      <formula1>$H$10:$H$21</formula1>
    </dataValidation>
    <dataValidation type="list" allowBlank="1" showInputMessage="1" showErrorMessage="1" sqref="L5">
      <formula1>$H$23:$H$25</formula1>
    </dataValidation>
    <dataValidation type="list" allowBlank="1" showInputMessage="1" showErrorMessage="1" sqref="L3">
      <formula1>$J$11:$J$65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J12" sqref="J12"/>
    </sheetView>
  </sheetViews>
  <sheetFormatPr baseColWidth="10" defaultRowHeight="12.75"/>
  <cols>
    <col min="1" max="1" width="9" style="41" bestFit="1" customWidth="1"/>
    <col min="2" max="2" width="23.5703125" style="41" customWidth="1"/>
    <col min="3" max="3" width="14.140625" style="41" bestFit="1" customWidth="1"/>
    <col min="4" max="4" width="14.7109375" style="41" bestFit="1" customWidth="1"/>
    <col min="5" max="5" width="10.140625" style="41" bestFit="1" customWidth="1"/>
    <col min="6" max="6" width="8.140625" style="41" bestFit="1" customWidth="1"/>
    <col min="7" max="7" width="4.28515625" style="41" bestFit="1" customWidth="1"/>
    <col min="8" max="8" width="18" style="41" bestFit="1" customWidth="1"/>
  </cols>
  <sheetData>
    <row r="1" spans="1:8" s="57" customFormat="1" ht="33.75" customHeight="1">
      <c r="A1" s="39" t="s">
        <v>5</v>
      </c>
      <c r="B1" s="39" t="s">
        <v>9</v>
      </c>
      <c r="C1" s="39" t="s">
        <v>7</v>
      </c>
      <c r="D1" s="39" t="s">
        <v>8</v>
      </c>
      <c r="E1" s="39" t="s">
        <v>1332</v>
      </c>
      <c r="F1" s="39" t="s">
        <v>1333</v>
      </c>
      <c r="G1" s="39" t="s">
        <v>1334</v>
      </c>
      <c r="H1" s="39" t="s">
        <v>1335</v>
      </c>
    </row>
    <row r="2" spans="1:8" s="64" customFormat="1">
      <c r="A2">
        <v>5080993</v>
      </c>
      <c r="B2" t="s">
        <v>257</v>
      </c>
      <c r="C2" t="s">
        <v>377</v>
      </c>
      <c r="D2" t="s">
        <v>378</v>
      </c>
      <c r="E2" s="118" t="s">
        <v>1420</v>
      </c>
      <c r="F2" s="119">
        <v>0.93800925925925915</v>
      </c>
      <c r="G2" t="s">
        <v>1422</v>
      </c>
      <c r="H2" t="s">
        <v>1337</v>
      </c>
    </row>
    <row r="3" spans="1:8" s="64" customFormat="1">
      <c r="A3">
        <v>5080993</v>
      </c>
      <c r="B3" t="s">
        <v>257</v>
      </c>
      <c r="C3" t="s">
        <v>377</v>
      </c>
      <c r="D3" t="s">
        <v>378</v>
      </c>
      <c r="E3" s="118" t="s">
        <v>1420</v>
      </c>
      <c r="F3" s="119">
        <v>0.6005787037037037</v>
      </c>
      <c r="G3" t="s">
        <v>1421</v>
      </c>
      <c r="H3" t="s">
        <v>1336</v>
      </c>
    </row>
    <row r="4" spans="1:8" s="64" customFormat="1">
      <c r="A4">
        <v>5080993</v>
      </c>
      <c r="B4" t="s">
        <v>257</v>
      </c>
      <c r="C4" t="s">
        <v>377</v>
      </c>
      <c r="D4" t="s">
        <v>378</v>
      </c>
      <c r="E4" s="118" t="s">
        <v>1423</v>
      </c>
      <c r="F4" s="119">
        <v>0.93682870370370364</v>
      </c>
      <c r="G4" t="s">
        <v>1422</v>
      </c>
      <c r="H4" t="s">
        <v>1337</v>
      </c>
    </row>
    <row r="5" spans="1:8" s="64" customFormat="1">
      <c r="A5">
        <v>5080993</v>
      </c>
      <c r="B5" t="s">
        <v>257</v>
      </c>
      <c r="C5" t="s">
        <v>377</v>
      </c>
      <c r="D5" t="s">
        <v>378</v>
      </c>
      <c r="E5" s="118" t="s">
        <v>1423</v>
      </c>
      <c r="F5" s="119">
        <v>0.59415509259259258</v>
      </c>
      <c r="G5" t="s">
        <v>1421</v>
      </c>
      <c r="H5" t="s">
        <v>1336</v>
      </c>
    </row>
    <row r="6" spans="1:8" s="64" customFormat="1">
      <c r="A6">
        <v>5080993</v>
      </c>
      <c r="B6" t="s">
        <v>257</v>
      </c>
      <c r="C6" t="s">
        <v>377</v>
      </c>
      <c r="D6" t="s">
        <v>378</v>
      </c>
      <c r="E6" s="118" t="s">
        <v>1424</v>
      </c>
      <c r="F6" s="119">
        <v>0.85018518518518515</v>
      </c>
      <c r="G6" t="s">
        <v>1422</v>
      </c>
      <c r="H6" t="s">
        <v>1337</v>
      </c>
    </row>
    <row r="7" spans="1:8" s="64" customFormat="1">
      <c r="A7">
        <v>5080993</v>
      </c>
      <c r="B7" t="s">
        <v>257</v>
      </c>
      <c r="C7" t="s">
        <v>377</v>
      </c>
      <c r="D7" t="s">
        <v>378</v>
      </c>
      <c r="E7" s="118" t="s">
        <v>1424</v>
      </c>
      <c r="F7" s="119">
        <v>0.60032407407407407</v>
      </c>
      <c r="G7" t="s">
        <v>1421</v>
      </c>
      <c r="H7" t="s">
        <v>1336</v>
      </c>
    </row>
    <row r="8" spans="1:8" s="64" customFormat="1">
      <c r="A8">
        <v>5080993</v>
      </c>
      <c r="B8" t="s">
        <v>257</v>
      </c>
      <c r="C8" t="s">
        <v>377</v>
      </c>
      <c r="D8" t="s">
        <v>378</v>
      </c>
      <c r="E8" s="118" t="s">
        <v>1425</v>
      </c>
      <c r="F8" s="119">
        <v>0.93754629629629627</v>
      </c>
      <c r="G8" t="s">
        <v>1422</v>
      </c>
      <c r="H8" t="s">
        <v>1337</v>
      </c>
    </row>
    <row r="9" spans="1:8" s="64" customFormat="1">
      <c r="A9">
        <v>5080993</v>
      </c>
      <c r="B9" t="s">
        <v>257</v>
      </c>
      <c r="C9" t="s">
        <v>377</v>
      </c>
      <c r="D9" t="s">
        <v>378</v>
      </c>
      <c r="E9" s="118" t="s">
        <v>1425</v>
      </c>
      <c r="F9" s="119">
        <v>0.60040509259259256</v>
      </c>
      <c r="G9" t="s">
        <v>1421</v>
      </c>
      <c r="H9" t="s">
        <v>1336</v>
      </c>
    </row>
    <row r="10" spans="1:8" s="64" customFormat="1">
      <c r="A10">
        <v>5080993</v>
      </c>
      <c r="B10" t="s">
        <v>257</v>
      </c>
      <c r="C10" t="s">
        <v>377</v>
      </c>
      <c r="D10" t="s">
        <v>378</v>
      </c>
      <c r="E10" s="118" t="s">
        <v>1426</v>
      </c>
      <c r="F10" s="119">
        <v>0.93752314814814808</v>
      </c>
      <c r="G10" t="s">
        <v>1422</v>
      </c>
      <c r="H10" t="s">
        <v>1337</v>
      </c>
    </row>
    <row r="11" spans="1:8" s="64" customFormat="1">
      <c r="A11">
        <v>5080993</v>
      </c>
      <c r="B11" t="s">
        <v>257</v>
      </c>
      <c r="C11" t="s">
        <v>377</v>
      </c>
      <c r="D11" t="s">
        <v>378</v>
      </c>
      <c r="E11" s="118" t="s">
        <v>1426</v>
      </c>
      <c r="F11" s="119">
        <v>0.62310185185185185</v>
      </c>
      <c r="G11" t="s">
        <v>1421</v>
      </c>
      <c r="H11" t="s">
        <v>1336</v>
      </c>
    </row>
    <row r="12" spans="1:8" s="64" customFormat="1">
      <c r="A12">
        <v>5080993</v>
      </c>
      <c r="B12" t="s">
        <v>257</v>
      </c>
      <c r="C12" t="s">
        <v>377</v>
      </c>
      <c r="D12" t="s">
        <v>378</v>
      </c>
      <c r="E12" s="118" t="s">
        <v>1427</v>
      </c>
      <c r="F12" s="119">
        <v>0.93815972222222221</v>
      </c>
      <c r="G12" t="s">
        <v>1422</v>
      </c>
      <c r="H12" t="s">
        <v>1337</v>
      </c>
    </row>
    <row r="13" spans="1:8" s="64" customFormat="1">
      <c r="A13">
        <v>5080993</v>
      </c>
      <c r="B13" t="s">
        <v>257</v>
      </c>
      <c r="C13" t="s">
        <v>377</v>
      </c>
      <c r="D13" t="s">
        <v>378</v>
      </c>
      <c r="E13" s="118" t="s">
        <v>1427</v>
      </c>
      <c r="F13" s="119">
        <v>0.59476851851851853</v>
      </c>
      <c r="G13" t="s">
        <v>1421</v>
      </c>
      <c r="H13" t="s">
        <v>1336</v>
      </c>
    </row>
    <row r="14" spans="1:8" s="64" customFormat="1">
      <c r="A14">
        <v>5267317</v>
      </c>
      <c r="B14" t="s">
        <v>339</v>
      </c>
      <c r="C14" t="s">
        <v>338</v>
      </c>
      <c r="D14" t="s">
        <v>142</v>
      </c>
      <c r="E14" s="118" t="s">
        <v>1420</v>
      </c>
      <c r="F14" s="119">
        <v>0.72828703703703701</v>
      </c>
      <c r="G14" t="s">
        <v>1422</v>
      </c>
      <c r="H14" t="s">
        <v>1337</v>
      </c>
    </row>
    <row r="15" spans="1:8" s="64" customFormat="1">
      <c r="A15">
        <v>5267317</v>
      </c>
      <c r="B15" t="s">
        <v>339</v>
      </c>
      <c r="C15" t="s">
        <v>338</v>
      </c>
      <c r="D15" t="s">
        <v>142</v>
      </c>
      <c r="E15" s="118" t="s">
        <v>1420</v>
      </c>
      <c r="F15" s="119">
        <v>0.28668981481481481</v>
      </c>
      <c r="G15" t="s">
        <v>1421</v>
      </c>
      <c r="H15" t="s">
        <v>1336</v>
      </c>
    </row>
    <row r="16" spans="1:8" s="64" customFormat="1">
      <c r="A16">
        <v>5267317</v>
      </c>
      <c r="B16" t="s">
        <v>339</v>
      </c>
      <c r="C16" t="s">
        <v>338</v>
      </c>
      <c r="D16" t="s">
        <v>142</v>
      </c>
      <c r="E16" s="118" t="s">
        <v>1423</v>
      </c>
      <c r="F16" s="119">
        <v>0.72619212962962953</v>
      </c>
      <c r="G16" t="s">
        <v>1422</v>
      </c>
      <c r="H16" t="s">
        <v>1337</v>
      </c>
    </row>
    <row r="17" spans="1:8" s="64" customFormat="1">
      <c r="A17">
        <v>5267317</v>
      </c>
      <c r="B17" t="s">
        <v>339</v>
      </c>
      <c r="C17" t="s">
        <v>338</v>
      </c>
      <c r="D17" t="s">
        <v>142</v>
      </c>
      <c r="E17" s="118" t="s">
        <v>1423</v>
      </c>
      <c r="F17" s="119">
        <v>0.29966435185185186</v>
      </c>
      <c r="G17" t="s">
        <v>1421</v>
      </c>
      <c r="H17" t="s">
        <v>1336</v>
      </c>
    </row>
    <row r="18" spans="1:8" s="64" customFormat="1">
      <c r="A18">
        <v>5267317</v>
      </c>
      <c r="B18" t="s">
        <v>339</v>
      </c>
      <c r="C18" t="s">
        <v>338</v>
      </c>
      <c r="D18" t="s">
        <v>142</v>
      </c>
      <c r="E18" s="118" t="s">
        <v>1424</v>
      </c>
      <c r="F18" s="119">
        <v>0.73567129629629635</v>
      </c>
      <c r="G18" t="s">
        <v>1422</v>
      </c>
      <c r="H18" t="s">
        <v>1337</v>
      </c>
    </row>
    <row r="19" spans="1:8" s="64" customFormat="1">
      <c r="A19">
        <v>5267317</v>
      </c>
      <c r="B19" t="s">
        <v>339</v>
      </c>
      <c r="C19" t="s">
        <v>338</v>
      </c>
      <c r="D19" t="s">
        <v>142</v>
      </c>
      <c r="E19" s="118" t="s">
        <v>1424</v>
      </c>
      <c r="F19" s="119">
        <v>0.28695601851851854</v>
      </c>
      <c r="G19" t="s">
        <v>1421</v>
      </c>
      <c r="H19" t="s">
        <v>1336</v>
      </c>
    </row>
    <row r="20" spans="1:8" s="64" customFormat="1">
      <c r="A20">
        <v>5267317</v>
      </c>
      <c r="B20" t="s">
        <v>339</v>
      </c>
      <c r="C20" t="s">
        <v>338</v>
      </c>
      <c r="D20" t="s">
        <v>142</v>
      </c>
      <c r="E20" s="118" t="s">
        <v>1425</v>
      </c>
      <c r="F20" s="119">
        <v>0.72928240740740735</v>
      </c>
      <c r="G20" t="s">
        <v>1422</v>
      </c>
      <c r="H20" t="s">
        <v>1337</v>
      </c>
    </row>
    <row r="21" spans="1:8" s="64" customFormat="1">
      <c r="A21">
        <v>5267317</v>
      </c>
      <c r="B21" t="s">
        <v>339</v>
      </c>
      <c r="C21" t="s">
        <v>338</v>
      </c>
      <c r="D21" t="s">
        <v>142</v>
      </c>
      <c r="E21" s="118" t="s">
        <v>1425</v>
      </c>
      <c r="F21" s="119">
        <v>0.28765046296296298</v>
      </c>
      <c r="G21" t="s">
        <v>1421</v>
      </c>
      <c r="H21" t="s">
        <v>1336</v>
      </c>
    </row>
    <row r="22" spans="1:8" s="64" customFormat="1">
      <c r="A22">
        <v>5267317</v>
      </c>
      <c r="B22" t="s">
        <v>339</v>
      </c>
      <c r="C22" t="s">
        <v>338</v>
      </c>
      <c r="D22" t="s">
        <v>142</v>
      </c>
      <c r="E22" s="118" t="s">
        <v>1426</v>
      </c>
      <c r="F22" s="119">
        <v>0.87041666666666673</v>
      </c>
      <c r="G22" t="s">
        <v>1422</v>
      </c>
      <c r="H22" t="s">
        <v>1337</v>
      </c>
    </row>
    <row r="23" spans="1:8" s="64" customFormat="1">
      <c r="A23">
        <v>5267317</v>
      </c>
      <c r="B23" t="s">
        <v>339</v>
      </c>
      <c r="C23" t="s">
        <v>338</v>
      </c>
      <c r="D23" t="s">
        <v>142</v>
      </c>
      <c r="E23" s="118" t="s">
        <v>1426</v>
      </c>
      <c r="F23" s="119">
        <v>0.2840625</v>
      </c>
      <c r="G23" t="s">
        <v>1421</v>
      </c>
      <c r="H23" t="s">
        <v>1336</v>
      </c>
    </row>
    <row r="24" spans="1:8" s="64" customFormat="1">
      <c r="A24">
        <v>5267317</v>
      </c>
      <c r="B24" t="s">
        <v>339</v>
      </c>
      <c r="C24" t="s">
        <v>338</v>
      </c>
      <c r="D24" t="s">
        <v>142</v>
      </c>
      <c r="E24" s="118" t="s">
        <v>1427</v>
      </c>
      <c r="F24" s="119">
        <v>0.57298611111111108</v>
      </c>
      <c r="G24" t="s">
        <v>1422</v>
      </c>
      <c r="H24" t="s">
        <v>1337</v>
      </c>
    </row>
    <row r="25" spans="1:8" s="64" customFormat="1">
      <c r="A25">
        <v>5267317</v>
      </c>
      <c r="B25" t="s">
        <v>339</v>
      </c>
      <c r="C25" t="s">
        <v>338</v>
      </c>
      <c r="D25" t="s">
        <v>142</v>
      </c>
      <c r="E25" s="118" t="s">
        <v>1427</v>
      </c>
      <c r="F25" s="119">
        <v>0.30790509259259258</v>
      </c>
      <c r="G25" t="s">
        <v>1421</v>
      </c>
      <c r="H25" t="s">
        <v>1336</v>
      </c>
    </row>
    <row r="26" spans="1:8" s="64" customFormat="1">
      <c r="A26">
        <v>5989878</v>
      </c>
      <c r="B26" t="s">
        <v>383</v>
      </c>
      <c r="C26" t="s">
        <v>377</v>
      </c>
      <c r="D26" t="s">
        <v>382</v>
      </c>
      <c r="E26" s="118" t="s">
        <v>1420</v>
      </c>
      <c r="F26" s="119">
        <v>0.94047453703703709</v>
      </c>
      <c r="G26" t="s">
        <v>1422</v>
      </c>
      <c r="H26" t="s">
        <v>1337</v>
      </c>
    </row>
    <row r="27" spans="1:8" s="64" customFormat="1">
      <c r="A27">
        <v>5989878</v>
      </c>
      <c r="B27" t="s">
        <v>383</v>
      </c>
      <c r="C27" t="s">
        <v>377</v>
      </c>
      <c r="D27" t="s">
        <v>382</v>
      </c>
      <c r="E27" s="118" t="s">
        <v>1420</v>
      </c>
      <c r="F27" s="119">
        <v>0.60752314814814812</v>
      </c>
      <c r="G27" t="s">
        <v>1421</v>
      </c>
      <c r="H27" t="s">
        <v>1336</v>
      </c>
    </row>
    <row r="28" spans="1:8" s="64" customFormat="1">
      <c r="A28">
        <v>5989878</v>
      </c>
      <c r="B28" t="s">
        <v>383</v>
      </c>
      <c r="C28" t="s">
        <v>377</v>
      </c>
      <c r="D28" t="s">
        <v>382</v>
      </c>
      <c r="E28" s="118" t="s">
        <v>1423</v>
      </c>
      <c r="F28" s="119">
        <v>0.94491898148148146</v>
      </c>
      <c r="G28" t="s">
        <v>1422</v>
      </c>
      <c r="H28" t="s">
        <v>1337</v>
      </c>
    </row>
    <row r="29" spans="1:8" s="64" customFormat="1">
      <c r="A29">
        <v>5989878</v>
      </c>
      <c r="B29" t="s">
        <v>383</v>
      </c>
      <c r="C29" t="s">
        <v>377</v>
      </c>
      <c r="D29" t="s">
        <v>382</v>
      </c>
      <c r="E29" s="118" t="s">
        <v>1423</v>
      </c>
      <c r="F29" s="119">
        <v>0.60767361111111107</v>
      </c>
      <c r="G29" t="s">
        <v>1421</v>
      </c>
      <c r="H29" t="s">
        <v>1336</v>
      </c>
    </row>
    <row r="30" spans="1:8" s="64" customFormat="1">
      <c r="A30">
        <v>5989878</v>
      </c>
      <c r="B30" t="s">
        <v>383</v>
      </c>
      <c r="C30" t="s">
        <v>377</v>
      </c>
      <c r="D30" t="s">
        <v>382</v>
      </c>
      <c r="E30" s="118" t="s">
        <v>1424</v>
      </c>
      <c r="F30" s="119">
        <v>0.94079861111111107</v>
      </c>
      <c r="G30" t="s">
        <v>1422</v>
      </c>
      <c r="H30" t="s">
        <v>1337</v>
      </c>
    </row>
    <row r="31" spans="1:8" s="64" customFormat="1">
      <c r="A31">
        <v>5989878</v>
      </c>
      <c r="B31" t="s">
        <v>383</v>
      </c>
      <c r="C31" t="s">
        <v>377</v>
      </c>
      <c r="D31" t="s">
        <v>382</v>
      </c>
      <c r="E31" s="118" t="s">
        <v>1424</v>
      </c>
      <c r="F31" s="119">
        <v>0.609837962962963</v>
      </c>
      <c r="G31" t="s">
        <v>1421</v>
      </c>
      <c r="H31" t="s">
        <v>1336</v>
      </c>
    </row>
    <row r="32" spans="1:8" s="64" customFormat="1">
      <c r="A32">
        <v>5989878</v>
      </c>
      <c r="B32" t="s">
        <v>383</v>
      </c>
      <c r="C32" t="s">
        <v>377</v>
      </c>
      <c r="D32" t="s">
        <v>382</v>
      </c>
      <c r="E32" s="118" t="s">
        <v>1425</v>
      </c>
      <c r="F32" s="119">
        <v>0.63003472222222223</v>
      </c>
      <c r="G32" t="s">
        <v>1422</v>
      </c>
      <c r="H32" t="s">
        <v>1337</v>
      </c>
    </row>
    <row r="33" spans="1:8" s="64" customFormat="1">
      <c r="A33">
        <v>5989878</v>
      </c>
      <c r="B33" t="s">
        <v>383</v>
      </c>
      <c r="C33" t="s">
        <v>377</v>
      </c>
      <c r="D33" t="s">
        <v>382</v>
      </c>
      <c r="E33" s="118" t="s">
        <v>1425</v>
      </c>
      <c r="F33" s="119">
        <v>0.29910879629629633</v>
      </c>
      <c r="G33" t="s">
        <v>1421</v>
      </c>
      <c r="H33" t="s">
        <v>1336</v>
      </c>
    </row>
    <row r="34" spans="1:8" s="64" customFormat="1">
      <c r="A34">
        <v>5989878</v>
      </c>
      <c r="B34" t="s">
        <v>383</v>
      </c>
      <c r="C34" t="s">
        <v>377</v>
      </c>
      <c r="D34" t="s">
        <v>382</v>
      </c>
      <c r="E34" s="118" t="s">
        <v>1426</v>
      </c>
      <c r="F34" s="119">
        <v>0.93927083333333339</v>
      </c>
      <c r="G34" t="s">
        <v>1422</v>
      </c>
      <c r="H34" t="s">
        <v>1337</v>
      </c>
    </row>
    <row r="35" spans="1:8" s="64" customFormat="1">
      <c r="A35">
        <v>5989878</v>
      </c>
      <c r="B35" t="s">
        <v>383</v>
      </c>
      <c r="C35" t="s">
        <v>377</v>
      </c>
      <c r="D35" t="s">
        <v>382</v>
      </c>
      <c r="E35" s="118" t="s">
        <v>1426</v>
      </c>
      <c r="F35" s="119">
        <v>0.60766203703703703</v>
      </c>
      <c r="G35" t="s">
        <v>1421</v>
      </c>
      <c r="H35" t="s">
        <v>1336</v>
      </c>
    </row>
    <row r="36" spans="1:8" s="64" customFormat="1">
      <c r="A36">
        <v>5989878</v>
      </c>
      <c r="B36" t="s">
        <v>383</v>
      </c>
      <c r="C36" t="s">
        <v>377</v>
      </c>
      <c r="D36" t="s">
        <v>382</v>
      </c>
      <c r="E36" s="118" t="s">
        <v>1427</v>
      </c>
      <c r="F36" s="119">
        <v>0.81225694444444441</v>
      </c>
      <c r="G36" t="s">
        <v>1422</v>
      </c>
      <c r="H36" t="s">
        <v>1337</v>
      </c>
    </row>
    <row r="37" spans="1:8" s="64" customFormat="1">
      <c r="A37">
        <v>5989878</v>
      </c>
      <c r="B37" t="s">
        <v>383</v>
      </c>
      <c r="C37" t="s">
        <v>377</v>
      </c>
      <c r="D37" t="s">
        <v>382</v>
      </c>
      <c r="E37" s="118" t="s">
        <v>1427</v>
      </c>
      <c r="F37" s="119">
        <v>0.49086805555555557</v>
      </c>
      <c r="G37" t="s">
        <v>1421</v>
      </c>
      <c r="H37" t="s">
        <v>1336</v>
      </c>
    </row>
    <row r="38" spans="1:8" s="64" customFormat="1">
      <c r="A38">
        <v>6528911</v>
      </c>
      <c r="B38" t="s">
        <v>257</v>
      </c>
      <c r="C38" t="s">
        <v>806</v>
      </c>
      <c r="D38" t="s">
        <v>25</v>
      </c>
      <c r="E38" s="118" t="s">
        <v>1420</v>
      </c>
      <c r="F38" s="119">
        <v>0.63222222222222224</v>
      </c>
      <c r="G38" t="s">
        <v>1422</v>
      </c>
      <c r="H38" t="s">
        <v>1337</v>
      </c>
    </row>
    <row r="39" spans="1:8" s="64" customFormat="1">
      <c r="A39">
        <v>6528911</v>
      </c>
      <c r="B39" t="s">
        <v>257</v>
      </c>
      <c r="C39" t="s">
        <v>806</v>
      </c>
      <c r="D39" t="s">
        <v>25</v>
      </c>
      <c r="E39" s="118" t="s">
        <v>1420</v>
      </c>
      <c r="F39" s="119">
        <v>0.29260416666666667</v>
      </c>
      <c r="G39" t="s">
        <v>1421</v>
      </c>
      <c r="H39" t="s">
        <v>1336</v>
      </c>
    </row>
    <row r="40" spans="1:8" s="64" customFormat="1">
      <c r="A40">
        <v>6528911</v>
      </c>
      <c r="B40" t="s">
        <v>257</v>
      </c>
      <c r="C40" t="s">
        <v>806</v>
      </c>
      <c r="D40" t="s">
        <v>25</v>
      </c>
      <c r="E40" s="118" t="s">
        <v>1423</v>
      </c>
      <c r="F40" s="119">
        <v>0.63972222222222219</v>
      </c>
      <c r="G40" t="s">
        <v>1422</v>
      </c>
      <c r="H40" t="s">
        <v>1337</v>
      </c>
    </row>
    <row r="41" spans="1:8" s="64" customFormat="1">
      <c r="A41">
        <v>6528911</v>
      </c>
      <c r="B41" t="s">
        <v>257</v>
      </c>
      <c r="C41" t="s">
        <v>806</v>
      </c>
      <c r="D41" t="s">
        <v>25</v>
      </c>
      <c r="E41" s="118" t="s">
        <v>1423</v>
      </c>
      <c r="F41" s="119">
        <v>0.29247685185185185</v>
      </c>
      <c r="G41" t="s">
        <v>1421</v>
      </c>
      <c r="H41" t="s">
        <v>1336</v>
      </c>
    </row>
    <row r="42" spans="1:8" s="64" customFormat="1">
      <c r="A42">
        <v>6528911</v>
      </c>
      <c r="B42" t="s">
        <v>257</v>
      </c>
      <c r="C42" t="s">
        <v>806</v>
      </c>
      <c r="D42" t="s">
        <v>25</v>
      </c>
      <c r="E42" s="118" t="s">
        <v>1424</v>
      </c>
      <c r="F42" s="119">
        <v>0.62829861111111118</v>
      </c>
      <c r="G42" t="s">
        <v>1422</v>
      </c>
      <c r="H42" t="s">
        <v>1337</v>
      </c>
    </row>
    <row r="43" spans="1:8" s="64" customFormat="1">
      <c r="A43">
        <v>6528911</v>
      </c>
      <c r="B43" t="s">
        <v>257</v>
      </c>
      <c r="C43" t="s">
        <v>806</v>
      </c>
      <c r="D43" t="s">
        <v>25</v>
      </c>
      <c r="E43" s="118" t="s">
        <v>1424</v>
      </c>
      <c r="F43" s="119">
        <v>0.29304398148148147</v>
      </c>
      <c r="G43" t="s">
        <v>1421</v>
      </c>
      <c r="H43" t="s">
        <v>1336</v>
      </c>
    </row>
    <row r="44" spans="1:8" s="64" customFormat="1">
      <c r="A44">
        <v>6528911</v>
      </c>
      <c r="B44" t="s">
        <v>257</v>
      </c>
      <c r="C44" t="s">
        <v>806</v>
      </c>
      <c r="D44" t="s">
        <v>25</v>
      </c>
      <c r="E44" s="118" t="s">
        <v>1425</v>
      </c>
      <c r="F44" s="119">
        <v>0.63708333333333333</v>
      </c>
      <c r="G44" t="s">
        <v>1422</v>
      </c>
      <c r="H44" t="s">
        <v>1337</v>
      </c>
    </row>
    <row r="45" spans="1:8" s="64" customFormat="1">
      <c r="A45">
        <v>6528911</v>
      </c>
      <c r="B45" t="s">
        <v>257</v>
      </c>
      <c r="C45" t="s">
        <v>806</v>
      </c>
      <c r="D45" t="s">
        <v>25</v>
      </c>
      <c r="E45" s="118" t="s">
        <v>1425</v>
      </c>
      <c r="F45" s="119">
        <v>0.29281249999999998</v>
      </c>
      <c r="G45" t="s">
        <v>1421</v>
      </c>
      <c r="H45" t="s">
        <v>1336</v>
      </c>
    </row>
    <row r="46" spans="1:8" s="64" customFormat="1">
      <c r="A46">
        <v>6528911</v>
      </c>
      <c r="B46" t="s">
        <v>257</v>
      </c>
      <c r="C46" t="s">
        <v>806</v>
      </c>
      <c r="D46" t="s">
        <v>25</v>
      </c>
      <c r="E46" s="118" t="s">
        <v>1426</v>
      </c>
      <c r="F46" s="119">
        <v>0.64274305555555555</v>
      </c>
      <c r="G46" t="s">
        <v>1422</v>
      </c>
      <c r="H46" t="s">
        <v>1337</v>
      </c>
    </row>
    <row r="47" spans="1:8" s="64" customFormat="1">
      <c r="A47">
        <v>6528911</v>
      </c>
      <c r="B47" t="s">
        <v>257</v>
      </c>
      <c r="C47" t="s">
        <v>806</v>
      </c>
      <c r="D47" t="s">
        <v>25</v>
      </c>
      <c r="E47" s="118" t="s">
        <v>1426</v>
      </c>
      <c r="F47" s="119">
        <v>0.29392361111111109</v>
      </c>
      <c r="G47" t="s">
        <v>1421</v>
      </c>
      <c r="H47" t="s">
        <v>1336</v>
      </c>
    </row>
    <row r="48" spans="1:8" s="64" customFormat="1">
      <c r="A48">
        <v>6528911</v>
      </c>
      <c r="B48" t="s">
        <v>257</v>
      </c>
      <c r="C48" t="s">
        <v>806</v>
      </c>
      <c r="D48" t="s">
        <v>25</v>
      </c>
      <c r="E48" s="118" t="s">
        <v>1427</v>
      </c>
      <c r="F48" s="119">
        <v>0.63292824074074072</v>
      </c>
      <c r="G48" t="s">
        <v>1422</v>
      </c>
      <c r="H48" t="s">
        <v>1337</v>
      </c>
    </row>
    <row r="49" spans="1:8" s="64" customFormat="1">
      <c r="A49">
        <v>6528911</v>
      </c>
      <c r="B49" t="s">
        <v>257</v>
      </c>
      <c r="C49" t="s">
        <v>806</v>
      </c>
      <c r="D49" t="s">
        <v>25</v>
      </c>
      <c r="E49" s="118" t="s">
        <v>1427</v>
      </c>
      <c r="F49" s="119">
        <v>0.29335648148148147</v>
      </c>
      <c r="G49" t="s">
        <v>1421</v>
      </c>
      <c r="H49" t="s">
        <v>1336</v>
      </c>
    </row>
    <row r="50" spans="1:8" s="64" customFormat="1">
      <c r="A50">
        <v>7481602</v>
      </c>
      <c r="B50" t="s">
        <v>701</v>
      </c>
      <c r="C50" t="s">
        <v>687</v>
      </c>
      <c r="D50" t="s">
        <v>700</v>
      </c>
      <c r="E50" s="118" t="s">
        <v>1420</v>
      </c>
      <c r="F50" s="119">
        <v>0.94307870370370372</v>
      </c>
      <c r="G50" t="s">
        <v>1422</v>
      </c>
      <c r="H50" t="s">
        <v>1337</v>
      </c>
    </row>
    <row r="51" spans="1:8" s="64" customFormat="1">
      <c r="A51">
        <v>7481602</v>
      </c>
      <c r="B51" t="s">
        <v>701</v>
      </c>
      <c r="C51" t="s">
        <v>687</v>
      </c>
      <c r="D51" t="s">
        <v>700</v>
      </c>
      <c r="E51" s="118" t="s">
        <v>1420</v>
      </c>
      <c r="F51" s="119">
        <v>0.60835648148148147</v>
      </c>
      <c r="G51" t="s">
        <v>1421</v>
      </c>
      <c r="H51" t="s">
        <v>1336</v>
      </c>
    </row>
    <row r="52" spans="1:8" s="64" customFormat="1">
      <c r="A52">
        <v>7481602</v>
      </c>
      <c r="B52" t="s">
        <v>701</v>
      </c>
      <c r="C52" t="s">
        <v>687</v>
      </c>
      <c r="D52" t="s">
        <v>700</v>
      </c>
      <c r="E52" s="118" t="s">
        <v>1423</v>
      </c>
      <c r="F52" s="119">
        <v>0.9443287037037037</v>
      </c>
      <c r="G52" t="s">
        <v>1422</v>
      </c>
      <c r="H52" t="s">
        <v>1337</v>
      </c>
    </row>
    <row r="53" spans="1:8" s="64" customFormat="1">
      <c r="A53">
        <v>7481602</v>
      </c>
      <c r="B53" t="s">
        <v>701</v>
      </c>
      <c r="C53" t="s">
        <v>687</v>
      </c>
      <c r="D53" t="s">
        <v>700</v>
      </c>
      <c r="E53" s="118" t="s">
        <v>1423</v>
      </c>
      <c r="F53" s="119">
        <v>0.60817129629629629</v>
      </c>
      <c r="G53" t="s">
        <v>1421</v>
      </c>
      <c r="H53" t="s">
        <v>1336</v>
      </c>
    </row>
    <row r="54" spans="1:8" s="64" customFormat="1">
      <c r="A54">
        <v>7481602</v>
      </c>
      <c r="B54" t="s">
        <v>701</v>
      </c>
      <c r="C54" t="s">
        <v>687</v>
      </c>
      <c r="D54" t="s">
        <v>700</v>
      </c>
      <c r="E54" s="118" t="s">
        <v>1424</v>
      </c>
      <c r="F54" s="119">
        <v>0.94033564814814818</v>
      </c>
      <c r="G54" t="s">
        <v>1422</v>
      </c>
      <c r="H54" t="s">
        <v>1337</v>
      </c>
    </row>
    <row r="55" spans="1:8" s="64" customFormat="1">
      <c r="A55">
        <v>7481602</v>
      </c>
      <c r="B55" t="s">
        <v>701</v>
      </c>
      <c r="C55" t="s">
        <v>687</v>
      </c>
      <c r="D55" t="s">
        <v>700</v>
      </c>
      <c r="E55" s="118" t="s">
        <v>1424</v>
      </c>
      <c r="F55" s="119">
        <v>0.60945601851851849</v>
      </c>
      <c r="G55" t="s">
        <v>1421</v>
      </c>
      <c r="H55" t="s">
        <v>1336</v>
      </c>
    </row>
    <row r="56" spans="1:8" s="64" customFormat="1">
      <c r="A56">
        <v>7481602</v>
      </c>
      <c r="B56" t="s">
        <v>701</v>
      </c>
      <c r="C56" t="s">
        <v>687</v>
      </c>
      <c r="D56" t="s">
        <v>700</v>
      </c>
      <c r="E56" s="118" t="s">
        <v>1425</v>
      </c>
      <c r="F56" s="119">
        <v>0.94390046296296293</v>
      </c>
      <c r="G56" t="s">
        <v>1422</v>
      </c>
      <c r="H56" t="s">
        <v>1337</v>
      </c>
    </row>
    <row r="57" spans="1:8" s="64" customFormat="1">
      <c r="A57">
        <v>7481602</v>
      </c>
      <c r="B57" t="s">
        <v>701</v>
      </c>
      <c r="C57" t="s">
        <v>687</v>
      </c>
      <c r="D57" t="s">
        <v>700</v>
      </c>
      <c r="E57" s="118" t="s">
        <v>1425</v>
      </c>
      <c r="F57" s="119">
        <v>0.61252314814814812</v>
      </c>
      <c r="G57" t="s">
        <v>1421</v>
      </c>
      <c r="H57" t="s">
        <v>1336</v>
      </c>
    </row>
    <row r="58" spans="1:8" s="64" customFormat="1">
      <c r="A58">
        <v>7481602</v>
      </c>
      <c r="B58" t="s">
        <v>701</v>
      </c>
      <c r="C58" t="s">
        <v>687</v>
      </c>
      <c r="D58" t="s">
        <v>700</v>
      </c>
      <c r="E58" s="118" t="s">
        <v>1426</v>
      </c>
      <c r="F58" s="119">
        <v>0.9437037037037036</v>
      </c>
      <c r="G58" t="s">
        <v>1422</v>
      </c>
      <c r="H58" t="s">
        <v>1337</v>
      </c>
    </row>
    <row r="59" spans="1:8" s="64" customFormat="1">
      <c r="A59">
        <v>7481602</v>
      </c>
      <c r="B59" t="s">
        <v>701</v>
      </c>
      <c r="C59" t="s">
        <v>687</v>
      </c>
      <c r="D59" t="s">
        <v>700</v>
      </c>
      <c r="E59" s="118" t="s">
        <v>1426</v>
      </c>
      <c r="F59" s="119">
        <v>0.61799768518518516</v>
      </c>
      <c r="G59" t="s">
        <v>1421</v>
      </c>
      <c r="H59" t="s">
        <v>1336</v>
      </c>
    </row>
    <row r="60" spans="1:8" s="64" customFormat="1">
      <c r="A60">
        <v>7481602</v>
      </c>
      <c r="B60" t="s">
        <v>701</v>
      </c>
      <c r="C60" t="s">
        <v>687</v>
      </c>
      <c r="D60" t="s">
        <v>700</v>
      </c>
      <c r="E60" s="118" t="s">
        <v>1427</v>
      </c>
      <c r="F60" s="119">
        <v>0.72829861111111116</v>
      </c>
      <c r="G60" t="s">
        <v>1422</v>
      </c>
      <c r="H60" t="s">
        <v>1337</v>
      </c>
    </row>
    <row r="61" spans="1:8" s="64" customFormat="1">
      <c r="A61">
        <v>7481602</v>
      </c>
      <c r="B61" t="s">
        <v>701</v>
      </c>
      <c r="C61" t="s">
        <v>687</v>
      </c>
      <c r="D61" t="s">
        <v>700</v>
      </c>
      <c r="E61" s="118" t="s">
        <v>1427</v>
      </c>
      <c r="F61" s="119">
        <v>0.42921296296296302</v>
      </c>
      <c r="G61" t="s">
        <v>1421</v>
      </c>
      <c r="H61" t="s">
        <v>1336</v>
      </c>
    </row>
    <row r="62" spans="1:8" s="64" customFormat="1">
      <c r="A62">
        <v>7721223</v>
      </c>
      <c r="B62" t="s">
        <v>839</v>
      </c>
      <c r="C62" t="s">
        <v>838</v>
      </c>
      <c r="D62" t="s">
        <v>748</v>
      </c>
      <c r="E62" s="118" t="s">
        <v>1420</v>
      </c>
      <c r="F62" s="119">
        <v>0.91929398148148145</v>
      </c>
      <c r="G62" t="s">
        <v>1421</v>
      </c>
      <c r="H62" t="s">
        <v>1336</v>
      </c>
    </row>
    <row r="63" spans="1:8" s="64" customFormat="1">
      <c r="A63">
        <v>7721223</v>
      </c>
      <c r="B63" t="s">
        <v>839</v>
      </c>
      <c r="C63" t="s">
        <v>838</v>
      </c>
      <c r="D63" t="s">
        <v>748</v>
      </c>
      <c r="E63" s="118" t="s">
        <v>1423</v>
      </c>
      <c r="F63" s="119">
        <v>0.31740740740740742</v>
      </c>
      <c r="G63" t="s">
        <v>1422</v>
      </c>
      <c r="H63" t="s">
        <v>1337</v>
      </c>
    </row>
    <row r="64" spans="1:8" s="64" customFormat="1">
      <c r="A64">
        <v>7721223</v>
      </c>
      <c r="B64" t="s">
        <v>839</v>
      </c>
      <c r="C64" t="s">
        <v>838</v>
      </c>
      <c r="D64" t="s">
        <v>748</v>
      </c>
      <c r="E64" s="118" t="s">
        <v>1423</v>
      </c>
      <c r="F64" s="119">
        <v>0.91819444444444442</v>
      </c>
      <c r="G64" t="s">
        <v>1421</v>
      </c>
      <c r="H64" t="s">
        <v>1336</v>
      </c>
    </row>
    <row r="65" spans="1:8" s="64" customFormat="1">
      <c r="A65">
        <v>7721223</v>
      </c>
      <c r="B65" t="s">
        <v>839</v>
      </c>
      <c r="C65" t="s">
        <v>838</v>
      </c>
      <c r="D65" t="s">
        <v>748</v>
      </c>
      <c r="E65" s="118" t="s">
        <v>1424</v>
      </c>
      <c r="F65" s="119">
        <v>0.31697916666666665</v>
      </c>
      <c r="G65" t="s">
        <v>1422</v>
      </c>
      <c r="H65" t="s">
        <v>1337</v>
      </c>
    </row>
    <row r="66" spans="1:8" s="64" customFormat="1">
      <c r="A66">
        <v>7721223</v>
      </c>
      <c r="B66" t="s">
        <v>839</v>
      </c>
      <c r="C66" t="s">
        <v>838</v>
      </c>
      <c r="D66" t="s">
        <v>748</v>
      </c>
      <c r="E66" s="118" t="s">
        <v>1424</v>
      </c>
      <c r="F66" s="119">
        <v>0.91810185185185178</v>
      </c>
      <c r="G66" t="s">
        <v>1421</v>
      </c>
      <c r="H66" t="s">
        <v>1336</v>
      </c>
    </row>
    <row r="67" spans="1:8" s="64" customFormat="1">
      <c r="A67">
        <v>7721223</v>
      </c>
      <c r="B67" t="s">
        <v>839</v>
      </c>
      <c r="C67" t="s">
        <v>838</v>
      </c>
      <c r="D67" t="s">
        <v>748</v>
      </c>
      <c r="E67" s="118" t="s">
        <v>1425</v>
      </c>
      <c r="F67" s="119">
        <v>0.32002314814814814</v>
      </c>
      <c r="G67" t="s">
        <v>1422</v>
      </c>
      <c r="H67" t="s">
        <v>1337</v>
      </c>
    </row>
    <row r="68" spans="1:8" s="64" customFormat="1">
      <c r="A68">
        <v>7721223</v>
      </c>
      <c r="B68" t="s">
        <v>839</v>
      </c>
      <c r="C68" t="s">
        <v>838</v>
      </c>
      <c r="D68" t="s">
        <v>748</v>
      </c>
      <c r="E68" s="118" t="s">
        <v>1425</v>
      </c>
      <c r="F68" s="119">
        <v>0.91947916666666663</v>
      </c>
      <c r="G68" t="s">
        <v>1421</v>
      </c>
      <c r="H68" t="s">
        <v>1336</v>
      </c>
    </row>
    <row r="69" spans="1:8" s="64" customFormat="1">
      <c r="A69">
        <v>7721223</v>
      </c>
      <c r="B69" t="s">
        <v>839</v>
      </c>
      <c r="C69" t="s">
        <v>838</v>
      </c>
      <c r="D69" t="s">
        <v>748</v>
      </c>
      <c r="E69" s="118" t="s">
        <v>1426</v>
      </c>
      <c r="F69" s="119">
        <v>0.31730324074074073</v>
      </c>
      <c r="G69" t="s">
        <v>1422</v>
      </c>
      <c r="H69" t="s">
        <v>1337</v>
      </c>
    </row>
    <row r="70" spans="1:8" s="64" customFormat="1">
      <c r="A70">
        <v>7721223</v>
      </c>
      <c r="B70" t="s">
        <v>839</v>
      </c>
      <c r="C70" t="s">
        <v>838</v>
      </c>
      <c r="D70" t="s">
        <v>748</v>
      </c>
      <c r="E70" s="118" t="s">
        <v>1426</v>
      </c>
      <c r="F70" s="119">
        <v>0.92180555555555566</v>
      </c>
      <c r="G70" t="s">
        <v>1421</v>
      </c>
      <c r="H70" t="s">
        <v>1336</v>
      </c>
    </row>
    <row r="71" spans="1:8" s="64" customFormat="1">
      <c r="A71">
        <v>7721223</v>
      </c>
      <c r="B71" t="s">
        <v>839</v>
      </c>
      <c r="C71" t="s">
        <v>838</v>
      </c>
      <c r="D71" t="s">
        <v>748</v>
      </c>
      <c r="E71" s="118" t="s">
        <v>1427</v>
      </c>
      <c r="F71" s="119">
        <v>0.31568287037037041</v>
      </c>
      <c r="G71" t="s">
        <v>1422</v>
      </c>
      <c r="H71" t="s">
        <v>1337</v>
      </c>
    </row>
    <row r="72" spans="1:8" s="64" customFormat="1">
      <c r="A72">
        <v>7760886</v>
      </c>
      <c r="B72" t="s">
        <v>56</v>
      </c>
      <c r="C72" t="s">
        <v>54</v>
      </c>
      <c r="D72" t="s">
        <v>55</v>
      </c>
      <c r="E72" s="118" t="s">
        <v>1420</v>
      </c>
      <c r="F72" s="119">
        <v>0.81153935185185189</v>
      </c>
      <c r="G72" t="s">
        <v>1422</v>
      </c>
      <c r="H72" t="s">
        <v>1337</v>
      </c>
    </row>
    <row r="73" spans="1:8" s="64" customFormat="1">
      <c r="A73">
        <v>7760886</v>
      </c>
      <c r="B73" t="s">
        <v>56</v>
      </c>
      <c r="C73" t="s">
        <v>54</v>
      </c>
      <c r="D73" t="s">
        <v>55</v>
      </c>
      <c r="E73" s="118" t="s">
        <v>1420</v>
      </c>
      <c r="F73" s="119">
        <v>0.30967592592592591</v>
      </c>
      <c r="G73" t="s">
        <v>1421</v>
      </c>
      <c r="H73" t="s">
        <v>1336</v>
      </c>
    </row>
    <row r="74" spans="1:8" s="64" customFormat="1">
      <c r="A74">
        <v>7760886</v>
      </c>
      <c r="B74" t="s">
        <v>56</v>
      </c>
      <c r="C74" t="s">
        <v>54</v>
      </c>
      <c r="D74" t="s">
        <v>55</v>
      </c>
      <c r="E74" s="118" t="s">
        <v>1423</v>
      </c>
      <c r="F74" s="119">
        <v>0.8143287037037038</v>
      </c>
      <c r="G74" t="s">
        <v>1422</v>
      </c>
      <c r="H74" t="s">
        <v>1337</v>
      </c>
    </row>
    <row r="75" spans="1:8" s="64" customFormat="1">
      <c r="A75">
        <v>7760886</v>
      </c>
      <c r="B75" t="s">
        <v>56</v>
      </c>
      <c r="C75" t="s">
        <v>54</v>
      </c>
      <c r="D75" t="s">
        <v>55</v>
      </c>
      <c r="E75" s="118" t="s">
        <v>1423</v>
      </c>
      <c r="F75" s="119">
        <v>0.31056712962962962</v>
      </c>
      <c r="G75" t="s">
        <v>1421</v>
      </c>
      <c r="H75" t="s">
        <v>1336</v>
      </c>
    </row>
    <row r="76" spans="1:8" s="64" customFormat="1">
      <c r="A76">
        <v>7760886</v>
      </c>
      <c r="B76" t="s">
        <v>56</v>
      </c>
      <c r="C76" t="s">
        <v>54</v>
      </c>
      <c r="D76" t="s">
        <v>55</v>
      </c>
      <c r="E76" s="118" t="s">
        <v>1424</v>
      </c>
      <c r="F76" s="119">
        <v>0.80843750000000003</v>
      </c>
      <c r="G76" t="s">
        <v>1422</v>
      </c>
      <c r="H76" t="s">
        <v>1337</v>
      </c>
    </row>
    <row r="77" spans="1:8" s="64" customFormat="1">
      <c r="A77">
        <v>7760886</v>
      </c>
      <c r="B77" t="s">
        <v>56</v>
      </c>
      <c r="C77" t="s">
        <v>54</v>
      </c>
      <c r="D77" t="s">
        <v>55</v>
      </c>
      <c r="E77" s="118" t="s">
        <v>1424</v>
      </c>
      <c r="F77" s="119">
        <v>0.30584490740740738</v>
      </c>
      <c r="G77" t="s">
        <v>1421</v>
      </c>
      <c r="H77" t="s">
        <v>1336</v>
      </c>
    </row>
    <row r="78" spans="1:8" s="64" customFormat="1">
      <c r="A78">
        <v>7760886</v>
      </c>
      <c r="B78" t="s">
        <v>56</v>
      </c>
      <c r="C78" t="s">
        <v>54</v>
      </c>
      <c r="D78" t="s">
        <v>55</v>
      </c>
      <c r="E78" s="118" t="s">
        <v>1425</v>
      </c>
      <c r="F78" s="119">
        <v>0.81135416666666671</v>
      </c>
      <c r="G78" t="s">
        <v>1422</v>
      </c>
      <c r="H78" t="s">
        <v>1337</v>
      </c>
    </row>
    <row r="79" spans="1:8" s="64" customFormat="1">
      <c r="A79">
        <v>7760886</v>
      </c>
      <c r="B79" t="s">
        <v>56</v>
      </c>
      <c r="C79" t="s">
        <v>54</v>
      </c>
      <c r="D79" t="s">
        <v>55</v>
      </c>
      <c r="E79" s="118" t="s">
        <v>1425</v>
      </c>
      <c r="F79" s="119">
        <v>0.30701388888888886</v>
      </c>
      <c r="G79" t="s">
        <v>1421</v>
      </c>
      <c r="H79" t="s">
        <v>1336</v>
      </c>
    </row>
    <row r="80" spans="1:8" s="64" customFormat="1">
      <c r="A80">
        <v>7760886</v>
      </c>
      <c r="B80" t="s">
        <v>56</v>
      </c>
      <c r="C80" t="s">
        <v>54</v>
      </c>
      <c r="D80" t="s">
        <v>55</v>
      </c>
      <c r="E80" s="118" t="s">
        <v>1426</v>
      </c>
      <c r="F80" s="119">
        <v>0.81001157407407398</v>
      </c>
      <c r="G80" t="s">
        <v>1422</v>
      </c>
      <c r="H80" t="s">
        <v>1337</v>
      </c>
    </row>
    <row r="81" spans="1:8" s="64" customFormat="1">
      <c r="A81">
        <v>7760886</v>
      </c>
      <c r="B81" t="s">
        <v>56</v>
      </c>
      <c r="C81" t="s">
        <v>54</v>
      </c>
      <c r="D81" t="s">
        <v>55</v>
      </c>
      <c r="E81" s="118" t="s">
        <v>1426</v>
      </c>
      <c r="F81" s="119">
        <v>0.30303240740740739</v>
      </c>
      <c r="G81" t="s">
        <v>1421</v>
      </c>
      <c r="H81" t="s">
        <v>1336</v>
      </c>
    </row>
    <row r="82" spans="1:8" s="64" customFormat="1">
      <c r="A82">
        <v>7815607</v>
      </c>
      <c r="B82" t="s">
        <v>291</v>
      </c>
      <c r="C82" t="s">
        <v>289</v>
      </c>
      <c r="D82" t="s">
        <v>290</v>
      </c>
      <c r="E82" s="118" t="s">
        <v>1420</v>
      </c>
      <c r="F82" s="119">
        <v>0.63031249999999994</v>
      </c>
      <c r="G82" t="s">
        <v>1422</v>
      </c>
      <c r="H82" t="s">
        <v>1337</v>
      </c>
    </row>
    <row r="83" spans="1:8" s="64" customFormat="1">
      <c r="A83">
        <v>7815607</v>
      </c>
      <c r="B83" t="s">
        <v>291</v>
      </c>
      <c r="C83" t="s">
        <v>289</v>
      </c>
      <c r="D83" t="s">
        <v>290</v>
      </c>
      <c r="E83" s="118" t="s">
        <v>1420</v>
      </c>
      <c r="F83" s="119">
        <v>0.28010416666666665</v>
      </c>
      <c r="G83" t="s">
        <v>1421</v>
      </c>
      <c r="H83" t="s">
        <v>1336</v>
      </c>
    </row>
    <row r="84" spans="1:8" s="64" customFormat="1">
      <c r="A84">
        <v>7815607</v>
      </c>
      <c r="B84" t="s">
        <v>291</v>
      </c>
      <c r="C84" t="s">
        <v>289</v>
      </c>
      <c r="D84" t="s">
        <v>290</v>
      </c>
      <c r="E84" s="118" t="s">
        <v>1423</v>
      </c>
      <c r="F84" s="119">
        <v>0.63261574074074078</v>
      </c>
      <c r="G84" t="s">
        <v>1422</v>
      </c>
      <c r="H84" t="s">
        <v>1337</v>
      </c>
    </row>
    <row r="85" spans="1:8" s="64" customFormat="1">
      <c r="A85">
        <v>7815607</v>
      </c>
      <c r="B85" t="s">
        <v>291</v>
      </c>
      <c r="C85" t="s">
        <v>289</v>
      </c>
      <c r="D85" t="s">
        <v>290</v>
      </c>
      <c r="E85" s="118" t="s">
        <v>1423</v>
      </c>
      <c r="F85" s="119">
        <v>0.28938657407407409</v>
      </c>
      <c r="G85" t="s">
        <v>1421</v>
      </c>
      <c r="H85" t="s">
        <v>1336</v>
      </c>
    </row>
    <row r="86" spans="1:8" s="64" customFormat="1">
      <c r="A86">
        <v>7815607</v>
      </c>
      <c r="B86" t="s">
        <v>291</v>
      </c>
      <c r="C86" t="s">
        <v>289</v>
      </c>
      <c r="D86" t="s">
        <v>290</v>
      </c>
      <c r="E86" s="118" t="s">
        <v>1424</v>
      </c>
      <c r="F86" s="119">
        <v>0.63570601851851849</v>
      </c>
      <c r="G86" t="s">
        <v>1422</v>
      </c>
      <c r="H86" t="s">
        <v>1337</v>
      </c>
    </row>
    <row r="87" spans="1:8" s="64" customFormat="1">
      <c r="A87">
        <v>7815607</v>
      </c>
      <c r="B87" t="s">
        <v>291</v>
      </c>
      <c r="C87" t="s">
        <v>289</v>
      </c>
      <c r="D87" t="s">
        <v>290</v>
      </c>
      <c r="E87" s="118" t="s">
        <v>1424</v>
      </c>
      <c r="F87" s="119">
        <v>0.27717592592592594</v>
      </c>
      <c r="G87" t="s">
        <v>1421</v>
      </c>
      <c r="H87" t="s">
        <v>1336</v>
      </c>
    </row>
    <row r="88" spans="1:8" s="64" customFormat="1">
      <c r="A88">
        <v>7815607</v>
      </c>
      <c r="B88" t="s">
        <v>291</v>
      </c>
      <c r="C88" t="s">
        <v>289</v>
      </c>
      <c r="D88" t="s">
        <v>290</v>
      </c>
      <c r="E88" s="118" t="s">
        <v>1425</v>
      </c>
      <c r="F88" s="119">
        <v>0.63596064814814812</v>
      </c>
      <c r="G88" t="s">
        <v>1422</v>
      </c>
      <c r="H88" t="s">
        <v>1337</v>
      </c>
    </row>
    <row r="89" spans="1:8" s="64" customFormat="1">
      <c r="A89">
        <v>7815607</v>
      </c>
      <c r="B89" t="s">
        <v>291</v>
      </c>
      <c r="C89" t="s">
        <v>289</v>
      </c>
      <c r="D89" t="s">
        <v>290</v>
      </c>
      <c r="E89" s="118" t="s">
        <v>1425</v>
      </c>
      <c r="F89" s="119">
        <v>0.27717592592592594</v>
      </c>
      <c r="G89" t="s">
        <v>1421</v>
      </c>
      <c r="H89" t="s">
        <v>1336</v>
      </c>
    </row>
    <row r="90" spans="1:8" s="64" customFormat="1">
      <c r="A90">
        <v>7815607</v>
      </c>
      <c r="B90" t="s">
        <v>291</v>
      </c>
      <c r="C90" t="s">
        <v>289</v>
      </c>
      <c r="D90" t="s">
        <v>290</v>
      </c>
      <c r="E90" s="118" t="s">
        <v>1426</v>
      </c>
      <c r="F90" s="119">
        <v>0.63589120370370367</v>
      </c>
      <c r="G90" t="s">
        <v>1422</v>
      </c>
      <c r="H90" t="s">
        <v>1337</v>
      </c>
    </row>
    <row r="91" spans="1:8" s="64" customFormat="1">
      <c r="A91">
        <v>7815607</v>
      </c>
      <c r="B91" t="s">
        <v>291</v>
      </c>
      <c r="C91" t="s">
        <v>289</v>
      </c>
      <c r="D91" t="s">
        <v>290</v>
      </c>
      <c r="E91" s="118" t="s">
        <v>1426</v>
      </c>
      <c r="F91" s="119">
        <v>0.28449074074074071</v>
      </c>
      <c r="G91" t="s">
        <v>1421</v>
      </c>
      <c r="H91" t="s">
        <v>1336</v>
      </c>
    </row>
    <row r="92" spans="1:8" s="64" customFormat="1">
      <c r="A92">
        <v>7815607</v>
      </c>
      <c r="B92" t="s">
        <v>291</v>
      </c>
      <c r="C92" t="s">
        <v>289</v>
      </c>
      <c r="D92" t="s">
        <v>290</v>
      </c>
      <c r="E92" s="118" t="s">
        <v>1427</v>
      </c>
      <c r="F92" s="119">
        <v>0.93822916666666656</v>
      </c>
      <c r="G92" t="s">
        <v>1422</v>
      </c>
      <c r="H92" t="s">
        <v>1337</v>
      </c>
    </row>
    <row r="93" spans="1:8" s="64" customFormat="1">
      <c r="A93">
        <v>7815607</v>
      </c>
      <c r="B93" t="s">
        <v>291</v>
      </c>
      <c r="C93" t="s">
        <v>289</v>
      </c>
      <c r="D93" t="s">
        <v>290</v>
      </c>
      <c r="E93" s="118" t="s">
        <v>1427</v>
      </c>
      <c r="F93" s="119">
        <v>0.60362268518518525</v>
      </c>
      <c r="G93" t="s">
        <v>1421</v>
      </c>
      <c r="H93" t="s">
        <v>1336</v>
      </c>
    </row>
    <row r="94" spans="1:8" s="64" customFormat="1">
      <c r="A94">
        <v>7816535</v>
      </c>
      <c r="B94" t="s">
        <v>257</v>
      </c>
      <c r="C94" t="s">
        <v>255</v>
      </c>
      <c r="D94" t="s">
        <v>256</v>
      </c>
      <c r="E94" s="118" t="s">
        <v>1420</v>
      </c>
      <c r="F94" s="119">
        <v>0.62540509259259258</v>
      </c>
      <c r="G94" t="s">
        <v>1422</v>
      </c>
      <c r="H94" t="s">
        <v>1337</v>
      </c>
    </row>
    <row r="95" spans="1:8" s="64" customFormat="1">
      <c r="A95">
        <v>7816535</v>
      </c>
      <c r="B95" t="s">
        <v>257</v>
      </c>
      <c r="C95" t="s">
        <v>255</v>
      </c>
      <c r="D95" t="s">
        <v>256</v>
      </c>
      <c r="E95" s="118" t="s">
        <v>1420</v>
      </c>
      <c r="F95" s="119">
        <v>0.30810185185185185</v>
      </c>
      <c r="G95" t="s">
        <v>1421</v>
      </c>
      <c r="H95" t="s">
        <v>1336</v>
      </c>
    </row>
    <row r="96" spans="1:8" s="64" customFormat="1">
      <c r="A96">
        <v>7816535</v>
      </c>
      <c r="B96" t="s">
        <v>257</v>
      </c>
      <c r="C96" t="s">
        <v>255</v>
      </c>
      <c r="D96" t="s">
        <v>256</v>
      </c>
      <c r="E96" s="118" t="s">
        <v>1424</v>
      </c>
      <c r="F96" s="119">
        <v>0.62967592592592592</v>
      </c>
      <c r="G96" t="s">
        <v>1422</v>
      </c>
      <c r="H96" t="s">
        <v>1337</v>
      </c>
    </row>
    <row r="97" spans="1:8" s="64" customFormat="1">
      <c r="A97">
        <v>7816535</v>
      </c>
      <c r="B97" t="s">
        <v>257</v>
      </c>
      <c r="C97" t="s">
        <v>255</v>
      </c>
      <c r="D97" t="s">
        <v>256</v>
      </c>
      <c r="E97" s="118" t="s">
        <v>1424</v>
      </c>
      <c r="F97" s="119">
        <v>0.30520833333333336</v>
      </c>
      <c r="G97" t="s">
        <v>1421</v>
      </c>
      <c r="H97" t="s">
        <v>1336</v>
      </c>
    </row>
    <row r="98" spans="1:8" s="64" customFormat="1">
      <c r="A98">
        <v>7816535</v>
      </c>
      <c r="B98" t="s">
        <v>257</v>
      </c>
      <c r="C98" t="s">
        <v>255</v>
      </c>
      <c r="D98" t="s">
        <v>256</v>
      </c>
      <c r="E98" s="118" t="s">
        <v>1425</v>
      </c>
      <c r="F98" s="119">
        <v>0.62870370370370365</v>
      </c>
      <c r="G98" t="s">
        <v>1422</v>
      </c>
      <c r="H98" t="s">
        <v>1337</v>
      </c>
    </row>
    <row r="99" spans="1:8" s="64" customFormat="1">
      <c r="A99">
        <v>7816535</v>
      </c>
      <c r="B99" t="s">
        <v>257</v>
      </c>
      <c r="C99" t="s">
        <v>255</v>
      </c>
      <c r="D99" t="s">
        <v>256</v>
      </c>
      <c r="E99" s="118" t="s">
        <v>1425</v>
      </c>
      <c r="F99" s="119">
        <v>0.30486111111111108</v>
      </c>
      <c r="G99" t="s">
        <v>1421</v>
      </c>
      <c r="H99" t="s">
        <v>1336</v>
      </c>
    </row>
    <row r="100" spans="1:8" s="64" customFormat="1">
      <c r="A100">
        <v>7816535</v>
      </c>
      <c r="B100" t="s">
        <v>257</v>
      </c>
      <c r="C100" t="s">
        <v>255</v>
      </c>
      <c r="D100" t="s">
        <v>256</v>
      </c>
      <c r="E100" s="118" t="s">
        <v>1426</v>
      </c>
      <c r="F100" s="119">
        <v>0.62864583333333335</v>
      </c>
      <c r="G100" t="s">
        <v>1422</v>
      </c>
      <c r="H100" t="s">
        <v>1337</v>
      </c>
    </row>
    <row r="101" spans="1:8" s="64" customFormat="1">
      <c r="A101">
        <v>7816535</v>
      </c>
      <c r="B101" t="s">
        <v>257</v>
      </c>
      <c r="C101" t="s">
        <v>255</v>
      </c>
      <c r="D101" t="s">
        <v>256</v>
      </c>
      <c r="E101" s="118" t="s">
        <v>1426</v>
      </c>
      <c r="F101" s="119">
        <v>0.31010416666666668</v>
      </c>
      <c r="G101" t="s">
        <v>1421</v>
      </c>
      <c r="H101" t="s">
        <v>1336</v>
      </c>
    </row>
    <row r="102" spans="1:8" s="64" customFormat="1">
      <c r="A102">
        <v>7816535</v>
      </c>
      <c r="B102" t="s">
        <v>257</v>
      </c>
      <c r="C102" t="s">
        <v>255</v>
      </c>
      <c r="D102" t="s">
        <v>256</v>
      </c>
      <c r="E102" s="118" t="s">
        <v>1427</v>
      </c>
      <c r="F102" s="119">
        <v>0.62888888888888894</v>
      </c>
      <c r="G102" t="s">
        <v>1422</v>
      </c>
      <c r="H102" t="s">
        <v>1337</v>
      </c>
    </row>
    <row r="103" spans="1:8" s="64" customFormat="1">
      <c r="A103">
        <v>7816535</v>
      </c>
      <c r="B103" t="s">
        <v>257</v>
      </c>
      <c r="C103" t="s">
        <v>255</v>
      </c>
      <c r="D103" t="s">
        <v>256</v>
      </c>
      <c r="E103" s="118" t="s">
        <v>1427</v>
      </c>
      <c r="F103" s="119">
        <v>0.30591435185185184</v>
      </c>
      <c r="G103" t="s">
        <v>1421</v>
      </c>
      <c r="H103" t="s">
        <v>1336</v>
      </c>
    </row>
    <row r="104" spans="1:8" s="64" customFormat="1">
      <c r="A104">
        <v>7816805</v>
      </c>
      <c r="B104" t="s">
        <v>1207</v>
      </c>
      <c r="C104" t="s">
        <v>569</v>
      </c>
      <c r="D104" t="s">
        <v>413</v>
      </c>
      <c r="E104" s="118" t="s">
        <v>1420</v>
      </c>
      <c r="F104" s="119">
        <v>0.91631944444444446</v>
      </c>
      <c r="G104" t="s">
        <v>1421</v>
      </c>
      <c r="H104" t="s">
        <v>1336</v>
      </c>
    </row>
    <row r="105" spans="1:8" s="64" customFormat="1">
      <c r="A105">
        <v>7816805</v>
      </c>
      <c r="B105" t="s">
        <v>1207</v>
      </c>
      <c r="C105" t="s">
        <v>569</v>
      </c>
      <c r="D105" t="s">
        <v>413</v>
      </c>
      <c r="E105" s="118" t="s">
        <v>1423</v>
      </c>
      <c r="F105" s="119">
        <v>0.32431712962962961</v>
      </c>
      <c r="G105" t="s">
        <v>1422</v>
      </c>
      <c r="H105" t="s">
        <v>1337</v>
      </c>
    </row>
    <row r="106" spans="1:8" s="64" customFormat="1">
      <c r="A106">
        <v>7816805</v>
      </c>
      <c r="B106" t="s">
        <v>1207</v>
      </c>
      <c r="C106" t="s">
        <v>569</v>
      </c>
      <c r="D106" t="s">
        <v>413</v>
      </c>
      <c r="E106" s="118" t="s">
        <v>1423</v>
      </c>
      <c r="F106" s="119">
        <v>0.91430555555555559</v>
      </c>
      <c r="G106" t="s">
        <v>1421</v>
      </c>
      <c r="H106" t="s">
        <v>1336</v>
      </c>
    </row>
    <row r="107" spans="1:8" s="64" customFormat="1">
      <c r="A107">
        <v>7816805</v>
      </c>
      <c r="B107" t="s">
        <v>1207</v>
      </c>
      <c r="C107" t="s">
        <v>569</v>
      </c>
      <c r="D107" t="s">
        <v>413</v>
      </c>
      <c r="E107" s="118" t="s">
        <v>1424</v>
      </c>
      <c r="F107" s="119">
        <v>0.32171296296296298</v>
      </c>
      <c r="G107" t="s">
        <v>1422</v>
      </c>
      <c r="H107" t="s">
        <v>1337</v>
      </c>
    </row>
    <row r="108" spans="1:8" s="64" customFormat="1">
      <c r="A108">
        <v>7816805</v>
      </c>
      <c r="B108" t="s">
        <v>1207</v>
      </c>
      <c r="C108" t="s">
        <v>569</v>
      </c>
      <c r="D108" t="s">
        <v>413</v>
      </c>
      <c r="E108" s="118" t="s">
        <v>1424</v>
      </c>
      <c r="F108" s="119">
        <v>0.91396990740740736</v>
      </c>
      <c r="G108" t="s">
        <v>1421</v>
      </c>
      <c r="H108" t="s">
        <v>1336</v>
      </c>
    </row>
    <row r="109" spans="1:8" s="64" customFormat="1">
      <c r="A109">
        <v>7816805</v>
      </c>
      <c r="B109" t="s">
        <v>1207</v>
      </c>
      <c r="C109" t="s">
        <v>569</v>
      </c>
      <c r="D109" t="s">
        <v>413</v>
      </c>
      <c r="E109" s="118" t="s">
        <v>1425</v>
      </c>
      <c r="F109" s="119">
        <v>0.32314814814814813</v>
      </c>
      <c r="G109" t="s">
        <v>1422</v>
      </c>
      <c r="H109" t="s">
        <v>1337</v>
      </c>
    </row>
    <row r="110" spans="1:8" s="64" customFormat="1">
      <c r="A110">
        <v>7816805</v>
      </c>
      <c r="B110" t="s">
        <v>1207</v>
      </c>
      <c r="C110" t="s">
        <v>569</v>
      </c>
      <c r="D110" t="s">
        <v>413</v>
      </c>
      <c r="E110" s="118" t="s">
        <v>1425</v>
      </c>
      <c r="F110" s="119">
        <v>0.91577546296296297</v>
      </c>
      <c r="G110" t="s">
        <v>1421</v>
      </c>
      <c r="H110" t="s">
        <v>1336</v>
      </c>
    </row>
    <row r="111" spans="1:8" s="64" customFormat="1">
      <c r="A111">
        <v>7816805</v>
      </c>
      <c r="B111" t="s">
        <v>1207</v>
      </c>
      <c r="C111" t="s">
        <v>569</v>
      </c>
      <c r="D111" t="s">
        <v>413</v>
      </c>
      <c r="E111" s="118" t="s">
        <v>1426</v>
      </c>
      <c r="F111" s="119">
        <v>0.32246527777777778</v>
      </c>
      <c r="G111" t="s">
        <v>1422</v>
      </c>
      <c r="H111" t="s">
        <v>1337</v>
      </c>
    </row>
    <row r="112" spans="1:8" s="64" customFormat="1">
      <c r="A112">
        <v>7816805</v>
      </c>
      <c r="B112" t="s">
        <v>1207</v>
      </c>
      <c r="C112" t="s">
        <v>569</v>
      </c>
      <c r="D112" t="s">
        <v>413</v>
      </c>
      <c r="E112" s="118" t="s">
        <v>1426</v>
      </c>
      <c r="F112" s="119">
        <v>0.91442129629629632</v>
      </c>
      <c r="G112" t="s">
        <v>1421</v>
      </c>
      <c r="H112" t="s">
        <v>1336</v>
      </c>
    </row>
    <row r="113" spans="1:8" s="64" customFormat="1">
      <c r="A113">
        <v>7816805</v>
      </c>
      <c r="B113" t="s">
        <v>1207</v>
      </c>
      <c r="C113" t="s">
        <v>569</v>
      </c>
      <c r="D113" t="s">
        <v>413</v>
      </c>
      <c r="E113" s="118" t="s">
        <v>1427</v>
      </c>
      <c r="F113" s="119">
        <v>0.32394675925925925</v>
      </c>
      <c r="G113" t="s">
        <v>1422</v>
      </c>
      <c r="H113" t="s">
        <v>1337</v>
      </c>
    </row>
    <row r="114" spans="1:8" s="64" customFormat="1">
      <c r="A114">
        <v>7913597</v>
      </c>
      <c r="B114" t="s">
        <v>849</v>
      </c>
      <c r="C114" t="s">
        <v>580</v>
      </c>
      <c r="D114" t="s">
        <v>848</v>
      </c>
      <c r="E114" s="118" t="s">
        <v>1420</v>
      </c>
      <c r="F114" s="119">
        <v>0.63399305555555552</v>
      </c>
      <c r="G114" t="s">
        <v>1422</v>
      </c>
      <c r="H114" t="s">
        <v>1337</v>
      </c>
    </row>
    <row r="115" spans="1:8" s="64" customFormat="1">
      <c r="A115">
        <v>7913597</v>
      </c>
      <c r="B115" t="s">
        <v>849</v>
      </c>
      <c r="C115" t="s">
        <v>580</v>
      </c>
      <c r="D115" t="s">
        <v>848</v>
      </c>
      <c r="E115" s="118" t="s">
        <v>1420</v>
      </c>
      <c r="F115" s="119">
        <v>0.29050925925925924</v>
      </c>
      <c r="G115" t="s">
        <v>1421</v>
      </c>
      <c r="H115" t="s">
        <v>1336</v>
      </c>
    </row>
    <row r="116" spans="1:8" s="64" customFormat="1">
      <c r="A116">
        <v>7913597</v>
      </c>
      <c r="B116" t="s">
        <v>849</v>
      </c>
      <c r="C116" t="s">
        <v>580</v>
      </c>
      <c r="D116" t="s">
        <v>848</v>
      </c>
      <c r="E116" s="118" t="s">
        <v>1423</v>
      </c>
      <c r="F116" s="119">
        <v>0.70780092592592592</v>
      </c>
      <c r="G116" t="s">
        <v>1422</v>
      </c>
      <c r="H116" t="s">
        <v>1337</v>
      </c>
    </row>
    <row r="117" spans="1:8" s="64" customFormat="1">
      <c r="A117">
        <v>7913597</v>
      </c>
      <c r="B117" t="s">
        <v>849</v>
      </c>
      <c r="C117" t="s">
        <v>580</v>
      </c>
      <c r="D117" t="s">
        <v>848</v>
      </c>
      <c r="E117" s="118" t="s">
        <v>1423</v>
      </c>
      <c r="F117" s="119">
        <v>0.29032407407407407</v>
      </c>
      <c r="G117" t="s">
        <v>1421</v>
      </c>
      <c r="H117" t="s">
        <v>1336</v>
      </c>
    </row>
    <row r="118" spans="1:8" s="64" customFormat="1">
      <c r="A118">
        <v>7913597</v>
      </c>
      <c r="B118" t="s">
        <v>849</v>
      </c>
      <c r="C118" t="s">
        <v>580</v>
      </c>
      <c r="D118" t="s">
        <v>848</v>
      </c>
      <c r="E118" s="118" t="s">
        <v>1424</v>
      </c>
      <c r="F118" s="119">
        <v>0.68293981481481481</v>
      </c>
      <c r="G118" t="s">
        <v>1422</v>
      </c>
      <c r="H118" t="s">
        <v>1337</v>
      </c>
    </row>
    <row r="119" spans="1:8" s="64" customFormat="1">
      <c r="A119">
        <v>7913597</v>
      </c>
      <c r="B119" t="s">
        <v>849</v>
      </c>
      <c r="C119" t="s">
        <v>580</v>
      </c>
      <c r="D119" t="s">
        <v>848</v>
      </c>
      <c r="E119" s="118" t="s">
        <v>1424</v>
      </c>
      <c r="F119" s="119">
        <v>0.28899305555555554</v>
      </c>
      <c r="G119" t="s">
        <v>1421</v>
      </c>
      <c r="H119" t="s">
        <v>1336</v>
      </c>
    </row>
    <row r="120" spans="1:8" s="64" customFormat="1">
      <c r="A120">
        <v>7913597</v>
      </c>
      <c r="B120" t="s">
        <v>849</v>
      </c>
      <c r="C120" t="s">
        <v>580</v>
      </c>
      <c r="D120" t="s">
        <v>848</v>
      </c>
      <c r="E120" s="118" t="s">
        <v>1425</v>
      </c>
      <c r="F120" s="119">
        <v>0.63590277777777782</v>
      </c>
      <c r="G120" t="s">
        <v>1422</v>
      </c>
      <c r="H120" t="s">
        <v>1337</v>
      </c>
    </row>
    <row r="121" spans="1:8" s="64" customFormat="1">
      <c r="A121">
        <v>7913597</v>
      </c>
      <c r="B121" t="s">
        <v>849</v>
      </c>
      <c r="C121" t="s">
        <v>580</v>
      </c>
      <c r="D121" t="s">
        <v>848</v>
      </c>
      <c r="E121" s="118" t="s">
        <v>1425</v>
      </c>
      <c r="F121" s="119">
        <v>0.29623842592592592</v>
      </c>
      <c r="G121" t="s">
        <v>1421</v>
      </c>
      <c r="H121" t="s">
        <v>1336</v>
      </c>
    </row>
    <row r="122" spans="1:8" s="64" customFormat="1">
      <c r="A122">
        <v>7913597</v>
      </c>
      <c r="B122" t="s">
        <v>849</v>
      </c>
      <c r="C122" t="s">
        <v>580</v>
      </c>
      <c r="D122" t="s">
        <v>848</v>
      </c>
      <c r="E122" s="118" t="s">
        <v>1426</v>
      </c>
      <c r="F122" s="119">
        <v>0.6366087962962963</v>
      </c>
      <c r="G122" t="s">
        <v>1422</v>
      </c>
      <c r="H122" t="s">
        <v>1337</v>
      </c>
    </row>
    <row r="123" spans="1:8" s="64" customFormat="1">
      <c r="A123">
        <v>7913597</v>
      </c>
      <c r="B123" t="s">
        <v>849</v>
      </c>
      <c r="C123" t="s">
        <v>580</v>
      </c>
      <c r="D123" t="s">
        <v>848</v>
      </c>
      <c r="E123" s="118" t="s">
        <v>1426</v>
      </c>
      <c r="F123" s="119">
        <v>0.29631944444444441</v>
      </c>
      <c r="G123" t="s">
        <v>1421</v>
      </c>
      <c r="H123" t="s">
        <v>1336</v>
      </c>
    </row>
    <row r="124" spans="1:8" s="64" customFormat="1">
      <c r="A124">
        <v>7913597</v>
      </c>
      <c r="B124" t="s">
        <v>849</v>
      </c>
      <c r="C124" t="s">
        <v>580</v>
      </c>
      <c r="D124" t="s">
        <v>848</v>
      </c>
      <c r="E124" s="118" t="s">
        <v>1427</v>
      </c>
      <c r="F124" s="119">
        <v>0.63445601851851852</v>
      </c>
      <c r="G124" t="s">
        <v>1422</v>
      </c>
      <c r="H124" t="s">
        <v>1337</v>
      </c>
    </row>
    <row r="125" spans="1:8" s="64" customFormat="1">
      <c r="A125">
        <v>7913597</v>
      </c>
      <c r="B125" t="s">
        <v>849</v>
      </c>
      <c r="C125" t="s">
        <v>580</v>
      </c>
      <c r="D125" t="s">
        <v>848</v>
      </c>
      <c r="E125" s="118" t="s">
        <v>1427</v>
      </c>
      <c r="F125" s="119">
        <v>0.29158564814814814</v>
      </c>
      <c r="G125" t="s">
        <v>1421</v>
      </c>
      <c r="H125" t="s">
        <v>1336</v>
      </c>
    </row>
    <row r="126" spans="1:8" s="64" customFormat="1">
      <c r="A126">
        <v>7913597</v>
      </c>
      <c r="B126" t="s">
        <v>849</v>
      </c>
      <c r="C126" t="s">
        <v>580</v>
      </c>
      <c r="D126" t="s">
        <v>848</v>
      </c>
      <c r="E126" s="118" t="s">
        <v>1428</v>
      </c>
      <c r="F126" s="119">
        <v>0.93552083333333336</v>
      </c>
      <c r="G126" t="s">
        <v>1421</v>
      </c>
      <c r="H126" t="s">
        <v>1336</v>
      </c>
    </row>
    <row r="127" spans="1:8" s="64" customFormat="1">
      <c r="A127">
        <v>7916907</v>
      </c>
      <c r="B127" t="s">
        <v>934</v>
      </c>
      <c r="C127" t="s">
        <v>528</v>
      </c>
      <c r="D127" t="s">
        <v>308</v>
      </c>
      <c r="E127" s="118" t="s">
        <v>1420</v>
      </c>
      <c r="F127" s="119">
        <v>0.33585648148148151</v>
      </c>
      <c r="G127" t="s">
        <v>1422</v>
      </c>
      <c r="H127" t="s">
        <v>1337</v>
      </c>
    </row>
    <row r="128" spans="1:8" s="64" customFormat="1">
      <c r="A128">
        <v>7916907</v>
      </c>
      <c r="B128" t="s">
        <v>934</v>
      </c>
      <c r="C128" t="s">
        <v>528</v>
      </c>
      <c r="D128" t="s">
        <v>308</v>
      </c>
      <c r="E128" s="118" t="s">
        <v>1423</v>
      </c>
      <c r="F128" s="119">
        <v>0.77986111111111101</v>
      </c>
      <c r="G128" t="s">
        <v>1422</v>
      </c>
      <c r="H128" t="s">
        <v>1337</v>
      </c>
    </row>
    <row r="129" spans="1:8" s="64" customFormat="1">
      <c r="A129">
        <v>7916907</v>
      </c>
      <c r="B129" t="s">
        <v>934</v>
      </c>
      <c r="C129" t="s">
        <v>528</v>
      </c>
      <c r="D129" t="s">
        <v>308</v>
      </c>
      <c r="E129" s="118" t="s">
        <v>1423</v>
      </c>
      <c r="F129" s="119">
        <v>0.30225694444444445</v>
      </c>
      <c r="G129" t="s">
        <v>1421</v>
      </c>
      <c r="H129" t="s">
        <v>1336</v>
      </c>
    </row>
    <row r="130" spans="1:8" s="64" customFormat="1">
      <c r="A130">
        <v>7916907</v>
      </c>
      <c r="B130" t="s">
        <v>934</v>
      </c>
      <c r="C130" t="s">
        <v>528</v>
      </c>
      <c r="D130" t="s">
        <v>308</v>
      </c>
      <c r="E130" s="118" t="s">
        <v>1424</v>
      </c>
      <c r="F130" s="119">
        <v>0.78331018518518514</v>
      </c>
      <c r="G130" t="s">
        <v>1422</v>
      </c>
      <c r="H130" t="s">
        <v>1337</v>
      </c>
    </row>
    <row r="131" spans="1:8" s="64" customFormat="1">
      <c r="A131">
        <v>7916907</v>
      </c>
      <c r="B131" t="s">
        <v>934</v>
      </c>
      <c r="C131" t="s">
        <v>528</v>
      </c>
      <c r="D131" t="s">
        <v>308</v>
      </c>
      <c r="E131" s="118" t="s">
        <v>1424</v>
      </c>
      <c r="F131" s="119">
        <v>0.30361111111111111</v>
      </c>
      <c r="G131" t="s">
        <v>1421</v>
      </c>
      <c r="H131" t="s">
        <v>1336</v>
      </c>
    </row>
    <row r="132" spans="1:8" s="64" customFormat="1">
      <c r="A132">
        <v>7916907</v>
      </c>
      <c r="B132" t="s">
        <v>934</v>
      </c>
      <c r="C132" t="s">
        <v>528</v>
      </c>
      <c r="D132" t="s">
        <v>308</v>
      </c>
      <c r="E132" s="118" t="s">
        <v>1425</v>
      </c>
      <c r="F132" s="119">
        <v>0.77961805555555552</v>
      </c>
      <c r="G132" t="s">
        <v>1422</v>
      </c>
      <c r="H132" t="s">
        <v>1337</v>
      </c>
    </row>
    <row r="133" spans="1:8" s="64" customFormat="1">
      <c r="A133">
        <v>7916907</v>
      </c>
      <c r="B133" t="s">
        <v>934</v>
      </c>
      <c r="C133" t="s">
        <v>528</v>
      </c>
      <c r="D133" t="s">
        <v>308</v>
      </c>
      <c r="E133" s="118" t="s">
        <v>1425</v>
      </c>
      <c r="F133" s="119">
        <v>0.34700231481481486</v>
      </c>
      <c r="G133" t="s">
        <v>1421</v>
      </c>
      <c r="H133" t="s">
        <v>1336</v>
      </c>
    </row>
    <row r="134" spans="1:8" s="64" customFormat="1">
      <c r="A134">
        <v>7916907</v>
      </c>
      <c r="B134" t="s">
        <v>934</v>
      </c>
      <c r="C134" t="s">
        <v>528</v>
      </c>
      <c r="D134" t="s">
        <v>308</v>
      </c>
      <c r="E134" s="118" t="s">
        <v>1426</v>
      </c>
      <c r="F134" s="119">
        <v>0.75537037037037036</v>
      </c>
      <c r="G134" t="s">
        <v>1422</v>
      </c>
      <c r="H134" t="s">
        <v>1337</v>
      </c>
    </row>
    <row r="135" spans="1:8" s="64" customFormat="1">
      <c r="A135">
        <v>7916907</v>
      </c>
      <c r="B135" t="s">
        <v>934</v>
      </c>
      <c r="C135" t="s">
        <v>528</v>
      </c>
      <c r="D135" t="s">
        <v>308</v>
      </c>
      <c r="E135" s="118" t="s">
        <v>1426</v>
      </c>
      <c r="F135" s="119">
        <v>0.30442129629629627</v>
      </c>
      <c r="G135" t="s">
        <v>1421</v>
      </c>
      <c r="H135" t="s">
        <v>1336</v>
      </c>
    </row>
    <row r="136" spans="1:8" s="64" customFormat="1">
      <c r="A136">
        <v>7916907</v>
      </c>
      <c r="B136" t="s">
        <v>934</v>
      </c>
      <c r="C136" t="s">
        <v>528</v>
      </c>
      <c r="D136" t="s">
        <v>308</v>
      </c>
      <c r="E136" s="118" t="s">
        <v>1428</v>
      </c>
      <c r="F136" s="119">
        <v>0.99990740740740736</v>
      </c>
      <c r="G136" t="s">
        <v>1421</v>
      </c>
      <c r="H136" t="s">
        <v>1336</v>
      </c>
    </row>
    <row r="137" spans="1:8" s="64" customFormat="1">
      <c r="A137">
        <v>7944613</v>
      </c>
      <c r="B137" t="s">
        <v>309</v>
      </c>
      <c r="C137" t="s">
        <v>179</v>
      </c>
      <c r="D137" t="s">
        <v>308</v>
      </c>
      <c r="E137" s="118" t="s">
        <v>1420</v>
      </c>
      <c r="F137" s="119">
        <v>0.62804398148148144</v>
      </c>
      <c r="G137" t="s">
        <v>1422</v>
      </c>
      <c r="H137" t="s">
        <v>1337</v>
      </c>
    </row>
    <row r="138" spans="1:8" s="64" customFormat="1">
      <c r="A138">
        <v>7944613</v>
      </c>
      <c r="B138" t="s">
        <v>309</v>
      </c>
      <c r="C138" t="s">
        <v>179</v>
      </c>
      <c r="D138" t="s">
        <v>308</v>
      </c>
      <c r="E138" s="118" t="s">
        <v>1420</v>
      </c>
      <c r="F138" s="119">
        <v>0.29501157407407408</v>
      </c>
      <c r="G138" t="s">
        <v>1421</v>
      </c>
      <c r="H138" t="s">
        <v>1336</v>
      </c>
    </row>
    <row r="139" spans="1:8" s="64" customFormat="1">
      <c r="A139">
        <v>7944613</v>
      </c>
      <c r="B139" t="s">
        <v>309</v>
      </c>
      <c r="C139" t="s">
        <v>179</v>
      </c>
      <c r="D139" t="s">
        <v>308</v>
      </c>
      <c r="E139" s="118" t="s">
        <v>1423</v>
      </c>
      <c r="F139" s="119">
        <v>0.62975694444444441</v>
      </c>
      <c r="G139" t="s">
        <v>1422</v>
      </c>
      <c r="H139" t="s">
        <v>1337</v>
      </c>
    </row>
    <row r="140" spans="1:8" s="64" customFormat="1">
      <c r="A140">
        <v>7944613</v>
      </c>
      <c r="B140" t="s">
        <v>309</v>
      </c>
      <c r="C140" t="s">
        <v>179</v>
      </c>
      <c r="D140" t="s">
        <v>308</v>
      </c>
      <c r="E140" s="118" t="s">
        <v>1423</v>
      </c>
      <c r="F140" s="119">
        <v>0.29583333333333334</v>
      </c>
      <c r="G140" t="s">
        <v>1421</v>
      </c>
      <c r="H140" t="s">
        <v>1336</v>
      </c>
    </row>
    <row r="141" spans="1:8" s="64" customFormat="1">
      <c r="A141">
        <v>7944613</v>
      </c>
      <c r="B141" t="s">
        <v>309</v>
      </c>
      <c r="C141" t="s">
        <v>179</v>
      </c>
      <c r="D141" t="s">
        <v>308</v>
      </c>
      <c r="E141" s="118" t="s">
        <v>1424</v>
      </c>
      <c r="F141" s="119">
        <v>0.62912037037037039</v>
      </c>
      <c r="G141" t="s">
        <v>1422</v>
      </c>
      <c r="H141" t="s">
        <v>1337</v>
      </c>
    </row>
    <row r="142" spans="1:8" s="64" customFormat="1">
      <c r="A142">
        <v>7944613</v>
      </c>
      <c r="B142" t="s">
        <v>309</v>
      </c>
      <c r="C142" t="s">
        <v>179</v>
      </c>
      <c r="D142" t="s">
        <v>308</v>
      </c>
      <c r="E142" s="118" t="s">
        <v>1424</v>
      </c>
      <c r="F142" s="119">
        <v>0.29552083333333334</v>
      </c>
      <c r="G142" t="s">
        <v>1421</v>
      </c>
      <c r="H142" t="s">
        <v>1336</v>
      </c>
    </row>
    <row r="143" spans="1:8" s="64" customFormat="1">
      <c r="A143">
        <v>7944613</v>
      </c>
      <c r="B143" t="s">
        <v>309</v>
      </c>
      <c r="C143" t="s">
        <v>179</v>
      </c>
      <c r="D143" t="s">
        <v>308</v>
      </c>
      <c r="E143" s="118" t="s">
        <v>1425</v>
      </c>
      <c r="F143" s="119">
        <v>0.62755787037037036</v>
      </c>
      <c r="G143" t="s">
        <v>1422</v>
      </c>
      <c r="H143" t="s">
        <v>1337</v>
      </c>
    </row>
    <row r="144" spans="1:8" s="64" customFormat="1">
      <c r="A144">
        <v>7944613</v>
      </c>
      <c r="B144" t="s">
        <v>309</v>
      </c>
      <c r="C144" t="s">
        <v>179</v>
      </c>
      <c r="D144" t="s">
        <v>308</v>
      </c>
      <c r="E144" s="118" t="s">
        <v>1425</v>
      </c>
      <c r="F144" s="119">
        <v>0.29440972222222223</v>
      </c>
      <c r="G144" t="s">
        <v>1421</v>
      </c>
      <c r="H144" t="s">
        <v>1336</v>
      </c>
    </row>
    <row r="145" spans="1:8" s="64" customFormat="1">
      <c r="A145">
        <v>7944613</v>
      </c>
      <c r="B145" t="s">
        <v>309</v>
      </c>
      <c r="C145" t="s">
        <v>179</v>
      </c>
      <c r="D145" t="s">
        <v>308</v>
      </c>
      <c r="E145" s="118" t="s">
        <v>1426</v>
      </c>
      <c r="F145" s="119">
        <v>0.63104166666666661</v>
      </c>
      <c r="G145" t="s">
        <v>1422</v>
      </c>
      <c r="H145" t="s">
        <v>1337</v>
      </c>
    </row>
    <row r="146" spans="1:8" s="64" customFormat="1">
      <c r="A146">
        <v>7944613</v>
      </c>
      <c r="B146" t="s">
        <v>309</v>
      </c>
      <c r="C146" t="s">
        <v>179</v>
      </c>
      <c r="D146" t="s">
        <v>308</v>
      </c>
      <c r="E146" s="118" t="s">
        <v>1426</v>
      </c>
      <c r="F146" s="119">
        <v>0.29479166666666667</v>
      </c>
      <c r="G146" t="s">
        <v>1421</v>
      </c>
      <c r="H146" t="s">
        <v>1336</v>
      </c>
    </row>
    <row r="147" spans="1:8" s="64" customFormat="1">
      <c r="A147">
        <v>7944613</v>
      </c>
      <c r="B147" t="s">
        <v>309</v>
      </c>
      <c r="C147" t="s">
        <v>179</v>
      </c>
      <c r="D147" t="s">
        <v>308</v>
      </c>
      <c r="E147" s="118" t="s">
        <v>1427</v>
      </c>
      <c r="F147" s="119">
        <v>0.62605324074074076</v>
      </c>
      <c r="G147" t="s">
        <v>1422</v>
      </c>
      <c r="H147" t="s">
        <v>1337</v>
      </c>
    </row>
    <row r="148" spans="1:8" s="64" customFormat="1">
      <c r="A148">
        <v>7944613</v>
      </c>
      <c r="B148" t="s">
        <v>309</v>
      </c>
      <c r="C148" t="s">
        <v>179</v>
      </c>
      <c r="D148" t="s">
        <v>308</v>
      </c>
      <c r="E148" s="118" t="s">
        <v>1427</v>
      </c>
      <c r="F148" s="119">
        <v>0.29418981481481482</v>
      </c>
      <c r="G148" t="s">
        <v>1421</v>
      </c>
      <c r="H148" t="s">
        <v>1336</v>
      </c>
    </row>
    <row r="149" spans="1:8" s="64" customFormat="1">
      <c r="A149">
        <v>8245727</v>
      </c>
      <c r="B149" t="s">
        <v>121</v>
      </c>
      <c r="C149" t="s">
        <v>961</v>
      </c>
      <c r="D149" t="s">
        <v>289</v>
      </c>
      <c r="E149" s="118" t="s">
        <v>1420</v>
      </c>
      <c r="F149" s="119">
        <v>0.63892361111111107</v>
      </c>
      <c r="G149" t="s">
        <v>1422</v>
      </c>
      <c r="H149" t="s">
        <v>1337</v>
      </c>
    </row>
    <row r="150" spans="1:8" s="64" customFormat="1">
      <c r="A150">
        <v>8245727</v>
      </c>
      <c r="B150" t="s">
        <v>121</v>
      </c>
      <c r="C150" t="s">
        <v>961</v>
      </c>
      <c r="D150" t="s">
        <v>289</v>
      </c>
      <c r="E150" s="118" t="s">
        <v>1420</v>
      </c>
      <c r="F150" s="119">
        <v>0.29496527777777776</v>
      </c>
      <c r="G150" t="s">
        <v>1421</v>
      </c>
      <c r="H150" t="s">
        <v>1336</v>
      </c>
    </row>
    <row r="151" spans="1:8" s="64" customFormat="1">
      <c r="A151">
        <v>8245727</v>
      </c>
      <c r="B151" t="s">
        <v>121</v>
      </c>
      <c r="C151" t="s">
        <v>961</v>
      </c>
      <c r="D151" t="s">
        <v>289</v>
      </c>
      <c r="E151" s="118" t="s">
        <v>1423</v>
      </c>
      <c r="F151" s="119">
        <v>0.63606481481481481</v>
      </c>
      <c r="G151" t="s">
        <v>1422</v>
      </c>
      <c r="H151" t="s">
        <v>1337</v>
      </c>
    </row>
    <row r="152" spans="1:8" s="64" customFormat="1">
      <c r="A152">
        <v>8245727</v>
      </c>
      <c r="B152" t="s">
        <v>121</v>
      </c>
      <c r="C152" t="s">
        <v>961</v>
      </c>
      <c r="D152" t="s">
        <v>289</v>
      </c>
      <c r="E152" s="118" t="s">
        <v>1423</v>
      </c>
      <c r="F152" s="119">
        <v>0.29468749999999999</v>
      </c>
      <c r="G152" t="s">
        <v>1421</v>
      </c>
      <c r="H152" t="s">
        <v>1336</v>
      </c>
    </row>
    <row r="153" spans="1:8" s="64" customFormat="1">
      <c r="A153">
        <v>8245727</v>
      </c>
      <c r="B153" t="s">
        <v>121</v>
      </c>
      <c r="C153" t="s">
        <v>961</v>
      </c>
      <c r="D153" t="s">
        <v>289</v>
      </c>
      <c r="E153" s="118" t="s">
        <v>1424</v>
      </c>
      <c r="F153" s="119">
        <v>0.65966435185185179</v>
      </c>
      <c r="G153" t="s">
        <v>1422</v>
      </c>
      <c r="H153" t="s">
        <v>1337</v>
      </c>
    </row>
    <row r="154" spans="1:8" s="64" customFormat="1">
      <c r="A154">
        <v>8245727</v>
      </c>
      <c r="B154" t="s">
        <v>121</v>
      </c>
      <c r="C154" t="s">
        <v>961</v>
      </c>
      <c r="D154" t="s">
        <v>289</v>
      </c>
      <c r="E154" s="118" t="s">
        <v>1424</v>
      </c>
      <c r="F154" s="119">
        <v>0.29421296296296295</v>
      </c>
      <c r="G154" t="s">
        <v>1421</v>
      </c>
      <c r="H154" t="s">
        <v>1336</v>
      </c>
    </row>
    <row r="155" spans="1:8" s="64" customFormat="1">
      <c r="A155">
        <v>8245727</v>
      </c>
      <c r="B155" t="s">
        <v>121</v>
      </c>
      <c r="C155" t="s">
        <v>961</v>
      </c>
      <c r="D155" t="s">
        <v>289</v>
      </c>
      <c r="E155" s="118" t="s">
        <v>1425</v>
      </c>
      <c r="F155" s="119">
        <v>0.63605324074074077</v>
      </c>
      <c r="G155" t="s">
        <v>1422</v>
      </c>
      <c r="H155" t="s">
        <v>1337</v>
      </c>
    </row>
    <row r="156" spans="1:8" s="64" customFormat="1">
      <c r="A156">
        <v>8245727</v>
      </c>
      <c r="B156" t="s">
        <v>121</v>
      </c>
      <c r="C156" t="s">
        <v>961</v>
      </c>
      <c r="D156" t="s">
        <v>289</v>
      </c>
      <c r="E156" s="118" t="s">
        <v>1425</v>
      </c>
      <c r="F156" s="119">
        <v>0.29366898148148152</v>
      </c>
      <c r="G156" t="s">
        <v>1421</v>
      </c>
      <c r="H156" t="s">
        <v>1336</v>
      </c>
    </row>
    <row r="157" spans="1:8" s="64" customFormat="1">
      <c r="A157">
        <v>8245727</v>
      </c>
      <c r="B157" t="s">
        <v>121</v>
      </c>
      <c r="C157" t="s">
        <v>961</v>
      </c>
      <c r="D157" t="s">
        <v>289</v>
      </c>
      <c r="E157" s="118" t="s">
        <v>1426</v>
      </c>
      <c r="F157" s="119">
        <v>0.63863425925925921</v>
      </c>
      <c r="G157" t="s">
        <v>1422</v>
      </c>
      <c r="H157" t="s">
        <v>1337</v>
      </c>
    </row>
    <row r="158" spans="1:8" s="64" customFormat="1">
      <c r="A158">
        <v>8245727</v>
      </c>
      <c r="B158" t="s">
        <v>121</v>
      </c>
      <c r="C158" t="s">
        <v>961</v>
      </c>
      <c r="D158" t="s">
        <v>289</v>
      </c>
      <c r="E158" s="118" t="s">
        <v>1426</v>
      </c>
      <c r="F158" s="119">
        <v>0.29487268518518517</v>
      </c>
      <c r="G158" t="s">
        <v>1421</v>
      </c>
      <c r="H158" t="s">
        <v>1336</v>
      </c>
    </row>
    <row r="159" spans="1:8" s="64" customFormat="1">
      <c r="A159">
        <v>8245727</v>
      </c>
      <c r="B159" t="s">
        <v>121</v>
      </c>
      <c r="C159" t="s">
        <v>961</v>
      </c>
      <c r="D159" t="s">
        <v>289</v>
      </c>
      <c r="E159" s="118" t="s">
        <v>1427</v>
      </c>
      <c r="F159" s="119">
        <v>0.65144675925925932</v>
      </c>
      <c r="G159" t="s">
        <v>1422</v>
      </c>
      <c r="H159" t="s">
        <v>1337</v>
      </c>
    </row>
    <row r="160" spans="1:8" s="64" customFormat="1">
      <c r="A160">
        <v>8245727</v>
      </c>
      <c r="B160" t="s">
        <v>121</v>
      </c>
      <c r="C160" t="s">
        <v>961</v>
      </c>
      <c r="D160" t="s">
        <v>289</v>
      </c>
      <c r="E160" s="118" t="s">
        <v>1427</v>
      </c>
      <c r="F160" s="119">
        <v>0.29378472222222224</v>
      </c>
      <c r="G160" t="s">
        <v>1421</v>
      </c>
      <c r="H160" t="s">
        <v>1336</v>
      </c>
    </row>
    <row r="161" spans="1:8" s="64" customFormat="1">
      <c r="A161">
        <v>8245727</v>
      </c>
      <c r="B161" t="s">
        <v>121</v>
      </c>
      <c r="C161" t="s">
        <v>961</v>
      </c>
      <c r="D161" t="s">
        <v>289</v>
      </c>
      <c r="E161" s="118" t="s">
        <v>1428</v>
      </c>
      <c r="F161" s="119">
        <v>0.99206018518518524</v>
      </c>
      <c r="G161" t="s">
        <v>1421</v>
      </c>
      <c r="H161" t="s">
        <v>1336</v>
      </c>
    </row>
    <row r="162" spans="1:8" s="64" customFormat="1">
      <c r="A162">
        <v>8283277</v>
      </c>
      <c r="B162" t="s">
        <v>103</v>
      </c>
      <c r="C162" t="s">
        <v>90</v>
      </c>
      <c r="D162" t="s">
        <v>102</v>
      </c>
      <c r="E162" s="118" t="s">
        <v>1420</v>
      </c>
      <c r="F162" s="119">
        <v>0.63289351851851849</v>
      </c>
      <c r="G162" t="s">
        <v>1422</v>
      </c>
      <c r="H162" t="s">
        <v>1337</v>
      </c>
    </row>
    <row r="163" spans="1:8" s="64" customFormat="1">
      <c r="A163">
        <v>8283277</v>
      </c>
      <c r="B163" t="s">
        <v>103</v>
      </c>
      <c r="C163" t="s">
        <v>90</v>
      </c>
      <c r="D163" t="s">
        <v>102</v>
      </c>
      <c r="E163" s="118" t="s">
        <v>1420</v>
      </c>
      <c r="F163" s="119">
        <v>0.29282407407407407</v>
      </c>
      <c r="G163" t="s">
        <v>1421</v>
      </c>
      <c r="H163" t="s">
        <v>1336</v>
      </c>
    </row>
    <row r="164" spans="1:8" s="64" customFormat="1">
      <c r="A164">
        <v>8283277</v>
      </c>
      <c r="B164" t="s">
        <v>103</v>
      </c>
      <c r="C164" t="s">
        <v>90</v>
      </c>
      <c r="D164" t="s">
        <v>102</v>
      </c>
      <c r="E164" s="118" t="s">
        <v>1423</v>
      </c>
      <c r="F164" s="119">
        <v>0.72296296296296303</v>
      </c>
      <c r="G164" t="s">
        <v>1422</v>
      </c>
      <c r="H164" t="s">
        <v>1337</v>
      </c>
    </row>
    <row r="165" spans="1:8" s="64" customFormat="1">
      <c r="A165">
        <v>8283277</v>
      </c>
      <c r="B165" t="s">
        <v>103</v>
      </c>
      <c r="C165" t="s">
        <v>90</v>
      </c>
      <c r="D165" t="s">
        <v>102</v>
      </c>
      <c r="E165" s="118" t="s">
        <v>1423</v>
      </c>
      <c r="F165" s="119">
        <v>0.29243055555555558</v>
      </c>
      <c r="G165" t="s">
        <v>1421</v>
      </c>
      <c r="H165" t="s">
        <v>1336</v>
      </c>
    </row>
    <row r="166" spans="1:8" s="64" customFormat="1">
      <c r="A166">
        <v>8283277</v>
      </c>
      <c r="B166" t="s">
        <v>103</v>
      </c>
      <c r="C166" t="s">
        <v>90</v>
      </c>
      <c r="D166" t="s">
        <v>102</v>
      </c>
      <c r="E166" s="118" t="s">
        <v>1424</v>
      </c>
      <c r="F166" s="119">
        <v>0.73630787037037038</v>
      </c>
      <c r="G166" t="s">
        <v>1422</v>
      </c>
      <c r="H166" t="s">
        <v>1337</v>
      </c>
    </row>
    <row r="167" spans="1:8" s="64" customFormat="1">
      <c r="A167">
        <v>8283277</v>
      </c>
      <c r="B167" t="s">
        <v>103</v>
      </c>
      <c r="C167" t="s">
        <v>90</v>
      </c>
      <c r="D167" t="s">
        <v>102</v>
      </c>
      <c r="E167" s="118" t="s">
        <v>1424</v>
      </c>
      <c r="F167" s="119">
        <v>0.30400462962962965</v>
      </c>
      <c r="G167" t="s">
        <v>1421</v>
      </c>
      <c r="H167" t="s">
        <v>1336</v>
      </c>
    </row>
    <row r="168" spans="1:8" s="64" customFormat="1">
      <c r="A168">
        <v>8283277</v>
      </c>
      <c r="B168" t="s">
        <v>103</v>
      </c>
      <c r="C168" t="s">
        <v>90</v>
      </c>
      <c r="D168" t="s">
        <v>102</v>
      </c>
      <c r="E168" s="118" t="s">
        <v>1425</v>
      </c>
      <c r="F168" s="119">
        <v>0.73649305555555555</v>
      </c>
      <c r="G168" t="s">
        <v>1422</v>
      </c>
      <c r="H168" t="s">
        <v>1337</v>
      </c>
    </row>
    <row r="169" spans="1:8" s="64" customFormat="1">
      <c r="A169">
        <v>8283277</v>
      </c>
      <c r="B169" t="s">
        <v>103</v>
      </c>
      <c r="C169" t="s">
        <v>90</v>
      </c>
      <c r="D169" t="s">
        <v>102</v>
      </c>
      <c r="E169" s="118" t="s">
        <v>1425</v>
      </c>
      <c r="F169" s="119">
        <v>0.30226851851851849</v>
      </c>
      <c r="G169" t="s">
        <v>1421</v>
      </c>
      <c r="H169" t="s">
        <v>1336</v>
      </c>
    </row>
    <row r="170" spans="1:8" s="64" customFormat="1">
      <c r="A170">
        <v>8283277</v>
      </c>
      <c r="B170" t="s">
        <v>103</v>
      </c>
      <c r="C170" t="s">
        <v>90</v>
      </c>
      <c r="D170" t="s">
        <v>102</v>
      </c>
      <c r="E170" s="118" t="s">
        <v>1426</v>
      </c>
      <c r="F170" s="119">
        <v>0.72584490740740737</v>
      </c>
      <c r="G170" t="s">
        <v>1422</v>
      </c>
      <c r="H170" t="s">
        <v>1337</v>
      </c>
    </row>
    <row r="171" spans="1:8" s="64" customFormat="1">
      <c r="A171">
        <v>8283277</v>
      </c>
      <c r="B171" t="s">
        <v>103</v>
      </c>
      <c r="C171" t="s">
        <v>90</v>
      </c>
      <c r="D171" t="s">
        <v>102</v>
      </c>
      <c r="E171" s="118" t="s">
        <v>1426</v>
      </c>
      <c r="F171" s="119">
        <v>0.29395833333333332</v>
      </c>
      <c r="G171" t="s">
        <v>1421</v>
      </c>
      <c r="H171" t="s">
        <v>1336</v>
      </c>
    </row>
    <row r="172" spans="1:8" s="64" customFormat="1">
      <c r="A172">
        <v>8283277</v>
      </c>
      <c r="B172" t="s">
        <v>103</v>
      </c>
      <c r="C172" t="s">
        <v>90</v>
      </c>
      <c r="D172" t="s">
        <v>102</v>
      </c>
      <c r="E172" s="118" t="s">
        <v>1427</v>
      </c>
      <c r="F172" s="119">
        <v>0.63160879629629629</v>
      </c>
      <c r="G172" t="s">
        <v>1422</v>
      </c>
      <c r="H172" t="s">
        <v>1337</v>
      </c>
    </row>
    <row r="173" spans="1:8" s="64" customFormat="1">
      <c r="A173">
        <v>8283277</v>
      </c>
      <c r="B173" t="s">
        <v>103</v>
      </c>
      <c r="C173" t="s">
        <v>90</v>
      </c>
      <c r="D173" t="s">
        <v>102</v>
      </c>
      <c r="E173" s="118" t="s">
        <v>1427</v>
      </c>
      <c r="F173" s="119">
        <v>0.29325231481481479</v>
      </c>
      <c r="G173" t="s">
        <v>1421</v>
      </c>
      <c r="H173" t="s">
        <v>1336</v>
      </c>
    </row>
    <row r="174" spans="1:8" s="64" customFormat="1">
      <c r="A174">
        <v>8454836</v>
      </c>
      <c r="B174" t="s">
        <v>203</v>
      </c>
      <c r="C174" t="s">
        <v>202</v>
      </c>
      <c r="D174" t="s">
        <v>150</v>
      </c>
      <c r="E174" s="118" t="s">
        <v>1420</v>
      </c>
      <c r="F174" s="119">
        <v>0.94693287037037033</v>
      </c>
      <c r="G174" t="s">
        <v>1422</v>
      </c>
      <c r="H174" t="s">
        <v>1337</v>
      </c>
    </row>
    <row r="175" spans="1:8" s="64" customFormat="1">
      <c r="A175">
        <v>8454836</v>
      </c>
      <c r="B175" t="s">
        <v>203</v>
      </c>
      <c r="C175" t="s">
        <v>202</v>
      </c>
      <c r="D175" t="s">
        <v>150</v>
      </c>
      <c r="E175" s="118" t="s">
        <v>1420</v>
      </c>
      <c r="F175" s="119">
        <v>0.60760416666666661</v>
      </c>
      <c r="G175" t="s">
        <v>1421</v>
      </c>
      <c r="H175" t="s">
        <v>1336</v>
      </c>
    </row>
    <row r="176" spans="1:8" s="64" customFormat="1">
      <c r="A176">
        <v>8454836</v>
      </c>
      <c r="B176" t="s">
        <v>203</v>
      </c>
      <c r="C176" t="s">
        <v>202</v>
      </c>
      <c r="D176" t="s">
        <v>150</v>
      </c>
      <c r="E176" s="118" t="s">
        <v>1423</v>
      </c>
      <c r="F176" s="119">
        <v>0.94596064814814806</v>
      </c>
      <c r="G176" t="s">
        <v>1422</v>
      </c>
      <c r="H176" t="s">
        <v>1337</v>
      </c>
    </row>
    <row r="177" spans="1:8" s="64" customFormat="1">
      <c r="A177">
        <v>8454836</v>
      </c>
      <c r="B177" t="s">
        <v>203</v>
      </c>
      <c r="C177" t="s">
        <v>202</v>
      </c>
      <c r="D177" t="s">
        <v>150</v>
      </c>
      <c r="E177" s="118" t="s">
        <v>1423</v>
      </c>
      <c r="F177" s="119">
        <v>0.60501157407407413</v>
      </c>
      <c r="G177" t="s">
        <v>1421</v>
      </c>
      <c r="H177" t="s">
        <v>1336</v>
      </c>
    </row>
    <row r="178" spans="1:8" s="64" customFormat="1">
      <c r="A178">
        <v>8454836</v>
      </c>
      <c r="B178" t="s">
        <v>203</v>
      </c>
      <c r="C178" t="s">
        <v>202</v>
      </c>
      <c r="D178" t="s">
        <v>150</v>
      </c>
      <c r="E178" s="118" t="s">
        <v>1424</v>
      </c>
      <c r="F178" s="119">
        <v>0.94532407407407415</v>
      </c>
      <c r="G178" t="s">
        <v>1422</v>
      </c>
      <c r="H178" t="s">
        <v>1337</v>
      </c>
    </row>
    <row r="179" spans="1:8" s="64" customFormat="1">
      <c r="A179">
        <v>8454836</v>
      </c>
      <c r="B179" t="s">
        <v>203</v>
      </c>
      <c r="C179" t="s">
        <v>202</v>
      </c>
      <c r="D179" t="s">
        <v>150</v>
      </c>
      <c r="E179" s="118" t="s">
        <v>1424</v>
      </c>
      <c r="F179" s="119">
        <v>0.60697916666666674</v>
      </c>
      <c r="G179" t="s">
        <v>1421</v>
      </c>
      <c r="H179" t="s">
        <v>1336</v>
      </c>
    </row>
    <row r="180" spans="1:8" s="64" customFormat="1">
      <c r="A180">
        <v>8454836</v>
      </c>
      <c r="B180" t="s">
        <v>203</v>
      </c>
      <c r="C180" t="s">
        <v>202</v>
      </c>
      <c r="D180" t="s">
        <v>150</v>
      </c>
      <c r="E180" s="118" t="s">
        <v>1425</v>
      </c>
      <c r="F180" s="119">
        <v>0.94960648148148152</v>
      </c>
      <c r="G180" t="s">
        <v>1422</v>
      </c>
      <c r="H180" t="s">
        <v>1337</v>
      </c>
    </row>
    <row r="181" spans="1:8" s="64" customFormat="1">
      <c r="A181">
        <v>8454836</v>
      </c>
      <c r="B181" t="s">
        <v>203</v>
      </c>
      <c r="C181" t="s">
        <v>202</v>
      </c>
      <c r="D181" t="s">
        <v>150</v>
      </c>
      <c r="E181" s="118" t="s">
        <v>1425</v>
      </c>
      <c r="F181" s="119">
        <v>0.6069444444444444</v>
      </c>
      <c r="G181" t="s">
        <v>1421</v>
      </c>
      <c r="H181" t="s">
        <v>1336</v>
      </c>
    </row>
    <row r="182" spans="1:8" s="64" customFormat="1">
      <c r="A182">
        <v>8454836</v>
      </c>
      <c r="B182" t="s">
        <v>203</v>
      </c>
      <c r="C182" t="s">
        <v>202</v>
      </c>
      <c r="D182" t="s">
        <v>150</v>
      </c>
      <c r="E182" s="118" t="s">
        <v>1426</v>
      </c>
      <c r="F182" s="119">
        <v>0.94833333333333336</v>
      </c>
      <c r="G182" t="s">
        <v>1422</v>
      </c>
      <c r="H182" t="s">
        <v>1337</v>
      </c>
    </row>
    <row r="183" spans="1:8" s="64" customFormat="1">
      <c r="A183">
        <v>8454836</v>
      </c>
      <c r="B183" t="s">
        <v>203</v>
      </c>
      <c r="C183" t="s">
        <v>202</v>
      </c>
      <c r="D183" t="s">
        <v>150</v>
      </c>
      <c r="E183" s="118" t="s">
        <v>1426</v>
      </c>
      <c r="F183" s="119">
        <v>0.6065625</v>
      </c>
      <c r="G183" t="s">
        <v>1421</v>
      </c>
      <c r="H183" t="s">
        <v>1336</v>
      </c>
    </row>
    <row r="184" spans="1:8" s="64" customFormat="1">
      <c r="A184">
        <v>8454836</v>
      </c>
      <c r="B184" t="s">
        <v>203</v>
      </c>
      <c r="C184" t="s">
        <v>202</v>
      </c>
      <c r="D184" t="s">
        <v>150</v>
      </c>
      <c r="E184" s="118" t="s">
        <v>1427</v>
      </c>
      <c r="F184" s="119">
        <v>0.95027777777777767</v>
      </c>
      <c r="G184" t="s">
        <v>1422</v>
      </c>
      <c r="H184" t="s">
        <v>1337</v>
      </c>
    </row>
    <row r="185" spans="1:8" s="64" customFormat="1">
      <c r="A185">
        <v>8454836</v>
      </c>
      <c r="B185" t="s">
        <v>203</v>
      </c>
      <c r="C185" t="s">
        <v>202</v>
      </c>
      <c r="D185" t="s">
        <v>150</v>
      </c>
      <c r="E185" s="118" t="s">
        <v>1427</v>
      </c>
      <c r="F185" s="119">
        <v>0.61266203703703703</v>
      </c>
      <c r="G185" t="s">
        <v>1421</v>
      </c>
      <c r="H185" t="s">
        <v>1336</v>
      </c>
    </row>
    <row r="186" spans="1:8" s="64" customFormat="1">
      <c r="A186">
        <v>8465592</v>
      </c>
      <c r="B186" t="s">
        <v>233</v>
      </c>
      <c r="C186" t="s">
        <v>231</v>
      </c>
      <c r="D186" t="s">
        <v>232</v>
      </c>
      <c r="E186" s="118" t="s">
        <v>1420</v>
      </c>
      <c r="F186" s="119">
        <v>0.3216087962962963</v>
      </c>
      <c r="G186" t="s">
        <v>1422</v>
      </c>
      <c r="H186" t="s">
        <v>1337</v>
      </c>
    </row>
    <row r="187" spans="1:8" s="64" customFormat="1">
      <c r="A187">
        <v>8465592</v>
      </c>
      <c r="B187" t="s">
        <v>233</v>
      </c>
      <c r="C187" t="s">
        <v>231</v>
      </c>
      <c r="D187" t="s">
        <v>232</v>
      </c>
      <c r="E187" s="118" t="s">
        <v>1420</v>
      </c>
      <c r="F187" s="119">
        <v>0.92025462962962967</v>
      </c>
      <c r="G187" t="s">
        <v>1421</v>
      </c>
      <c r="H187" t="s">
        <v>1336</v>
      </c>
    </row>
    <row r="188" spans="1:8" s="64" customFormat="1">
      <c r="A188">
        <v>8465592</v>
      </c>
      <c r="B188" t="s">
        <v>233</v>
      </c>
      <c r="C188" t="s">
        <v>231</v>
      </c>
      <c r="D188" t="s">
        <v>232</v>
      </c>
      <c r="E188" s="118" t="s">
        <v>1423</v>
      </c>
      <c r="F188" s="119">
        <v>0.32262731481481483</v>
      </c>
      <c r="G188" t="s">
        <v>1422</v>
      </c>
      <c r="H188" t="s">
        <v>1337</v>
      </c>
    </row>
    <row r="189" spans="1:8" s="64" customFormat="1">
      <c r="A189">
        <v>8465592</v>
      </c>
      <c r="B189" t="s">
        <v>233</v>
      </c>
      <c r="C189" t="s">
        <v>231</v>
      </c>
      <c r="D189" t="s">
        <v>232</v>
      </c>
      <c r="E189" s="118" t="s">
        <v>1423</v>
      </c>
      <c r="F189" s="119">
        <v>0.91833333333333333</v>
      </c>
      <c r="G189" t="s">
        <v>1421</v>
      </c>
      <c r="H189" t="s">
        <v>1336</v>
      </c>
    </row>
    <row r="190" spans="1:8" s="64" customFormat="1">
      <c r="A190">
        <v>8465592</v>
      </c>
      <c r="B190" t="s">
        <v>233</v>
      </c>
      <c r="C190" t="s">
        <v>231</v>
      </c>
      <c r="D190" t="s">
        <v>232</v>
      </c>
      <c r="E190" s="118" t="s">
        <v>1424</v>
      </c>
      <c r="F190" s="119">
        <v>0.32026620370370368</v>
      </c>
      <c r="G190" t="s">
        <v>1422</v>
      </c>
      <c r="H190" t="s">
        <v>1337</v>
      </c>
    </row>
    <row r="191" spans="1:8" s="64" customFormat="1">
      <c r="A191">
        <v>8465592</v>
      </c>
      <c r="B191" t="s">
        <v>233</v>
      </c>
      <c r="C191" t="s">
        <v>231</v>
      </c>
      <c r="D191" t="s">
        <v>232</v>
      </c>
      <c r="E191" s="118" t="s">
        <v>1424</v>
      </c>
      <c r="F191" s="119">
        <v>0.92464120370370362</v>
      </c>
      <c r="G191" t="s">
        <v>1421</v>
      </c>
      <c r="H191" t="s">
        <v>1336</v>
      </c>
    </row>
    <row r="192" spans="1:8" s="64" customFormat="1">
      <c r="A192">
        <v>8465592</v>
      </c>
      <c r="B192" t="s">
        <v>233</v>
      </c>
      <c r="C192" t="s">
        <v>231</v>
      </c>
      <c r="D192" t="s">
        <v>232</v>
      </c>
      <c r="E192" s="118" t="s">
        <v>1425</v>
      </c>
      <c r="F192" s="119">
        <v>0.32255787037037037</v>
      </c>
      <c r="G192" t="s">
        <v>1422</v>
      </c>
      <c r="H192" t="s">
        <v>1337</v>
      </c>
    </row>
    <row r="193" spans="1:8" s="64" customFormat="1">
      <c r="A193">
        <v>8465592</v>
      </c>
      <c r="B193" t="s">
        <v>233</v>
      </c>
      <c r="C193" t="s">
        <v>231</v>
      </c>
      <c r="D193" t="s">
        <v>232</v>
      </c>
      <c r="E193" s="118" t="s">
        <v>1425</v>
      </c>
      <c r="F193" s="119">
        <v>0.91953703703703704</v>
      </c>
      <c r="G193" t="s">
        <v>1421</v>
      </c>
      <c r="H193" t="s">
        <v>1336</v>
      </c>
    </row>
    <row r="194" spans="1:8" s="64" customFormat="1">
      <c r="A194">
        <v>8465592</v>
      </c>
      <c r="B194" t="s">
        <v>233</v>
      </c>
      <c r="C194" t="s">
        <v>231</v>
      </c>
      <c r="D194" t="s">
        <v>232</v>
      </c>
      <c r="E194" s="118" t="s">
        <v>1426</v>
      </c>
      <c r="F194" s="119">
        <v>0.32449074074074075</v>
      </c>
      <c r="G194" t="s">
        <v>1422</v>
      </c>
      <c r="H194" t="s">
        <v>1337</v>
      </c>
    </row>
    <row r="195" spans="1:8" s="64" customFormat="1">
      <c r="A195">
        <v>8465592</v>
      </c>
      <c r="B195" t="s">
        <v>233</v>
      </c>
      <c r="C195" t="s">
        <v>231</v>
      </c>
      <c r="D195" t="s">
        <v>232</v>
      </c>
      <c r="E195" s="118" t="s">
        <v>1426</v>
      </c>
      <c r="F195" s="119">
        <v>0.919988425925926</v>
      </c>
      <c r="G195" t="s">
        <v>1421</v>
      </c>
      <c r="H195" t="s">
        <v>1336</v>
      </c>
    </row>
    <row r="196" spans="1:8" s="64" customFormat="1">
      <c r="A196">
        <v>8465592</v>
      </c>
      <c r="B196" t="s">
        <v>233</v>
      </c>
      <c r="C196" t="s">
        <v>231</v>
      </c>
      <c r="D196" t="s">
        <v>232</v>
      </c>
      <c r="E196" s="118" t="s">
        <v>1427</v>
      </c>
      <c r="F196" s="119">
        <v>0.32495370370370369</v>
      </c>
      <c r="G196" t="s">
        <v>1422</v>
      </c>
      <c r="H196" t="s">
        <v>1337</v>
      </c>
    </row>
    <row r="197" spans="1:8" s="64" customFormat="1">
      <c r="A197">
        <v>8618882</v>
      </c>
      <c r="B197" t="s">
        <v>988</v>
      </c>
      <c r="C197" t="s">
        <v>607</v>
      </c>
      <c r="D197" t="s">
        <v>864</v>
      </c>
      <c r="E197" s="118" t="s">
        <v>1420</v>
      </c>
      <c r="F197" s="119">
        <v>0.94337962962962962</v>
      </c>
      <c r="G197" t="s">
        <v>1422</v>
      </c>
      <c r="H197" t="s">
        <v>1337</v>
      </c>
    </row>
    <row r="198" spans="1:8" s="64" customFormat="1">
      <c r="A198">
        <v>8618882</v>
      </c>
      <c r="B198" t="s">
        <v>988</v>
      </c>
      <c r="C198" t="s">
        <v>607</v>
      </c>
      <c r="D198" t="s">
        <v>864</v>
      </c>
      <c r="E198" s="118" t="s">
        <v>1420</v>
      </c>
      <c r="F198" s="119">
        <v>0.61591435185185184</v>
      </c>
      <c r="G198" t="s">
        <v>1421</v>
      </c>
      <c r="H198" t="s">
        <v>1336</v>
      </c>
    </row>
    <row r="199" spans="1:8" s="64" customFormat="1">
      <c r="A199">
        <v>8618882</v>
      </c>
      <c r="B199" t="s">
        <v>988</v>
      </c>
      <c r="C199" t="s">
        <v>607</v>
      </c>
      <c r="D199" t="s">
        <v>864</v>
      </c>
      <c r="E199" s="118" t="s">
        <v>1423</v>
      </c>
      <c r="F199" s="119">
        <v>0.94120370370370365</v>
      </c>
      <c r="G199" t="s">
        <v>1422</v>
      </c>
      <c r="H199" t="s">
        <v>1337</v>
      </c>
    </row>
    <row r="200" spans="1:8" s="64" customFormat="1">
      <c r="A200">
        <v>8618882</v>
      </c>
      <c r="B200" t="s">
        <v>988</v>
      </c>
      <c r="C200" t="s">
        <v>607</v>
      </c>
      <c r="D200" t="s">
        <v>864</v>
      </c>
      <c r="E200" s="118" t="s">
        <v>1423</v>
      </c>
      <c r="F200" s="119">
        <v>0.61721064814814819</v>
      </c>
      <c r="G200" t="s">
        <v>1421</v>
      </c>
      <c r="H200" t="s">
        <v>1336</v>
      </c>
    </row>
    <row r="201" spans="1:8" s="64" customFormat="1">
      <c r="A201">
        <v>8618882</v>
      </c>
      <c r="B201" t="s">
        <v>988</v>
      </c>
      <c r="C201" t="s">
        <v>607</v>
      </c>
      <c r="D201" t="s">
        <v>864</v>
      </c>
      <c r="E201" s="118" t="s">
        <v>1424</v>
      </c>
      <c r="F201" s="119">
        <v>0.9325</v>
      </c>
      <c r="G201" t="s">
        <v>1422</v>
      </c>
      <c r="H201" t="s">
        <v>1337</v>
      </c>
    </row>
    <row r="202" spans="1:8" s="64" customFormat="1">
      <c r="A202">
        <v>8618882</v>
      </c>
      <c r="B202" t="s">
        <v>988</v>
      </c>
      <c r="C202" t="s">
        <v>607</v>
      </c>
      <c r="D202" t="s">
        <v>864</v>
      </c>
      <c r="E202" s="118" t="s">
        <v>1424</v>
      </c>
      <c r="F202" s="119">
        <v>0.61971064814814814</v>
      </c>
      <c r="G202" t="s">
        <v>1421</v>
      </c>
      <c r="H202" t="s">
        <v>1336</v>
      </c>
    </row>
    <row r="203" spans="1:8" s="64" customFormat="1">
      <c r="A203">
        <v>8618882</v>
      </c>
      <c r="B203" t="s">
        <v>988</v>
      </c>
      <c r="C203" t="s">
        <v>607</v>
      </c>
      <c r="D203" t="s">
        <v>864</v>
      </c>
      <c r="E203" s="118" t="s">
        <v>1425</v>
      </c>
      <c r="F203" s="119">
        <v>0.94478009259259255</v>
      </c>
      <c r="G203" t="s">
        <v>1422</v>
      </c>
      <c r="H203" t="s">
        <v>1337</v>
      </c>
    </row>
    <row r="204" spans="1:8" s="64" customFormat="1">
      <c r="A204">
        <v>8618882</v>
      </c>
      <c r="B204" t="s">
        <v>988</v>
      </c>
      <c r="C204" t="s">
        <v>607</v>
      </c>
      <c r="D204" t="s">
        <v>864</v>
      </c>
      <c r="E204" s="118" t="s">
        <v>1425</v>
      </c>
      <c r="F204" s="119">
        <v>0.6187731481481481</v>
      </c>
      <c r="G204" t="s">
        <v>1421</v>
      </c>
      <c r="H204" t="s">
        <v>1336</v>
      </c>
    </row>
    <row r="205" spans="1:8" s="64" customFormat="1">
      <c r="A205">
        <v>8618882</v>
      </c>
      <c r="B205" t="s">
        <v>988</v>
      </c>
      <c r="C205" t="s">
        <v>607</v>
      </c>
      <c r="D205" t="s">
        <v>864</v>
      </c>
      <c r="E205" s="118" t="s">
        <v>1426</v>
      </c>
      <c r="F205" s="119">
        <v>0.94469907407407405</v>
      </c>
      <c r="G205" t="s">
        <v>1422</v>
      </c>
      <c r="H205" t="s">
        <v>1337</v>
      </c>
    </row>
    <row r="206" spans="1:8" s="64" customFormat="1">
      <c r="A206">
        <v>8618882</v>
      </c>
      <c r="B206" t="s">
        <v>988</v>
      </c>
      <c r="C206" t="s">
        <v>607</v>
      </c>
      <c r="D206" t="s">
        <v>864</v>
      </c>
      <c r="E206" s="118" t="s">
        <v>1426</v>
      </c>
      <c r="F206" s="119">
        <v>0.61697916666666663</v>
      </c>
      <c r="G206" t="s">
        <v>1421</v>
      </c>
      <c r="H206" t="s">
        <v>1336</v>
      </c>
    </row>
    <row r="207" spans="1:8" s="64" customFormat="1">
      <c r="A207">
        <v>8618882</v>
      </c>
      <c r="B207" t="s">
        <v>988</v>
      </c>
      <c r="C207" t="s">
        <v>607</v>
      </c>
      <c r="D207" t="s">
        <v>864</v>
      </c>
      <c r="E207" s="118" t="s">
        <v>1427</v>
      </c>
      <c r="F207" s="119">
        <v>0.93184027777777778</v>
      </c>
      <c r="G207" t="s">
        <v>1422</v>
      </c>
      <c r="H207" t="s">
        <v>1337</v>
      </c>
    </row>
    <row r="208" spans="1:8" s="64" customFormat="1">
      <c r="A208">
        <v>8618882</v>
      </c>
      <c r="B208" t="s">
        <v>988</v>
      </c>
      <c r="C208" t="s">
        <v>607</v>
      </c>
      <c r="D208" t="s">
        <v>864</v>
      </c>
      <c r="E208" s="118" t="s">
        <v>1427</v>
      </c>
      <c r="F208" s="119">
        <v>0.61782407407407403</v>
      </c>
      <c r="G208" t="s">
        <v>1421</v>
      </c>
      <c r="H208" t="s">
        <v>1336</v>
      </c>
    </row>
    <row r="209" spans="1:8" s="64" customFormat="1">
      <c r="A209">
        <v>8809784</v>
      </c>
      <c r="B209" t="s">
        <v>41</v>
      </c>
      <c r="C209" t="s">
        <v>39</v>
      </c>
      <c r="D209" t="s">
        <v>40</v>
      </c>
      <c r="E209" s="118" t="s">
        <v>1420</v>
      </c>
      <c r="F209" s="119">
        <v>0.94728009259259249</v>
      </c>
      <c r="G209" t="s">
        <v>1422</v>
      </c>
      <c r="H209" t="s">
        <v>1337</v>
      </c>
    </row>
    <row r="210" spans="1:8" s="64" customFormat="1">
      <c r="A210">
        <v>8809784</v>
      </c>
      <c r="B210" t="s">
        <v>41</v>
      </c>
      <c r="C210" t="s">
        <v>39</v>
      </c>
      <c r="D210" t="s">
        <v>40</v>
      </c>
      <c r="E210" s="118" t="s">
        <v>1420</v>
      </c>
      <c r="F210" s="119">
        <v>0.60596064814814821</v>
      </c>
      <c r="G210" t="s">
        <v>1421</v>
      </c>
      <c r="H210" t="s">
        <v>1336</v>
      </c>
    </row>
    <row r="211" spans="1:8" s="64" customFormat="1">
      <c r="A211">
        <v>8809784</v>
      </c>
      <c r="B211" t="s">
        <v>41</v>
      </c>
      <c r="C211" t="s">
        <v>39</v>
      </c>
      <c r="D211" t="s">
        <v>40</v>
      </c>
      <c r="E211" s="118" t="s">
        <v>1423</v>
      </c>
      <c r="F211" s="119">
        <v>0.94634259259259268</v>
      </c>
      <c r="G211" t="s">
        <v>1422</v>
      </c>
      <c r="H211" t="s">
        <v>1337</v>
      </c>
    </row>
    <row r="212" spans="1:8" s="64" customFormat="1">
      <c r="A212">
        <v>8809784</v>
      </c>
      <c r="B212" t="s">
        <v>41</v>
      </c>
      <c r="C212" t="s">
        <v>39</v>
      </c>
      <c r="D212" t="s">
        <v>40</v>
      </c>
      <c r="E212" s="118" t="s">
        <v>1423</v>
      </c>
      <c r="F212" s="119">
        <v>0.60394675925925922</v>
      </c>
      <c r="G212" t="s">
        <v>1421</v>
      </c>
      <c r="H212" t="s">
        <v>1336</v>
      </c>
    </row>
    <row r="213" spans="1:8" s="64" customFormat="1">
      <c r="A213">
        <v>8809784</v>
      </c>
      <c r="B213" t="s">
        <v>41</v>
      </c>
      <c r="C213" t="s">
        <v>39</v>
      </c>
      <c r="D213" t="s">
        <v>40</v>
      </c>
      <c r="E213" s="118" t="s">
        <v>1424</v>
      </c>
      <c r="F213" s="119">
        <v>0.94893518518518516</v>
      </c>
      <c r="G213" t="s">
        <v>1422</v>
      </c>
      <c r="H213" t="s">
        <v>1337</v>
      </c>
    </row>
    <row r="214" spans="1:8" s="64" customFormat="1">
      <c r="A214">
        <v>8809784</v>
      </c>
      <c r="B214" t="s">
        <v>41</v>
      </c>
      <c r="C214" t="s">
        <v>39</v>
      </c>
      <c r="D214" t="s">
        <v>40</v>
      </c>
      <c r="E214" s="118" t="s">
        <v>1424</v>
      </c>
      <c r="F214" s="119">
        <v>0.60642361111111109</v>
      </c>
      <c r="G214" t="s">
        <v>1421</v>
      </c>
      <c r="H214" t="s">
        <v>1336</v>
      </c>
    </row>
    <row r="215" spans="1:8" s="64" customFormat="1">
      <c r="A215">
        <v>8809784</v>
      </c>
      <c r="B215" t="s">
        <v>41</v>
      </c>
      <c r="C215" t="s">
        <v>39</v>
      </c>
      <c r="D215" t="s">
        <v>40</v>
      </c>
      <c r="E215" s="118" t="s">
        <v>1425</v>
      </c>
      <c r="F215" s="119">
        <v>0.94881944444444455</v>
      </c>
      <c r="G215" t="s">
        <v>1422</v>
      </c>
      <c r="H215" t="s">
        <v>1337</v>
      </c>
    </row>
    <row r="216" spans="1:8" s="64" customFormat="1">
      <c r="A216">
        <v>8809784</v>
      </c>
      <c r="B216" t="s">
        <v>41</v>
      </c>
      <c r="C216" t="s">
        <v>39</v>
      </c>
      <c r="D216" t="s">
        <v>40</v>
      </c>
      <c r="E216" s="118" t="s">
        <v>1425</v>
      </c>
      <c r="F216" s="119">
        <v>0.60425925925925927</v>
      </c>
      <c r="G216" t="s">
        <v>1421</v>
      </c>
      <c r="H216" t="s">
        <v>1336</v>
      </c>
    </row>
    <row r="217" spans="1:8" s="64" customFormat="1">
      <c r="A217">
        <v>8809784</v>
      </c>
      <c r="B217" t="s">
        <v>41</v>
      </c>
      <c r="C217" t="s">
        <v>39</v>
      </c>
      <c r="D217" t="s">
        <v>40</v>
      </c>
      <c r="E217" s="118" t="s">
        <v>1426</v>
      </c>
      <c r="F217" s="119">
        <v>0.9477430555555556</v>
      </c>
      <c r="G217" t="s">
        <v>1422</v>
      </c>
      <c r="H217" t="s">
        <v>1337</v>
      </c>
    </row>
    <row r="218" spans="1:8" s="64" customFormat="1">
      <c r="A218">
        <v>8809784</v>
      </c>
      <c r="B218" t="s">
        <v>41</v>
      </c>
      <c r="C218" t="s">
        <v>39</v>
      </c>
      <c r="D218" t="s">
        <v>40</v>
      </c>
      <c r="E218" s="118" t="s">
        <v>1426</v>
      </c>
      <c r="F218" s="119">
        <v>0.60730324074074071</v>
      </c>
      <c r="G218" t="s">
        <v>1421</v>
      </c>
      <c r="H218" t="s">
        <v>1336</v>
      </c>
    </row>
    <row r="219" spans="1:8" s="64" customFormat="1">
      <c r="A219">
        <v>8809784</v>
      </c>
      <c r="B219" t="s">
        <v>41</v>
      </c>
      <c r="C219" t="s">
        <v>39</v>
      </c>
      <c r="D219" t="s">
        <v>40</v>
      </c>
      <c r="E219" s="118" t="s">
        <v>1427</v>
      </c>
      <c r="F219" s="119">
        <v>0.95038194444444446</v>
      </c>
      <c r="G219" t="s">
        <v>1422</v>
      </c>
      <c r="H219" t="s">
        <v>1337</v>
      </c>
    </row>
    <row r="220" spans="1:8" s="64" customFormat="1">
      <c r="A220">
        <v>8809784</v>
      </c>
      <c r="B220" t="s">
        <v>41</v>
      </c>
      <c r="C220" t="s">
        <v>39</v>
      </c>
      <c r="D220" t="s">
        <v>40</v>
      </c>
      <c r="E220" s="118" t="s">
        <v>1427</v>
      </c>
      <c r="F220" s="119">
        <v>0.60342592592592592</v>
      </c>
      <c r="G220" t="s">
        <v>1421</v>
      </c>
      <c r="H220" t="s">
        <v>1336</v>
      </c>
    </row>
    <row r="221" spans="1:8" s="64" customFormat="1">
      <c r="A221">
        <v>9068490</v>
      </c>
      <c r="B221" t="s">
        <v>456</v>
      </c>
      <c r="C221" t="s">
        <v>83</v>
      </c>
      <c r="D221" t="s">
        <v>455</v>
      </c>
      <c r="E221" s="118" t="s">
        <v>1420</v>
      </c>
      <c r="F221" s="119">
        <v>0.62843749999999998</v>
      </c>
      <c r="G221" t="s">
        <v>1422</v>
      </c>
      <c r="H221" t="s">
        <v>1337</v>
      </c>
    </row>
    <row r="222" spans="1:8" s="64" customFormat="1">
      <c r="A222">
        <v>9068490</v>
      </c>
      <c r="B222" t="s">
        <v>456</v>
      </c>
      <c r="C222" t="s">
        <v>83</v>
      </c>
      <c r="D222" t="s">
        <v>455</v>
      </c>
      <c r="E222" s="118" t="s">
        <v>1420</v>
      </c>
      <c r="F222" s="119">
        <v>0.29636574074074074</v>
      </c>
      <c r="G222" t="s">
        <v>1421</v>
      </c>
      <c r="H222" t="s">
        <v>1336</v>
      </c>
    </row>
    <row r="223" spans="1:8" s="64" customFormat="1">
      <c r="A223">
        <v>9068490</v>
      </c>
      <c r="B223" t="s">
        <v>456</v>
      </c>
      <c r="C223" t="s">
        <v>83</v>
      </c>
      <c r="D223" t="s">
        <v>455</v>
      </c>
      <c r="E223" s="118" t="s">
        <v>1423</v>
      </c>
      <c r="F223" s="119">
        <v>0.62665509259259256</v>
      </c>
      <c r="G223" t="s">
        <v>1422</v>
      </c>
      <c r="H223" t="s">
        <v>1337</v>
      </c>
    </row>
    <row r="224" spans="1:8" s="64" customFormat="1">
      <c r="A224">
        <v>9068490</v>
      </c>
      <c r="B224" t="s">
        <v>456</v>
      </c>
      <c r="C224" t="s">
        <v>83</v>
      </c>
      <c r="D224" t="s">
        <v>455</v>
      </c>
      <c r="E224" s="118" t="s">
        <v>1423</v>
      </c>
      <c r="F224" s="119">
        <v>0.29531250000000003</v>
      </c>
      <c r="G224" t="s">
        <v>1421</v>
      </c>
      <c r="H224" t="s">
        <v>1336</v>
      </c>
    </row>
    <row r="225" spans="1:8" s="64" customFormat="1">
      <c r="A225">
        <v>9068490</v>
      </c>
      <c r="B225" t="s">
        <v>456</v>
      </c>
      <c r="C225" t="s">
        <v>83</v>
      </c>
      <c r="D225" t="s">
        <v>455</v>
      </c>
      <c r="E225" s="118" t="s">
        <v>1424</v>
      </c>
      <c r="F225" s="119">
        <v>0.63958333333333328</v>
      </c>
      <c r="G225" t="s">
        <v>1422</v>
      </c>
      <c r="H225" t="s">
        <v>1337</v>
      </c>
    </row>
    <row r="226" spans="1:8" s="64" customFormat="1">
      <c r="A226">
        <v>9068490</v>
      </c>
      <c r="B226" t="s">
        <v>456</v>
      </c>
      <c r="C226" t="s">
        <v>83</v>
      </c>
      <c r="D226" t="s">
        <v>455</v>
      </c>
      <c r="E226" s="118" t="s">
        <v>1424</v>
      </c>
      <c r="F226" s="119">
        <v>0.29517361111111112</v>
      </c>
      <c r="G226" t="s">
        <v>1421</v>
      </c>
      <c r="H226" t="s">
        <v>1336</v>
      </c>
    </row>
    <row r="227" spans="1:8" s="64" customFormat="1">
      <c r="A227">
        <v>9068490</v>
      </c>
      <c r="B227" t="s">
        <v>456</v>
      </c>
      <c r="C227" t="s">
        <v>83</v>
      </c>
      <c r="D227" t="s">
        <v>455</v>
      </c>
      <c r="E227" s="118" t="s">
        <v>1425</v>
      </c>
      <c r="F227" s="119">
        <v>0.63179398148148147</v>
      </c>
      <c r="G227" t="s">
        <v>1422</v>
      </c>
      <c r="H227" t="s">
        <v>1337</v>
      </c>
    </row>
    <row r="228" spans="1:8" s="64" customFormat="1">
      <c r="A228">
        <v>9068490</v>
      </c>
      <c r="B228" t="s">
        <v>456</v>
      </c>
      <c r="C228" t="s">
        <v>83</v>
      </c>
      <c r="D228" t="s">
        <v>455</v>
      </c>
      <c r="E228" s="118" t="s">
        <v>1425</v>
      </c>
      <c r="F228" s="119">
        <v>0.29456018518518517</v>
      </c>
      <c r="G228" t="s">
        <v>1421</v>
      </c>
      <c r="H228" t="s">
        <v>1336</v>
      </c>
    </row>
    <row r="229" spans="1:8" s="64" customFormat="1">
      <c r="A229">
        <v>9068490</v>
      </c>
      <c r="B229" t="s">
        <v>456</v>
      </c>
      <c r="C229" t="s">
        <v>83</v>
      </c>
      <c r="D229" t="s">
        <v>455</v>
      </c>
      <c r="E229" s="118" t="s">
        <v>1426</v>
      </c>
      <c r="F229" s="119">
        <v>0.63097222222222216</v>
      </c>
      <c r="G229" t="s">
        <v>1422</v>
      </c>
      <c r="H229" t="s">
        <v>1337</v>
      </c>
    </row>
    <row r="230" spans="1:8" s="64" customFormat="1">
      <c r="A230">
        <v>9068490</v>
      </c>
      <c r="B230" t="s">
        <v>456</v>
      </c>
      <c r="C230" t="s">
        <v>83</v>
      </c>
      <c r="D230" t="s">
        <v>455</v>
      </c>
      <c r="E230" s="118" t="s">
        <v>1426</v>
      </c>
      <c r="F230" s="119">
        <v>0.29552083333333334</v>
      </c>
      <c r="G230" t="s">
        <v>1421</v>
      </c>
      <c r="H230" t="s">
        <v>1336</v>
      </c>
    </row>
    <row r="231" spans="1:8" s="64" customFormat="1">
      <c r="A231">
        <v>9068490</v>
      </c>
      <c r="B231" t="s">
        <v>456</v>
      </c>
      <c r="C231" t="s">
        <v>83</v>
      </c>
      <c r="D231" t="s">
        <v>455</v>
      </c>
      <c r="E231" s="118" t="s">
        <v>1427</v>
      </c>
      <c r="F231" s="119">
        <v>0.6263657407407407</v>
      </c>
      <c r="G231" t="s">
        <v>1422</v>
      </c>
      <c r="H231" t="s">
        <v>1337</v>
      </c>
    </row>
    <row r="232" spans="1:8" s="64" customFormat="1">
      <c r="A232">
        <v>9068490</v>
      </c>
      <c r="B232" t="s">
        <v>456</v>
      </c>
      <c r="C232" t="s">
        <v>83</v>
      </c>
      <c r="D232" t="s">
        <v>455</v>
      </c>
      <c r="E232" s="118" t="s">
        <v>1427</v>
      </c>
      <c r="F232" s="119">
        <v>0.29408564814814814</v>
      </c>
      <c r="G232" t="s">
        <v>1421</v>
      </c>
      <c r="H232" t="s">
        <v>1336</v>
      </c>
    </row>
    <row r="233" spans="1:8" s="64" customFormat="1">
      <c r="A233">
        <v>9148214</v>
      </c>
      <c r="B233" t="s">
        <v>138</v>
      </c>
      <c r="C233" t="s">
        <v>137</v>
      </c>
      <c r="D233" t="s">
        <v>76</v>
      </c>
      <c r="E233" s="118" t="s">
        <v>1420</v>
      </c>
      <c r="F233" s="119">
        <v>0.94082175925925926</v>
      </c>
      <c r="G233" t="s">
        <v>1422</v>
      </c>
      <c r="H233" t="s">
        <v>1337</v>
      </c>
    </row>
    <row r="234" spans="1:8" s="64" customFormat="1">
      <c r="A234">
        <v>9148214</v>
      </c>
      <c r="B234" t="s">
        <v>138</v>
      </c>
      <c r="C234" t="s">
        <v>137</v>
      </c>
      <c r="D234" t="s">
        <v>76</v>
      </c>
      <c r="E234" s="118" t="s">
        <v>1420</v>
      </c>
      <c r="F234" s="119">
        <v>0.608912037037037</v>
      </c>
      <c r="G234" t="s">
        <v>1421</v>
      </c>
      <c r="H234" t="s">
        <v>1336</v>
      </c>
    </row>
    <row r="235" spans="1:8" s="64" customFormat="1">
      <c r="A235">
        <v>9148214</v>
      </c>
      <c r="B235" t="s">
        <v>138</v>
      </c>
      <c r="C235" t="s">
        <v>137</v>
      </c>
      <c r="D235" t="s">
        <v>76</v>
      </c>
      <c r="E235" s="118" t="s">
        <v>1423</v>
      </c>
      <c r="F235" s="119">
        <v>0.93564814814814812</v>
      </c>
      <c r="G235" t="s">
        <v>1422</v>
      </c>
      <c r="H235" t="s">
        <v>1337</v>
      </c>
    </row>
    <row r="236" spans="1:8" s="64" customFormat="1">
      <c r="A236">
        <v>9148214</v>
      </c>
      <c r="B236" t="s">
        <v>138</v>
      </c>
      <c r="C236" t="s">
        <v>137</v>
      </c>
      <c r="D236" t="s">
        <v>76</v>
      </c>
      <c r="E236" s="118" t="s">
        <v>1423</v>
      </c>
      <c r="F236" s="119">
        <v>0.60494212962962968</v>
      </c>
      <c r="G236" t="s">
        <v>1421</v>
      </c>
      <c r="H236" t="s">
        <v>1336</v>
      </c>
    </row>
    <row r="237" spans="1:8" s="64" customFormat="1">
      <c r="A237">
        <v>9148214</v>
      </c>
      <c r="B237" t="s">
        <v>138</v>
      </c>
      <c r="C237" t="s">
        <v>137</v>
      </c>
      <c r="D237" t="s">
        <v>76</v>
      </c>
      <c r="E237" s="118" t="s">
        <v>1424</v>
      </c>
      <c r="F237" s="119">
        <v>0.93839120370370377</v>
      </c>
      <c r="G237" t="s">
        <v>1422</v>
      </c>
      <c r="H237" t="s">
        <v>1337</v>
      </c>
    </row>
    <row r="238" spans="1:8" s="64" customFormat="1">
      <c r="A238">
        <v>9148214</v>
      </c>
      <c r="B238" t="s">
        <v>138</v>
      </c>
      <c r="C238" t="s">
        <v>137</v>
      </c>
      <c r="D238" t="s">
        <v>76</v>
      </c>
      <c r="E238" s="118" t="s">
        <v>1424</v>
      </c>
      <c r="F238" s="119">
        <v>0.60703703703703704</v>
      </c>
      <c r="G238" t="s">
        <v>1421</v>
      </c>
      <c r="H238" t="s">
        <v>1336</v>
      </c>
    </row>
    <row r="239" spans="1:8" s="64" customFormat="1">
      <c r="A239">
        <v>9148214</v>
      </c>
      <c r="B239" t="s">
        <v>138</v>
      </c>
      <c r="C239" t="s">
        <v>137</v>
      </c>
      <c r="D239" t="s">
        <v>76</v>
      </c>
      <c r="E239" s="118" t="s">
        <v>1425</v>
      </c>
      <c r="F239" s="119">
        <v>0.94194444444444436</v>
      </c>
      <c r="G239" t="s">
        <v>1422</v>
      </c>
      <c r="H239" t="s">
        <v>1337</v>
      </c>
    </row>
    <row r="240" spans="1:8" s="64" customFormat="1">
      <c r="A240">
        <v>9148214</v>
      </c>
      <c r="B240" t="s">
        <v>138</v>
      </c>
      <c r="C240" t="s">
        <v>137</v>
      </c>
      <c r="D240" t="s">
        <v>76</v>
      </c>
      <c r="E240" s="118" t="s">
        <v>1425</v>
      </c>
      <c r="F240" s="119">
        <v>0.60685185185185186</v>
      </c>
      <c r="G240" t="s">
        <v>1421</v>
      </c>
      <c r="H240" t="s">
        <v>1336</v>
      </c>
    </row>
    <row r="241" spans="1:8" s="64" customFormat="1">
      <c r="A241">
        <v>9148214</v>
      </c>
      <c r="B241" t="s">
        <v>138</v>
      </c>
      <c r="C241" t="s">
        <v>137</v>
      </c>
      <c r="D241" t="s">
        <v>76</v>
      </c>
      <c r="E241" s="118" t="s">
        <v>1426</v>
      </c>
      <c r="F241" s="119">
        <v>0.94081018518518522</v>
      </c>
      <c r="G241" t="s">
        <v>1422</v>
      </c>
      <c r="H241" t="s">
        <v>1337</v>
      </c>
    </row>
    <row r="242" spans="1:8" s="64" customFormat="1">
      <c r="A242">
        <v>9148214</v>
      </c>
      <c r="B242" t="s">
        <v>138</v>
      </c>
      <c r="C242" t="s">
        <v>137</v>
      </c>
      <c r="D242" t="s">
        <v>76</v>
      </c>
      <c r="E242" s="118" t="s">
        <v>1426</v>
      </c>
      <c r="F242" s="119">
        <v>0.60576388888888888</v>
      </c>
      <c r="G242" t="s">
        <v>1421</v>
      </c>
      <c r="H242" t="s">
        <v>1336</v>
      </c>
    </row>
    <row r="243" spans="1:8" s="64" customFormat="1">
      <c r="A243">
        <v>9148214</v>
      </c>
      <c r="B243" t="s">
        <v>138</v>
      </c>
      <c r="C243" t="s">
        <v>137</v>
      </c>
      <c r="D243" t="s">
        <v>76</v>
      </c>
      <c r="E243" s="118" t="s">
        <v>1427</v>
      </c>
      <c r="F243" s="119">
        <v>0.94087962962962957</v>
      </c>
      <c r="G243" t="s">
        <v>1422</v>
      </c>
      <c r="H243" t="s">
        <v>1337</v>
      </c>
    </row>
    <row r="244" spans="1:8" s="64" customFormat="1">
      <c r="A244">
        <v>9148214</v>
      </c>
      <c r="B244" t="s">
        <v>138</v>
      </c>
      <c r="C244" t="s">
        <v>137</v>
      </c>
      <c r="D244" t="s">
        <v>76</v>
      </c>
      <c r="E244" s="118" t="s">
        <v>1427</v>
      </c>
      <c r="F244" s="119">
        <v>0.6127083333333333</v>
      </c>
      <c r="G244" t="s">
        <v>1421</v>
      </c>
      <c r="H244" t="s">
        <v>1336</v>
      </c>
    </row>
    <row r="245" spans="1:8" s="64" customFormat="1">
      <c r="A245">
        <v>9571017</v>
      </c>
      <c r="B245" t="s">
        <v>420</v>
      </c>
      <c r="C245" t="s">
        <v>419</v>
      </c>
      <c r="D245" t="s">
        <v>308</v>
      </c>
      <c r="E245" s="118" t="s">
        <v>1420</v>
      </c>
      <c r="F245" s="119">
        <v>0.64166666666666672</v>
      </c>
      <c r="G245" t="s">
        <v>1422</v>
      </c>
      <c r="H245" t="s">
        <v>1337</v>
      </c>
    </row>
    <row r="246" spans="1:8" s="64" customFormat="1">
      <c r="A246">
        <v>9571017</v>
      </c>
      <c r="B246" t="s">
        <v>420</v>
      </c>
      <c r="C246" t="s">
        <v>419</v>
      </c>
      <c r="D246" t="s">
        <v>308</v>
      </c>
      <c r="E246" s="118" t="s">
        <v>1420</v>
      </c>
      <c r="F246" s="119">
        <v>0.30920138888888887</v>
      </c>
      <c r="G246" t="s">
        <v>1421</v>
      </c>
      <c r="H246" t="s">
        <v>1336</v>
      </c>
    </row>
    <row r="247" spans="1:8" s="64" customFormat="1">
      <c r="A247">
        <v>9571017</v>
      </c>
      <c r="B247" t="s">
        <v>420</v>
      </c>
      <c r="C247" t="s">
        <v>419</v>
      </c>
      <c r="D247" t="s">
        <v>308</v>
      </c>
      <c r="E247" s="118" t="s">
        <v>1423</v>
      </c>
      <c r="F247" s="119">
        <v>0.64071759259259264</v>
      </c>
      <c r="G247" t="s">
        <v>1422</v>
      </c>
      <c r="H247" t="s">
        <v>1337</v>
      </c>
    </row>
    <row r="248" spans="1:8" s="64" customFormat="1">
      <c r="A248">
        <v>9571017</v>
      </c>
      <c r="B248" t="s">
        <v>420</v>
      </c>
      <c r="C248" t="s">
        <v>419</v>
      </c>
      <c r="D248" t="s">
        <v>308</v>
      </c>
      <c r="E248" s="118" t="s">
        <v>1423</v>
      </c>
      <c r="F248" s="119">
        <v>0.29864583333333333</v>
      </c>
      <c r="G248" t="s">
        <v>1421</v>
      </c>
      <c r="H248" t="s">
        <v>1336</v>
      </c>
    </row>
    <row r="249" spans="1:8" s="64" customFormat="1">
      <c r="A249">
        <v>9571017</v>
      </c>
      <c r="B249" t="s">
        <v>420</v>
      </c>
      <c r="C249" t="s">
        <v>419</v>
      </c>
      <c r="D249" t="s">
        <v>308</v>
      </c>
      <c r="E249" s="118" t="s">
        <v>1424</v>
      </c>
      <c r="F249" s="119">
        <v>0.64167824074074076</v>
      </c>
      <c r="G249" t="s">
        <v>1422</v>
      </c>
      <c r="H249" t="s">
        <v>1337</v>
      </c>
    </row>
    <row r="250" spans="1:8" s="64" customFormat="1">
      <c r="A250">
        <v>9571017</v>
      </c>
      <c r="B250" t="s">
        <v>420</v>
      </c>
      <c r="C250" t="s">
        <v>419</v>
      </c>
      <c r="D250" t="s">
        <v>308</v>
      </c>
      <c r="E250" s="118" t="s">
        <v>1424</v>
      </c>
      <c r="F250" s="119">
        <v>0.30380787037037038</v>
      </c>
      <c r="G250" t="s">
        <v>1421</v>
      </c>
      <c r="H250" t="s">
        <v>1336</v>
      </c>
    </row>
    <row r="251" spans="1:8" s="64" customFormat="1">
      <c r="A251">
        <v>9571017</v>
      </c>
      <c r="B251" t="s">
        <v>420</v>
      </c>
      <c r="C251" t="s">
        <v>419</v>
      </c>
      <c r="D251" t="s">
        <v>308</v>
      </c>
      <c r="E251" s="118" t="s">
        <v>1425</v>
      </c>
      <c r="F251" s="119">
        <v>0.63834490740740735</v>
      </c>
      <c r="G251" t="s">
        <v>1422</v>
      </c>
      <c r="H251" t="s">
        <v>1337</v>
      </c>
    </row>
    <row r="252" spans="1:8" s="64" customFormat="1">
      <c r="A252">
        <v>9571017</v>
      </c>
      <c r="B252" t="s">
        <v>420</v>
      </c>
      <c r="C252" t="s">
        <v>419</v>
      </c>
      <c r="D252" t="s">
        <v>308</v>
      </c>
      <c r="E252" s="118" t="s">
        <v>1425</v>
      </c>
      <c r="F252" s="119">
        <v>0.31605324074074076</v>
      </c>
      <c r="G252" t="s">
        <v>1421</v>
      </c>
      <c r="H252" t="s">
        <v>1336</v>
      </c>
    </row>
    <row r="253" spans="1:8" s="64" customFormat="1">
      <c r="A253">
        <v>9571017</v>
      </c>
      <c r="B253" t="s">
        <v>420</v>
      </c>
      <c r="C253" t="s">
        <v>419</v>
      </c>
      <c r="D253" t="s">
        <v>308</v>
      </c>
      <c r="E253" s="118" t="s">
        <v>1426</v>
      </c>
      <c r="F253" s="119">
        <v>0.64248842592592592</v>
      </c>
      <c r="G253" t="s">
        <v>1422</v>
      </c>
      <c r="H253" t="s">
        <v>1337</v>
      </c>
    </row>
    <row r="254" spans="1:8" s="64" customFormat="1">
      <c r="A254">
        <v>9571017</v>
      </c>
      <c r="B254" t="s">
        <v>420</v>
      </c>
      <c r="C254" t="s">
        <v>419</v>
      </c>
      <c r="D254" t="s">
        <v>308</v>
      </c>
      <c r="E254" s="118" t="s">
        <v>1426</v>
      </c>
      <c r="F254" s="119">
        <v>0.30523148148148149</v>
      </c>
      <c r="G254" t="s">
        <v>1421</v>
      </c>
      <c r="H254" t="s">
        <v>1336</v>
      </c>
    </row>
    <row r="255" spans="1:8" s="64" customFormat="1">
      <c r="A255">
        <v>9571017</v>
      </c>
      <c r="B255" t="s">
        <v>420</v>
      </c>
      <c r="C255" t="s">
        <v>419</v>
      </c>
      <c r="D255" t="s">
        <v>308</v>
      </c>
      <c r="E255" s="118" t="s">
        <v>1427</v>
      </c>
      <c r="F255" s="119">
        <v>0.64826388888888886</v>
      </c>
      <c r="G255" t="s">
        <v>1422</v>
      </c>
      <c r="H255" t="s">
        <v>1337</v>
      </c>
    </row>
    <row r="256" spans="1:8" s="64" customFormat="1">
      <c r="A256">
        <v>9571017</v>
      </c>
      <c r="B256" t="s">
        <v>420</v>
      </c>
      <c r="C256" t="s">
        <v>419</v>
      </c>
      <c r="D256" t="s">
        <v>308</v>
      </c>
      <c r="E256" s="118" t="s">
        <v>1427</v>
      </c>
      <c r="F256" s="119">
        <v>0.35094907407407411</v>
      </c>
      <c r="G256" t="s">
        <v>1421</v>
      </c>
      <c r="H256" t="s">
        <v>1336</v>
      </c>
    </row>
    <row r="257" spans="1:8" s="64" customFormat="1">
      <c r="A257">
        <v>9741880</v>
      </c>
      <c r="B257" t="s">
        <v>859</v>
      </c>
      <c r="C257" t="s">
        <v>857</v>
      </c>
      <c r="D257" t="s">
        <v>858</v>
      </c>
      <c r="E257" s="118" t="s">
        <v>1420</v>
      </c>
      <c r="F257" s="119">
        <v>0.63622685185185179</v>
      </c>
      <c r="G257" t="s">
        <v>1422</v>
      </c>
      <c r="H257" t="s">
        <v>1337</v>
      </c>
    </row>
    <row r="258" spans="1:8" s="64" customFormat="1">
      <c r="A258">
        <v>9741880</v>
      </c>
      <c r="B258" t="s">
        <v>859</v>
      </c>
      <c r="C258" t="s">
        <v>857</v>
      </c>
      <c r="D258" t="s">
        <v>858</v>
      </c>
      <c r="E258" s="118" t="s">
        <v>1420</v>
      </c>
      <c r="F258" s="119">
        <v>0.31662037037037033</v>
      </c>
      <c r="G258" t="s">
        <v>1421</v>
      </c>
      <c r="H258" t="s">
        <v>1336</v>
      </c>
    </row>
    <row r="259" spans="1:8" s="64" customFormat="1">
      <c r="A259">
        <v>9741880</v>
      </c>
      <c r="B259" t="s">
        <v>859</v>
      </c>
      <c r="C259" t="s">
        <v>857</v>
      </c>
      <c r="D259" t="s">
        <v>858</v>
      </c>
      <c r="E259" s="118" t="s">
        <v>1423</v>
      </c>
      <c r="F259" s="119">
        <v>0.63436342592592598</v>
      </c>
      <c r="G259" t="s">
        <v>1422</v>
      </c>
      <c r="H259" t="s">
        <v>1337</v>
      </c>
    </row>
    <row r="260" spans="1:8" s="64" customFormat="1">
      <c r="A260">
        <v>9741880</v>
      </c>
      <c r="B260" t="s">
        <v>859</v>
      </c>
      <c r="C260" t="s">
        <v>857</v>
      </c>
      <c r="D260" t="s">
        <v>858</v>
      </c>
      <c r="E260" s="118" t="s">
        <v>1423</v>
      </c>
      <c r="F260" s="119">
        <v>0.30831018518518521</v>
      </c>
      <c r="G260" t="s">
        <v>1421</v>
      </c>
      <c r="H260" t="s">
        <v>1336</v>
      </c>
    </row>
    <row r="261" spans="1:8" s="64" customFormat="1">
      <c r="A261">
        <v>9741880</v>
      </c>
      <c r="B261" t="s">
        <v>859</v>
      </c>
      <c r="C261" t="s">
        <v>857</v>
      </c>
      <c r="D261" t="s">
        <v>858</v>
      </c>
      <c r="E261" s="118" t="s">
        <v>1424</v>
      </c>
      <c r="F261" s="119">
        <v>0.63489583333333333</v>
      </c>
      <c r="G261" t="s">
        <v>1422</v>
      </c>
      <c r="H261" t="s">
        <v>1337</v>
      </c>
    </row>
    <row r="262" spans="1:8" s="64" customFormat="1">
      <c r="A262">
        <v>9741880</v>
      </c>
      <c r="B262" t="s">
        <v>859</v>
      </c>
      <c r="C262" t="s">
        <v>857</v>
      </c>
      <c r="D262" t="s">
        <v>858</v>
      </c>
      <c r="E262" s="118" t="s">
        <v>1424</v>
      </c>
      <c r="F262" s="119">
        <v>0.29449074074074072</v>
      </c>
      <c r="G262" t="s">
        <v>1421</v>
      </c>
      <c r="H262" t="s">
        <v>1336</v>
      </c>
    </row>
    <row r="263" spans="1:8" s="64" customFormat="1">
      <c r="A263">
        <v>9741880</v>
      </c>
      <c r="B263" t="s">
        <v>859</v>
      </c>
      <c r="C263" t="s">
        <v>857</v>
      </c>
      <c r="D263" t="s">
        <v>858</v>
      </c>
      <c r="E263" s="118" t="s">
        <v>1425</v>
      </c>
      <c r="F263" s="119">
        <v>0.9431018518518518</v>
      </c>
      <c r="G263" t="s">
        <v>1422</v>
      </c>
      <c r="H263" t="s">
        <v>1337</v>
      </c>
    </row>
    <row r="264" spans="1:8" s="64" customFormat="1">
      <c r="A264">
        <v>9741880</v>
      </c>
      <c r="B264" t="s">
        <v>859</v>
      </c>
      <c r="C264" t="s">
        <v>857</v>
      </c>
      <c r="D264" t="s">
        <v>858</v>
      </c>
      <c r="E264" s="118" t="s">
        <v>1425</v>
      </c>
      <c r="F264" s="119">
        <v>0.61239583333333336</v>
      </c>
      <c r="G264" t="s">
        <v>1421</v>
      </c>
      <c r="H264" t="s">
        <v>1336</v>
      </c>
    </row>
    <row r="265" spans="1:8" s="64" customFormat="1">
      <c r="A265">
        <v>9741880</v>
      </c>
      <c r="B265" t="s">
        <v>859</v>
      </c>
      <c r="C265" t="s">
        <v>857</v>
      </c>
      <c r="D265" t="s">
        <v>858</v>
      </c>
      <c r="E265" s="118" t="s">
        <v>1426</v>
      </c>
      <c r="F265" s="119">
        <v>0.62958333333333327</v>
      </c>
      <c r="G265" t="s">
        <v>1422</v>
      </c>
      <c r="H265" t="s">
        <v>1337</v>
      </c>
    </row>
    <row r="266" spans="1:8" s="64" customFormat="1">
      <c r="A266">
        <v>9741880</v>
      </c>
      <c r="B266" t="s">
        <v>859</v>
      </c>
      <c r="C266" t="s">
        <v>857</v>
      </c>
      <c r="D266" t="s">
        <v>858</v>
      </c>
      <c r="E266" s="118" t="s">
        <v>1426</v>
      </c>
      <c r="F266" s="119">
        <v>0.29501157407407408</v>
      </c>
      <c r="G266" t="s">
        <v>1421</v>
      </c>
      <c r="H266" t="s">
        <v>1336</v>
      </c>
    </row>
    <row r="267" spans="1:8" s="64" customFormat="1">
      <c r="A267">
        <v>9748915</v>
      </c>
      <c r="B267" t="s">
        <v>475</v>
      </c>
      <c r="C267" t="s">
        <v>318</v>
      </c>
      <c r="D267" t="s">
        <v>413</v>
      </c>
      <c r="E267" s="118" t="s">
        <v>1420</v>
      </c>
      <c r="F267" s="119">
        <v>0.94395833333333334</v>
      </c>
      <c r="G267" t="s">
        <v>1422</v>
      </c>
      <c r="H267" t="s">
        <v>1337</v>
      </c>
    </row>
    <row r="268" spans="1:8" s="64" customFormat="1">
      <c r="A268">
        <v>9748915</v>
      </c>
      <c r="B268" t="s">
        <v>475</v>
      </c>
      <c r="C268" t="s">
        <v>318</v>
      </c>
      <c r="D268" t="s">
        <v>413</v>
      </c>
      <c r="E268" s="118" t="s">
        <v>1420</v>
      </c>
      <c r="F268" s="119">
        <v>0.61104166666666659</v>
      </c>
      <c r="G268" t="s">
        <v>1421</v>
      </c>
      <c r="H268" t="s">
        <v>1336</v>
      </c>
    </row>
    <row r="269" spans="1:8" s="64" customFormat="1">
      <c r="A269">
        <v>9748915</v>
      </c>
      <c r="B269" t="s">
        <v>475</v>
      </c>
      <c r="C269" t="s">
        <v>318</v>
      </c>
      <c r="D269" t="s">
        <v>413</v>
      </c>
      <c r="E269" s="118" t="s">
        <v>1423</v>
      </c>
      <c r="F269" s="119">
        <v>0.63393518518518521</v>
      </c>
      <c r="G269" t="s">
        <v>1422</v>
      </c>
      <c r="H269" t="s">
        <v>1337</v>
      </c>
    </row>
    <row r="270" spans="1:8" s="64" customFormat="1">
      <c r="A270">
        <v>9748915</v>
      </c>
      <c r="B270" t="s">
        <v>475</v>
      </c>
      <c r="C270" t="s">
        <v>318</v>
      </c>
      <c r="D270" t="s">
        <v>413</v>
      </c>
      <c r="E270" s="118" t="s">
        <v>1423</v>
      </c>
      <c r="F270" s="119">
        <v>0.32155092592592593</v>
      </c>
      <c r="G270" t="s">
        <v>1421</v>
      </c>
      <c r="H270" t="s">
        <v>1336</v>
      </c>
    </row>
    <row r="271" spans="1:8" s="64" customFormat="1">
      <c r="A271">
        <v>9748915</v>
      </c>
      <c r="B271" t="s">
        <v>475</v>
      </c>
      <c r="C271" t="s">
        <v>318</v>
      </c>
      <c r="D271" t="s">
        <v>413</v>
      </c>
      <c r="E271" s="118" t="s">
        <v>1424</v>
      </c>
      <c r="F271" s="119">
        <v>0.9421180555555555</v>
      </c>
      <c r="G271" t="s">
        <v>1422</v>
      </c>
      <c r="H271" t="s">
        <v>1337</v>
      </c>
    </row>
    <row r="272" spans="1:8" s="64" customFormat="1">
      <c r="A272">
        <v>9748915</v>
      </c>
      <c r="B272" t="s">
        <v>475</v>
      </c>
      <c r="C272" t="s">
        <v>318</v>
      </c>
      <c r="D272" t="s">
        <v>413</v>
      </c>
      <c r="E272" s="118" t="s">
        <v>1424</v>
      </c>
      <c r="F272" s="119">
        <v>0.62535879629629632</v>
      </c>
      <c r="G272" t="s">
        <v>1421</v>
      </c>
      <c r="H272" t="s">
        <v>1336</v>
      </c>
    </row>
    <row r="273" spans="1:8" s="64" customFormat="1">
      <c r="A273">
        <v>9748915</v>
      </c>
      <c r="B273" t="s">
        <v>475</v>
      </c>
      <c r="C273" t="s">
        <v>318</v>
      </c>
      <c r="D273" t="s">
        <v>413</v>
      </c>
      <c r="E273" s="118" t="s">
        <v>1425</v>
      </c>
      <c r="F273" s="119">
        <v>0.94524305555555566</v>
      </c>
      <c r="G273" t="s">
        <v>1422</v>
      </c>
      <c r="H273" t="s">
        <v>1337</v>
      </c>
    </row>
    <row r="274" spans="1:8" s="64" customFormat="1">
      <c r="A274">
        <v>9748915</v>
      </c>
      <c r="B274" t="s">
        <v>475</v>
      </c>
      <c r="C274" t="s">
        <v>318</v>
      </c>
      <c r="D274" t="s">
        <v>413</v>
      </c>
      <c r="E274" s="118" t="s">
        <v>1425</v>
      </c>
      <c r="F274" s="119">
        <v>0.60252314814814811</v>
      </c>
      <c r="G274" t="s">
        <v>1421</v>
      </c>
      <c r="H274" t="s">
        <v>1336</v>
      </c>
    </row>
    <row r="275" spans="1:8" s="64" customFormat="1">
      <c r="A275">
        <v>9748915</v>
      </c>
      <c r="B275" t="s">
        <v>475</v>
      </c>
      <c r="C275" t="s">
        <v>318</v>
      </c>
      <c r="D275" t="s">
        <v>413</v>
      </c>
      <c r="E275" s="118" t="s">
        <v>1426</v>
      </c>
      <c r="F275" s="119">
        <v>0.63962962962962966</v>
      </c>
      <c r="G275" t="s">
        <v>1422</v>
      </c>
      <c r="H275" t="s">
        <v>1337</v>
      </c>
    </row>
    <row r="276" spans="1:8" s="64" customFormat="1">
      <c r="A276">
        <v>9748915</v>
      </c>
      <c r="B276" t="s">
        <v>475</v>
      </c>
      <c r="C276" t="s">
        <v>318</v>
      </c>
      <c r="D276" t="s">
        <v>413</v>
      </c>
      <c r="E276" s="118" t="s">
        <v>1426</v>
      </c>
      <c r="F276" s="119">
        <v>0.32216435185185183</v>
      </c>
      <c r="G276" t="s">
        <v>1421</v>
      </c>
      <c r="H276" t="s">
        <v>1336</v>
      </c>
    </row>
    <row r="277" spans="1:8" s="64" customFormat="1">
      <c r="A277">
        <v>9748915</v>
      </c>
      <c r="B277" t="s">
        <v>475</v>
      </c>
      <c r="C277" t="s">
        <v>318</v>
      </c>
      <c r="D277" t="s">
        <v>413</v>
      </c>
      <c r="E277" s="118" t="s">
        <v>1427</v>
      </c>
      <c r="F277" s="119">
        <v>0.93753472222222223</v>
      </c>
      <c r="G277" t="s">
        <v>1422</v>
      </c>
      <c r="H277" t="s">
        <v>1337</v>
      </c>
    </row>
    <row r="278" spans="1:8" s="64" customFormat="1">
      <c r="A278">
        <v>9748915</v>
      </c>
      <c r="B278" t="s">
        <v>475</v>
      </c>
      <c r="C278" t="s">
        <v>318</v>
      </c>
      <c r="D278" t="s">
        <v>413</v>
      </c>
      <c r="E278" s="118" t="s">
        <v>1427</v>
      </c>
      <c r="F278" s="119">
        <v>0.64457175925925925</v>
      </c>
      <c r="G278" t="s">
        <v>1421</v>
      </c>
      <c r="H278" t="s">
        <v>1336</v>
      </c>
    </row>
    <row r="279" spans="1:8" s="64" customFormat="1">
      <c r="A279">
        <v>9774031</v>
      </c>
      <c r="B279" t="s">
        <v>881</v>
      </c>
      <c r="C279" t="s">
        <v>184</v>
      </c>
      <c r="D279" t="s">
        <v>853</v>
      </c>
      <c r="E279" s="118" t="s">
        <v>1420</v>
      </c>
      <c r="F279" s="119">
        <v>0.33141203703703703</v>
      </c>
      <c r="G279" t="s">
        <v>1422</v>
      </c>
      <c r="H279" t="s">
        <v>1337</v>
      </c>
    </row>
    <row r="280" spans="1:8" s="64" customFormat="1">
      <c r="A280">
        <v>9774031</v>
      </c>
      <c r="B280" t="s">
        <v>881</v>
      </c>
      <c r="C280" t="s">
        <v>184</v>
      </c>
      <c r="D280" t="s">
        <v>853</v>
      </c>
      <c r="E280" s="118" t="s">
        <v>1420</v>
      </c>
      <c r="F280" s="119">
        <v>0.94244212962962959</v>
      </c>
      <c r="G280" t="s">
        <v>1422</v>
      </c>
      <c r="H280" t="s">
        <v>1337</v>
      </c>
    </row>
    <row r="281" spans="1:8" s="64" customFormat="1">
      <c r="A281">
        <v>9774031</v>
      </c>
      <c r="B281" t="s">
        <v>881</v>
      </c>
      <c r="C281" t="s">
        <v>184</v>
      </c>
      <c r="D281" t="s">
        <v>853</v>
      </c>
      <c r="E281" s="118" t="s">
        <v>1420</v>
      </c>
      <c r="F281" s="119">
        <v>9.1203703703703707E-3</v>
      </c>
      <c r="G281" t="s">
        <v>1421</v>
      </c>
      <c r="H281" t="s">
        <v>1336</v>
      </c>
    </row>
    <row r="282" spans="1:8" s="64" customFormat="1">
      <c r="A282">
        <v>9774031</v>
      </c>
      <c r="B282" t="s">
        <v>881</v>
      </c>
      <c r="C282" t="s">
        <v>184</v>
      </c>
      <c r="D282" t="s">
        <v>853</v>
      </c>
      <c r="E282" s="118" t="s">
        <v>1420</v>
      </c>
      <c r="F282" s="119">
        <v>0.61850694444444443</v>
      </c>
      <c r="G282" t="s">
        <v>1421</v>
      </c>
      <c r="H282" t="s">
        <v>1336</v>
      </c>
    </row>
    <row r="283" spans="1:8" s="64" customFormat="1">
      <c r="A283">
        <v>9774031</v>
      </c>
      <c r="B283" t="s">
        <v>881</v>
      </c>
      <c r="C283" t="s">
        <v>184</v>
      </c>
      <c r="D283" t="s">
        <v>853</v>
      </c>
      <c r="E283" s="118" t="s">
        <v>1423</v>
      </c>
      <c r="F283" s="119">
        <v>0.94282407407407398</v>
      </c>
      <c r="G283" t="s">
        <v>1422</v>
      </c>
      <c r="H283" t="s">
        <v>1337</v>
      </c>
    </row>
    <row r="284" spans="1:8" s="64" customFormat="1">
      <c r="A284">
        <v>9774031</v>
      </c>
      <c r="B284" t="s">
        <v>881</v>
      </c>
      <c r="C284" t="s">
        <v>184</v>
      </c>
      <c r="D284" t="s">
        <v>853</v>
      </c>
      <c r="E284" s="118" t="s">
        <v>1423</v>
      </c>
      <c r="F284" s="119">
        <v>0.6055208333333334</v>
      </c>
      <c r="G284" t="s">
        <v>1421</v>
      </c>
      <c r="H284" t="s">
        <v>1336</v>
      </c>
    </row>
    <row r="285" spans="1:8" s="64" customFormat="1">
      <c r="A285">
        <v>9774031</v>
      </c>
      <c r="B285" t="s">
        <v>881</v>
      </c>
      <c r="C285" t="s">
        <v>184</v>
      </c>
      <c r="D285" t="s">
        <v>853</v>
      </c>
      <c r="E285" s="118" t="s">
        <v>1424</v>
      </c>
      <c r="F285" s="119">
        <v>0.94327546296296294</v>
      </c>
      <c r="G285" t="s">
        <v>1422</v>
      </c>
      <c r="H285" t="s">
        <v>1337</v>
      </c>
    </row>
    <row r="286" spans="1:8" s="64" customFormat="1">
      <c r="A286">
        <v>9774031</v>
      </c>
      <c r="B286" t="s">
        <v>881</v>
      </c>
      <c r="C286" t="s">
        <v>184</v>
      </c>
      <c r="D286" t="s">
        <v>853</v>
      </c>
      <c r="E286" s="118" t="s">
        <v>1424</v>
      </c>
      <c r="F286" s="119">
        <v>0.60834490740740743</v>
      </c>
      <c r="G286" t="s">
        <v>1421</v>
      </c>
      <c r="H286" t="s">
        <v>1336</v>
      </c>
    </row>
    <row r="287" spans="1:8" s="64" customFormat="1">
      <c r="A287">
        <v>9774031</v>
      </c>
      <c r="B287" t="s">
        <v>881</v>
      </c>
      <c r="C287" t="s">
        <v>184</v>
      </c>
      <c r="D287" t="s">
        <v>853</v>
      </c>
      <c r="E287" s="118" t="s">
        <v>1425</v>
      </c>
      <c r="F287" s="119">
        <v>0.9456134259259259</v>
      </c>
      <c r="G287" t="s">
        <v>1422</v>
      </c>
      <c r="H287" t="s">
        <v>1337</v>
      </c>
    </row>
    <row r="288" spans="1:8" s="64" customFormat="1">
      <c r="A288">
        <v>9774031</v>
      </c>
      <c r="B288" t="s">
        <v>881</v>
      </c>
      <c r="C288" t="s">
        <v>184</v>
      </c>
      <c r="D288" t="s">
        <v>853</v>
      </c>
      <c r="E288" s="118" t="s">
        <v>1425</v>
      </c>
      <c r="F288" s="119">
        <v>0.60700231481481481</v>
      </c>
      <c r="G288" t="s">
        <v>1421</v>
      </c>
      <c r="H288" t="s">
        <v>1336</v>
      </c>
    </row>
    <row r="289" spans="1:8" s="64" customFormat="1">
      <c r="A289">
        <v>9774031</v>
      </c>
      <c r="B289" t="s">
        <v>881</v>
      </c>
      <c r="C289" t="s">
        <v>184</v>
      </c>
      <c r="D289" t="s">
        <v>853</v>
      </c>
      <c r="E289" s="118" t="s">
        <v>1426</v>
      </c>
      <c r="F289" s="119">
        <v>0.94822916666666668</v>
      </c>
      <c r="G289" t="s">
        <v>1422</v>
      </c>
      <c r="H289" t="s">
        <v>1337</v>
      </c>
    </row>
    <row r="290" spans="1:8" s="64" customFormat="1">
      <c r="A290">
        <v>9774031</v>
      </c>
      <c r="B290" t="s">
        <v>881</v>
      </c>
      <c r="C290" t="s">
        <v>184</v>
      </c>
      <c r="D290" t="s">
        <v>853</v>
      </c>
      <c r="E290" s="118" t="s">
        <v>1426</v>
      </c>
      <c r="F290" s="119">
        <v>0.60651620370370374</v>
      </c>
      <c r="G290" t="s">
        <v>1421</v>
      </c>
      <c r="H290" t="s">
        <v>1336</v>
      </c>
    </row>
    <row r="291" spans="1:8" s="64" customFormat="1">
      <c r="A291">
        <v>9774031</v>
      </c>
      <c r="B291" t="s">
        <v>881</v>
      </c>
      <c r="C291" t="s">
        <v>184</v>
      </c>
      <c r="D291" t="s">
        <v>853</v>
      </c>
      <c r="E291" s="118" t="s">
        <v>1427</v>
      </c>
      <c r="F291" s="119">
        <v>0.65806712962962965</v>
      </c>
      <c r="G291" t="s">
        <v>1422</v>
      </c>
      <c r="H291" t="s">
        <v>1337</v>
      </c>
    </row>
    <row r="292" spans="1:8" s="64" customFormat="1">
      <c r="A292">
        <v>9774031</v>
      </c>
      <c r="B292" t="s">
        <v>881</v>
      </c>
      <c r="C292" t="s">
        <v>184</v>
      </c>
      <c r="D292" t="s">
        <v>853</v>
      </c>
      <c r="E292" s="118" t="s">
        <v>1427</v>
      </c>
      <c r="F292" s="119">
        <v>0.60760416666666661</v>
      </c>
      <c r="G292" t="s">
        <v>1421</v>
      </c>
      <c r="H292" t="s">
        <v>1336</v>
      </c>
    </row>
    <row r="293" spans="1:8" s="64" customFormat="1">
      <c r="A293">
        <v>9832710</v>
      </c>
      <c r="B293" t="s">
        <v>209</v>
      </c>
      <c r="C293" t="s">
        <v>207</v>
      </c>
      <c r="D293" t="s">
        <v>208</v>
      </c>
      <c r="E293" s="118" t="s">
        <v>1420</v>
      </c>
      <c r="F293" s="119">
        <v>0.72745370370370377</v>
      </c>
      <c r="G293" t="s">
        <v>1422</v>
      </c>
      <c r="H293" t="s">
        <v>1337</v>
      </c>
    </row>
    <row r="294" spans="1:8" s="64" customFormat="1">
      <c r="A294">
        <v>9832710</v>
      </c>
      <c r="B294" t="s">
        <v>209</v>
      </c>
      <c r="C294" t="s">
        <v>207</v>
      </c>
      <c r="D294" t="s">
        <v>208</v>
      </c>
      <c r="E294" s="118" t="s">
        <v>1420</v>
      </c>
      <c r="F294" s="119">
        <v>0.30015046296296294</v>
      </c>
      <c r="G294" t="s">
        <v>1421</v>
      </c>
      <c r="H294" t="s">
        <v>1336</v>
      </c>
    </row>
    <row r="295" spans="1:8" s="64" customFormat="1">
      <c r="A295">
        <v>9832710</v>
      </c>
      <c r="B295" t="s">
        <v>209</v>
      </c>
      <c r="C295" t="s">
        <v>207</v>
      </c>
      <c r="D295" t="s">
        <v>208</v>
      </c>
      <c r="E295" s="118" t="s">
        <v>1423</v>
      </c>
      <c r="F295" s="119">
        <v>0.72630787037037037</v>
      </c>
      <c r="G295" t="s">
        <v>1422</v>
      </c>
      <c r="H295" t="s">
        <v>1337</v>
      </c>
    </row>
    <row r="296" spans="1:8" s="64" customFormat="1">
      <c r="A296">
        <v>9832710</v>
      </c>
      <c r="B296" t="s">
        <v>209</v>
      </c>
      <c r="C296" t="s">
        <v>207</v>
      </c>
      <c r="D296" t="s">
        <v>208</v>
      </c>
      <c r="E296" s="118" t="s">
        <v>1423</v>
      </c>
      <c r="F296" s="119">
        <v>0.30607638888888888</v>
      </c>
      <c r="G296" t="s">
        <v>1421</v>
      </c>
      <c r="H296" t="s">
        <v>1336</v>
      </c>
    </row>
    <row r="297" spans="1:8" s="64" customFormat="1">
      <c r="A297">
        <v>9832710</v>
      </c>
      <c r="B297" t="s">
        <v>209</v>
      </c>
      <c r="C297" t="s">
        <v>207</v>
      </c>
      <c r="D297" t="s">
        <v>208</v>
      </c>
      <c r="E297" s="118" t="s">
        <v>1424</v>
      </c>
      <c r="F297" s="119">
        <v>0.73327546296296298</v>
      </c>
      <c r="G297" t="s">
        <v>1422</v>
      </c>
      <c r="H297" t="s">
        <v>1337</v>
      </c>
    </row>
    <row r="298" spans="1:8" s="64" customFormat="1">
      <c r="A298">
        <v>9832710</v>
      </c>
      <c r="B298" t="s">
        <v>209</v>
      </c>
      <c r="C298" t="s">
        <v>207</v>
      </c>
      <c r="D298" t="s">
        <v>208</v>
      </c>
      <c r="E298" s="118" t="s">
        <v>1424</v>
      </c>
      <c r="F298" s="119">
        <v>0.3016550925925926</v>
      </c>
      <c r="G298" t="s">
        <v>1421</v>
      </c>
      <c r="H298" t="s">
        <v>1336</v>
      </c>
    </row>
    <row r="299" spans="1:8" s="64" customFormat="1">
      <c r="A299">
        <v>9832710</v>
      </c>
      <c r="B299" t="s">
        <v>209</v>
      </c>
      <c r="C299" t="s">
        <v>207</v>
      </c>
      <c r="D299" t="s">
        <v>208</v>
      </c>
      <c r="E299" s="118" t="s">
        <v>1425</v>
      </c>
      <c r="F299" s="119">
        <v>0.76453703703703713</v>
      </c>
      <c r="G299" t="s">
        <v>1422</v>
      </c>
      <c r="H299" t="s">
        <v>1337</v>
      </c>
    </row>
    <row r="300" spans="1:8" s="64" customFormat="1">
      <c r="A300">
        <v>9832710</v>
      </c>
      <c r="B300" t="s">
        <v>209</v>
      </c>
      <c r="C300" t="s">
        <v>207</v>
      </c>
      <c r="D300" t="s">
        <v>208</v>
      </c>
      <c r="E300" s="118" t="s">
        <v>1425</v>
      </c>
      <c r="F300" s="119">
        <v>0.30163194444444447</v>
      </c>
      <c r="G300" t="s">
        <v>1421</v>
      </c>
      <c r="H300" t="s">
        <v>1336</v>
      </c>
    </row>
    <row r="301" spans="1:8" s="64" customFormat="1">
      <c r="A301">
        <v>9832710</v>
      </c>
      <c r="B301" t="s">
        <v>209</v>
      </c>
      <c r="C301" t="s">
        <v>207</v>
      </c>
      <c r="D301" t="s">
        <v>208</v>
      </c>
      <c r="E301" s="118" t="s">
        <v>1426</v>
      </c>
      <c r="F301" s="119">
        <v>0.72233796296296304</v>
      </c>
      <c r="G301" t="s">
        <v>1422</v>
      </c>
      <c r="H301" t="s">
        <v>1337</v>
      </c>
    </row>
    <row r="302" spans="1:8" s="64" customFormat="1">
      <c r="A302">
        <v>9832710</v>
      </c>
      <c r="B302" t="s">
        <v>209</v>
      </c>
      <c r="C302" t="s">
        <v>207</v>
      </c>
      <c r="D302" t="s">
        <v>208</v>
      </c>
      <c r="E302" s="118" t="s">
        <v>1426</v>
      </c>
      <c r="F302" s="119">
        <v>0.30671296296296297</v>
      </c>
      <c r="G302" t="s">
        <v>1421</v>
      </c>
      <c r="H302" t="s">
        <v>1336</v>
      </c>
    </row>
    <row r="303" spans="1:8" s="64" customFormat="1">
      <c r="A303">
        <v>9989723</v>
      </c>
      <c r="B303" t="s">
        <v>481</v>
      </c>
      <c r="C303" t="s">
        <v>479</v>
      </c>
      <c r="D303" t="s">
        <v>480</v>
      </c>
      <c r="E303" s="118" t="s">
        <v>1420</v>
      </c>
      <c r="F303" s="119">
        <v>0.63119212962962956</v>
      </c>
      <c r="G303" t="s">
        <v>1422</v>
      </c>
      <c r="H303" t="s">
        <v>1337</v>
      </c>
    </row>
    <row r="304" spans="1:8" s="64" customFormat="1">
      <c r="A304">
        <v>9989723</v>
      </c>
      <c r="B304" t="s">
        <v>481</v>
      </c>
      <c r="C304" t="s">
        <v>479</v>
      </c>
      <c r="D304" t="s">
        <v>480</v>
      </c>
      <c r="E304" s="118" t="s">
        <v>1420</v>
      </c>
      <c r="F304" s="119">
        <v>0.30681712962962965</v>
      </c>
      <c r="G304" t="s">
        <v>1421</v>
      </c>
      <c r="H304" t="s">
        <v>1336</v>
      </c>
    </row>
    <row r="305" spans="1:8" s="64" customFormat="1">
      <c r="A305">
        <v>9989723</v>
      </c>
      <c r="B305" t="s">
        <v>481</v>
      </c>
      <c r="C305" t="s">
        <v>479</v>
      </c>
      <c r="D305" t="s">
        <v>480</v>
      </c>
      <c r="E305" s="118" t="s">
        <v>1423</v>
      </c>
      <c r="F305" s="119">
        <v>0.63511574074074073</v>
      </c>
      <c r="G305" t="s">
        <v>1422</v>
      </c>
      <c r="H305" t="s">
        <v>1337</v>
      </c>
    </row>
    <row r="306" spans="1:8" s="64" customFormat="1">
      <c r="A306">
        <v>9989723</v>
      </c>
      <c r="B306" t="s">
        <v>481</v>
      </c>
      <c r="C306" t="s">
        <v>479</v>
      </c>
      <c r="D306" t="s">
        <v>480</v>
      </c>
      <c r="E306" s="118" t="s">
        <v>1423</v>
      </c>
      <c r="F306" s="119">
        <v>0.29706018518518518</v>
      </c>
      <c r="G306" t="s">
        <v>1421</v>
      </c>
      <c r="H306" t="s">
        <v>1336</v>
      </c>
    </row>
    <row r="307" spans="1:8" s="64" customFormat="1">
      <c r="A307">
        <v>9989723</v>
      </c>
      <c r="B307" t="s">
        <v>481</v>
      </c>
      <c r="C307" t="s">
        <v>479</v>
      </c>
      <c r="D307" t="s">
        <v>480</v>
      </c>
      <c r="E307" s="118" t="s">
        <v>1424</v>
      </c>
      <c r="F307" s="119">
        <v>0.63464120370370369</v>
      </c>
      <c r="G307" t="s">
        <v>1422</v>
      </c>
      <c r="H307" t="s">
        <v>1337</v>
      </c>
    </row>
    <row r="308" spans="1:8" s="64" customFormat="1">
      <c r="A308">
        <v>9989723</v>
      </c>
      <c r="B308" t="s">
        <v>481</v>
      </c>
      <c r="C308" t="s">
        <v>479</v>
      </c>
      <c r="D308" t="s">
        <v>480</v>
      </c>
      <c r="E308" s="118" t="s">
        <v>1424</v>
      </c>
      <c r="F308" s="119">
        <v>0.29555555555555557</v>
      </c>
      <c r="G308" t="s">
        <v>1421</v>
      </c>
      <c r="H308" t="s">
        <v>1336</v>
      </c>
    </row>
    <row r="309" spans="1:8" s="64" customFormat="1">
      <c r="A309">
        <v>9989723</v>
      </c>
      <c r="B309" t="s">
        <v>481</v>
      </c>
      <c r="C309" t="s">
        <v>479</v>
      </c>
      <c r="D309" t="s">
        <v>480</v>
      </c>
      <c r="E309" s="118" t="s">
        <v>1425</v>
      </c>
      <c r="F309" s="119">
        <v>0.62958333333333327</v>
      </c>
      <c r="G309" t="s">
        <v>1422</v>
      </c>
      <c r="H309" t="s">
        <v>1337</v>
      </c>
    </row>
    <row r="310" spans="1:8" s="64" customFormat="1">
      <c r="A310">
        <v>9989723</v>
      </c>
      <c r="B310" t="s">
        <v>481</v>
      </c>
      <c r="C310" t="s">
        <v>479</v>
      </c>
      <c r="D310" t="s">
        <v>480</v>
      </c>
      <c r="E310" s="118" t="s">
        <v>1425</v>
      </c>
      <c r="F310" s="119">
        <v>0.2898263888888889</v>
      </c>
      <c r="G310" t="s">
        <v>1421</v>
      </c>
      <c r="H310" t="s">
        <v>1336</v>
      </c>
    </row>
    <row r="311" spans="1:8" s="64" customFormat="1">
      <c r="A311">
        <v>9989723</v>
      </c>
      <c r="B311" t="s">
        <v>481</v>
      </c>
      <c r="C311" t="s">
        <v>479</v>
      </c>
      <c r="D311" t="s">
        <v>480</v>
      </c>
      <c r="E311" s="118" t="s">
        <v>1426</v>
      </c>
      <c r="F311" s="119">
        <v>0.63896990740740744</v>
      </c>
      <c r="G311" t="s">
        <v>1422</v>
      </c>
      <c r="H311" t="s">
        <v>1337</v>
      </c>
    </row>
    <row r="312" spans="1:8" s="64" customFormat="1">
      <c r="A312">
        <v>9989723</v>
      </c>
      <c r="B312" t="s">
        <v>481</v>
      </c>
      <c r="C312" t="s">
        <v>479</v>
      </c>
      <c r="D312" t="s">
        <v>480</v>
      </c>
      <c r="E312" s="118" t="s">
        <v>1426</v>
      </c>
      <c r="F312" s="119">
        <v>0.29567129629629629</v>
      </c>
      <c r="G312" t="s">
        <v>1421</v>
      </c>
      <c r="H312" t="s">
        <v>1336</v>
      </c>
    </row>
    <row r="313" spans="1:8" s="64" customFormat="1">
      <c r="A313" s="120">
        <v>9989723</v>
      </c>
      <c r="B313" s="120" t="s">
        <v>481</v>
      </c>
      <c r="C313" s="120" t="s">
        <v>479</v>
      </c>
      <c r="D313" s="120" t="s">
        <v>480</v>
      </c>
      <c r="E313" s="121" t="s">
        <v>1427</v>
      </c>
      <c r="F313" s="122">
        <v>0.6348611111111111</v>
      </c>
      <c r="G313" s="120" t="s">
        <v>1422</v>
      </c>
      <c r="H313" s="120" t="s">
        <v>1337</v>
      </c>
    </row>
    <row r="314" spans="1:8" s="64" customFormat="1">
      <c r="A314">
        <v>9989723</v>
      </c>
      <c r="B314" t="s">
        <v>481</v>
      </c>
      <c r="C314" t="s">
        <v>479</v>
      </c>
      <c r="D314" t="s">
        <v>480</v>
      </c>
      <c r="E314" s="118" t="s">
        <v>1427</v>
      </c>
      <c r="F314" s="119">
        <v>0.30928240740740742</v>
      </c>
      <c r="G314" t="s">
        <v>1421</v>
      </c>
      <c r="H314" t="s">
        <v>1336</v>
      </c>
    </row>
    <row r="315" spans="1:8" s="64" customFormat="1">
      <c r="A315" s="120">
        <v>10042860</v>
      </c>
      <c r="B315" s="120" t="s">
        <v>1212</v>
      </c>
      <c r="C315" s="120" t="s">
        <v>1211</v>
      </c>
      <c r="D315" s="120" t="s">
        <v>444</v>
      </c>
      <c r="E315" s="121" t="s">
        <v>1420</v>
      </c>
      <c r="F315" s="122">
        <v>0.63662037037037034</v>
      </c>
      <c r="G315" s="120" t="s">
        <v>1422</v>
      </c>
      <c r="H315" s="120" t="s">
        <v>1337</v>
      </c>
    </row>
    <row r="316" spans="1:8" s="64" customFormat="1">
      <c r="A316" s="120">
        <v>10042860</v>
      </c>
      <c r="B316" s="120" t="s">
        <v>1212</v>
      </c>
      <c r="C316" s="120" t="s">
        <v>1211</v>
      </c>
      <c r="D316" s="120" t="s">
        <v>444</v>
      </c>
      <c r="E316" s="121" t="s">
        <v>1420</v>
      </c>
      <c r="F316" s="122">
        <v>0.29673611111111114</v>
      </c>
      <c r="G316" s="120" t="s">
        <v>1421</v>
      </c>
      <c r="H316" s="120" t="s">
        <v>1336</v>
      </c>
    </row>
    <row r="317" spans="1:8" s="64" customFormat="1">
      <c r="A317" s="120">
        <v>10042860</v>
      </c>
      <c r="B317" s="120" t="s">
        <v>1212</v>
      </c>
      <c r="C317" s="120" t="s">
        <v>1211</v>
      </c>
      <c r="D317" s="120" t="s">
        <v>444</v>
      </c>
      <c r="E317" s="121" t="s">
        <v>1423</v>
      </c>
      <c r="F317" s="122">
        <v>0.63623842592592594</v>
      </c>
      <c r="G317" s="120" t="s">
        <v>1422</v>
      </c>
      <c r="H317" s="120" t="s">
        <v>1337</v>
      </c>
    </row>
    <row r="318" spans="1:8" s="64" customFormat="1">
      <c r="A318" s="120">
        <v>10042860</v>
      </c>
      <c r="B318" s="120" t="s">
        <v>1212</v>
      </c>
      <c r="C318" s="120" t="s">
        <v>1211</v>
      </c>
      <c r="D318" s="120" t="s">
        <v>444</v>
      </c>
      <c r="E318" s="121" t="s">
        <v>1423</v>
      </c>
      <c r="F318" s="122">
        <v>0.29526620370370371</v>
      </c>
      <c r="G318" s="120" t="s">
        <v>1421</v>
      </c>
      <c r="H318" s="120" t="s">
        <v>1336</v>
      </c>
    </row>
    <row r="319" spans="1:8" s="64" customFormat="1">
      <c r="A319" s="120">
        <v>10042860</v>
      </c>
      <c r="B319" s="120" t="s">
        <v>1212</v>
      </c>
      <c r="C319" s="120" t="s">
        <v>1211</v>
      </c>
      <c r="D319" s="120" t="s">
        <v>444</v>
      </c>
      <c r="E319" s="121" t="s">
        <v>1424</v>
      </c>
      <c r="F319" s="122">
        <v>0.63905092592592594</v>
      </c>
      <c r="G319" s="120" t="s">
        <v>1422</v>
      </c>
      <c r="H319" s="120" t="s">
        <v>1337</v>
      </c>
    </row>
    <row r="320" spans="1:8" s="64" customFormat="1">
      <c r="A320" s="120">
        <v>10042860</v>
      </c>
      <c r="B320" s="120" t="s">
        <v>1212</v>
      </c>
      <c r="C320" s="120" t="s">
        <v>1211</v>
      </c>
      <c r="D320" s="120" t="s">
        <v>444</v>
      </c>
      <c r="E320" s="121" t="s">
        <v>1424</v>
      </c>
      <c r="F320" s="122">
        <v>0.29547453703703702</v>
      </c>
      <c r="G320" s="120" t="s">
        <v>1421</v>
      </c>
      <c r="H320" s="120" t="s">
        <v>1336</v>
      </c>
    </row>
    <row r="321" spans="1:8" s="64" customFormat="1">
      <c r="A321" s="120">
        <v>10042860</v>
      </c>
      <c r="B321" s="120" t="s">
        <v>1212</v>
      </c>
      <c r="C321" s="120" t="s">
        <v>1211</v>
      </c>
      <c r="D321" s="120" t="s">
        <v>444</v>
      </c>
      <c r="E321" s="121" t="s">
        <v>1425</v>
      </c>
      <c r="F321" s="122">
        <v>0.63670138888888894</v>
      </c>
      <c r="G321" s="120" t="s">
        <v>1422</v>
      </c>
      <c r="H321" s="120" t="s">
        <v>1337</v>
      </c>
    </row>
    <row r="322" spans="1:8" s="64" customFormat="1">
      <c r="A322" s="120">
        <v>10042860</v>
      </c>
      <c r="B322" s="120" t="s">
        <v>1212</v>
      </c>
      <c r="C322" s="120" t="s">
        <v>1211</v>
      </c>
      <c r="D322" s="120" t="s">
        <v>444</v>
      </c>
      <c r="E322" s="121" t="s">
        <v>1425</v>
      </c>
      <c r="F322" s="122">
        <v>0.29462962962962963</v>
      </c>
      <c r="G322" s="120" t="s">
        <v>1421</v>
      </c>
      <c r="H322" s="120" t="s">
        <v>1336</v>
      </c>
    </row>
    <row r="323" spans="1:8" s="64" customFormat="1">
      <c r="A323" s="120">
        <v>10042860</v>
      </c>
      <c r="B323" s="120" t="s">
        <v>1212</v>
      </c>
      <c r="C323" s="120" t="s">
        <v>1211</v>
      </c>
      <c r="D323" s="120" t="s">
        <v>444</v>
      </c>
      <c r="E323" s="121" t="s">
        <v>1426</v>
      </c>
      <c r="F323" s="122">
        <v>0.64035879629629633</v>
      </c>
      <c r="G323" s="120" t="s">
        <v>1422</v>
      </c>
      <c r="H323" s="120" t="s">
        <v>1337</v>
      </c>
    </row>
    <row r="324" spans="1:8" s="64" customFormat="1">
      <c r="A324" s="120">
        <v>10042860</v>
      </c>
      <c r="B324" s="120" t="s">
        <v>1212</v>
      </c>
      <c r="C324" s="120" t="s">
        <v>1211</v>
      </c>
      <c r="D324" s="120" t="s">
        <v>444</v>
      </c>
      <c r="E324" s="121" t="s">
        <v>1426</v>
      </c>
      <c r="F324" s="122">
        <v>0.29562499999999997</v>
      </c>
      <c r="G324" s="120" t="s">
        <v>1421</v>
      </c>
      <c r="H324" s="120" t="s">
        <v>1336</v>
      </c>
    </row>
    <row r="325" spans="1:8" s="64" customFormat="1">
      <c r="A325" s="120">
        <v>10042860</v>
      </c>
      <c r="B325" s="120" t="s">
        <v>1212</v>
      </c>
      <c r="C325" s="120" t="s">
        <v>1211</v>
      </c>
      <c r="D325" s="120" t="s">
        <v>444</v>
      </c>
      <c r="E325" s="121" t="s">
        <v>1427</v>
      </c>
      <c r="F325" s="122">
        <v>0.64041666666666663</v>
      </c>
      <c r="G325" s="120" t="s">
        <v>1422</v>
      </c>
      <c r="H325" s="120" t="s">
        <v>1337</v>
      </c>
    </row>
    <row r="326" spans="1:8" s="64" customFormat="1">
      <c r="A326" s="120">
        <v>10042860</v>
      </c>
      <c r="B326" s="120" t="s">
        <v>1212</v>
      </c>
      <c r="C326" s="120" t="s">
        <v>1211</v>
      </c>
      <c r="D326" s="120" t="s">
        <v>444</v>
      </c>
      <c r="E326" s="121" t="s">
        <v>1427</v>
      </c>
      <c r="F326" s="122">
        <v>0.29461805555555559</v>
      </c>
      <c r="G326" s="120" t="s">
        <v>1421</v>
      </c>
      <c r="H326" s="120" t="s">
        <v>1336</v>
      </c>
    </row>
    <row r="327" spans="1:8" s="64" customFormat="1">
      <c r="A327" s="120">
        <v>10116815</v>
      </c>
      <c r="B327" s="120" t="s">
        <v>174</v>
      </c>
      <c r="C327" s="120" t="s">
        <v>173</v>
      </c>
      <c r="D327" s="120" t="s">
        <v>17</v>
      </c>
      <c r="E327" s="121" t="s">
        <v>1420</v>
      </c>
      <c r="F327" s="122">
        <v>0.63207175925925929</v>
      </c>
      <c r="G327" s="120" t="s">
        <v>1422</v>
      </c>
      <c r="H327" s="120" t="s">
        <v>1337</v>
      </c>
    </row>
    <row r="328" spans="1:8" s="64" customFormat="1">
      <c r="A328" s="120">
        <v>10116815</v>
      </c>
      <c r="B328" s="120" t="s">
        <v>174</v>
      </c>
      <c r="C328" s="120" t="s">
        <v>173</v>
      </c>
      <c r="D328" s="120" t="s">
        <v>17</v>
      </c>
      <c r="E328" s="121" t="s">
        <v>1420</v>
      </c>
      <c r="F328" s="122">
        <v>0.29061342592592593</v>
      </c>
      <c r="G328" s="120" t="s">
        <v>1421</v>
      </c>
      <c r="H328" s="120" t="s">
        <v>1336</v>
      </c>
    </row>
    <row r="329" spans="1:8" s="64" customFormat="1">
      <c r="A329" s="120">
        <v>10116815</v>
      </c>
      <c r="B329" s="120" t="s">
        <v>174</v>
      </c>
      <c r="C329" s="120" t="s">
        <v>173</v>
      </c>
      <c r="D329" s="120" t="s">
        <v>17</v>
      </c>
      <c r="E329" s="121" t="s">
        <v>1423</v>
      </c>
      <c r="F329" s="122">
        <v>0.6341782407407407</v>
      </c>
      <c r="G329" s="120" t="s">
        <v>1422</v>
      </c>
      <c r="H329" s="120" t="s">
        <v>1337</v>
      </c>
    </row>
    <row r="330" spans="1:8" s="64" customFormat="1">
      <c r="A330" s="120">
        <v>10116815</v>
      </c>
      <c r="B330" s="120" t="s">
        <v>174</v>
      </c>
      <c r="C330" s="120" t="s">
        <v>173</v>
      </c>
      <c r="D330" s="120" t="s">
        <v>17</v>
      </c>
      <c r="E330" s="121" t="s">
        <v>1423</v>
      </c>
      <c r="F330" s="122">
        <v>0.29063657407407406</v>
      </c>
      <c r="G330" s="120" t="s">
        <v>1421</v>
      </c>
      <c r="H330" s="120" t="s">
        <v>1336</v>
      </c>
    </row>
    <row r="331" spans="1:8" s="64" customFormat="1">
      <c r="A331" s="120">
        <v>10116815</v>
      </c>
      <c r="B331" s="120" t="s">
        <v>174</v>
      </c>
      <c r="C331" s="120" t="s">
        <v>173</v>
      </c>
      <c r="D331" s="120" t="s">
        <v>17</v>
      </c>
      <c r="E331" s="121" t="s">
        <v>1424</v>
      </c>
      <c r="F331" s="122">
        <v>0.63579861111111113</v>
      </c>
      <c r="G331" s="120" t="s">
        <v>1422</v>
      </c>
      <c r="H331" s="120" t="s">
        <v>1337</v>
      </c>
    </row>
    <row r="332" spans="1:8" s="64" customFormat="1">
      <c r="A332" s="120">
        <v>10116815</v>
      </c>
      <c r="B332" s="120" t="s">
        <v>174</v>
      </c>
      <c r="C332" s="120" t="s">
        <v>173</v>
      </c>
      <c r="D332" s="120" t="s">
        <v>17</v>
      </c>
      <c r="E332" s="121" t="s">
        <v>1424</v>
      </c>
      <c r="F332" s="122">
        <v>0.28903935185185187</v>
      </c>
      <c r="G332" s="120" t="s">
        <v>1421</v>
      </c>
      <c r="H332" s="120" t="s">
        <v>1336</v>
      </c>
    </row>
    <row r="333" spans="1:8" s="64" customFormat="1">
      <c r="A333">
        <v>10116815</v>
      </c>
      <c r="B333" t="s">
        <v>174</v>
      </c>
      <c r="C333" t="s">
        <v>173</v>
      </c>
      <c r="D333" t="s">
        <v>17</v>
      </c>
      <c r="E333" s="118" t="s">
        <v>1425</v>
      </c>
      <c r="F333" s="119">
        <v>0.63277777777777777</v>
      </c>
      <c r="G333" t="s">
        <v>1422</v>
      </c>
      <c r="H333" t="s">
        <v>1337</v>
      </c>
    </row>
    <row r="334" spans="1:8" s="64" customFormat="1">
      <c r="A334">
        <v>10116815</v>
      </c>
      <c r="B334" t="s">
        <v>174</v>
      </c>
      <c r="C334" t="s">
        <v>173</v>
      </c>
      <c r="D334" t="s">
        <v>17</v>
      </c>
      <c r="E334" s="118" t="s">
        <v>1425</v>
      </c>
      <c r="F334" s="119">
        <v>0.29942129629629627</v>
      </c>
      <c r="G334" t="s">
        <v>1421</v>
      </c>
      <c r="H334" t="s">
        <v>1336</v>
      </c>
    </row>
    <row r="335" spans="1:8" s="64" customFormat="1">
      <c r="A335">
        <v>10116815</v>
      </c>
      <c r="B335" t="s">
        <v>174</v>
      </c>
      <c r="C335" t="s">
        <v>173</v>
      </c>
      <c r="D335" t="s">
        <v>17</v>
      </c>
      <c r="E335" s="118" t="s">
        <v>1426</v>
      </c>
      <c r="F335" s="119">
        <v>0.63629629629629625</v>
      </c>
      <c r="G335" t="s">
        <v>1422</v>
      </c>
      <c r="H335" t="s">
        <v>1337</v>
      </c>
    </row>
    <row r="336" spans="1:8" s="64" customFormat="1">
      <c r="A336">
        <v>10116815</v>
      </c>
      <c r="B336" t="s">
        <v>174</v>
      </c>
      <c r="C336" t="s">
        <v>173</v>
      </c>
      <c r="D336" t="s">
        <v>17</v>
      </c>
      <c r="E336" s="118" t="s">
        <v>1426</v>
      </c>
      <c r="F336" s="119">
        <v>0.29344907407407406</v>
      </c>
      <c r="G336" t="s">
        <v>1421</v>
      </c>
      <c r="H336" t="s">
        <v>1336</v>
      </c>
    </row>
    <row r="337" spans="1:8" s="64" customFormat="1">
      <c r="A337">
        <v>10116815</v>
      </c>
      <c r="B337" t="s">
        <v>174</v>
      </c>
      <c r="C337" t="s">
        <v>173</v>
      </c>
      <c r="D337" t="s">
        <v>17</v>
      </c>
      <c r="E337" s="118" t="s">
        <v>1427</v>
      </c>
      <c r="F337" s="119">
        <v>0.63747685185185188</v>
      </c>
      <c r="G337" t="s">
        <v>1422</v>
      </c>
      <c r="H337" t="s">
        <v>1337</v>
      </c>
    </row>
    <row r="338" spans="1:8" s="64" customFormat="1">
      <c r="A338">
        <v>10116815</v>
      </c>
      <c r="B338" t="s">
        <v>174</v>
      </c>
      <c r="C338" t="s">
        <v>173</v>
      </c>
      <c r="D338" t="s">
        <v>17</v>
      </c>
      <c r="E338" s="118" t="s">
        <v>1427</v>
      </c>
      <c r="F338" s="119">
        <v>0.29163194444444446</v>
      </c>
      <c r="G338" t="s">
        <v>1421</v>
      </c>
      <c r="H338" t="s">
        <v>1336</v>
      </c>
    </row>
    <row r="339" spans="1:8" s="64" customFormat="1">
      <c r="A339">
        <v>10168958</v>
      </c>
      <c r="B339" t="s">
        <v>539</v>
      </c>
      <c r="C339" t="s">
        <v>580</v>
      </c>
      <c r="D339" t="s">
        <v>853</v>
      </c>
      <c r="E339" s="118" t="s">
        <v>1420</v>
      </c>
      <c r="F339" s="119">
        <v>0.94569444444444439</v>
      </c>
      <c r="G339" t="s">
        <v>1422</v>
      </c>
      <c r="H339" t="s">
        <v>1337</v>
      </c>
    </row>
    <row r="340" spans="1:8" s="64" customFormat="1">
      <c r="A340">
        <v>10168958</v>
      </c>
      <c r="B340" t="s">
        <v>539</v>
      </c>
      <c r="C340" t="s">
        <v>580</v>
      </c>
      <c r="D340" t="s">
        <v>853</v>
      </c>
      <c r="E340" s="118" t="s">
        <v>1420</v>
      </c>
      <c r="F340" s="119">
        <v>0.60730324074074071</v>
      </c>
      <c r="G340" t="s">
        <v>1421</v>
      </c>
      <c r="H340" t="s">
        <v>1336</v>
      </c>
    </row>
    <row r="341" spans="1:8" s="64" customFormat="1">
      <c r="A341">
        <v>10168958</v>
      </c>
      <c r="B341" t="s">
        <v>539</v>
      </c>
      <c r="C341" t="s">
        <v>580</v>
      </c>
      <c r="D341" t="s">
        <v>853</v>
      </c>
      <c r="E341" s="118" t="s">
        <v>1423</v>
      </c>
      <c r="F341" s="119">
        <v>0.9471180555555555</v>
      </c>
      <c r="G341" t="s">
        <v>1422</v>
      </c>
      <c r="H341" t="s">
        <v>1337</v>
      </c>
    </row>
    <row r="342" spans="1:8" s="64" customFormat="1">
      <c r="A342">
        <v>10168958</v>
      </c>
      <c r="B342" t="s">
        <v>539</v>
      </c>
      <c r="C342" t="s">
        <v>580</v>
      </c>
      <c r="D342" t="s">
        <v>853</v>
      </c>
      <c r="E342" s="118" t="s">
        <v>1423</v>
      </c>
      <c r="F342" s="119">
        <v>0.60673611111111114</v>
      </c>
      <c r="G342" t="s">
        <v>1421</v>
      </c>
      <c r="H342" t="s">
        <v>1336</v>
      </c>
    </row>
    <row r="343" spans="1:8" s="64" customFormat="1">
      <c r="A343">
        <v>10168958</v>
      </c>
      <c r="B343" t="s">
        <v>539</v>
      </c>
      <c r="C343" t="s">
        <v>580</v>
      </c>
      <c r="D343" t="s">
        <v>853</v>
      </c>
      <c r="E343" s="118" t="s">
        <v>1424</v>
      </c>
      <c r="F343" s="119">
        <v>0.94635416666666661</v>
      </c>
      <c r="G343" t="s">
        <v>1422</v>
      </c>
      <c r="H343" t="s">
        <v>1337</v>
      </c>
    </row>
    <row r="344" spans="1:8" s="64" customFormat="1">
      <c r="A344">
        <v>10168958</v>
      </c>
      <c r="B344" t="s">
        <v>539</v>
      </c>
      <c r="C344" t="s">
        <v>580</v>
      </c>
      <c r="D344" t="s">
        <v>853</v>
      </c>
      <c r="E344" s="118" t="s">
        <v>1424</v>
      </c>
      <c r="F344" s="119">
        <v>0.62677083333333339</v>
      </c>
      <c r="G344" t="s">
        <v>1421</v>
      </c>
      <c r="H344" t="s">
        <v>1336</v>
      </c>
    </row>
    <row r="345" spans="1:8" s="64" customFormat="1">
      <c r="A345">
        <v>10168958</v>
      </c>
      <c r="B345" t="s">
        <v>539</v>
      </c>
      <c r="C345" t="s">
        <v>580</v>
      </c>
      <c r="D345" t="s">
        <v>853</v>
      </c>
      <c r="E345" s="118" t="s">
        <v>1425</v>
      </c>
      <c r="F345" s="119">
        <v>0.95089120370370372</v>
      </c>
      <c r="G345" t="s">
        <v>1422</v>
      </c>
      <c r="H345" t="s">
        <v>1337</v>
      </c>
    </row>
    <row r="346" spans="1:8" s="64" customFormat="1">
      <c r="A346">
        <v>10168958</v>
      </c>
      <c r="B346" t="s">
        <v>539</v>
      </c>
      <c r="C346" t="s">
        <v>580</v>
      </c>
      <c r="D346" t="s">
        <v>853</v>
      </c>
      <c r="E346" s="118" t="s">
        <v>1425</v>
      </c>
      <c r="F346" s="119">
        <v>0.60780092592592594</v>
      </c>
      <c r="G346" t="s">
        <v>1421</v>
      </c>
      <c r="H346" t="s">
        <v>1336</v>
      </c>
    </row>
    <row r="347" spans="1:8" s="64" customFormat="1">
      <c r="A347">
        <v>10168958</v>
      </c>
      <c r="B347" t="s">
        <v>539</v>
      </c>
      <c r="C347" t="s">
        <v>580</v>
      </c>
      <c r="D347" t="s">
        <v>853</v>
      </c>
      <c r="E347" s="118" t="s">
        <v>1426</v>
      </c>
      <c r="F347" s="119">
        <v>0.94721064814814815</v>
      </c>
      <c r="G347" t="s">
        <v>1422</v>
      </c>
      <c r="H347" t="s">
        <v>1337</v>
      </c>
    </row>
    <row r="348" spans="1:8" s="64" customFormat="1">
      <c r="A348">
        <v>10168958</v>
      </c>
      <c r="B348" t="s">
        <v>539</v>
      </c>
      <c r="C348" t="s">
        <v>580</v>
      </c>
      <c r="D348" t="s">
        <v>853</v>
      </c>
      <c r="E348" s="118" t="s">
        <v>1426</v>
      </c>
      <c r="F348" s="119">
        <v>0.60913194444444441</v>
      </c>
      <c r="G348" t="s">
        <v>1421</v>
      </c>
      <c r="H348" t="s">
        <v>1336</v>
      </c>
    </row>
    <row r="349" spans="1:8" s="64" customFormat="1">
      <c r="A349">
        <v>10173910</v>
      </c>
      <c r="B349" t="s">
        <v>127</v>
      </c>
      <c r="C349" t="s">
        <v>125</v>
      </c>
      <c r="D349" t="s">
        <v>126</v>
      </c>
      <c r="E349" s="118" t="s">
        <v>1420</v>
      </c>
      <c r="F349" s="119">
        <v>0.93787037037037047</v>
      </c>
      <c r="G349" t="s">
        <v>1422</v>
      </c>
      <c r="H349" t="s">
        <v>1337</v>
      </c>
    </row>
    <row r="350" spans="1:8" s="64" customFormat="1">
      <c r="A350">
        <v>10173910</v>
      </c>
      <c r="B350" t="s">
        <v>127</v>
      </c>
      <c r="C350" t="s">
        <v>125</v>
      </c>
      <c r="D350" t="s">
        <v>126</v>
      </c>
      <c r="E350" s="118" t="s">
        <v>1420</v>
      </c>
      <c r="F350" s="119">
        <v>0.614375</v>
      </c>
      <c r="G350" t="s">
        <v>1421</v>
      </c>
      <c r="H350" t="s">
        <v>1336</v>
      </c>
    </row>
    <row r="351" spans="1:8" s="64" customFormat="1">
      <c r="A351">
        <v>10173910</v>
      </c>
      <c r="B351" t="s">
        <v>127</v>
      </c>
      <c r="C351" t="s">
        <v>125</v>
      </c>
      <c r="D351" t="s">
        <v>126</v>
      </c>
      <c r="E351" s="118" t="s">
        <v>1423</v>
      </c>
      <c r="F351" s="119">
        <v>0.93579861111111118</v>
      </c>
      <c r="G351" t="s">
        <v>1422</v>
      </c>
      <c r="H351" t="s">
        <v>1337</v>
      </c>
    </row>
    <row r="352" spans="1:8" s="64" customFormat="1">
      <c r="A352">
        <v>10173910</v>
      </c>
      <c r="B352" t="s">
        <v>127</v>
      </c>
      <c r="C352" t="s">
        <v>125</v>
      </c>
      <c r="D352" t="s">
        <v>126</v>
      </c>
      <c r="E352" s="118" t="s">
        <v>1423</v>
      </c>
      <c r="F352" s="119">
        <v>0.61709490740740736</v>
      </c>
      <c r="G352" t="s">
        <v>1421</v>
      </c>
      <c r="H352" t="s">
        <v>1336</v>
      </c>
    </row>
    <row r="353" spans="1:8" s="64" customFormat="1">
      <c r="A353">
        <v>10173910</v>
      </c>
      <c r="B353" t="s">
        <v>127</v>
      </c>
      <c r="C353" t="s">
        <v>125</v>
      </c>
      <c r="D353" t="s">
        <v>126</v>
      </c>
      <c r="E353" s="118" t="s">
        <v>1424</v>
      </c>
      <c r="F353" s="119">
        <v>0.93407407407407417</v>
      </c>
      <c r="G353" t="s">
        <v>1422</v>
      </c>
      <c r="H353" t="s">
        <v>1337</v>
      </c>
    </row>
    <row r="354" spans="1:8" s="64" customFormat="1">
      <c r="A354">
        <v>10173910</v>
      </c>
      <c r="B354" t="s">
        <v>127</v>
      </c>
      <c r="C354" t="s">
        <v>125</v>
      </c>
      <c r="D354" t="s">
        <v>126</v>
      </c>
      <c r="E354" s="118" t="s">
        <v>1424</v>
      </c>
      <c r="F354" s="119">
        <v>0.61859953703703707</v>
      </c>
      <c r="G354" t="s">
        <v>1421</v>
      </c>
      <c r="H354" t="s">
        <v>1336</v>
      </c>
    </row>
    <row r="355" spans="1:8" s="64" customFormat="1">
      <c r="A355">
        <v>10173910</v>
      </c>
      <c r="B355" t="s">
        <v>127</v>
      </c>
      <c r="C355" t="s">
        <v>125</v>
      </c>
      <c r="D355" t="s">
        <v>126</v>
      </c>
      <c r="E355" s="118" t="s">
        <v>1425</v>
      </c>
      <c r="F355" s="119">
        <v>0.935613425925926</v>
      </c>
      <c r="G355" t="s">
        <v>1422</v>
      </c>
      <c r="H355" t="s">
        <v>1337</v>
      </c>
    </row>
    <row r="356" spans="1:8" s="64" customFormat="1">
      <c r="A356">
        <v>10173910</v>
      </c>
      <c r="B356" t="s">
        <v>127</v>
      </c>
      <c r="C356" t="s">
        <v>125</v>
      </c>
      <c r="D356" t="s">
        <v>126</v>
      </c>
      <c r="E356" s="118" t="s">
        <v>1425</v>
      </c>
      <c r="F356" s="119">
        <v>0.61990740740740746</v>
      </c>
      <c r="G356" t="s">
        <v>1421</v>
      </c>
      <c r="H356" t="s">
        <v>1336</v>
      </c>
    </row>
    <row r="357" spans="1:8" s="64" customFormat="1">
      <c r="A357">
        <v>10173910</v>
      </c>
      <c r="B357" t="s">
        <v>127</v>
      </c>
      <c r="C357" t="s">
        <v>125</v>
      </c>
      <c r="D357" t="s">
        <v>126</v>
      </c>
      <c r="E357" s="118" t="s">
        <v>1426</v>
      </c>
      <c r="F357" s="119">
        <v>0.93451388888888898</v>
      </c>
      <c r="G357" t="s">
        <v>1422</v>
      </c>
      <c r="H357" t="s">
        <v>1337</v>
      </c>
    </row>
    <row r="358" spans="1:8" s="64" customFormat="1">
      <c r="A358">
        <v>10173910</v>
      </c>
      <c r="B358" t="s">
        <v>127</v>
      </c>
      <c r="C358" t="s">
        <v>125</v>
      </c>
      <c r="D358" t="s">
        <v>126</v>
      </c>
      <c r="E358" s="118" t="s">
        <v>1426</v>
      </c>
      <c r="F358" s="119">
        <v>0.6189351851851852</v>
      </c>
      <c r="G358" t="s">
        <v>1421</v>
      </c>
      <c r="H358" t="s">
        <v>1336</v>
      </c>
    </row>
    <row r="359" spans="1:8" s="64" customFormat="1">
      <c r="A359">
        <v>10173910</v>
      </c>
      <c r="B359" t="s">
        <v>127</v>
      </c>
      <c r="C359" t="s">
        <v>125</v>
      </c>
      <c r="D359" t="s">
        <v>126</v>
      </c>
      <c r="E359" s="118" t="s">
        <v>1427</v>
      </c>
      <c r="F359" s="119">
        <v>0.93439814814814814</v>
      </c>
      <c r="G359" t="s">
        <v>1422</v>
      </c>
      <c r="H359" t="s">
        <v>1337</v>
      </c>
    </row>
    <row r="360" spans="1:8" s="64" customFormat="1">
      <c r="A360">
        <v>10173910</v>
      </c>
      <c r="B360" t="s">
        <v>127</v>
      </c>
      <c r="C360" t="s">
        <v>125</v>
      </c>
      <c r="D360" t="s">
        <v>126</v>
      </c>
      <c r="E360" s="118" t="s">
        <v>1427</v>
      </c>
      <c r="F360" s="119">
        <v>0.6178703703703704</v>
      </c>
      <c r="G360" t="s">
        <v>1421</v>
      </c>
      <c r="H360" t="s">
        <v>1336</v>
      </c>
    </row>
    <row r="361" spans="1:8" s="64" customFormat="1">
      <c r="A361">
        <v>10199755</v>
      </c>
      <c r="B361" t="s">
        <v>485</v>
      </c>
      <c r="C361" t="s">
        <v>479</v>
      </c>
      <c r="D361" t="s">
        <v>83</v>
      </c>
      <c r="E361" s="118" t="s">
        <v>1420</v>
      </c>
      <c r="F361" s="119">
        <v>0.9212731481481482</v>
      </c>
      <c r="G361" t="s">
        <v>1421</v>
      </c>
      <c r="H361" t="s">
        <v>1336</v>
      </c>
    </row>
    <row r="362" spans="1:8" s="64" customFormat="1">
      <c r="A362">
        <v>10199755</v>
      </c>
      <c r="B362" t="s">
        <v>485</v>
      </c>
      <c r="C362" t="s">
        <v>479</v>
      </c>
      <c r="D362" t="s">
        <v>83</v>
      </c>
      <c r="E362" s="118" t="s">
        <v>1423</v>
      </c>
      <c r="F362" s="119">
        <v>0.32465277777777779</v>
      </c>
      <c r="G362" t="s">
        <v>1422</v>
      </c>
      <c r="H362" t="s">
        <v>1337</v>
      </c>
    </row>
    <row r="363" spans="1:8" s="64" customFormat="1">
      <c r="A363">
        <v>10199755</v>
      </c>
      <c r="B363" t="s">
        <v>485</v>
      </c>
      <c r="C363" t="s">
        <v>479</v>
      </c>
      <c r="D363" t="s">
        <v>83</v>
      </c>
      <c r="E363" s="118" t="s">
        <v>1423</v>
      </c>
      <c r="F363" s="119">
        <v>0.91899305555555555</v>
      </c>
      <c r="G363" t="s">
        <v>1421</v>
      </c>
      <c r="H363" t="s">
        <v>1336</v>
      </c>
    </row>
    <row r="364" spans="1:8" s="64" customFormat="1">
      <c r="A364">
        <v>10199755</v>
      </c>
      <c r="B364" t="s">
        <v>485</v>
      </c>
      <c r="C364" t="s">
        <v>479</v>
      </c>
      <c r="D364" t="s">
        <v>83</v>
      </c>
      <c r="E364" s="118" t="s">
        <v>1424</v>
      </c>
      <c r="F364" s="119">
        <v>0.32504629629629628</v>
      </c>
      <c r="G364" t="s">
        <v>1422</v>
      </c>
      <c r="H364" t="s">
        <v>1337</v>
      </c>
    </row>
    <row r="365" spans="1:8" s="64" customFormat="1">
      <c r="A365">
        <v>10199755</v>
      </c>
      <c r="B365" t="s">
        <v>485</v>
      </c>
      <c r="C365" t="s">
        <v>479</v>
      </c>
      <c r="D365" t="s">
        <v>83</v>
      </c>
      <c r="E365" s="118" t="s">
        <v>1424</v>
      </c>
      <c r="F365" s="119">
        <v>0.92133101851851851</v>
      </c>
      <c r="G365" t="s">
        <v>1421</v>
      </c>
      <c r="H365" t="s">
        <v>1336</v>
      </c>
    </row>
    <row r="366" spans="1:8" s="64" customFormat="1">
      <c r="A366">
        <v>10199755</v>
      </c>
      <c r="B366" t="s">
        <v>485</v>
      </c>
      <c r="C366" t="s">
        <v>479</v>
      </c>
      <c r="D366" t="s">
        <v>83</v>
      </c>
      <c r="E366" s="118" t="s">
        <v>1425</v>
      </c>
      <c r="F366" s="119">
        <v>0.32642361111111112</v>
      </c>
      <c r="G366" t="s">
        <v>1422</v>
      </c>
      <c r="H366" t="s">
        <v>1337</v>
      </c>
    </row>
    <row r="367" spans="1:8" s="64" customFormat="1">
      <c r="A367">
        <v>10199755</v>
      </c>
      <c r="B367" t="s">
        <v>485</v>
      </c>
      <c r="C367" t="s">
        <v>479</v>
      </c>
      <c r="D367" t="s">
        <v>83</v>
      </c>
      <c r="E367" s="118" t="s">
        <v>1425</v>
      </c>
      <c r="F367" s="119">
        <v>0.92009259259259257</v>
      </c>
      <c r="G367" t="s">
        <v>1421</v>
      </c>
      <c r="H367" t="s">
        <v>1336</v>
      </c>
    </row>
    <row r="368" spans="1:8" s="64" customFormat="1">
      <c r="A368">
        <v>10199755</v>
      </c>
      <c r="B368" t="s">
        <v>485</v>
      </c>
      <c r="C368" t="s">
        <v>479</v>
      </c>
      <c r="D368" t="s">
        <v>83</v>
      </c>
      <c r="E368" s="118" t="s">
        <v>1426</v>
      </c>
      <c r="F368" s="119">
        <v>0.32622685185185185</v>
      </c>
      <c r="G368" t="s">
        <v>1422</v>
      </c>
      <c r="H368" t="s">
        <v>1337</v>
      </c>
    </row>
    <row r="369" spans="1:8" s="64" customFormat="1">
      <c r="A369">
        <v>10199755</v>
      </c>
      <c r="B369" t="s">
        <v>485</v>
      </c>
      <c r="C369" t="s">
        <v>479</v>
      </c>
      <c r="D369" t="s">
        <v>83</v>
      </c>
      <c r="E369" s="118" t="s">
        <v>1426</v>
      </c>
      <c r="F369" s="119">
        <v>0.9200694444444445</v>
      </c>
      <c r="G369" t="s">
        <v>1421</v>
      </c>
      <c r="H369" t="s">
        <v>1336</v>
      </c>
    </row>
    <row r="370" spans="1:8" s="64" customFormat="1">
      <c r="A370">
        <v>10199755</v>
      </c>
      <c r="B370" t="s">
        <v>485</v>
      </c>
      <c r="C370" t="s">
        <v>479</v>
      </c>
      <c r="D370" t="s">
        <v>83</v>
      </c>
      <c r="E370" s="118" t="s">
        <v>1427</v>
      </c>
      <c r="F370" s="119">
        <v>0.32681712962962961</v>
      </c>
      <c r="G370" t="s">
        <v>1422</v>
      </c>
      <c r="H370" t="s">
        <v>1337</v>
      </c>
    </row>
    <row r="371" spans="1:8" s="64" customFormat="1">
      <c r="A371">
        <v>10311290</v>
      </c>
      <c r="B371" t="s">
        <v>1090</v>
      </c>
      <c r="C371" t="s">
        <v>944</v>
      </c>
      <c r="D371" t="s">
        <v>1089</v>
      </c>
      <c r="E371" s="118" t="s">
        <v>1420</v>
      </c>
      <c r="F371" s="119">
        <v>0.94700231481481489</v>
      </c>
      <c r="G371" t="s">
        <v>1422</v>
      </c>
      <c r="H371" t="s">
        <v>1337</v>
      </c>
    </row>
    <row r="372" spans="1:8" s="64" customFormat="1">
      <c r="A372">
        <v>10311290</v>
      </c>
      <c r="B372" t="s">
        <v>1090</v>
      </c>
      <c r="C372" t="s">
        <v>944</v>
      </c>
      <c r="D372" t="s">
        <v>1089</v>
      </c>
      <c r="E372" s="118" t="s">
        <v>1420</v>
      </c>
      <c r="F372" s="119">
        <v>0.60641203703703705</v>
      </c>
      <c r="G372" t="s">
        <v>1421</v>
      </c>
      <c r="H372" t="s">
        <v>1336</v>
      </c>
    </row>
    <row r="373" spans="1:8" s="64" customFormat="1">
      <c r="A373">
        <v>10311290</v>
      </c>
      <c r="B373" t="s">
        <v>1090</v>
      </c>
      <c r="C373" t="s">
        <v>944</v>
      </c>
      <c r="D373" t="s">
        <v>1089</v>
      </c>
      <c r="E373" s="118" t="s">
        <v>1423</v>
      </c>
      <c r="F373" s="119">
        <v>0.94582175925925915</v>
      </c>
      <c r="G373" t="s">
        <v>1422</v>
      </c>
      <c r="H373" t="s">
        <v>1337</v>
      </c>
    </row>
    <row r="374" spans="1:8" s="64" customFormat="1">
      <c r="A374">
        <v>10311290</v>
      </c>
      <c r="B374" t="s">
        <v>1090</v>
      </c>
      <c r="C374" t="s">
        <v>944</v>
      </c>
      <c r="D374" t="s">
        <v>1089</v>
      </c>
      <c r="E374" s="118" t="s">
        <v>1423</v>
      </c>
      <c r="F374" s="119">
        <v>0.60631944444444441</v>
      </c>
      <c r="G374" t="s">
        <v>1421</v>
      </c>
      <c r="H374" t="s">
        <v>1336</v>
      </c>
    </row>
    <row r="375" spans="1:8" s="64" customFormat="1">
      <c r="A375">
        <v>10311290</v>
      </c>
      <c r="B375" t="s">
        <v>1090</v>
      </c>
      <c r="C375" t="s">
        <v>944</v>
      </c>
      <c r="D375" t="s">
        <v>1089</v>
      </c>
      <c r="E375" s="118" t="s">
        <v>1424</v>
      </c>
      <c r="F375" s="119">
        <v>0.94675925925925919</v>
      </c>
      <c r="G375" t="s">
        <v>1422</v>
      </c>
      <c r="H375" t="s">
        <v>1337</v>
      </c>
    </row>
    <row r="376" spans="1:8" s="64" customFormat="1">
      <c r="A376">
        <v>10311290</v>
      </c>
      <c r="B376" t="s">
        <v>1090</v>
      </c>
      <c r="C376" t="s">
        <v>944</v>
      </c>
      <c r="D376" t="s">
        <v>1089</v>
      </c>
      <c r="E376" s="118" t="s">
        <v>1424</v>
      </c>
      <c r="F376" s="119">
        <v>0.60854166666666665</v>
      </c>
      <c r="G376" t="s">
        <v>1421</v>
      </c>
      <c r="H376" t="s">
        <v>1336</v>
      </c>
    </row>
    <row r="377" spans="1:8" s="64" customFormat="1">
      <c r="A377">
        <v>10311290</v>
      </c>
      <c r="B377" t="s">
        <v>1090</v>
      </c>
      <c r="C377" t="s">
        <v>944</v>
      </c>
      <c r="D377" t="s">
        <v>1089</v>
      </c>
      <c r="E377" s="118" t="s">
        <v>1425</v>
      </c>
      <c r="F377" s="119">
        <v>0.94903935185185195</v>
      </c>
      <c r="G377" t="s">
        <v>1422</v>
      </c>
      <c r="H377" t="s">
        <v>1337</v>
      </c>
    </row>
    <row r="378" spans="1:8" s="64" customFormat="1">
      <c r="A378">
        <v>10311290</v>
      </c>
      <c r="B378" t="s">
        <v>1090</v>
      </c>
      <c r="C378" t="s">
        <v>944</v>
      </c>
      <c r="D378" t="s">
        <v>1089</v>
      </c>
      <c r="E378" s="118" t="s">
        <v>1425</v>
      </c>
      <c r="F378" s="119">
        <v>0.60657407407407404</v>
      </c>
      <c r="G378" t="s">
        <v>1421</v>
      </c>
      <c r="H378" t="s">
        <v>1336</v>
      </c>
    </row>
    <row r="379" spans="1:8" s="64" customFormat="1">
      <c r="A379">
        <v>10311290</v>
      </c>
      <c r="B379" t="s">
        <v>1090</v>
      </c>
      <c r="C379" t="s">
        <v>944</v>
      </c>
      <c r="D379" t="s">
        <v>1089</v>
      </c>
      <c r="E379" s="118" t="s">
        <v>1426</v>
      </c>
      <c r="F379" s="119">
        <v>0.94726851851851857</v>
      </c>
      <c r="G379" t="s">
        <v>1422</v>
      </c>
      <c r="H379" t="s">
        <v>1337</v>
      </c>
    </row>
    <row r="380" spans="1:8" s="64" customFormat="1">
      <c r="A380">
        <v>10311290</v>
      </c>
      <c r="B380" t="s">
        <v>1090</v>
      </c>
      <c r="C380" t="s">
        <v>944</v>
      </c>
      <c r="D380" t="s">
        <v>1089</v>
      </c>
      <c r="E380" s="118" t="s">
        <v>1426</v>
      </c>
      <c r="F380" s="119">
        <v>0.60898148148148146</v>
      </c>
      <c r="G380" t="s">
        <v>1421</v>
      </c>
      <c r="H380" t="s">
        <v>1336</v>
      </c>
    </row>
    <row r="381" spans="1:8" s="64" customFormat="1">
      <c r="A381">
        <v>10311290</v>
      </c>
      <c r="B381" t="s">
        <v>1090</v>
      </c>
      <c r="C381" t="s">
        <v>944</v>
      </c>
      <c r="D381" t="s">
        <v>1089</v>
      </c>
      <c r="E381" s="118" t="s">
        <v>1427</v>
      </c>
      <c r="F381" s="119">
        <v>0.95010416666666664</v>
      </c>
      <c r="G381" t="s">
        <v>1422</v>
      </c>
      <c r="H381" t="s">
        <v>1337</v>
      </c>
    </row>
    <row r="382" spans="1:8" s="64" customFormat="1">
      <c r="A382">
        <v>10311290</v>
      </c>
      <c r="B382" t="s">
        <v>1090</v>
      </c>
      <c r="C382" t="s">
        <v>944</v>
      </c>
      <c r="D382" t="s">
        <v>1089</v>
      </c>
      <c r="E382" s="118" t="s">
        <v>1427</v>
      </c>
      <c r="F382" s="119">
        <v>0.61687499999999995</v>
      </c>
      <c r="G382" t="s">
        <v>1421</v>
      </c>
      <c r="H382" t="s">
        <v>1336</v>
      </c>
    </row>
    <row r="383" spans="1:8" s="64" customFormat="1">
      <c r="A383">
        <v>10407614</v>
      </c>
      <c r="B383" t="s">
        <v>630</v>
      </c>
      <c r="C383" t="s">
        <v>629</v>
      </c>
      <c r="D383" t="s">
        <v>629</v>
      </c>
      <c r="E383" s="118" t="s">
        <v>1420</v>
      </c>
      <c r="F383" s="119">
        <v>0.91611111111111121</v>
      </c>
      <c r="G383" t="s">
        <v>1421</v>
      </c>
      <c r="H383" t="s">
        <v>1336</v>
      </c>
    </row>
    <row r="384" spans="1:8" s="64" customFormat="1">
      <c r="A384">
        <v>10407614</v>
      </c>
      <c r="B384" t="s">
        <v>630</v>
      </c>
      <c r="C384" t="s">
        <v>629</v>
      </c>
      <c r="D384" t="s">
        <v>629</v>
      </c>
      <c r="E384" s="118" t="s">
        <v>1423</v>
      </c>
      <c r="F384" s="119">
        <v>0.31640046296296293</v>
      </c>
      <c r="G384" t="s">
        <v>1422</v>
      </c>
      <c r="H384" t="s">
        <v>1337</v>
      </c>
    </row>
    <row r="385" spans="1:8" s="64" customFormat="1">
      <c r="A385">
        <v>10407614</v>
      </c>
      <c r="B385" t="s">
        <v>630</v>
      </c>
      <c r="C385" t="s">
        <v>629</v>
      </c>
      <c r="D385" t="s">
        <v>629</v>
      </c>
      <c r="E385" s="118" t="s">
        <v>1423</v>
      </c>
      <c r="F385" s="119">
        <v>0.91314814814814815</v>
      </c>
      <c r="G385" t="s">
        <v>1421</v>
      </c>
      <c r="H385" t="s">
        <v>1336</v>
      </c>
    </row>
    <row r="386" spans="1:8" s="64" customFormat="1">
      <c r="A386">
        <v>10407614</v>
      </c>
      <c r="B386" t="s">
        <v>630</v>
      </c>
      <c r="C386" t="s">
        <v>629</v>
      </c>
      <c r="D386" t="s">
        <v>629</v>
      </c>
      <c r="E386" s="118" t="s">
        <v>1424</v>
      </c>
      <c r="F386" s="119">
        <v>0.31687500000000002</v>
      </c>
      <c r="G386" t="s">
        <v>1422</v>
      </c>
      <c r="H386" t="s">
        <v>1337</v>
      </c>
    </row>
    <row r="387" spans="1:8" s="64" customFormat="1">
      <c r="A387">
        <v>10407614</v>
      </c>
      <c r="B387" t="s">
        <v>630</v>
      </c>
      <c r="C387" t="s">
        <v>629</v>
      </c>
      <c r="D387" t="s">
        <v>629</v>
      </c>
      <c r="E387" s="118" t="s">
        <v>1424</v>
      </c>
      <c r="F387" s="119">
        <v>0.91276620370370365</v>
      </c>
      <c r="G387" t="s">
        <v>1421</v>
      </c>
      <c r="H387" t="s">
        <v>1336</v>
      </c>
    </row>
    <row r="388" spans="1:8" s="64" customFormat="1">
      <c r="A388">
        <v>10407614</v>
      </c>
      <c r="B388" t="s">
        <v>630</v>
      </c>
      <c r="C388" t="s">
        <v>629</v>
      </c>
      <c r="D388" t="s">
        <v>629</v>
      </c>
      <c r="E388" s="118" t="s">
        <v>1425</v>
      </c>
      <c r="F388" s="119">
        <v>0.32039351851851855</v>
      </c>
      <c r="G388" t="s">
        <v>1422</v>
      </c>
      <c r="H388" t="s">
        <v>1337</v>
      </c>
    </row>
    <row r="389" spans="1:8" s="64" customFormat="1">
      <c r="A389">
        <v>10407614</v>
      </c>
      <c r="B389" t="s">
        <v>630</v>
      </c>
      <c r="C389" t="s">
        <v>629</v>
      </c>
      <c r="D389" t="s">
        <v>629</v>
      </c>
      <c r="E389" s="118" t="s">
        <v>1425</v>
      </c>
      <c r="F389" s="119">
        <v>0.91437500000000005</v>
      </c>
      <c r="G389" t="s">
        <v>1421</v>
      </c>
      <c r="H389" t="s">
        <v>1336</v>
      </c>
    </row>
    <row r="390" spans="1:8" s="64" customFormat="1">
      <c r="A390">
        <v>10407614</v>
      </c>
      <c r="B390" t="s">
        <v>630</v>
      </c>
      <c r="C390" t="s">
        <v>629</v>
      </c>
      <c r="D390" t="s">
        <v>629</v>
      </c>
      <c r="E390" s="118" t="s">
        <v>1426</v>
      </c>
      <c r="F390" s="119">
        <v>0.32021990740740741</v>
      </c>
      <c r="G390" t="s">
        <v>1422</v>
      </c>
      <c r="H390" t="s">
        <v>1337</v>
      </c>
    </row>
    <row r="391" spans="1:8" s="64" customFormat="1">
      <c r="A391">
        <v>10407614</v>
      </c>
      <c r="B391" t="s">
        <v>630</v>
      </c>
      <c r="C391" t="s">
        <v>629</v>
      </c>
      <c r="D391" t="s">
        <v>629</v>
      </c>
      <c r="E391" s="118" t="s">
        <v>1426</v>
      </c>
      <c r="F391" s="119">
        <v>0.91745370370370372</v>
      </c>
      <c r="G391" t="s">
        <v>1421</v>
      </c>
      <c r="H391" t="s">
        <v>1336</v>
      </c>
    </row>
    <row r="392" spans="1:8" s="64" customFormat="1">
      <c r="A392">
        <v>10407614</v>
      </c>
      <c r="B392" t="s">
        <v>630</v>
      </c>
      <c r="C392" t="s">
        <v>629</v>
      </c>
      <c r="D392" t="s">
        <v>629</v>
      </c>
      <c r="E392" s="118" t="s">
        <v>1427</v>
      </c>
      <c r="F392" s="119">
        <v>0.3205324074074074</v>
      </c>
      <c r="G392" t="s">
        <v>1422</v>
      </c>
      <c r="H392" t="s">
        <v>1337</v>
      </c>
    </row>
    <row r="393" spans="1:8" s="64" customFormat="1">
      <c r="A393">
        <v>10572816</v>
      </c>
      <c r="B393" t="s">
        <v>165</v>
      </c>
      <c r="C393" t="s">
        <v>61</v>
      </c>
      <c r="D393" t="s">
        <v>358</v>
      </c>
      <c r="E393" s="118" t="s">
        <v>1420</v>
      </c>
      <c r="F393" s="119">
        <v>0.9518402777777778</v>
      </c>
      <c r="G393" t="s">
        <v>1422</v>
      </c>
      <c r="H393" t="s">
        <v>1337</v>
      </c>
    </row>
    <row r="394" spans="1:8" s="64" customFormat="1">
      <c r="A394">
        <v>10572816</v>
      </c>
      <c r="B394" t="s">
        <v>165</v>
      </c>
      <c r="C394" t="s">
        <v>61</v>
      </c>
      <c r="D394" t="s">
        <v>358</v>
      </c>
      <c r="E394" s="118" t="s">
        <v>1420</v>
      </c>
      <c r="F394" s="119">
        <v>0.60702546296296289</v>
      </c>
      <c r="G394" t="s">
        <v>1421</v>
      </c>
      <c r="H394" t="s">
        <v>1336</v>
      </c>
    </row>
    <row r="395" spans="1:8" s="64" customFormat="1">
      <c r="A395">
        <v>10572816</v>
      </c>
      <c r="B395" t="s">
        <v>165</v>
      </c>
      <c r="C395" t="s">
        <v>61</v>
      </c>
      <c r="D395" t="s">
        <v>358</v>
      </c>
      <c r="E395" s="118" t="s">
        <v>1423</v>
      </c>
      <c r="F395" s="119">
        <v>0.9483449074074074</v>
      </c>
      <c r="G395" t="s">
        <v>1422</v>
      </c>
      <c r="H395" t="s">
        <v>1337</v>
      </c>
    </row>
    <row r="396" spans="1:8" s="64" customFormat="1">
      <c r="A396">
        <v>10572816</v>
      </c>
      <c r="B396" t="s">
        <v>165</v>
      </c>
      <c r="C396" t="s">
        <v>61</v>
      </c>
      <c r="D396" t="s">
        <v>358</v>
      </c>
      <c r="E396" s="118" t="s">
        <v>1423</v>
      </c>
      <c r="F396" s="119">
        <v>0.6068634259259259</v>
      </c>
      <c r="G396" t="s">
        <v>1421</v>
      </c>
      <c r="H396" t="s">
        <v>1336</v>
      </c>
    </row>
    <row r="397" spans="1:8" s="64" customFormat="1">
      <c r="A397">
        <v>10572816</v>
      </c>
      <c r="B397" t="s">
        <v>165</v>
      </c>
      <c r="C397" t="s">
        <v>61</v>
      </c>
      <c r="D397" t="s">
        <v>358</v>
      </c>
      <c r="E397" s="118" t="s">
        <v>1424</v>
      </c>
      <c r="F397" s="119">
        <v>0.94733796296296291</v>
      </c>
      <c r="G397" t="s">
        <v>1422</v>
      </c>
      <c r="H397" t="s">
        <v>1337</v>
      </c>
    </row>
    <row r="398" spans="1:8" s="64" customFormat="1">
      <c r="A398">
        <v>10572816</v>
      </c>
      <c r="B398" t="s">
        <v>165</v>
      </c>
      <c r="C398" t="s">
        <v>61</v>
      </c>
      <c r="D398" t="s">
        <v>358</v>
      </c>
      <c r="E398" s="118" t="s">
        <v>1424</v>
      </c>
      <c r="F398" s="119">
        <v>0.60883101851851851</v>
      </c>
      <c r="G398" t="s">
        <v>1421</v>
      </c>
      <c r="H398" t="s">
        <v>1336</v>
      </c>
    </row>
    <row r="399" spans="1:8" s="64" customFormat="1">
      <c r="A399">
        <v>10572816</v>
      </c>
      <c r="B399" t="s">
        <v>165</v>
      </c>
      <c r="C399" t="s">
        <v>61</v>
      </c>
      <c r="D399" t="s">
        <v>358</v>
      </c>
      <c r="E399" s="118" t="s">
        <v>1425</v>
      </c>
      <c r="F399" s="119">
        <v>0.94734953703703706</v>
      </c>
      <c r="G399" t="s">
        <v>1422</v>
      </c>
      <c r="H399" t="s">
        <v>1337</v>
      </c>
    </row>
    <row r="400" spans="1:8" s="64" customFormat="1">
      <c r="A400">
        <v>10572816</v>
      </c>
      <c r="B400" t="s">
        <v>165</v>
      </c>
      <c r="C400" t="s">
        <v>61</v>
      </c>
      <c r="D400" t="s">
        <v>358</v>
      </c>
      <c r="E400" s="118" t="s">
        <v>1425</v>
      </c>
      <c r="F400" s="119">
        <v>0.60792824074074081</v>
      </c>
      <c r="G400" t="s">
        <v>1421</v>
      </c>
      <c r="H400" t="s">
        <v>1336</v>
      </c>
    </row>
    <row r="401" spans="1:8" s="64" customFormat="1">
      <c r="A401">
        <v>10572816</v>
      </c>
      <c r="B401" t="s">
        <v>165</v>
      </c>
      <c r="C401" t="s">
        <v>61</v>
      </c>
      <c r="D401" t="s">
        <v>358</v>
      </c>
      <c r="E401" s="118" t="s">
        <v>1426</v>
      </c>
      <c r="F401" s="119">
        <v>0.94944444444444442</v>
      </c>
      <c r="G401" t="s">
        <v>1422</v>
      </c>
      <c r="H401" t="s">
        <v>1337</v>
      </c>
    </row>
    <row r="402" spans="1:8" s="64" customFormat="1">
      <c r="A402">
        <v>10572816</v>
      </c>
      <c r="B402" t="s">
        <v>165</v>
      </c>
      <c r="C402" t="s">
        <v>61</v>
      </c>
      <c r="D402" t="s">
        <v>358</v>
      </c>
      <c r="E402" s="118" t="s">
        <v>1426</v>
      </c>
      <c r="F402" s="119">
        <v>0.609375</v>
      </c>
      <c r="G402" t="s">
        <v>1421</v>
      </c>
      <c r="H402" t="s">
        <v>1336</v>
      </c>
    </row>
    <row r="403" spans="1:8" s="64" customFormat="1">
      <c r="A403">
        <v>10572816</v>
      </c>
      <c r="B403" t="s">
        <v>165</v>
      </c>
      <c r="C403" t="s">
        <v>61</v>
      </c>
      <c r="D403" t="s">
        <v>358</v>
      </c>
      <c r="E403" s="118" t="s">
        <v>1427</v>
      </c>
      <c r="F403" s="119">
        <v>0.94820601851851849</v>
      </c>
      <c r="G403" t="s">
        <v>1422</v>
      </c>
      <c r="H403" t="s">
        <v>1337</v>
      </c>
    </row>
    <row r="404" spans="1:8" s="64" customFormat="1">
      <c r="A404">
        <v>10572816</v>
      </c>
      <c r="B404" t="s">
        <v>165</v>
      </c>
      <c r="C404" t="s">
        <v>61</v>
      </c>
      <c r="D404" t="s">
        <v>358</v>
      </c>
      <c r="E404" s="118" t="s">
        <v>1427</v>
      </c>
      <c r="F404" s="119">
        <v>0.61692129629629633</v>
      </c>
      <c r="G404" t="s">
        <v>1421</v>
      </c>
      <c r="H404" t="s">
        <v>1336</v>
      </c>
    </row>
    <row r="405" spans="1:8" s="64" customFormat="1">
      <c r="A405">
        <v>10835391</v>
      </c>
      <c r="B405" t="s">
        <v>984</v>
      </c>
      <c r="C405" t="s">
        <v>975</v>
      </c>
      <c r="D405" t="s">
        <v>853</v>
      </c>
      <c r="E405" s="118" t="s">
        <v>1420</v>
      </c>
      <c r="F405" s="119">
        <v>0.6337962962962963</v>
      </c>
      <c r="G405" t="s">
        <v>1422</v>
      </c>
      <c r="H405" t="s">
        <v>1337</v>
      </c>
    </row>
    <row r="406" spans="1:8" s="64" customFormat="1">
      <c r="A406">
        <v>10835391</v>
      </c>
      <c r="B406" t="s">
        <v>984</v>
      </c>
      <c r="C406" t="s">
        <v>975</v>
      </c>
      <c r="D406" t="s">
        <v>853</v>
      </c>
      <c r="E406" s="118" t="s">
        <v>1420</v>
      </c>
      <c r="F406" s="119">
        <v>0.33281250000000001</v>
      </c>
      <c r="G406" t="s">
        <v>1421</v>
      </c>
      <c r="H406" t="s">
        <v>1336</v>
      </c>
    </row>
    <row r="407" spans="1:8" s="64" customFormat="1">
      <c r="A407">
        <v>10835391</v>
      </c>
      <c r="B407" t="s">
        <v>984</v>
      </c>
      <c r="C407" t="s">
        <v>975</v>
      </c>
      <c r="D407" t="s">
        <v>853</v>
      </c>
      <c r="E407" s="118" t="s">
        <v>1423</v>
      </c>
      <c r="F407" s="119">
        <v>0.62672453703703701</v>
      </c>
      <c r="G407" t="s">
        <v>1422</v>
      </c>
      <c r="H407" t="s">
        <v>1337</v>
      </c>
    </row>
    <row r="408" spans="1:8" s="64" customFormat="1">
      <c r="A408">
        <v>10835391</v>
      </c>
      <c r="B408" t="s">
        <v>984</v>
      </c>
      <c r="C408" t="s">
        <v>975</v>
      </c>
      <c r="D408" t="s">
        <v>853</v>
      </c>
      <c r="E408" s="118" t="s">
        <v>1423</v>
      </c>
      <c r="F408" s="119">
        <v>0.30464120370370368</v>
      </c>
      <c r="G408" t="s">
        <v>1421</v>
      </c>
      <c r="H408" t="s">
        <v>1336</v>
      </c>
    </row>
    <row r="409" spans="1:8" s="64" customFormat="1">
      <c r="A409">
        <v>10835391</v>
      </c>
      <c r="B409" t="s">
        <v>984</v>
      </c>
      <c r="C409" t="s">
        <v>975</v>
      </c>
      <c r="D409" t="s">
        <v>853</v>
      </c>
      <c r="E409" s="118" t="s">
        <v>1424</v>
      </c>
      <c r="F409" s="119">
        <v>0.64013888888888892</v>
      </c>
      <c r="G409" t="s">
        <v>1422</v>
      </c>
      <c r="H409" t="s">
        <v>1337</v>
      </c>
    </row>
    <row r="410" spans="1:8" s="64" customFormat="1">
      <c r="A410">
        <v>10835391</v>
      </c>
      <c r="B410" t="s">
        <v>984</v>
      </c>
      <c r="C410" t="s">
        <v>975</v>
      </c>
      <c r="D410" t="s">
        <v>853</v>
      </c>
      <c r="E410" s="118" t="s">
        <v>1424</v>
      </c>
      <c r="F410" s="119">
        <v>0.30350694444444443</v>
      </c>
      <c r="G410" t="s">
        <v>1421</v>
      </c>
      <c r="H410" t="s">
        <v>1336</v>
      </c>
    </row>
    <row r="411" spans="1:8" s="64" customFormat="1">
      <c r="A411">
        <v>10835391</v>
      </c>
      <c r="B411" t="s">
        <v>984</v>
      </c>
      <c r="C411" t="s">
        <v>975</v>
      </c>
      <c r="D411" t="s">
        <v>853</v>
      </c>
      <c r="E411" s="118" t="s">
        <v>1425</v>
      </c>
      <c r="F411" s="119">
        <v>0.63626157407407413</v>
      </c>
      <c r="G411" t="s">
        <v>1422</v>
      </c>
      <c r="H411" t="s">
        <v>1337</v>
      </c>
    </row>
    <row r="412" spans="1:8" s="64" customFormat="1">
      <c r="A412">
        <v>10835391</v>
      </c>
      <c r="B412" t="s">
        <v>984</v>
      </c>
      <c r="C412" t="s">
        <v>975</v>
      </c>
      <c r="D412" t="s">
        <v>853</v>
      </c>
      <c r="E412" s="118" t="s">
        <v>1425</v>
      </c>
      <c r="F412" s="119">
        <v>0.30040509259259257</v>
      </c>
      <c r="G412" t="s">
        <v>1421</v>
      </c>
      <c r="H412" t="s">
        <v>1336</v>
      </c>
    </row>
    <row r="413" spans="1:8" s="64" customFormat="1">
      <c r="A413">
        <v>10835391</v>
      </c>
      <c r="B413" t="s">
        <v>984</v>
      </c>
      <c r="C413" t="s">
        <v>975</v>
      </c>
      <c r="D413" t="s">
        <v>853</v>
      </c>
      <c r="E413" s="118" t="s">
        <v>1426</v>
      </c>
      <c r="F413" s="119">
        <v>0.63063657407407414</v>
      </c>
      <c r="G413" t="s">
        <v>1422</v>
      </c>
      <c r="H413" t="s">
        <v>1337</v>
      </c>
    </row>
    <row r="414" spans="1:8" s="64" customFormat="1">
      <c r="A414">
        <v>10835391</v>
      </c>
      <c r="B414" t="s">
        <v>984</v>
      </c>
      <c r="C414" t="s">
        <v>975</v>
      </c>
      <c r="D414" t="s">
        <v>853</v>
      </c>
      <c r="E414" s="118" t="s">
        <v>1426</v>
      </c>
      <c r="F414" s="119">
        <v>0.33862268518518518</v>
      </c>
      <c r="G414" t="s">
        <v>1421</v>
      </c>
      <c r="H414" t="s">
        <v>1336</v>
      </c>
    </row>
    <row r="415" spans="1:8" s="64" customFormat="1">
      <c r="A415">
        <v>10835391</v>
      </c>
      <c r="B415" t="s">
        <v>984</v>
      </c>
      <c r="C415" t="s">
        <v>975</v>
      </c>
      <c r="D415" t="s">
        <v>853</v>
      </c>
      <c r="E415" s="118" t="s">
        <v>1427</v>
      </c>
      <c r="F415" s="119">
        <v>0.62766203703703705</v>
      </c>
      <c r="G415" t="s">
        <v>1422</v>
      </c>
      <c r="H415" t="s">
        <v>1337</v>
      </c>
    </row>
    <row r="416" spans="1:8" s="64" customFormat="1">
      <c r="A416">
        <v>10835391</v>
      </c>
      <c r="B416" t="s">
        <v>984</v>
      </c>
      <c r="C416" t="s">
        <v>975</v>
      </c>
      <c r="D416" t="s">
        <v>853</v>
      </c>
      <c r="E416" s="118" t="s">
        <v>1427</v>
      </c>
      <c r="F416" s="119">
        <v>0.30953703703703705</v>
      </c>
      <c r="G416" t="s">
        <v>1421</v>
      </c>
      <c r="H416" t="s">
        <v>1336</v>
      </c>
    </row>
    <row r="417" spans="1:8" s="64" customFormat="1">
      <c r="A417">
        <v>10849486</v>
      </c>
      <c r="B417" t="s">
        <v>1233</v>
      </c>
      <c r="C417" t="s">
        <v>1232</v>
      </c>
      <c r="D417" t="s">
        <v>1166</v>
      </c>
      <c r="E417" s="118" t="s">
        <v>1420</v>
      </c>
      <c r="F417" s="119">
        <v>0.94922453703703702</v>
      </c>
      <c r="G417" t="s">
        <v>1422</v>
      </c>
      <c r="H417" t="s">
        <v>1337</v>
      </c>
    </row>
    <row r="418" spans="1:8" s="64" customFormat="1">
      <c r="A418">
        <v>10849486</v>
      </c>
      <c r="B418" t="s">
        <v>1233</v>
      </c>
      <c r="C418" t="s">
        <v>1232</v>
      </c>
      <c r="D418" t="s">
        <v>1166</v>
      </c>
      <c r="E418" s="118" t="s">
        <v>1420</v>
      </c>
      <c r="F418" s="119">
        <v>0.60629629629629633</v>
      </c>
      <c r="G418" t="s">
        <v>1421</v>
      </c>
      <c r="H418" t="s">
        <v>1336</v>
      </c>
    </row>
    <row r="419" spans="1:8" s="64" customFormat="1">
      <c r="A419">
        <v>10849486</v>
      </c>
      <c r="B419" t="s">
        <v>1233</v>
      </c>
      <c r="C419" t="s">
        <v>1232</v>
      </c>
      <c r="D419" t="s">
        <v>1166</v>
      </c>
      <c r="E419" s="118" t="s">
        <v>1423</v>
      </c>
      <c r="F419" s="119">
        <v>0.94848379629629631</v>
      </c>
      <c r="G419" t="s">
        <v>1422</v>
      </c>
      <c r="H419" t="s">
        <v>1337</v>
      </c>
    </row>
    <row r="420" spans="1:8" s="64" customFormat="1">
      <c r="A420">
        <v>10849486</v>
      </c>
      <c r="B420" t="s">
        <v>1233</v>
      </c>
      <c r="C420" t="s">
        <v>1232</v>
      </c>
      <c r="D420" t="s">
        <v>1166</v>
      </c>
      <c r="E420" s="118" t="s">
        <v>1423</v>
      </c>
      <c r="F420" s="119">
        <v>0.60417824074074067</v>
      </c>
      <c r="G420" t="s">
        <v>1421</v>
      </c>
      <c r="H420" t="s">
        <v>1336</v>
      </c>
    </row>
    <row r="421" spans="1:8" s="64" customFormat="1">
      <c r="A421">
        <v>10849486</v>
      </c>
      <c r="B421" t="s">
        <v>1233</v>
      </c>
      <c r="C421" t="s">
        <v>1232</v>
      </c>
      <c r="D421" t="s">
        <v>1166</v>
      </c>
      <c r="E421" s="118" t="s">
        <v>1424</v>
      </c>
      <c r="F421" s="119">
        <v>0.94996527777777784</v>
      </c>
      <c r="G421" t="s">
        <v>1422</v>
      </c>
      <c r="H421" t="s">
        <v>1337</v>
      </c>
    </row>
    <row r="422" spans="1:8" s="64" customFormat="1">
      <c r="A422">
        <v>10849486</v>
      </c>
      <c r="B422" t="s">
        <v>1233</v>
      </c>
      <c r="C422" t="s">
        <v>1232</v>
      </c>
      <c r="D422" t="s">
        <v>1166</v>
      </c>
      <c r="E422" s="118" t="s">
        <v>1424</v>
      </c>
      <c r="F422" s="119">
        <v>0.54260416666666667</v>
      </c>
      <c r="G422" t="s">
        <v>1421</v>
      </c>
      <c r="H422" t="s">
        <v>1336</v>
      </c>
    </row>
    <row r="423" spans="1:8" s="64" customFormat="1">
      <c r="A423">
        <v>10849486</v>
      </c>
      <c r="B423" t="s">
        <v>1233</v>
      </c>
      <c r="C423" t="s">
        <v>1232</v>
      </c>
      <c r="D423" t="s">
        <v>1166</v>
      </c>
      <c r="E423" s="118" t="s">
        <v>1425</v>
      </c>
      <c r="F423" s="119">
        <v>0.95010416666666664</v>
      </c>
      <c r="G423" t="s">
        <v>1422</v>
      </c>
      <c r="H423" t="s">
        <v>1337</v>
      </c>
    </row>
    <row r="424" spans="1:8" s="64" customFormat="1">
      <c r="A424">
        <v>10849486</v>
      </c>
      <c r="B424" t="s">
        <v>1233</v>
      </c>
      <c r="C424" t="s">
        <v>1232</v>
      </c>
      <c r="D424" t="s">
        <v>1166</v>
      </c>
      <c r="E424" s="118" t="s">
        <v>1425</v>
      </c>
      <c r="F424" s="119">
        <v>0.60456018518518517</v>
      </c>
      <c r="G424" t="s">
        <v>1421</v>
      </c>
      <c r="H424" t="s">
        <v>1336</v>
      </c>
    </row>
    <row r="425" spans="1:8" s="64" customFormat="1">
      <c r="A425">
        <v>10849486</v>
      </c>
      <c r="B425" t="s">
        <v>1233</v>
      </c>
      <c r="C425" t="s">
        <v>1232</v>
      </c>
      <c r="D425" t="s">
        <v>1166</v>
      </c>
      <c r="E425" s="118" t="s">
        <v>1426</v>
      </c>
      <c r="F425" s="119">
        <v>0.95008101851851856</v>
      </c>
      <c r="G425" t="s">
        <v>1422</v>
      </c>
      <c r="H425" t="s">
        <v>1337</v>
      </c>
    </row>
    <row r="426" spans="1:8" s="64" customFormat="1">
      <c r="A426">
        <v>10849486</v>
      </c>
      <c r="B426" t="s">
        <v>1233</v>
      </c>
      <c r="C426" t="s">
        <v>1232</v>
      </c>
      <c r="D426" t="s">
        <v>1166</v>
      </c>
      <c r="E426" s="118" t="s">
        <v>1426</v>
      </c>
      <c r="F426" s="119">
        <v>0.60755787037037035</v>
      </c>
      <c r="G426" t="s">
        <v>1421</v>
      </c>
      <c r="H426" t="s">
        <v>1336</v>
      </c>
    </row>
    <row r="427" spans="1:8" s="64" customFormat="1">
      <c r="A427">
        <v>10849486</v>
      </c>
      <c r="B427" t="s">
        <v>1233</v>
      </c>
      <c r="C427" t="s">
        <v>1232</v>
      </c>
      <c r="D427" t="s">
        <v>1166</v>
      </c>
      <c r="E427" s="118" t="s">
        <v>1427</v>
      </c>
      <c r="F427" s="119">
        <v>0.955011574074074</v>
      </c>
      <c r="G427" t="s">
        <v>1422</v>
      </c>
      <c r="H427" t="s">
        <v>1337</v>
      </c>
    </row>
    <row r="428" spans="1:8" s="64" customFormat="1">
      <c r="A428">
        <v>10849486</v>
      </c>
      <c r="B428" t="s">
        <v>1233</v>
      </c>
      <c r="C428" t="s">
        <v>1232</v>
      </c>
      <c r="D428" t="s">
        <v>1166</v>
      </c>
      <c r="E428" s="118" t="s">
        <v>1427</v>
      </c>
      <c r="F428" s="119">
        <v>0.61503472222222222</v>
      </c>
      <c r="G428" t="s">
        <v>1421</v>
      </c>
      <c r="H428" t="s">
        <v>1336</v>
      </c>
    </row>
    <row r="429" spans="1:8" s="64" customFormat="1">
      <c r="A429">
        <v>10869222</v>
      </c>
      <c r="B429" t="s">
        <v>165</v>
      </c>
      <c r="C429" t="s">
        <v>568</v>
      </c>
      <c r="D429" t="s">
        <v>569</v>
      </c>
      <c r="E429" s="118" t="s">
        <v>1423</v>
      </c>
      <c r="F429" s="119">
        <v>0.93587962962962967</v>
      </c>
      <c r="G429" t="s">
        <v>1422</v>
      </c>
      <c r="H429" t="s">
        <v>1337</v>
      </c>
    </row>
    <row r="430" spans="1:8" s="64" customFormat="1">
      <c r="A430">
        <v>10869222</v>
      </c>
      <c r="B430" t="s">
        <v>165</v>
      </c>
      <c r="C430" t="s">
        <v>568</v>
      </c>
      <c r="D430" t="s">
        <v>569</v>
      </c>
      <c r="E430" s="118" t="s">
        <v>1423</v>
      </c>
      <c r="F430" s="119">
        <v>0.61715277777777777</v>
      </c>
      <c r="G430" t="s">
        <v>1421</v>
      </c>
      <c r="H430" t="s">
        <v>1336</v>
      </c>
    </row>
    <row r="431" spans="1:8" s="64" customFormat="1">
      <c r="A431">
        <v>10869222</v>
      </c>
      <c r="B431" t="s">
        <v>165</v>
      </c>
      <c r="C431" t="s">
        <v>568</v>
      </c>
      <c r="D431" t="s">
        <v>569</v>
      </c>
      <c r="E431" s="118" t="s">
        <v>1424</v>
      </c>
      <c r="F431" s="119">
        <v>0.93429398148148157</v>
      </c>
      <c r="G431" t="s">
        <v>1422</v>
      </c>
      <c r="H431" t="s">
        <v>1337</v>
      </c>
    </row>
    <row r="432" spans="1:8" s="64" customFormat="1">
      <c r="A432">
        <v>10869222</v>
      </c>
      <c r="B432" t="s">
        <v>165</v>
      </c>
      <c r="C432" t="s">
        <v>568</v>
      </c>
      <c r="D432" t="s">
        <v>569</v>
      </c>
      <c r="E432" s="118" t="s">
        <v>1424</v>
      </c>
      <c r="F432" s="119">
        <v>0.61866898148148153</v>
      </c>
      <c r="G432" t="s">
        <v>1421</v>
      </c>
      <c r="H432" t="s">
        <v>1336</v>
      </c>
    </row>
    <row r="433" spans="1:8" s="64" customFormat="1">
      <c r="A433">
        <v>10869222</v>
      </c>
      <c r="B433" t="s">
        <v>165</v>
      </c>
      <c r="C433" t="s">
        <v>568</v>
      </c>
      <c r="D433" t="s">
        <v>569</v>
      </c>
      <c r="E433" s="118" t="s">
        <v>1425</v>
      </c>
      <c r="F433" s="119">
        <v>0.93570601851851853</v>
      </c>
      <c r="G433" t="s">
        <v>1422</v>
      </c>
      <c r="H433" t="s">
        <v>1337</v>
      </c>
    </row>
    <row r="434" spans="1:8" s="64" customFormat="1">
      <c r="A434">
        <v>10869222</v>
      </c>
      <c r="B434" t="s">
        <v>165</v>
      </c>
      <c r="C434" t="s">
        <v>568</v>
      </c>
      <c r="D434" t="s">
        <v>569</v>
      </c>
      <c r="E434" s="118" t="s">
        <v>1425</v>
      </c>
      <c r="F434" s="119">
        <v>0.62002314814814818</v>
      </c>
      <c r="G434" t="s">
        <v>1421</v>
      </c>
      <c r="H434" t="s">
        <v>1336</v>
      </c>
    </row>
    <row r="435" spans="1:8" s="64" customFormat="1">
      <c r="A435">
        <v>10869222</v>
      </c>
      <c r="B435" t="s">
        <v>165</v>
      </c>
      <c r="C435" t="s">
        <v>568</v>
      </c>
      <c r="D435" t="s">
        <v>569</v>
      </c>
      <c r="E435" s="118" t="s">
        <v>1426</v>
      </c>
      <c r="F435" s="119">
        <v>0.93467592592592597</v>
      </c>
      <c r="G435" t="s">
        <v>1422</v>
      </c>
      <c r="H435" t="s">
        <v>1337</v>
      </c>
    </row>
    <row r="436" spans="1:8" s="64" customFormat="1">
      <c r="A436">
        <v>10869222</v>
      </c>
      <c r="B436" t="s">
        <v>165</v>
      </c>
      <c r="C436" t="s">
        <v>568</v>
      </c>
      <c r="D436" t="s">
        <v>569</v>
      </c>
      <c r="E436" s="118" t="s">
        <v>1426</v>
      </c>
      <c r="F436" s="119">
        <v>0.61910879629629634</v>
      </c>
      <c r="G436" t="s">
        <v>1421</v>
      </c>
      <c r="H436" t="s">
        <v>1336</v>
      </c>
    </row>
    <row r="437" spans="1:8" s="64" customFormat="1">
      <c r="A437">
        <v>10869222</v>
      </c>
      <c r="B437" t="s">
        <v>165</v>
      </c>
      <c r="C437" t="s">
        <v>568</v>
      </c>
      <c r="D437" t="s">
        <v>569</v>
      </c>
      <c r="E437" s="118" t="s">
        <v>1427</v>
      </c>
      <c r="F437" s="119">
        <v>0.93452546296296291</v>
      </c>
      <c r="G437" t="s">
        <v>1422</v>
      </c>
      <c r="H437" t="s">
        <v>1337</v>
      </c>
    </row>
    <row r="438" spans="1:8" s="64" customFormat="1">
      <c r="A438">
        <v>10869222</v>
      </c>
      <c r="B438" t="s">
        <v>165</v>
      </c>
      <c r="C438" t="s">
        <v>568</v>
      </c>
      <c r="D438" t="s">
        <v>569</v>
      </c>
      <c r="E438" s="118" t="s">
        <v>1427</v>
      </c>
      <c r="F438" s="119">
        <v>0.60996527777777776</v>
      </c>
      <c r="G438" t="s">
        <v>1421</v>
      </c>
      <c r="H438" t="s">
        <v>1336</v>
      </c>
    </row>
    <row r="439" spans="1:8" s="64" customFormat="1">
      <c r="A439">
        <v>10970380</v>
      </c>
      <c r="B439" t="s">
        <v>543</v>
      </c>
      <c r="C439" t="s">
        <v>538</v>
      </c>
      <c r="D439" t="s">
        <v>33</v>
      </c>
      <c r="E439" s="118" t="s">
        <v>1420</v>
      </c>
      <c r="F439" s="119">
        <v>0.92774305555555558</v>
      </c>
      <c r="G439" t="s">
        <v>1421</v>
      </c>
      <c r="H439" t="s">
        <v>1336</v>
      </c>
    </row>
    <row r="440" spans="1:8" s="64" customFormat="1">
      <c r="A440">
        <v>10970380</v>
      </c>
      <c r="B440" t="s">
        <v>543</v>
      </c>
      <c r="C440" t="s">
        <v>538</v>
      </c>
      <c r="D440" t="s">
        <v>33</v>
      </c>
      <c r="E440" s="118" t="s">
        <v>1423</v>
      </c>
      <c r="F440" s="119">
        <v>0.31631944444444443</v>
      </c>
      <c r="G440" t="s">
        <v>1422</v>
      </c>
      <c r="H440" t="s">
        <v>1337</v>
      </c>
    </row>
    <row r="441" spans="1:8" s="64" customFormat="1">
      <c r="A441">
        <v>10970380</v>
      </c>
      <c r="B441" t="s">
        <v>543</v>
      </c>
      <c r="C441" t="s">
        <v>538</v>
      </c>
      <c r="D441" t="s">
        <v>33</v>
      </c>
      <c r="E441" s="118" t="s">
        <v>1423</v>
      </c>
      <c r="F441" s="119">
        <v>0.92920138888888892</v>
      </c>
      <c r="G441" t="s">
        <v>1421</v>
      </c>
      <c r="H441" t="s">
        <v>1336</v>
      </c>
    </row>
    <row r="442" spans="1:8" s="64" customFormat="1">
      <c r="A442">
        <v>10970380</v>
      </c>
      <c r="B442" t="s">
        <v>543</v>
      </c>
      <c r="C442" t="s">
        <v>538</v>
      </c>
      <c r="D442" t="s">
        <v>33</v>
      </c>
      <c r="E442" s="118" t="s">
        <v>1424</v>
      </c>
      <c r="F442" s="119">
        <v>0.31649305555555557</v>
      </c>
      <c r="G442" t="s">
        <v>1422</v>
      </c>
      <c r="H442" t="s">
        <v>1337</v>
      </c>
    </row>
    <row r="443" spans="1:8" s="64" customFormat="1">
      <c r="A443">
        <v>10970380</v>
      </c>
      <c r="B443" t="s">
        <v>543</v>
      </c>
      <c r="C443" t="s">
        <v>538</v>
      </c>
      <c r="D443" t="s">
        <v>33</v>
      </c>
      <c r="E443" s="118" t="s">
        <v>1424</v>
      </c>
      <c r="F443" s="119">
        <v>0.92723379629629632</v>
      </c>
      <c r="G443" t="s">
        <v>1421</v>
      </c>
      <c r="H443" t="s">
        <v>1336</v>
      </c>
    </row>
    <row r="444" spans="1:8" s="64" customFormat="1">
      <c r="A444">
        <v>10970380</v>
      </c>
      <c r="B444" t="s">
        <v>543</v>
      </c>
      <c r="C444" t="s">
        <v>538</v>
      </c>
      <c r="D444" t="s">
        <v>33</v>
      </c>
      <c r="E444" s="118" t="s">
        <v>1425</v>
      </c>
      <c r="F444" s="119">
        <v>0.31503472222222223</v>
      </c>
      <c r="G444" t="s">
        <v>1422</v>
      </c>
      <c r="H444" t="s">
        <v>1337</v>
      </c>
    </row>
    <row r="445" spans="1:8" s="64" customFormat="1">
      <c r="A445">
        <v>10970380</v>
      </c>
      <c r="B445" t="s">
        <v>543</v>
      </c>
      <c r="C445" t="s">
        <v>538</v>
      </c>
      <c r="D445" t="s">
        <v>33</v>
      </c>
      <c r="E445" s="118" t="s">
        <v>1425</v>
      </c>
      <c r="F445" s="119">
        <v>0.92983796296296306</v>
      </c>
      <c r="G445" t="s">
        <v>1421</v>
      </c>
      <c r="H445" t="s">
        <v>1336</v>
      </c>
    </row>
    <row r="446" spans="1:8" s="64" customFormat="1">
      <c r="A446">
        <v>10970380</v>
      </c>
      <c r="B446" t="s">
        <v>543</v>
      </c>
      <c r="C446" t="s">
        <v>538</v>
      </c>
      <c r="D446" t="s">
        <v>33</v>
      </c>
      <c r="E446" s="118" t="s">
        <v>1426</v>
      </c>
      <c r="F446" s="119">
        <v>0.31793981481481481</v>
      </c>
      <c r="G446" t="s">
        <v>1422</v>
      </c>
      <c r="H446" t="s">
        <v>1337</v>
      </c>
    </row>
    <row r="447" spans="1:8" s="64" customFormat="1">
      <c r="A447">
        <v>10970380</v>
      </c>
      <c r="B447" t="s">
        <v>543</v>
      </c>
      <c r="C447" t="s">
        <v>538</v>
      </c>
      <c r="D447" t="s">
        <v>33</v>
      </c>
      <c r="E447" s="118" t="s">
        <v>1426</v>
      </c>
      <c r="F447" s="119">
        <v>0.92983796296296306</v>
      </c>
      <c r="G447" t="s">
        <v>1421</v>
      </c>
      <c r="H447" t="s">
        <v>1336</v>
      </c>
    </row>
    <row r="448" spans="1:8" s="64" customFormat="1">
      <c r="A448">
        <v>10970380</v>
      </c>
      <c r="B448" t="s">
        <v>543</v>
      </c>
      <c r="C448" t="s">
        <v>538</v>
      </c>
      <c r="D448" t="s">
        <v>33</v>
      </c>
      <c r="E448" s="118" t="s">
        <v>1427</v>
      </c>
      <c r="F448" s="119">
        <v>0.31675925925925924</v>
      </c>
      <c r="G448" t="s">
        <v>1422</v>
      </c>
      <c r="H448" t="s">
        <v>1337</v>
      </c>
    </row>
    <row r="449" spans="1:8" s="64" customFormat="1">
      <c r="A449">
        <v>11124307</v>
      </c>
      <c r="B449" t="s">
        <v>672</v>
      </c>
      <c r="C449" t="s">
        <v>33</v>
      </c>
      <c r="D449" t="s">
        <v>671</v>
      </c>
      <c r="E449" s="118" t="s">
        <v>1420</v>
      </c>
      <c r="F449" s="119">
        <v>0.91951388888888885</v>
      </c>
      <c r="G449" t="s">
        <v>1421</v>
      </c>
      <c r="H449" t="s">
        <v>1336</v>
      </c>
    </row>
    <row r="450" spans="1:8" s="64" customFormat="1">
      <c r="A450">
        <v>11124307</v>
      </c>
      <c r="B450" t="s">
        <v>672</v>
      </c>
      <c r="C450" t="s">
        <v>33</v>
      </c>
      <c r="D450" t="s">
        <v>671</v>
      </c>
      <c r="E450" s="118" t="s">
        <v>1423</v>
      </c>
      <c r="F450" s="119">
        <v>0.32444444444444448</v>
      </c>
      <c r="G450" t="s">
        <v>1422</v>
      </c>
      <c r="H450" t="s">
        <v>1337</v>
      </c>
    </row>
    <row r="451" spans="1:8" s="64" customFormat="1">
      <c r="A451">
        <v>11124307</v>
      </c>
      <c r="B451" t="s">
        <v>672</v>
      </c>
      <c r="C451" t="s">
        <v>33</v>
      </c>
      <c r="D451" t="s">
        <v>671</v>
      </c>
      <c r="E451" s="118" t="s">
        <v>1423</v>
      </c>
      <c r="F451" s="119">
        <v>0.91824074074074069</v>
      </c>
      <c r="G451" t="s">
        <v>1421</v>
      </c>
      <c r="H451" t="s">
        <v>1336</v>
      </c>
    </row>
    <row r="452" spans="1:8" s="64" customFormat="1">
      <c r="A452">
        <v>11124307</v>
      </c>
      <c r="B452" t="s">
        <v>672</v>
      </c>
      <c r="C452" t="s">
        <v>33</v>
      </c>
      <c r="D452" t="s">
        <v>671</v>
      </c>
      <c r="E452" s="118" t="s">
        <v>1424</v>
      </c>
      <c r="F452" s="119">
        <v>0.326087962962963</v>
      </c>
      <c r="G452" t="s">
        <v>1422</v>
      </c>
      <c r="H452" t="s">
        <v>1337</v>
      </c>
    </row>
    <row r="453" spans="1:8" s="64" customFormat="1">
      <c r="A453">
        <v>11124307</v>
      </c>
      <c r="B453" t="s">
        <v>672</v>
      </c>
      <c r="C453" t="s">
        <v>33</v>
      </c>
      <c r="D453" t="s">
        <v>671</v>
      </c>
      <c r="E453" s="118" t="s">
        <v>1424</v>
      </c>
      <c r="F453" s="119">
        <v>0.91820601851851846</v>
      </c>
      <c r="G453" t="s">
        <v>1421</v>
      </c>
      <c r="H453" t="s">
        <v>1336</v>
      </c>
    </row>
    <row r="454" spans="1:8" s="64" customFormat="1">
      <c r="A454">
        <v>11124307</v>
      </c>
      <c r="B454" t="s">
        <v>672</v>
      </c>
      <c r="C454" t="s">
        <v>33</v>
      </c>
      <c r="D454" t="s">
        <v>671</v>
      </c>
      <c r="E454" s="118" t="s">
        <v>1425</v>
      </c>
      <c r="F454" s="119">
        <v>0.32765046296296296</v>
      </c>
      <c r="G454" t="s">
        <v>1422</v>
      </c>
      <c r="H454" t="s">
        <v>1337</v>
      </c>
    </row>
    <row r="455" spans="1:8" s="64" customFormat="1">
      <c r="A455">
        <v>11124307</v>
      </c>
      <c r="B455" t="s">
        <v>672</v>
      </c>
      <c r="C455" t="s">
        <v>33</v>
      </c>
      <c r="D455" t="s">
        <v>671</v>
      </c>
      <c r="E455" s="118" t="s">
        <v>1425</v>
      </c>
      <c r="F455" s="119">
        <v>0.91942129629629632</v>
      </c>
      <c r="G455" t="s">
        <v>1421</v>
      </c>
      <c r="H455" t="s">
        <v>1336</v>
      </c>
    </row>
    <row r="456" spans="1:8" s="64" customFormat="1">
      <c r="A456">
        <v>11124307</v>
      </c>
      <c r="B456" t="s">
        <v>672</v>
      </c>
      <c r="C456" t="s">
        <v>33</v>
      </c>
      <c r="D456" t="s">
        <v>671</v>
      </c>
      <c r="E456" s="118" t="s">
        <v>1425</v>
      </c>
      <c r="F456" s="119">
        <v>0.92704861111111114</v>
      </c>
      <c r="G456" t="s">
        <v>1421</v>
      </c>
      <c r="H456" t="s">
        <v>1336</v>
      </c>
    </row>
    <row r="457" spans="1:8" s="64" customFormat="1">
      <c r="A457">
        <v>11124307</v>
      </c>
      <c r="B457" t="s">
        <v>672</v>
      </c>
      <c r="C457" t="s">
        <v>33</v>
      </c>
      <c r="D457" t="s">
        <v>671</v>
      </c>
      <c r="E457" s="118" t="s">
        <v>1426</v>
      </c>
      <c r="F457" s="119">
        <v>0.32392361111111112</v>
      </c>
      <c r="G457" t="s">
        <v>1422</v>
      </c>
      <c r="H457" t="s">
        <v>1337</v>
      </c>
    </row>
    <row r="458" spans="1:8" s="64" customFormat="1">
      <c r="A458">
        <v>11124307</v>
      </c>
      <c r="B458" t="s">
        <v>672</v>
      </c>
      <c r="C458" t="s">
        <v>33</v>
      </c>
      <c r="D458" t="s">
        <v>671</v>
      </c>
      <c r="E458" s="118" t="s">
        <v>1426</v>
      </c>
      <c r="F458" s="119">
        <v>0.92092592592592604</v>
      </c>
      <c r="G458" t="s">
        <v>1421</v>
      </c>
      <c r="H458" t="s">
        <v>1336</v>
      </c>
    </row>
    <row r="459" spans="1:8" s="64" customFormat="1">
      <c r="A459">
        <v>11124307</v>
      </c>
      <c r="B459" t="s">
        <v>672</v>
      </c>
      <c r="C459" t="s">
        <v>33</v>
      </c>
      <c r="D459" t="s">
        <v>671</v>
      </c>
      <c r="E459" s="118" t="s">
        <v>1427</v>
      </c>
      <c r="F459" s="119">
        <v>0.32577546296296295</v>
      </c>
      <c r="G459" t="s">
        <v>1422</v>
      </c>
      <c r="H459" t="s">
        <v>1337</v>
      </c>
    </row>
    <row r="460" spans="1:8" s="64" customFormat="1">
      <c r="A460">
        <v>11267594</v>
      </c>
      <c r="B460" t="s">
        <v>359</v>
      </c>
      <c r="C460" t="s">
        <v>357</v>
      </c>
      <c r="D460" t="s">
        <v>358</v>
      </c>
      <c r="E460" s="118" t="s">
        <v>1420</v>
      </c>
      <c r="F460" s="119">
        <v>0.80787037037037035</v>
      </c>
      <c r="G460" t="s">
        <v>1422</v>
      </c>
      <c r="H460" t="s">
        <v>1337</v>
      </c>
    </row>
    <row r="461" spans="1:8" s="64" customFormat="1">
      <c r="A461">
        <v>11267594</v>
      </c>
      <c r="B461" t="s">
        <v>359</v>
      </c>
      <c r="C461" t="s">
        <v>357</v>
      </c>
      <c r="D461" t="s">
        <v>358</v>
      </c>
      <c r="E461" s="118" t="s">
        <v>1420</v>
      </c>
      <c r="F461" s="119">
        <v>0.29038194444444443</v>
      </c>
      <c r="G461" t="s">
        <v>1421</v>
      </c>
      <c r="H461" t="s">
        <v>1336</v>
      </c>
    </row>
    <row r="462" spans="1:8" s="64" customFormat="1">
      <c r="A462">
        <v>11267594</v>
      </c>
      <c r="B462" t="s">
        <v>359</v>
      </c>
      <c r="C462" t="s">
        <v>357</v>
      </c>
      <c r="D462" t="s">
        <v>358</v>
      </c>
      <c r="E462" s="118" t="s">
        <v>1423</v>
      </c>
      <c r="F462" s="119">
        <v>0.8016550925925926</v>
      </c>
      <c r="G462" t="s">
        <v>1422</v>
      </c>
      <c r="H462" t="s">
        <v>1337</v>
      </c>
    </row>
    <row r="463" spans="1:8" s="64" customFormat="1">
      <c r="A463">
        <v>11267594</v>
      </c>
      <c r="B463" t="s">
        <v>359</v>
      </c>
      <c r="C463" t="s">
        <v>357</v>
      </c>
      <c r="D463" t="s">
        <v>358</v>
      </c>
      <c r="E463" s="118" t="s">
        <v>1423</v>
      </c>
      <c r="F463" s="119">
        <v>0.2902777777777778</v>
      </c>
      <c r="G463" t="s">
        <v>1421</v>
      </c>
      <c r="H463" t="s">
        <v>1336</v>
      </c>
    </row>
    <row r="464" spans="1:8" s="64" customFormat="1">
      <c r="A464">
        <v>11267594</v>
      </c>
      <c r="B464" t="s">
        <v>359</v>
      </c>
      <c r="C464" t="s">
        <v>357</v>
      </c>
      <c r="D464" t="s">
        <v>358</v>
      </c>
      <c r="E464" s="118" t="s">
        <v>1424</v>
      </c>
      <c r="F464" s="119">
        <v>0.80835648148148154</v>
      </c>
      <c r="G464" t="s">
        <v>1422</v>
      </c>
      <c r="H464" t="s">
        <v>1337</v>
      </c>
    </row>
    <row r="465" spans="1:8" s="64" customFormat="1">
      <c r="A465">
        <v>11267594</v>
      </c>
      <c r="B465" t="s">
        <v>359</v>
      </c>
      <c r="C465" t="s">
        <v>357</v>
      </c>
      <c r="D465" t="s">
        <v>358</v>
      </c>
      <c r="E465" s="118" t="s">
        <v>1424</v>
      </c>
      <c r="F465" s="119">
        <v>0.29542824074074076</v>
      </c>
      <c r="G465" t="s">
        <v>1421</v>
      </c>
      <c r="H465" t="s">
        <v>1336</v>
      </c>
    </row>
    <row r="466" spans="1:8" s="64" customFormat="1">
      <c r="A466">
        <v>11267594</v>
      </c>
      <c r="B466" t="s">
        <v>359</v>
      </c>
      <c r="C466" t="s">
        <v>357</v>
      </c>
      <c r="D466" t="s">
        <v>358</v>
      </c>
      <c r="E466" s="118" t="s">
        <v>1425</v>
      </c>
      <c r="F466" s="119">
        <v>0.81098379629629624</v>
      </c>
      <c r="G466" t="s">
        <v>1422</v>
      </c>
      <c r="H466" t="s">
        <v>1337</v>
      </c>
    </row>
    <row r="467" spans="1:8" s="64" customFormat="1">
      <c r="A467">
        <v>11267594</v>
      </c>
      <c r="B467" t="s">
        <v>359</v>
      </c>
      <c r="C467" t="s">
        <v>357</v>
      </c>
      <c r="D467" t="s">
        <v>358</v>
      </c>
      <c r="E467" s="118" t="s">
        <v>1425</v>
      </c>
      <c r="F467" s="119">
        <v>0.29956018518518518</v>
      </c>
      <c r="G467" t="s">
        <v>1421</v>
      </c>
      <c r="H467" t="s">
        <v>1336</v>
      </c>
    </row>
    <row r="468" spans="1:8" s="64" customFormat="1">
      <c r="A468">
        <v>11267594</v>
      </c>
      <c r="B468" t="s">
        <v>359</v>
      </c>
      <c r="C468" t="s">
        <v>357</v>
      </c>
      <c r="D468" t="s">
        <v>358</v>
      </c>
      <c r="E468" s="118" t="s">
        <v>1426</v>
      </c>
      <c r="F468" s="119">
        <v>0.73178240740740741</v>
      </c>
      <c r="G468" t="s">
        <v>1422</v>
      </c>
      <c r="H468" t="s">
        <v>1337</v>
      </c>
    </row>
    <row r="469" spans="1:8" s="64" customFormat="1">
      <c r="A469">
        <v>11267594</v>
      </c>
      <c r="B469" t="s">
        <v>359</v>
      </c>
      <c r="C469" t="s">
        <v>357</v>
      </c>
      <c r="D469" t="s">
        <v>358</v>
      </c>
      <c r="E469" s="118" t="s">
        <v>1426</v>
      </c>
      <c r="F469" s="119">
        <v>0.29302083333333334</v>
      </c>
      <c r="G469" t="s">
        <v>1421</v>
      </c>
      <c r="H469" t="s">
        <v>1336</v>
      </c>
    </row>
    <row r="470" spans="1:8" s="64" customFormat="1">
      <c r="A470">
        <v>11306351</v>
      </c>
      <c r="B470" t="s">
        <v>575</v>
      </c>
      <c r="C470" t="s">
        <v>573</v>
      </c>
      <c r="D470" t="s">
        <v>574</v>
      </c>
      <c r="E470" s="118" t="s">
        <v>1420</v>
      </c>
      <c r="F470" s="119">
        <v>0.63773148148148151</v>
      </c>
      <c r="G470" t="s">
        <v>1422</v>
      </c>
      <c r="H470" t="s">
        <v>1337</v>
      </c>
    </row>
    <row r="471" spans="1:8" s="64" customFormat="1">
      <c r="A471">
        <v>11306351</v>
      </c>
      <c r="B471" t="s">
        <v>575</v>
      </c>
      <c r="C471" t="s">
        <v>573</v>
      </c>
      <c r="D471" t="s">
        <v>574</v>
      </c>
      <c r="E471" s="118" t="s">
        <v>1420</v>
      </c>
      <c r="F471" s="119">
        <v>0.26571759259259259</v>
      </c>
      <c r="G471" t="s">
        <v>1421</v>
      </c>
      <c r="H471" t="s">
        <v>1336</v>
      </c>
    </row>
    <row r="472" spans="1:8" s="64" customFormat="1">
      <c r="A472">
        <v>11306351</v>
      </c>
      <c r="B472" t="s">
        <v>575</v>
      </c>
      <c r="C472" t="s">
        <v>573</v>
      </c>
      <c r="D472" t="s">
        <v>574</v>
      </c>
      <c r="E472" s="118" t="s">
        <v>1423</v>
      </c>
      <c r="F472" s="119">
        <v>0.63364583333333335</v>
      </c>
      <c r="G472" t="s">
        <v>1422</v>
      </c>
      <c r="H472" t="s">
        <v>1337</v>
      </c>
    </row>
    <row r="473" spans="1:8" s="64" customFormat="1">
      <c r="A473">
        <v>11306351</v>
      </c>
      <c r="B473" t="s">
        <v>575</v>
      </c>
      <c r="C473" t="s">
        <v>573</v>
      </c>
      <c r="D473" t="s">
        <v>574</v>
      </c>
      <c r="E473" s="118" t="s">
        <v>1423</v>
      </c>
      <c r="F473" s="119">
        <v>0.26922453703703703</v>
      </c>
      <c r="G473" t="s">
        <v>1421</v>
      </c>
      <c r="H473" t="s">
        <v>1336</v>
      </c>
    </row>
    <row r="474" spans="1:8" s="64" customFormat="1">
      <c r="A474">
        <v>11306351</v>
      </c>
      <c r="B474" t="s">
        <v>575</v>
      </c>
      <c r="C474" t="s">
        <v>573</v>
      </c>
      <c r="D474" t="s">
        <v>574</v>
      </c>
      <c r="E474" s="118" t="s">
        <v>1424</v>
      </c>
      <c r="F474" s="119">
        <v>0.63534722222222217</v>
      </c>
      <c r="G474" t="s">
        <v>1422</v>
      </c>
      <c r="H474" t="s">
        <v>1337</v>
      </c>
    </row>
    <row r="475" spans="1:8" s="64" customFormat="1">
      <c r="A475">
        <v>11306351</v>
      </c>
      <c r="B475" t="s">
        <v>575</v>
      </c>
      <c r="C475" t="s">
        <v>573</v>
      </c>
      <c r="D475" t="s">
        <v>574</v>
      </c>
      <c r="E475" s="118" t="s">
        <v>1424</v>
      </c>
      <c r="F475" s="119">
        <v>0.27212962962962961</v>
      </c>
      <c r="G475" t="s">
        <v>1421</v>
      </c>
      <c r="H475" t="s">
        <v>1336</v>
      </c>
    </row>
    <row r="476" spans="1:8" s="64" customFormat="1">
      <c r="A476">
        <v>11306351</v>
      </c>
      <c r="B476" t="s">
        <v>575</v>
      </c>
      <c r="C476" t="s">
        <v>573</v>
      </c>
      <c r="D476" t="s">
        <v>574</v>
      </c>
      <c r="E476" s="118" t="s">
        <v>1425</v>
      </c>
      <c r="F476" s="119">
        <v>0.63653935185185184</v>
      </c>
      <c r="G476" t="s">
        <v>1422</v>
      </c>
      <c r="H476" t="s">
        <v>1337</v>
      </c>
    </row>
    <row r="477" spans="1:8" s="64" customFormat="1">
      <c r="A477">
        <v>11306351</v>
      </c>
      <c r="B477" t="s">
        <v>575</v>
      </c>
      <c r="C477" t="s">
        <v>573</v>
      </c>
      <c r="D477" t="s">
        <v>574</v>
      </c>
      <c r="E477" s="118" t="s">
        <v>1425</v>
      </c>
      <c r="F477" s="119">
        <v>0.2726851851851852</v>
      </c>
      <c r="G477" t="s">
        <v>1421</v>
      </c>
      <c r="H477" t="s">
        <v>1336</v>
      </c>
    </row>
    <row r="478" spans="1:8" s="64" customFormat="1">
      <c r="A478">
        <v>11306351</v>
      </c>
      <c r="B478" t="s">
        <v>575</v>
      </c>
      <c r="C478" t="s">
        <v>573</v>
      </c>
      <c r="D478" t="s">
        <v>574</v>
      </c>
      <c r="E478" s="118" t="s">
        <v>1426</v>
      </c>
      <c r="F478" s="119">
        <v>0.63401620370370371</v>
      </c>
      <c r="G478" t="s">
        <v>1422</v>
      </c>
      <c r="H478" t="s">
        <v>1337</v>
      </c>
    </row>
    <row r="479" spans="1:8" s="64" customFormat="1">
      <c r="A479">
        <v>11306351</v>
      </c>
      <c r="B479" t="s">
        <v>575</v>
      </c>
      <c r="C479" t="s">
        <v>573</v>
      </c>
      <c r="D479" t="s">
        <v>574</v>
      </c>
      <c r="E479" s="118" t="s">
        <v>1426</v>
      </c>
      <c r="F479" s="119">
        <v>0.27447916666666666</v>
      </c>
      <c r="G479" t="s">
        <v>1421</v>
      </c>
      <c r="H479" t="s">
        <v>1336</v>
      </c>
    </row>
    <row r="480" spans="1:8" s="64" customFormat="1">
      <c r="A480">
        <v>11306351</v>
      </c>
      <c r="B480" t="s">
        <v>575</v>
      </c>
      <c r="C480" t="s">
        <v>573</v>
      </c>
      <c r="D480" t="s">
        <v>574</v>
      </c>
      <c r="E480" s="118" t="s">
        <v>1427</v>
      </c>
      <c r="F480" s="119">
        <v>0.6328125</v>
      </c>
      <c r="G480" t="s">
        <v>1422</v>
      </c>
      <c r="H480" t="s">
        <v>1337</v>
      </c>
    </row>
    <row r="481" spans="1:8" s="64" customFormat="1">
      <c r="A481">
        <v>11306351</v>
      </c>
      <c r="B481" t="s">
        <v>575</v>
      </c>
      <c r="C481" t="s">
        <v>573</v>
      </c>
      <c r="D481" t="s">
        <v>574</v>
      </c>
      <c r="E481" s="118" t="s">
        <v>1427</v>
      </c>
      <c r="F481" s="119">
        <v>0.27232638888888888</v>
      </c>
      <c r="G481" t="s">
        <v>1421</v>
      </c>
      <c r="H481" t="s">
        <v>1336</v>
      </c>
    </row>
    <row r="482" spans="1:8" s="64" customFormat="1">
      <c r="A482">
        <v>11325204</v>
      </c>
      <c r="B482" t="s">
        <v>133</v>
      </c>
      <c r="C482" t="s">
        <v>132</v>
      </c>
      <c r="D482" t="s">
        <v>25</v>
      </c>
      <c r="E482" s="118" t="s">
        <v>1420</v>
      </c>
      <c r="F482" s="119">
        <v>0.31119212962962967</v>
      </c>
      <c r="G482" t="s">
        <v>1422</v>
      </c>
      <c r="H482" t="s">
        <v>1337</v>
      </c>
    </row>
    <row r="483" spans="1:8" s="64" customFormat="1">
      <c r="A483">
        <v>11325204</v>
      </c>
      <c r="B483" t="s">
        <v>133</v>
      </c>
      <c r="C483" t="s">
        <v>132</v>
      </c>
      <c r="D483" t="s">
        <v>25</v>
      </c>
      <c r="E483" s="118" t="s">
        <v>1420</v>
      </c>
      <c r="F483" s="119">
        <v>1.1111111111111111E-3</v>
      </c>
      <c r="G483" t="s">
        <v>1421</v>
      </c>
      <c r="H483" t="s">
        <v>1336</v>
      </c>
    </row>
    <row r="484" spans="1:8" s="64" customFormat="1">
      <c r="A484">
        <v>11325204</v>
      </c>
      <c r="B484" t="s">
        <v>133</v>
      </c>
      <c r="C484" t="s">
        <v>132</v>
      </c>
      <c r="D484" t="s">
        <v>25</v>
      </c>
      <c r="E484" s="118" t="s">
        <v>1420</v>
      </c>
      <c r="F484" s="119">
        <v>0.93616898148148142</v>
      </c>
      <c r="G484" t="s">
        <v>1421</v>
      </c>
      <c r="H484" t="s">
        <v>1336</v>
      </c>
    </row>
    <row r="485" spans="1:8" s="64" customFormat="1">
      <c r="A485">
        <v>11325204</v>
      </c>
      <c r="B485" t="s">
        <v>133</v>
      </c>
      <c r="C485" t="s">
        <v>132</v>
      </c>
      <c r="D485" t="s">
        <v>25</v>
      </c>
      <c r="E485" s="118" t="s">
        <v>1423</v>
      </c>
      <c r="F485" s="119">
        <v>0.31472222222222224</v>
      </c>
      <c r="G485" t="s">
        <v>1422</v>
      </c>
      <c r="H485" t="s">
        <v>1337</v>
      </c>
    </row>
    <row r="486" spans="1:8" s="64" customFormat="1">
      <c r="A486">
        <v>11325204</v>
      </c>
      <c r="B486" t="s">
        <v>133</v>
      </c>
      <c r="C486" t="s">
        <v>132</v>
      </c>
      <c r="D486" t="s">
        <v>25</v>
      </c>
      <c r="E486" s="118" t="s">
        <v>1423</v>
      </c>
      <c r="F486" s="119">
        <v>0.93530092592592595</v>
      </c>
      <c r="G486" t="s">
        <v>1421</v>
      </c>
      <c r="H486" t="s">
        <v>1336</v>
      </c>
    </row>
    <row r="487" spans="1:8" s="64" customFormat="1">
      <c r="A487">
        <v>11325204</v>
      </c>
      <c r="B487" t="s">
        <v>133</v>
      </c>
      <c r="C487" t="s">
        <v>132</v>
      </c>
      <c r="D487" t="s">
        <v>25</v>
      </c>
      <c r="E487" s="118" t="s">
        <v>1424</v>
      </c>
      <c r="F487" s="119">
        <v>0.31687500000000002</v>
      </c>
      <c r="G487" t="s">
        <v>1422</v>
      </c>
      <c r="H487" t="s">
        <v>1337</v>
      </c>
    </row>
    <row r="488" spans="1:8" s="64" customFormat="1">
      <c r="A488">
        <v>11347053</v>
      </c>
      <c r="B488" t="s">
        <v>285</v>
      </c>
      <c r="C488" t="s">
        <v>283</v>
      </c>
      <c r="D488" t="s">
        <v>284</v>
      </c>
      <c r="E488" s="118" t="s">
        <v>1420</v>
      </c>
      <c r="F488" s="119">
        <v>0.94493055555555561</v>
      </c>
      <c r="G488" t="s">
        <v>1422</v>
      </c>
      <c r="H488" t="s">
        <v>1337</v>
      </c>
    </row>
    <row r="489" spans="1:8" s="64" customFormat="1">
      <c r="A489">
        <v>11347053</v>
      </c>
      <c r="B489" t="s">
        <v>285</v>
      </c>
      <c r="C489" t="s">
        <v>283</v>
      </c>
      <c r="D489" t="s">
        <v>284</v>
      </c>
      <c r="E489" s="118" t="s">
        <v>1420</v>
      </c>
      <c r="F489" s="119">
        <v>0.62167824074074074</v>
      </c>
      <c r="G489" t="s">
        <v>1421</v>
      </c>
      <c r="H489" t="s">
        <v>1336</v>
      </c>
    </row>
    <row r="490" spans="1:8" s="64" customFormat="1">
      <c r="A490">
        <v>11347053</v>
      </c>
      <c r="B490" t="s">
        <v>285</v>
      </c>
      <c r="C490" t="s">
        <v>283</v>
      </c>
      <c r="D490" t="s">
        <v>284</v>
      </c>
      <c r="E490" s="118" t="s">
        <v>1423</v>
      </c>
      <c r="F490" s="119">
        <v>0.94528935185185192</v>
      </c>
      <c r="G490" t="s">
        <v>1422</v>
      </c>
      <c r="H490" t="s">
        <v>1337</v>
      </c>
    </row>
    <row r="491" spans="1:8" s="64" customFormat="1">
      <c r="A491">
        <v>11347053</v>
      </c>
      <c r="B491" t="s">
        <v>285</v>
      </c>
      <c r="C491" t="s">
        <v>283</v>
      </c>
      <c r="D491" t="s">
        <v>284</v>
      </c>
      <c r="E491" s="118" t="s">
        <v>1423</v>
      </c>
      <c r="F491" s="119">
        <v>0.61546296296296299</v>
      </c>
      <c r="G491" t="s">
        <v>1421</v>
      </c>
      <c r="H491" t="s">
        <v>1336</v>
      </c>
    </row>
    <row r="492" spans="1:8" s="64" customFormat="1">
      <c r="A492">
        <v>11347053</v>
      </c>
      <c r="B492" t="s">
        <v>285</v>
      </c>
      <c r="C492" t="s">
        <v>283</v>
      </c>
      <c r="D492" t="s">
        <v>284</v>
      </c>
      <c r="E492" s="118" t="s">
        <v>1424</v>
      </c>
      <c r="F492" s="119">
        <v>0.94495370370370368</v>
      </c>
      <c r="G492" t="s">
        <v>1422</v>
      </c>
      <c r="H492" t="s">
        <v>1337</v>
      </c>
    </row>
    <row r="493" spans="1:8" s="64" customFormat="1">
      <c r="A493">
        <v>11347053</v>
      </c>
      <c r="B493" t="s">
        <v>285</v>
      </c>
      <c r="C493" t="s">
        <v>283</v>
      </c>
      <c r="D493" t="s">
        <v>284</v>
      </c>
      <c r="E493" s="118" t="s">
        <v>1424</v>
      </c>
      <c r="F493" s="119">
        <v>0.61871527777777779</v>
      </c>
      <c r="G493" t="s">
        <v>1421</v>
      </c>
      <c r="H493" t="s">
        <v>1336</v>
      </c>
    </row>
    <row r="494" spans="1:8" s="64" customFormat="1">
      <c r="A494">
        <v>11347053</v>
      </c>
      <c r="B494" t="s">
        <v>285</v>
      </c>
      <c r="C494" t="s">
        <v>283</v>
      </c>
      <c r="D494" t="s">
        <v>284</v>
      </c>
      <c r="E494" s="118" t="s">
        <v>1425</v>
      </c>
      <c r="F494" s="119">
        <v>0.93994212962962964</v>
      </c>
      <c r="G494" t="s">
        <v>1422</v>
      </c>
      <c r="H494" t="s">
        <v>1337</v>
      </c>
    </row>
    <row r="495" spans="1:8" s="64" customFormat="1">
      <c r="A495">
        <v>11347053</v>
      </c>
      <c r="B495" t="s">
        <v>285</v>
      </c>
      <c r="C495" t="s">
        <v>283</v>
      </c>
      <c r="D495" t="s">
        <v>284</v>
      </c>
      <c r="E495" s="118" t="s">
        <v>1425</v>
      </c>
      <c r="F495" s="119">
        <v>0.62449074074074074</v>
      </c>
      <c r="G495" t="s">
        <v>1421</v>
      </c>
      <c r="H495" t="s">
        <v>1336</v>
      </c>
    </row>
    <row r="496" spans="1:8" s="64" customFormat="1">
      <c r="A496">
        <v>11347053</v>
      </c>
      <c r="B496" t="s">
        <v>285</v>
      </c>
      <c r="C496" t="s">
        <v>283</v>
      </c>
      <c r="D496" t="s">
        <v>284</v>
      </c>
      <c r="E496" s="118" t="s">
        <v>1426</v>
      </c>
      <c r="F496" s="119">
        <v>0.94780092592592602</v>
      </c>
      <c r="G496" t="s">
        <v>1422</v>
      </c>
      <c r="H496" t="s">
        <v>1337</v>
      </c>
    </row>
    <row r="497" spans="1:8" s="64" customFormat="1">
      <c r="A497">
        <v>11347053</v>
      </c>
      <c r="B497" t="s">
        <v>285</v>
      </c>
      <c r="C497" t="s">
        <v>283</v>
      </c>
      <c r="D497" t="s">
        <v>284</v>
      </c>
      <c r="E497" s="118" t="s">
        <v>1426</v>
      </c>
      <c r="F497" s="119">
        <v>0.60665509259259254</v>
      </c>
      <c r="G497" t="s">
        <v>1421</v>
      </c>
      <c r="H497" t="s">
        <v>1336</v>
      </c>
    </row>
    <row r="498" spans="1:8" s="64" customFormat="1">
      <c r="A498">
        <v>11347053</v>
      </c>
      <c r="B498" t="s">
        <v>285</v>
      </c>
      <c r="C498" t="s">
        <v>283</v>
      </c>
      <c r="D498" t="s">
        <v>284</v>
      </c>
      <c r="E498" s="118" t="s">
        <v>1427</v>
      </c>
      <c r="F498" s="119">
        <v>0.9331828703703704</v>
      </c>
      <c r="G498" t="s">
        <v>1422</v>
      </c>
      <c r="H498" t="s">
        <v>1337</v>
      </c>
    </row>
    <row r="499" spans="1:8" s="64" customFormat="1">
      <c r="A499">
        <v>11347053</v>
      </c>
      <c r="B499" t="s">
        <v>285</v>
      </c>
      <c r="C499" t="s">
        <v>283</v>
      </c>
      <c r="D499" t="s">
        <v>284</v>
      </c>
      <c r="E499" s="118" t="s">
        <v>1427</v>
      </c>
      <c r="F499" s="119">
        <v>0.65135416666666668</v>
      </c>
      <c r="G499" t="s">
        <v>1421</v>
      </c>
      <c r="H499" t="s">
        <v>1336</v>
      </c>
    </row>
    <row r="500" spans="1:8" s="64" customFormat="1">
      <c r="A500">
        <v>11370436</v>
      </c>
      <c r="B500" t="s">
        <v>586</v>
      </c>
      <c r="C500" t="s">
        <v>585</v>
      </c>
      <c r="D500" t="s">
        <v>132</v>
      </c>
      <c r="E500" s="118" t="s">
        <v>1420</v>
      </c>
      <c r="F500" s="119">
        <v>0.91861111111111116</v>
      </c>
      <c r="G500" t="s">
        <v>1421</v>
      </c>
      <c r="H500" t="s">
        <v>1336</v>
      </c>
    </row>
    <row r="501" spans="1:8" s="64" customFormat="1">
      <c r="A501">
        <v>11370436</v>
      </c>
      <c r="B501" t="s">
        <v>586</v>
      </c>
      <c r="C501" t="s">
        <v>585</v>
      </c>
      <c r="D501" t="s">
        <v>132</v>
      </c>
      <c r="E501" s="118" t="s">
        <v>1423</v>
      </c>
      <c r="F501" s="119">
        <v>0.31866898148148148</v>
      </c>
      <c r="G501" t="s">
        <v>1422</v>
      </c>
      <c r="H501" t="s">
        <v>1337</v>
      </c>
    </row>
    <row r="502" spans="1:8" s="64" customFormat="1">
      <c r="A502">
        <v>11370436</v>
      </c>
      <c r="B502" t="s">
        <v>586</v>
      </c>
      <c r="C502" t="s">
        <v>585</v>
      </c>
      <c r="D502" t="s">
        <v>132</v>
      </c>
      <c r="E502" s="118" t="s">
        <v>1423</v>
      </c>
      <c r="F502" s="119">
        <v>0.91828703703703696</v>
      </c>
      <c r="G502" t="s">
        <v>1421</v>
      </c>
      <c r="H502" t="s">
        <v>1336</v>
      </c>
    </row>
    <row r="503" spans="1:8" s="64" customFormat="1">
      <c r="A503">
        <v>11370436</v>
      </c>
      <c r="B503" t="s">
        <v>586</v>
      </c>
      <c r="C503" t="s">
        <v>585</v>
      </c>
      <c r="D503" t="s">
        <v>132</v>
      </c>
      <c r="E503" s="118" t="s">
        <v>1424</v>
      </c>
      <c r="F503" s="119">
        <v>0.32143518518518516</v>
      </c>
      <c r="G503" t="s">
        <v>1422</v>
      </c>
      <c r="H503" t="s">
        <v>1337</v>
      </c>
    </row>
    <row r="504" spans="1:8" s="64" customFormat="1">
      <c r="A504">
        <v>11370436</v>
      </c>
      <c r="B504" t="s">
        <v>586</v>
      </c>
      <c r="C504" t="s">
        <v>585</v>
      </c>
      <c r="D504" t="s">
        <v>132</v>
      </c>
      <c r="E504" s="118" t="s">
        <v>1424</v>
      </c>
      <c r="F504" s="119">
        <v>0.91770833333333324</v>
      </c>
      <c r="G504" t="s">
        <v>1421</v>
      </c>
      <c r="H504" t="s">
        <v>1336</v>
      </c>
    </row>
    <row r="505" spans="1:8" s="64" customFormat="1">
      <c r="A505">
        <v>11370436</v>
      </c>
      <c r="B505" t="s">
        <v>586</v>
      </c>
      <c r="C505" t="s">
        <v>585</v>
      </c>
      <c r="D505" t="s">
        <v>132</v>
      </c>
      <c r="E505" s="118" t="s">
        <v>1425</v>
      </c>
      <c r="F505" s="119">
        <v>0.32011574074074073</v>
      </c>
      <c r="G505" t="s">
        <v>1422</v>
      </c>
      <c r="H505" t="s">
        <v>1337</v>
      </c>
    </row>
    <row r="506" spans="1:8" s="64" customFormat="1">
      <c r="A506">
        <v>11370436</v>
      </c>
      <c r="B506" t="s">
        <v>586</v>
      </c>
      <c r="C506" t="s">
        <v>585</v>
      </c>
      <c r="D506" t="s">
        <v>132</v>
      </c>
      <c r="E506" s="118" t="s">
        <v>1425</v>
      </c>
      <c r="F506" s="119">
        <v>0.91357638888888892</v>
      </c>
      <c r="G506" t="s">
        <v>1421</v>
      </c>
      <c r="H506" t="s">
        <v>1336</v>
      </c>
    </row>
    <row r="507" spans="1:8" s="64" customFormat="1">
      <c r="A507">
        <v>11370436</v>
      </c>
      <c r="B507" t="s">
        <v>586</v>
      </c>
      <c r="C507" t="s">
        <v>585</v>
      </c>
      <c r="D507" t="s">
        <v>132</v>
      </c>
      <c r="E507" s="118" t="s">
        <v>1426</v>
      </c>
      <c r="F507" s="119">
        <v>0.32041666666666663</v>
      </c>
      <c r="G507" t="s">
        <v>1422</v>
      </c>
      <c r="H507" t="s">
        <v>1337</v>
      </c>
    </row>
    <row r="508" spans="1:8" s="64" customFormat="1">
      <c r="A508">
        <v>11370436</v>
      </c>
      <c r="B508" t="s">
        <v>586</v>
      </c>
      <c r="C508" t="s">
        <v>585</v>
      </c>
      <c r="D508" t="s">
        <v>132</v>
      </c>
      <c r="E508" s="118" t="s">
        <v>1426</v>
      </c>
      <c r="F508" s="119">
        <v>0.91994212962962962</v>
      </c>
      <c r="G508" t="s">
        <v>1421</v>
      </c>
      <c r="H508" t="s">
        <v>1336</v>
      </c>
    </row>
    <row r="509" spans="1:8" s="64" customFormat="1">
      <c r="A509">
        <v>11370436</v>
      </c>
      <c r="B509" t="s">
        <v>586</v>
      </c>
      <c r="C509" t="s">
        <v>585</v>
      </c>
      <c r="D509" t="s">
        <v>132</v>
      </c>
      <c r="E509" s="118" t="s">
        <v>1427</v>
      </c>
      <c r="F509" s="119">
        <v>0.31913194444444443</v>
      </c>
      <c r="G509" t="s">
        <v>1422</v>
      </c>
      <c r="H509" t="s">
        <v>1337</v>
      </c>
    </row>
    <row r="510" spans="1:8" s="64" customFormat="1">
      <c r="A510">
        <v>11523497</v>
      </c>
      <c r="B510" t="s">
        <v>339</v>
      </c>
      <c r="C510" t="s">
        <v>687</v>
      </c>
      <c r="D510" t="s">
        <v>179</v>
      </c>
      <c r="E510" s="118" t="s">
        <v>1420</v>
      </c>
      <c r="F510" s="119">
        <v>0.81133101851851841</v>
      </c>
      <c r="G510" t="s">
        <v>1422</v>
      </c>
      <c r="H510" t="s">
        <v>1337</v>
      </c>
    </row>
    <row r="511" spans="1:8" s="64" customFormat="1">
      <c r="A511">
        <v>11523497</v>
      </c>
      <c r="B511" t="s">
        <v>339</v>
      </c>
      <c r="C511" t="s">
        <v>687</v>
      </c>
      <c r="D511" t="s">
        <v>179</v>
      </c>
      <c r="E511" s="118" t="s">
        <v>1420</v>
      </c>
      <c r="F511" s="119">
        <v>0.45630787037037041</v>
      </c>
      <c r="G511" t="s">
        <v>1421</v>
      </c>
      <c r="H511" t="s">
        <v>1336</v>
      </c>
    </row>
    <row r="512" spans="1:8" s="64" customFormat="1">
      <c r="A512">
        <v>11523497</v>
      </c>
      <c r="B512" t="s">
        <v>339</v>
      </c>
      <c r="C512" t="s">
        <v>687</v>
      </c>
      <c r="D512" t="s">
        <v>179</v>
      </c>
      <c r="E512" s="118" t="s">
        <v>1423</v>
      </c>
      <c r="F512" s="119">
        <v>0.80799768518518522</v>
      </c>
      <c r="G512" t="s">
        <v>1422</v>
      </c>
      <c r="H512" t="s">
        <v>1337</v>
      </c>
    </row>
    <row r="513" spans="1:8" s="64" customFormat="1">
      <c r="A513">
        <v>11523497</v>
      </c>
      <c r="B513" t="s">
        <v>339</v>
      </c>
      <c r="C513" t="s">
        <v>687</v>
      </c>
      <c r="D513" t="s">
        <v>179</v>
      </c>
      <c r="E513" s="118" t="s">
        <v>1423</v>
      </c>
      <c r="F513" s="119">
        <v>0.301875</v>
      </c>
      <c r="G513" t="s">
        <v>1421</v>
      </c>
      <c r="H513" t="s">
        <v>1336</v>
      </c>
    </row>
    <row r="514" spans="1:8" s="64" customFormat="1">
      <c r="A514">
        <v>11523497</v>
      </c>
      <c r="B514" t="s">
        <v>339</v>
      </c>
      <c r="C514" t="s">
        <v>687</v>
      </c>
      <c r="D514" t="s">
        <v>179</v>
      </c>
      <c r="E514" s="118" t="s">
        <v>1424</v>
      </c>
      <c r="F514" s="119">
        <v>0.80461805555555566</v>
      </c>
      <c r="G514" t="s">
        <v>1422</v>
      </c>
      <c r="H514" t="s">
        <v>1337</v>
      </c>
    </row>
    <row r="515" spans="1:8" s="64" customFormat="1">
      <c r="A515">
        <v>11523497</v>
      </c>
      <c r="B515" t="s">
        <v>339</v>
      </c>
      <c r="C515" t="s">
        <v>687</v>
      </c>
      <c r="D515" t="s">
        <v>179</v>
      </c>
      <c r="E515" s="118" t="s">
        <v>1424</v>
      </c>
      <c r="F515" s="119">
        <v>0.30016203703703703</v>
      </c>
      <c r="G515" t="s">
        <v>1421</v>
      </c>
      <c r="H515" t="s">
        <v>1336</v>
      </c>
    </row>
    <row r="516" spans="1:8" s="64" customFormat="1">
      <c r="A516">
        <v>11523497</v>
      </c>
      <c r="B516" t="s">
        <v>339</v>
      </c>
      <c r="C516" t="s">
        <v>687</v>
      </c>
      <c r="D516" t="s">
        <v>179</v>
      </c>
      <c r="E516" s="118" t="s">
        <v>1425</v>
      </c>
      <c r="F516" s="119">
        <v>0.80834490740740739</v>
      </c>
      <c r="G516" t="s">
        <v>1422</v>
      </c>
      <c r="H516" t="s">
        <v>1337</v>
      </c>
    </row>
    <row r="517" spans="1:8" s="64" customFormat="1">
      <c r="A517">
        <v>11523497</v>
      </c>
      <c r="B517" t="s">
        <v>339</v>
      </c>
      <c r="C517" t="s">
        <v>687</v>
      </c>
      <c r="D517" t="s">
        <v>179</v>
      </c>
      <c r="E517" s="118" t="s">
        <v>1425</v>
      </c>
      <c r="F517" s="119">
        <v>0.30615740740740743</v>
      </c>
      <c r="G517" t="s">
        <v>1421</v>
      </c>
      <c r="H517" t="s">
        <v>1336</v>
      </c>
    </row>
    <row r="518" spans="1:8" s="64" customFormat="1">
      <c r="A518">
        <v>11523497</v>
      </c>
      <c r="B518" t="s">
        <v>339</v>
      </c>
      <c r="C518" t="s">
        <v>687</v>
      </c>
      <c r="D518" t="s">
        <v>179</v>
      </c>
      <c r="E518" s="118" t="s">
        <v>1426</v>
      </c>
      <c r="F518" s="119">
        <v>0.81415509259259267</v>
      </c>
      <c r="G518" t="s">
        <v>1422</v>
      </c>
      <c r="H518" t="s">
        <v>1337</v>
      </c>
    </row>
    <row r="519" spans="1:8" s="64" customFormat="1">
      <c r="A519">
        <v>11523497</v>
      </c>
      <c r="B519" t="s">
        <v>339</v>
      </c>
      <c r="C519" t="s">
        <v>687</v>
      </c>
      <c r="D519" t="s">
        <v>179</v>
      </c>
      <c r="E519" s="118" t="s">
        <v>1426</v>
      </c>
      <c r="F519" s="119">
        <v>0.30197916666666663</v>
      </c>
      <c r="G519" t="s">
        <v>1421</v>
      </c>
      <c r="H519" t="s">
        <v>1336</v>
      </c>
    </row>
    <row r="520" spans="1:8" s="64" customFormat="1">
      <c r="A520">
        <v>11656057</v>
      </c>
      <c r="B520" t="s">
        <v>504</v>
      </c>
      <c r="C520" t="s">
        <v>502</v>
      </c>
      <c r="D520" t="s">
        <v>503</v>
      </c>
      <c r="E520" s="118" t="s">
        <v>1420</v>
      </c>
      <c r="F520" s="119">
        <v>0.92013888888888884</v>
      </c>
      <c r="G520" t="s">
        <v>1421</v>
      </c>
      <c r="H520" t="s">
        <v>1336</v>
      </c>
    </row>
    <row r="521" spans="1:8" s="64" customFormat="1">
      <c r="A521">
        <v>11656057</v>
      </c>
      <c r="B521" t="s">
        <v>504</v>
      </c>
      <c r="C521" t="s">
        <v>502</v>
      </c>
      <c r="D521" t="s">
        <v>503</v>
      </c>
      <c r="E521" s="118" t="s">
        <v>1423</v>
      </c>
      <c r="F521" s="119">
        <v>0.32199074074074074</v>
      </c>
      <c r="G521" t="s">
        <v>1422</v>
      </c>
      <c r="H521" t="s">
        <v>1337</v>
      </c>
    </row>
    <row r="522" spans="1:8" s="64" customFormat="1">
      <c r="A522">
        <v>11656057</v>
      </c>
      <c r="B522" t="s">
        <v>504</v>
      </c>
      <c r="C522" t="s">
        <v>502</v>
      </c>
      <c r="D522" t="s">
        <v>503</v>
      </c>
      <c r="E522" s="118" t="s">
        <v>1423</v>
      </c>
      <c r="F522" s="119">
        <v>0.9199652777777777</v>
      </c>
      <c r="G522" t="s">
        <v>1421</v>
      </c>
      <c r="H522" t="s">
        <v>1336</v>
      </c>
    </row>
    <row r="523" spans="1:8" s="64" customFormat="1">
      <c r="A523">
        <v>11656057</v>
      </c>
      <c r="B523" t="s">
        <v>504</v>
      </c>
      <c r="C523" t="s">
        <v>502</v>
      </c>
      <c r="D523" t="s">
        <v>503</v>
      </c>
      <c r="E523" s="118" t="s">
        <v>1424</v>
      </c>
      <c r="F523" s="119">
        <v>0.3259259259259259</v>
      </c>
      <c r="G523" t="s">
        <v>1422</v>
      </c>
      <c r="H523" t="s">
        <v>1337</v>
      </c>
    </row>
    <row r="524" spans="1:8" s="64" customFormat="1">
      <c r="A524">
        <v>11656057</v>
      </c>
      <c r="B524" t="s">
        <v>504</v>
      </c>
      <c r="C524" t="s">
        <v>502</v>
      </c>
      <c r="D524" t="s">
        <v>503</v>
      </c>
      <c r="E524" s="118" t="s">
        <v>1424</v>
      </c>
      <c r="F524" s="119">
        <v>0.91923611111111114</v>
      </c>
      <c r="G524" t="s">
        <v>1421</v>
      </c>
      <c r="H524" t="s">
        <v>1336</v>
      </c>
    </row>
    <row r="525" spans="1:8" s="64" customFormat="1">
      <c r="A525">
        <v>11656057</v>
      </c>
      <c r="B525" t="s">
        <v>504</v>
      </c>
      <c r="C525" t="s">
        <v>502</v>
      </c>
      <c r="D525" t="s">
        <v>503</v>
      </c>
      <c r="E525" s="118" t="s">
        <v>1425</v>
      </c>
      <c r="F525" s="119">
        <v>0.32678240740740744</v>
      </c>
      <c r="G525" t="s">
        <v>1422</v>
      </c>
      <c r="H525" t="s">
        <v>1337</v>
      </c>
    </row>
    <row r="526" spans="1:8" s="64" customFormat="1">
      <c r="A526">
        <v>11656057</v>
      </c>
      <c r="B526" t="s">
        <v>504</v>
      </c>
      <c r="C526" t="s">
        <v>502</v>
      </c>
      <c r="D526" t="s">
        <v>503</v>
      </c>
      <c r="E526" s="118" t="s">
        <v>1425</v>
      </c>
      <c r="F526" s="119">
        <v>0.92137731481481477</v>
      </c>
      <c r="G526" t="s">
        <v>1421</v>
      </c>
      <c r="H526" t="s">
        <v>1336</v>
      </c>
    </row>
    <row r="527" spans="1:8" s="64" customFormat="1">
      <c r="A527">
        <v>11656057</v>
      </c>
      <c r="B527" t="s">
        <v>504</v>
      </c>
      <c r="C527" t="s">
        <v>502</v>
      </c>
      <c r="D527" t="s">
        <v>503</v>
      </c>
      <c r="E527" s="118" t="s">
        <v>1426</v>
      </c>
      <c r="F527" s="119">
        <v>0.32297453703703705</v>
      </c>
      <c r="G527" t="s">
        <v>1422</v>
      </c>
      <c r="H527" t="s">
        <v>1337</v>
      </c>
    </row>
    <row r="528" spans="1:8" s="64" customFormat="1">
      <c r="A528">
        <v>11656057</v>
      </c>
      <c r="B528" t="s">
        <v>504</v>
      </c>
      <c r="C528" t="s">
        <v>502</v>
      </c>
      <c r="D528" t="s">
        <v>503</v>
      </c>
      <c r="E528" s="118" t="s">
        <v>1426</v>
      </c>
      <c r="F528" s="119">
        <v>0.92123842592592586</v>
      </c>
      <c r="G528" t="s">
        <v>1421</v>
      </c>
      <c r="H528" t="s">
        <v>1336</v>
      </c>
    </row>
    <row r="529" spans="1:8" s="64" customFormat="1">
      <c r="A529">
        <v>11656057</v>
      </c>
      <c r="B529" t="s">
        <v>504</v>
      </c>
      <c r="C529" t="s">
        <v>502</v>
      </c>
      <c r="D529" t="s">
        <v>503</v>
      </c>
      <c r="E529" s="118" t="s">
        <v>1427</v>
      </c>
      <c r="F529" s="119">
        <v>0.3210763888888889</v>
      </c>
      <c r="G529" t="s">
        <v>1422</v>
      </c>
      <c r="H529" t="s">
        <v>1337</v>
      </c>
    </row>
    <row r="530" spans="1:8" s="64" customFormat="1">
      <c r="A530">
        <v>11659510</v>
      </c>
      <c r="B530" t="s">
        <v>667</v>
      </c>
      <c r="C530" t="s">
        <v>33</v>
      </c>
      <c r="D530" t="s">
        <v>33</v>
      </c>
      <c r="E530" s="118" t="s">
        <v>1420</v>
      </c>
      <c r="F530" s="119">
        <v>0.94127314814814811</v>
      </c>
      <c r="G530" t="s">
        <v>1422</v>
      </c>
      <c r="H530" t="s">
        <v>1337</v>
      </c>
    </row>
    <row r="531" spans="1:8" s="64" customFormat="1">
      <c r="A531">
        <v>11659510</v>
      </c>
      <c r="B531" t="s">
        <v>667</v>
      </c>
      <c r="C531" t="s">
        <v>33</v>
      </c>
      <c r="D531" t="s">
        <v>33</v>
      </c>
      <c r="E531" s="118" t="s">
        <v>1420</v>
      </c>
      <c r="F531" s="119">
        <v>0.61578703703703697</v>
      </c>
      <c r="G531" t="s">
        <v>1421</v>
      </c>
      <c r="H531" t="s">
        <v>1336</v>
      </c>
    </row>
    <row r="532" spans="1:8" s="64" customFormat="1">
      <c r="A532">
        <v>11659510</v>
      </c>
      <c r="B532" t="s">
        <v>667</v>
      </c>
      <c r="C532" t="s">
        <v>33</v>
      </c>
      <c r="D532" t="s">
        <v>33</v>
      </c>
      <c r="E532" s="118" t="s">
        <v>1423</v>
      </c>
      <c r="F532" s="119">
        <v>0.9446296296296296</v>
      </c>
      <c r="G532" t="s">
        <v>1422</v>
      </c>
      <c r="H532" t="s">
        <v>1337</v>
      </c>
    </row>
    <row r="533" spans="1:8" s="64" customFormat="1">
      <c r="A533">
        <v>11659510</v>
      </c>
      <c r="B533" t="s">
        <v>667</v>
      </c>
      <c r="C533" t="s">
        <v>33</v>
      </c>
      <c r="D533" t="s">
        <v>33</v>
      </c>
      <c r="E533" s="118" t="s">
        <v>1423</v>
      </c>
      <c r="F533" s="119">
        <v>0.61706018518518524</v>
      </c>
      <c r="G533" t="s">
        <v>1421</v>
      </c>
      <c r="H533" t="s">
        <v>1336</v>
      </c>
    </row>
    <row r="534" spans="1:8" s="64" customFormat="1">
      <c r="A534">
        <v>11659510</v>
      </c>
      <c r="B534" t="s">
        <v>667</v>
      </c>
      <c r="C534" t="s">
        <v>33</v>
      </c>
      <c r="D534" t="s">
        <v>33</v>
      </c>
      <c r="E534" s="118" t="s">
        <v>1424</v>
      </c>
      <c r="F534" s="119">
        <v>0.94067129629629631</v>
      </c>
      <c r="G534" t="s">
        <v>1422</v>
      </c>
      <c r="H534" t="s">
        <v>1337</v>
      </c>
    </row>
    <row r="535" spans="1:8" s="64" customFormat="1">
      <c r="A535">
        <v>11659510</v>
      </c>
      <c r="B535" t="s">
        <v>667</v>
      </c>
      <c r="C535" t="s">
        <v>33</v>
      </c>
      <c r="D535" t="s">
        <v>33</v>
      </c>
      <c r="E535" s="118" t="s">
        <v>1424</v>
      </c>
      <c r="F535" s="119">
        <v>0.57582175925925927</v>
      </c>
      <c r="G535" t="s">
        <v>1421</v>
      </c>
      <c r="H535" t="s">
        <v>1336</v>
      </c>
    </row>
    <row r="536" spans="1:8" s="64" customFormat="1">
      <c r="A536">
        <v>11659510</v>
      </c>
      <c r="B536" t="s">
        <v>667</v>
      </c>
      <c r="C536" t="s">
        <v>33</v>
      </c>
      <c r="D536" t="s">
        <v>33</v>
      </c>
      <c r="E536" s="118" t="s">
        <v>1425</v>
      </c>
      <c r="F536" s="119">
        <v>0.94292824074074078</v>
      </c>
      <c r="G536" t="s">
        <v>1422</v>
      </c>
      <c r="H536" t="s">
        <v>1337</v>
      </c>
    </row>
    <row r="537" spans="1:8" s="64" customFormat="1">
      <c r="A537">
        <v>11659510</v>
      </c>
      <c r="B537" t="s">
        <v>667</v>
      </c>
      <c r="C537" t="s">
        <v>33</v>
      </c>
      <c r="D537" t="s">
        <v>33</v>
      </c>
      <c r="E537" s="118" t="s">
        <v>1425</v>
      </c>
      <c r="F537" s="119">
        <v>0.61818287037037034</v>
      </c>
      <c r="G537" t="s">
        <v>1421</v>
      </c>
      <c r="H537" t="s">
        <v>1336</v>
      </c>
    </row>
    <row r="538" spans="1:8" s="64" customFormat="1">
      <c r="A538">
        <v>11659510</v>
      </c>
      <c r="B538" t="s">
        <v>667</v>
      </c>
      <c r="C538" t="s">
        <v>33</v>
      </c>
      <c r="D538" t="s">
        <v>33</v>
      </c>
      <c r="E538" s="118" t="s">
        <v>1426</v>
      </c>
      <c r="F538" s="119">
        <v>0.93716435185185187</v>
      </c>
      <c r="G538" t="s">
        <v>1422</v>
      </c>
      <c r="H538" t="s">
        <v>1337</v>
      </c>
    </row>
    <row r="539" spans="1:8" s="64" customFormat="1">
      <c r="A539">
        <v>11659510</v>
      </c>
      <c r="B539" t="s">
        <v>667</v>
      </c>
      <c r="C539" t="s">
        <v>33</v>
      </c>
      <c r="D539" t="s">
        <v>33</v>
      </c>
      <c r="E539" s="118" t="s">
        <v>1426</v>
      </c>
      <c r="F539" s="119">
        <v>0.6170254629629629</v>
      </c>
      <c r="G539" t="s">
        <v>1421</v>
      </c>
      <c r="H539" t="s">
        <v>1336</v>
      </c>
    </row>
    <row r="540" spans="1:8" s="64" customFormat="1">
      <c r="A540">
        <v>11659510</v>
      </c>
      <c r="B540" t="s">
        <v>667</v>
      </c>
      <c r="C540" t="s">
        <v>33</v>
      </c>
      <c r="D540" t="s">
        <v>33</v>
      </c>
      <c r="E540" s="118" t="s">
        <v>1427</v>
      </c>
      <c r="F540" s="119">
        <v>0.888738425925926</v>
      </c>
      <c r="G540" t="s">
        <v>1422</v>
      </c>
      <c r="H540" t="s">
        <v>1337</v>
      </c>
    </row>
    <row r="541" spans="1:8" s="64" customFormat="1">
      <c r="A541">
        <v>11659510</v>
      </c>
      <c r="B541" t="s">
        <v>667</v>
      </c>
      <c r="C541" t="s">
        <v>33</v>
      </c>
      <c r="D541" t="s">
        <v>33</v>
      </c>
      <c r="E541" s="118" t="s">
        <v>1427</v>
      </c>
      <c r="F541" s="119">
        <v>0.56706018518518519</v>
      </c>
      <c r="G541" t="s">
        <v>1421</v>
      </c>
      <c r="H541" t="s">
        <v>1336</v>
      </c>
    </row>
    <row r="542" spans="1:8" s="64" customFormat="1">
      <c r="A542">
        <v>11660411</v>
      </c>
      <c r="B542" t="s">
        <v>269</v>
      </c>
      <c r="C542" t="s">
        <v>267</v>
      </c>
      <c r="D542" t="s">
        <v>268</v>
      </c>
      <c r="E542" s="118" t="s">
        <v>1420</v>
      </c>
      <c r="F542" s="119">
        <v>0.9497916666666667</v>
      </c>
      <c r="G542" t="s">
        <v>1422</v>
      </c>
      <c r="H542" t="s">
        <v>1337</v>
      </c>
    </row>
    <row r="543" spans="1:8" s="64" customFormat="1">
      <c r="A543">
        <v>11660411</v>
      </c>
      <c r="B543" t="s">
        <v>269</v>
      </c>
      <c r="C543" t="s">
        <v>267</v>
      </c>
      <c r="D543" t="s">
        <v>268</v>
      </c>
      <c r="E543" s="118" t="s">
        <v>1420</v>
      </c>
      <c r="F543" s="119">
        <v>0.60783564814814817</v>
      </c>
      <c r="G543" t="s">
        <v>1421</v>
      </c>
      <c r="H543" t="s">
        <v>1336</v>
      </c>
    </row>
    <row r="544" spans="1:8" s="64" customFormat="1">
      <c r="A544">
        <v>11660411</v>
      </c>
      <c r="B544" t="s">
        <v>269</v>
      </c>
      <c r="C544" t="s">
        <v>267</v>
      </c>
      <c r="D544" t="s">
        <v>268</v>
      </c>
      <c r="E544" s="118" t="s">
        <v>1423</v>
      </c>
      <c r="F544" s="119">
        <v>0.94874999999999998</v>
      </c>
      <c r="G544" t="s">
        <v>1422</v>
      </c>
      <c r="H544" t="s">
        <v>1337</v>
      </c>
    </row>
    <row r="545" spans="1:8" s="64" customFormat="1">
      <c r="A545">
        <v>11660411</v>
      </c>
      <c r="B545" t="s">
        <v>269</v>
      </c>
      <c r="C545" t="s">
        <v>267</v>
      </c>
      <c r="D545" t="s">
        <v>268</v>
      </c>
      <c r="E545" s="118" t="s">
        <v>1423</v>
      </c>
      <c r="F545" s="119">
        <v>0.60820601851851852</v>
      </c>
      <c r="G545" t="s">
        <v>1421</v>
      </c>
      <c r="H545" t="s">
        <v>1336</v>
      </c>
    </row>
    <row r="546" spans="1:8" s="64" customFormat="1">
      <c r="A546">
        <v>11660411</v>
      </c>
      <c r="B546" t="s">
        <v>269</v>
      </c>
      <c r="C546" t="s">
        <v>267</v>
      </c>
      <c r="D546" t="s">
        <v>268</v>
      </c>
      <c r="E546" s="118" t="s">
        <v>1424</v>
      </c>
      <c r="F546" s="119">
        <v>0.94729166666666664</v>
      </c>
      <c r="G546" t="s">
        <v>1422</v>
      </c>
      <c r="H546" t="s">
        <v>1337</v>
      </c>
    </row>
    <row r="547" spans="1:8" s="64" customFormat="1">
      <c r="A547">
        <v>11660411</v>
      </c>
      <c r="B547" t="s">
        <v>269</v>
      </c>
      <c r="C547" t="s">
        <v>267</v>
      </c>
      <c r="D547" t="s">
        <v>268</v>
      </c>
      <c r="E547" s="118" t="s">
        <v>1424</v>
      </c>
      <c r="F547" s="119">
        <v>0.61020833333333335</v>
      </c>
      <c r="G547" t="s">
        <v>1421</v>
      </c>
      <c r="H547" t="s">
        <v>1336</v>
      </c>
    </row>
    <row r="548" spans="1:8" s="64" customFormat="1">
      <c r="A548">
        <v>11660411</v>
      </c>
      <c r="B548" t="s">
        <v>269</v>
      </c>
      <c r="C548" t="s">
        <v>267</v>
      </c>
      <c r="D548" t="s">
        <v>268</v>
      </c>
      <c r="E548" s="118" t="s">
        <v>1425</v>
      </c>
      <c r="F548" s="119">
        <v>0.95167824074074081</v>
      </c>
      <c r="G548" t="s">
        <v>1422</v>
      </c>
      <c r="H548" t="s">
        <v>1337</v>
      </c>
    </row>
    <row r="549" spans="1:8" s="64" customFormat="1">
      <c r="A549">
        <v>11660411</v>
      </c>
      <c r="B549" t="s">
        <v>269</v>
      </c>
      <c r="C549" t="s">
        <v>267</v>
      </c>
      <c r="D549" t="s">
        <v>268</v>
      </c>
      <c r="E549" s="118" t="s">
        <v>1425</v>
      </c>
      <c r="F549" s="119">
        <v>0.6130092592592592</v>
      </c>
      <c r="G549" t="s">
        <v>1421</v>
      </c>
      <c r="H549" t="s">
        <v>1336</v>
      </c>
    </row>
    <row r="550" spans="1:8" s="64" customFormat="1">
      <c r="A550">
        <v>11660411</v>
      </c>
      <c r="B550" t="s">
        <v>269</v>
      </c>
      <c r="C550" t="s">
        <v>267</v>
      </c>
      <c r="D550" t="s">
        <v>268</v>
      </c>
      <c r="E550" s="118" t="s">
        <v>1426</v>
      </c>
      <c r="F550" s="119">
        <v>0.95013888888888898</v>
      </c>
      <c r="G550" t="s">
        <v>1422</v>
      </c>
      <c r="H550" t="s">
        <v>1337</v>
      </c>
    </row>
    <row r="551" spans="1:8" s="64" customFormat="1">
      <c r="A551">
        <v>11660411</v>
      </c>
      <c r="B551" t="s">
        <v>269</v>
      </c>
      <c r="C551" t="s">
        <v>267</v>
      </c>
      <c r="D551" t="s">
        <v>268</v>
      </c>
      <c r="E551" s="118" t="s">
        <v>1426</v>
      </c>
      <c r="F551" s="119">
        <v>0.60811342592592588</v>
      </c>
      <c r="G551" t="s">
        <v>1421</v>
      </c>
      <c r="H551" t="s">
        <v>1336</v>
      </c>
    </row>
    <row r="552" spans="1:8" s="64" customFormat="1">
      <c r="A552">
        <v>11660411</v>
      </c>
      <c r="B552" t="s">
        <v>269</v>
      </c>
      <c r="C552" t="s">
        <v>267</v>
      </c>
      <c r="D552" t="s">
        <v>268</v>
      </c>
      <c r="E552" s="118" t="s">
        <v>1427</v>
      </c>
      <c r="F552" s="119">
        <v>0.94651620370370371</v>
      </c>
      <c r="G552" t="s">
        <v>1422</v>
      </c>
      <c r="H552" t="s">
        <v>1337</v>
      </c>
    </row>
    <row r="553" spans="1:8" s="64" customFormat="1">
      <c r="A553">
        <v>11660411</v>
      </c>
      <c r="B553" t="s">
        <v>269</v>
      </c>
      <c r="C553" t="s">
        <v>267</v>
      </c>
      <c r="D553" t="s">
        <v>268</v>
      </c>
      <c r="E553" s="118" t="s">
        <v>1427</v>
      </c>
      <c r="F553" s="119">
        <v>0.61135416666666664</v>
      </c>
      <c r="G553" t="s">
        <v>1421</v>
      </c>
      <c r="H553" t="s">
        <v>1336</v>
      </c>
    </row>
    <row r="554" spans="1:8" s="64" customFormat="1">
      <c r="A554">
        <v>12020450</v>
      </c>
      <c r="B554" t="s">
        <v>802</v>
      </c>
      <c r="C554" t="s">
        <v>801</v>
      </c>
      <c r="D554" t="s">
        <v>785</v>
      </c>
      <c r="E554" s="118" t="s">
        <v>1420</v>
      </c>
      <c r="F554" s="119">
        <v>0.77932870370370377</v>
      </c>
      <c r="G554" t="s">
        <v>1422</v>
      </c>
      <c r="H554" t="s">
        <v>1337</v>
      </c>
    </row>
    <row r="555" spans="1:8" s="64" customFormat="1">
      <c r="A555">
        <v>12020450</v>
      </c>
      <c r="B555" t="s">
        <v>802</v>
      </c>
      <c r="C555" t="s">
        <v>801</v>
      </c>
      <c r="D555" t="s">
        <v>785</v>
      </c>
      <c r="E555" s="118" t="s">
        <v>1420</v>
      </c>
      <c r="F555" s="119">
        <v>0.36896990740740737</v>
      </c>
      <c r="G555" t="s">
        <v>1421</v>
      </c>
      <c r="H555" t="s">
        <v>1336</v>
      </c>
    </row>
    <row r="556" spans="1:8" s="64" customFormat="1">
      <c r="A556">
        <v>12020450</v>
      </c>
      <c r="B556" t="s">
        <v>802</v>
      </c>
      <c r="C556" t="s">
        <v>801</v>
      </c>
      <c r="D556" t="s">
        <v>785</v>
      </c>
      <c r="E556" s="118" t="s">
        <v>1423</v>
      </c>
      <c r="F556" s="119">
        <v>0.77114583333333331</v>
      </c>
      <c r="G556" t="s">
        <v>1422</v>
      </c>
      <c r="H556" t="s">
        <v>1337</v>
      </c>
    </row>
    <row r="557" spans="1:8" s="64" customFormat="1">
      <c r="A557">
        <v>12020450</v>
      </c>
      <c r="B557" t="s">
        <v>802</v>
      </c>
      <c r="C557" t="s">
        <v>801</v>
      </c>
      <c r="D557" t="s">
        <v>785</v>
      </c>
      <c r="E557" s="118" t="s">
        <v>1423</v>
      </c>
      <c r="F557" s="119">
        <v>0.35831018518518515</v>
      </c>
      <c r="G557" t="s">
        <v>1421</v>
      </c>
      <c r="H557" t="s">
        <v>1336</v>
      </c>
    </row>
    <row r="558" spans="1:8" s="64" customFormat="1">
      <c r="A558">
        <v>12020450</v>
      </c>
      <c r="B558" t="s">
        <v>802</v>
      </c>
      <c r="C558" t="s">
        <v>801</v>
      </c>
      <c r="D558" t="s">
        <v>785</v>
      </c>
      <c r="E558" s="118" t="s">
        <v>1424</v>
      </c>
      <c r="F558" s="119">
        <v>0.773900462962963</v>
      </c>
      <c r="G558" t="s">
        <v>1422</v>
      </c>
      <c r="H558" t="s">
        <v>1337</v>
      </c>
    </row>
    <row r="559" spans="1:8" s="64" customFormat="1">
      <c r="A559">
        <v>12020450</v>
      </c>
      <c r="B559" t="s">
        <v>802</v>
      </c>
      <c r="C559" t="s">
        <v>801</v>
      </c>
      <c r="D559" t="s">
        <v>785</v>
      </c>
      <c r="E559" s="118" t="s">
        <v>1424</v>
      </c>
      <c r="F559" s="119">
        <v>0.36357638888888894</v>
      </c>
      <c r="G559" t="s">
        <v>1421</v>
      </c>
      <c r="H559" t="s">
        <v>1336</v>
      </c>
    </row>
    <row r="560" spans="1:8" s="64" customFormat="1">
      <c r="A560">
        <v>12020450</v>
      </c>
      <c r="B560" t="s">
        <v>802</v>
      </c>
      <c r="C560" t="s">
        <v>801</v>
      </c>
      <c r="D560" t="s">
        <v>785</v>
      </c>
      <c r="E560" s="118" t="s">
        <v>1425</v>
      </c>
      <c r="F560" s="119">
        <v>0.77729166666666671</v>
      </c>
      <c r="G560" t="s">
        <v>1422</v>
      </c>
      <c r="H560" t="s">
        <v>1337</v>
      </c>
    </row>
    <row r="561" spans="1:8" s="64" customFormat="1">
      <c r="A561">
        <v>12020450</v>
      </c>
      <c r="B561" t="s">
        <v>802</v>
      </c>
      <c r="C561" t="s">
        <v>801</v>
      </c>
      <c r="D561" t="s">
        <v>785</v>
      </c>
      <c r="E561" s="118" t="s">
        <v>1425</v>
      </c>
      <c r="F561" s="119">
        <v>0.36394675925925929</v>
      </c>
      <c r="G561" t="s">
        <v>1421</v>
      </c>
      <c r="H561" t="s">
        <v>1336</v>
      </c>
    </row>
    <row r="562" spans="1:8" s="64" customFormat="1">
      <c r="A562">
        <v>12020450</v>
      </c>
      <c r="B562" t="s">
        <v>802</v>
      </c>
      <c r="C562" t="s">
        <v>801</v>
      </c>
      <c r="D562" t="s">
        <v>785</v>
      </c>
      <c r="E562" s="118" t="s">
        <v>1426</v>
      </c>
      <c r="F562" s="119">
        <v>0.75525462962962964</v>
      </c>
      <c r="G562" t="s">
        <v>1422</v>
      </c>
      <c r="H562" t="s">
        <v>1337</v>
      </c>
    </row>
    <row r="563" spans="1:8" s="64" customFormat="1">
      <c r="A563">
        <v>12020450</v>
      </c>
      <c r="B563" t="s">
        <v>802</v>
      </c>
      <c r="C563" t="s">
        <v>801</v>
      </c>
      <c r="D563" t="s">
        <v>785</v>
      </c>
      <c r="E563" s="118" t="s">
        <v>1426</v>
      </c>
      <c r="F563" s="119">
        <v>0.36821759259259257</v>
      </c>
      <c r="G563" t="s">
        <v>1421</v>
      </c>
      <c r="H563" t="s">
        <v>1336</v>
      </c>
    </row>
    <row r="564" spans="1:8" s="64" customFormat="1">
      <c r="A564">
        <v>12093149</v>
      </c>
      <c r="B564" t="s">
        <v>1140</v>
      </c>
      <c r="C564" t="s">
        <v>69</v>
      </c>
      <c r="D564" t="s">
        <v>267</v>
      </c>
      <c r="E564" s="118" t="s">
        <v>1420</v>
      </c>
      <c r="F564" s="119">
        <v>0.91502314814814811</v>
      </c>
      <c r="G564" t="s">
        <v>1421</v>
      </c>
      <c r="H564" t="s">
        <v>1336</v>
      </c>
    </row>
    <row r="565" spans="1:8" s="64" customFormat="1">
      <c r="A565">
        <v>12093149</v>
      </c>
      <c r="B565" t="s">
        <v>1140</v>
      </c>
      <c r="C565" t="s">
        <v>69</v>
      </c>
      <c r="D565" t="s">
        <v>267</v>
      </c>
      <c r="E565" s="118" t="s">
        <v>1423</v>
      </c>
      <c r="F565" s="119">
        <v>0.32420138888888889</v>
      </c>
      <c r="G565" t="s">
        <v>1422</v>
      </c>
      <c r="H565" t="s">
        <v>1337</v>
      </c>
    </row>
    <row r="566" spans="1:8" s="64" customFormat="1">
      <c r="A566">
        <v>12093149</v>
      </c>
      <c r="B566" t="s">
        <v>1140</v>
      </c>
      <c r="C566" t="s">
        <v>69</v>
      </c>
      <c r="D566" t="s">
        <v>267</v>
      </c>
      <c r="E566" s="118" t="s">
        <v>1423</v>
      </c>
      <c r="F566" s="119">
        <v>0.91811342592592593</v>
      </c>
      <c r="G566" t="s">
        <v>1421</v>
      </c>
      <c r="H566" t="s">
        <v>1336</v>
      </c>
    </row>
    <row r="567" spans="1:8" s="64" customFormat="1">
      <c r="A567">
        <v>12093149</v>
      </c>
      <c r="B567" t="s">
        <v>1140</v>
      </c>
      <c r="C567" t="s">
        <v>69</v>
      </c>
      <c r="D567" t="s">
        <v>267</v>
      </c>
      <c r="E567" s="118" t="s">
        <v>1424</v>
      </c>
      <c r="F567" s="119">
        <v>0.32450231481481479</v>
      </c>
      <c r="G567" t="s">
        <v>1422</v>
      </c>
      <c r="H567" t="s">
        <v>1337</v>
      </c>
    </row>
    <row r="568" spans="1:8" s="64" customFormat="1">
      <c r="A568">
        <v>12093149</v>
      </c>
      <c r="B568" t="s">
        <v>1140</v>
      </c>
      <c r="C568" t="s">
        <v>69</v>
      </c>
      <c r="D568" t="s">
        <v>267</v>
      </c>
      <c r="E568" s="118" t="s">
        <v>1424</v>
      </c>
      <c r="F568" s="119">
        <v>0.91859953703703701</v>
      </c>
      <c r="G568" t="s">
        <v>1421</v>
      </c>
      <c r="H568" t="s">
        <v>1336</v>
      </c>
    </row>
    <row r="569" spans="1:8" s="64" customFormat="1">
      <c r="A569">
        <v>12093149</v>
      </c>
      <c r="B569" t="s">
        <v>1140</v>
      </c>
      <c r="C569" t="s">
        <v>69</v>
      </c>
      <c r="D569" t="s">
        <v>267</v>
      </c>
      <c r="E569" s="118" t="s">
        <v>1425</v>
      </c>
      <c r="F569" s="119">
        <v>0.3288773148148148</v>
      </c>
      <c r="G569" t="s">
        <v>1422</v>
      </c>
      <c r="H569" t="s">
        <v>1337</v>
      </c>
    </row>
    <row r="570" spans="1:8" s="64" customFormat="1">
      <c r="A570">
        <v>12093149</v>
      </c>
      <c r="B570" t="s">
        <v>1140</v>
      </c>
      <c r="C570" t="s">
        <v>69</v>
      </c>
      <c r="D570" t="s">
        <v>267</v>
      </c>
      <c r="E570" s="118" t="s">
        <v>1425</v>
      </c>
      <c r="F570" s="119">
        <v>0.91442129629629632</v>
      </c>
      <c r="G570" t="s">
        <v>1421</v>
      </c>
      <c r="H570" t="s">
        <v>1336</v>
      </c>
    </row>
    <row r="571" spans="1:8" s="64" customFormat="1">
      <c r="A571">
        <v>12093149</v>
      </c>
      <c r="B571" t="s">
        <v>1140</v>
      </c>
      <c r="C571" t="s">
        <v>69</v>
      </c>
      <c r="D571" t="s">
        <v>267</v>
      </c>
      <c r="E571" s="118" t="s">
        <v>1426</v>
      </c>
      <c r="F571" s="119">
        <v>0.32385416666666667</v>
      </c>
      <c r="G571" t="s">
        <v>1422</v>
      </c>
      <c r="H571" t="s">
        <v>1337</v>
      </c>
    </row>
    <row r="572" spans="1:8" s="64" customFormat="1">
      <c r="A572">
        <v>12093149</v>
      </c>
      <c r="B572" t="s">
        <v>1140</v>
      </c>
      <c r="C572" t="s">
        <v>69</v>
      </c>
      <c r="D572" t="s">
        <v>267</v>
      </c>
      <c r="E572" s="118" t="s">
        <v>1426</v>
      </c>
      <c r="F572" s="119">
        <v>0.92718750000000005</v>
      </c>
      <c r="G572" t="s">
        <v>1421</v>
      </c>
      <c r="H572" t="s">
        <v>1336</v>
      </c>
    </row>
    <row r="573" spans="1:8" s="64" customFormat="1">
      <c r="A573">
        <v>12093149</v>
      </c>
      <c r="B573" t="s">
        <v>1140</v>
      </c>
      <c r="C573" t="s">
        <v>69</v>
      </c>
      <c r="D573" t="s">
        <v>267</v>
      </c>
      <c r="E573" s="118" t="s">
        <v>1427</v>
      </c>
      <c r="F573" s="119">
        <v>0.32806712962962964</v>
      </c>
      <c r="G573" t="s">
        <v>1422</v>
      </c>
      <c r="H573" t="s">
        <v>1337</v>
      </c>
    </row>
    <row r="574" spans="1:8" s="64" customFormat="1">
      <c r="A574">
        <v>12093228</v>
      </c>
      <c r="B574" t="s">
        <v>92</v>
      </c>
      <c r="C574" t="s">
        <v>90</v>
      </c>
      <c r="D574" t="s">
        <v>91</v>
      </c>
      <c r="E574" s="118" t="s">
        <v>1420</v>
      </c>
      <c r="F574" s="119">
        <v>0.78828703703703706</v>
      </c>
      <c r="G574" t="s">
        <v>1422</v>
      </c>
      <c r="H574" t="s">
        <v>1337</v>
      </c>
    </row>
    <row r="575" spans="1:8" s="64" customFormat="1">
      <c r="A575">
        <v>12093228</v>
      </c>
      <c r="B575" t="s">
        <v>92</v>
      </c>
      <c r="C575" t="s">
        <v>90</v>
      </c>
      <c r="D575" t="s">
        <v>91</v>
      </c>
      <c r="E575" s="118" t="s">
        <v>1420</v>
      </c>
      <c r="F575" s="119">
        <v>0.29274305555555552</v>
      </c>
      <c r="G575" t="s">
        <v>1421</v>
      </c>
      <c r="H575" t="s">
        <v>1336</v>
      </c>
    </row>
    <row r="576" spans="1:8" s="64" customFormat="1">
      <c r="A576">
        <v>12093228</v>
      </c>
      <c r="B576" t="s">
        <v>92</v>
      </c>
      <c r="C576" t="s">
        <v>90</v>
      </c>
      <c r="D576" t="s">
        <v>91</v>
      </c>
      <c r="E576" s="118" t="s">
        <v>1423</v>
      </c>
      <c r="F576" s="119">
        <v>0.788599537037037</v>
      </c>
      <c r="G576" t="s">
        <v>1422</v>
      </c>
      <c r="H576" t="s">
        <v>1337</v>
      </c>
    </row>
    <row r="577" spans="1:8" s="64" customFormat="1">
      <c r="A577">
        <v>12093228</v>
      </c>
      <c r="B577" t="s">
        <v>92</v>
      </c>
      <c r="C577" t="s">
        <v>90</v>
      </c>
      <c r="D577" t="s">
        <v>91</v>
      </c>
      <c r="E577" s="118" t="s">
        <v>1423</v>
      </c>
      <c r="F577" s="119">
        <v>0.29252314814814812</v>
      </c>
      <c r="G577" t="s">
        <v>1421</v>
      </c>
      <c r="H577" t="s">
        <v>1336</v>
      </c>
    </row>
    <row r="578" spans="1:8" s="64" customFormat="1">
      <c r="A578">
        <v>12093228</v>
      </c>
      <c r="B578" t="s">
        <v>92</v>
      </c>
      <c r="C578" t="s">
        <v>90</v>
      </c>
      <c r="D578" t="s">
        <v>91</v>
      </c>
      <c r="E578" s="118" t="s">
        <v>1424</v>
      </c>
      <c r="F578" s="119">
        <v>0.7903472222222222</v>
      </c>
      <c r="G578" t="s">
        <v>1422</v>
      </c>
      <c r="H578" t="s">
        <v>1337</v>
      </c>
    </row>
    <row r="579" spans="1:8" s="64" customFormat="1">
      <c r="A579">
        <v>12093228</v>
      </c>
      <c r="B579" t="s">
        <v>92</v>
      </c>
      <c r="C579" t="s">
        <v>90</v>
      </c>
      <c r="D579" t="s">
        <v>91</v>
      </c>
      <c r="E579" s="118" t="s">
        <v>1424</v>
      </c>
      <c r="F579" s="119">
        <v>0.2945949074074074</v>
      </c>
      <c r="G579" t="s">
        <v>1421</v>
      </c>
      <c r="H579" t="s">
        <v>1336</v>
      </c>
    </row>
    <row r="580" spans="1:8" s="64" customFormat="1">
      <c r="A580">
        <v>12093228</v>
      </c>
      <c r="B580" t="s">
        <v>92</v>
      </c>
      <c r="C580" t="s">
        <v>90</v>
      </c>
      <c r="D580" t="s">
        <v>91</v>
      </c>
      <c r="E580" s="118" t="s">
        <v>1425</v>
      </c>
      <c r="F580" s="119">
        <v>0.80184027777777789</v>
      </c>
      <c r="G580" t="s">
        <v>1422</v>
      </c>
      <c r="H580" t="s">
        <v>1337</v>
      </c>
    </row>
    <row r="581" spans="1:8" s="64" customFormat="1">
      <c r="A581">
        <v>12093228</v>
      </c>
      <c r="B581" t="s">
        <v>92</v>
      </c>
      <c r="C581" t="s">
        <v>90</v>
      </c>
      <c r="D581" t="s">
        <v>91</v>
      </c>
      <c r="E581" s="118" t="s">
        <v>1425</v>
      </c>
      <c r="F581" s="119">
        <v>0.29274305555555552</v>
      </c>
      <c r="G581" t="s">
        <v>1421</v>
      </c>
      <c r="H581" t="s">
        <v>1336</v>
      </c>
    </row>
    <row r="582" spans="1:8" s="64" customFormat="1">
      <c r="A582">
        <v>12093228</v>
      </c>
      <c r="B582" t="s">
        <v>92</v>
      </c>
      <c r="C582" t="s">
        <v>90</v>
      </c>
      <c r="D582" t="s">
        <v>91</v>
      </c>
      <c r="E582" s="118" t="s">
        <v>1426</v>
      </c>
      <c r="F582" s="119">
        <v>0.75437500000000002</v>
      </c>
      <c r="G582" t="s">
        <v>1422</v>
      </c>
      <c r="H582" t="s">
        <v>1337</v>
      </c>
    </row>
    <row r="583" spans="1:8" s="64" customFormat="1">
      <c r="A583">
        <v>12093228</v>
      </c>
      <c r="B583" t="s">
        <v>92</v>
      </c>
      <c r="C583" t="s">
        <v>90</v>
      </c>
      <c r="D583" t="s">
        <v>91</v>
      </c>
      <c r="E583" s="118" t="s">
        <v>1426</v>
      </c>
      <c r="F583" s="119">
        <v>0.30587962962962961</v>
      </c>
      <c r="G583" t="s">
        <v>1422</v>
      </c>
      <c r="H583" t="s">
        <v>1337</v>
      </c>
    </row>
    <row r="584" spans="1:8" s="64" customFormat="1">
      <c r="A584">
        <v>12210109</v>
      </c>
      <c r="B584" t="s">
        <v>1262</v>
      </c>
      <c r="C584" t="s">
        <v>1156</v>
      </c>
      <c r="D584" t="s">
        <v>700</v>
      </c>
      <c r="E584" s="118" t="s">
        <v>1420</v>
      </c>
      <c r="F584" s="119">
        <v>0.63315972222222217</v>
      </c>
      <c r="G584" t="s">
        <v>1422</v>
      </c>
      <c r="H584" t="s">
        <v>1337</v>
      </c>
    </row>
    <row r="585" spans="1:8" s="64" customFormat="1">
      <c r="A585">
        <v>12210109</v>
      </c>
      <c r="B585" t="s">
        <v>1262</v>
      </c>
      <c r="C585" t="s">
        <v>1156</v>
      </c>
      <c r="D585" t="s">
        <v>700</v>
      </c>
      <c r="E585" s="118" t="s">
        <v>1420</v>
      </c>
      <c r="F585" s="119">
        <v>0.29684027777777777</v>
      </c>
      <c r="G585" t="s">
        <v>1421</v>
      </c>
      <c r="H585" t="s">
        <v>1336</v>
      </c>
    </row>
    <row r="586" spans="1:8" s="64" customFormat="1">
      <c r="A586">
        <v>12210109</v>
      </c>
      <c r="B586" t="s">
        <v>1262</v>
      </c>
      <c r="C586" t="s">
        <v>1156</v>
      </c>
      <c r="D586" t="s">
        <v>700</v>
      </c>
      <c r="E586" s="118" t="s">
        <v>1423</v>
      </c>
      <c r="F586" s="119">
        <v>0.63312500000000005</v>
      </c>
      <c r="G586" t="s">
        <v>1422</v>
      </c>
      <c r="H586" t="s">
        <v>1337</v>
      </c>
    </row>
    <row r="587" spans="1:8" s="64" customFormat="1">
      <c r="A587">
        <v>12210109</v>
      </c>
      <c r="B587" t="s">
        <v>1262</v>
      </c>
      <c r="C587" t="s">
        <v>1156</v>
      </c>
      <c r="D587" t="s">
        <v>700</v>
      </c>
      <c r="E587" s="118" t="s">
        <v>1423</v>
      </c>
      <c r="F587" s="119">
        <v>0.29693287037037036</v>
      </c>
      <c r="G587" t="s">
        <v>1421</v>
      </c>
      <c r="H587" t="s">
        <v>1336</v>
      </c>
    </row>
    <row r="588" spans="1:8" s="64" customFormat="1">
      <c r="A588">
        <v>12210109</v>
      </c>
      <c r="B588" t="s">
        <v>1262</v>
      </c>
      <c r="C588" t="s">
        <v>1156</v>
      </c>
      <c r="D588" t="s">
        <v>700</v>
      </c>
      <c r="E588" s="118" t="s">
        <v>1424</v>
      </c>
      <c r="F588" s="119">
        <v>0.62711805555555555</v>
      </c>
      <c r="G588" t="s">
        <v>1422</v>
      </c>
      <c r="H588" t="s">
        <v>1337</v>
      </c>
    </row>
    <row r="589" spans="1:8" s="64" customFormat="1">
      <c r="A589">
        <v>12210109</v>
      </c>
      <c r="B589" t="s">
        <v>1262</v>
      </c>
      <c r="C589" t="s">
        <v>1156</v>
      </c>
      <c r="D589" t="s">
        <v>700</v>
      </c>
      <c r="E589" s="118" t="s">
        <v>1424</v>
      </c>
      <c r="F589" s="119">
        <v>0.30879629629629629</v>
      </c>
      <c r="G589" t="s">
        <v>1421</v>
      </c>
      <c r="H589" t="s">
        <v>1336</v>
      </c>
    </row>
    <row r="590" spans="1:8" s="64" customFormat="1">
      <c r="A590">
        <v>12210109</v>
      </c>
      <c r="B590" t="s">
        <v>1262</v>
      </c>
      <c r="C590" t="s">
        <v>1156</v>
      </c>
      <c r="D590" t="s">
        <v>700</v>
      </c>
      <c r="E590" s="118" t="s">
        <v>1425</v>
      </c>
      <c r="F590" s="119">
        <v>0.63468749999999996</v>
      </c>
      <c r="G590" t="s">
        <v>1422</v>
      </c>
      <c r="H590" t="s">
        <v>1337</v>
      </c>
    </row>
    <row r="591" spans="1:8" s="64" customFormat="1">
      <c r="A591">
        <v>12210109</v>
      </c>
      <c r="B591" t="s">
        <v>1262</v>
      </c>
      <c r="C591" t="s">
        <v>1156</v>
      </c>
      <c r="D591" t="s">
        <v>700</v>
      </c>
      <c r="E591" s="118" t="s">
        <v>1425</v>
      </c>
      <c r="F591" s="119">
        <v>0.29684027777777777</v>
      </c>
      <c r="G591" t="s">
        <v>1421</v>
      </c>
      <c r="H591" t="s">
        <v>1336</v>
      </c>
    </row>
    <row r="592" spans="1:8" s="64" customFormat="1">
      <c r="A592">
        <v>12210109</v>
      </c>
      <c r="B592" t="s">
        <v>1262</v>
      </c>
      <c r="C592" t="s">
        <v>1156</v>
      </c>
      <c r="D592" t="s">
        <v>700</v>
      </c>
      <c r="E592" s="118" t="s">
        <v>1426</v>
      </c>
      <c r="F592" s="119">
        <v>0.63479166666666664</v>
      </c>
      <c r="G592" t="s">
        <v>1422</v>
      </c>
      <c r="H592" t="s">
        <v>1337</v>
      </c>
    </row>
    <row r="593" spans="1:8" s="64" customFormat="1">
      <c r="A593">
        <v>12210109</v>
      </c>
      <c r="B593" t="s">
        <v>1262</v>
      </c>
      <c r="C593" t="s">
        <v>1156</v>
      </c>
      <c r="D593" t="s">
        <v>700</v>
      </c>
      <c r="E593" s="118" t="s">
        <v>1426</v>
      </c>
      <c r="F593" s="119">
        <v>0.29725694444444445</v>
      </c>
      <c r="G593" t="s">
        <v>1421</v>
      </c>
      <c r="H593" t="s">
        <v>1336</v>
      </c>
    </row>
    <row r="594" spans="1:8" s="64" customFormat="1">
      <c r="A594">
        <v>12210109</v>
      </c>
      <c r="B594" t="s">
        <v>1262</v>
      </c>
      <c r="C594" t="s">
        <v>1156</v>
      </c>
      <c r="D594" t="s">
        <v>700</v>
      </c>
      <c r="E594" s="118" t="s">
        <v>1427</v>
      </c>
      <c r="F594" s="119">
        <v>0.63731481481481478</v>
      </c>
      <c r="G594" t="s">
        <v>1422</v>
      </c>
      <c r="H594" t="s">
        <v>1337</v>
      </c>
    </row>
    <row r="595" spans="1:8" s="64" customFormat="1">
      <c r="A595">
        <v>12210109</v>
      </c>
      <c r="B595" t="s">
        <v>1262</v>
      </c>
      <c r="C595" t="s">
        <v>1156</v>
      </c>
      <c r="D595" t="s">
        <v>700</v>
      </c>
      <c r="E595" s="118" t="s">
        <v>1427</v>
      </c>
      <c r="F595" s="119">
        <v>0.29531250000000003</v>
      </c>
      <c r="G595" t="s">
        <v>1421</v>
      </c>
      <c r="H595" t="s">
        <v>1336</v>
      </c>
    </row>
    <row r="596" spans="1:8" s="64" customFormat="1">
      <c r="A596">
        <v>12500119</v>
      </c>
      <c r="B596" t="s">
        <v>976</v>
      </c>
      <c r="C596" t="s">
        <v>975</v>
      </c>
      <c r="D596" t="s">
        <v>706</v>
      </c>
      <c r="E596" s="118" t="s">
        <v>1420</v>
      </c>
      <c r="F596" s="119">
        <v>0.72804398148148142</v>
      </c>
      <c r="G596" t="s">
        <v>1422</v>
      </c>
      <c r="H596" t="s">
        <v>1337</v>
      </c>
    </row>
    <row r="597" spans="1:8" s="64" customFormat="1">
      <c r="A597">
        <v>12500119</v>
      </c>
      <c r="B597" t="s">
        <v>976</v>
      </c>
      <c r="C597" t="s">
        <v>975</v>
      </c>
      <c r="D597" t="s">
        <v>706</v>
      </c>
      <c r="E597" s="118" t="s">
        <v>1420</v>
      </c>
      <c r="F597" s="119">
        <v>0.33761574074074074</v>
      </c>
      <c r="G597" t="s">
        <v>1421</v>
      </c>
      <c r="H597" t="s">
        <v>1336</v>
      </c>
    </row>
    <row r="598" spans="1:8" s="64" customFormat="1">
      <c r="A598">
        <v>12500119</v>
      </c>
      <c r="B598" t="s">
        <v>976</v>
      </c>
      <c r="C598" t="s">
        <v>975</v>
      </c>
      <c r="D598" t="s">
        <v>706</v>
      </c>
      <c r="E598" s="118" t="s">
        <v>1423</v>
      </c>
      <c r="F598" s="119">
        <v>0.47752314814814811</v>
      </c>
      <c r="G598" t="s">
        <v>1422</v>
      </c>
      <c r="H598" t="s">
        <v>1337</v>
      </c>
    </row>
    <row r="599" spans="1:8" s="64" customFormat="1">
      <c r="A599">
        <v>12500119</v>
      </c>
      <c r="B599" t="s">
        <v>976</v>
      </c>
      <c r="C599" t="s">
        <v>975</v>
      </c>
      <c r="D599" t="s">
        <v>706</v>
      </c>
      <c r="E599" s="118" t="s">
        <v>1423</v>
      </c>
      <c r="F599" s="119">
        <v>0.29636574074074074</v>
      </c>
      <c r="G599" t="s">
        <v>1421</v>
      </c>
      <c r="H599" t="s">
        <v>1336</v>
      </c>
    </row>
    <row r="600" spans="1:8" s="64" customFormat="1">
      <c r="A600">
        <v>12500119</v>
      </c>
      <c r="B600" t="s">
        <v>976</v>
      </c>
      <c r="C600" t="s">
        <v>975</v>
      </c>
      <c r="D600" t="s">
        <v>706</v>
      </c>
      <c r="E600" s="118" t="s">
        <v>1424</v>
      </c>
      <c r="F600" s="119">
        <v>0.73534722222222226</v>
      </c>
      <c r="G600" t="s">
        <v>1422</v>
      </c>
      <c r="H600" t="s">
        <v>1337</v>
      </c>
    </row>
    <row r="601" spans="1:8" s="64" customFormat="1">
      <c r="A601">
        <v>12500119</v>
      </c>
      <c r="B601" t="s">
        <v>976</v>
      </c>
      <c r="C601" t="s">
        <v>975</v>
      </c>
      <c r="D601" t="s">
        <v>706</v>
      </c>
      <c r="E601" s="118" t="s">
        <v>1424</v>
      </c>
      <c r="F601" s="119">
        <v>0.34084490740740742</v>
      </c>
      <c r="G601" t="s">
        <v>1421</v>
      </c>
      <c r="H601" t="s">
        <v>1336</v>
      </c>
    </row>
    <row r="602" spans="1:8" s="64" customFormat="1">
      <c r="A602">
        <v>12500119</v>
      </c>
      <c r="B602" t="s">
        <v>976</v>
      </c>
      <c r="C602" t="s">
        <v>975</v>
      </c>
      <c r="D602" t="s">
        <v>706</v>
      </c>
      <c r="E602" s="118" t="s">
        <v>1425</v>
      </c>
      <c r="F602" s="119">
        <v>0.7318634259259259</v>
      </c>
      <c r="G602" t="s">
        <v>1422</v>
      </c>
      <c r="H602" t="s">
        <v>1337</v>
      </c>
    </row>
    <row r="603" spans="1:8" s="64" customFormat="1">
      <c r="A603">
        <v>12500119</v>
      </c>
      <c r="B603" t="s">
        <v>976</v>
      </c>
      <c r="C603" t="s">
        <v>975</v>
      </c>
      <c r="D603" t="s">
        <v>706</v>
      </c>
      <c r="E603" s="118" t="s">
        <v>1425</v>
      </c>
      <c r="F603" s="119">
        <v>0.29609953703703701</v>
      </c>
      <c r="G603" t="s">
        <v>1421</v>
      </c>
      <c r="H603" t="s">
        <v>1336</v>
      </c>
    </row>
    <row r="604" spans="1:8" s="64" customFormat="1">
      <c r="A604">
        <v>12500119</v>
      </c>
      <c r="B604" t="s">
        <v>976</v>
      </c>
      <c r="C604" t="s">
        <v>975</v>
      </c>
      <c r="D604" t="s">
        <v>706</v>
      </c>
      <c r="E604" s="118" t="s">
        <v>1426</v>
      </c>
      <c r="F604" s="119">
        <v>0.72800925925925919</v>
      </c>
      <c r="G604" t="s">
        <v>1422</v>
      </c>
      <c r="H604" t="s">
        <v>1337</v>
      </c>
    </row>
    <row r="605" spans="1:8" s="64" customFormat="1">
      <c r="A605">
        <v>12500119</v>
      </c>
      <c r="B605" t="s">
        <v>976</v>
      </c>
      <c r="C605" t="s">
        <v>975</v>
      </c>
      <c r="D605" t="s">
        <v>706</v>
      </c>
      <c r="E605" s="118" t="s">
        <v>1426</v>
      </c>
      <c r="F605" s="119">
        <v>0.29627314814814815</v>
      </c>
      <c r="G605" t="s">
        <v>1421</v>
      </c>
      <c r="H605" t="s">
        <v>1336</v>
      </c>
    </row>
    <row r="606" spans="1:8" s="64" customFormat="1">
      <c r="A606">
        <v>12677439</v>
      </c>
      <c r="B606" t="s">
        <v>34</v>
      </c>
      <c r="C606" t="s">
        <v>32</v>
      </c>
      <c r="D606" t="s">
        <v>33</v>
      </c>
      <c r="E606" s="118" t="s">
        <v>1420</v>
      </c>
      <c r="F606" s="119">
        <v>0.63282407407407404</v>
      </c>
      <c r="G606" t="s">
        <v>1422</v>
      </c>
      <c r="H606" t="s">
        <v>1337</v>
      </c>
    </row>
    <row r="607" spans="1:8" s="64" customFormat="1">
      <c r="A607">
        <v>12677439</v>
      </c>
      <c r="B607" t="s">
        <v>34</v>
      </c>
      <c r="C607" t="s">
        <v>32</v>
      </c>
      <c r="D607" t="s">
        <v>33</v>
      </c>
      <c r="E607" s="118" t="s">
        <v>1420</v>
      </c>
      <c r="F607" s="119">
        <v>0.29577546296296298</v>
      </c>
      <c r="G607" t="s">
        <v>1421</v>
      </c>
      <c r="H607" t="s">
        <v>1336</v>
      </c>
    </row>
    <row r="608" spans="1:8" s="64" customFormat="1">
      <c r="A608">
        <v>12677439</v>
      </c>
      <c r="B608" t="s">
        <v>34</v>
      </c>
      <c r="C608" t="s">
        <v>32</v>
      </c>
      <c r="D608" t="s">
        <v>33</v>
      </c>
      <c r="E608" s="118" t="s">
        <v>1423</v>
      </c>
      <c r="F608" s="119">
        <v>0.63318287037037035</v>
      </c>
      <c r="G608" t="s">
        <v>1422</v>
      </c>
      <c r="H608" t="s">
        <v>1337</v>
      </c>
    </row>
    <row r="609" spans="1:8" s="64" customFormat="1">
      <c r="A609">
        <v>12677439</v>
      </c>
      <c r="B609" t="s">
        <v>34</v>
      </c>
      <c r="C609" t="s">
        <v>32</v>
      </c>
      <c r="D609" t="s">
        <v>33</v>
      </c>
      <c r="E609" s="118" t="s">
        <v>1423</v>
      </c>
      <c r="F609" s="119">
        <v>0.30804398148148149</v>
      </c>
      <c r="G609" t="s">
        <v>1421</v>
      </c>
      <c r="H609" t="s">
        <v>1336</v>
      </c>
    </row>
    <row r="610" spans="1:8" s="64" customFormat="1">
      <c r="A610">
        <v>12677439</v>
      </c>
      <c r="B610" t="s">
        <v>34</v>
      </c>
      <c r="C610" t="s">
        <v>32</v>
      </c>
      <c r="D610" t="s">
        <v>33</v>
      </c>
      <c r="E610" s="118" t="s">
        <v>1424</v>
      </c>
      <c r="F610" s="119">
        <v>0.6541203703703703</v>
      </c>
      <c r="G610" t="s">
        <v>1422</v>
      </c>
      <c r="H610" t="s">
        <v>1337</v>
      </c>
    </row>
    <row r="611" spans="1:8" s="64" customFormat="1">
      <c r="A611">
        <v>12677439</v>
      </c>
      <c r="B611" t="s">
        <v>34</v>
      </c>
      <c r="C611" t="s">
        <v>32</v>
      </c>
      <c r="D611" t="s">
        <v>33</v>
      </c>
      <c r="E611" s="118" t="s">
        <v>1424</v>
      </c>
      <c r="F611" s="119">
        <v>0.29628472222222224</v>
      </c>
      <c r="G611" t="s">
        <v>1421</v>
      </c>
      <c r="H611" t="s">
        <v>1336</v>
      </c>
    </row>
    <row r="612" spans="1:8" s="64" customFormat="1">
      <c r="A612">
        <v>12677439</v>
      </c>
      <c r="B612" t="s">
        <v>34</v>
      </c>
      <c r="C612" t="s">
        <v>32</v>
      </c>
      <c r="D612" t="s">
        <v>33</v>
      </c>
      <c r="E612" s="118" t="s">
        <v>1425</v>
      </c>
      <c r="F612" s="119">
        <v>0.63299768518518518</v>
      </c>
      <c r="G612" t="s">
        <v>1422</v>
      </c>
      <c r="H612" t="s">
        <v>1337</v>
      </c>
    </row>
    <row r="613" spans="1:8" s="64" customFormat="1">
      <c r="A613">
        <v>12677439</v>
      </c>
      <c r="B613" t="s">
        <v>34</v>
      </c>
      <c r="C613" t="s">
        <v>32</v>
      </c>
      <c r="D613" t="s">
        <v>33</v>
      </c>
      <c r="E613" s="118" t="s">
        <v>1425</v>
      </c>
      <c r="F613" s="119">
        <v>0.29650462962962965</v>
      </c>
      <c r="G613" t="s">
        <v>1421</v>
      </c>
      <c r="H613" t="s">
        <v>1336</v>
      </c>
    </row>
    <row r="614" spans="1:8" s="64" customFormat="1">
      <c r="A614">
        <v>12677439</v>
      </c>
      <c r="B614" t="s">
        <v>34</v>
      </c>
      <c r="C614" t="s">
        <v>32</v>
      </c>
      <c r="D614" t="s">
        <v>33</v>
      </c>
      <c r="E614" s="118" t="s">
        <v>1426</v>
      </c>
      <c r="F614" s="119">
        <v>0.65210648148148154</v>
      </c>
      <c r="G614" t="s">
        <v>1422</v>
      </c>
      <c r="H614" t="s">
        <v>1337</v>
      </c>
    </row>
    <row r="615" spans="1:8" s="64" customFormat="1">
      <c r="A615">
        <v>12677439</v>
      </c>
      <c r="B615" t="s">
        <v>34</v>
      </c>
      <c r="C615" t="s">
        <v>32</v>
      </c>
      <c r="D615" t="s">
        <v>33</v>
      </c>
      <c r="E615" s="118" t="s">
        <v>1426</v>
      </c>
      <c r="F615" s="119">
        <v>0.29653935185185182</v>
      </c>
      <c r="G615" t="s">
        <v>1421</v>
      </c>
      <c r="H615" t="s">
        <v>1336</v>
      </c>
    </row>
    <row r="616" spans="1:8" s="64" customFormat="1">
      <c r="A616">
        <v>12677439</v>
      </c>
      <c r="B616" t="s">
        <v>34</v>
      </c>
      <c r="C616" t="s">
        <v>32</v>
      </c>
      <c r="D616" t="s">
        <v>33</v>
      </c>
      <c r="E616" s="118" t="s">
        <v>1427</v>
      </c>
      <c r="F616" s="119">
        <v>0.62876157407407407</v>
      </c>
      <c r="G616" t="s">
        <v>1422</v>
      </c>
      <c r="H616" t="s">
        <v>1337</v>
      </c>
    </row>
    <row r="617" spans="1:8" s="64" customFormat="1">
      <c r="A617">
        <v>12677439</v>
      </c>
      <c r="B617" t="s">
        <v>34</v>
      </c>
      <c r="C617" t="s">
        <v>32</v>
      </c>
      <c r="D617" t="s">
        <v>33</v>
      </c>
      <c r="E617" s="118" t="s">
        <v>1427</v>
      </c>
      <c r="F617" s="119">
        <v>0.29484953703703703</v>
      </c>
      <c r="G617" t="s">
        <v>1421</v>
      </c>
      <c r="H617" t="s">
        <v>1336</v>
      </c>
    </row>
    <row r="618" spans="1:8" s="64" customFormat="1">
      <c r="A618">
        <v>13045231</v>
      </c>
      <c r="B618" t="s">
        <v>1099</v>
      </c>
      <c r="C618" t="s">
        <v>90</v>
      </c>
      <c r="D618" t="s">
        <v>48</v>
      </c>
      <c r="E618" s="118" t="s">
        <v>1420</v>
      </c>
      <c r="F618" s="119">
        <v>0.64180555555555552</v>
      </c>
      <c r="G618" t="s">
        <v>1422</v>
      </c>
      <c r="H618" t="s">
        <v>1337</v>
      </c>
    </row>
    <row r="619" spans="1:8" s="64" customFormat="1">
      <c r="A619">
        <v>13045231</v>
      </c>
      <c r="B619" t="s">
        <v>1099</v>
      </c>
      <c r="C619" t="s">
        <v>90</v>
      </c>
      <c r="D619" t="s">
        <v>48</v>
      </c>
      <c r="E619" s="118" t="s">
        <v>1420</v>
      </c>
      <c r="F619" s="119">
        <v>0.29543981481481479</v>
      </c>
      <c r="G619" t="s">
        <v>1421</v>
      </c>
      <c r="H619" t="s">
        <v>1336</v>
      </c>
    </row>
    <row r="620" spans="1:8" s="64" customFormat="1">
      <c r="A620">
        <v>13045231</v>
      </c>
      <c r="B620" t="s">
        <v>1099</v>
      </c>
      <c r="C620" t="s">
        <v>90</v>
      </c>
      <c r="D620" t="s">
        <v>48</v>
      </c>
      <c r="E620" s="118" t="s">
        <v>1423</v>
      </c>
      <c r="F620" s="119">
        <v>0.63953703703703701</v>
      </c>
      <c r="G620" t="s">
        <v>1422</v>
      </c>
      <c r="H620" t="s">
        <v>1337</v>
      </c>
    </row>
    <row r="621" spans="1:8" s="64" customFormat="1">
      <c r="A621">
        <v>13045231</v>
      </c>
      <c r="B621" t="s">
        <v>1099</v>
      </c>
      <c r="C621" t="s">
        <v>90</v>
      </c>
      <c r="D621" t="s">
        <v>48</v>
      </c>
      <c r="E621" s="118" t="s">
        <v>1423</v>
      </c>
      <c r="F621" s="119">
        <v>0.29655092592592591</v>
      </c>
      <c r="G621" t="s">
        <v>1421</v>
      </c>
      <c r="H621" t="s">
        <v>1336</v>
      </c>
    </row>
    <row r="622" spans="1:8" s="64" customFormat="1">
      <c r="A622">
        <v>13045231</v>
      </c>
      <c r="B622" t="s">
        <v>1099</v>
      </c>
      <c r="C622" t="s">
        <v>90</v>
      </c>
      <c r="D622" t="s">
        <v>48</v>
      </c>
      <c r="E622" s="118" t="s">
        <v>1424</v>
      </c>
      <c r="F622" s="119">
        <v>0.63694444444444442</v>
      </c>
      <c r="G622" t="s">
        <v>1422</v>
      </c>
      <c r="H622" t="s">
        <v>1337</v>
      </c>
    </row>
    <row r="623" spans="1:8" s="64" customFormat="1">
      <c r="A623">
        <v>13045231</v>
      </c>
      <c r="B623" t="s">
        <v>1099</v>
      </c>
      <c r="C623" t="s">
        <v>90</v>
      </c>
      <c r="D623" t="s">
        <v>48</v>
      </c>
      <c r="E623" s="118" t="s">
        <v>1424</v>
      </c>
      <c r="F623" s="119">
        <v>0.29640046296296296</v>
      </c>
      <c r="G623" t="s">
        <v>1421</v>
      </c>
      <c r="H623" t="s">
        <v>1336</v>
      </c>
    </row>
    <row r="624" spans="1:8" s="64" customFormat="1">
      <c r="A624">
        <v>13045231</v>
      </c>
      <c r="B624" t="s">
        <v>1099</v>
      </c>
      <c r="C624" t="s">
        <v>90</v>
      </c>
      <c r="D624" t="s">
        <v>48</v>
      </c>
      <c r="E624" s="118" t="s">
        <v>1425</v>
      </c>
      <c r="F624" s="119">
        <v>0.64226851851851852</v>
      </c>
      <c r="G624" t="s">
        <v>1422</v>
      </c>
      <c r="H624" t="s">
        <v>1337</v>
      </c>
    </row>
    <row r="625" spans="1:8" s="64" customFormat="1">
      <c r="A625">
        <v>13045231</v>
      </c>
      <c r="B625" t="s">
        <v>1099</v>
      </c>
      <c r="C625" t="s">
        <v>90</v>
      </c>
      <c r="D625" t="s">
        <v>48</v>
      </c>
      <c r="E625" s="118" t="s">
        <v>1425</v>
      </c>
      <c r="F625" s="119">
        <v>0.29673611111111114</v>
      </c>
      <c r="G625" t="s">
        <v>1421</v>
      </c>
      <c r="H625" t="s">
        <v>1336</v>
      </c>
    </row>
    <row r="626" spans="1:8" s="64" customFormat="1">
      <c r="A626">
        <v>13045231</v>
      </c>
      <c r="B626" t="s">
        <v>1099</v>
      </c>
      <c r="C626" t="s">
        <v>90</v>
      </c>
      <c r="D626" t="s">
        <v>48</v>
      </c>
      <c r="E626" s="118" t="s">
        <v>1426</v>
      </c>
      <c r="F626" s="119">
        <v>0.69627314814814811</v>
      </c>
      <c r="G626" t="s">
        <v>1422</v>
      </c>
      <c r="H626" t="s">
        <v>1337</v>
      </c>
    </row>
    <row r="627" spans="1:8" s="64" customFormat="1">
      <c r="A627">
        <v>13045231</v>
      </c>
      <c r="B627" t="s">
        <v>1099</v>
      </c>
      <c r="C627" t="s">
        <v>90</v>
      </c>
      <c r="D627" t="s">
        <v>48</v>
      </c>
      <c r="E627" s="118" t="s">
        <v>1426</v>
      </c>
      <c r="F627" s="119">
        <v>0.29641203703703706</v>
      </c>
      <c r="G627" t="s">
        <v>1421</v>
      </c>
      <c r="H627" t="s">
        <v>1336</v>
      </c>
    </row>
    <row r="628" spans="1:8" s="64" customFormat="1">
      <c r="A628">
        <v>13045231</v>
      </c>
      <c r="B628" t="s">
        <v>1099</v>
      </c>
      <c r="C628" t="s">
        <v>90</v>
      </c>
      <c r="D628" t="s">
        <v>48</v>
      </c>
      <c r="E628" s="118" t="s">
        <v>1427</v>
      </c>
      <c r="F628" s="119">
        <v>0.63670138888888894</v>
      </c>
      <c r="G628" t="s">
        <v>1422</v>
      </c>
      <c r="H628" t="s">
        <v>1337</v>
      </c>
    </row>
    <row r="629" spans="1:8" s="64" customFormat="1">
      <c r="A629">
        <v>13045231</v>
      </c>
      <c r="B629" t="s">
        <v>1099</v>
      </c>
      <c r="C629" t="s">
        <v>90</v>
      </c>
      <c r="D629" t="s">
        <v>48</v>
      </c>
      <c r="E629" s="118" t="s">
        <v>1427</v>
      </c>
      <c r="F629" s="119">
        <v>0.30158564814814814</v>
      </c>
      <c r="G629" t="s">
        <v>1421</v>
      </c>
      <c r="H629" t="s">
        <v>1336</v>
      </c>
    </row>
    <row r="630" spans="1:8" s="64" customFormat="1">
      <c r="A630">
        <v>13100464</v>
      </c>
      <c r="B630" t="s">
        <v>430</v>
      </c>
      <c r="C630" t="s">
        <v>419</v>
      </c>
      <c r="D630" t="s">
        <v>429</v>
      </c>
      <c r="E630" s="118" t="s">
        <v>1420</v>
      </c>
      <c r="F630" s="119">
        <v>0.63862268518518517</v>
      </c>
      <c r="G630" t="s">
        <v>1422</v>
      </c>
      <c r="H630" t="s">
        <v>1337</v>
      </c>
    </row>
    <row r="631" spans="1:8" s="64" customFormat="1">
      <c r="A631">
        <v>13100464</v>
      </c>
      <c r="B631" t="s">
        <v>430</v>
      </c>
      <c r="C631" t="s">
        <v>419</v>
      </c>
      <c r="D631" t="s">
        <v>429</v>
      </c>
      <c r="E631" s="118" t="s">
        <v>1420</v>
      </c>
      <c r="F631" s="119">
        <v>0.29659722222222223</v>
      </c>
      <c r="G631" t="s">
        <v>1421</v>
      </c>
      <c r="H631" t="s">
        <v>1336</v>
      </c>
    </row>
    <row r="632" spans="1:8" s="64" customFormat="1">
      <c r="A632">
        <v>13100464</v>
      </c>
      <c r="B632" t="s">
        <v>430</v>
      </c>
      <c r="C632" t="s">
        <v>419</v>
      </c>
      <c r="D632" t="s">
        <v>429</v>
      </c>
      <c r="E632" s="118" t="s">
        <v>1423</v>
      </c>
      <c r="F632" s="119">
        <v>0.64288194444444446</v>
      </c>
      <c r="G632" t="s">
        <v>1422</v>
      </c>
      <c r="H632" t="s">
        <v>1337</v>
      </c>
    </row>
    <row r="633" spans="1:8" s="64" customFormat="1">
      <c r="A633">
        <v>13100464</v>
      </c>
      <c r="B633" t="s">
        <v>430</v>
      </c>
      <c r="C633" t="s">
        <v>419</v>
      </c>
      <c r="D633" t="s">
        <v>429</v>
      </c>
      <c r="E633" s="118" t="s">
        <v>1423</v>
      </c>
      <c r="F633" s="119">
        <v>0.2951388888888889</v>
      </c>
      <c r="G633" t="s">
        <v>1421</v>
      </c>
      <c r="H633" t="s">
        <v>1336</v>
      </c>
    </row>
    <row r="634" spans="1:8" s="64" customFormat="1">
      <c r="A634">
        <v>13100464</v>
      </c>
      <c r="B634" t="s">
        <v>430</v>
      </c>
      <c r="C634" t="s">
        <v>419</v>
      </c>
      <c r="D634" t="s">
        <v>429</v>
      </c>
      <c r="E634" s="118" t="s">
        <v>1424</v>
      </c>
      <c r="F634" s="119">
        <v>0.64461805555555551</v>
      </c>
      <c r="G634" t="s">
        <v>1422</v>
      </c>
      <c r="H634" t="s">
        <v>1337</v>
      </c>
    </row>
    <row r="635" spans="1:8" s="64" customFormat="1">
      <c r="A635">
        <v>13100464</v>
      </c>
      <c r="B635" t="s">
        <v>430</v>
      </c>
      <c r="C635" t="s">
        <v>419</v>
      </c>
      <c r="D635" t="s">
        <v>429</v>
      </c>
      <c r="E635" s="118" t="s">
        <v>1424</v>
      </c>
      <c r="F635" s="119">
        <v>0.29472222222222222</v>
      </c>
      <c r="G635" t="s">
        <v>1421</v>
      </c>
      <c r="H635" t="s">
        <v>1336</v>
      </c>
    </row>
    <row r="636" spans="1:8" s="64" customFormat="1">
      <c r="A636">
        <v>13100464</v>
      </c>
      <c r="B636" t="s">
        <v>430</v>
      </c>
      <c r="C636" t="s">
        <v>419</v>
      </c>
      <c r="D636" t="s">
        <v>429</v>
      </c>
      <c r="E636" s="118" t="s">
        <v>1425</v>
      </c>
      <c r="F636" s="119">
        <v>0.64398148148148149</v>
      </c>
      <c r="G636" t="s">
        <v>1422</v>
      </c>
      <c r="H636" t="s">
        <v>1337</v>
      </c>
    </row>
    <row r="637" spans="1:8" s="64" customFormat="1">
      <c r="A637">
        <v>13100464</v>
      </c>
      <c r="B637" t="s">
        <v>430</v>
      </c>
      <c r="C637" t="s">
        <v>419</v>
      </c>
      <c r="D637" t="s">
        <v>429</v>
      </c>
      <c r="E637" s="118" t="s">
        <v>1425</v>
      </c>
      <c r="F637" s="119">
        <v>0.29421296296296295</v>
      </c>
      <c r="G637" t="s">
        <v>1421</v>
      </c>
      <c r="H637" t="s">
        <v>1336</v>
      </c>
    </row>
    <row r="638" spans="1:8" s="64" customFormat="1">
      <c r="A638">
        <v>13100464</v>
      </c>
      <c r="B638" t="s">
        <v>430</v>
      </c>
      <c r="C638" t="s">
        <v>419</v>
      </c>
      <c r="D638" t="s">
        <v>429</v>
      </c>
      <c r="E638" s="118" t="s">
        <v>1426</v>
      </c>
      <c r="F638" s="119">
        <v>0.64377314814814812</v>
      </c>
      <c r="G638" t="s">
        <v>1422</v>
      </c>
      <c r="H638" t="s">
        <v>1337</v>
      </c>
    </row>
    <row r="639" spans="1:8" s="64" customFormat="1">
      <c r="A639">
        <v>13100464</v>
      </c>
      <c r="B639" t="s">
        <v>430</v>
      </c>
      <c r="C639" t="s">
        <v>419</v>
      </c>
      <c r="D639" t="s">
        <v>429</v>
      </c>
      <c r="E639" s="118" t="s">
        <v>1426</v>
      </c>
      <c r="F639" s="119">
        <v>0.29508101851851853</v>
      </c>
      <c r="G639" t="s">
        <v>1421</v>
      </c>
      <c r="H639" t="s">
        <v>1336</v>
      </c>
    </row>
    <row r="640" spans="1:8" s="64" customFormat="1">
      <c r="A640">
        <v>13100464</v>
      </c>
      <c r="B640" t="s">
        <v>430</v>
      </c>
      <c r="C640" t="s">
        <v>419</v>
      </c>
      <c r="D640" t="s">
        <v>429</v>
      </c>
      <c r="E640" s="118" t="s">
        <v>1427</v>
      </c>
      <c r="F640" s="119">
        <v>0.63990740740740737</v>
      </c>
      <c r="G640" t="s">
        <v>1422</v>
      </c>
      <c r="H640" t="s">
        <v>1337</v>
      </c>
    </row>
    <row r="641" spans="1:8" s="64" customFormat="1">
      <c r="A641">
        <v>13100464</v>
      </c>
      <c r="B641" t="s">
        <v>430</v>
      </c>
      <c r="C641" t="s">
        <v>419</v>
      </c>
      <c r="D641" t="s">
        <v>429</v>
      </c>
      <c r="E641" s="118" t="s">
        <v>1427</v>
      </c>
      <c r="F641" s="119">
        <v>0.29398148148148145</v>
      </c>
      <c r="G641" t="s">
        <v>1421</v>
      </c>
      <c r="H641" t="s">
        <v>1336</v>
      </c>
    </row>
    <row r="642" spans="1:8" s="64" customFormat="1">
      <c r="A642">
        <v>13236100</v>
      </c>
      <c r="B642" t="s">
        <v>165</v>
      </c>
      <c r="C642" t="s">
        <v>164</v>
      </c>
      <c r="D642" t="s">
        <v>83</v>
      </c>
      <c r="E642" s="118" t="s">
        <v>1420</v>
      </c>
      <c r="F642" s="119">
        <v>0.76302083333333337</v>
      </c>
      <c r="G642" t="s">
        <v>1422</v>
      </c>
      <c r="H642" t="s">
        <v>1337</v>
      </c>
    </row>
    <row r="643" spans="1:8" s="64" customFormat="1">
      <c r="A643">
        <v>13236100</v>
      </c>
      <c r="B643" t="s">
        <v>165</v>
      </c>
      <c r="C643" t="s">
        <v>164</v>
      </c>
      <c r="D643" t="s">
        <v>83</v>
      </c>
      <c r="E643" s="118" t="s">
        <v>1420</v>
      </c>
      <c r="F643" s="119">
        <v>0.37665509259259261</v>
      </c>
      <c r="G643" t="s">
        <v>1421</v>
      </c>
      <c r="H643" t="s">
        <v>1336</v>
      </c>
    </row>
    <row r="644" spans="1:8" s="64" customFormat="1">
      <c r="A644">
        <v>13236100</v>
      </c>
      <c r="B644" t="s">
        <v>165</v>
      </c>
      <c r="C644" t="s">
        <v>164</v>
      </c>
      <c r="D644" t="s">
        <v>83</v>
      </c>
      <c r="E644" s="118" t="s">
        <v>1423</v>
      </c>
      <c r="F644" s="119">
        <v>0.82534722222222223</v>
      </c>
      <c r="G644" t="s">
        <v>1422</v>
      </c>
      <c r="H644" t="s">
        <v>1337</v>
      </c>
    </row>
    <row r="645" spans="1:8" s="64" customFormat="1">
      <c r="A645">
        <v>13236100</v>
      </c>
      <c r="B645" t="s">
        <v>165</v>
      </c>
      <c r="C645" t="s">
        <v>164</v>
      </c>
      <c r="D645" t="s">
        <v>83</v>
      </c>
      <c r="E645" s="118" t="s">
        <v>1423</v>
      </c>
      <c r="F645" s="119">
        <v>0.36283564814814812</v>
      </c>
      <c r="G645" t="s">
        <v>1421</v>
      </c>
      <c r="H645" t="s">
        <v>1336</v>
      </c>
    </row>
    <row r="646" spans="1:8" s="64" customFormat="1">
      <c r="A646">
        <v>13236100</v>
      </c>
      <c r="B646" t="s">
        <v>165</v>
      </c>
      <c r="C646" t="s">
        <v>164</v>
      </c>
      <c r="D646" t="s">
        <v>83</v>
      </c>
      <c r="E646" s="118" t="s">
        <v>1424</v>
      </c>
      <c r="F646" s="119">
        <v>0.8189467592592593</v>
      </c>
      <c r="G646" t="s">
        <v>1422</v>
      </c>
      <c r="H646" t="s">
        <v>1337</v>
      </c>
    </row>
    <row r="647" spans="1:8" s="64" customFormat="1">
      <c r="A647">
        <v>13236100</v>
      </c>
      <c r="B647" t="s">
        <v>165</v>
      </c>
      <c r="C647" t="s">
        <v>164</v>
      </c>
      <c r="D647" t="s">
        <v>83</v>
      </c>
      <c r="E647" s="118" t="s">
        <v>1424</v>
      </c>
      <c r="F647" s="119">
        <v>0.35728009259259258</v>
      </c>
      <c r="G647" t="s">
        <v>1421</v>
      </c>
      <c r="H647" t="s">
        <v>1336</v>
      </c>
    </row>
    <row r="648" spans="1:8" s="64" customFormat="1">
      <c r="A648">
        <v>13236100</v>
      </c>
      <c r="B648" t="s">
        <v>165</v>
      </c>
      <c r="C648" t="s">
        <v>164</v>
      </c>
      <c r="D648" t="s">
        <v>83</v>
      </c>
      <c r="E648" s="118" t="s">
        <v>1425</v>
      </c>
      <c r="F648" s="119">
        <v>0.79861111111111116</v>
      </c>
      <c r="G648" t="s">
        <v>1422</v>
      </c>
      <c r="H648" t="s">
        <v>1337</v>
      </c>
    </row>
    <row r="649" spans="1:8" s="64" customFormat="1">
      <c r="A649">
        <v>13236100</v>
      </c>
      <c r="B649" t="s">
        <v>165</v>
      </c>
      <c r="C649" t="s">
        <v>164</v>
      </c>
      <c r="D649" t="s">
        <v>83</v>
      </c>
      <c r="E649" s="118" t="s">
        <v>1425</v>
      </c>
      <c r="F649" s="119">
        <v>0.35567129629629629</v>
      </c>
      <c r="G649" t="s">
        <v>1421</v>
      </c>
      <c r="H649" t="s">
        <v>1336</v>
      </c>
    </row>
    <row r="650" spans="1:8" s="64" customFormat="1">
      <c r="A650">
        <v>13236100</v>
      </c>
      <c r="B650" t="s">
        <v>165</v>
      </c>
      <c r="C650" t="s">
        <v>164</v>
      </c>
      <c r="D650" t="s">
        <v>83</v>
      </c>
      <c r="E650" s="118" t="s">
        <v>1426</v>
      </c>
      <c r="F650" s="119">
        <v>0.75521990740740741</v>
      </c>
      <c r="G650" t="s">
        <v>1422</v>
      </c>
      <c r="H650" t="s">
        <v>1337</v>
      </c>
    </row>
    <row r="651" spans="1:8" s="64" customFormat="1">
      <c r="A651">
        <v>13236100</v>
      </c>
      <c r="B651" t="s">
        <v>165</v>
      </c>
      <c r="C651" t="s">
        <v>164</v>
      </c>
      <c r="D651" t="s">
        <v>83</v>
      </c>
      <c r="E651" s="118" t="s">
        <v>1426</v>
      </c>
      <c r="F651" s="119">
        <v>0.36826388888888889</v>
      </c>
      <c r="G651" t="s">
        <v>1421</v>
      </c>
      <c r="H651" t="s">
        <v>1336</v>
      </c>
    </row>
    <row r="652" spans="1:8" s="64" customFormat="1">
      <c r="A652">
        <v>13295279</v>
      </c>
      <c r="B652" t="s">
        <v>1228</v>
      </c>
      <c r="C652" t="s">
        <v>1226</v>
      </c>
      <c r="D652" t="s">
        <v>1227</v>
      </c>
      <c r="E652" s="118" t="s">
        <v>1420</v>
      </c>
      <c r="F652" s="119">
        <v>0.33414351851851848</v>
      </c>
      <c r="G652" t="s">
        <v>1422</v>
      </c>
      <c r="H652" t="s">
        <v>1337</v>
      </c>
    </row>
    <row r="653" spans="1:8" s="64" customFormat="1">
      <c r="A653">
        <v>13295279</v>
      </c>
      <c r="B653" t="s">
        <v>1228</v>
      </c>
      <c r="C653" t="s">
        <v>1226</v>
      </c>
      <c r="D653" t="s">
        <v>1227</v>
      </c>
      <c r="E653" s="118" t="s">
        <v>1420</v>
      </c>
      <c r="F653" s="119">
        <v>1.0543981481481481E-2</v>
      </c>
      <c r="G653" t="s">
        <v>1421</v>
      </c>
      <c r="H653" t="s">
        <v>1336</v>
      </c>
    </row>
    <row r="654" spans="1:8" s="64" customFormat="1">
      <c r="A654">
        <v>13295279</v>
      </c>
      <c r="B654" t="s">
        <v>1228</v>
      </c>
      <c r="C654" t="s">
        <v>1226</v>
      </c>
      <c r="D654" t="s">
        <v>1227</v>
      </c>
      <c r="E654" s="118" t="s">
        <v>1420</v>
      </c>
      <c r="F654" s="119">
        <v>0.91506944444444438</v>
      </c>
      <c r="G654" t="s">
        <v>1421</v>
      </c>
      <c r="H654" t="s">
        <v>1336</v>
      </c>
    </row>
    <row r="655" spans="1:8" s="64" customFormat="1">
      <c r="A655">
        <v>13295279</v>
      </c>
      <c r="B655" t="s">
        <v>1228</v>
      </c>
      <c r="C655" t="s">
        <v>1226</v>
      </c>
      <c r="D655" t="s">
        <v>1227</v>
      </c>
      <c r="E655" s="118" t="s">
        <v>1423</v>
      </c>
      <c r="F655" s="119">
        <v>0.32425925925925925</v>
      </c>
      <c r="G655" t="s">
        <v>1422</v>
      </c>
      <c r="H655" t="s">
        <v>1337</v>
      </c>
    </row>
    <row r="656" spans="1:8" s="64" customFormat="1">
      <c r="A656">
        <v>13295279</v>
      </c>
      <c r="B656" t="s">
        <v>1228</v>
      </c>
      <c r="C656" t="s">
        <v>1226</v>
      </c>
      <c r="D656" t="s">
        <v>1227</v>
      </c>
      <c r="E656" s="118" t="s">
        <v>1423</v>
      </c>
      <c r="F656" s="119">
        <v>0.91802083333333329</v>
      </c>
      <c r="G656" t="s">
        <v>1421</v>
      </c>
      <c r="H656" t="s">
        <v>1336</v>
      </c>
    </row>
    <row r="657" spans="1:8" s="64" customFormat="1">
      <c r="A657">
        <v>13295279</v>
      </c>
      <c r="B657" t="s">
        <v>1228</v>
      </c>
      <c r="C657" t="s">
        <v>1226</v>
      </c>
      <c r="D657" t="s">
        <v>1227</v>
      </c>
      <c r="E657" s="118" t="s">
        <v>1424</v>
      </c>
      <c r="F657" s="119">
        <v>0.32768518518518519</v>
      </c>
      <c r="G657" t="s">
        <v>1422</v>
      </c>
      <c r="H657" t="s">
        <v>1337</v>
      </c>
    </row>
    <row r="658" spans="1:8" s="64" customFormat="1">
      <c r="A658">
        <v>13295279</v>
      </c>
      <c r="B658" t="s">
        <v>1228</v>
      </c>
      <c r="C658" t="s">
        <v>1226</v>
      </c>
      <c r="D658" t="s">
        <v>1227</v>
      </c>
      <c r="E658" s="118" t="s">
        <v>1424</v>
      </c>
      <c r="F658" s="119">
        <v>0.91839120370370375</v>
      </c>
      <c r="G658" t="s">
        <v>1421</v>
      </c>
      <c r="H658" t="s">
        <v>1336</v>
      </c>
    </row>
    <row r="659" spans="1:8" s="64" customFormat="1">
      <c r="A659">
        <v>13295279</v>
      </c>
      <c r="B659" t="s">
        <v>1228</v>
      </c>
      <c r="C659" t="s">
        <v>1226</v>
      </c>
      <c r="D659" t="s">
        <v>1227</v>
      </c>
      <c r="E659" s="118" t="s">
        <v>1425</v>
      </c>
      <c r="F659" s="119">
        <v>0.32872685185185185</v>
      </c>
      <c r="G659" t="s">
        <v>1422</v>
      </c>
      <c r="H659" t="s">
        <v>1337</v>
      </c>
    </row>
    <row r="660" spans="1:8" s="64" customFormat="1">
      <c r="A660">
        <v>13295279</v>
      </c>
      <c r="B660" t="s">
        <v>1228</v>
      </c>
      <c r="C660" t="s">
        <v>1226</v>
      </c>
      <c r="D660" t="s">
        <v>1227</v>
      </c>
      <c r="E660" s="118" t="s">
        <v>1425</v>
      </c>
      <c r="F660" s="119">
        <v>0.91447916666666673</v>
      </c>
      <c r="G660" t="s">
        <v>1421</v>
      </c>
      <c r="H660" t="s">
        <v>1336</v>
      </c>
    </row>
    <row r="661" spans="1:8" s="64" customFormat="1">
      <c r="A661">
        <v>13295279</v>
      </c>
      <c r="B661" t="s">
        <v>1228</v>
      </c>
      <c r="C661" t="s">
        <v>1226</v>
      </c>
      <c r="D661" t="s">
        <v>1227</v>
      </c>
      <c r="E661" s="118" t="s">
        <v>1426</v>
      </c>
      <c r="F661" s="119">
        <v>0.32505787037037037</v>
      </c>
      <c r="G661" t="s">
        <v>1422</v>
      </c>
      <c r="H661" t="s">
        <v>1337</v>
      </c>
    </row>
    <row r="662" spans="1:8" s="64" customFormat="1">
      <c r="A662">
        <v>13295279</v>
      </c>
      <c r="B662" t="s">
        <v>1228</v>
      </c>
      <c r="C662" t="s">
        <v>1226</v>
      </c>
      <c r="D662" t="s">
        <v>1227</v>
      </c>
      <c r="E662" s="118" t="s">
        <v>1426</v>
      </c>
      <c r="F662" s="119">
        <v>0.92722222222222228</v>
      </c>
      <c r="G662" t="s">
        <v>1421</v>
      </c>
      <c r="H662" t="s">
        <v>1336</v>
      </c>
    </row>
    <row r="663" spans="1:8" s="64" customFormat="1">
      <c r="A663">
        <v>13295279</v>
      </c>
      <c r="B663" t="s">
        <v>1228</v>
      </c>
      <c r="C663" t="s">
        <v>1226</v>
      </c>
      <c r="D663" t="s">
        <v>1227</v>
      </c>
      <c r="E663" s="118" t="s">
        <v>1427</v>
      </c>
      <c r="F663" s="119">
        <v>0.32791666666666669</v>
      </c>
      <c r="G663" t="s">
        <v>1422</v>
      </c>
      <c r="H663" t="s">
        <v>1337</v>
      </c>
    </row>
    <row r="664" spans="1:8" s="64" customFormat="1">
      <c r="A664">
        <v>13486907</v>
      </c>
      <c r="B664" t="s">
        <v>309</v>
      </c>
      <c r="C664" t="s">
        <v>449</v>
      </c>
      <c r="D664" t="s">
        <v>179</v>
      </c>
      <c r="E664" s="118" t="s">
        <v>1420</v>
      </c>
      <c r="F664" s="119">
        <v>0.63241898148148146</v>
      </c>
      <c r="G664" t="s">
        <v>1422</v>
      </c>
      <c r="H664" t="s">
        <v>1337</v>
      </c>
    </row>
    <row r="665" spans="1:8" s="64" customFormat="1">
      <c r="A665">
        <v>13486907</v>
      </c>
      <c r="B665" t="s">
        <v>309</v>
      </c>
      <c r="C665" t="s">
        <v>449</v>
      </c>
      <c r="D665" t="s">
        <v>179</v>
      </c>
      <c r="E665" s="118" t="s">
        <v>1420</v>
      </c>
      <c r="F665" s="119">
        <v>0.29071759259259261</v>
      </c>
      <c r="G665" t="s">
        <v>1421</v>
      </c>
      <c r="H665" t="s">
        <v>1336</v>
      </c>
    </row>
    <row r="666" spans="1:8" s="64" customFormat="1">
      <c r="A666">
        <v>13486907</v>
      </c>
      <c r="B666" t="s">
        <v>309</v>
      </c>
      <c r="C666" t="s">
        <v>449</v>
      </c>
      <c r="D666" t="s">
        <v>179</v>
      </c>
      <c r="E666" s="118" t="s">
        <v>1423</v>
      </c>
      <c r="F666" s="119">
        <v>0.62767361111111108</v>
      </c>
      <c r="G666" t="s">
        <v>1422</v>
      </c>
      <c r="H666" t="s">
        <v>1337</v>
      </c>
    </row>
    <row r="667" spans="1:8" s="64" customFormat="1">
      <c r="A667">
        <v>13486907</v>
      </c>
      <c r="B667" t="s">
        <v>309</v>
      </c>
      <c r="C667" t="s">
        <v>449</v>
      </c>
      <c r="D667" t="s">
        <v>179</v>
      </c>
      <c r="E667" s="118" t="s">
        <v>1423</v>
      </c>
      <c r="F667" s="119">
        <v>0.29060185185185183</v>
      </c>
      <c r="G667" t="s">
        <v>1421</v>
      </c>
      <c r="H667" t="s">
        <v>1336</v>
      </c>
    </row>
    <row r="668" spans="1:8" s="64" customFormat="1">
      <c r="A668">
        <v>13486907</v>
      </c>
      <c r="B668" t="s">
        <v>309</v>
      </c>
      <c r="C668" t="s">
        <v>449</v>
      </c>
      <c r="D668" t="s">
        <v>179</v>
      </c>
      <c r="E668" s="118" t="s">
        <v>1424</v>
      </c>
      <c r="F668" s="119">
        <v>0.63296296296296295</v>
      </c>
      <c r="G668" t="s">
        <v>1422</v>
      </c>
      <c r="H668" t="s">
        <v>1337</v>
      </c>
    </row>
    <row r="669" spans="1:8" s="64" customFormat="1">
      <c r="A669">
        <v>13486907</v>
      </c>
      <c r="B669" t="s">
        <v>309</v>
      </c>
      <c r="C669" t="s">
        <v>449</v>
      </c>
      <c r="D669" t="s">
        <v>179</v>
      </c>
      <c r="E669" s="118" t="s">
        <v>1424</v>
      </c>
      <c r="F669" s="119">
        <v>0.28907407407407409</v>
      </c>
      <c r="G669" t="s">
        <v>1421</v>
      </c>
      <c r="H669" t="s">
        <v>1336</v>
      </c>
    </row>
    <row r="670" spans="1:8" s="64" customFormat="1">
      <c r="A670">
        <v>13486907</v>
      </c>
      <c r="B670" t="s">
        <v>309</v>
      </c>
      <c r="C670" t="s">
        <v>449</v>
      </c>
      <c r="D670" t="s">
        <v>179</v>
      </c>
      <c r="E670" s="118" t="s">
        <v>1425</v>
      </c>
      <c r="F670" s="119">
        <v>0.62357638888888889</v>
      </c>
      <c r="G670" t="s">
        <v>1422</v>
      </c>
      <c r="H670" t="s">
        <v>1337</v>
      </c>
    </row>
    <row r="671" spans="1:8" s="64" customFormat="1">
      <c r="A671">
        <v>13486907</v>
      </c>
      <c r="B671" t="s">
        <v>309</v>
      </c>
      <c r="C671" t="s">
        <v>449</v>
      </c>
      <c r="D671" t="s">
        <v>179</v>
      </c>
      <c r="E671" s="118" t="s">
        <v>1425</v>
      </c>
      <c r="F671" s="119">
        <v>0.29898148148148146</v>
      </c>
      <c r="G671" t="s">
        <v>1421</v>
      </c>
      <c r="H671" t="s">
        <v>1336</v>
      </c>
    </row>
    <row r="672" spans="1:8" s="64" customFormat="1">
      <c r="A672">
        <v>13486907</v>
      </c>
      <c r="B672" t="s">
        <v>309</v>
      </c>
      <c r="C672" t="s">
        <v>449</v>
      </c>
      <c r="D672" t="s">
        <v>179</v>
      </c>
      <c r="E672" s="118" t="s">
        <v>1426</v>
      </c>
      <c r="F672" s="119">
        <v>0.63518518518518519</v>
      </c>
      <c r="G672" t="s">
        <v>1422</v>
      </c>
      <c r="H672" t="s">
        <v>1337</v>
      </c>
    </row>
    <row r="673" spans="1:8" s="64" customFormat="1">
      <c r="A673">
        <v>13486907</v>
      </c>
      <c r="B673" t="s">
        <v>309</v>
      </c>
      <c r="C673" t="s">
        <v>449</v>
      </c>
      <c r="D673" t="s">
        <v>179</v>
      </c>
      <c r="E673" s="118" t="s">
        <v>1426</v>
      </c>
      <c r="F673" s="119">
        <v>0.29298611111111111</v>
      </c>
      <c r="G673" t="s">
        <v>1421</v>
      </c>
      <c r="H673" t="s">
        <v>1336</v>
      </c>
    </row>
    <row r="674" spans="1:8" s="64" customFormat="1">
      <c r="A674">
        <v>13486907</v>
      </c>
      <c r="B674" t="s">
        <v>309</v>
      </c>
      <c r="C674" t="s">
        <v>449</v>
      </c>
      <c r="D674" t="s">
        <v>179</v>
      </c>
      <c r="E674" s="118" t="s">
        <v>1427</v>
      </c>
      <c r="F674" s="119">
        <v>0.62688657407407411</v>
      </c>
      <c r="G674" t="s">
        <v>1422</v>
      </c>
      <c r="H674" t="s">
        <v>1337</v>
      </c>
    </row>
    <row r="675" spans="1:8" s="64" customFormat="1">
      <c r="A675">
        <v>13486907</v>
      </c>
      <c r="B675" t="s">
        <v>309</v>
      </c>
      <c r="C675" t="s">
        <v>449</v>
      </c>
      <c r="D675" t="s">
        <v>179</v>
      </c>
      <c r="E675" s="118" t="s">
        <v>1427</v>
      </c>
      <c r="F675" s="119">
        <v>0.29138888888888886</v>
      </c>
      <c r="G675" t="s">
        <v>1421</v>
      </c>
      <c r="H675" t="s">
        <v>1336</v>
      </c>
    </row>
    <row r="676" spans="1:8" s="64" customFormat="1">
      <c r="A676">
        <v>13557248</v>
      </c>
      <c r="B676" t="s">
        <v>151</v>
      </c>
      <c r="C676" t="s">
        <v>149</v>
      </c>
      <c r="D676" t="s">
        <v>150</v>
      </c>
      <c r="E676" s="118" t="s">
        <v>1420</v>
      </c>
      <c r="F676" s="119">
        <v>0.35031250000000003</v>
      </c>
      <c r="G676" t="s">
        <v>1422</v>
      </c>
      <c r="H676" t="s">
        <v>1337</v>
      </c>
    </row>
    <row r="677" spans="1:8" s="64" customFormat="1">
      <c r="A677">
        <v>13557248</v>
      </c>
      <c r="B677" t="s">
        <v>151</v>
      </c>
      <c r="C677" t="s">
        <v>149</v>
      </c>
      <c r="D677" t="s">
        <v>150</v>
      </c>
      <c r="E677" s="118" t="s">
        <v>1420</v>
      </c>
      <c r="F677" s="119">
        <v>4.0393518518518521E-3</v>
      </c>
      <c r="G677" t="s">
        <v>1421</v>
      </c>
      <c r="H677" t="s">
        <v>1336</v>
      </c>
    </row>
    <row r="678" spans="1:8" s="64" customFormat="1">
      <c r="A678">
        <v>13557248</v>
      </c>
      <c r="B678" t="s">
        <v>151</v>
      </c>
      <c r="C678" t="s">
        <v>149</v>
      </c>
      <c r="D678" t="s">
        <v>150</v>
      </c>
      <c r="E678" s="118" t="s">
        <v>1423</v>
      </c>
      <c r="F678" s="119">
        <v>0.81896990740740738</v>
      </c>
      <c r="G678" t="s">
        <v>1422</v>
      </c>
      <c r="H678" t="s">
        <v>1337</v>
      </c>
    </row>
    <row r="679" spans="1:8" s="64" customFormat="1">
      <c r="A679">
        <v>13557248</v>
      </c>
      <c r="B679" t="s">
        <v>151</v>
      </c>
      <c r="C679" t="s">
        <v>149</v>
      </c>
      <c r="D679" t="s">
        <v>150</v>
      </c>
      <c r="E679" s="118" t="s">
        <v>1423</v>
      </c>
      <c r="F679" s="119">
        <v>0.31578703703703703</v>
      </c>
      <c r="G679" t="s">
        <v>1421</v>
      </c>
      <c r="H679" t="s">
        <v>1336</v>
      </c>
    </row>
    <row r="680" spans="1:8" s="64" customFormat="1">
      <c r="A680">
        <v>13557248</v>
      </c>
      <c r="B680" t="s">
        <v>151</v>
      </c>
      <c r="C680" t="s">
        <v>149</v>
      </c>
      <c r="D680" t="s">
        <v>150</v>
      </c>
      <c r="E680" s="118" t="s">
        <v>1424</v>
      </c>
      <c r="F680" s="119">
        <v>0.85385416666666669</v>
      </c>
      <c r="G680" t="s">
        <v>1422</v>
      </c>
      <c r="H680" t="s">
        <v>1337</v>
      </c>
    </row>
    <row r="681" spans="1:8" s="64" customFormat="1">
      <c r="A681">
        <v>13557248</v>
      </c>
      <c r="B681" t="s">
        <v>151</v>
      </c>
      <c r="C681" t="s">
        <v>149</v>
      </c>
      <c r="D681" t="s">
        <v>150</v>
      </c>
      <c r="E681" s="118" t="s">
        <v>1424</v>
      </c>
      <c r="F681" s="119">
        <v>0.31509259259259259</v>
      </c>
      <c r="G681" t="s">
        <v>1421</v>
      </c>
      <c r="H681" t="s">
        <v>1336</v>
      </c>
    </row>
    <row r="682" spans="1:8" s="64" customFormat="1">
      <c r="A682">
        <v>13557248</v>
      </c>
      <c r="B682" t="s">
        <v>151</v>
      </c>
      <c r="C682" t="s">
        <v>149</v>
      </c>
      <c r="D682" t="s">
        <v>150</v>
      </c>
      <c r="E682" s="118" t="s">
        <v>1425</v>
      </c>
      <c r="F682" s="119">
        <v>0.3162847222222222</v>
      </c>
      <c r="G682" t="s">
        <v>1421</v>
      </c>
      <c r="H682" t="s">
        <v>1336</v>
      </c>
    </row>
    <row r="683" spans="1:8" s="64" customFormat="1">
      <c r="A683">
        <v>13557248</v>
      </c>
      <c r="B683" t="s">
        <v>151</v>
      </c>
      <c r="C683" t="s">
        <v>149</v>
      </c>
      <c r="D683" t="s">
        <v>150</v>
      </c>
      <c r="E683" s="118" t="s">
        <v>1425</v>
      </c>
      <c r="F683" s="119">
        <v>0.75315972222222216</v>
      </c>
      <c r="G683" t="s">
        <v>1421</v>
      </c>
      <c r="H683" t="s">
        <v>1336</v>
      </c>
    </row>
    <row r="684" spans="1:8" s="64" customFormat="1">
      <c r="A684">
        <v>13557248</v>
      </c>
      <c r="B684" t="s">
        <v>151</v>
      </c>
      <c r="C684" t="s">
        <v>149</v>
      </c>
      <c r="D684" t="s">
        <v>150</v>
      </c>
      <c r="E684" s="118" t="s">
        <v>1426</v>
      </c>
      <c r="F684" s="119">
        <v>0.67237268518518523</v>
      </c>
      <c r="G684" t="s">
        <v>1422</v>
      </c>
      <c r="H684" t="s">
        <v>1337</v>
      </c>
    </row>
    <row r="685" spans="1:8" s="64" customFormat="1">
      <c r="A685">
        <v>13557248</v>
      </c>
      <c r="B685" t="s">
        <v>151</v>
      </c>
      <c r="C685" t="s">
        <v>149</v>
      </c>
      <c r="D685" t="s">
        <v>150</v>
      </c>
      <c r="E685" s="118" t="s">
        <v>1426</v>
      </c>
      <c r="F685" s="119">
        <v>0.31231481481481482</v>
      </c>
      <c r="G685" t="s">
        <v>1421</v>
      </c>
      <c r="H685" t="s">
        <v>1336</v>
      </c>
    </row>
    <row r="686" spans="1:8" s="64" customFormat="1">
      <c r="A686">
        <v>13681026</v>
      </c>
      <c r="B686" t="s">
        <v>739</v>
      </c>
      <c r="C686" t="s">
        <v>737</v>
      </c>
      <c r="D686" t="s">
        <v>738</v>
      </c>
      <c r="E686" s="118" t="s">
        <v>1420</v>
      </c>
      <c r="F686" s="119">
        <v>0.64091435185185186</v>
      </c>
      <c r="G686" t="s">
        <v>1422</v>
      </c>
      <c r="H686" t="s">
        <v>1337</v>
      </c>
    </row>
    <row r="687" spans="1:8" s="64" customFormat="1">
      <c r="A687">
        <v>13681026</v>
      </c>
      <c r="B687" t="s">
        <v>739</v>
      </c>
      <c r="C687" t="s">
        <v>737</v>
      </c>
      <c r="D687" t="s">
        <v>738</v>
      </c>
      <c r="E687" s="118" t="s">
        <v>1420</v>
      </c>
      <c r="F687" s="119">
        <v>0.29075231481481484</v>
      </c>
      <c r="G687" t="s">
        <v>1421</v>
      </c>
      <c r="H687" t="s">
        <v>1336</v>
      </c>
    </row>
    <row r="688" spans="1:8" s="64" customFormat="1">
      <c r="A688">
        <v>13681026</v>
      </c>
      <c r="B688" t="s">
        <v>739</v>
      </c>
      <c r="C688" t="s">
        <v>737</v>
      </c>
      <c r="D688" t="s">
        <v>738</v>
      </c>
      <c r="E688" s="118" t="s">
        <v>1423</v>
      </c>
      <c r="F688" s="119">
        <v>0.6381944444444444</v>
      </c>
      <c r="G688" t="s">
        <v>1422</v>
      </c>
      <c r="H688" t="s">
        <v>1337</v>
      </c>
    </row>
    <row r="689" spans="1:8" s="64" customFormat="1">
      <c r="A689">
        <v>13681026</v>
      </c>
      <c r="B689" t="s">
        <v>739</v>
      </c>
      <c r="C689" t="s">
        <v>737</v>
      </c>
      <c r="D689" t="s">
        <v>738</v>
      </c>
      <c r="E689" s="118" t="s">
        <v>1423</v>
      </c>
      <c r="F689" s="119">
        <v>0.35446759259259258</v>
      </c>
      <c r="G689" t="s">
        <v>1421</v>
      </c>
      <c r="H689" t="s">
        <v>1336</v>
      </c>
    </row>
    <row r="690" spans="1:8" s="64" customFormat="1">
      <c r="A690">
        <v>13681026</v>
      </c>
      <c r="B690" t="s">
        <v>739</v>
      </c>
      <c r="C690" t="s">
        <v>737</v>
      </c>
      <c r="D690" t="s">
        <v>738</v>
      </c>
      <c r="E690" s="118" t="s">
        <v>1424</v>
      </c>
      <c r="F690" s="119">
        <v>0.64315972222222217</v>
      </c>
      <c r="G690" t="s">
        <v>1422</v>
      </c>
      <c r="H690" t="s">
        <v>1337</v>
      </c>
    </row>
    <row r="691" spans="1:8" s="64" customFormat="1">
      <c r="A691">
        <v>13681026</v>
      </c>
      <c r="B691" t="s">
        <v>739</v>
      </c>
      <c r="C691" t="s">
        <v>737</v>
      </c>
      <c r="D691" t="s">
        <v>738</v>
      </c>
      <c r="E691" s="118" t="s">
        <v>1424</v>
      </c>
      <c r="F691" s="119">
        <v>0.29596064814814815</v>
      </c>
      <c r="G691" t="s">
        <v>1421</v>
      </c>
      <c r="H691" t="s">
        <v>1336</v>
      </c>
    </row>
    <row r="692" spans="1:8" s="64" customFormat="1">
      <c r="A692">
        <v>13681026</v>
      </c>
      <c r="B692" t="s">
        <v>739</v>
      </c>
      <c r="C692" t="s">
        <v>737</v>
      </c>
      <c r="D692" t="s">
        <v>738</v>
      </c>
      <c r="E692" s="118" t="s">
        <v>1425</v>
      </c>
      <c r="F692" s="119">
        <v>0.63341435185185191</v>
      </c>
      <c r="G692" t="s">
        <v>1422</v>
      </c>
      <c r="H692" t="s">
        <v>1337</v>
      </c>
    </row>
    <row r="693" spans="1:8" s="64" customFormat="1">
      <c r="A693">
        <v>13681026</v>
      </c>
      <c r="B693" t="s">
        <v>739</v>
      </c>
      <c r="C693" t="s">
        <v>737</v>
      </c>
      <c r="D693" t="s">
        <v>738</v>
      </c>
      <c r="E693" s="118" t="s">
        <v>1425</v>
      </c>
      <c r="F693" s="119">
        <v>0.29993055555555553</v>
      </c>
      <c r="G693" t="s">
        <v>1421</v>
      </c>
      <c r="H693" t="s">
        <v>1336</v>
      </c>
    </row>
    <row r="694" spans="1:8" s="64" customFormat="1">
      <c r="A694">
        <v>13681026</v>
      </c>
      <c r="B694" t="s">
        <v>739</v>
      </c>
      <c r="C694" t="s">
        <v>737</v>
      </c>
      <c r="D694" t="s">
        <v>738</v>
      </c>
      <c r="E694" s="118" t="s">
        <v>1426</v>
      </c>
      <c r="F694" s="119">
        <v>0.6390393518518519</v>
      </c>
      <c r="G694" t="s">
        <v>1422</v>
      </c>
      <c r="H694" t="s">
        <v>1337</v>
      </c>
    </row>
    <row r="695" spans="1:8" s="64" customFormat="1">
      <c r="A695">
        <v>13681026</v>
      </c>
      <c r="B695" t="s">
        <v>739</v>
      </c>
      <c r="C695" t="s">
        <v>737</v>
      </c>
      <c r="D695" t="s">
        <v>738</v>
      </c>
      <c r="E695" s="118" t="s">
        <v>1426</v>
      </c>
      <c r="F695" s="119">
        <v>0.29693287037037036</v>
      </c>
      <c r="G695" t="s">
        <v>1421</v>
      </c>
      <c r="H695" t="s">
        <v>1336</v>
      </c>
    </row>
    <row r="696" spans="1:8" s="64" customFormat="1">
      <c r="A696">
        <v>13681026</v>
      </c>
      <c r="B696" t="s">
        <v>739</v>
      </c>
      <c r="C696" t="s">
        <v>737</v>
      </c>
      <c r="D696" t="s">
        <v>738</v>
      </c>
      <c r="E696" s="118" t="s">
        <v>1427</v>
      </c>
      <c r="F696" s="119">
        <v>0.62699074074074079</v>
      </c>
      <c r="G696" t="s">
        <v>1422</v>
      </c>
      <c r="H696" t="s">
        <v>1337</v>
      </c>
    </row>
    <row r="697" spans="1:8" s="64" customFormat="1">
      <c r="A697">
        <v>13681026</v>
      </c>
      <c r="B697" t="s">
        <v>739</v>
      </c>
      <c r="C697" t="s">
        <v>737</v>
      </c>
      <c r="D697" t="s">
        <v>738</v>
      </c>
      <c r="E697" s="118" t="s">
        <v>1427</v>
      </c>
      <c r="F697" s="119">
        <v>0.29452546296296295</v>
      </c>
      <c r="G697" t="s">
        <v>1421</v>
      </c>
      <c r="H697" t="s">
        <v>1336</v>
      </c>
    </row>
    <row r="698" spans="1:8" s="64" customFormat="1">
      <c r="A698">
        <v>13701209</v>
      </c>
      <c r="B698" t="s">
        <v>980</v>
      </c>
      <c r="C698" t="s">
        <v>975</v>
      </c>
      <c r="D698" t="s">
        <v>706</v>
      </c>
      <c r="E698" s="118" t="s">
        <v>1420</v>
      </c>
      <c r="F698" s="119">
        <v>0.9425</v>
      </c>
      <c r="G698" t="s">
        <v>1422</v>
      </c>
      <c r="H698" t="s">
        <v>1337</v>
      </c>
    </row>
    <row r="699" spans="1:8" s="64" customFormat="1">
      <c r="A699">
        <v>13701209</v>
      </c>
      <c r="B699" t="s">
        <v>980</v>
      </c>
      <c r="C699" t="s">
        <v>975</v>
      </c>
      <c r="D699" t="s">
        <v>706</v>
      </c>
      <c r="E699" s="118" t="s">
        <v>1420</v>
      </c>
      <c r="F699" s="119">
        <v>0.60895833333333338</v>
      </c>
      <c r="G699" t="s">
        <v>1421</v>
      </c>
      <c r="H699" t="s">
        <v>1336</v>
      </c>
    </row>
    <row r="700" spans="1:8" s="64" customFormat="1">
      <c r="A700">
        <v>13701209</v>
      </c>
      <c r="B700" t="s">
        <v>980</v>
      </c>
      <c r="C700" t="s">
        <v>975</v>
      </c>
      <c r="D700" t="s">
        <v>706</v>
      </c>
      <c r="E700" s="118" t="s">
        <v>1423</v>
      </c>
      <c r="F700" s="119">
        <v>0.94557870370370367</v>
      </c>
      <c r="G700" t="s">
        <v>1422</v>
      </c>
      <c r="H700" t="s">
        <v>1337</v>
      </c>
    </row>
    <row r="701" spans="1:8" s="64" customFormat="1">
      <c r="A701">
        <v>13701209</v>
      </c>
      <c r="B701" t="s">
        <v>980</v>
      </c>
      <c r="C701" t="s">
        <v>975</v>
      </c>
      <c r="D701" t="s">
        <v>706</v>
      </c>
      <c r="E701" s="118" t="s">
        <v>1423</v>
      </c>
      <c r="F701" s="119">
        <v>0.6050578703703704</v>
      </c>
      <c r="G701" t="s">
        <v>1421</v>
      </c>
      <c r="H701" t="s">
        <v>1336</v>
      </c>
    </row>
    <row r="702" spans="1:8" s="64" customFormat="1">
      <c r="A702">
        <v>13701209</v>
      </c>
      <c r="B702" t="s">
        <v>980</v>
      </c>
      <c r="C702" t="s">
        <v>975</v>
      </c>
      <c r="D702" t="s">
        <v>706</v>
      </c>
      <c r="E702" s="118" t="s">
        <v>1424</v>
      </c>
      <c r="F702" s="119">
        <v>0.9435069444444445</v>
      </c>
      <c r="G702" t="s">
        <v>1422</v>
      </c>
      <c r="H702" t="s">
        <v>1337</v>
      </c>
    </row>
    <row r="703" spans="1:8" s="64" customFormat="1">
      <c r="A703">
        <v>13701209</v>
      </c>
      <c r="B703" t="s">
        <v>980</v>
      </c>
      <c r="C703" t="s">
        <v>975</v>
      </c>
      <c r="D703" t="s">
        <v>706</v>
      </c>
      <c r="E703" s="118" t="s">
        <v>1424</v>
      </c>
      <c r="F703" s="119">
        <v>0.60796296296296293</v>
      </c>
      <c r="G703" t="s">
        <v>1421</v>
      </c>
      <c r="H703" t="s">
        <v>1336</v>
      </c>
    </row>
    <row r="704" spans="1:8" s="64" customFormat="1">
      <c r="A704">
        <v>13701209</v>
      </c>
      <c r="B704" t="s">
        <v>980</v>
      </c>
      <c r="C704" t="s">
        <v>975</v>
      </c>
      <c r="D704" t="s">
        <v>706</v>
      </c>
      <c r="E704" s="118" t="s">
        <v>1425</v>
      </c>
      <c r="F704" s="119">
        <v>0.94106481481481474</v>
      </c>
      <c r="G704" t="s">
        <v>1422</v>
      </c>
      <c r="H704" t="s">
        <v>1337</v>
      </c>
    </row>
    <row r="705" spans="1:8" s="64" customFormat="1">
      <c r="A705">
        <v>13701209</v>
      </c>
      <c r="B705" t="s">
        <v>980</v>
      </c>
      <c r="C705" t="s">
        <v>975</v>
      </c>
      <c r="D705" t="s">
        <v>706</v>
      </c>
      <c r="E705" s="118" t="s">
        <v>1425</v>
      </c>
      <c r="F705" s="119">
        <v>0.60704861111111108</v>
      </c>
      <c r="G705" t="s">
        <v>1421</v>
      </c>
      <c r="H705" t="s">
        <v>1336</v>
      </c>
    </row>
    <row r="706" spans="1:8" s="64" customFormat="1">
      <c r="A706">
        <v>13701209</v>
      </c>
      <c r="B706" t="s">
        <v>980</v>
      </c>
      <c r="C706" t="s">
        <v>975</v>
      </c>
      <c r="D706" t="s">
        <v>706</v>
      </c>
      <c r="E706" s="118" t="s">
        <v>1426</v>
      </c>
      <c r="F706" s="119">
        <v>0.94837962962962974</v>
      </c>
      <c r="G706" t="s">
        <v>1422</v>
      </c>
      <c r="H706" t="s">
        <v>1337</v>
      </c>
    </row>
    <row r="707" spans="1:8" s="64" customFormat="1">
      <c r="A707">
        <v>13701209</v>
      </c>
      <c r="B707" t="s">
        <v>980</v>
      </c>
      <c r="C707" t="s">
        <v>975</v>
      </c>
      <c r="D707" t="s">
        <v>706</v>
      </c>
      <c r="E707" s="118" t="s">
        <v>1426</v>
      </c>
      <c r="F707" s="119">
        <v>0.60616898148148146</v>
      </c>
      <c r="G707" t="s">
        <v>1421</v>
      </c>
      <c r="H707" t="s">
        <v>1336</v>
      </c>
    </row>
    <row r="708" spans="1:8" s="64" customFormat="1">
      <c r="A708">
        <v>13701209</v>
      </c>
      <c r="B708" t="s">
        <v>980</v>
      </c>
      <c r="C708" t="s">
        <v>975</v>
      </c>
      <c r="D708" t="s">
        <v>706</v>
      </c>
      <c r="E708" s="118" t="s">
        <v>1427</v>
      </c>
      <c r="F708" s="119">
        <v>0.63481481481481483</v>
      </c>
      <c r="G708" t="s">
        <v>1422</v>
      </c>
      <c r="H708" t="s">
        <v>1337</v>
      </c>
    </row>
    <row r="709" spans="1:8" s="64" customFormat="1">
      <c r="A709">
        <v>13701209</v>
      </c>
      <c r="B709" t="s">
        <v>980</v>
      </c>
      <c r="C709" t="s">
        <v>975</v>
      </c>
      <c r="D709" t="s">
        <v>706</v>
      </c>
      <c r="E709" s="118" t="s">
        <v>1427</v>
      </c>
      <c r="F709" s="119">
        <v>0.2946759259259259</v>
      </c>
      <c r="G709" t="s">
        <v>1421</v>
      </c>
      <c r="H709" t="s">
        <v>1336</v>
      </c>
    </row>
    <row r="710" spans="1:8" s="64" customFormat="1">
      <c r="A710">
        <v>13769935</v>
      </c>
      <c r="B710" t="s">
        <v>534</v>
      </c>
      <c r="C710" t="s">
        <v>533</v>
      </c>
      <c r="D710" t="s">
        <v>120</v>
      </c>
      <c r="E710" s="118" t="s">
        <v>1424</v>
      </c>
      <c r="F710" s="119">
        <v>0.87563657407407414</v>
      </c>
      <c r="G710" t="s">
        <v>1422</v>
      </c>
      <c r="H710" t="s">
        <v>1337</v>
      </c>
    </row>
    <row r="711" spans="1:8" s="64" customFormat="1">
      <c r="A711">
        <v>13769935</v>
      </c>
      <c r="B711" t="s">
        <v>534</v>
      </c>
      <c r="C711" t="s">
        <v>533</v>
      </c>
      <c r="D711" t="s">
        <v>120</v>
      </c>
      <c r="E711" s="118" t="s">
        <v>1424</v>
      </c>
      <c r="F711" s="119">
        <v>0.36288194444444444</v>
      </c>
      <c r="G711" t="s">
        <v>1421</v>
      </c>
      <c r="H711" t="s">
        <v>1336</v>
      </c>
    </row>
    <row r="712" spans="1:8" s="64" customFormat="1">
      <c r="A712">
        <v>13769935</v>
      </c>
      <c r="B712" t="s">
        <v>534</v>
      </c>
      <c r="C712" t="s">
        <v>533</v>
      </c>
      <c r="D712" t="s">
        <v>120</v>
      </c>
      <c r="E712" s="118" t="s">
        <v>1425</v>
      </c>
      <c r="F712" s="119">
        <v>0.78866898148148146</v>
      </c>
      <c r="G712" t="s">
        <v>1422</v>
      </c>
      <c r="H712" t="s">
        <v>1337</v>
      </c>
    </row>
    <row r="713" spans="1:8" s="64" customFormat="1">
      <c r="A713">
        <v>13769935</v>
      </c>
      <c r="B713" t="s">
        <v>534</v>
      </c>
      <c r="C713" t="s">
        <v>533</v>
      </c>
      <c r="D713" t="s">
        <v>120</v>
      </c>
      <c r="E713" s="118" t="s">
        <v>1425</v>
      </c>
      <c r="F713" s="119">
        <v>0.35373842592592591</v>
      </c>
      <c r="G713" t="s">
        <v>1421</v>
      </c>
      <c r="H713" t="s">
        <v>1336</v>
      </c>
    </row>
    <row r="714" spans="1:8" s="64" customFormat="1">
      <c r="A714">
        <v>13769935</v>
      </c>
      <c r="B714" t="s">
        <v>534</v>
      </c>
      <c r="C714" t="s">
        <v>533</v>
      </c>
      <c r="D714" t="s">
        <v>120</v>
      </c>
      <c r="E714" s="118" t="s">
        <v>1426</v>
      </c>
      <c r="F714" s="119">
        <v>0.72745370370370377</v>
      </c>
      <c r="G714" t="s">
        <v>1422</v>
      </c>
      <c r="H714" t="s">
        <v>1337</v>
      </c>
    </row>
    <row r="715" spans="1:8" s="64" customFormat="1">
      <c r="A715">
        <v>13769935</v>
      </c>
      <c r="B715" t="s">
        <v>534</v>
      </c>
      <c r="C715" t="s">
        <v>533</v>
      </c>
      <c r="D715" t="s">
        <v>120</v>
      </c>
      <c r="E715" s="118" t="s">
        <v>1426</v>
      </c>
      <c r="F715" s="119">
        <v>0.3583796296296296</v>
      </c>
      <c r="G715" t="s">
        <v>1421</v>
      </c>
      <c r="H715" t="s">
        <v>1336</v>
      </c>
    </row>
    <row r="716" spans="1:8" s="64" customFormat="1">
      <c r="A716">
        <v>13834251</v>
      </c>
      <c r="B716" t="s">
        <v>621</v>
      </c>
      <c r="C716" t="s">
        <v>296</v>
      </c>
      <c r="D716" t="s">
        <v>268</v>
      </c>
      <c r="E716" s="118" t="s">
        <v>1420</v>
      </c>
      <c r="F716" s="119">
        <v>0.77585648148148145</v>
      </c>
      <c r="G716" t="s">
        <v>1422</v>
      </c>
      <c r="H716" t="s">
        <v>1337</v>
      </c>
    </row>
    <row r="717" spans="1:8" s="64" customFormat="1">
      <c r="A717">
        <v>13834251</v>
      </c>
      <c r="B717" t="s">
        <v>621</v>
      </c>
      <c r="C717" t="s">
        <v>296</v>
      </c>
      <c r="D717" t="s">
        <v>268</v>
      </c>
      <c r="E717" s="118" t="s">
        <v>1420</v>
      </c>
      <c r="F717" s="119">
        <v>0.32402777777777775</v>
      </c>
      <c r="G717" t="s">
        <v>1421</v>
      </c>
      <c r="H717" t="s">
        <v>1336</v>
      </c>
    </row>
    <row r="718" spans="1:8" s="64" customFormat="1">
      <c r="A718">
        <v>13834251</v>
      </c>
      <c r="B718" t="s">
        <v>621</v>
      </c>
      <c r="C718" t="s">
        <v>296</v>
      </c>
      <c r="D718" t="s">
        <v>268</v>
      </c>
      <c r="E718" s="118" t="s">
        <v>1423</v>
      </c>
      <c r="F718" s="119">
        <v>0.78962962962962957</v>
      </c>
      <c r="G718" t="s">
        <v>1422</v>
      </c>
      <c r="H718" t="s">
        <v>1337</v>
      </c>
    </row>
    <row r="719" spans="1:8" s="64" customFormat="1">
      <c r="A719">
        <v>13834251</v>
      </c>
      <c r="B719" t="s">
        <v>621</v>
      </c>
      <c r="C719" t="s">
        <v>296</v>
      </c>
      <c r="D719" t="s">
        <v>268</v>
      </c>
      <c r="E719" s="118" t="s">
        <v>1423</v>
      </c>
      <c r="F719" s="119">
        <v>0.33493055555555556</v>
      </c>
      <c r="G719" t="s">
        <v>1421</v>
      </c>
      <c r="H719" t="s">
        <v>1336</v>
      </c>
    </row>
    <row r="720" spans="1:8" s="64" customFormat="1">
      <c r="A720">
        <v>13834251</v>
      </c>
      <c r="B720" t="s">
        <v>621</v>
      </c>
      <c r="C720" t="s">
        <v>296</v>
      </c>
      <c r="D720" t="s">
        <v>268</v>
      </c>
      <c r="E720" s="118" t="s">
        <v>1424</v>
      </c>
      <c r="F720" s="119">
        <v>0.78012731481481479</v>
      </c>
      <c r="G720" t="s">
        <v>1422</v>
      </c>
      <c r="H720" t="s">
        <v>1337</v>
      </c>
    </row>
    <row r="721" spans="1:8" s="64" customFormat="1">
      <c r="A721">
        <v>13834251</v>
      </c>
      <c r="B721" t="s">
        <v>621</v>
      </c>
      <c r="C721" t="s">
        <v>296</v>
      </c>
      <c r="D721" t="s">
        <v>268</v>
      </c>
      <c r="E721" s="118" t="s">
        <v>1424</v>
      </c>
      <c r="F721" s="119">
        <v>0.33402777777777781</v>
      </c>
      <c r="G721" t="s">
        <v>1421</v>
      </c>
      <c r="H721" t="s">
        <v>1336</v>
      </c>
    </row>
    <row r="722" spans="1:8" s="64" customFormat="1">
      <c r="A722">
        <v>13834251</v>
      </c>
      <c r="B722" t="s">
        <v>621</v>
      </c>
      <c r="C722" t="s">
        <v>296</v>
      </c>
      <c r="D722" t="s">
        <v>268</v>
      </c>
      <c r="E722" s="118" t="s">
        <v>1425</v>
      </c>
      <c r="F722" s="119">
        <v>0.78521990740740744</v>
      </c>
      <c r="G722" t="s">
        <v>1422</v>
      </c>
      <c r="H722" t="s">
        <v>1337</v>
      </c>
    </row>
    <row r="723" spans="1:8" s="64" customFormat="1">
      <c r="A723">
        <v>13834251</v>
      </c>
      <c r="B723" t="s">
        <v>621</v>
      </c>
      <c r="C723" t="s">
        <v>296</v>
      </c>
      <c r="D723" t="s">
        <v>268</v>
      </c>
      <c r="E723" s="118" t="s">
        <v>1425</v>
      </c>
      <c r="F723" s="119">
        <v>0.33357638888888891</v>
      </c>
      <c r="G723" t="s">
        <v>1421</v>
      </c>
      <c r="H723" t="s">
        <v>1336</v>
      </c>
    </row>
    <row r="724" spans="1:8" s="64" customFormat="1">
      <c r="A724">
        <v>13834251</v>
      </c>
      <c r="B724" t="s">
        <v>621</v>
      </c>
      <c r="C724" t="s">
        <v>296</v>
      </c>
      <c r="D724" t="s">
        <v>268</v>
      </c>
      <c r="E724" s="118" t="s">
        <v>1426</v>
      </c>
      <c r="F724" s="119">
        <v>0.75075231481481486</v>
      </c>
      <c r="G724" t="s">
        <v>1422</v>
      </c>
      <c r="H724" t="s">
        <v>1337</v>
      </c>
    </row>
    <row r="725" spans="1:8" s="64" customFormat="1">
      <c r="A725">
        <v>13834251</v>
      </c>
      <c r="B725" t="s">
        <v>621</v>
      </c>
      <c r="C725" t="s">
        <v>296</v>
      </c>
      <c r="D725" t="s">
        <v>268</v>
      </c>
      <c r="E725" s="118" t="s">
        <v>1426</v>
      </c>
      <c r="F725" s="119">
        <v>0.33604166666666663</v>
      </c>
      <c r="G725" t="s">
        <v>1421</v>
      </c>
      <c r="H725" t="s">
        <v>1336</v>
      </c>
    </row>
    <row r="726" spans="1:8" s="64" customFormat="1">
      <c r="A726">
        <v>13834251</v>
      </c>
      <c r="B726" t="s">
        <v>621</v>
      </c>
      <c r="C726" t="s">
        <v>296</v>
      </c>
      <c r="D726" t="s">
        <v>268</v>
      </c>
      <c r="E726" s="118" t="s">
        <v>1427</v>
      </c>
      <c r="F726" s="119">
        <v>0.63504629629629628</v>
      </c>
      <c r="G726" t="s">
        <v>1422</v>
      </c>
      <c r="H726" t="s">
        <v>1337</v>
      </c>
    </row>
    <row r="727" spans="1:8" s="64" customFormat="1">
      <c r="A727">
        <v>13834251</v>
      </c>
      <c r="B727" t="s">
        <v>621</v>
      </c>
      <c r="C727" t="s">
        <v>296</v>
      </c>
      <c r="D727" t="s">
        <v>268</v>
      </c>
      <c r="E727" s="118" t="s">
        <v>1427</v>
      </c>
      <c r="F727" s="119">
        <v>0.29982638888888891</v>
      </c>
      <c r="G727" t="s">
        <v>1421</v>
      </c>
      <c r="H727" t="s">
        <v>1336</v>
      </c>
    </row>
    <row r="728" spans="1:8" s="64" customFormat="1">
      <c r="A728">
        <v>13899407</v>
      </c>
      <c r="B728" t="s">
        <v>169</v>
      </c>
      <c r="C728" t="s">
        <v>164</v>
      </c>
      <c r="D728" t="s">
        <v>83</v>
      </c>
      <c r="E728" s="118" t="s">
        <v>1420</v>
      </c>
      <c r="F728" s="119">
        <v>0.31135416666666665</v>
      </c>
      <c r="G728" t="s">
        <v>1422</v>
      </c>
      <c r="H728" t="s">
        <v>1337</v>
      </c>
    </row>
    <row r="729" spans="1:8" s="64" customFormat="1">
      <c r="A729">
        <v>13899407</v>
      </c>
      <c r="B729" t="s">
        <v>169</v>
      </c>
      <c r="C729" t="s">
        <v>164</v>
      </c>
      <c r="D729" t="s">
        <v>83</v>
      </c>
      <c r="E729" s="118" t="s">
        <v>1420</v>
      </c>
      <c r="F729" s="119">
        <v>1.0763888888888889E-3</v>
      </c>
      <c r="G729" t="s">
        <v>1421</v>
      </c>
      <c r="H729" t="s">
        <v>1336</v>
      </c>
    </row>
    <row r="730" spans="1:8" s="64" customFormat="1">
      <c r="A730">
        <v>13899407</v>
      </c>
      <c r="B730" t="s">
        <v>169</v>
      </c>
      <c r="C730" t="s">
        <v>164</v>
      </c>
      <c r="D730" t="s">
        <v>83</v>
      </c>
      <c r="E730" s="118" t="s">
        <v>1420</v>
      </c>
      <c r="F730" s="119">
        <v>0.92151620370370368</v>
      </c>
      <c r="G730" t="s">
        <v>1421</v>
      </c>
      <c r="H730" t="s">
        <v>1336</v>
      </c>
    </row>
    <row r="731" spans="1:8" s="64" customFormat="1">
      <c r="A731">
        <v>13899407</v>
      </c>
      <c r="B731" t="s">
        <v>169</v>
      </c>
      <c r="C731" t="s">
        <v>164</v>
      </c>
      <c r="D731" t="s">
        <v>83</v>
      </c>
      <c r="E731" s="118" t="s">
        <v>1423</v>
      </c>
      <c r="F731" s="119">
        <v>0.31472222222222224</v>
      </c>
      <c r="G731" t="s">
        <v>1422</v>
      </c>
      <c r="H731" t="s">
        <v>1337</v>
      </c>
    </row>
    <row r="732" spans="1:8" s="64" customFormat="1">
      <c r="A732">
        <v>13899407</v>
      </c>
      <c r="B732" t="s">
        <v>169</v>
      </c>
      <c r="C732" t="s">
        <v>164</v>
      </c>
      <c r="D732" t="s">
        <v>83</v>
      </c>
      <c r="E732" s="118" t="s">
        <v>1423</v>
      </c>
      <c r="F732" s="119">
        <v>0.91983796296296294</v>
      </c>
      <c r="G732" t="s">
        <v>1421</v>
      </c>
      <c r="H732" t="s">
        <v>1336</v>
      </c>
    </row>
    <row r="733" spans="1:8" s="64" customFormat="1">
      <c r="A733">
        <v>13899407</v>
      </c>
      <c r="B733" t="s">
        <v>169</v>
      </c>
      <c r="C733" t="s">
        <v>164</v>
      </c>
      <c r="D733" t="s">
        <v>83</v>
      </c>
      <c r="E733" s="118" t="s">
        <v>1424</v>
      </c>
      <c r="F733" s="119">
        <v>0.31684027777777779</v>
      </c>
      <c r="G733" t="s">
        <v>1422</v>
      </c>
      <c r="H733" t="s">
        <v>1337</v>
      </c>
    </row>
    <row r="734" spans="1:8" s="64" customFormat="1">
      <c r="A734">
        <v>13899407</v>
      </c>
      <c r="B734" t="s">
        <v>169</v>
      </c>
      <c r="C734" t="s">
        <v>164</v>
      </c>
      <c r="D734" t="s">
        <v>83</v>
      </c>
      <c r="E734" s="118" t="s">
        <v>1424</v>
      </c>
      <c r="F734" s="119">
        <v>0.9215740740740741</v>
      </c>
      <c r="G734" t="s">
        <v>1421</v>
      </c>
      <c r="H734" t="s">
        <v>1336</v>
      </c>
    </row>
    <row r="735" spans="1:8" s="64" customFormat="1">
      <c r="A735">
        <v>13899407</v>
      </c>
      <c r="B735" t="s">
        <v>169</v>
      </c>
      <c r="C735" t="s">
        <v>164</v>
      </c>
      <c r="D735" t="s">
        <v>83</v>
      </c>
      <c r="E735" s="118" t="s">
        <v>1425</v>
      </c>
      <c r="F735" s="119">
        <v>0.32067129629629632</v>
      </c>
      <c r="G735" t="s">
        <v>1422</v>
      </c>
      <c r="H735" t="s">
        <v>1337</v>
      </c>
    </row>
    <row r="736" spans="1:8" s="64" customFormat="1">
      <c r="A736">
        <v>13899407</v>
      </c>
      <c r="B736" t="s">
        <v>169</v>
      </c>
      <c r="C736" t="s">
        <v>164</v>
      </c>
      <c r="D736" t="s">
        <v>83</v>
      </c>
      <c r="E736" s="118" t="s">
        <v>1425</v>
      </c>
      <c r="F736" s="119">
        <v>0.92206018518518518</v>
      </c>
      <c r="G736" t="s">
        <v>1421</v>
      </c>
      <c r="H736" t="s">
        <v>1336</v>
      </c>
    </row>
    <row r="737" spans="1:8" s="64" customFormat="1">
      <c r="A737">
        <v>13899407</v>
      </c>
      <c r="B737" t="s">
        <v>169</v>
      </c>
      <c r="C737" t="s">
        <v>164</v>
      </c>
      <c r="D737" t="s">
        <v>83</v>
      </c>
      <c r="E737" s="118" t="s">
        <v>1426</v>
      </c>
      <c r="F737" s="119">
        <v>0.31702546296296297</v>
      </c>
      <c r="G737" t="s">
        <v>1422</v>
      </c>
      <c r="H737" t="s">
        <v>1337</v>
      </c>
    </row>
    <row r="738" spans="1:8" s="64" customFormat="1">
      <c r="A738">
        <v>13899407</v>
      </c>
      <c r="B738" t="s">
        <v>169</v>
      </c>
      <c r="C738" t="s">
        <v>164</v>
      </c>
      <c r="D738" t="s">
        <v>83</v>
      </c>
      <c r="E738" s="118" t="s">
        <v>1426</v>
      </c>
      <c r="F738" s="119">
        <v>0.92115740740740737</v>
      </c>
      <c r="G738" t="s">
        <v>1421</v>
      </c>
      <c r="H738" t="s">
        <v>1336</v>
      </c>
    </row>
    <row r="739" spans="1:8" s="64" customFormat="1">
      <c r="A739">
        <v>13899407</v>
      </c>
      <c r="B739" t="s">
        <v>169</v>
      </c>
      <c r="C739" t="s">
        <v>164</v>
      </c>
      <c r="D739" t="s">
        <v>83</v>
      </c>
      <c r="E739" s="118" t="s">
        <v>1427</v>
      </c>
      <c r="F739" s="119">
        <v>0.32406249999999998</v>
      </c>
      <c r="G739" t="s">
        <v>1422</v>
      </c>
      <c r="H739" t="s">
        <v>1337</v>
      </c>
    </row>
    <row r="740" spans="1:8" s="64" customFormat="1">
      <c r="A740">
        <v>14005587</v>
      </c>
      <c r="B740" t="s">
        <v>1217</v>
      </c>
      <c r="C740" t="s">
        <v>208</v>
      </c>
      <c r="D740" t="s">
        <v>1216</v>
      </c>
      <c r="E740" s="118" t="s">
        <v>1420</v>
      </c>
      <c r="F740" s="119">
        <v>0.6243171296296296</v>
      </c>
      <c r="G740" t="s">
        <v>1422</v>
      </c>
      <c r="H740" t="s">
        <v>1337</v>
      </c>
    </row>
    <row r="741" spans="1:8" s="64" customFormat="1">
      <c r="A741">
        <v>14005587</v>
      </c>
      <c r="B741" t="s">
        <v>1217</v>
      </c>
      <c r="C741" t="s">
        <v>208</v>
      </c>
      <c r="D741" t="s">
        <v>1216</v>
      </c>
      <c r="E741" s="118" t="s">
        <v>1420</v>
      </c>
      <c r="F741" s="119">
        <v>0.30306712962962962</v>
      </c>
      <c r="G741" t="s">
        <v>1421</v>
      </c>
      <c r="H741" t="s">
        <v>1336</v>
      </c>
    </row>
    <row r="742" spans="1:8" s="64" customFormat="1">
      <c r="A742">
        <v>14005587</v>
      </c>
      <c r="B742" t="s">
        <v>1217</v>
      </c>
      <c r="C742" t="s">
        <v>208</v>
      </c>
      <c r="D742" t="s">
        <v>1216</v>
      </c>
      <c r="E742" s="118" t="s">
        <v>1423</v>
      </c>
      <c r="F742" s="119">
        <v>0.62797453703703698</v>
      </c>
      <c r="G742" t="s">
        <v>1422</v>
      </c>
      <c r="H742" t="s">
        <v>1337</v>
      </c>
    </row>
    <row r="743" spans="1:8" s="64" customFormat="1">
      <c r="A743">
        <v>14005587</v>
      </c>
      <c r="B743" t="s">
        <v>1217</v>
      </c>
      <c r="C743" t="s">
        <v>208</v>
      </c>
      <c r="D743" t="s">
        <v>1216</v>
      </c>
      <c r="E743" s="118" t="s">
        <v>1423</v>
      </c>
      <c r="F743" s="119">
        <v>0.30820601851851853</v>
      </c>
      <c r="G743" t="s">
        <v>1421</v>
      </c>
      <c r="H743" t="s">
        <v>1336</v>
      </c>
    </row>
    <row r="744" spans="1:8" s="64" customFormat="1">
      <c r="A744">
        <v>14005587</v>
      </c>
      <c r="B744" t="s">
        <v>1217</v>
      </c>
      <c r="C744" t="s">
        <v>208</v>
      </c>
      <c r="D744" t="s">
        <v>1216</v>
      </c>
      <c r="E744" s="118" t="s">
        <v>1424</v>
      </c>
      <c r="F744" s="119">
        <v>0.63289351851851849</v>
      </c>
      <c r="G744" t="s">
        <v>1422</v>
      </c>
      <c r="H744" t="s">
        <v>1337</v>
      </c>
    </row>
    <row r="745" spans="1:8" s="64" customFormat="1">
      <c r="A745">
        <v>14005587</v>
      </c>
      <c r="B745" t="s">
        <v>1217</v>
      </c>
      <c r="C745" t="s">
        <v>208</v>
      </c>
      <c r="D745" t="s">
        <v>1216</v>
      </c>
      <c r="E745" s="118" t="s">
        <v>1424</v>
      </c>
      <c r="F745" s="119">
        <v>0.30555555555555552</v>
      </c>
      <c r="G745" t="s">
        <v>1421</v>
      </c>
      <c r="H745" t="s">
        <v>1336</v>
      </c>
    </row>
    <row r="746" spans="1:8" s="64" customFormat="1">
      <c r="A746">
        <v>14005587</v>
      </c>
      <c r="B746" t="s">
        <v>1217</v>
      </c>
      <c r="C746" t="s">
        <v>208</v>
      </c>
      <c r="D746" t="s">
        <v>1216</v>
      </c>
      <c r="E746" s="118" t="s">
        <v>1425</v>
      </c>
      <c r="F746" s="119">
        <v>0.6312268518518519</v>
      </c>
      <c r="G746" t="s">
        <v>1422</v>
      </c>
      <c r="H746" t="s">
        <v>1337</v>
      </c>
    </row>
    <row r="747" spans="1:8" s="64" customFormat="1">
      <c r="A747">
        <v>14005587</v>
      </c>
      <c r="B747" t="s">
        <v>1217</v>
      </c>
      <c r="C747" t="s">
        <v>208</v>
      </c>
      <c r="D747" t="s">
        <v>1216</v>
      </c>
      <c r="E747" s="118" t="s">
        <v>1425</v>
      </c>
      <c r="F747" s="119">
        <v>0.30920138888888887</v>
      </c>
      <c r="G747" t="s">
        <v>1421</v>
      </c>
      <c r="H747" t="s">
        <v>1336</v>
      </c>
    </row>
    <row r="748" spans="1:8" s="64" customFormat="1">
      <c r="A748">
        <v>14005587</v>
      </c>
      <c r="B748" t="s">
        <v>1217</v>
      </c>
      <c r="C748" t="s">
        <v>208</v>
      </c>
      <c r="D748" t="s">
        <v>1216</v>
      </c>
      <c r="E748" s="118" t="s">
        <v>1426</v>
      </c>
      <c r="F748" s="119">
        <v>0.30851851851851853</v>
      </c>
      <c r="G748" t="s">
        <v>1421</v>
      </c>
      <c r="H748" t="s">
        <v>1336</v>
      </c>
    </row>
    <row r="749" spans="1:8" s="64" customFormat="1">
      <c r="A749">
        <v>14005587</v>
      </c>
      <c r="B749" t="s">
        <v>1217</v>
      </c>
      <c r="C749" t="s">
        <v>208</v>
      </c>
      <c r="D749" t="s">
        <v>1216</v>
      </c>
      <c r="E749" s="118" t="s">
        <v>1427</v>
      </c>
      <c r="F749" s="119">
        <v>0.62903935185185189</v>
      </c>
      <c r="G749" t="s">
        <v>1422</v>
      </c>
      <c r="H749" t="s">
        <v>1337</v>
      </c>
    </row>
    <row r="750" spans="1:8" s="64" customFormat="1">
      <c r="A750">
        <v>14005587</v>
      </c>
      <c r="B750" t="s">
        <v>1217</v>
      </c>
      <c r="C750" t="s">
        <v>208</v>
      </c>
      <c r="D750" t="s">
        <v>1216</v>
      </c>
      <c r="E750" s="118" t="s">
        <v>1427</v>
      </c>
      <c r="F750" s="119">
        <v>0.30900462962962966</v>
      </c>
      <c r="G750" t="s">
        <v>1421</v>
      </c>
      <c r="H750" t="s">
        <v>1336</v>
      </c>
    </row>
    <row r="751" spans="1:8" s="64" customFormat="1">
      <c r="A751">
        <v>14017495</v>
      </c>
      <c r="B751" t="s">
        <v>743</v>
      </c>
      <c r="C751" t="s">
        <v>429</v>
      </c>
      <c r="D751" t="s">
        <v>179</v>
      </c>
      <c r="E751" s="118" t="s">
        <v>1420</v>
      </c>
      <c r="F751" s="119">
        <v>0.63633101851851859</v>
      </c>
      <c r="G751" t="s">
        <v>1422</v>
      </c>
      <c r="H751" t="s">
        <v>1337</v>
      </c>
    </row>
    <row r="752" spans="1:8" s="64" customFormat="1">
      <c r="A752">
        <v>14017495</v>
      </c>
      <c r="B752" t="s">
        <v>743</v>
      </c>
      <c r="C752" t="s">
        <v>429</v>
      </c>
      <c r="D752" t="s">
        <v>179</v>
      </c>
      <c r="E752" s="118" t="s">
        <v>1420</v>
      </c>
      <c r="F752" s="119">
        <v>0.3122685185185185</v>
      </c>
      <c r="G752" t="s">
        <v>1421</v>
      </c>
      <c r="H752" t="s">
        <v>1336</v>
      </c>
    </row>
    <row r="753" spans="1:8" s="64" customFormat="1">
      <c r="A753">
        <v>14017495</v>
      </c>
      <c r="B753" t="s">
        <v>743</v>
      </c>
      <c r="C753" t="s">
        <v>429</v>
      </c>
      <c r="D753" t="s">
        <v>179</v>
      </c>
      <c r="E753" s="118" t="s">
        <v>1423</v>
      </c>
      <c r="F753" s="119">
        <v>0.73342592592592604</v>
      </c>
      <c r="G753" t="s">
        <v>1422</v>
      </c>
      <c r="H753" t="s">
        <v>1337</v>
      </c>
    </row>
    <row r="754" spans="1:8" s="64" customFormat="1">
      <c r="A754">
        <v>14017495</v>
      </c>
      <c r="B754" t="s">
        <v>743</v>
      </c>
      <c r="C754" t="s">
        <v>429</v>
      </c>
      <c r="D754" t="s">
        <v>179</v>
      </c>
      <c r="E754" s="118" t="s">
        <v>1423</v>
      </c>
      <c r="F754" s="119">
        <v>0.31221064814814814</v>
      </c>
      <c r="G754" t="s">
        <v>1421</v>
      </c>
      <c r="H754" t="s">
        <v>1336</v>
      </c>
    </row>
    <row r="755" spans="1:8" s="64" customFormat="1">
      <c r="A755">
        <v>14017495</v>
      </c>
      <c r="B755" t="s">
        <v>743</v>
      </c>
      <c r="C755" t="s">
        <v>429</v>
      </c>
      <c r="D755" t="s">
        <v>179</v>
      </c>
      <c r="E755" s="118" t="s">
        <v>1424</v>
      </c>
      <c r="F755" s="119">
        <v>0.75291666666666668</v>
      </c>
      <c r="G755" t="s">
        <v>1422</v>
      </c>
      <c r="H755" t="s">
        <v>1337</v>
      </c>
    </row>
    <row r="756" spans="1:8" s="64" customFormat="1">
      <c r="A756">
        <v>14017495</v>
      </c>
      <c r="B756" t="s">
        <v>743</v>
      </c>
      <c r="C756" t="s">
        <v>429</v>
      </c>
      <c r="D756" t="s">
        <v>179</v>
      </c>
      <c r="E756" s="118" t="s">
        <v>1424</v>
      </c>
      <c r="F756" s="119">
        <v>0.31634259259259262</v>
      </c>
      <c r="G756" t="s">
        <v>1421</v>
      </c>
      <c r="H756" t="s">
        <v>1336</v>
      </c>
    </row>
    <row r="757" spans="1:8" s="64" customFormat="1">
      <c r="A757">
        <v>14017495</v>
      </c>
      <c r="B757" t="s">
        <v>743</v>
      </c>
      <c r="C757" t="s">
        <v>429</v>
      </c>
      <c r="D757" t="s">
        <v>179</v>
      </c>
      <c r="E757" s="118" t="s">
        <v>1425</v>
      </c>
      <c r="F757" s="119">
        <v>0.67658564814814814</v>
      </c>
      <c r="G757" t="s">
        <v>1422</v>
      </c>
      <c r="H757" t="s">
        <v>1337</v>
      </c>
    </row>
    <row r="758" spans="1:8" s="64" customFormat="1">
      <c r="A758">
        <v>14017495</v>
      </c>
      <c r="B758" t="s">
        <v>743</v>
      </c>
      <c r="C758" t="s">
        <v>429</v>
      </c>
      <c r="D758" t="s">
        <v>179</v>
      </c>
      <c r="E758" s="118" t="s">
        <v>1425</v>
      </c>
      <c r="F758" s="119">
        <v>0.31753472222222223</v>
      </c>
      <c r="G758" t="s">
        <v>1421</v>
      </c>
      <c r="H758" t="s">
        <v>1336</v>
      </c>
    </row>
    <row r="759" spans="1:8" s="64" customFormat="1">
      <c r="A759">
        <v>14017495</v>
      </c>
      <c r="B759" t="s">
        <v>743</v>
      </c>
      <c r="C759" t="s">
        <v>429</v>
      </c>
      <c r="D759" t="s">
        <v>179</v>
      </c>
      <c r="E759" s="118" t="s">
        <v>1426</v>
      </c>
      <c r="F759" s="119">
        <v>0.65478009259259262</v>
      </c>
      <c r="G759" t="s">
        <v>1422</v>
      </c>
      <c r="H759" t="s">
        <v>1337</v>
      </c>
    </row>
    <row r="760" spans="1:8" s="64" customFormat="1">
      <c r="A760">
        <v>14017495</v>
      </c>
      <c r="B760" t="s">
        <v>743</v>
      </c>
      <c r="C760" t="s">
        <v>429</v>
      </c>
      <c r="D760" t="s">
        <v>179</v>
      </c>
      <c r="E760" s="118" t="s">
        <v>1426</v>
      </c>
      <c r="F760" s="119">
        <v>0.3197800925925926</v>
      </c>
      <c r="G760" t="s">
        <v>1421</v>
      </c>
      <c r="H760" t="s">
        <v>1336</v>
      </c>
    </row>
    <row r="761" spans="1:8" s="64" customFormat="1">
      <c r="A761">
        <v>14017495</v>
      </c>
      <c r="B761" t="s">
        <v>743</v>
      </c>
      <c r="C761" t="s">
        <v>429</v>
      </c>
      <c r="D761" t="s">
        <v>179</v>
      </c>
      <c r="E761" s="118" t="s">
        <v>1427</v>
      </c>
      <c r="F761" s="119">
        <v>0.55983796296296295</v>
      </c>
      <c r="G761" t="s">
        <v>1422</v>
      </c>
      <c r="H761" t="s">
        <v>1337</v>
      </c>
    </row>
    <row r="762" spans="1:8" s="64" customFormat="1">
      <c r="A762">
        <v>14017495</v>
      </c>
      <c r="B762" t="s">
        <v>743</v>
      </c>
      <c r="C762" t="s">
        <v>429</v>
      </c>
      <c r="D762" t="s">
        <v>179</v>
      </c>
      <c r="E762" s="118" t="s">
        <v>1427</v>
      </c>
      <c r="F762" s="119">
        <v>0.33626157407407403</v>
      </c>
      <c r="G762" t="s">
        <v>1421</v>
      </c>
      <c r="H762" t="s">
        <v>1336</v>
      </c>
    </row>
    <row r="763" spans="1:8" s="64" customFormat="1">
      <c r="A763">
        <v>14095347</v>
      </c>
      <c r="B763" t="s">
        <v>192</v>
      </c>
      <c r="C763" t="s">
        <v>190</v>
      </c>
      <c r="D763" t="s">
        <v>191</v>
      </c>
      <c r="E763" s="118" t="s">
        <v>1420</v>
      </c>
      <c r="F763" s="119">
        <v>0.63978009259259261</v>
      </c>
      <c r="G763" t="s">
        <v>1422</v>
      </c>
      <c r="H763" t="s">
        <v>1337</v>
      </c>
    </row>
    <row r="764" spans="1:8" s="64" customFormat="1">
      <c r="A764">
        <v>14095347</v>
      </c>
      <c r="B764" t="s">
        <v>192</v>
      </c>
      <c r="C764" t="s">
        <v>190</v>
      </c>
      <c r="D764" t="s">
        <v>191</v>
      </c>
      <c r="E764" s="118" t="s">
        <v>1420</v>
      </c>
      <c r="F764" s="119">
        <v>0.30149305555555556</v>
      </c>
      <c r="G764" t="s">
        <v>1421</v>
      </c>
      <c r="H764" t="s">
        <v>1336</v>
      </c>
    </row>
    <row r="765" spans="1:8" s="64" customFormat="1">
      <c r="A765">
        <v>14095347</v>
      </c>
      <c r="B765" t="s">
        <v>192</v>
      </c>
      <c r="C765" t="s">
        <v>190</v>
      </c>
      <c r="D765" t="s">
        <v>191</v>
      </c>
      <c r="E765" s="118" t="s">
        <v>1423</v>
      </c>
      <c r="F765" s="119">
        <v>0.64292824074074073</v>
      </c>
      <c r="G765" t="s">
        <v>1422</v>
      </c>
      <c r="H765" t="s">
        <v>1337</v>
      </c>
    </row>
    <row r="766" spans="1:8" s="64" customFormat="1">
      <c r="A766">
        <v>14095347</v>
      </c>
      <c r="B766" t="s">
        <v>192</v>
      </c>
      <c r="C766" t="s">
        <v>190</v>
      </c>
      <c r="D766" t="s">
        <v>191</v>
      </c>
      <c r="E766" s="118" t="s">
        <v>1423</v>
      </c>
      <c r="F766" s="119">
        <v>0.32074074074074072</v>
      </c>
      <c r="G766" t="s">
        <v>1421</v>
      </c>
      <c r="H766" t="s">
        <v>1336</v>
      </c>
    </row>
    <row r="767" spans="1:8" s="64" customFormat="1">
      <c r="A767">
        <v>14095347</v>
      </c>
      <c r="B767" t="s">
        <v>192</v>
      </c>
      <c r="C767" t="s">
        <v>190</v>
      </c>
      <c r="D767" t="s">
        <v>191</v>
      </c>
      <c r="E767" s="118" t="s">
        <v>1424</v>
      </c>
      <c r="F767" s="119">
        <v>0.64306712962962964</v>
      </c>
      <c r="G767" t="s">
        <v>1422</v>
      </c>
      <c r="H767" t="s">
        <v>1337</v>
      </c>
    </row>
    <row r="768" spans="1:8" s="64" customFormat="1">
      <c r="A768">
        <v>14095347</v>
      </c>
      <c r="B768" t="s">
        <v>192</v>
      </c>
      <c r="C768" t="s">
        <v>190</v>
      </c>
      <c r="D768" t="s">
        <v>191</v>
      </c>
      <c r="E768" s="118" t="s">
        <v>1424</v>
      </c>
      <c r="F768" s="119">
        <v>0.30579861111111112</v>
      </c>
      <c r="G768" t="s">
        <v>1421</v>
      </c>
      <c r="H768" t="s">
        <v>1336</v>
      </c>
    </row>
    <row r="769" spans="1:8" s="64" customFormat="1">
      <c r="A769">
        <v>14095347</v>
      </c>
      <c r="B769" t="s">
        <v>192</v>
      </c>
      <c r="C769" t="s">
        <v>190</v>
      </c>
      <c r="D769" t="s">
        <v>191</v>
      </c>
      <c r="E769" s="118" t="s">
        <v>1425</v>
      </c>
      <c r="F769" s="119">
        <v>0.64391203703703703</v>
      </c>
      <c r="G769" t="s">
        <v>1422</v>
      </c>
      <c r="H769" t="s">
        <v>1337</v>
      </c>
    </row>
    <row r="770" spans="1:8" s="64" customFormat="1">
      <c r="A770">
        <v>14095347</v>
      </c>
      <c r="B770" t="s">
        <v>192</v>
      </c>
      <c r="C770" t="s">
        <v>190</v>
      </c>
      <c r="D770" t="s">
        <v>191</v>
      </c>
      <c r="E770" s="118" t="s">
        <v>1425</v>
      </c>
      <c r="F770" s="119">
        <v>0.3082523148148148</v>
      </c>
      <c r="G770" t="s">
        <v>1421</v>
      </c>
      <c r="H770" t="s">
        <v>1336</v>
      </c>
    </row>
    <row r="771" spans="1:8" s="64" customFormat="1">
      <c r="A771">
        <v>14095347</v>
      </c>
      <c r="B771" t="s">
        <v>192</v>
      </c>
      <c r="C771" t="s">
        <v>190</v>
      </c>
      <c r="D771" t="s">
        <v>191</v>
      </c>
      <c r="E771" s="118" t="s">
        <v>1426</v>
      </c>
      <c r="F771" s="119">
        <v>0.64336805555555554</v>
      </c>
      <c r="G771" t="s">
        <v>1422</v>
      </c>
      <c r="H771" t="s">
        <v>1337</v>
      </c>
    </row>
    <row r="772" spans="1:8" s="64" customFormat="1">
      <c r="A772">
        <v>14095347</v>
      </c>
      <c r="B772" t="s">
        <v>192</v>
      </c>
      <c r="C772" t="s">
        <v>190</v>
      </c>
      <c r="D772" t="s">
        <v>191</v>
      </c>
      <c r="E772" s="118" t="s">
        <v>1426</v>
      </c>
      <c r="F772" s="119">
        <v>0.31296296296296294</v>
      </c>
      <c r="G772" t="s">
        <v>1421</v>
      </c>
      <c r="H772" t="s">
        <v>1336</v>
      </c>
    </row>
    <row r="773" spans="1:8" s="64" customFormat="1">
      <c r="A773">
        <v>14095347</v>
      </c>
      <c r="B773" t="s">
        <v>192</v>
      </c>
      <c r="C773" t="s">
        <v>190</v>
      </c>
      <c r="D773" t="s">
        <v>191</v>
      </c>
      <c r="E773" s="118" t="s">
        <v>1427</v>
      </c>
      <c r="F773" s="119">
        <v>0.62667824074074074</v>
      </c>
      <c r="G773" t="s">
        <v>1422</v>
      </c>
      <c r="H773" t="s">
        <v>1337</v>
      </c>
    </row>
    <row r="774" spans="1:8" s="64" customFormat="1">
      <c r="A774">
        <v>14095347</v>
      </c>
      <c r="B774" t="s">
        <v>192</v>
      </c>
      <c r="C774" t="s">
        <v>190</v>
      </c>
      <c r="D774" t="s">
        <v>191</v>
      </c>
      <c r="E774" s="118" t="s">
        <v>1427</v>
      </c>
      <c r="F774" s="119">
        <v>0.30371527777777779</v>
      </c>
      <c r="G774" t="s">
        <v>1421</v>
      </c>
      <c r="H774" t="s">
        <v>1336</v>
      </c>
    </row>
    <row r="775" spans="1:8" s="64" customFormat="1">
      <c r="A775">
        <v>14095347</v>
      </c>
      <c r="B775" t="s">
        <v>192</v>
      </c>
      <c r="C775" t="s">
        <v>190</v>
      </c>
      <c r="D775" t="s">
        <v>191</v>
      </c>
      <c r="E775" s="118" t="s">
        <v>1428</v>
      </c>
      <c r="F775" s="119">
        <v>0.98672453703703711</v>
      </c>
      <c r="G775" t="s">
        <v>1421</v>
      </c>
      <c r="H775" t="s">
        <v>1336</v>
      </c>
    </row>
    <row r="776" spans="1:8" s="64" customFormat="1">
      <c r="A776">
        <v>14181387</v>
      </c>
      <c r="B776" t="s">
        <v>304</v>
      </c>
      <c r="C776" t="s">
        <v>302</v>
      </c>
      <c r="D776" t="s">
        <v>303</v>
      </c>
      <c r="E776" s="118" t="s">
        <v>1420</v>
      </c>
      <c r="F776" s="119">
        <v>0.92061342592592599</v>
      </c>
      <c r="G776" t="s">
        <v>1421</v>
      </c>
      <c r="H776" t="s">
        <v>1336</v>
      </c>
    </row>
    <row r="777" spans="1:8" s="64" customFormat="1">
      <c r="A777">
        <v>14181387</v>
      </c>
      <c r="B777" t="s">
        <v>304</v>
      </c>
      <c r="C777" t="s">
        <v>302</v>
      </c>
      <c r="D777" t="s">
        <v>303</v>
      </c>
      <c r="E777" s="118" t="s">
        <v>1423</v>
      </c>
      <c r="F777" s="119">
        <v>0.3177314814814815</v>
      </c>
      <c r="G777" t="s">
        <v>1422</v>
      </c>
      <c r="H777" t="s">
        <v>1337</v>
      </c>
    </row>
    <row r="778" spans="1:8" s="64" customFormat="1">
      <c r="A778">
        <v>14181387</v>
      </c>
      <c r="B778" t="s">
        <v>304</v>
      </c>
      <c r="C778" t="s">
        <v>302</v>
      </c>
      <c r="D778" t="s">
        <v>303</v>
      </c>
      <c r="E778" s="118" t="s">
        <v>1423</v>
      </c>
      <c r="F778" s="119">
        <v>0.92034722222222232</v>
      </c>
      <c r="G778" t="s">
        <v>1421</v>
      </c>
      <c r="H778" t="s">
        <v>1336</v>
      </c>
    </row>
    <row r="779" spans="1:8" s="64" customFormat="1">
      <c r="A779">
        <v>14181387</v>
      </c>
      <c r="B779" t="s">
        <v>304</v>
      </c>
      <c r="C779" t="s">
        <v>302</v>
      </c>
      <c r="D779" t="s">
        <v>303</v>
      </c>
      <c r="E779" s="118" t="s">
        <v>1424</v>
      </c>
      <c r="F779" s="119">
        <v>0.32197916666666665</v>
      </c>
      <c r="G779" t="s">
        <v>1422</v>
      </c>
      <c r="H779" t="s">
        <v>1337</v>
      </c>
    </row>
    <row r="780" spans="1:8" s="64" customFormat="1">
      <c r="A780">
        <v>14181387</v>
      </c>
      <c r="B780" t="s">
        <v>304</v>
      </c>
      <c r="C780" t="s">
        <v>302</v>
      </c>
      <c r="D780" t="s">
        <v>303</v>
      </c>
      <c r="E780" s="118" t="s">
        <v>1424</v>
      </c>
      <c r="F780" s="119">
        <v>0.91972222222222222</v>
      </c>
      <c r="G780" t="s">
        <v>1421</v>
      </c>
      <c r="H780" t="s">
        <v>1336</v>
      </c>
    </row>
    <row r="781" spans="1:8" s="64" customFormat="1">
      <c r="A781">
        <v>14181387</v>
      </c>
      <c r="B781" t="s">
        <v>304</v>
      </c>
      <c r="C781" t="s">
        <v>302</v>
      </c>
      <c r="D781" t="s">
        <v>303</v>
      </c>
      <c r="E781" s="118" t="s">
        <v>1425</v>
      </c>
      <c r="F781" s="119">
        <v>0.31783564814814813</v>
      </c>
      <c r="G781" t="s">
        <v>1422</v>
      </c>
      <c r="H781" t="s">
        <v>1337</v>
      </c>
    </row>
    <row r="782" spans="1:8" s="64" customFormat="1">
      <c r="A782">
        <v>14181387</v>
      </c>
      <c r="B782" t="s">
        <v>304</v>
      </c>
      <c r="C782" t="s">
        <v>302</v>
      </c>
      <c r="D782" t="s">
        <v>303</v>
      </c>
      <c r="E782" s="118" t="s">
        <v>1425</v>
      </c>
      <c r="F782" s="119">
        <v>0.92179398148148151</v>
      </c>
      <c r="G782" t="s">
        <v>1421</v>
      </c>
      <c r="H782" t="s">
        <v>1336</v>
      </c>
    </row>
    <row r="783" spans="1:8" s="64" customFormat="1">
      <c r="A783">
        <v>14181387</v>
      </c>
      <c r="B783" t="s">
        <v>304</v>
      </c>
      <c r="C783" t="s">
        <v>302</v>
      </c>
      <c r="D783" t="s">
        <v>303</v>
      </c>
      <c r="E783" s="118" t="s">
        <v>1426</v>
      </c>
      <c r="F783" s="119">
        <v>0.31498842592592591</v>
      </c>
      <c r="G783" t="s">
        <v>1422</v>
      </c>
      <c r="H783" t="s">
        <v>1337</v>
      </c>
    </row>
    <row r="784" spans="1:8" s="64" customFormat="1">
      <c r="A784">
        <v>14181387</v>
      </c>
      <c r="B784" t="s">
        <v>304</v>
      </c>
      <c r="C784" t="s">
        <v>302</v>
      </c>
      <c r="D784" t="s">
        <v>303</v>
      </c>
      <c r="E784" s="118" t="s">
        <v>1426</v>
      </c>
      <c r="F784" s="119">
        <v>0.92148148148148146</v>
      </c>
      <c r="G784" t="s">
        <v>1421</v>
      </c>
      <c r="H784" t="s">
        <v>1336</v>
      </c>
    </row>
    <row r="785" spans="1:8" s="64" customFormat="1">
      <c r="A785">
        <v>14181387</v>
      </c>
      <c r="B785" t="s">
        <v>304</v>
      </c>
      <c r="C785" t="s">
        <v>302</v>
      </c>
      <c r="D785" t="s">
        <v>303</v>
      </c>
      <c r="E785" s="118" t="s">
        <v>1427</v>
      </c>
      <c r="F785" s="119">
        <v>0.31837962962962962</v>
      </c>
      <c r="G785" t="s">
        <v>1422</v>
      </c>
      <c r="H785" t="s">
        <v>1337</v>
      </c>
    </row>
    <row r="786" spans="1:8" s="64" customFormat="1">
      <c r="A786">
        <v>14185109</v>
      </c>
      <c r="B786" t="s">
        <v>877</v>
      </c>
      <c r="C786" t="s">
        <v>76</v>
      </c>
      <c r="D786" t="s">
        <v>397</v>
      </c>
      <c r="E786" s="118" t="s">
        <v>1420</v>
      </c>
      <c r="F786" s="119">
        <v>0.94415509259259256</v>
      </c>
      <c r="G786" t="s">
        <v>1422</v>
      </c>
      <c r="H786" t="s">
        <v>1337</v>
      </c>
    </row>
    <row r="787" spans="1:8" s="64" customFormat="1">
      <c r="A787">
        <v>14185109</v>
      </c>
      <c r="B787" t="s">
        <v>877</v>
      </c>
      <c r="C787" t="s">
        <v>76</v>
      </c>
      <c r="D787" t="s">
        <v>397</v>
      </c>
      <c r="E787" s="118" t="s">
        <v>1420</v>
      </c>
      <c r="F787" s="119">
        <v>0.61427083333333332</v>
      </c>
      <c r="G787" t="s">
        <v>1421</v>
      </c>
      <c r="H787" t="s">
        <v>1336</v>
      </c>
    </row>
    <row r="788" spans="1:8" s="64" customFormat="1">
      <c r="A788">
        <v>14185109</v>
      </c>
      <c r="B788" t="s">
        <v>877</v>
      </c>
      <c r="C788" t="s">
        <v>76</v>
      </c>
      <c r="D788" t="s">
        <v>397</v>
      </c>
      <c r="E788" s="118" t="s">
        <v>1423</v>
      </c>
      <c r="F788" s="119">
        <v>0.94187500000000002</v>
      </c>
      <c r="G788" t="s">
        <v>1422</v>
      </c>
      <c r="H788" t="s">
        <v>1337</v>
      </c>
    </row>
    <row r="789" spans="1:8" s="64" customFormat="1">
      <c r="A789">
        <v>14185109</v>
      </c>
      <c r="B789" t="s">
        <v>877</v>
      </c>
      <c r="C789" t="s">
        <v>76</v>
      </c>
      <c r="D789" t="s">
        <v>397</v>
      </c>
      <c r="E789" s="118" t="s">
        <v>1423</v>
      </c>
      <c r="F789" s="119">
        <v>0.61346064814814816</v>
      </c>
      <c r="G789" t="s">
        <v>1421</v>
      </c>
      <c r="H789" t="s">
        <v>1336</v>
      </c>
    </row>
    <row r="790" spans="1:8" s="64" customFormat="1">
      <c r="A790">
        <v>14185109</v>
      </c>
      <c r="B790" t="s">
        <v>877</v>
      </c>
      <c r="C790" t="s">
        <v>76</v>
      </c>
      <c r="D790" t="s">
        <v>397</v>
      </c>
      <c r="E790" s="118" t="s">
        <v>1424</v>
      </c>
      <c r="F790" s="119">
        <v>0.94302083333333331</v>
      </c>
      <c r="G790" t="s">
        <v>1422</v>
      </c>
      <c r="H790" t="s">
        <v>1337</v>
      </c>
    </row>
    <row r="791" spans="1:8" s="64" customFormat="1">
      <c r="A791">
        <v>14185109</v>
      </c>
      <c r="B791" t="s">
        <v>877</v>
      </c>
      <c r="C791" t="s">
        <v>76</v>
      </c>
      <c r="D791" t="s">
        <v>397</v>
      </c>
      <c r="E791" s="118" t="s">
        <v>1424</v>
      </c>
      <c r="F791" s="119">
        <v>0.61510416666666667</v>
      </c>
      <c r="G791" t="s">
        <v>1421</v>
      </c>
      <c r="H791" t="s">
        <v>1336</v>
      </c>
    </row>
    <row r="792" spans="1:8" s="64" customFormat="1">
      <c r="A792">
        <v>14185109</v>
      </c>
      <c r="B792" t="s">
        <v>877</v>
      </c>
      <c r="C792" t="s">
        <v>76</v>
      </c>
      <c r="D792" t="s">
        <v>397</v>
      </c>
      <c r="E792" s="118" t="s">
        <v>1425</v>
      </c>
      <c r="F792" s="119">
        <v>0.94271990740740741</v>
      </c>
      <c r="G792" t="s">
        <v>1422</v>
      </c>
      <c r="H792" t="s">
        <v>1337</v>
      </c>
    </row>
    <row r="793" spans="1:8" s="64" customFormat="1">
      <c r="A793">
        <v>14185109</v>
      </c>
      <c r="B793" t="s">
        <v>877</v>
      </c>
      <c r="C793" t="s">
        <v>76</v>
      </c>
      <c r="D793" t="s">
        <v>397</v>
      </c>
      <c r="E793" s="118" t="s">
        <v>1425</v>
      </c>
      <c r="F793" s="119">
        <v>0.61974537037037036</v>
      </c>
      <c r="G793" t="s">
        <v>1421</v>
      </c>
      <c r="H793" t="s">
        <v>1336</v>
      </c>
    </row>
    <row r="794" spans="1:8" s="64" customFormat="1">
      <c r="A794">
        <v>14185109</v>
      </c>
      <c r="B794" t="s">
        <v>877</v>
      </c>
      <c r="C794" t="s">
        <v>76</v>
      </c>
      <c r="D794" t="s">
        <v>397</v>
      </c>
      <c r="E794" s="118" t="s">
        <v>1426</v>
      </c>
      <c r="F794" s="119">
        <v>0.94420138888888883</v>
      </c>
      <c r="G794" t="s">
        <v>1422</v>
      </c>
      <c r="H794" t="s">
        <v>1337</v>
      </c>
    </row>
    <row r="795" spans="1:8" s="64" customFormat="1">
      <c r="A795">
        <v>14185109</v>
      </c>
      <c r="B795" t="s">
        <v>877</v>
      </c>
      <c r="C795" t="s">
        <v>76</v>
      </c>
      <c r="D795" t="s">
        <v>397</v>
      </c>
      <c r="E795" s="118" t="s">
        <v>1426</v>
      </c>
      <c r="F795" s="119">
        <v>0.6170254629629629</v>
      </c>
      <c r="G795" t="s">
        <v>1421</v>
      </c>
      <c r="H795" t="s">
        <v>1336</v>
      </c>
    </row>
    <row r="796" spans="1:8" s="64" customFormat="1">
      <c r="A796">
        <v>14185109</v>
      </c>
      <c r="B796" t="s">
        <v>877</v>
      </c>
      <c r="C796" t="s">
        <v>76</v>
      </c>
      <c r="D796" t="s">
        <v>397</v>
      </c>
      <c r="E796" s="118" t="s">
        <v>1427</v>
      </c>
      <c r="F796" s="119">
        <v>0.63031249999999994</v>
      </c>
      <c r="G796" t="s">
        <v>1422</v>
      </c>
      <c r="H796" t="s">
        <v>1337</v>
      </c>
    </row>
    <row r="797" spans="1:8" s="64" customFormat="1">
      <c r="A797">
        <v>14185109</v>
      </c>
      <c r="B797" t="s">
        <v>877</v>
      </c>
      <c r="C797" t="s">
        <v>76</v>
      </c>
      <c r="D797" t="s">
        <v>397</v>
      </c>
      <c r="E797" s="118" t="s">
        <v>1427</v>
      </c>
      <c r="F797" s="119">
        <v>0.30542824074074076</v>
      </c>
      <c r="G797" t="s">
        <v>1421</v>
      </c>
      <c r="H797" t="s">
        <v>1336</v>
      </c>
    </row>
    <row r="798" spans="1:8" s="64" customFormat="1">
      <c r="A798">
        <v>14336364</v>
      </c>
      <c r="B798" t="s">
        <v>489</v>
      </c>
      <c r="C798" t="s">
        <v>268</v>
      </c>
      <c r="D798" t="s">
        <v>126</v>
      </c>
      <c r="E798" s="118" t="s">
        <v>1420</v>
      </c>
      <c r="F798" s="119">
        <v>0.32226851851851851</v>
      </c>
      <c r="G798" t="s">
        <v>1422</v>
      </c>
      <c r="H798" t="s">
        <v>1337</v>
      </c>
    </row>
    <row r="799" spans="1:8" s="64" customFormat="1">
      <c r="A799">
        <v>14336364</v>
      </c>
      <c r="B799" t="s">
        <v>489</v>
      </c>
      <c r="C799" t="s">
        <v>268</v>
      </c>
      <c r="D799" t="s">
        <v>126</v>
      </c>
      <c r="E799" s="118" t="s">
        <v>1420</v>
      </c>
      <c r="F799" s="119">
        <v>0.92590277777777785</v>
      </c>
      <c r="G799" t="s">
        <v>1421</v>
      </c>
      <c r="H799" t="s">
        <v>1336</v>
      </c>
    </row>
    <row r="800" spans="1:8" s="64" customFormat="1">
      <c r="A800">
        <v>14336364</v>
      </c>
      <c r="B800" t="s">
        <v>489</v>
      </c>
      <c r="C800" t="s">
        <v>268</v>
      </c>
      <c r="D800" t="s">
        <v>126</v>
      </c>
      <c r="E800" s="118" t="s">
        <v>1423</v>
      </c>
      <c r="F800" s="119">
        <v>0.30138888888888887</v>
      </c>
      <c r="G800" t="s">
        <v>1422</v>
      </c>
      <c r="H800" t="s">
        <v>1337</v>
      </c>
    </row>
    <row r="801" spans="1:8" s="64" customFormat="1">
      <c r="A801">
        <v>14336364</v>
      </c>
      <c r="B801" t="s">
        <v>489</v>
      </c>
      <c r="C801" t="s">
        <v>268</v>
      </c>
      <c r="D801" t="s">
        <v>126</v>
      </c>
      <c r="E801" s="118" t="s">
        <v>1423</v>
      </c>
      <c r="F801" s="119">
        <v>0.92158564814814825</v>
      </c>
      <c r="G801" t="s">
        <v>1421</v>
      </c>
      <c r="H801" t="s">
        <v>1336</v>
      </c>
    </row>
    <row r="802" spans="1:8" s="64" customFormat="1">
      <c r="A802">
        <v>14336364</v>
      </c>
      <c r="B802" t="s">
        <v>489</v>
      </c>
      <c r="C802" t="s">
        <v>268</v>
      </c>
      <c r="D802" t="s">
        <v>126</v>
      </c>
      <c r="E802" s="118" t="s">
        <v>1424</v>
      </c>
      <c r="F802" s="119">
        <v>0.30432870370370374</v>
      </c>
      <c r="G802" t="s">
        <v>1422</v>
      </c>
      <c r="H802" t="s">
        <v>1337</v>
      </c>
    </row>
    <row r="803" spans="1:8" s="64" customFormat="1">
      <c r="A803">
        <v>14336364</v>
      </c>
      <c r="B803" t="s">
        <v>489</v>
      </c>
      <c r="C803" t="s">
        <v>268</v>
      </c>
      <c r="D803" t="s">
        <v>126</v>
      </c>
      <c r="E803" s="118" t="s">
        <v>1424</v>
      </c>
      <c r="F803" s="119">
        <v>0.9252893518518519</v>
      </c>
      <c r="G803" t="s">
        <v>1421</v>
      </c>
      <c r="H803" t="s">
        <v>1336</v>
      </c>
    </row>
    <row r="804" spans="1:8" s="64" customFormat="1">
      <c r="A804">
        <v>14336364</v>
      </c>
      <c r="B804" t="s">
        <v>489</v>
      </c>
      <c r="C804" t="s">
        <v>268</v>
      </c>
      <c r="D804" t="s">
        <v>126</v>
      </c>
      <c r="E804" s="118" t="s">
        <v>1425</v>
      </c>
      <c r="F804" s="119">
        <v>0.3059027777777778</v>
      </c>
      <c r="G804" t="s">
        <v>1422</v>
      </c>
      <c r="H804" t="s">
        <v>1337</v>
      </c>
    </row>
    <row r="805" spans="1:8" s="64" customFormat="1">
      <c r="A805">
        <v>14336364</v>
      </c>
      <c r="B805" t="s">
        <v>489</v>
      </c>
      <c r="C805" t="s">
        <v>268</v>
      </c>
      <c r="D805" t="s">
        <v>126</v>
      </c>
      <c r="E805" s="118" t="s">
        <v>1425</v>
      </c>
      <c r="F805" s="119">
        <v>0.9284027777777778</v>
      </c>
      <c r="G805" t="s">
        <v>1421</v>
      </c>
      <c r="H805" t="s">
        <v>1336</v>
      </c>
    </row>
    <row r="806" spans="1:8" s="64" customFormat="1">
      <c r="A806">
        <v>14336364</v>
      </c>
      <c r="B806" t="s">
        <v>489</v>
      </c>
      <c r="C806" t="s">
        <v>268</v>
      </c>
      <c r="D806" t="s">
        <v>126</v>
      </c>
      <c r="E806" s="118" t="s">
        <v>1426</v>
      </c>
      <c r="F806" s="119">
        <v>0.31287037037037035</v>
      </c>
      <c r="G806" t="s">
        <v>1422</v>
      </c>
      <c r="H806" t="s">
        <v>1337</v>
      </c>
    </row>
    <row r="807" spans="1:8" s="64" customFormat="1">
      <c r="A807">
        <v>14336364</v>
      </c>
      <c r="B807" t="s">
        <v>489</v>
      </c>
      <c r="C807" t="s">
        <v>268</v>
      </c>
      <c r="D807" t="s">
        <v>126</v>
      </c>
      <c r="E807" s="118" t="s">
        <v>1426</v>
      </c>
      <c r="F807" s="119">
        <v>0.92721064814814813</v>
      </c>
      <c r="G807" t="s">
        <v>1421</v>
      </c>
      <c r="H807" t="s">
        <v>1336</v>
      </c>
    </row>
    <row r="808" spans="1:8" s="64" customFormat="1">
      <c r="A808">
        <v>14336364</v>
      </c>
      <c r="B808" t="s">
        <v>489</v>
      </c>
      <c r="C808" t="s">
        <v>268</v>
      </c>
      <c r="D808" t="s">
        <v>126</v>
      </c>
      <c r="E808" s="118" t="s">
        <v>1427</v>
      </c>
      <c r="F808" s="119">
        <v>0.31425925925925924</v>
      </c>
      <c r="G808" t="s">
        <v>1422</v>
      </c>
      <c r="H808" t="s">
        <v>1337</v>
      </c>
    </row>
    <row r="809" spans="1:8" s="64" customFormat="1">
      <c r="A809">
        <v>14336364</v>
      </c>
      <c r="B809" t="s">
        <v>489</v>
      </c>
      <c r="C809" t="s">
        <v>268</v>
      </c>
      <c r="D809" t="s">
        <v>126</v>
      </c>
      <c r="E809" s="118" t="s">
        <v>1428</v>
      </c>
      <c r="F809" s="119">
        <v>0.98758101851851843</v>
      </c>
      <c r="G809" t="s">
        <v>1421</v>
      </c>
      <c r="H809" t="s">
        <v>1336</v>
      </c>
    </row>
    <row r="810" spans="1:8" s="64" customFormat="1">
      <c r="A810">
        <v>15102640</v>
      </c>
      <c r="B810" t="s">
        <v>339</v>
      </c>
      <c r="C810" t="s">
        <v>585</v>
      </c>
      <c r="D810" t="s">
        <v>848</v>
      </c>
      <c r="E810" s="118" t="s">
        <v>1420</v>
      </c>
      <c r="F810" s="119">
        <v>0.63822916666666674</v>
      </c>
      <c r="G810" t="s">
        <v>1422</v>
      </c>
      <c r="H810" t="s">
        <v>1337</v>
      </c>
    </row>
    <row r="811" spans="1:8" s="64" customFormat="1">
      <c r="A811">
        <v>15102640</v>
      </c>
      <c r="B811" t="s">
        <v>339</v>
      </c>
      <c r="C811" t="s">
        <v>585</v>
      </c>
      <c r="D811" t="s">
        <v>848</v>
      </c>
      <c r="E811" s="118" t="s">
        <v>1420</v>
      </c>
      <c r="F811" s="119">
        <v>0.29646990740740742</v>
      </c>
      <c r="G811" t="s">
        <v>1421</v>
      </c>
      <c r="H811" t="s">
        <v>1336</v>
      </c>
    </row>
    <row r="812" spans="1:8" s="64" customFormat="1">
      <c r="A812">
        <v>15102640</v>
      </c>
      <c r="B812" t="s">
        <v>339</v>
      </c>
      <c r="C812" t="s">
        <v>585</v>
      </c>
      <c r="D812" t="s">
        <v>848</v>
      </c>
      <c r="E812" s="118" t="s">
        <v>1423</v>
      </c>
      <c r="F812" s="119">
        <v>0.63597222222222227</v>
      </c>
      <c r="G812" t="s">
        <v>1422</v>
      </c>
      <c r="H812" t="s">
        <v>1337</v>
      </c>
    </row>
    <row r="813" spans="1:8" s="64" customFormat="1">
      <c r="A813">
        <v>15102640</v>
      </c>
      <c r="B813" t="s">
        <v>339</v>
      </c>
      <c r="C813" t="s">
        <v>585</v>
      </c>
      <c r="D813" t="s">
        <v>848</v>
      </c>
      <c r="E813" s="118" t="s">
        <v>1423</v>
      </c>
      <c r="F813" s="119">
        <v>0.29685185185185187</v>
      </c>
      <c r="G813" t="s">
        <v>1421</v>
      </c>
      <c r="H813" t="s">
        <v>1336</v>
      </c>
    </row>
    <row r="814" spans="1:8" s="64" customFormat="1">
      <c r="A814">
        <v>15102640</v>
      </c>
      <c r="B814" t="s">
        <v>339</v>
      </c>
      <c r="C814" t="s">
        <v>585</v>
      </c>
      <c r="D814" t="s">
        <v>848</v>
      </c>
      <c r="E814" s="118" t="s">
        <v>1424</v>
      </c>
      <c r="F814" s="119">
        <v>0.94074074074074077</v>
      </c>
      <c r="G814" t="s">
        <v>1422</v>
      </c>
      <c r="H814" t="s">
        <v>1337</v>
      </c>
    </row>
    <row r="815" spans="1:8" s="64" customFormat="1">
      <c r="A815">
        <v>15102640</v>
      </c>
      <c r="B815" t="s">
        <v>339</v>
      </c>
      <c r="C815" t="s">
        <v>585</v>
      </c>
      <c r="D815" t="s">
        <v>848</v>
      </c>
      <c r="E815" s="118" t="s">
        <v>1424</v>
      </c>
      <c r="F815" s="119">
        <v>0.60865740740740748</v>
      </c>
      <c r="G815" t="s">
        <v>1421</v>
      </c>
      <c r="H815" t="s">
        <v>1336</v>
      </c>
    </row>
    <row r="816" spans="1:8" s="64" customFormat="1">
      <c r="A816">
        <v>15102640</v>
      </c>
      <c r="B816" t="s">
        <v>339</v>
      </c>
      <c r="C816" t="s">
        <v>585</v>
      </c>
      <c r="D816" t="s">
        <v>848</v>
      </c>
      <c r="E816" s="118" t="s">
        <v>1425</v>
      </c>
      <c r="F816" s="119">
        <v>0.64700231481481485</v>
      </c>
      <c r="G816" t="s">
        <v>1422</v>
      </c>
      <c r="H816" t="s">
        <v>1337</v>
      </c>
    </row>
    <row r="817" spans="1:8" s="64" customFormat="1">
      <c r="A817">
        <v>15102640</v>
      </c>
      <c r="B817" t="s">
        <v>339</v>
      </c>
      <c r="C817" t="s">
        <v>585</v>
      </c>
      <c r="D817" t="s">
        <v>848</v>
      </c>
      <c r="E817" s="118" t="s">
        <v>1425</v>
      </c>
      <c r="F817" s="119">
        <v>0.30398148148148146</v>
      </c>
      <c r="G817" t="s">
        <v>1421</v>
      </c>
      <c r="H817" t="s">
        <v>1336</v>
      </c>
    </row>
    <row r="818" spans="1:8" s="64" customFormat="1">
      <c r="A818">
        <v>15102640</v>
      </c>
      <c r="B818" t="s">
        <v>339</v>
      </c>
      <c r="C818" t="s">
        <v>585</v>
      </c>
      <c r="D818" t="s">
        <v>848</v>
      </c>
      <c r="E818" s="118" t="s">
        <v>1426</v>
      </c>
      <c r="F818" s="119">
        <v>0.63795138888888892</v>
      </c>
      <c r="G818" t="s">
        <v>1422</v>
      </c>
      <c r="H818" t="s">
        <v>1337</v>
      </c>
    </row>
    <row r="819" spans="1:8" s="64" customFormat="1">
      <c r="A819">
        <v>15102640</v>
      </c>
      <c r="B819" t="s">
        <v>339</v>
      </c>
      <c r="C819" t="s">
        <v>585</v>
      </c>
      <c r="D819" t="s">
        <v>848</v>
      </c>
      <c r="E819" s="118" t="s">
        <v>1426</v>
      </c>
      <c r="F819" s="119">
        <v>0.3084722222222222</v>
      </c>
      <c r="G819" t="s">
        <v>1421</v>
      </c>
      <c r="H819" t="s">
        <v>1336</v>
      </c>
    </row>
    <row r="820" spans="1:8" s="64" customFormat="1">
      <c r="A820">
        <v>15102640</v>
      </c>
      <c r="B820" t="s">
        <v>339</v>
      </c>
      <c r="C820" t="s">
        <v>585</v>
      </c>
      <c r="D820" t="s">
        <v>848</v>
      </c>
      <c r="E820" s="118" t="s">
        <v>1427</v>
      </c>
      <c r="F820" s="119">
        <v>0.62898148148148147</v>
      </c>
      <c r="G820" t="s">
        <v>1422</v>
      </c>
      <c r="H820" t="s">
        <v>1337</v>
      </c>
    </row>
    <row r="821" spans="1:8" s="64" customFormat="1">
      <c r="A821">
        <v>15102640</v>
      </c>
      <c r="B821" t="s">
        <v>339</v>
      </c>
      <c r="C821" t="s">
        <v>585</v>
      </c>
      <c r="D821" t="s">
        <v>848</v>
      </c>
      <c r="E821" s="118" t="s">
        <v>1427</v>
      </c>
      <c r="F821" s="119">
        <v>0.29783564814814817</v>
      </c>
      <c r="G821" t="s">
        <v>1421</v>
      </c>
      <c r="H821" t="s">
        <v>1336</v>
      </c>
    </row>
    <row r="822" spans="1:8" s="64" customFormat="1">
      <c r="A822">
        <v>15327501</v>
      </c>
      <c r="B822" t="s">
        <v>1067</v>
      </c>
      <c r="C822" t="s">
        <v>853</v>
      </c>
      <c r="D822" t="s">
        <v>1066</v>
      </c>
      <c r="E822" s="118" t="s">
        <v>1420</v>
      </c>
      <c r="F822" s="119">
        <v>0.6403240740740741</v>
      </c>
      <c r="G822" t="s">
        <v>1422</v>
      </c>
      <c r="H822" t="s">
        <v>1337</v>
      </c>
    </row>
    <row r="823" spans="1:8" s="64" customFormat="1">
      <c r="A823">
        <v>15327501</v>
      </c>
      <c r="B823" t="s">
        <v>1067</v>
      </c>
      <c r="C823" t="s">
        <v>853</v>
      </c>
      <c r="D823" t="s">
        <v>1066</v>
      </c>
      <c r="E823" s="118" t="s">
        <v>1420</v>
      </c>
      <c r="F823" s="119">
        <v>0.29548611111111112</v>
      </c>
      <c r="G823" t="s">
        <v>1421</v>
      </c>
      <c r="H823" t="s">
        <v>1336</v>
      </c>
    </row>
    <row r="824" spans="1:8" s="64" customFormat="1">
      <c r="A824">
        <v>15327501</v>
      </c>
      <c r="B824" t="s">
        <v>1067</v>
      </c>
      <c r="C824" t="s">
        <v>853</v>
      </c>
      <c r="D824" t="s">
        <v>1066</v>
      </c>
      <c r="E824" s="118" t="s">
        <v>1423</v>
      </c>
      <c r="F824" s="119">
        <v>0.6365277777777778</v>
      </c>
      <c r="G824" t="s">
        <v>1422</v>
      </c>
      <c r="H824" t="s">
        <v>1337</v>
      </c>
    </row>
    <row r="825" spans="1:8" s="64" customFormat="1">
      <c r="A825">
        <v>15327501</v>
      </c>
      <c r="B825" t="s">
        <v>1067</v>
      </c>
      <c r="C825" t="s">
        <v>853</v>
      </c>
      <c r="D825" t="s">
        <v>1066</v>
      </c>
      <c r="E825" s="118" t="s">
        <v>1423</v>
      </c>
      <c r="F825" s="119">
        <v>0.2949074074074074</v>
      </c>
      <c r="G825" t="s">
        <v>1421</v>
      </c>
      <c r="H825" t="s">
        <v>1336</v>
      </c>
    </row>
    <row r="826" spans="1:8" s="64" customFormat="1">
      <c r="A826">
        <v>15327501</v>
      </c>
      <c r="B826" t="s">
        <v>1067</v>
      </c>
      <c r="C826" t="s">
        <v>853</v>
      </c>
      <c r="D826" t="s">
        <v>1066</v>
      </c>
      <c r="E826" s="118" t="s">
        <v>1424</v>
      </c>
      <c r="F826" s="119">
        <v>0.63638888888888889</v>
      </c>
      <c r="G826" t="s">
        <v>1422</v>
      </c>
      <c r="H826" t="s">
        <v>1337</v>
      </c>
    </row>
    <row r="827" spans="1:8" s="64" customFormat="1">
      <c r="A827">
        <v>15327501</v>
      </c>
      <c r="B827" t="s">
        <v>1067</v>
      </c>
      <c r="C827" t="s">
        <v>853</v>
      </c>
      <c r="D827" t="s">
        <v>1066</v>
      </c>
      <c r="E827" s="118" t="s">
        <v>1424</v>
      </c>
      <c r="F827" s="119">
        <v>0.29488425925925926</v>
      </c>
      <c r="G827" t="s">
        <v>1421</v>
      </c>
      <c r="H827" t="s">
        <v>1336</v>
      </c>
    </row>
    <row r="828" spans="1:8" s="64" customFormat="1">
      <c r="A828">
        <v>15327501</v>
      </c>
      <c r="B828" t="s">
        <v>1067</v>
      </c>
      <c r="C828" t="s">
        <v>853</v>
      </c>
      <c r="D828" t="s">
        <v>1066</v>
      </c>
      <c r="E828" s="118" t="s">
        <v>1425</v>
      </c>
      <c r="F828" s="119">
        <v>0.63791666666666669</v>
      </c>
      <c r="G828" t="s">
        <v>1422</v>
      </c>
      <c r="H828" t="s">
        <v>1337</v>
      </c>
    </row>
    <row r="829" spans="1:8" s="64" customFormat="1">
      <c r="A829">
        <v>15327501</v>
      </c>
      <c r="B829" t="s">
        <v>1067</v>
      </c>
      <c r="C829" t="s">
        <v>853</v>
      </c>
      <c r="D829" t="s">
        <v>1066</v>
      </c>
      <c r="E829" s="118" t="s">
        <v>1425</v>
      </c>
      <c r="F829" s="119">
        <v>0.29390046296296296</v>
      </c>
      <c r="G829" t="s">
        <v>1421</v>
      </c>
      <c r="H829" t="s">
        <v>1336</v>
      </c>
    </row>
    <row r="830" spans="1:8" s="64" customFormat="1">
      <c r="A830">
        <v>15327501</v>
      </c>
      <c r="B830" t="s">
        <v>1067</v>
      </c>
      <c r="C830" t="s">
        <v>853</v>
      </c>
      <c r="D830" t="s">
        <v>1066</v>
      </c>
      <c r="E830" s="118" t="s">
        <v>1426</v>
      </c>
      <c r="F830" s="119">
        <v>0.64309027777777772</v>
      </c>
      <c r="G830" t="s">
        <v>1422</v>
      </c>
      <c r="H830" t="s">
        <v>1337</v>
      </c>
    </row>
    <row r="831" spans="1:8" s="64" customFormat="1">
      <c r="A831">
        <v>15327501</v>
      </c>
      <c r="B831" t="s">
        <v>1067</v>
      </c>
      <c r="C831" t="s">
        <v>853</v>
      </c>
      <c r="D831" t="s">
        <v>1066</v>
      </c>
      <c r="E831" s="118" t="s">
        <v>1426</v>
      </c>
      <c r="F831" s="119">
        <v>0.29590277777777779</v>
      </c>
      <c r="G831" t="s">
        <v>1421</v>
      </c>
      <c r="H831" t="s">
        <v>1336</v>
      </c>
    </row>
    <row r="832" spans="1:8" s="64" customFormat="1">
      <c r="A832">
        <v>15327501</v>
      </c>
      <c r="B832" t="s">
        <v>1067</v>
      </c>
      <c r="C832" t="s">
        <v>853</v>
      </c>
      <c r="D832" t="s">
        <v>1066</v>
      </c>
      <c r="E832" s="118" t="s">
        <v>1427</v>
      </c>
      <c r="F832" s="119">
        <v>0.63804398148148145</v>
      </c>
      <c r="G832" t="s">
        <v>1422</v>
      </c>
      <c r="H832" t="s">
        <v>1337</v>
      </c>
    </row>
    <row r="833" spans="1:8" s="64" customFormat="1">
      <c r="A833">
        <v>15327501</v>
      </c>
      <c r="B833" t="s">
        <v>1067</v>
      </c>
      <c r="C833" t="s">
        <v>853</v>
      </c>
      <c r="D833" t="s">
        <v>1066</v>
      </c>
      <c r="E833" s="118" t="s">
        <v>1427</v>
      </c>
      <c r="F833" s="119">
        <v>0.29414351851851855</v>
      </c>
      <c r="G833" t="s">
        <v>1421</v>
      </c>
      <c r="H833" t="s">
        <v>1336</v>
      </c>
    </row>
    <row r="834" spans="1:8" s="64" customFormat="1">
      <c r="A834" s="64">
        <v>15437429</v>
      </c>
      <c r="B834" s="64" t="s">
        <v>682</v>
      </c>
      <c r="C834" s="64" t="s">
        <v>680</v>
      </c>
      <c r="D834" s="64" t="s">
        <v>681</v>
      </c>
      <c r="E834" s="123" t="s">
        <v>1420</v>
      </c>
      <c r="F834" s="124">
        <v>0.73265046296296299</v>
      </c>
      <c r="G834" s="64" t="s">
        <v>1422</v>
      </c>
      <c r="H834" s="64" t="s">
        <v>1337</v>
      </c>
    </row>
    <row r="835" spans="1:8" s="64" customFormat="1">
      <c r="A835" s="64">
        <v>15437429</v>
      </c>
      <c r="B835" s="64" t="s">
        <v>682</v>
      </c>
      <c r="C835" s="64" t="s">
        <v>680</v>
      </c>
      <c r="D835" s="64" t="s">
        <v>681</v>
      </c>
      <c r="E835" s="123" t="s">
        <v>1420</v>
      </c>
      <c r="F835" s="124">
        <v>0.35378472222222218</v>
      </c>
      <c r="G835" s="64" t="s">
        <v>1421</v>
      </c>
      <c r="H835" s="64" t="s">
        <v>1336</v>
      </c>
    </row>
    <row r="836" spans="1:8" s="64" customFormat="1">
      <c r="A836" s="64">
        <v>15437429</v>
      </c>
      <c r="B836" s="64" t="s">
        <v>682</v>
      </c>
      <c r="C836" s="64" t="s">
        <v>680</v>
      </c>
      <c r="D836" s="64" t="s">
        <v>681</v>
      </c>
      <c r="E836" s="123" t="s">
        <v>1423</v>
      </c>
      <c r="F836" s="124">
        <v>0.73062499999999997</v>
      </c>
      <c r="G836" s="64" t="s">
        <v>1422</v>
      </c>
      <c r="H836" s="64" t="s">
        <v>1337</v>
      </c>
    </row>
    <row r="837" spans="1:8" s="64" customFormat="1">
      <c r="A837" s="64">
        <v>15437429</v>
      </c>
      <c r="B837" s="64" t="s">
        <v>682</v>
      </c>
      <c r="C837" s="64" t="s">
        <v>680</v>
      </c>
      <c r="D837" s="64" t="s">
        <v>681</v>
      </c>
      <c r="E837" s="123" t="s">
        <v>1423</v>
      </c>
      <c r="F837" s="124">
        <v>0.34534722222222225</v>
      </c>
      <c r="G837" s="64" t="s">
        <v>1421</v>
      </c>
      <c r="H837" s="64" t="s">
        <v>1336</v>
      </c>
    </row>
    <row r="838" spans="1:8" s="64" customFormat="1">
      <c r="A838" s="64">
        <v>15437429</v>
      </c>
      <c r="B838" s="64" t="s">
        <v>682</v>
      </c>
      <c r="C838" s="64" t="s">
        <v>680</v>
      </c>
      <c r="D838" s="64" t="s">
        <v>681</v>
      </c>
      <c r="E838" s="123" t="s">
        <v>1424</v>
      </c>
      <c r="F838" s="124">
        <v>0.73314814814814822</v>
      </c>
      <c r="G838" s="64" t="s">
        <v>1422</v>
      </c>
      <c r="H838" s="64" t="s">
        <v>1337</v>
      </c>
    </row>
    <row r="839" spans="1:8" s="64" customFormat="1">
      <c r="A839" s="64">
        <v>15437429</v>
      </c>
      <c r="B839" s="64" t="s">
        <v>682</v>
      </c>
      <c r="C839" s="64" t="s">
        <v>680</v>
      </c>
      <c r="D839" s="64" t="s">
        <v>681</v>
      </c>
      <c r="E839" s="123" t="s">
        <v>1424</v>
      </c>
      <c r="F839" s="124">
        <v>0.34967592592592595</v>
      </c>
      <c r="G839" s="64" t="s">
        <v>1421</v>
      </c>
      <c r="H839" s="64" t="s">
        <v>1336</v>
      </c>
    </row>
    <row r="840" spans="1:8" s="64" customFormat="1">
      <c r="A840" s="64">
        <v>15437429</v>
      </c>
      <c r="B840" s="64" t="s">
        <v>682</v>
      </c>
      <c r="C840" s="64" t="s">
        <v>680</v>
      </c>
      <c r="D840" s="64" t="s">
        <v>681</v>
      </c>
      <c r="E840" s="123" t="s">
        <v>1425</v>
      </c>
      <c r="F840" s="124">
        <v>0.73568287037037028</v>
      </c>
      <c r="G840" s="64" t="s">
        <v>1422</v>
      </c>
      <c r="H840" s="64" t="s">
        <v>1337</v>
      </c>
    </row>
    <row r="841" spans="1:8" s="64" customFormat="1">
      <c r="A841" s="64">
        <v>15437429</v>
      </c>
      <c r="B841" s="64" t="s">
        <v>682</v>
      </c>
      <c r="C841" s="64" t="s">
        <v>680</v>
      </c>
      <c r="D841" s="64" t="s">
        <v>681</v>
      </c>
      <c r="E841" s="123" t="s">
        <v>1425</v>
      </c>
      <c r="F841" s="124">
        <v>0.3478472222222222</v>
      </c>
      <c r="G841" s="64" t="s">
        <v>1421</v>
      </c>
      <c r="H841" s="64" t="s">
        <v>1336</v>
      </c>
    </row>
    <row r="842" spans="1:8" s="64" customFormat="1">
      <c r="A842" s="64">
        <v>15437429</v>
      </c>
      <c r="B842" s="64" t="s">
        <v>682</v>
      </c>
      <c r="C842" s="64" t="s">
        <v>680</v>
      </c>
      <c r="D842" s="64" t="s">
        <v>681</v>
      </c>
      <c r="E842" s="123" t="s">
        <v>1426</v>
      </c>
      <c r="F842" s="124">
        <v>0.73166666666666658</v>
      </c>
      <c r="G842" s="64" t="s">
        <v>1422</v>
      </c>
      <c r="H842" s="64" t="s">
        <v>1337</v>
      </c>
    </row>
    <row r="843" spans="1:8" s="64" customFormat="1">
      <c r="A843" s="64">
        <v>15437429</v>
      </c>
      <c r="B843" s="64" t="s">
        <v>682</v>
      </c>
      <c r="C843" s="64" t="s">
        <v>680</v>
      </c>
      <c r="D843" s="64" t="s">
        <v>681</v>
      </c>
      <c r="E843" s="123" t="s">
        <v>1426</v>
      </c>
      <c r="F843" s="124">
        <v>0.34766203703703707</v>
      </c>
      <c r="G843" s="64" t="s">
        <v>1421</v>
      </c>
      <c r="H843" s="64" t="s">
        <v>1336</v>
      </c>
    </row>
    <row r="844" spans="1:8" s="64" customFormat="1">
      <c r="A844" s="64">
        <v>15437429</v>
      </c>
      <c r="B844" s="64" t="s">
        <v>682</v>
      </c>
      <c r="C844" s="64" t="s">
        <v>680</v>
      </c>
      <c r="D844" s="64" t="s">
        <v>681</v>
      </c>
      <c r="E844" s="123" t="s">
        <v>1427</v>
      </c>
      <c r="F844" s="124">
        <v>0.60563657407407401</v>
      </c>
      <c r="G844" s="64" t="s">
        <v>1422</v>
      </c>
      <c r="H844" s="64" t="s">
        <v>1337</v>
      </c>
    </row>
    <row r="845" spans="1:8" s="64" customFormat="1">
      <c r="A845" s="64">
        <v>15437429</v>
      </c>
      <c r="B845" s="64" t="s">
        <v>682</v>
      </c>
      <c r="C845" s="64" t="s">
        <v>680</v>
      </c>
      <c r="D845" s="64" t="s">
        <v>681</v>
      </c>
      <c r="E845" s="123" t="s">
        <v>1427</v>
      </c>
      <c r="F845" s="124">
        <v>0.35677083333333331</v>
      </c>
      <c r="G845" s="64" t="s">
        <v>1421</v>
      </c>
      <c r="H845" s="64" t="s">
        <v>1336</v>
      </c>
    </row>
    <row r="846" spans="1:8" s="64" customFormat="1">
      <c r="A846">
        <v>15439409</v>
      </c>
      <c r="B846" t="s">
        <v>1122</v>
      </c>
      <c r="C846" t="s">
        <v>1121</v>
      </c>
      <c r="D846" t="s">
        <v>926</v>
      </c>
      <c r="E846" s="118" t="s">
        <v>1420</v>
      </c>
      <c r="F846" s="119">
        <v>0.63436342592592598</v>
      </c>
      <c r="G846" t="s">
        <v>1422</v>
      </c>
      <c r="H846" t="s">
        <v>1337</v>
      </c>
    </row>
    <row r="847" spans="1:8" s="64" customFormat="1">
      <c r="A847">
        <v>15439409</v>
      </c>
      <c r="B847" t="s">
        <v>1122</v>
      </c>
      <c r="C847" t="s">
        <v>1121</v>
      </c>
      <c r="D847" t="s">
        <v>926</v>
      </c>
      <c r="E847" s="118" t="s">
        <v>1420</v>
      </c>
      <c r="F847" s="119">
        <v>0.30375000000000002</v>
      </c>
      <c r="G847" t="s">
        <v>1421</v>
      </c>
      <c r="H847" t="s">
        <v>1336</v>
      </c>
    </row>
    <row r="848" spans="1:8" s="64" customFormat="1">
      <c r="A848">
        <v>15439409</v>
      </c>
      <c r="B848" t="s">
        <v>1122</v>
      </c>
      <c r="C848" t="s">
        <v>1121</v>
      </c>
      <c r="D848" t="s">
        <v>926</v>
      </c>
      <c r="E848" s="118" t="s">
        <v>1423</v>
      </c>
      <c r="F848" s="119">
        <v>0.63446759259259256</v>
      </c>
      <c r="G848" t="s">
        <v>1422</v>
      </c>
      <c r="H848" t="s">
        <v>1337</v>
      </c>
    </row>
    <row r="849" spans="1:8" s="64" customFormat="1">
      <c r="A849">
        <v>15439409</v>
      </c>
      <c r="B849" t="s">
        <v>1122</v>
      </c>
      <c r="C849" t="s">
        <v>1121</v>
      </c>
      <c r="D849" t="s">
        <v>926</v>
      </c>
      <c r="E849" s="118" t="s">
        <v>1423</v>
      </c>
      <c r="F849" s="119">
        <v>0.2956597222222222</v>
      </c>
      <c r="G849" t="s">
        <v>1421</v>
      </c>
      <c r="H849" t="s">
        <v>1336</v>
      </c>
    </row>
    <row r="850" spans="1:8" s="64" customFormat="1">
      <c r="A850">
        <v>15439409</v>
      </c>
      <c r="B850" t="s">
        <v>1122</v>
      </c>
      <c r="C850" t="s">
        <v>1121</v>
      </c>
      <c r="D850" t="s">
        <v>926</v>
      </c>
      <c r="E850" s="118" t="s">
        <v>1424</v>
      </c>
      <c r="F850" s="119">
        <v>0.63512731481481477</v>
      </c>
      <c r="G850" t="s">
        <v>1422</v>
      </c>
      <c r="H850" t="s">
        <v>1337</v>
      </c>
    </row>
    <row r="851" spans="1:8" s="64" customFormat="1">
      <c r="A851">
        <v>15439409</v>
      </c>
      <c r="B851" t="s">
        <v>1122</v>
      </c>
      <c r="C851" t="s">
        <v>1121</v>
      </c>
      <c r="D851" t="s">
        <v>926</v>
      </c>
      <c r="E851" s="118" t="s">
        <v>1424</v>
      </c>
      <c r="F851" s="119">
        <v>0.30031249999999998</v>
      </c>
      <c r="G851" t="s">
        <v>1421</v>
      </c>
      <c r="H851" t="s">
        <v>1336</v>
      </c>
    </row>
    <row r="852" spans="1:8" s="64" customFormat="1">
      <c r="A852">
        <v>15439409</v>
      </c>
      <c r="B852" t="s">
        <v>1122</v>
      </c>
      <c r="C852" t="s">
        <v>1121</v>
      </c>
      <c r="D852" t="s">
        <v>926</v>
      </c>
      <c r="E852" s="118" t="s">
        <v>1426</v>
      </c>
      <c r="F852" s="119">
        <v>0.63607638888888884</v>
      </c>
      <c r="G852" t="s">
        <v>1422</v>
      </c>
      <c r="H852" t="s">
        <v>1337</v>
      </c>
    </row>
    <row r="853" spans="1:8" s="64" customFormat="1">
      <c r="A853">
        <v>15439409</v>
      </c>
      <c r="B853" t="s">
        <v>1122</v>
      </c>
      <c r="C853" t="s">
        <v>1121</v>
      </c>
      <c r="D853" t="s">
        <v>926</v>
      </c>
      <c r="E853" s="118" t="s">
        <v>1426</v>
      </c>
      <c r="F853" s="119">
        <v>0.29645833333333332</v>
      </c>
      <c r="G853" t="s">
        <v>1421</v>
      </c>
      <c r="H853" t="s">
        <v>1336</v>
      </c>
    </row>
    <row r="854" spans="1:8" s="64" customFormat="1">
      <c r="A854">
        <v>15441831</v>
      </c>
      <c r="B854" t="s">
        <v>1239</v>
      </c>
      <c r="C854" t="s">
        <v>1237</v>
      </c>
      <c r="D854" t="s">
        <v>1238</v>
      </c>
      <c r="E854" s="118" t="s">
        <v>1420</v>
      </c>
      <c r="F854" s="119">
        <v>0.63901620370370371</v>
      </c>
      <c r="G854" t="s">
        <v>1422</v>
      </c>
      <c r="H854" t="s">
        <v>1337</v>
      </c>
    </row>
    <row r="855" spans="1:8" s="64" customFormat="1">
      <c r="A855">
        <v>15441831</v>
      </c>
      <c r="B855" t="s">
        <v>1239</v>
      </c>
      <c r="C855" t="s">
        <v>1237</v>
      </c>
      <c r="D855" t="s">
        <v>1238</v>
      </c>
      <c r="E855" s="118" t="s">
        <v>1420</v>
      </c>
      <c r="F855" s="119">
        <v>0.31550925925925927</v>
      </c>
      <c r="G855" t="s">
        <v>1421</v>
      </c>
      <c r="H855" t="s">
        <v>1336</v>
      </c>
    </row>
    <row r="856" spans="1:8" s="64" customFormat="1">
      <c r="A856">
        <v>15441831</v>
      </c>
      <c r="B856" t="s">
        <v>1239</v>
      </c>
      <c r="C856" t="s">
        <v>1237</v>
      </c>
      <c r="D856" t="s">
        <v>1238</v>
      </c>
      <c r="E856" s="118" t="s">
        <v>1423</v>
      </c>
      <c r="F856" s="119">
        <v>0.63868055555555558</v>
      </c>
      <c r="G856" t="s">
        <v>1422</v>
      </c>
      <c r="H856" t="s">
        <v>1337</v>
      </c>
    </row>
    <row r="857" spans="1:8" s="64" customFormat="1">
      <c r="A857">
        <v>15441831</v>
      </c>
      <c r="B857" t="s">
        <v>1239</v>
      </c>
      <c r="C857" t="s">
        <v>1237</v>
      </c>
      <c r="D857" t="s">
        <v>1238</v>
      </c>
      <c r="E857" s="118" t="s">
        <v>1423</v>
      </c>
      <c r="F857" s="119">
        <v>0.30662037037037038</v>
      </c>
      <c r="G857" t="s">
        <v>1421</v>
      </c>
      <c r="H857" t="s">
        <v>1336</v>
      </c>
    </row>
    <row r="858" spans="1:8" s="64" customFormat="1">
      <c r="A858">
        <v>15441831</v>
      </c>
      <c r="B858" t="s">
        <v>1239</v>
      </c>
      <c r="C858" t="s">
        <v>1237</v>
      </c>
      <c r="D858" t="s">
        <v>1238</v>
      </c>
      <c r="E858" s="118" t="s">
        <v>1424</v>
      </c>
      <c r="F858" s="119">
        <v>0.63594907407407408</v>
      </c>
      <c r="G858" t="s">
        <v>1422</v>
      </c>
      <c r="H858" t="s">
        <v>1337</v>
      </c>
    </row>
    <row r="859" spans="1:8" s="64" customFormat="1">
      <c r="A859">
        <v>15441831</v>
      </c>
      <c r="B859" t="s">
        <v>1239</v>
      </c>
      <c r="C859" t="s">
        <v>1237</v>
      </c>
      <c r="D859" t="s">
        <v>1238</v>
      </c>
      <c r="E859" s="118" t="s">
        <v>1424</v>
      </c>
      <c r="F859" s="119">
        <v>0.32120370370370371</v>
      </c>
      <c r="G859" t="s">
        <v>1421</v>
      </c>
      <c r="H859" t="s">
        <v>1336</v>
      </c>
    </row>
    <row r="860" spans="1:8" s="64" customFormat="1">
      <c r="A860">
        <v>15441831</v>
      </c>
      <c r="B860" t="s">
        <v>1239</v>
      </c>
      <c r="C860" t="s">
        <v>1237</v>
      </c>
      <c r="D860" t="s">
        <v>1238</v>
      </c>
      <c r="E860" s="118" t="s">
        <v>1425</v>
      </c>
      <c r="F860" s="119">
        <v>0.63370370370370377</v>
      </c>
      <c r="G860" t="s">
        <v>1422</v>
      </c>
      <c r="H860" t="s">
        <v>1337</v>
      </c>
    </row>
    <row r="861" spans="1:8" s="64" customFormat="1">
      <c r="A861">
        <v>15441831</v>
      </c>
      <c r="B861" t="s">
        <v>1239</v>
      </c>
      <c r="C861" t="s">
        <v>1237</v>
      </c>
      <c r="D861" t="s">
        <v>1238</v>
      </c>
      <c r="E861" s="118" t="s">
        <v>1425</v>
      </c>
      <c r="F861" s="119">
        <v>0.31199074074074074</v>
      </c>
      <c r="G861" t="s">
        <v>1421</v>
      </c>
      <c r="H861" t="s">
        <v>1336</v>
      </c>
    </row>
    <row r="862" spans="1:8" s="64" customFormat="1">
      <c r="A862">
        <v>15441831</v>
      </c>
      <c r="B862" t="s">
        <v>1239</v>
      </c>
      <c r="C862" t="s">
        <v>1237</v>
      </c>
      <c r="D862" t="s">
        <v>1238</v>
      </c>
      <c r="E862" s="118" t="s">
        <v>1426</v>
      </c>
      <c r="F862" s="119">
        <v>0.63831018518518523</v>
      </c>
      <c r="G862" t="s">
        <v>1422</v>
      </c>
      <c r="H862" t="s">
        <v>1337</v>
      </c>
    </row>
    <row r="863" spans="1:8" s="64" customFormat="1">
      <c r="A863">
        <v>15441831</v>
      </c>
      <c r="B863" t="s">
        <v>1239</v>
      </c>
      <c r="C863" t="s">
        <v>1237</v>
      </c>
      <c r="D863" t="s">
        <v>1238</v>
      </c>
      <c r="E863" s="118" t="s">
        <v>1426</v>
      </c>
      <c r="F863" s="119">
        <v>0.3037037037037037</v>
      </c>
      <c r="G863" t="s">
        <v>1421</v>
      </c>
      <c r="H863" t="s">
        <v>1336</v>
      </c>
    </row>
    <row r="864" spans="1:8" s="64" customFormat="1">
      <c r="A864">
        <v>15441831</v>
      </c>
      <c r="B864" t="s">
        <v>1239</v>
      </c>
      <c r="C864" t="s">
        <v>1237</v>
      </c>
      <c r="D864" t="s">
        <v>1238</v>
      </c>
      <c r="E864" s="118" t="s">
        <v>1427</v>
      </c>
      <c r="F864" s="119">
        <v>0.64354166666666668</v>
      </c>
      <c r="G864" t="s">
        <v>1422</v>
      </c>
      <c r="H864" t="s">
        <v>1337</v>
      </c>
    </row>
    <row r="865" spans="1:8" s="64" customFormat="1">
      <c r="A865">
        <v>15441831</v>
      </c>
      <c r="B865" t="s">
        <v>1239</v>
      </c>
      <c r="C865" t="s">
        <v>1237</v>
      </c>
      <c r="D865" t="s">
        <v>1238</v>
      </c>
      <c r="E865" s="118" t="s">
        <v>1427</v>
      </c>
      <c r="F865" s="119">
        <v>0.31130787037037039</v>
      </c>
      <c r="G865" t="s">
        <v>1421</v>
      </c>
      <c r="H865" t="s">
        <v>1336</v>
      </c>
    </row>
    <row r="866" spans="1:8" s="64" customFormat="1">
      <c r="A866">
        <v>15444951</v>
      </c>
      <c r="B866" t="s">
        <v>820</v>
      </c>
      <c r="C866" t="s">
        <v>814</v>
      </c>
      <c r="D866" t="s">
        <v>114</v>
      </c>
      <c r="E866" s="118" t="s">
        <v>1420</v>
      </c>
      <c r="F866" s="119">
        <v>0.93306712962962957</v>
      </c>
      <c r="G866" t="s">
        <v>1421</v>
      </c>
      <c r="H866" t="s">
        <v>1336</v>
      </c>
    </row>
    <row r="867" spans="1:8" s="64" customFormat="1">
      <c r="A867">
        <v>15444951</v>
      </c>
      <c r="B867" t="s">
        <v>820</v>
      </c>
      <c r="C867" t="s">
        <v>814</v>
      </c>
      <c r="D867" t="s">
        <v>114</v>
      </c>
      <c r="E867" s="118" t="s">
        <v>1423</v>
      </c>
      <c r="F867" s="119">
        <v>0.31768518518518518</v>
      </c>
      <c r="G867" t="s">
        <v>1422</v>
      </c>
      <c r="H867" t="s">
        <v>1337</v>
      </c>
    </row>
    <row r="868" spans="1:8" s="64" customFormat="1">
      <c r="A868">
        <v>15444951</v>
      </c>
      <c r="B868" t="s">
        <v>820</v>
      </c>
      <c r="C868" t="s">
        <v>814</v>
      </c>
      <c r="D868" t="s">
        <v>114</v>
      </c>
      <c r="E868" s="118" t="s">
        <v>1423</v>
      </c>
      <c r="F868" s="119">
        <v>0.93319444444444455</v>
      </c>
      <c r="G868" t="s">
        <v>1421</v>
      </c>
      <c r="H868" t="s">
        <v>1336</v>
      </c>
    </row>
    <row r="869" spans="1:8" s="64" customFormat="1">
      <c r="A869">
        <v>15444951</v>
      </c>
      <c r="B869" t="s">
        <v>820</v>
      </c>
      <c r="C869" t="s">
        <v>814</v>
      </c>
      <c r="D869" t="s">
        <v>114</v>
      </c>
      <c r="E869" s="118" t="s">
        <v>1424</v>
      </c>
      <c r="F869" s="119">
        <v>0.32193287037037038</v>
      </c>
      <c r="G869" t="s">
        <v>1422</v>
      </c>
      <c r="H869" t="s">
        <v>1337</v>
      </c>
    </row>
    <row r="870" spans="1:8" s="64" customFormat="1">
      <c r="A870">
        <v>15444951</v>
      </c>
      <c r="B870" t="s">
        <v>820</v>
      </c>
      <c r="C870" t="s">
        <v>814</v>
      </c>
      <c r="D870" t="s">
        <v>114</v>
      </c>
      <c r="E870" s="118" t="s">
        <v>1424</v>
      </c>
      <c r="F870" s="119">
        <v>0.92903935185185194</v>
      </c>
      <c r="G870" t="s">
        <v>1421</v>
      </c>
      <c r="H870" t="s">
        <v>1336</v>
      </c>
    </row>
    <row r="871" spans="1:8" s="64" customFormat="1">
      <c r="A871">
        <v>15444951</v>
      </c>
      <c r="B871" t="s">
        <v>820</v>
      </c>
      <c r="C871" t="s">
        <v>814</v>
      </c>
      <c r="D871" t="s">
        <v>114</v>
      </c>
      <c r="E871" s="118" t="s">
        <v>1425</v>
      </c>
      <c r="F871" s="119">
        <v>0.31777777777777777</v>
      </c>
      <c r="G871" t="s">
        <v>1422</v>
      </c>
      <c r="H871" t="s">
        <v>1337</v>
      </c>
    </row>
    <row r="872" spans="1:8" s="64" customFormat="1">
      <c r="A872">
        <v>15444951</v>
      </c>
      <c r="B872" t="s">
        <v>820</v>
      </c>
      <c r="C872" t="s">
        <v>814</v>
      </c>
      <c r="D872" t="s">
        <v>114</v>
      </c>
      <c r="E872" s="118" t="s">
        <v>1425</v>
      </c>
      <c r="F872" s="119">
        <v>0.93417824074074074</v>
      </c>
      <c r="G872" t="s">
        <v>1421</v>
      </c>
      <c r="H872" t="s">
        <v>1336</v>
      </c>
    </row>
    <row r="873" spans="1:8" s="64" customFormat="1">
      <c r="A873">
        <v>15444951</v>
      </c>
      <c r="B873" t="s">
        <v>820</v>
      </c>
      <c r="C873" t="s">
        <v>814</v>
      </c>
      <c r="D873" t="s">
        <v>114</v>
      </c>
      <c r="E873" s="118" t="s">
        <v>1426</v>
      </c>
      <c r="F873" s="119">
        <v>0.31493055555555555</v>
      </c>
      <c r="G873" t="s">
        <v>1422</v>
      </c>
      <c r="H873" t="s">
        <v>1337</v>
      </c>
    </row>
    <row r="874" spans="1:8" s="64" customFormat="1">
      <c r="A874">
        <v>15444951</v>
      </c>
      <c r="B874" t="s">
        <v>820</v>
      </c>
      <c r="C874" t="s">
        <v>814</v>
      </c>
      <c r="D874" t="s">
        <v>114</v>
      </c>
      <c r="E874" s="118" t="s">
        <v>1426</v>
      </c>
      <c r="F874" s="119">
        <v>0.95870370370370372</v>
      </c>
      <c r="G874" t="s">
        <v>1421</v>
      </c>
      <c r="H874" t="s">
        <v>1336</v>
      </c>
    </row>
    <row r="875" spans="1:8" s="64" customFormat="1">
      <c r="A875">
        <v>15444951</v>
      </c>
      <c r="B875" t="s">
        <v>820</v>
      </c>
      <c r="C875" t="s">
        <v>814</v>
      </c>
      <c r="D875" t="s">
        <v>114</v>
      </c>
      <c r="E875" s="118" t="s">
        <v>1427</v>
      </c>
      <c r="F875" s="119">
        <v>0.31848379629629631</v>
      </c>
      <c r="G875" t="s">
        <v>1422</v>
      </c>
      <c r="H875" t="s">
        <v>1337</v>
      </c>
    </row>
    <row r="876" spans="1:8" s="64" customFormat="1">
      <c r="A876">
        <v>15445100</v>
      </c>
      <c r="B876" t="s">
        <v>749</v>
      </c>
      <c r="C876" t="s">
        <v>1176</v>
      </c>
      <c r="D876" t="s">
        <v>595</v>
      </c>
      <c r="E876" s="118" t="s">
        <v>1420</v>
      </c>
      <c r="F876" s="119">
        <v>0.94936342592592593</v>
      </c>
      <c r="G876" t="s">
        <v>1422</v>
      </c>
      <c r="H876" t="s">
        <v>1337</v>
      </c>
    </row>
    <row r="877" spans="1:8" s="64" customFormat="1">
      <c r="A877">
        <v>15445100</v>
      </c>
      <c r="B877" t="s">
        <v>749</v>
      </c>
      <c r="C877" t="s">
        <v>1176</v>
      </c>
      <c r="D877" t="s">
        <v>595</v>
      </c>
      <c r="E877" s="118" t="s">
        <v>1420</v>
      </c>
      <c r="F877" s="119">
        <v>0.60718749999999999</v>
      </c>
      <c r="G877" t="s">
        <v>1421</v>
      </c>
      <c r="H877" t="s">
        <v>1336</v>
      </c>
    </row>
    <row r="878" spans="1:8" s="64" customFormat="1">
      <c r="A878">
        <v>15445100</v>
      </c>
      <c r="B878" t="s">
        <v>749</v>
      </c>
      <c r="C878" t="s">
        <v>1176</v>
      </c>
      <c r="D878" t="s">
        <v>595</v>
      </c>
      <c r="E878" s="118" t="s">
        <v>1423</v>
      </c>
      <c r="F878" s="119">
        <v>0.94769675925925922</v>
      </c>
      <c r="G878" t="s">
        <v>1422</v>
      </c>
      <c r="H878" t="s">
        <v>1337</v>
      </c>
    </row>
    <row r="879" spans="1:8" s="64" customFormat="1">
      <c r="A879">
        <v>15445100</v>
      </c>
      <c r="B879" t="s">
        <v>749</v>
      </c>
      <c r="C879" t="s">
        <v>1176</v>
      </c>
      <c r="D879" t="s">
        <v>595</v>
      </c>
      <c r="E879" s="118" t="s">
        <v>1423</v>
      </c>
      <c r="F879" s="119">
        <v>0.60704861111111108</v>
      </c>
      <c r="G879" t="s">
        <v>1421</v>
      </c>
      <c r="H879" t="s">
        <v>1336</v>
      </c>
    </row>
    <row r="880" spans="1:8" s="64" customFormat="1">
      <c r="A880">
        <v>15445100</v>
      </c>
      <c r="B880" t="s">
        <v>749</v>
      </c>
      <c r="C880" t="s">
        <v>1176</v>
      </c>
      <c r="D880" t="s">
        <v>595</v>
      </c>
      <c r="E880" s="118" t="s">
        <v>1424</v>
      </c>
      <c r="F880" s="119">
        <v>0.63975694444444442</v>
      </c>
      <c r="G880" t="s">
        <v>1422</v>
      </c>
      <c r="H880" t="s">
        <v>1337</v>
      </c>
    </row>
    <row r="881" spans="1:8" s="64" customFormat="1">
      <c r="A881">
        <v>15445100</v>
      </c>
      <c r="B881" t="s">
        <v>749</v>
      </c>
      <c r="C881" t="s">
        <v>1176</v>
      </c>
      <c r="D881" t="s">
        <v>595</v>
      </c>
      <c r="E881" s="118" t="s">
        <v>1424</v>
      </c>
      <c r="F881" s="119">
        <v>0.30549768518518522</v>
      </c>
      <c r="G881" t="s">
        <v>1421</v>
      </c>
      <c r="H881" t="s">
        <v>1336</v>
      </c>
    </row>
    <row r="882" spans="1:8" s="64" customFormat="1">
      <c r="A882">
        <v>15445100</v>
      </c>
      <c r="B882" t="s">
        <v>749</v>
      </c>
      <c r="C882" t="s">
        <v>1176</v>
      </c>
      <c r="D882" t="s">
        <v>595</v>
      </c>
      <c r="E882" s="118" t="s">
        <v>1425</v>
      </c>
      <c r="F882" s="119">
        <v>0.95207175925925924</v>
      </c>
      <c r="G882" t="s">
        <v>1422</v>
      </c>
      <c r="H882" t="s">
        <v>1337</v>
      </c>
    </row>
    <row r="883" spans="1:8" s="64" customFormat="1">
      <c r="A883">
        <v>15445100</v>
      </c>
      <c r="B883" t="s">
        <v>749</v>
      </c>
      <c r="C883" t="s">
        <v>1176</v>
      </c>
      <c r="D883" t="s">
        <v>595</v>
      </c>
      <c r="E883" s="118" t="s">
        <v>1425</v>
      </c>
      <c r="F883" s="119">
        <v>0.60824074074074075</v>
      </c>
      <c r="G883" t="s">
        <v>1421</v>
      </c>
      <c r="H883" t="s">
        <v>1336</v>
      </c>
    </row>
    <row r="884" spans="1:8" s="64" customFormat="1">
      <c r="A884">
        <v>15445100</v>
      </c>
      <c r="B884" t="s">
        <v>749</v>
      </c>
      <c r="C884" t="s">
        <v>1176</v>
      </c>
      <c r="D884" t="s">
        <v>595</v>
      </c>
      <c r="E884" s="118" t="s">
        <v>1426</v>
      </c>
      <c r="F884" s="119">
        <v>0.94756944444444446</v>
      </c>
      <c r="G884" t="s">
        <v>1422</v>
      </c>
      <c r="H884" t="s">
        <v>1337</v>
      </c>
    </row>
    <row r="885" spans="1:8" s="64" customFormat="1">
      <c r="A885">
        <v>15445100</v>
      </c>
      <c r="B885" t="s">
        <v>749</v>
      </c>
      <c r="C885" t="s">
        <v>1176</v>
      </c>
      <c r="D885" t="s">
        <v>595</v>
      </c>
      <c r="E885" s="118" t="s">
        <v>1426</v>
      </c>
      <c r="F885" s="119">
        <v>0.6097569444444445</v>
      </c>
      <c r="G885" t="s">
        <v>1421</v>
      </c>
      <c r="H885" t="s">
        <v>1336</v>
      </c>
    </row>
    <row r="886" spans="1:8" s="64" customFormat="1">
      <c r="A886">
        <v>15445100</v>
      </c>
      <c r="B886" t="s">
        <v>749</v>
      </c>
      <c r="C886" t="s">
        <v>1176</v>
      </c>
      <c r="D886" t="s">
        <v>595</v>
      </c>
      <c r="E886" s="118" t="s">
        <v>1427</v>
      </c>
      <c r="F886" s="119">
        <v>0.94738425925925929</v>
      </c>
      <c r="G886" t="s">
        <v>1422</v>
      </c>
      <c r="H886" t="s">
        <v>1337</v>
      </c>
    </row>
    <row r="887" spans="1:8" s="64" customFormat="1">
      <c r="A887">
        <v>15445100</v>
      </c>
      <c r="B887" t="s">
        <v>749</v>
      </c>
      <c r="C887" t="s">
        <v>1176</v>
      </c>
      <c r="D887" t="s">
        <v>595</v>
      </c>
      <c r="E887" s="118" t="s">
        <v>1427</v>
      </c>
      <c r="F887" s="119">
        <v>0.6274305555555556</v>
      </c>
      <c r="G887" t="s">
        <v>1421</v>
      </c>
      <c r="H887" t="s">
        <v>1336</v>
      </c>
    </row>
    <row r="888" spans="1:8" s="64" customFormat="1">
      <c r="A888">
        <v>15449281</v>
      </c>
      <c r="B888" t="s">
        <v>1152</v>
      </c>
      <c r="C888" t="s">
        <v>343</v>
      </c>
      <c r="D888" t="s">
        <v>765</v>
      </c>
      <c r="E888" s="118" t="s">
        <v>1420</v>
      </c>
      <c r="F888" s="119">
        <v>0.92087962962962966</v>
      </c>
      <c r="G888" t="s">
        <v>1421</v>
      </c>
      <c r="H888" t="s">
        <v>1336</v>
      </c>
    </row>
    <row r="889" spans="1:8" s="64" customFormat="1">
      <c r="A889">
        <v>15449281</v>
      </c>
      <c r="B889" t="s">
        <v>1152</v>
      </c>
      <c r="C889" t="s">
        <v>343</v>
      </c>
      <c r="D889" t="s">
        <v>765</v>
      </c>
      <c r="E889" s="118" t="s">
        <v>1423</v>
      </c>
      <c r="F889" s="119">
        <v>0.32471064814814815</v>
      </c>
      <c r="G889" t="s">
        <v>1422</v>
      </c>
      <c r="H889" t="s">
        <v>1337</v>
      </c>
    </row>
    <row r="890" spans="1:8" s="64" customFormat="1">
      <c r="A890">
        <v>15449281</v>
      </c>
      <c r="B890" t="s">
        <v>1152</v>
      </c>
      <c r="C890" t="s">
        <v>343</v>
      </c>
      <c r="D890" t="s">
        <v>765</v>
      </c>
      <c r="E890" s="118" t="s">
        <v>1423</v>
      </c>
      <c r="F890" s="119">
        <v>0.91895833333333332</v>
      </c>
      <c r="G890" t="s">
        <v>1421</v>
      </c>
      <c r="H890" t="s">
        <v>1336</v>
      </c>
    </row>
    <row r="891" spans="1:8" s="64" customFormat="1">
      <c r="A891">
        <v>15449281</v>
      </c>
      <c r="B891" t="s">
        <v>1152</v>
      </c>
      <c r="C891" t="s">
        <v>343</v>
      </c>
      <c r="D891" t="s">
        <v>765</v>
      </c>
      <c r="E891" s="118" t="s">
        <v>1424</v>
      </c>
      <c r="F891" s="119">
        <v>0.32175925925925924</v>
      </c>
      <c r="G891" t="s">
        <v>1422</v>
      </c>
      <c r="H891" t="s">
        <v>1337</v>
      </c>
    </row>
    <row r="892" spans="1:8" s="64" customFormat="1">
      <c r="A892">
        <v>15449281</v>
      </c>
      <c r="B892" t="s">
        <v>1152</v>
      </c>
      <c r="C892" t="s">
        <v>343</v>
      </c>
      <c r="D892" t="s">
        <v>765</v>
      </c>
      <c r="E892" s="118" t="s">
        <v>1424</v>
      </c>
      <c r="F892" s="119">
        <v>0.92113425925925929</v>
      </c>
      <c r="G892" t="s">
        <v>1421</v>
      </c>
      <c r="H892" t="s">
        <v>1336</v>
      </c>
    </row>
    <row r="893" spans="1:8" s="64" customFormat="1">
      <c r="A893">
        <v>15449281</v>
      </c>
      <c r="B893" t="s">
        <v>1152</v>
      </c>
      <c r="C893" t="s">
        <v>343</v>
      </c>
      <c r="D893" t="s">
        <v>765</v>
      </c>
      <c r="E893" s="118" t="s">
        <v>1425</v>
      </c>
      <c r="F893" s="119">
        <v>0.32278935185185187</v>
      </c>
      <c r="G893" t="s">
        <v>1422</v>
      </c>
      <c r="H893" t="s">
        <v>1337</v>
      </c>
    </row>
    <row r="894" spans="1:8" s="64" customFormat="1">
      <c r="A894">
        <v>15449281</v>
      </c>
      <c r="B894" t="s">
        <v>1152</v>
      </c>
      <c r="C894" t="s">
        <v>343</v>
      </c>
      <c r="D894" t="s">
        <v>765</v>
      </c>
      <c r="E894" s="118" t="s">
        <v>1425</v>
      </c>
      <c r="F894" s="119">
        <v>0.92033564814814817</v>
      </c>
      <c r="G894" t="s">
        <v>1421</v>
      </c>
      <c r="H894" t="s">
        <v>1336</v>
      </c>
    </row>
    <row r="895" spans="1:8" s="64" customFormat="1">
      <c r="A895">
        <v>15449281</v>
      </c>
      <c r="B895" t="s">
        <v>1152</v>
      </c>
      <c r="C895" t="s">
        <v>343</v>
      </c>
      <c r="D895" t="s">
        <v>765</v>
      </c>
      <c r="E895" s="118" t="s">
        <v>1426</v>
      </c>
      <c r="F895" s="119">
        <v>0.32153935185185184</v>
      </c>
      <c r="G895" t="s">
        <v>1422</v>
      </c>
      <c r="H895" t="s">
        <v>1337</v>
      </c>
    </row>
    <row r="896" spans="1:8" s="64" customFormat="1">
      <c r="A896">
        <v>15449281</v>
      </c>
      <c r="B896" t="s">
        <v>1152</v>
      </c>
      <c r="C896" t="s">
        <v>343</v>
      </c>
      <c r="D896" t="s">
        <v>765</v>
      </c>
      <c r="E896" s="118" t="s">
        <v>1426</v>
      </c>
      <c r="F896" s="119">
        <v>0.92052083333333334</v>
      </c>
      <c r="G896" t="s">
        <v>1421</v>
      </c>
      <c r="H896" t="s">
        <v>1336</v>
      </c>
    </row>
    <row r="897" spans="1:8" s="64" customFormat="1">
      <c r="A897">
        <v>15449281</v>
      </c>
      <c r="B897" t="s">
        <v>1152</v>
      </c>
      <c r="C897" t="s">
        <v>343</v>
      </c>
      <c r="D897" t="s">
        <v>765</v>
      </c>
      <c r="E897" s="118" t="s">
        <v>1427</v>
      </c>
      <c r="F897" s="119">
        <v>0.31881944444444443</v>
      </c>
      <c r="G897" t="s">
        <v>1422</v>
      </c>
      <c r="H897" t="s">
        <v>1337</v>
      </c>
    </row>
    <row r="898" spans="1:8" s="64" customFormat="1">
      <c r="A898">
        <v>15533689</v>
      </c>
      <c r="B898" t="s">
        <v>802</v>
      </c>
      <c r="C898" t="s">
        <v>343</v>
      </c>
      <c r="D898" t="s">
        <v>1121</v>
      </c>
      <c r="E898" s="118" t="s">
        <v>1426</v>
      </c>
      <c r="F898" s="119">
        <v>0.70156249999999998</v>
      </c>
      <c r="G898" t="s">
        <v>1422</v>
      </c>
      <c r="H898" t="s">
        <v>1337</v>
      </c>
    </row>
    <row r="899" spans="1:8" s="64" customFormat="1">
      <c r="A899">
        <v>15533689</v>
      </c>
      <c r="B899" t="s">
        <v>802</v>
      </c>
      <c r="C899" t="s">
        <v>343</v>
      </c>
      <c r="D899" t="s">
        <v>1121</v>
      </c>
      <c r="E899" s="118" t="s">
        <v>1426</v>
      </c>
      <c r="F899" s="119">
        <v>0.31149305555555556</v>
      </c>
      <c r="G899" t="s">
        <v>1421</v>
      </c>
      <c r="H899" t="s">
        <v>1336</v>
      </c>
    </row>
    <row r="900" spans="1:8" s="64" customFormat="1">
      <c r="A900">
        <v>15891790</v>
      </c>
      <c r="B900" t="s">
        <v>133</v>
      </c>
      <c r="C900" t="s">
        <v>961</v>
      </c>
      <c r="D900" t="s">
        <v>969</v>
      </c>
      <c r="E900" s="118" t="s">
        <v>1420</v>
      </c>
      <c r="F900" s="119">
        <v>0.63336805555555553</v>
      </c>
      <c r="G900" t="s">
        <v>1422</v>
      </c>
      <c r="H900" t="s">
        <v>1337</v>
      </c>
    </row>
    <row r="901" spans="1:8" s="64" customFormat="1">
      <c r="A901">
        <v>15891790</v>
      </c>
      <c r="B901" t="s">
        <v>133</v>
      </c>
      <c r="C901" t="s">
        <v>961</v>
      </c>
      <c r="D901" t="s">
        <v>969</v>
      </c>
      <c r="E901" s="118" t="s">
        <v>1420</v>
      </c>
      <c r="F901" s="119">
        <v>0.31711805555555556</v>
      </c>
      <c r="G901" t="s">
        <v>1421</v>
      </c>
      <c r="H901" t="s">
        <v>1336</v>
      </c>
    </row>
    <row r="902" spans="1:8" s="64" customFormat="1">
      <c r="A902">
        <v>15891790</v>
      </c>
      <c r="B902" t="s">
        <v>133</v>
      </c>
      <c r="C902" t="s">
        <v>961</v>
      </c>
      <c r="D902" t="s">
        <v>969</v>
      </c>
      <c r="E902" s="118" t="s">
        <v>1423</v>
      </c>
      <c r="F902" s="119">
        <v>0.71466435185185195</v>
      </c>
      <c r="G902" t="s">
        <v>1422</v>
      </c>
      <c r="H902" t="s">
        <v>1337</v>
      </c>
    </row>
    <row r="903" spans="1:8" s="64" customFormat="1">
      <c r="A903">
        <v>15891790</v>
      </c>
      <c r="B903" t="s">
        <v>133</v>
      </c>
      <c r="C903" t="s">
        <v>961</v>
      </c>
      <c r="D903" t="s">
        <v>969</v>
      </c>
      <c r="E903" s="118" t="s">
        <v>1423</v>
      </c>
      <c r="F903" s="119">
        <v>0.31069444444444444</v>
      </c>
      <c r="G903" t="s">
        <v>1421</v>
      </c>
      <c r="H903" t="s">
        <v>1336</v>
      </c>
    </row>
    <row r="904" spans="1:8" s="64" customFormat="1">
      <c r="A904">
        <v>15891790</v>
      </c>
      <c r="B904" t="s">
        <v>133</v>
      </c>
      <c r="C904" t="s">
        <v>961</v>
      </c>
      <c r="D904" t="s">
        <v>969</v>
      </c>
      <c r="E904" s="118" t="s">
        <v>1424</v>
      </c>
      <c r="F904" s="119">
        <v>0.71090277777777777</v>
      </c>
      <c r="G904" t="s">
        <v>1422</v>
      </c>
      <c r="H904" t="s">
        <v>1337</v>
      </c>
    </row>
    <row r="905" spans="1:8" s="64" customFormat="1">
      <c r="A905">
        <v>15891790</v>
      </c>
      <c r="B905" t="s">
        <v>133</v>
      </c>
      <c r="C905" t="s">
        <v>961</v>
      </c>
      <c r="D905" t="s">
        <v>969</v>
      </c>
      <c r="E905" s="118" t="s">
        <v>1424</v>
      </c>
      <c r="F905" s="119">
        <v>0.31155092592592593</v>
      </c>
      <c r="G905" t="s">
        <v>1421</v>
      </c>
      <c r="H905" t="s">
        <v>1336</v>
      </c>
    </row>
    <row r="906" spans="1:8" s="64" customFormat="1">
      <c r="A906">
        <v>15891790</v>
      </c>
      <c r="B906" t="s">
        <v>133</v>
      </c>
      <c r="C906" t="s">
        <v>961</v>
      </c>
      <c r="D906" t="s">
        <v>969</v>
      </c>
      <c r="E906" s="118" t="s">
        <v>1426</v>
      </c>
      <c r="F906" s="119">
        <v>0.62523148148148155</v>
      </c>
      <c r="G906" t="s">
        <v>1422</v>
      </c>
      <c r="H906" t="s">
        <v>1337</v>
      </c>
    </row>
    <row r="907" spans="1:8" s="64" customFormat="1">
      <c r="A907">
        <v>15891790</v>
      </c>
      <c r="B907" t="s">
        <v>133</v>
      </c>
      <c r="C907" t="s">
        <v>961</v>
      </c>
      <c r="D907" t="s">
        <v>969</v>
      </c>
      <c r="E907" s="118" t="s">
        <v>1426</v>
      </c>
      <c r="F907" s="119">
        <v>0.32341435185185186</v>
      </c>
      <c r="G907" t="s">
        <v>1421</v>
      </c>
      <c r="H907" t="s">
        <v>1336</v>
      </c>
    </row>
    <row r="908" spans="1:8" s="64" customFormat="1">
      <c r="A908">
        <v>15891790</v>
      </c>
      <c r="B908" t="s">
        <v>133</v>
      </c>
      <c r="C908" t="s">
        <v>961</v>
      </c>
      <c r="D908" t="s">
        <v>969</v>
      </c>
      <c r="E908" s="118" t="s">
        <v>1427</v>
      </c>
      <c r="F908" s="119">
        <v>0.63129629629629636</v>
      </c>
      <c r="G908" t="s">
        <v>1422</v>
      </c>
      <c r="H908" t="s">
        <v>1337</v>
      </c>
    </row>
    <row r="909" spans="1:8" s="64" customFormat="1">
      <c r="A909">
        <v>15891790</v>
      </c>
      <c r="B909" t="s">
        <v>133</v>
      </c>
      <c r="C909" t="s">
        <v>961</v>
      </c>
      <c r="D909" t="s">
        <v>969</v>
      </c>
      <c r="E909" s="118" t="s">
        <v>1427</v>
      </c>
      <c r="F909" s="119">
        <v>0.32061342592592595</v>
      </c>
      <c r="G909" t="s">
        <v>1421</v>
      </c>
      <c r="H909" t="s">
        <v>1336</v>
      </c>
    </row>
    <row r="910" spans="1:8" s="64" customFormat="1">
      <c r="A910">
        <v>16031949</v>
      </c>
      <c r="B910" t="s">
        <v>1429</v>
      </c>
      <c r="C910" t="s">
        <v>357</v>
      </c>
      <c r="D910" t="s">
        <v>358</v>
      </c>
      <c r="E910" s="118" t="s">
        <v>1420</v>
      </c>
      <c r="F910" s="119">
        <v>0.63254629629629633</v>
      </c>
      <c r="G910" t="s">
        <v>1422</v>
      </c>
      <c r="H910" t="s">
        <v>1337</v>
      </c>
    </row>
    <row r="911" spans="1:8" s="64" customFormat="1">
      <c r="A911">
        <v>16031949</v>
      </c>
      <c r="B911" t="s">
        <v>1429</v>
      </c>
      <c r="C911" t="s">
        <v>357</v>
      </c>
      <c r="D911" t="s">
        <v>358</v>
      </c>
      <c r="E911" s="118" t="s">
        <v>1420</v>
      </c>
      <c r="F911" s="119">
        <v>0.29099537037037038</v>
      </c>
      <c r="G911" t="s">
        <v>1421</v>
      </c>
      <c r="H911" t="s">
        <v>1336</v>
      </c>
    </row>
    <row r="912" spans="1:8" s="64" customFormat="1">
      <c r="A912">
        <v>16031949</v>
      </c>
      <c r="B912" t="s">
        <v>1429</v>
      </c>
      <c r="C912" t="s">
        <v>357</v>
      </c>
      <c r="D912" t="s">
        <v>358</v>
      </c>
      <c r="E912" s="118" t="s">
        <v>1423</v>
      </c>
      <c r="F912" s="119">
        <v>0.62417824074074069</v>
      </c>
      <c r="G912" t="s">
        <v>1422</v>
      </c>
      <c r="H912" t="s">
        <v>1337</v>
      </c>
    </row>
    <row r="913" spans="1:8" s="64" customFormat="1">
      <c r="A913">
        <v>16031949</v>
      </c>
      <c r="B913" t="s">
        <v>1429</v>
      </c>
      <c r="C913" t="s">
        <v>357</v>
      </c>
      <c r="D913" t="s">
        <v>358</v>
      </c>
      <c r="E913" s="118" t="s">
        <v>1423</v>
      </c>
      <c r="F913" s="119">
        <v>0.29658564814814814</v>
      </c>
      <c r="G913" t="s">
        <v>1421</v>
      </c>
      <c r="H913" t="s">
        <v>1336</v>
      </c>
    </row>
    <row r="914" spans="1:8" s="64" customFormat="1">
      <c r="A914">
        <v>16031949</v>
      </c>
      <c r="B914" t="s">
        <v>1429</v>
      </c>
      <c r="C914" t="s">
        <v>357</v>
      </c>
      <c r="D914" t="s">
        <v>358</v>
      </c>
      <c r="E914" s="118" t="s">
        <v>1424</v>
      </c>
      <c r="F914" s="119">
        <v>0.63276620370370373</v>
      </c>
      <c r="G914" t="s">
        <v>1422</v>
      </c>
      <c r="H914" t="s">
        <v>1337</v>
      </c>
    </row>
    <row r="915" spans="1:8" s="64" customFormat="1">
      <c r="A915">
        <v>16031949</v>
      </c>
      <c r="B915" t="s">
        <v>1429</v>
      </c>
      <c r="C915" t="s">
        <v>357</v>
      </c>
      <c r="D915" t="s">
        <v>358</v>
      </c>
      <c r="E915" s="118" t="s">
        <v>1424</v>
      </c>
      <c r="F915" s="119">
        <v>0.29635416666666664</v>
      </c>
      <c r="G915" t="s">
        <v>1421</v>
      </c>
      <c r="H915" t="s">
        <v>1336</v>
      </c>
    </row>
    <row r="916" spans="1:8" s="64" customFormat="1">
      <c r="A916">
        <v>16031949</v>
      </c>
      <c r="B916" t="s">
        <v>1429</v>
      </c>
      <c r="C916" t="s">
        <v>357</v>
      </c>
      <c r="D916" t="s">
        <v>358</v>
      </c>
      <c r="E916" s="118" t="s">
        <v>1425</v>
      </c>
      <c r="F916" s="119">
        <v>0.63611111111111118</v>
      </c>
      <c r="G916" t="s">
        <v>1422</v>
      </c>
      <c r="H916" t="s">
        <v>1337</v>
      </c>
    </row>
    <row r="917" spans="1:8" s="64" customFormat="1">
      <c r="A917">
        <v>16031949</v>
      </c>
      <c r="B917" t="s">
        <v>1429</v>
      </c>
      <c r="C917" t="s">
        <v>357</v>
      </c>
      <c r="D917" t="s">
        <v>358</v>
      </c>
      <c r="E917" s="118" t="s">
        <v>1425</v>
      </c>
      <c r="F917" s="119">
        <v>0.29668981481481482</v>
      </c>
      <c r="G917" t="s">
        <v>1421</v>
      </c>
      <c r="H917" t="s">
        <v>1336</v>
      </c>
    </row>
    <row r="918" spans="1:8" s="64" customFormat="1">
      <c r="A918">
        <v>16031949</v>
      </c>
      <c r="B918" t="s">
        <v>1429</v>
      </c>
      <c r="C918" t="s">
        <v>357</v>
      </c>
      <c r="D918" t="s">
        <v>358</v>
      </c>
      <c r="E918" s="118" t="s">
        <v>1426</v>
      </c>
      <c r="F918" s="119">
        <v>0.63396990740740744</v>
      </c>
      <c r="G918" t="s">
        <v>1422</v>
      </c>
      <c r="H918" t="s">
        <v>1337</v>
      </c>
    </row>
    <row r="919" spans="1:8" s="64" customFormat="1">
      <c r="A919">
        <v>16031949</v>
      </c>
      <c r="B919" t="s">
        <v>1429</v>
      </c>
      <c r="C919" t="s">
        <v>357</v>
      </c>
      <c r="D919" t="s">
        <v>358</v>
      </c>
      <c r="E919" s="118" t="s">
        <v>1426</v>
      </c>
      <c r="F919" s="119">
        <v>0.29649305555555555</v>
      </c>
      <c r="G919" t="s">
        <v>1421</v>
      </c>
      <c r="H919" t="s">
        <v>1336</v>
      </c>
    </row>
    <row r="920" spans="1:8" s="64" customFormat="1">
      <c r="A920">
        <v>16031949</v>
      </c>
      <c r="B920" t="s">
        <v>1429</v>
      </c>
      <c r="C920" t="s">
        <v>357</v>
      </c>
      <c r="D920" t="s">
        <v>358</v>
      </c>
      <c r="E920" s="118" t="s">
        <v>1427</v>
      </c>
      <c r="F920" s="119">
        <v>0.63657407407407407</v>
      </c>
      <c r="G920" t="s">
        <v>1422</v>
      </c>
      <c r="H920" t="s">
        <v>1337</v>
      </c>
    </row>
    <row r="921" spans="1:8" s="64" customFormat="1">
      <c r="A921">
        <v>16031949</v>
      </c>
      <c r="B921" t="s">
        <v>1429</v>
      </c>
      <c r="C921" t="s">
        <v>357</v>
      </c>
      <c r="D921" t="s">
        <v>358</v>
      </c>
      <c r="E921" s="118" t="s">
        <v>1427</v>
      </c>
      <c r="F921" s="119">
        <v>0.29293981481481485</v>
      </c>
      <c r="G921" t="s">
        <v>1421</v>
      </c>
      <c r="H921" t="s">
        <v>1336</v>
      </c>
    </row>
    <row r="922" spans="1:8" s="64" customFormat="1">
      <c r="A922">
        <v>16132065</v>
      </c>
      <c r="B922" t="s">
        <v>425</v>
      </c>
      <c r="C922" t="s">
        <v>419</v>
      </c>
      <c r="D922" t="s">
        <v>424</v>
      </c>
      <c r="E922" s="118" t="s">
        <v>1420</v>
      </c>
      <c r="F922" s="119">
        <v>0.62672453703703701</v>
      </c>
      <c r="G922" t="s">
        <v>1422</v>
      </c>
      <c r="H922" t="s">
        <v>1337</v>
      </c>
    </row>
    <row r="923" spans="1:8" s="64" customFormat="1">
      <c r="A923">
        <v>16132065</v>
      </c>
      <c r="B923" t="s">
        <v>425</v>
      </c>
      <c r="C923" t="s">
        <v>419</v>
      </c>
      <c r="D923" t="s">
        <v>424</v>
      </c>
      <c r="E923" s="118" t="s">
        <v>1420</v>
      </c>
      <c r="F923" s="119">
        <v>0.30380787037037038</v>
      </c>
      <c r="G923" t="s">
        <v>1421</v>
      </c>
      <c r="H923" t="s">
        <v>1336</v>
      </c>
    </row>
    <row r="924" spans="1:8" s="64" customFormat="1">
      <c r="A924">
        <v>16132065</v>
      </c>
      <c r="B924" t="s">
        <v>425</v>
      </c>
      <c r="C924" t="s">
        <v>419</v>
      </c>
      <c r="D924" t="s">
        <v>424</v>
      </c>
      <c r="E924" s="118" t="s">
        <v>1423</v>
      </c>
      <c r="F924" s="119">
        <v>0.63392361111111117</v>
      </c>
      <c r="G924" t="s">
        <v>1422</v>
      </c>
      <c r="H924" t="s">
        <v>1337</v>
      </c>
    </row>
    <row r="925" spans="1:8" s="64" customFormat="1">
      <c r="A925">
        <v>16132065</v>
      </c>
      <c r="B925" t="s">
        <v>425</v>
      </c>
      <c r="C925" t="s">
        <v>419</v>
      </c>
      <c r="D925" t="s">
        <v>424</v>
      </c>
      <c r="E925" s="118" t="s">
        <v>1423</v>
      </c>
      <c r="F925" s="119">
        <v>0.2986921296296296</v>
      </c>
      <c r="G925" t="s">
        <v>1421</v>
      </c>
      <c r="H925" t="s">
        <v>1336</v>
      </c>
    </row>
    <row r="926" spans="1:8" s="64" customFormat="1">
      <c r="A926">
        <v>16132065</v>
      </c>
      <c r="B926" t="s">
        <v>425</v>
      </c>
      <c r="C926" t="s">
        <v>419</v>
      </c>
      <c r="D926" t="s">
        <v>424</v>
      </c>
      <c r="E926" s="118" t="s">
        <v>1424</v>
      </c>
      <c r="F926" s="119">
        <v>0.6308449074074074</v>
      </c>
      <c r="G926" t="s">
        <v>1422</v>
      </c>
      <c r="H926" t="s">
        <v>1337</v>
      </c>
    </row>
    <row r="927" spans="1:8" s="64" customFormat="1">
      <c r="A927">
        <v>16132065</v>
      </c>
      <c r="B927" t="s">
        <v>425</v>
      </c>
      <c r="C927" t="s">
        <v>419</v>
      </c>
      <c r="D927" t="s">
        <v>424</v>
      </c>
      <c r="E927" s="118" t="s">
        <v>1424</v>
      </c>
      <c r="F927" s="119">
        <v>0.3038541666666667</v>
      </c>
      <c r="G927" t="s">
        <v>1421</v>
      </c>
      <c r="H927" t="s">
        <v>1336</v>
      </c>
    </row>
    <row r="928" spans="1:8" s="64" customFormat="1">
      <c r="A928">
        <v>16132065</v>
      </c>
      <c r="B928" t="s">
        <v>425</v>
      </c>
      <c r="C928" t="s">
        <v>419</v>
      </c>
      <c r="D928" t="s">
        <v>424</v>
      </c>
      <c r="E928" s="118" t="s">
        <v>1425</v>
      </c>
      <c r="F928" s="119">
        <v>0.62832175925925926</v>
      </c>
      <c r="G928" t="s">
        <v>1422</v>
      </c>
      <c r="H928" t="s">
        <v>1337</v>
      </c>
    </row>
    <row r="929" spans="1:8" s="64" customFormat="1">
      <c r="A929">
        <v>16132065</v>
      </c>
      <c r="B929" t="s">
        <v>425</v>
      </c>
      <c r="C929" t="s">
        <v>419</v>
      </c>
      <c r="D929" t="s">
        <v>424</v>
      </c>
      <c r="E929" s="118" t="s">
        <v>1425</v>
      </c>
      <c r="F929" s="119">
        <v>0.31121527777777774</v>
      </c>
      <c r="G929" t="s">
        <v>1421</v>
      </c>
      <c r="H929" t="s">
        <v>1336</v>
      </c>
    </row>
    <row r="930" spans="1:8" s="64" customFormat="1">
      <c r="A930">
        <v>16132065</v>
      </c>
      <c r="B930" t="s">
        <v>425</v>
      </c>
      <c r="C930" t="s">
        <v>419</v>
      </c>
      <c r="D930" t="s">
        <v>424</v>
      </c>
      <c r="E930" s="118" t="s">
        <v>1426</v>
      </c>
      <c r="F930" s="119">
        <v>0.63760416666666664</v>
      </c>
      <c r="G930" t="s">
        <v>1422</v>
      </c>
      <c r="H930" t="s">
        <v>1337</v>
      </c>
    </row>
    <row r="931" spans="1:8" s="64" customFormat="1">
      <c r="A931">
        <v>16132065</v>
      </c>
      <c r="B931" t="s">
        <v>425</v>
      </c>
      <c r="C931" t="s">
        <v>419</v>
      </c>
      <c r="D931" t="s">
        <v>424</v>
      </c>
      <c r="E931" s="118" t="s">
        <v>1426</v>
      </c>
      <c r="F931" s="119">
        <v>0.30528935185185185</v>
      </c>
      <c r="G931" t="s">
        <v>1421</v>
      </c>
      <c r="H931" t="s">
        <v>1336</v>
      </c>
    </row>
    <row r="932" spans="1:8" s="64" customFormat="1">
      <c r="A932">
        <v>16132065</v>
      </c>
      <c r="B932" t="s">
        <v>425</v>
      </c>
      <c r="C932" t="s">
        <v>419</v>
      </c>
      <c r="D932" t="s">
        <v>424</v>
      </c>
      <c r="E932" s="118" t="s">
        <v>1427</v>
      </c>
      <c r="F932" s="119">
        <v>0.6396412037037037</v>
      </c>
      <c r="G932" t="s">
        <v>1422</v>
      </c>
      <c r="H932" t="s">
        <v>1337</v>
      </c>
    </row>
    <row r="933" spans="1:8" s="64" customFormat="1">
      <c r="A933">
        <v>16132065</v>
      </c>
      <c r="B933" t="s">
        <v>425</v>
      </c>
      <c r="C933" t="s">
        <v>419</v>
      </c>
      <c r="D933" t="s">
        <v>424</v>
      </c>
      <c r="E933" s="118" t="s">
        <v>1427</v>
      </c>
      <c r="F933" s="119">
        <v>0.3144675925925926</v>
      </c>
      <c r="G933" t="s">
        <v>1421</v>
      </c>
      <c r="H933" t="s">
        <v>1336</v>
      </c>
    </row>
    <row r="934" spans="1:8" s="64" customFormat="1">
      <c r="A934">
        <v>16149604</v>
      </c>
      <c r="B934" t="s">
        <v>787</v>
      </c>
      <c r="C934" t="s">
        <v>327</v>
      </c>
      <c r="D934" t="s">
        <v>607</v>
      </c>
      <c r="E934" s="118" t="s">
        <v>1420</v>
      </c>
      <c r="F934" s="119">
        <v>0.92133101851851851</v>
      </c>
      <c r="G934" t="s">
        <v>1421</v>
      </c>
      <c r="H934" t="s">
        <v>1336</v>
      </c>
    </row>
    <row r="935" spans="1:8" s="64" customFormat="1">
      <c r="A935">
        <v>16149604</v>
      </c>
      <c r="B935" t="s">
        <v>787</v>
      </c>
      <c r="C935" t="s">
        <v>327</v>
      </c>
      <c r="D935" t="s">
        <v>607</v>
      </c>
      <c r="E935" s="118" t="s">
        <v>1423</v>
      </c>
      <c r="F935" s="119">
        <v>0.32763888888888887</v>
      </c>
      <c r="G935" t="s">
        <v>1422</v>
      </c>
      <c r="H935" t="s">
        <v>1337</v>
      </c>
    </row>
    <row r="936" spans="1:8" s="64" customFormat="1">
      <c r="A936">
        <v>16149604</v>
      </c>
      <c r="B936" t="s">
        <v>787</v>
      </c>
      <c r="C936" t="s">
        <v>327</v>
      </c>
      <c r="D936" t="s">
        <v>607</v>
      </c>
      <c r="E936" s="118" t="s">
        <v>1423</v>
      </c>
      <c r="F936" s="119">
        <v>0.91961805555555554</v>
      </c>
      <c r="G936" t="s">
        <v>1421</v>
      </c>
      <c r="H936" t="s">
        <v>1336</v>
      </c>
    </row>
    <row r="937" spans="1:8" s="64" customFormat="1">
      <c r="A937">
        <v>16149604</v>
      </c>
      <c r="B937" t="s">
        <v>787</v>
      </c>
      <c r="C937" t="s">
        <v>327</v>
      </c>
      <c r="D937" t="s">
        <v>607</v>
      </c>
      <c r="E937" s="118" t="s">
        <v>1424</v>
      </c>
      <c r="F937" s="119">
        <v>0.32762731481481483</v>
      </c>
      <c r="G937" t="s">
        <v>1422</v>
      </c>
      <c r="H937" t="s">
        <v>1337</v>
      </c>
    </row>
    <row r="938" spans="1:8" s="64" customFormat="1">
      <c r="A938">
        <v>16149604</v>
      </c>
      <c r="B938" t="s">
        <v>787</v>
      </c>
      <c r="C938" t="s">
        <v>327</v>
      </c>
      <c r="D938" t="s">
        <v>607</v>
      </c>
      <c r="E938" s="118" t="s">
        <v>1424</v>
      </c>
      <c r="F938" s="119">
        <v>0.92138888888888892</v>
      </c>
      <c r="G938" t="s">
        <v>1421</v>
      </c>
      <c r="H938" t="s">
        <v>1336</v>
      </c>
    </row>
    <row r="939" spans="1:8" s="64" customFormat="1">
      <c r="A939">
        <v>16149604</v>
      </c>
      <c r="B939" t="s">
        <v>787</v>
      </c>
      <c r="C939" t="s">
        <v>327</v>
      </c>
      <c r="D939" t="s">
        <v>607</v>
      </c>
      <c r="E939" s="118" t="s">
        <v>1425</v>
      </c>
      <c r="F939" s="119">
        <v>0.32859953703703704</v>
      </c>
      <c r="G939" t="s">
        <v>1422</v>
      </c>
      <c r="H939" t="s">
        <v>1337</v>
      </c>
    </row>
    <row r="940" spans="1:8" s="64" customFormat="1">
      <c r="A940">
        <v>16149604</v>
      </c>
      <c r="B940" t="s">
        <v>787</v>
      </c>
      <c r="C940" t="s">
        <v>327</v>
      </c>
      <c r="D940" t="s">
        <v>607</v>
      </c>
      <c r="E940" s="118" t="s">
        <v>1425</v>
      </c>
      <c r="F940" s="119">
        <v>0.92082175925925924</v>
      </c>
      <c r="G940" t="s">
        <v>1421</v>
      </c>
      <c r="H940" t="s">
        <v>1336</v>
      </c>
    </row>
    <row r="941" spans="1:8" s="64" customFormat="1">
      <c r="A941">
        <v>16149604</v>
      </c>
      <c r="B941" t="s">
        <v>787</v>
      </c>
      <c r="C941" t="s">
        <v>327</v>
      </c>
      <c r="D941" t="s">
        <v>607</v>
      </c>
      <c r="E941" s="118" t="s">
        <v>1426</v>
      </c>
      <c r="F941" s="119">
        <v>0.32841435185185186</v>
      </c>
      <c r="G941" t="s">
        <v>1422</v>
      </c>
      <c r="H941" t="s">
        <v>1337</v>
      </c>
    </row>
    <row r="942" spans="1:8" s="64" customFormat="1">
      <c r="A942">
        <v>16149604</v>
      </c>
      <c r="B942" t="s">
        <v>787</v>
      </c>
      <c r="C942" t="s">
        <v>327</v>
      </c>
      <c r="D942" t="s">
        <v>607</v>
      </c>
      <c r="E942" s="118" t="s">
        <v>1426</v>
      </c>
      <c r="F942" s="119">
        <v>0.92087962962962966</v>
      </c>
      <c r="G942" t="s">
        <v>1421</v>
      </c>
      <c r="H942" t="s">
        <v>1336</v>
      </c>
    </row>
    <row r="943" spans="1:8" s="64" customFormat="1">
      <c r="A943">
        <v>16149604</v>
      </c>
      <c r="B943" t="s">
        <v>787</v>
      </c>
      <c r="C943" t="s">
        <v>327</v>
      </c>
      <c r="D943" t="s">
        <v>607</v>
      </c>
      <c r="E943" s="118" t="s">
        <v>1427</v>
      </c>
      <c r="F943" s="119">
        <v>0.32782407407407405</v>
      </c>
      <c r="G943" t="s">
        <v>1422</v>
      </c>
      <c r="H943" t="s">
        <v>1337</v>
      </c>
    </row>
    <row r="944" spans="1:8" s="64" customFormat="1">
      <c r="A944">
        <v>16169301</v>
      </c>
      <c r="B944" t="s">
        <v>1199</v>
      </c>
      <c r="C944" t="s">
        <v>1197</v>
      </c>
      <c r="D944" t="s">
        <v>1198</v>
      </c>
      <c r="E944" s="118" t="s">
        <v>1420</v>
      </c>
      <c r="F944" s="119">
        <v>0.63453703703703701</v>
      </c>
      <c r="G944" t="s">
        <v>1422</v>
      </c>
      <c r="H944" t="s">
        <v>1337</v>
      </c>
    </row>
    <row r="945" spans="1:8" s="64" customFormat="1">
      <c r="A945">
        <v>16169301</v>
      </c>
      <c r="B945" t="s">
        <v>1199</v>
      </c>
      <c r="C945" t="s">
        <v>1197</v>
      </c>
      <c r="D945" t="s">
        <v>1198</v>
      </c>
      <c r="E945" s="118" t="s">
        <v>1420</v>
      </c>
      <c r="F945" s="119">
        <v>0.2950578703703704</v>
      </c>
      <c r="G945" t="s">
        <v>1421</v>
      </c>
      <c r="H945" t="s">
        <v>1336</v>
      </c>
    </row>
    <row r="946" spans="1:8" s="64" customFormat="1">
      <c r="A946">
        <v>16169301</v>
      </c>
      <c r="B946" t="s">
        <v>1199</v>
      </c>
      <c r="C946" t="s">
        <v>1197</v>
      </c>
      <c r="D946" t="s">
        <v>1198</v>
      </c>
      <c r="E946" s="118" t="s">
        <v>1423</v>
      </c>
      <c r="F946" s="119">
        <v>0.63302083333333337</v>
      </c>
      <c r="G946" t="s">
        <v>1422</v>
      </c>
      <c r="H946" t="s">
        <v>1337</v>
      </c>
    </row>
    <row r="947" spans="1:8" s="64" customFormat="1">
      <c r="A947">
        <v>16169301</v>
      </c>
      <c r="B947" t="s">
        <v>1199</v>
      </c>
      <c r="C947" t="s">
        <v>1197</v>
      </c>
      <c r="D947" t="s">
        <v>1198</v>
      </c>
      <c r="E947" s="118" t="s">
        <v>1423</v>
      </c>
      <c r="F947" s="119">
        <v>0.29450231481481481</v>
      </c>
      <c r="G947" t="s">
        <v>1421</v>
      </c>
      <c r="H947" t="s">
        <v>1336</v>
      </c>
    </row>
    <row r="948" spans="1:8" s="64" customFormat="1">
      <c r="A948">
        <v>16169301</v>
      </c>
      <c r="B948" t="s">
        <v>1199</v>
      </c>
      <c r="C948" t="s">
        <v>1197</v>
      </c>
      <c r="D948" t="s">
        <v>1198</v>
      </c>
      <c r="E948" s="118" t="s">
        <v>1424</v>
      </c>
      <c r="F948" s="119">
        <v>0.63156250000000003</v>
      </c>
      <c r="G948" t="s">
        <v>1422</v>
      </c>
      <c r="H948" t="s">
        <v>1337</v>
      </c>
    </row>
    <row r="949" spans="1:8" s="64" customFormat="1">
      <c r="A949">
        <v>16169301</v>
      </c>
      <c r="B949" t="s">
        <v>1199</v>
      </c>
      <c r="C949" t="s">
        <v>1197</v>
      </c>
      <c r="D949" t="s">
        <v>1198</v>
      </c>
      <c r="E949" s="118" t="s">
        <v>1424</v>
      </c>
      <c r="F949" s="119">
        <v>0.29496527777777776</v>
      </c>
      <c r="G949" t="s">
        <v>1421</v>
      </c>
      <c r="H949" t="s">
        <v>1336</v>
      </c>
    </row>
    <row r="950" spans="1:8" s="64" customFormat="1">
      <c r="A950">
        <v>16169301</v>
      </c>
      <c r="B950" t="s">
        <v>1199</v>
      </c>
      <c r="C950" t="s">
        <v>1197</v>
      </c>
      <c r="D950" t="s">
        <v>1198</v>
      </c>
      <c r="E950" s="118" t="s">
        <v>1425</v>
      </c>
      <c r="F950" s="119">
        <v>0.63133101851851847</v>
      </c>
      <c r="G950" t="s">
        <v>1422</v>
      </c>
      <c r="H950" t="s">
        <v>1337</v>
      </c>
    </row>
    <row r="951" spans="1:8" s="64" customFormat="1">
      <c r="A951">
        <v>16169301</v>
      </c>
      <c r="B951" t="s">
        <v>1199</v>
      </c>
      <c r="C951" t="s">
        <v>1197</v>
      </c>
      <c r="D951" t="s">
        <v>1198</v>
      </c>
      <c r="E951" s="118" t="s">
        <v>1425</v>
      </c>
      <c r="F951" s="119">
        <v>0.29394675925925923</v>
      </c>
      <c r="G951" t="s">
        <v>1421</v>
      </c>
      <c r="H951" t="s">
        <v>1336</v>
      </c>
    </row>
    <row r="952" spans="1:8" s="64" customFormat="1">
      <c r="A952">
        <v>16169301</v>
      </c>
      <c r="B952" t="s">
        <v>1199</v>
      </c>
      <c r="C952" t="s">
        <v>1197</v>
      </c>
      <c r="D952" t="s">
        <v>1198</v>
      </c>
      <c r="E952" s="118" t="s">
        <v>1426</v>
      </c>
      <c r="F952" s="119">
        <v>0.63201388888888888</v>
      </c>
      <c r="G952" t="s">
        <v>1422</v>
      </c>
      <c r="H952" t="s">
        <v>1337</v>
      </c>
    </row>
    <row r="953" spans="1:8" s="64" customFormat="1">
      <c r="A953">
        <v>16169301</v>
      </c>
      <c r="B953" t="s">
        <v>1199</v>
      </c>
      <c r="C953" t="s">
        <v>1197</v>
      </c>
      <c r="D953" t="s">
        <v>1198</v>
      </c>
      <c r="E953" s="118" t="s">
        <v>1426</v>
      </c>
      <c r="F953" s="119">
        <v>0.29518518518518516</v>
      </c>
      <c r="G953" t="s">
        <v>1421</v>
      </c>
      <c r="H953" t="s">
        <v>1336</v>
      </c>
    </row>
    <row r="954" spans="1:8" s="64" customFormat="1">
      <c r="A954">
        <v>16169301</v>
      </c>
      <c r="B954" t="s">
        <v>1199</v>
      </c>
      <c r="C954" t="s">
        <v>1197</v>
      </c>
      <c r="D954" t="s">
        <v>1198</v>
      </c>
      <c r="E954" s="118" t="s">
        <v>1427</v>
      </c>
      <c r="F954" s="119">
        <v>0.63329861111111108</v>
      </c>
      <c r="G954" t="s">
        <v>1422</v>
      </c>
      <c r="H954" t="s">
        <v>1337</v>
      </c>
    </row>
    <row r="955" spans="1:8" s="64" customFormat="1">
      <c r="A955">
        <v>16169301</v>
      </c>
      <c r="B955" t="s">
        <v>1199</v>
      </c>
      <c r="C955" t="s">
        <v>1197</v>
      </c>
      <c r="D955" t="s">
        <v>1198</v>
      </c>
      <c r="E955" s="118" t="s">
        <v>1427</v>
      </c>
      <c r="F955" s="119">
        <v>0.29386574074074073</v>
      </c>
      <c r="G955" t="s">
        <v>1421</v>
      </c>
      <c r="H955" t="s">
        <v>1336</v>
      </c>
    </row>
    <row r="956" spans="1:8" s="64" customFormat="1">
      <c r="A956">
        <v>16266817</v>
      </c>
      <c r="B956" t="s">
        <v>787</v>
      </c>
      <c r="C956" t="s">
        <v>785</v>
      </c>
      <c r="D956" t="s">
        <v>786</v>
      </c>
      <c r="E956" s="118" t="s">
        <v>1420</v>
      </c>
      <c r="F956" s="119">
        <v>0.72682870370370367</v>
      </c>
      <c r="G956" t="s">
        <v>1422</v>
      </c>
      <c r="H956" t="s">
        <v>1337</v>
      </c>
    </row>
    <row r="957" spans="1:8" s="64" customFormat="1">
      <c r="A957">
        <v>16266817</v>
      </c>
      <c r="B957" t="s">
        <v>787</v>
      </c>
      <c r="C957" t="s">
        <v>785</v>
      </c>
      <c r="D957" t="s">
        <v>786</v>
      </c>
      <c r="E957" s="118" t="s">
        <v>1420</v>
      </c>
      <c r="F957" s="119">
        <v>0.30194444444444446</v>
      </c>
      <c r="G957" t="s">
        <v>1421</v>
      </c>
      <c r="H957" t="s">
        <v>1336</v>
      </c>
    </row>
    <row r="958" spans="1:8" s="64" customFormat="1">
      <c r="A958">
        <v>16266817</v>
      </c>
      <c r="B958" t="s">
        <v>787</v>
      </c>
      <c r="C958" t="s">
        <v>785</v>
      </c>
      <c r="D958" t="s">
        <v>786</v>
      </c>
      <c r="E958" s="118" t="s">
        <v>1423</v>
      </c>
      <c r="F958" s="119">
        <v>0.71965277777777781</v>
      </c>
      <c r="G958" t="s">
        <v>1422</v>
      </c>
      <c r="H958" t="s">
        <v>1337</v>
      </c>
    </row>
    <row r="959" spans="1:8" s="64" customFormat="1">
      <c r="A959">
        <v>16266817</v>
      </c>
      <c r="B959" t="s">
        <v>787</v>
      </c>
      <c r="C959" t="s">
        <v>785</v>
      </c>
      <c r="D959" t="s">
        <v>786</v>
      </c>
      <c r="E959" s="118" t="s">
        <v>1423</v>
      </c>
      <c r="F959" s="119">
        <v>0.30587962962962961</v>
      </c>
      <c r="G959" t="s">
        <v>1421</v>
      </c>
      <c r="H959" t="s">
        <v>1336</v>
      </c>
    </row>
    <row r="960" spans="1:8" s="64" customFormat="1">
      <c r="A960">
        <v>16266817</v>
      </c>
      <c r="B960" t="s">
        <v>787</v>
      </c>
      <c r="C960" t="s">
        <v>785</v>
      </c>
      <c r="D960" t="s">
        <v>786</v>
      </c>
      <c r="E960" s="118" t="s">
        <v>1424</v>
      </c>
      <c r="F960" s="119">
        <v>0.65881944444444451</v>
      </c>
      <c r="G960" t="s">
        <v>1422</v>
      </c>
      <c r="H960" t="s">
        <v>1337</v>
      </c>
    </row>
    <row r="961" spans="1:8" s="64" customFormat="1">
      <c r="A961">
        <v>16266817</v>
      </c>
      <c r="B961" t="s">
        <v>787</v>
      </c>
      <c r="C961" t="s">
        <v>785</v>
      </c>
      <c r="D961" t="s">
        <v>786</v>
      </c>
      <c r="E961" s="118" t="s">
        <v>1424</v>
      </c>
      <c r="F961" s="119">
        <v>0.30599537037037033</v>
      </c>
      <c r="G961" t="s">
        <v>1421</v>
      </c>
      <c r="H961" t="s">
        <v>1336</v>
      </c>
    </row>
    <row r="962" spans="1:8" s="64" customFormat="1">
      <c r="A962">
        <v>16266817</v>
      </c>
      <c r="B962" t="s">
        <v>787</v>
      </c>
      <c r="C962" t="s">
        <v>785</v>
      </c>
      <c r="D962" t="s">
        <v>786</v>
      </c>
      <c r="E962" s="118" t="s">
        <v>1425</v>
      </c>
      <c r="F962" s="119">
        <v>0.72461805555555558</v>
      </c>
      <c r="G962" t="s">
        <v>1422</v>
      </c>
      <c r="H962" t="s">
        <v>1337</v>
      </c>
    </row>
    <row r="963" spans="1:8" s="64" customFormat="1">
      <c r="A963">
        <v>16266817</v>
      </c>
      <c r="B963" t="s">
        <v>787</v>
      </c>
      <c r="C963" t="s">
        <v>785</v>
      </c>
      <c r="D963" t="s">
        <v>786</v>
      </c>
      <c r="E963" s="118" t="s">
        <v>1425</v>
      </c>
      <c r="F963" s="119">
        <v>0.30092592592592593</v>
      </c>
      <c r="G963" t="s">
        <v>1421</v>
      </c>
      <c r="H963" t="s">
        <v>1336</v>
      </c>
    </row>
    <row r="964" spans="1:8" s="64" customFormat="1">
      <c r="A964">
        <v>16266817</v>
      </c>
      <c r="B964" t="s">
        <v>787</v>
      </c>
      <c r="C964" t="s">
        <v>785</v>
      </c>
      <c r="D964" t="s">
        <v>786</v>
      </c>
      <c r="E964" s="118" t="s">
        <v>1426</v>
      </c>
      <c r="F964" s="119">
        <v>0.71805555555555556</v>
      </c>
      <c r="G964" t="s">
        <v>1422</v>
      </c>
      <c r="H964" t="s">
        <v>1337</v>
      </c>
    </row>
    <row r="965" spans="1:8" s="64" customFormat="1">
      <c r="A965">
        <v>16266817</v>
      </c>
      <c r="B965" t="s">
        <v>787</v>
      </c>
      <c r="C965" t="s">
        <v>785</v>
      </c>
      <c r="D965" t="s">
        <v>786</v>
      </c>
      <c r="E965" s="118" t="s">
        <v>1426</v>
      </c>
      <c r="F965" s="119">
        <v>0.31216435185185182</v>
      </c>
      <c r="G965" t="s">
        <v>1421</v>
      </c>
      <c r="H965" t="s">
        <v>1336</v>
      </c>
    </row>
    <row r="966" spans="1:8" s="64" customFormat="1">
      <c r="A966">
        <v>16266817</v>
      </c>
      <c r="B966" t="s">
        <v>787</v>
      </c>
      <c r="C966" t="s">
        <v>785</v>
      </c>
      <c r="D966" t="s">
        <v>786</v>
      </c>
      <c r="E966" s="118" t="s">
        <v>1427</v>
      </c>
      <c r="F966" s="119">
        <v>0.63164351851851852</v>
      </c>
      <c r="G966" t="s">
        <v>1422</v>
      </c>
      <c r="H966" t="s">
        <v>1337</v>
      </c>
    </row>
    <row r="967" spans="1:8" s="64" customFormat="1">
      <c r="A967">
        <v>16266817</v>
      </c>
      <c r="B967" t="s">
        <v>787</v>
      </c>
      <c r="C967" t="s">
        <v>785</v>
      </c>
      <c r="D967" t="s">
        <v>786</v>
      </c>
      <c r="E967" s="118" t="s">
        <v>1427</v>
      </c>
      <c r="F967" s="119">
        <v>0.31350694444444444</v>
      </c>
      <c r="G967" t="s">
        <v>1421</v>
      </c>
      <c r="H967" t="s">
        <v>1336</v>
      </c>
    </row>
    <row r="968" spans="1:8" s="64" customFormat="1">
      <c r="A968">
        <v>16268829</v>
      </c>
      <c r="B968" t="s">
        <v>1430</v>
      </c>
      <c r="C968" t="s">
        <v>634</v>
      </c>
      <c r="D968" t="s">
        <v>179</v>
      </c>
      <c r="E968" s="118" t="s">
        <v>1420</v>
      </c>
      <c r="F968" s="119">
        <v>0.95020833333333332</v>
      </c>
      <c r="G968" t="s">
        <v>1422</v>
      </c>
      <c r="H968" t="s">
        <v>1337</v>
      </c>
    </row>
    <row r="969" spans="1:8" s="64" customFormat="1">
      <c r="A969">
        <v>16268829</v>
      </c>
      <c r="B969" t="s">
        <v>1430</v>
      </c>
      <c r="C969" t="s">
        <v>634</v>
      </c>
      <c r="D969" t="s">
        <v>179</v>
      </c>
      <c r="E969" s="118" t="s">
        <v>1420</v>
      </c>
      <c r="F969" s="119">
        <v>0.59244212962962961</v>
      </c>
      <c r="G969" t="s">
        <v>1421</v>
      </c>
      <c r="H969" t="s">
        <v>1336</v>
      </c>
    </row>
    <row r="970" spans="1:8" s="64" customFormat="1">
      <c r="A970">
        <v>16268829</v>
      </c>
      <c r="B970" t="s">
        <v>1430</v>
      </c>
      <c r="C970" t="s">
        <v>634</v>
      </c>
      <c r="D970" t="s">
        <v>179</v>
      </c>
      <c r="E970" s="118" t="s">
        <v>1423</v>
      </c>
      <c r="F970" s="119">
        <v>0.94534722222222223</v>
      </c>
      <c r="G970" t="s">
        <v>1422</v>
      </c>
      <c r="H970" t="s">
        <v>1337</v>
      </c>
    </row>
    <row r="971" spans="1:8" s="64" customFormat="1">
      <c r="A971">
        <v>16268829</v>
      </c>
      <c r="B971" t="s">
        <v>1430</v>
      </c>
      <c r="C971" t="s">
        <v>634</v>
      </c>
      <c r="D971" t="s">
        <v>179</v>
      </c>
      <c r="E971" s="118" t="s">
        <v>1423</v>
      </c>
      <c r="F971" s="119">
        <v>0.60572916666666665</v>
      </c>
      <c r="G971" t="s">
        <v>1421</v>
      </c>
      <c r="H971" t="s">
        <v>1336</v>
      </c>
    </row>
    <row r="972" spans="1:8" s="64" customFormat="1">
      <c r="A972">
        <v>16268829</v>
      </c>
      <c r="B972" t="s">
        <v>1430</v>
      </c>
      <c r="C972" t="s">
        <v>634</v>
      </c>
      <c r="D972" t="s">
        <v>179</v>
      </c>
      <c r="E972" s="118" t="s">
        <v>1424</v>
      </c>
      <c r="F972" s="119">
        <v>0.94710648148148147</v>
      </c>
      <c r="G972" t="s">
        <v>1422</v>
      </c>
      <c r="H972" t="s">
        <v>1337</v>
      </c>
    </row>
    <row r="973" spans="1:8" s="64" customFormat="1">
      <c r="A973">
        <v>16268829</v>
      </c>
      <c r="B973" t="s">
        <v>1430</v>
      </c>
      <c r="C973" t="s">
        <v>634</v>
      </c>
      <c r="D973" t="s">
        <v>179</v>
      </c>
      <c r="E973" s="118" t="s">
        <v>1424</v>
      </c>
      <c r="F973" s="119">
        <v>0.61223379629629626</v>
      </c>
      <c r="G973" t="s">
        <v>1421</v>
      </c>
      <c r="H973" t="s">
        <v>1336</v>
      </c>
    </row>
    <row r="974" spans="1:8" s="64" customFormat="1">
      <c r="A974">
        <v>16268829</v>
      </c>
      <c r="B974" t="s">
        <v>1430</v>
      </c>
      <c r="C974" t="s">
        <v>634</v>
      </c>
      <c r="D974" t="s">
        <v>179</v>
      </c>
      <c r="E974" s="118" t="s">
        <v>1425</v>
      </c>
      <c r="F974" s="119">
        <v>0.94826388888888891</v>
      </c>
      <c r="G974" t="s">
        <v>1422</v>
      </c>
      <c r="H974" t="s">
        <v>1337</v>
      </c>
    </row>
    <row r="975" spans="1:8" s="64" customFormat="1">
      <c r="A975">
        <v>16268829</v>
      </c>
      <c r="B975" t="s">
        <v>1430</v>
      </c>
      <c r="C975" t="s">
        <v>634</v>
      </c>
      <c r="D975" t="s">
        <v>179</v>
      </c>
      <c r="E975" s="118" t="s">
        <v>1425</v>
      </c>
      <c r="F975" s="119">
        <v>0.60526620370370365</v>
      </c>
      <c r="G975" t="s">
        <v>1421</v>
      </c>
      <c r="H975" t="s">
        <v>1336</v>
      </c>
    </row>
    <row r="976" spans="1:8" s="64" customFormat="1">
      <c r="A976">
        <v>16268829</v>
      </c>
      <c r="B976" t="s">
        <v>1430</v>
      </c>
      <c r="C976" t="s">
        <v>634</v>
      </c>
      <c r="D976" t="s">
        <v>179</v>
      </c>
      <c r="E976" s="118" t="s">
        <v>1426</v>
      </c>
      <c r="F976" s="119">
        <v>0.95136574074074076</v>
      </c>
      <c r="G976" t="s">
        <v>1422</v>
      </c>
      <c r="H976" t="s">
        <v>1337</v>
      </c>
    </row>
    <row r="977" spans="1:8" s="64" customFormat="1">
      <c r="A977">
        <v>16268829</v>
      </c>
      <c r="B977" t="s">
        <v>1430</v>
      </c>
      <c r="C977" t="s">
        <v>634</v>
      </c>
      <c r="D977" t="s">
        <v>179</v>
      </c>
      <c r="E977" s="118" t="s">
        <v>1426</v>
      </c>
      <c r="F977" s="119">
        <v>0.64315972222222217</v>
      </c>
      <c r="G977" t="s">
        <v>1421</v>
      </c>
      <c r="H977" t="s">
        <v>1336</v>
      </c>
    </row>
    <row r="978" spans="1:8" s="64" customFormat="1">
      <c r="A978">
        <v>16268829</v>
      </c>
      <c r="B978" t="s">
        <v>1430</v>
      </c>
      <c r="C978" t="s">
        <v>634</v>
      </c>
      <c r="D978" t="s">
        <v>179</v>
      </c>
      <c r="E978" s="118" t="s">
        <v>1427</v>
      </c>
      <c r="F978" s="119">
        <v>0.94298611111111119</v>
      </c>
      <c r="G978" t="s">
        <v>1422</v>
      </c>
      <c r="H978" t="s">
        <v>1337</v>
      </c>
    </row>
    <row r="979" spans="1:8" s="64" customFormat="1">
      <c r="A979">
        <v>16268829</v>
      </c>
      <c r="B979" t="s">
        <v>1430</v>
      </c>
      <c r="C979" t="s">
        <v>634</v>
      </c>
      <c r="D979" t="s">
        <v>179</v>
      </c>
      <c r="E979" s="118" t="s">
        <v>1427</v>
      </c>
      <c r="F979" s="119">
        <v>0.60403935185185187</v>
      </c>
      <c r="G979" t="s">
        <v>1421</v>
      </c>
      <c r="H979" t="s">
        <v>1336</v>
      </c>
    </row>
    <row r="980" spans="1:8" s="64" customFormat="1">
      <c r="A980">
        <v>16380050</v>
      </c>
      <c r="B980" t="s">
        <v>1431</v>
      </c>
      <c r="C980" t="s">
        <v>413</v>
      </c>
      <c r="D980" t="s">
        <v>414</v>
      </c>
      <c r="E980" s="118" t="s">
        <v>1420</v>
      </c>
      <c r="F980" s="119">
        <v>0.94054398148148144</v>
      </c>
      <c r="G980" t="s">
        <v>1422</v>
      </c>
      <c r="H980" t="s">
        <v>1337</v>
      </c>
    </row>
    <row r="981" spans="1:8" s="64" customFormat="1">
      <c r="A981">
        <v>16380050</v>
      </c>
      <c r="B981" t="s">
        <v>1431</v>
      </c>
      <c r="C981" t="s">
        <v>413</v>
      </c>
      <c r="D981" t="s">
        <v>414</v>
      </c>
      <c r="E981" s="118" t="s">
        <v>1420</v>
      </c>
      <c r="F981" s="119">
        <v>0.61869212962962961</v>
      </c>
      <c r="G981" t="s">
        <v>1421</v>
      </c>
      <c r="H981" t="s">
        <v>1336</v>
      </c>
    </row>
    <row r="982" spans="1:8" s="64" customFormat="1">
      <c r="A982">
        <v>16380050</v>
      </c>
      <c r="B982" t="s">
        <v>1431</v>
      </c>
      <c r="C982" t="s">
        <v>413</v>
      </c>
      <c r="D982" t="s">
        <v>414</v>
      </c>
      <c r="E982" s="118" t="s">
        <v>1423</v>
      </c>
      <c r="F982" s="119">
        <v>0.94627314814814811</v>
      </c>
      <c r="G982" t="s">
        <v>1422</v>
      </c>
      <c r="H982" t="s">
        <v>1337</v>
      </c>
    </row>
    <row r="983" spans="1:8" s="64" customFormat="1">
      <c r="A983">
        <v>16380050</v>
      </c>
      <c r="B983" t="s">
        <v>1431</v>
      </c>
      <c r="C983" t="s">
        <v>413</v>
      </c>
      <c r="D983" t="s">
        <v>414</v>
      </c>
      <c r="E983" s="118" t="s">
        <v>1423</v>
      </c>
      <c r="F983" s="119">
        <v>0.6144560185185185</v>
      </c>
      <c r="G983" t="s">
        <v>1421</v>
      </c>
      <c r="H983" t="s">
        <v>1336</v>
      </c>
    </row>
    <row r="984" spans="1:8" s="64" customFormat="1">
      <c r="A984">
        <v>16380050</v>
      </c>
      <c r="B984" t="s">
        <v>1431</v>
      </c>
      <c r="C984" t="s">
        <v>413</v>
      </c>
      <c r="D984" t="s">
        <v>414</v>
      </c>
      <c r="E984" s="118" t="s">
        <v>1424</v>
      </c>
      <c r="F984" s="119">
        <v>0.94113425925925931</v>
      </c>
      <c r="G984" t="s">
        <v>1422</v>
      </c>
      <c r="H984" t="s">
        <v>1337</v>
      </c>
    </row>
    <row r="985" spans="1:8" s="64" customFormat="1">
      <c r="A985">
        <v>16380050</v>
      </c>
      <c r="B985" t="s">
        <v>1431</v>
      </c>
      <c r="C985" t="s">
        <v>413</v>
      </c>
      <c r="D985" t="s">
        <v>414</v>
      </c>
      <c r="E985" s="118" t="s">
        <v>1424</v>
      </c>
      <c r="F985" s="119">
        <v>0.61228009259259253</v>
      </c>
      <c r="G985" t="s">
        <v>1421</v>
      </c>
      <c r="H985" t="s">
        <v>1336</v>
      </c>
    </row>
    <row r="986" spans="1:8" s="64" customFormat="1">
      <c r="A986">
        <v>16380050</v>
      </c>
      <c r="B986" t="s">
        <v>1431</v>
      </c>
      <c r="C986" t="s">
        <v>413</v>
      </c>
      <c r="D986" t="s">
        <v>414</v>
      </c>
      <c r="E986" s="118" t="s">
        <v>1425</v>
      </c>
      <c r="F986" s="119">
        <v>0.94459490740740737</v>
      </c>
      <c r="G986" t="s">
        <v>1422</v>
      </c>
      <c r="H986" t="s">
        <v>1337</v>
      </c>
    </row>
    <row r="987" spans="1:8" s="64" customFormat="1">
      <c r="A987">
        <v>16380050</v>
      </c>
      <c r="B987" t="s">
        <v>1431</v>
      </c>
      <c r="C987" t="s">
        <v>413</v>
      </c>
      <c r="D987" t="s">
        <v>414</v>
      </c>
      <c r="E987" s="118" t="s">
        <v>1425</v>
      </c>
      <c r="F987" s="119">
        <v>0.61744212962962963</v>
      </c>
      <c r="G987" t="s">
        <v>1421</v>
      </c>
      <c r="H987" t="s">
        <v>1336</v>
      </c>
    </row>
    <row r="988" spans="1:8" s="64" customFormat="1">
      <c r="A988">
        <v>16380050</v>
      </c>
      <c r="B988" t="s">
        <v>1431</v>
      </c>
      <c r="C988" t="s">
        <v>413</v>
      </c>
      <c r="D988" t="s">
        <v>414</v>
      </c>
      <c r="E988" s="118" t="s">
        <v>1426</v>
      </c>
      <c r="F988" s="119">
        <v>0.94481481481481477</v>
      </c>
      <c r="G988" t="s">
        <v>1422</v>
      </c>
      <c r="H988" t="s">
        <v>1337</v>
      </c>
    </row>
    <row r="989" spans="1:8" s="64" customFormat="1">
      <c r="A989">
        <v>16380050</v>
      </c>
      <c r="B989" t="s">
        <v>1431</v>
      </c>
      <c r="C989" t="s">
        <v>413</v>
      </c>
      <c r="D989" t="s">
        <v>414</v>
      </c>
      <c r="E989" s="118" t="s">
        <v>1426</v>
      </c>
      <c r="F989" s="119">
        <v>0.61966435185185187</v>
      </c>
      <c r="G989" t="s">
        <v>1421</v>
      </c>
      <c r="H989" t="s">
        <v>1336</v>
      </c>
    </row>
    <row r="990" spans="1:8" s="64" customFormat="1">
      <c r="A990">
        <v>16380050</v>
      </c>
      <c r="B990" t="s">
        <v>1431</v>
      </c>
      <c r="C990" t="s">
        <v>413</v>
      </c>
      <c r="D990" t="s">
        <v>414</v>
      </c>
      <c r="E990" s="118" t="s">
        <v>1427</v>
      </c>
      <c r="F990" s="119">
        <v>0.82162037037037028</v>
      </c>
      <c r="G990" t="s">
        <v>1422</v>
      </c>
      <c r="H990" t="s">
        <v>1337</v>
      </c>
    </row>
    <row r="991" spans="1:8" s="64" customFormat="1">
      <c r="A991">
        <v>16380050</v>
      </c>
      <c r="B991" t="s">
        <v>1431</v>
      </c>
      <c r="C991" t="s">
        <v>413</v>
      </c>
      <c r="D991" t="s">
        <v>414</v>
      </c>
      <c r="E991" s="118" t="s">
        <v>1427</v>
      </c>
      <c r="F991" s="119">
        <v>0.49791666666666662</v>
      </c>
      <c r="G991" t="s">
        <v>1421</v>
      </c>
      <c r="H991" t="s">
        <v>1336</v>
      </c>
    </row>
    <row r="992" spans="1:8" s="64" customFormat="1">
      <c r="A992">
        <v>16413939</v>
      </c>
      <c r="B992" t="s">
        <v>1162</v>
      </c>
      <c r="C992" t="s">
        <v>357</v>
      </c>
      <c r="D992" t="s">
        <v>606</v>
      </c>
      <c r="E992" s="118" t="s">
        <v>1420</v>
      </c>
      <c r="F992" s="119">
        <v>0.64082175925925922</v>
      </c>
      <c r="G992" t="s">
        <v>1422</v>
      </c>
      <c r="H992" t="s">
        <v>1337</v>
      </c>
    </row>
    <row r="993" spans="1:8" s="64" customFormat="1">
      <c r="A993">
        <v>16413939</v>
      </c>
      <c r="B993" t="s">
        <v>1162</v>
      </c>
      <c r="C993" t="s">
        <v>357</v>
      </c>
      <c r="D993" t="s">
        <v>606</v>
      </c>
      <c r="E993" s="118" t="s">
        <v>1420</v>
      </c>
      <c r="F993" s="119">
        <v>0.29605324074074074</v>
      </c>
      <c r="G993" t="s">
        <v>1421</v>
      </c>
      <c r="H993" t="s">
        <v>1336</v>
      </c>
    </row>
    <row r="994" spans="1:8" s="64" customFormat="1">
      <c r="A994">
        <v>16413939</v>
      </c>
      <c r="B994" t="s">
        <v>1162</v>
      </c>
      <c r="C994" t="s">
        <v>357</v>
      </c>
      <c r="D994" t="s">
        <v>606</v>
      </c>
      <c r="E994" s="118" t="s">
        <v>1423</v>
      </c>
      <c r="F994" s="119">
        <v>0.64013888888888892</v>
      </c>
      <c r="G994" t="s">
        <v>1422</v>
      </c>
      <c r="H994" t="s">
        <v>1337</v>
      </c>
    </row>
    <row r="995" spans="1:8" s="64" customFormat="1">
      <c r="A995">
        <v>16413939</v>
      </c>
      <c r="B995" t="s">
        <v>1162</v>
      </c>
      <c r="C995" t="s">
        <v>357</v>
      </c>
      <c r="D995" t="s">
        <v>606</v>
      </c>
      <c r="E995" s="118" t="s">
        <v>1423</v>
      </c>
      <c r="F995" s="119">
        <v>0.29548611111111112</v>
      </c>
      <c r="G995" t="s">
        <v>1421</v>
      </c>
      <c r="H995" t="s">
        <v>1336</v>
      </c>
    </row>
    <row r="996" spans="1:8" s="64" customFormat="1">
      <c r="A996">
        <v>16413939</v>
      </c>
      <c r="B996" t="s">
        <v>1162</v>
      </c>
      <c r="C996" t="s">
        <v>357</v>
      </c>
      <c r="D996" t="s">
        <v>606</v>
      </c>
      <c r="E996" s="118" t="s">
        <v>1424</v>
      </c>
      <c r="F996" s="119">
        <v>0.63980324074074069</v>
      </c>
      <c r="G996" t="s">
        <v>1422</v>
      </c>
      <c r="H996" t="s">
        <v>1337</v>
      </c>
    </row>
    <row r="997" spans="1:8" s="64" customFormat="1">
      <c r="A997">
        <v>16413939</v>
      </c>
      <c r="B997" t="s">
        <v>1162</v>
      </c>
      <c r="C997" t="s">
        <v>357</v>
      </c>
      <c r="D997" t="s">
        <v>606</v>
      </c>
      <c r="E997" s="118" t="s">
        <v>1424</v>
      </c>
      <c r="F997" s="119">
        <v>0.29228009259259258</v>
      </c>
      <c r="G997" t="s">
        <v>1421</v>
      </c>
      <c r="H997" t="s">
        <v>1336</v>
      </c>
    </row>
    <row r="998" spans="1:8" s="64" customFormat="1">
      <c r="A998">
        <v>16413939</v>
      </c>
      <c r="B998" t="s">
        <v>1162</v>
      </c>
      <c r="C998" t="s">
        <v>357</v>
      </c>
      <c r="D998" t="s">
        <v>606</v>
      </c>
      <c r="E998" s="118" t="s">
        <v>1425</v>
      </c>
      <c r="F998" s="119">
        <v>0.64706018518518515</v>
      </c>
      <c r="G998" t="s">
        <v>1422</v>
      </c>
      <c r="H998" t="s">
        <v>1337</v>
      </c>
    </row>
    <row r="999" spans="1:8" s="64" customFormat="1">
      <c r="A999">
        <v>16413939</v>
      </c>
      <c r="B999" t="s">
        <v>1162</v>
      </c>
      <c r="C999" t="s">
        <v>357</v>
      </c>
      <c r="D999" t="s">
        <v>606</v>
      </c>
      <c r="E999" s="118" t="s">
        <v>1425</v>
      </c>
      <c r="F999" s="119">
        <v>0.30819444444444444</v>
      </c>
      <c r="G999" t="s">
        <v>1421</v>
      </c>
      <c r="H999" t="s">
        <v>1336</v>
      </c>
    </row>
    <row r="1000" spans="1:8" s="64" customFormat="1">
      <c r="A1000">
        <v>16413939</v>
      </c>
      <c r="B1000" t="s">
        <v>1162</v>
      </c>
      <c r="C1000" t="s">
        <v>357</v>
      </c>
      <c r="D1000" t="s">
        <v>606</v>
      </c>
      <c r="E1000" s="118" t="s">
        <v>1426</v>
      </c>
      <c r="F1000" s="119">
        <v>0.65160879629629631</v>
      </c>
      <c r="G1000" t="s">
        <v>1422</v>
      </c>
      <c r="H1000" t="s">
        <v>1337</v>
      </c>
    </row>
    <row r="1001" spans="1:8" s="64" customFormat="1">
      <c r="A1001">
        <v>16413939</v>
      </c>
      <c r="B1001" t="s">
        <v>1162</v>
      </c>
      <c r="C1001" t="s">
        <v>357</v>
      </c>
      <c r="D1001" t="s">
        <v>606</v>
      </c>
      <c r="E1001" s="118" t="s">
        <v>1426</v>
      </c>
      <c r="F1001" s="119">
        <v>0.29006944444444444</v>
      </c>
      <c r="G1001" t="s">
        <v>1421</v>
      </c>
      <c r="H1001" t="s">
        <v>1336</v>
      </c>
    </row>
    <row r="1002" spans="1:8" s="64" customFormat="1">
      <c r="A1002">
        <v>16413939</v>
      </c>
      <c r="B1002" t="s">
        <v>1162</v>
      </c>
      <c r="C1002" t="s">
        <v>357</v>
      </c>
      <c r="D1002" t="s">
        <v>606</v>
      </c>
      <c r="E1002" s="118" t="s">
        <v>1427</v>
      </c>
      <c r="F1002" s="119">
        <v>0.64021990740740742</v>
      </c>
      <c r="G1002" t="s">
        <v>1422</v>
      </c>
      <c r="H1002" t="s">
        <v>1337</v>
      </c>
    </row>
    <row r="1003" spans="1:8" s="64" customFormat="1">
      <c r="A1003">
        <v>16413939</v>
      </c>
      <c r="B1003" t="s">
        <v>1162</v>
      </c>
      <c r="C1003" t="s">
        <v>357</v>
      </c>
      <c r="D1003" t="s">
        <v>606</v>
      </c>
      <c r="E1003" s="118" t="s">
        <v>1427</v>
      </c>
      <c r="F1003" s="119">
        <v>0.35575231481481479</v>
      </c>
      <c r="G1003" t="s">
        <v>1421</v>
      </c>
      <c r="H1003" t="s">
        <v>1336</v>
      </c>
    </row>
    <row r="1004" spans="1:8" s="64" customFormat="1">
      <c r="A1004">
        <v>16441340</v>
      </c>
      <c r="B1004" t="s">
        <v>186</v>
      </c>
      <c r="C1004" t="s">
        <v>184</v>
      </c>
      <c r="D1004" t="s">
        <v>185</v>
      </c>
      <c r="E1004" s="118" t="s">
        <v>1420</v>
      </c>
      <c r="F1004" s="119">
        <v>0.62644675925925919</v>
      </c>
      <c r="G1004" t="s">
        <v>1422</v>
      </c>
      <c r="H1004" t="s">
        <v>1337</v>
      </c>
    </row>
    <row r="1005" spans="1:8" s="64" customFormat="1">
      <c r="A1005">
        <v>16441340</v>
      </c>
      <c r="B1005" t="s">
        <v>186</v>
      </c>
      <c r="C1005" t="s">
        <v>184</v>
      </c>
      <c r="D1005" t="s">
        <v>185</v>
      </c>
      <c r="E1005" s="118" t="s">
        <v>1420</v>
      </c>
      <c r="F1005" s="119">
        <v>0.31903935185185184</v>
      </c>
      <c r="G1005" t="s">
        <v>1421</v>
      </c>
      <c r="H1005" t="s">
        <v>1336</v>
      </c>
    </row>
    <row r="1006" spans="1:8" s="64" customFormat="1">
      <c r="A1006">
        <v>16441340</v>
      </c>
      <c r="B1006" t="s">
        <v>186</v>
      </c>
      <c r="C1006" t="s">
        <v>184</v>
      </c>
      <c r="D1006" t="s">
        <v>185</v>
      </c>
      <c r="E1006" s="118" t="s">
        <v>1423</v>
      </c>
      <c r="F1006" s="119">
        <v>0.62511574074074072</v>
      </c>
      <c r="G1006" t="s">
        <v>1422</v>
      </c>
      <c r="H1006" t="s">
        <v>1337</v>
      </c>
    </row>
    <row r="1007" spans="1:8" s="64" customFormat="1">
      <c r="A1007">
        <v>16441340</v>
      </c>
      <c r="B1007" t="s">
        <v>186</v>
      </c>
      <c r="C1007" t="s">
        <v>184</v>
      </c>
      <c r="D1007" t="s">
        <v>185</v>
      </c>
      <c r="E1007" s="118" t="s">
        <v>1423</v>
      </c>
      <c r="F1007" s="119">
        <v>0.30959490740740742</v>
      </c>
      <c r="G1007" t="s">
        <v>1421</v>
      </c>
      <c r="H1007" t="s">
        <v>1336</v>
      </c>
    </row>
    <row r="1008" spans="1:8" s="64" customFormat="1">
      <c r="A1008">
        <v>16441340</v>
      </c>
      <c r="B1008" t="s">
        <v>186</v>
      </c>
      <c r="C1008" t="s">
        <v>184</v>
      </c>
      <c r="D1008" t="s">
        <v>185</v>
      </c>
      <c r="E1008" s="118" t="s">
        <v>1424</v>
      </c>
      <c r="F1008" s="119">
        <v>0.63962962962962966</v>
      </c>
      <c r="G1008" t="s">
        <v>1422</v>
      </c>
      <c r="H1008" t="s">
        <v>1337</v>
      </c>
    </row>
    <row r="1009" spans="1:8" s="64" customFormat="1">
      <c r="A1009">
        <v>16441340</v>
      </c>
      <c r="B1009" t="s">
        <v>186</v>
      </c>
      <c r="C1009" t="s">
        <v>184</v>
      </c>
      <c r="D1009" t="s">
        <v>185</v>
      </c>
      <c r="E1009" s="118" t="s">
        <v>1424</v>
      </c>
      <c r="F1009" s="119">
        <v>0.31618055555555552</v>
      </c>
      <c r="G1009" t="s">
        <v>1421</v>
      </c>
      <c r="H1009" t="s">
        <v>1336</v>
      </c>
    </row>
    <row r="1010" spans="1:8" s="64" customFormat="1">
      <c r="A1010">
        <v>16441340</v>
      </c>
      <c r="B1010" t="s">
        <v>186</v>
      </c>
      <c r="C1010" t="s">
        <v>184</v>
      </c>
      <c r="D1010" t="s">
        <v>185</v>
      </c>
      <c r="E1010" s="118" t="s">
        <v>1425</v>
      </c>
      <c r="F1010" s="119">
        <v>0.62822916666666673</v>
      </c>
      <c r="G1010" t="s">
        <v>1422</v>
      </c>
      <c r="H1010" t="s">
        <v>1337</v>
      </c>
    </row>
    <row r="1011" spans="1:8" s="64" customFormat="1">
      <c r="A1011">
        <v>16441340</v>
      </c>
      <c r="B1011" t="s">
        <v>186</v>
      </c>
      <c r="C1011" t="s">
        <v>184</v>
      </c>
      <c r="D1011" t="s">
        <v>185</v>
      </c>
      <c r="E1011" s="118" t="s">
        <v>1425</v>
      </c>
      <c r="F1011" s="119">
        <v>0.31724537037037037</v>
      </c>
      <c r="G1011" t="s">
        <v>1421</v>
      </c>
      <c r="H1011" t="s">
        <v>1336</v>
      </c>
    </row>
    <row r="1012" spans="1:8" s="64" customFormat="1">
      <c r="A1012">
        <v>16441340</v>
      </c>
      <c r="B1012" t="s">
        <v>186</v>
      </c>
      <c r="C1012" t="s">
        <v>184</v>
      </c>
      <c r="D1012" t="s">
        <v>185</v>
      </c>
      <c r="E1012" s="118" t="s">
        <v>1426</v>
      </c>
      <c r="F1012" s="119">
        <v>0.62652777777777779</v>
      </c>
      <c r="G1012" t="s">
        <v>1422</v>
      </c>
      <c r="H1012" t="s">
        <v>1337</v>
      </c>
    </row>
    <row r="1013" spans="1:8" s="64" customFormat="1">
      <c r="A1013">
        <v>16441340</v>
      </c>
      <c r="B1013" t="s">
        <v>186</v>
      </c>
      <c r="C1013" t="s">
        <v>184</v>
      </c>
      <c r="D1013" t="s">
        <v>185</v>
      </c>
      <c r="E1013" s="118" t="s">
        <v>1426</v>
      </c>
      <c r="F1013" s="119">
        <v>0.31767361111111109</v>
      </c>
      <c r="G1013" t="s">
        <v>1421</v>
      </c>
      <c r="H1013" t="s">
        <v>1336</v>
      </c>
    </row>
    <row r="1014" spans="1:8" s="64" customFormat="1">
      <c r="A1014">
        <v>16441340</v>
      </c>
      <c r="B1014" t="s">
        <v>186</v>
      </c>
      <c r="C1014" t="s">
        <v>184</v>
      </c>
      <c r="D1014" t="s">
        <v>185</v>
      </c>
      <c r="E1014" s="118" t="s">
        <v>1427</v>
      </c>
      <c r="F1014" s="119">
        <v>0.62703703703703706</v>
      </c>
      <c r="G1014" t="s">
        <v>1422</v>
      </c>
      <c r="H1014" t="s">
        <v>1337</v>
      </c>
    </row>
    <row r="1015" spans="1:8" s="64" customFormat="1">
      <c r="A1015">
        <v>16441340</v>
      </c>
      <c r="B1015" t="s">
        <v>186</v>
      </c>
      <c r="C1015" t="s">
        <v>184</v>
      </c>
      <c r="D1015" t="s">
        <v>185</v>
      </c>
      <c r="E1015" s="118" t="s">
        <v>1427</v>
      </c>
      <c r="F1015" s="119">
        <v>0.31440972222222224</v>
      </c>
      <c r="G1015" t="s">
        <v>1421</v>
      </c>
      <c r="H1015" t="s">
        <v>1336</v>
      </c>
    </row>
    <row r="1016" spans="1:8" s="64" customFormat="1">
      <c r="A1016">
        <v>16649200</v>
      </c>
      <c r="B1016" t="s">
        <v>1183</v>
      </c>
      <c r="C1016" t="s">
        <v>25</v>
      </c>
      <c r="D1016" t="s">
        <v>700</v>
      </c>
      <c r="E1016" s="118" t="s">
        <v>1420</v>
      </c>
      <c r="F1016" s="119">
        <v>0.63539351851851855</v>
      </c>
      <c r="G1016" t="s">
        <v>1422</v>
      </c>
      <c r="H1016" t="s">
        <v>1337</v>
      </c>
    </row>
    <row r="1017" spans="1:8" s="64" customFormat="1">
      <c r="A1017">
        <v>16649200</v>
      </c>
      <c r="B1017" t="s">
        <v>1183</v>
      </c>
      <c r="C1017" t="s">
        <v>25</v>
      </c>
      <c r="D1017" t="s">
        <v>700</v>
      </c>
      <c r="E1017" s="118" t="s">
        <v>1420</v>
      </c>
      <c r="F1017" s="119">
        <v>0.29599537037037038</v>
      </c>
      <c r="G1017" t="s">
        <v>1421</v>
      </c>
      <c r="H1017" t="s">
        <v>1336</v>
      </c>
    </row>
    <row r="1018" spans="1:8" s="64" customFormat="1">
      <c r="A1018">
        <v>16649200</v>
      </c>
      <c r="B1018" t="s">
        <v>1183</v>
      </c>
      <c r="C1018" t="s">
        <v>25</v>
      </c>
      <c r="D1018" t="s">
        <v>700</v>
      </c>
      <c r="E1018" s="118" t="s">
        <v>1423</v>
      </c>
      <c r="F1018" s="119">
        <v>0.63694444444444442</v>
      </c>
      <c r="G1018" t="s">
        <v>1422</v>
      </c>
      <c r="H1018" t="s">
        <v>1337</v>
      </c>
    </row>
    <row r="1019" spans="1:8" s="64" customFormat="1">
      <c r="A1019">
        <v>16649200</v>
      </c>
      <c r="B1019" t="s">
        <v>1183</v>
      </c>
      <c r="C1019" t="s">
        <v>25</v>
      </c>
      <c r="D1019" t="s">
        <v>700</v>
      </c>
      <c r="E1019" s="118" t="s">
        <v>1423</v>
      </c>
      <c r="F1019" s="119">
        <v>0.3082523148148148</v>
      </c>
      <c r="G1019" t="s">
        <v>1421</v>
      </c>
      <c r="H1019" t="s">
        <v>1336</v>
      </c>
    </row>
    <row r="1020" spans="1:8" s="64" customFormat="1">
      <c r="A1020">
        <v>16649200</v>
      </c>
      <c r="B1020" t="s">
        <v>1183</v>
      </c>
      <c r="C1020" t="s">
        <v>25</v>
      </c>
      <c r="D1020" t="s">
        <v>700</v>
      </c>
      <c r="E1020" s="118" t="s">
        <v>1424</v>
      </c>
      <c r="F1020" s="119">
        <v>0.63708333333333333</v>
      </c>
      <c r="G1020" t="s">
        <v>1422</v>
      </c>
      <c r="H1020" t="s">
        <v>1337</v>
      </c>
    </row>
    <row r="1021" spans="1:8" s="64" customFormat="1">
      <c r="A1021">
        <v>16649200</v>
      </c>
      <c r="B1021" t="s">
        <v>1183</v>
      </c>
      <c r="C1021" t="s">
        <v>25</v>
      </c>
      <c r="D1021" t="s">
        <v>700</v>
      </c>
      <c r="E1021" s="118" t="s">
        <v>1424</v>
      </c>
      <c r="F1021" s="119">
        <v>0.29530092592592594</v>
      </c>
      <c r="G1021" t="s">
        <v>1421</v>
      </c>
      <c r="H1021" t="s">
        <v>1336</v>
      </c>
    </row>
    <row r="1022" spans="1:8" s="64" customFormat="1">
      <c r="A1022">
        <v>16649200</v>
      </c>
      <c r="B1022" t="s">
        <v>1183</v>
      </c>
      <c r="C1022" t="s">
        <v>25</v>
      </c>
      <c r="D1022" t="s">
        <v>700</v>
      </c>
      <c r="E1022" s="118" t="s">
        <v>1425</v>
      </c>
      <c r="F1022" s="119">
        <v>0.63574074074074072</v>
      </c>
      <c r="G1022" t="s">
        <v>1422</v>
      </c>
      <c r="H1022" t="s">
        <v>1337</v>
      </c>
    </row>
    <row r="1023" spans="1:8" s="64" customFormat="1">
      <c r="A1023">
        <v>16649200</v>
      </c>
      <c r="B1023" t="s">
        <v>1183</v>
      </c>
      <c r="C1023" t="s">
        <v>25</v>
      </c>
      <c r="D1023" t="s">
        <v>700</v>
      </c>
      <c r="E1023" s="118" t="s">
        <v>1425</v>
      </c>
      <c r="F1023" s="119">
        <v>0.29317129629629629</v>
      </c>
      <c r="G1023" t="s">
        <v>1421</v>
      </c>
      <c r="H1023" t="s">
        <v>1336</v>
      </c>
    </row>
    <row r="1024" spans="1:8" s="64" customFormat="1">
      <c r="A1024">
        <v>16649200</v>
      </c>
      <c r="B1024" t="s">
        <v>1183</v>
      </c>
      <c r="C1024" t="s">
        <v>25</v>
      </c>
      <c r="D1024" t="s">
        <v>700</v>
      </c>
      <c r="E1024" s="118" t="s">
        <v>1426</v>
      </c>
      <c r="F1024" s="119">
        <v>0.63304398148148155</v>
      </c>
      <c r="G1024" t="s">
        <v>1422</v>
      </c>
      <c r="H1024" t="s">
        <v>1337</v>
      </c>
    </row>
    <row r="1025" spans="1:8" s="64" customFormat="1">
      <c r="A1025">
        <v>16649200</v>
      </c>
      <c r="B1025" t="s">
        <v>1183</v>
      </c>
      <c r="C1025" t="s">
        <v>25</v>
      </c>
      <c r="D1025" t="s">
        <v>700</v>
      </c>
      <c r="E1025" s="118" t="s">
        <v>1426</v>
      </c>
      <c r="F1025" s="119">
        <v>0.29572916666666665</v>
      </c>
      <c r="G1025" t="s">
        <v>1421</v>
      </c>
      <c r="H1025" t="s">
        <v>1336</v>
      </c>
    </row>
    <row r="1026" spans="1:8" s="64" customFormat="1">
      <c r="A1026">
        <v>16691386</v>
      </c>
      <c r="B1026" t="s">
        <v>993</v>
      </c>
      <c r="C1026" t="s">
        <v>607</v>
      </c>
      <c r="D1026" t="s">
        <v>992</v>
      </c>
      <c r="E1026" s="118" t="s">
        <v>1420</v>
      </c>
      <c r="F1026" s="119">
        <v>0.63236111111111104</v>
      </c>
      <c r="G1026" t="s">
        <v>1422</v>
      </c>
      <c r="H1026" t="s">
        <v>1337</v>
      </c>
    </row>
    <row r="1027" spans="1:8" s="64" customFormat="1">
      <c r="A1027">
        <v>16691386</v>
      </c>
      <c r="B1027" t="s">
        <v>993</v>
      </c>
      <c r="C1027" t="s">
        <v>607</v>
      </c>
      <c r="D1027" t="s">
        <v>992</v>
      </c>
      <c r="E1027" s="118" t="s">
        <v>1420</v>
      </c>
      <c r="F1027" s="119">
        <v>0.29619212962962965</v>
      </c>
      <c r="G1027" t="s">
        <v>1421</v>
      </c>
      <c r="H1027" t="s">
        <v>1336</v>
      </c>
    </row>
    <row r="1028" spans="1:8" s="64" customFormat="1">
      <c r="A1028">
        <v>16691386</v>
      </c>
      <c r="B1028" t="s">
        <v>993</v>
      </c>
      <c r="C1028" t="s">
        <v>607</v>
      </c>
      <c r="D1028" t="s">
        <v>992</v>
      </c>
      <c r="E1028" s="118" t="s">
        <v>1423</v>
      </c>
      <c r="F1028" s="119">
        <v>0.63239583333333338</v>
      </c>
      <c r="G1028" t="s">
        <v>1422</v>
      </c>
      <c r="H1028" t="s">
        <v>1337</v>
      </c>
    </row>
    <row r="1029" spans="1:8" s="64" customFormat="1">
      <c r="A1029">
        <v>16691386</v>
      </c>
      <c r="B1029" t="s">
        <v>993</v>
      </c>
      <c r="C1029" t="s">
        <v>607</v>
      </c>
      <c r="D1029" t="s">
        <v>992</v>
      </c>
      <c r="E1029" s="118" t="s">
        <v>1423</v>
      </c>
      <c r="F1029" s="119">
        <v>0.29084490740740737</v>
      </c>
      <c r="G1029" t="s">
        <v>1421</v>
      </c>
      <c r="H1029" t="s">
        <v>1336</v>
      </c>
    </row>
    <row r="1030" spans="1:8" s="64" customFormat="1">
      <c r="A1030">
        <v>16691386</v>
      </c>
      <c r="B1030" t="s">
        <v>993</v>
      </c>
      <c r="C1030" t="s">
        <v>607</v>
      </c>
      <c r="D1030" t="s">
        <v>992</v>
      </c>
      <c r="E1030" s="118" t="s">
        <v>1424</v>
      </c>
      <c r="F1030" s="119">
        <v>0.63270833333333332</v>
      </c>
      <c r="G1030" t="s">
        <v>1422</v>
      </c>
      <c r="H1030" t="s">
        <v>1337</v>
      </c>
    </row>
    <row r="1031" spans="1:8" s="64" customFormat="1">
      <c r="A1031">
        <v>16691386</v>
      </c>
      <c r="B1031" t="s">
        <v>993</v>
      </c>
      <c r="C1031" t="s">
        <v>607</v>
      </c>
      <c r="D1031" t="s">
        <v>992</v>
      </c>
      <c r="E1031" s="118" t="s">
        <v>1424</v>
      </c>
      <c r="F1031" s="119">
        <v>0.28917824074074078</v>
      </c>
      <c r="G1031" t="s">
        <v>1421</v>
      </c>
      <c r="H1031" t="s">
        <v>1336</v>
      </c>
    </row>
    <row r="1032" spans="1:8" s="64" customFormat="1">
      <c r="A1032">
        <v>16691386</v>
      </c>
      <c r="B1032" t="s">
        <v>993</v>
      </c>
      <c r="C1032" t="s">
        <v>607</v>
      </c>
      <c r="D1032" t="s">
        <v>992</v>
      </c>
      <c r="E1032" s="118" t="s">
        <v>1425</v>
      </c>
      <c r="F1032" s="119">
        <v>0.63214120370370364</v>
      </c>
      <c r="G1032" t="s">
        <v>1422</v>
      </c>
      <c r="H1032" t="s">
        <v>1337</v>
      </c>
    </row>
    <row r="1033" spans="1:8" s="64" customFormat="1">
      <c r="A1033">
        <v>16691386</v>
      </c>
      <c r="B1033" t="s">
        <v>993</v>
      </c>
      <c r="C1033" t="s">
        <v>607</v>
      </c>
      <c r="D1033" t="s">
        <v>992</v>
      </c>
      <c r="E1033" s="118" t="s">
        <v>1425</v>
      </c>
      <c r="F1033" s="119">
        <v>0.299375</v>
      </c>
      <c r="G1033" t="s">
        <v>1421</v>
      </c>
      <c r="H1033" t="s">
        <v>1336</v>
      </c>
    </row>
    <row r="1034" spans="1:8" s="64" customFormat="1">
      <c r="A1034">
        <v>16691386</v>
      </c>
      <c r="B1034" t="s">
        <v>993</v>
      </c>
      <c r="C1034" t="s">
        <v>607</v>
      </c>
      <c r="D1034" t="s">
        <v>992</v>
      </c>
      <c r="E1034" s="118" t="s">
        <v>1426</v>
      </c>
      <c r="F1034" s="119">
        <v>0.63254629629629633</v>
      </c>
      <c r="G1034" t="s">
        <v>1422</v>
      </c>
      <c r="H1034" t="s">
        <v>1337</v>
      </c>
    </row>
    <row r="1035" spans="1:8" s="64" customFormat="1">
      <c r="A1035">
        <v>16691386</v>
      </c>
      <c r="B1035" t="s">
        <v>993</v>
      </c>
      <c r="C1035" t="s">
        <v>607</v>
      </c>
      <c r="D1035" t="s">
        <v>992</v>
      </c>
      <c r="E1035" s="118" t="s">
        <v>1426</v>
      </c>
      <c r="F1035" s="119">
        <v>0.29365740740740742</v>
      </c>
      <c r="G1035" t="s">
        <v>1421</v>
      </c>
      <c r="H1035" t="s">
        <v>1336</v>
      </c>
    </row>
    <row r="1036" spans="1:8" s="64" customFormat="1">
      <c r="A1036">
        <v>16691386</v>
      </c>
      <c r="B1036" t="s">
        <v>993</v>
      </c>
      <c r="C1036" t="s">
        <v>607</v>
      </c>
      <c r="D1036" t="s">
        <v>992</v>
      </c>
      <c r="E1036" s="118" t="s">
        <v>1428</v>
      </c>
      <c r="F1036" s="119">
        <v>0.99840277777777775</v>
      </c>
      <c r="G1036" t="s">
        <v>1421</v>
      </c>
      <c r="H1036" t="s">
        <v>1336</v>
      </c>
    </row>
    <row r="1037" spans="1:8" s="64" customFormat="1">
      <c r="A1037">
        <v>16697450</v>
      </c>
      <c r="B1037" t="s">
        <v>873</v>
      </c>
      <c r="C1037" t="s">
        <v>76</v>
      </c>
      <c r="D1037" t="s">
        <v>357</v>
      </c>
      <c r="E1037" s="118" t="s">
        <v>1420</v>
      </c>
      <c r="F1037" s="119">
        <v>0.94037037037037041</v>
      </c>
      <c r="G1037" t="s">
        <v>1422</v>
      </c>
      <c r="H1037" t="s">
        <v>1337</v>
      </c>
    </row>
    <row r="1038" spans="1:8" s="64" customFormat="1">
      <c r="A1038">
        <v>16697450</v>
      </c>
      <c r="B1038" t="s">
        <v>873</v>
      </c>
      <c r="C1038" t="s">
        <v>76</v>
      </c>
      <c r="D1038" t="s">
        <v>357</v>
      </c>
      <c r="E1038" s="118" t="s">
        <v>1420</v>
      </c>
      <c r="F1038" s="119">
        <v>0.62024305555555559</v>
      </c>
      <c r="G1038" t="s">
        <v>1421</v>
      </c>
      <c r="H1038" t="s">
        <v>1336</v>
      </c>
    </row>
    <row r="1039" spans="1:8" s="64" customFormat="1">
      <c r="A1039">
        <v>16697450</v>
      </c>
      <c r="B1039" t="s">
        <v>873</v>
      </c>
      <c r="C1039" t="s">
        <v>76</v>
      </c>
      <c r="D1039" t="s">
        <v>357</v>
      </c>
      <c r="E1039" s="118" t="s">
        <v>1423</v>
      </c>
      <c r="F1039" s="119">
        <v>0.94675925925925919</v>
      </c>
      <c r="G1039" t="s">
        <v>1422</v>
      </c>
      <c r="H1039" t="s">
        <v>1337</v>
      </c>
    </row>
    <row r="1040" spans="1:8" s="64" customFormat="1">
      <c r="A1040">
        <v>16697450</v>
      </c>
      <c r="B1040" t="s">
        <v>873</v>
      </c>
      <c r="C1040" t="s">
        <v>76</v>
      </c>
      <c r="D1040" t="s">
        <v>357</v>
      </c>
      <c r="E1040" s="118" t="s">
        <v>1423</v>
      </c>
      <c r="F1040" s="119">
        <v>0.61870370370370364</v>
      </c>
      <c r="G1040" t="s">
        <v>1421</v>
      </c>
      <c r="H1040" t="s">
        <v>1336</v>
      </c>
    </row>
    <row r="1041" spans="1:8" s="64" customFormat="1">
      <c r="A1041">
        <v>16697450</v>
      </c>
      <c r="B1041" t="s">
        <v>873</v>
      </c>
      <c r="C1041" t="s">
        <v>76</v>
      </c>
      <c r="D1041" t="s">
        <v>357</v>
      </c>
      <c r="E1041" s="118" t="s">
        <v>1424</v>
      </c>
      <c r="F1041" s="119">
        <v>0.94405092592592599</v>
      </c>
      <c r="G1041" t="s">
        <v>1422</v>
      </c>
      <c r="H1041" t="s">
        <v>1337</v>
      </c>
    </row>
    <row r="1042" spans="1:8" s="64" customFormat="1">
      <c r="A1042">
        <v>16697450</v>
      </c>
      <c r="B1042" t="s">
        <v>873</v>
      </c>
      <c r="C1042" t="s">
        <v>76</v>
      </c>
      <c r="D1042" t="s">
        <v>357</v>
      </c>
      <c r="E1042" s="118" t="s">
        <v>1424</v>
      </c>
      <c r="F1042" s="119">
        <v>0.6165046296296296</v>
      </c>
      <c r="G1042" t="s">
        <v>1421</v>
      </c>
      <c r="H1042" t="s">
        <v>1336</v>
      </c>
    </row>
    <row r="1043" spans="1:8" s="64" customFormat="1">
      <c r="A1043">
        <v>16697450</v>
      </c>
      <c r="B1043" t="s">
        <v>873</v>
      </c>
      <c r="C1043" t="s">
        <v>76</v>
      </c>
      <c r="D1043" t="s">
        <v>357</v>
      </c>
      <c r="E1043" s="118" t="s">
        <v>1425</v>
      </c>
      <c r="F1043" s="119">
        <v>0.94763888888888881</v>
      </c>
      <c r="G1043" t="s">
        <v>1422</v>
      </c>
      <c r="H1043" t="s">
        <v>1337</v>
      </c>
    </row>
    <row r="1044" spans="1:8" s="64" customFormat="1">
      <c r="A1044">
        <v>16697450</v>
      </c>
      <c r="B1044" t="s">
        <v>873</v>
      </c>
      <c r="C1044" t="s">
        <v>76</v>
      </c>
      <c r="D1044" t="s">
        <v>357</v>
      </c>
      <c r="E1044" s="118" t="s">
        <v>1425</v>
      </c>
      <c r="F1044" s="119">
        <v>0.62523148148148155</v>
      </c>
      <c r="G1044" t="s">
        <v>1421</v>
      </c>
      <c r="H1044" t="s">
        <v>1336</v>
      </c>
    </row>
    <row r="1045" spans="1:8" s="64" customFormat="1">
      <c r="A1045">
        <v>16697450</v>
      </c>
      <c r="B1045" t="s">
        <v>873</v>
      </c>
      <c r="C1045" t="s">
        <v>76</v>
      </c>
      <c r="D1045" t="s">
        <v>357</v>
      </c>
      <c r="E1045" s="118" t="s">
        <v>1426</v>
      </c>
      <c r="F1045" s="119">
        <v>0.94552083333333325</v>
      </c>
      <c r="G1045" t="s">
        <v>1422</v>
      </c>
      <c r="H1045" t="s">
        <v>1337</v>
      </c>
    </row>
    <row r="1046" spans="1:8" s="64" customFormat="1">
      <c r="A1046">
        <v>16697450</v>
      </c>
      <c r="B1046" t="s">
        <v>873</v>
      </c>
      <c r="C1046" t="s">
        <v>76</v>
      </c>
      <c r="D1046" t="s">
        <v>357</v>
      </c>
      <c r="E1046" s="118" t="s">
        <v>1426</v>
      </c>
      <c r="F1046" s="119">
        <v>0.62320601851851853</v>
      </c>
      <c r="G1046" t="s">
        <v>1421</v>
      </c>
      <c r="H1046" t="s">
        <v>1336</v>
      </c>
    </row>
    <row r="1047" spans="1:8" s="64" customFormat="1">
      <c r="A1047">
        <v>16697450</v>
      </c>
      <c r="B1047" t="s">
        <v>873</v>
      </c>
      <c r="C1047" t="s">
        <v>76</v>
      </c>
      <c r="D1047" t="s">
        <v>357</v>
      </c>
      <c r="E1047" s="118" t="s">
        <v>1427</v>
      </c>
      <c r="F1047" s="119">
        <v>0.9223958333333333</v>
      </c>
      <c r="G1047" t="s">
        <v>1422</v>
      </c>
      <c r="H1047" t="s">
        <v>1337</v>
      </c>
    </row>
    <row r="1048" spans="1:8" s="64" customFormat="1">
      <c r="A1048">
        <v>16697450</v>
      </c>
      <c r="B1048" t="s">
        <v>873</v>
      </c>
      <c r="C1048" t="s">
        <v>76</v>
      </c>
      <c r="D1048" t="s">
        <v>357</v>
      </c>
      <c r="E1048" s="118" t="s">
        <v>1427</v>
      </c>
      <c r="F1048" s="119">
        <v>0.62219907407407404</v>
      </c>
      <c r="G1048" t="s">
        <v>1421</v>
      </c>
      <c r="H1048" t="s">
        <v>1336</v>
      </c>
    </row>
    <row r="1049" spans="1:8" s="64" customFormat="1">
      <c r="A1049">
        <v>17002272</v>
      </c>
      <c r="B1049" t="s">
        <v>439</v>
      </c>
      <c r="C1049" t="s">
        <v>438</v>
      </c>
      <c r="D1049" t="s">
        <v>33</v>
      </c>
      <c r="E1049" s="118" t="s">
        <v>1420</v>
      </c>
      <c r="F1049" s="119">
        <v>0.9387847222222222</v>
      </c>
      <c r="G1049" t="s">
        <v>1421</v>
      </c>
      <c r="H1049" t="s">
        <v>1336</v>
      </c>
    </row>
    <row r="1050" spans="1:8" s="64" customFormat="1">
      <c r="A1050">
        <v>17002272</v>
      </c>
      <c r="B1050" t="s">
        <v>439</v>
      </c>
      <c r="C1050" t="s">
        <v>438</v>
      </c>
      <c r="D1050" t="s">
        <v>33</v>
      </c>
      <c r="E1050" s="118" t="s">
        <v>1423</v>
      </c>
      <c r="F1050" s="119">
        <v>0.3208449074074074</v>
      </c>
      <c r="G1050" t="s">
        <v>1422</v>
      </c>
      <c r="H1050" t="s">
        <v>1337</v>
      </c>
    </row>
    <row r="1051" spans="1:8" s="64" customFormat="1">
      <c r="A1051">
        <v>17002272</v>
      </c>
      <c r="B1051" t="s">
        <v>439</v>
      </c>
      <c r="C1051" t="s">
        <v>438</v>
      </c>
      <c r="D1051" t="s">
        <v>33</v>
      </c>
      <c r="E1051" s="118" t="s">
        <v>1423</v>
      </c>
      <c r="F1051" s="119">
        <v>0.93059027777777781</v>
      </c>
      <c r="G1051" t="s">
        <v>1421</v>
      </c>
      <c r="H1051" t="s">
        <v>1336</v>
      </c>
    </row>
    <row r="1052" spans="1:8" s="64" customFormat="1">
      <c r="A1052">
        <v>17002272</v>
      </c>
      <c r="B1052" t="s">
        <v>439</v>
      </c>
      <c r="C1052" t="s">
        <v>438</v>
      </c>
      <c r="D1052" t="s">
        <v>33</v>
      </c>
      <c r="E1052" s="118" t="s">
        <v>1424</v>
      </c>
      <c r="F1052" s="119">
        <v>0.32973379629629629</v>
      </c>
      <c r="G1052" t="s">
        <v>1422</v>
      </c>
      <c r="H1052" t="s">
        <v>1337</v>
      </c>
    </row>
    <row r="1053" spans="1:8" s="64" customFormat="1">
      <c r="A1053">
        <v>17002272</v>
      </c>
      <c r="B1053" t="s">
        <v>439</v>
      </c>
      <c r="C1053" t="s">
        <v>438</v>
      </c>
      <c r="D1053" t="s">
        <v>33</v>
      </c>
      <c r="E1053" s="118" t="s">
        <v>1424</v>
      </c>
      <c r="F1053" s="119">
        <v>0.92776620370370377</v>
      </c>
      <c r="G1053" t="s">
        <v>1421</v>
      </c>
      <c r="H1053" t="s">
        <v>1336</v>
      </c>
    </row>
    <row r="1054" spans="1:8" s="64" customFormat="1">
      <c r="A1054">
        <v>17002272</v>
      </c>
      <c r="B1054" t="s">
        <v>439</v>
      </c>
      <c r="C1054" t="s">
        <v>438</v>
      </c>
      <c r="D1054" t="s">
        <v>33</v>
      </c>
      <c r="E1054" s="118" t="s">
        <v>1425</v>
      </c>
      <c r="F1054" s="119">
        <v>0.32793981481481482</v>
      </c>
      <c r="G1054" t="s">
        <v>1422</v>
      </c>
      <c r="H1054" t="s">
        <v>1337</v>
      </c>
    </row>
    <row r="1055" spans="1:8" s="64" customFormat="1">
      <c r="A1055">
        <v>17002272</v>
      </c>
      <c r="B1055" t="s">
        <v>439</v>
      </c>
      <c r="C1055" t="s">
        <v>438</v>
      </c>
      <c r="D1055" t="s">
        <v>33</v>
      </c>
      <c r="E1055" s="118" t="s">
        <v>1425</v>
      </c>
      <c r="F1055" s="119">
        <v>0.9293865740740741</v>
      </c>
      <c r="G1055" t="s">
        <v>1421</v>
      </c>
      <c r="H1055" t="s">
        <v>1336</v>
      </c>
    </row>
    <row r="1056" spans="1:8" s="64" customFormat="1">
      <c r="A1056">
        <v>17002272</v>
      </c>
      <c r="B1056" t="s">
        <v>439</v>
      </c>
      <c r="C1056" t="s">
        <v>438</v>
      </c>
      <c r="D1056" t="s">
        <v>33</v>
      </c>
      <c r="E1056" s="118" t="s">
        <v>1426</v>
      </c>
      <c r="F1056" s="119">
        <v>0.32817129629629632</v>
      </c>
      <c r="G1056" t="s">
        <v>1422</v>
      </c>
      <c r="H1056" t="s">
        <v>1337</v>
      </c>
    </row>
    <row r="1057" spans="1:8" s="64" customFormat="1">
      <c r="A1057">
        <v>17002272</v>
      </c>
      <c r="B1057" t="s">
        <v>439</v>
      </c>
      <c r="C1057" t="s">
        <v>438</v>
      </c>
      <c r="D1057" t="s">
        <v>33</v>
      </c>
      <c r="E1057" s="118" t="s">
        <v>1426</v>
      </c>
      <c r="F1057" s="119">
        <v>0.92643518518518519</v>
      </c>
      <c r="G1057" t="s">
        <v>1421</v>
      </c>
      <c r="H1057" t="s">
        <v>1336</v>
      </c>
    </row>
    <row r="1058" spans="1:8" s="64" customFormat="1">
      <c r="A1058">
        <v>17002272</v>
      </c>
      <c r="B1058" t="s">
        <v>439</v>
      </c>
      <c r="C1058" t="s">
        <v>438</v>
      </c>
      <c r="D1058" t="s">
        <v>33</v>
      </c>
      <c r="E1058" s="118" t="s">
        <v>1427</v>
      </c>
      <c r="F1058" s="119">
        <v>0.32981481481481484</v>
      </c>
      <c r="G1058" t="s">
        <v>1422</v>
      </c>
      <c r="H1058" t="s">
        <v>1337</v>
      </c>
    </row>
    <row r="1059" spans="1:8" s="64" customFormat="1">
      <c r="A1059">
        <v>17065312</v>
      </c>
      <c r="B1059" t="s">
        <v>434</v>
      </c>
      <c r="C1059" t="s">
        <v>313</v>
      </c>
      <c r="D1059" t="s">
        <v>244</v>
      </c>
      <c r="E1059" s="118" t="s">
        <v>1420</v>
      </c>
      <c r="F1059" s="119">
        <v>0.62557870370370372</v>
      </c>
      <c r="G1059" t="s">
        <v>1422</v>
      </c>
      <c r="H1059" t="s">
        <v>1337</v>
      </c>
    </row>
    <row r="1060" spans="1:8" s="64" customFormat="1">
      <c r="A1060">
        <v>17065312</v>
      </c>
      <c r="B1060" t="s">
        <v>434</v>
      </c>
      <c r="C1060" t="s">
        <v>313</v>
      </c>
      <c r="D1060" t="s">
        <v>244</v>
      </c>
      <c r="E1060" s="118" t="s">
        <v>1420</v>
      </c>
      <c r="F1060" s="119">
        <v>0.32563657407407409</v>
      </c>
      <c r="G1060" t="s">
        <v>1421</v>
      </c>
      <c r="H1060" t="s">
        <v>1336</v>
      </c>
    </row>
    <row r="1061" spans="1:8" s="64" customFormat="1">
      <c r="A1061">
        <v>17065312</v>
      </c>
      <c r="B1061" t="s">
        <v>434</v>
      </c>
      <c r="C1061" t="s">
        <v>313</v>
      </c>
      <c r="D1061" t="s">
        <v>244</v>
      </c>
      <c r="E1061" s="118" t="s">
        <v>1423</v>
      </c>
      <c r="F1061" s="119">
        <v>0.62969907407407411</v>
      </c>
      <c r="G1061" t="s">
        <v>1422</v>
      </c>
      <c r="H1061" t="s">
        <v>1337</v>
      </c>
    </row>
    <row r="1062" spans="1:8" s="64" customFormat="1">
      <c r="A1062">
        <v>17065312</v>
      </c>
      <c r="B1062" t="s">
        <v>434</v>
      </c>
      <c r="C1062" t="s">
        <v>313</v>
      </c>
      <c r="D1062" t="s">
        <v>244</v>
      </c>
      <c r="E1062" s="118" t="s">
        <v>1423</v>
      </c>
      <c r="F1062" s="119">
        <v>0.55927083333333327</v>
      </c>
      <c r="G1062" t="s">
        <v>1421</v>
      </c>
      <c r="H1062" t="s">
        <v>1336</v>
      </c>
    </row>
    <row r="1063" spans="1:8" s="64" customFormat="1">
      <c r="A1063">
        <v>17065312</v>
      </c>
      <c r="B1063" t="s">
        <v>434</v>
      </c>
      <c r="C1063" t="s">
        <v>313</v>
      </c>
      <c r="D1063" t="s">
        <v>244</v>
      </c>
      <c r="E1063" s="118" t="s">
        <v>1424</v>
      </c>
      <c r="F1063" s="119">
        <v>0.64563657407407404</v>
      </c>
      <c r="G1063" t="s">
        <v>1422</v>
      </c>
      <c r="H1063" t="s">
        <v>1337</v>
      </c>
    </row>
    <row r="1064" spans="1:8" s="64" customFormat="1">
      <c r="A1064">
        <v>17065312</v>
      </c>
      <c r="B1064" t="s">
        <v>434</v>
      </c>
      <c r="C1064" t="s">
        <v>313</v>
      </c>
      <c r="D1064" t="s">
        <v>244</v>
      </c>
      <c r="E1064" s="118" t="s">
        <v>1424</v>
      </c>
      <c r="F1064" s="119">
        <v>0.33030092592592591</v>
      </c>
      <c r="G1064" t="s">
        <v>1421</v>
      </c>
      <c r="H1064" t="s">
        <v>1336</v>
      </c>
    </row>
    <row r="1065" spans="1:8" s="64" customFormat="1">
      <c r="A1065">
        <v>17065312</v>
      </c>
      <c r="B1065" t="s">
        <v>434</v>
      </c>
      <c r="C1065" t="s">
        <v>313</v>
      </c>
      <c r="D1065" t="s">
        <v>244</v>
      </c>
      <c r="E1065" s="118" t="s">
        <v>1425</v>
      </c>
      <c r="F1065" s="119">
        <v>0.62827546296296299</v>
      </c>
      <c r="G1065" t="s">
        <v>1422</v>
      </c>
      <c r="H1065" t="s">
        <v>1337</v>
      </c>
    </row>
    <row r="1066" spans="1:8" s="64" customFormat="1">
      <c r="A1066">
        <v>17065312</v>
      </c>
      <c r="B1066" t="s">
        <v>434</v>
      </c>
      <c r="C1066" t="s">
        <v>313</v>
      </c>
      <c r="D1066" t="s">
        <v>244</v>
      </c>
      <c r="E1066" s="118" t="s">
        <v>1425</v>
      </c>
      <c r="F1066" s="119">
        <v>0.32474537037037038</v>
      </c>
      <c r="G1066" t="s">
        <v>1421</v>
      </c>
      <c r="H1066" t="s">
        <v>1336</v>
      </c>
    </row>
    <row r="1067" spans="1:8" s="64" customFormat="1">
      <c r="A1067">
        <v>17065312</v>
      </c>
      <c r="B1067" t="s">
        <v>434</v>
      </c>
      <c r="C1067" t="s">
        <v>313</v>
      </c>
      <c r="D1067" t="s">
        <v>244</v>
      </c>
      <c r="E1067" s="118" t="s">
        <v>1426</v>
      </c>
      <c r="F1067" s="119">
        <v>0.6407870370370371</v>
      </c>
      <c r="G1067" t="s">
        <v>1422</v>
      </c>
      <c r="H1067" t="s">
        <v>1337</v>
      </c>
    </row>
    <row r="1068" spans="1:8" s="64" customFormat="1">
      <c r="A1068">
        <v>17065312</v>
      </c>
      <c r="B1068" t="s">
        <v>434</v>
      </c>
      <c r="C1068" t="s">
        <v>313</v>
      </c>
      <c r="D1068" t="s">
        <v>244</v>
      </c>
      <c r="E1068" s="118" t="s">
        <v>1426</v>
      </c>
      <c r="F1068" s="119">
        <v>0.33680555555555558</v>
      </c>
      <c r="G1068" t="s">
        <v>1421</v>
      </c>
      <c r="H1068" t="s">
        <v>1336</v>
      </c>
    </row>
    <row r="1069" spans="1:8" s="64" customFormat="1">
      <c r="A1069">
        <v>17065312</v>
      </c>
      <c r="B1069" t="s">
        <v>434</v>
      </c>
      <c r="C1069" t="s">
        <v>313</v>
      </c>
      <c r="D1069" t="s">
        <v>244</v>
      </c>
      <c r="E1069" s="118" t="s">
        <v>1427</v>
      </c>
      <c r="F1069" s="119">
        <v>0.91767361111111112</v>
      </c>
      <c r="G1069" t="s">
        <v>1422</v>
      </c>
      <c r="H1069" t="s">
        <v>1337</v>
      </c>
    </row>
    <row r="1070" spans="1:8" s="64" customFormat="1">
      <c r="A1070">
        <v>17065312</v>
      </c>
      <c r="B1070" t="s">
        <v>434</v>
      </c>
      <c r="C1070" t="s">
        <v>313</v>
      </c>
      <c r="D1070" t="s">
        <v>244</v>
      </c>
      <c r="E1070" s="118" t="s">
        <v>1427</v>
      </c>
      <c r="F1070" s="119">
        <v>0.63384259259259257</v>
      </c>
      <c r="G1070" t="s">
        <v>1421</v>
      </c>
      <c r="H1070" t="s">
        <v>1336</v>
      </c>
    </row>
    <row r="1071" spans="1:8" s="64" customFormat="1">
      <c r="A1071">
        <v>17245009</v>
      </c>
      <c r="B1071" t="s">
        <v>787</v>
      </c>
      <c r="C1071" t="s">
        <v>848</v>
      </c>
      <c r="D1071" t="s">
        <v>926</v>
      </c>
      <c r="E1071" s="118" t="s">
        <v>1420</v>
      </c>
      <c r="F1071" s="119">
        <v>0.73329861111111105</v>
      </c>
      <c r="G1071" t="s">
        <v>1422</v>
      </c>
      <c r="H1071" t="s">
        <v>1337</v>
      </c>
    </row>
    <row r="1072" spans="1:8" s="64" customFormat="1">
      <c r="A1072">
        <v>17245009</v>
      </c>
      <c r="B1072" t="s">
        <v>787</v>
      </c>
      <c r="C1072" t="s">
        <v>848</v>
      </c>
      <c r="D1072" t="s">
        <v>926</v>
      </c>
      <c r="E1072" s="118" t="s">
        <v>1420</v>
      </c>
      <c r="F1072" s="119">
        <v>0.32055555555555554</v>
      </c>
      <c r="G1072" t="s">
        <v>1421</v>
      </c>
      <c r="H1072" t="s">
        <v>1336</v>
      </c>
    </row>
    <row r="1073" spans="1:8" s="64" customFormat="1">
      <c r="A1073">
        <v>17245009</v>
      </c>
      <c r="B1073" t="s">
        <v>787</v>
      </c>
      <c r="C1073" t="s">
        <v>848</v>
      </c>
      <c r="D1073" t="s">
        <v>926</v>
      </c>
      <c r="E1073" s="118" t="s">
        <v>1423</v>
      </c>
      <c r="F1073" s="119">
        <v>0.73111111111111116</v>
      </c>
      <c r="G1073" t="s">
        <v>1422</v>
      </c>
      <c r="H1073" t="s">
        <v>1337</v>
      </c>
    </row>
    <row r="1074" spans="1:8" s="64" customFormat="1">
      <c r="A1074">
        <v>17245009</v>
      </c>
      <c r="B1074" t="s">
        <v>787</v>
      </c>
      <c r="C1074" t="s">
        <v>848</v>
      </c>
      <c r="D1074" t="s">
        <v>926</v>
      </c>
      <c r="E1074" s="118" t="s">
        <v>1423</v>
      </c>
      <c r="F1074" s="119">
        <v>0.32245370370370369</v>
      </c>
      <c r="G1074" t="s">
        <v>1421</v>
      </c>
      <c r="H1074" t="s">
        <v>1336</v>
      </c>
    </row>
    <row r="1075" spans="1:8" s="64" customFormat="1">
      <c r="A1075">
        <v>17245009</v>
      </c>
      <c r="B1075" t="s">
        <v>787</v>
      </c>
      <c r="C1075" t="s">
        <v>848</v>
      </c>
      <c r="D1075" t="s">
        <v>926</v>
      </c>
      <c r="E1075" s="118" t="s">
        <v>1424</v>
      </c>
      <c r="F1075" s="119">
        <v>0.45249999999999996</v>
      </c>
      <c r="G1075" t="s">
        <v>1422</v>
      </c>
      <c r="H1075" t="s">
        <v>1337</v>
      </c>
    </row>
    <row r="1076" spans="1:8" s="64" customFormat="1">
      <c r="A1076">
        <v>17245009</v>
      </c>
      <c r="B1076" t="s">
        <v>787</v>
      </c>
      <c r="C1076" t="s">
        <v>848</v>
      </c>
      <c r="D1076" t="s">
        <v>926</v>
      </c>
      <c r="E1076" s="118" t="s">
        <v>1424</v>
      </c>
      <c r="F1076" s="119">
        <v>0.30034722222222221</v>
      </c>
      <c r="G1076" t="s">
        <v>1421</v>
      </c>
      <c r="H1076" t="s">
        <v>1336</v>
      </c>
    </row>
    <row r="1077" spans="1:8" s="64" customFormat="1">
      <c r="A1077">
        <v>17245009</v>
      </c>
      <c r="B1077" t="s">
        <v>787</v>
      </c>
      <c r="C1077" t="s">
        <v>848</v>
      </c>
      <c r="D1077" t="s">
        <v>926</v>
      </c>
      <c r="E1077" s="118" t="s">
        <v>1425</v>
      </c>
      <c r="F1077" s="119">
        <v>0.73560185185185178</v>
      </c>
      <c r="G1077" t="s">
        <v>1422</v>
      </c>
      <c r="H1077" t="s">
        <v>1337</v>
      </c>
    </row>
    <row r="1078" spans="1:8" s="64" customFormat="1">
      <c r="A1078">
        <v>17245009</v>
      </c>
      <c r="B1078" t="s">
        <v>787</v>
      </c>
      <c r="C1078" t="s">
        <v>848</v>
      </c>
      <c r="D1078" t="s">
        <v>926</v>
      </c>
      <c r="E1078" s="118" t="s">
        <v>1425</v>
      </c>
      <c r="F1078" s="119">
        <v>0.29866898148148147</v>
      </c>
      <c r="G1078" t="s">
        <v>1421</v>
      </c>
      <c r="H1078" t="s">
        <v>1336</v>
      </c>
    </row>
    <row r="1079" spans="1:8" s="64" customFormat="1">
      <c r="A1079">
        <v>17245009</v>
      </c>
      <c r="B1079" t="s">
        <v>787</v>
      </c>
      <c r="C1079" t="s">
        <v>848</v>
      </c>
      <c r="D1079" t="s">
        <v>926</v>
      </c>
      <c r="E1079" s="118" t="s">
        <v>1426</v>
      </c>
      <c r="F1079" s="119">
        <v>0.73589120370370376</v>
      </c>
      <c r="G1079" t="s">
        <v>1422</v>
      </c>
      <c r="H1079" t="s">
        <v>1337</v>
      </c>
    </row>
    <row r="1080" spans="1:8" s="64" customFormat="1">
      <c r="A1080">
        <v>17245009</v>
      </c>
      <c r="B1080" t="s">
        <v>787</v>
      </c>
      <c r="C1080" t="s">
        <v>848</v>
      </c>
      <c r="D1080" t="s">
        <v>926</v>
      </c>
      <c r="E1080" s="118" t="s">
        <v>1426</v>
      </c>
      <c r="F1080" s="119">
        <v>0.29704861111111108</v>
      </c>
      <c r="G1080" t="s">
        <v>1421</v>
      </c>
      <c r="H1080" t="s">
        <v>1336</v>
      </c>
    </row>
    <row r="1081" spans="1:8" s="64" customFormat="1">
      <c r="A1081">
        <v>17542884</v>
      </c>
      <c r="B1081" t="s">
        <v>239</v>
      </c>
      <c r="C1081" t="s">
        <v>237</v>
      </c>
      <c r="D1081" t="s">
        <v>238</v>
      </c>
      <c r="E1081" s="118" t="s">
        <v>1420</v>
      </c>
      <c r="F1081" s="119">
        <v>0.33907407407407408</v>
      </c>
      <c r="G1081" t="s">
        <v>1422</v>
      </c>
      <c r="H1081" t="s">
        <v>1337</v>
      </c>
    </row>
    <row r="1082" spans="1:8" s="64" customFormat="1">
      <c r="A1082">
        <v>17542884</v>
      </c>
      <c r="B1082" t="s">
        <v>239</v>
      </c>
      <c r="C1082" t="s">
        <v>237</v>
      </c>
      <c r="D1082" t="s">
        <v>238</v>
      </c>
      <c r="E1082" s="118" t="s">
        <v>1420</v>
      </c>
      <c r="F1082" s="119">
        <v>1.0601851851851854E-2</v>
      </c>
      <c r="G1082" t="s">
        <v>1421</v>
      </c>
      <c r="H1082" t="s">
        <v>1336</v>
      </c>
    </row>
    <row r="1083" spans="1:8" s="64" customFormat="1">
      <c r="A1083">
        <v>17542884</v>
      </c>
      <c r="B1083" t="s">
        <v>239</v>
      </c>
      <c r="C1083" t="s">
        <v>237</v>
      </c>
      <c r="D1083" t="s">
        <v>238</v>
      </c>
      <c r="E1083" s="118" t="s">
        <v>1420</v>
      </c>
      <c r="F1083" s="119">
        <v>0.92001157407407408</v>
      </c>
      <c r="G1083" t="s">
        <v>1421</v>
      </c>
      <c r="H1083" t="s">
        <v>1336</v>
      </c>
    </row>
    <row r="1084" spans="1:8" s="64" customFormat="1">
      <c r="A1084">
        <v>17542884</v>
      </c>
      <c r="B1084" t="s">
        <v>239</v>
      </c>
      <c r="C1084" t="s">
        <v>237</v>
      </c>
      <c r="D1084" t="s">
        <v>238</v>
      </c>
      <c r="E1084" s="118" t="s">
        <v>1423</v>
      </c>
      <c r="F1084" s="119">
        <v>0.3263078703703704</v>
      </c>
      <c r="G1084" t="s">
        <v>1422</v>
      </c>
      <c r="H1084" t="s">
        <v>1337</v>
      </c>
    </row>
    <row r="1085" spans="1:8" s="64" customFormat="1">
      <c r="A1085">
        <v>17542884</v>
      </c>
      <c r="B1085" t="s">
        <v>239</v>
      </c>
      <c r="C1085" t="s">
        <v>237</v>
      </c>
      <c r="D1085" t="s">
        <v>238</v>
      </c>
      <c r="E1085" s="118" t="s">
        <v>1423</v>
      </c>
      <c r="F1085" s="119">
        <v>0.91952546296296289</v>
      </c>
      <c r="G1085" t="s">
        <v>1421</v>
      </c>
      <c r="H1085" t="s">
        <v>1336</v>
      </c>
    </row>
    <row r="1086" spans="1:8" s="64" customFormat="1">
      <c r="A1086">
        <v>17542884</v>
      </c>
      <c r="B1086" t="s">
        <v>239</v>
      </c>
      <c r="C1086" t="s">
        <v>237</v>
      </c>
      <c r="D1086" t="s">
        <v>238</v>
      </c>
      <c r="E1086" s="118" t="s">
        <v>1424</v>
      </c>
      <c r="F1086" s="119">
        <v>0.32657407407407407</v>
      </c>
      <c r="G1086" t="s">
        <v>1422</v>
      </c>
      <c r="H1086" t="s">
        <v>1337</v>
      </c>
    </row>
    <row r="1087" spans="1:8" s="64" customFormat="1">
      <c r="A1087">
        <v>17542884</v>
      </c>
      <c r="B1087" t="s">
        <v>239</v>
      </c>
      <c r="C1087" t="s">
        <v>237</v>
      </c>
      <c r="D1087" t="s">
        <v>238</v>
      </c>
      <c r="E1087" s="118" t="s">
        <v>1424</v>
      </c>
      <c r="F1087" s="119">
        <v>0.91900462962962959</v>
      </c>
      <c r="G1087" t="s">
        <v>1421</v>
      </c>
      <c r="H1087" t="s">
        <v>1336</v>
      </c>
    </row>
    <row r="1088" spans="1:8" s="64" customFormat="1">
      <c r="A1088">
        <v>17542884</v>
      </c>
      <c r="B1088" t="s">
        <v>239</v>
      </c>
      <c r="C1088" t="s">
        <v>237</v>
      </c>
      <c r="D1088" t="s">
        <v>238</v>
      </c>
      <c r="E1088" s="118" t="s">
        <v>1425</v>
      </c>
      <c r="F1088" s="119">
        <v>0.32709490740740738</v>
      </c>
      <c r="G1088" t="s">
        <v>1422</v>
      </c>
      <c r="H1088" t="s">
        <v>1337</v>
      </c>
    </row>
    <row r="1089" spans="1:8" s="64" customFormat="1">
      <c r="A1089">
        <v>17542884</v>
      </c>
      <c r="B1089" t="s">
        <v>239</v>
      </c>
      <c r="C1089" t="s">
        <v>237</v>
      </c>
      <c r="D1089" t="s">
        <v>238</v>
      </c>
      <c r="E1089" s="118" t="s">
        <v>1425</v>
      </c>
      <c r="F1089" s="119">
        <v>0.92143518518518519</v>
      </c>
      <c r="G1089" t="s">
        <v>1421</v>
      </c>
      <c r="H1089" t="s">
        <v>1336</v>
      </c>
    </row>
    <row r="1090" spans="1:8" s="64" customFormat="1">
      <c r="A1090">
        <v>17542884</v>
      </c>
      <c r="B1090" t="s">
        <v>239</v>
      </c>
      <c r="C1090" t="s">
        <v>237</v>
      </c>
      <c r="D1090" t="s">
        <v>238</v>
      </c>
      <c r="E1090" s="118" t="s">
        <v>1426</v>
      </c>
      <c r="F1090" s="119">
        <v>0.32796296296296296</v>
      </c>
      <c r="G1090" t="s">
        <v>1422</v>
      </c>
      <c r="H1090" t="s">
        <v>1337</v>
      </c>
    </row>
    <row r="1091" spans="1:8" s="64" customFormat="1">
      <c r="A1091">
        <v>17542884</v>
      </c>
      <c r="B1091" t="s">
        <v>239</v>
      </c>
      <c r="C1091" t="s">
        <v>237</v>
      </c>
      <c r="D1091" t="s">
        <v>238</v>
      </c>
      <c r="E1091" s="118" t="s">
        <v>1426</v>
      </c>
      <c r="F1091" s="119">
        <v>0.92655092592592592</v>
      </c>
      <c r="G1091" t="s">
        <v>1421</v>
      </c>
      <c r="H1091" t="s">
        <v>1336</v>
      </c>
    </row>
    <row r="1092" spans="1:8" s="64" customFormat="1">
      <c r="A1092">
        <v>17542884</v>
      </c>
      <c r="B1092" t="s">
        <v>239</v>
      </c>
      <c r="C1092" t="s">
        <v>237</v>
      </c>
      <c r="D1092" t="s">
        <v>238</v>
      </c>
      <c r="E1092" s="118" t="s">
        <v>1427</v>
      </c>
      <c r="F1092" s="119">
        <v>0.32710648148148147</v>
      </c>
      <c r="G1092" t="s">
        <v>1422</v>
      </c>
      <c r="H1092" t="s">
        <v>1337</v>
      </c>
    </row>
    <row r="1093" spans="1:8" s="64" customFormat="1">
      <c r="A1093">
        <v>17609782</v>
      </c>
      <c r="B1093" t="s">
        <v>77</v>
      </c>
      <c r="C1093" t="s">
        <v>68</v>
      </c>
      <c r="D1093" t="s">
        <v>76</v>
      </c>
      <c r="E1093" s="118" t="s">
        <v>1423</v>
      </c>
      <c r="F1093" s="119">
        <v>0.72886574074074073</v>
      </c>
      <c r="G1093" t="s">
        <v>1422</v>
      </c>
      <c r="H1093" t="s">
        <v>1337</v>
      </c>
    </row>
    <row r="1094" spans="1:8" s="64" customFormat="1">
      <c r="A1094">
        <v>17609782</v>
      </c>
      <c r="B1094" t="s">
        <v>77</v>
      </c>
      <c r="C1094" t="s">
        <v>68</v>
      </c>
      <c r="D1094" t="s">
        <v>76</v>
      </c>
      <c r="E1094" s="118" t="s">
        <v>1423</v>
      </c>
      <c r="F1094" s="119">
        <v>0.32047453703703704</v>
      </c>
      <c r="G1094" t="s">
        <v>1421</v>
      </c>
      <c r="H1094" t="s">
        <v>1336</v>
      </c>
    </row>
    <row r="1095" spans="1:8" s="64" customFormat="1">
      <c r="A1095">
        <v>17609782</v>
      </c>
      <c r="B1095" t="s">
        <v>77</v>
      </c>
      <c r="C1095" t="s">
        <v>68</v>
      </c>
      <c r="D1095" t="s">
        <v>76</v>
      </c>
      <c r="E1095" s="118" t="s">
        <v>1424</v>
      </c>
      <c r="F1095" s="119">
        <v>0.73424768518518524</v>
      </c>
      <c r="G1095" t="s">
        <v>1422</v>
      </c>
      <c r="H1095" t="s">
        <v>1337</v>
      </c>
    </row>
    <row r="1096" spans="1:8" s="64" customFormat="1">
      <c r="A1096">
        <v>17609782</v>
      </c>
      <c r="B1096" t="s">
        <v>77</v>
      </c>
      <c r="C1096" t="s">
        <v>68</v>
      </c>
      <c r="D1096" t="s">
        <v>76</v>
      </c>
      <c r="E1096" s="118" t="s">
        <v>1424</v>
      </c>
      <c r="F1096" s="119">
        <v>0.3221296296296296</v>
      </c>
      <c r="G1096" t="s">
        <v>1421</v>
      </c>
      <c r="H1096" t="s">
        <v>1336</v>
      </c>
    </row>
    <row r="1097" spans="1:8" s="64" customFormat="1">
      <c r="A1097">
        <v>17609782</v>
      </c>
      <c r="B1097" t="s">
        <v>77</v>
      </c>
      <c r="C1097" t="s">
        <v>68</v>
      </c>
      <c r="D1097" t="s">
        <v>76</v>
      </c>
      <c r="E1097" s="118" t="s">
        <v>1425</v>
      </c>
      <c r="F1097" s="119">
        <v>0.80555555555555547</v>
      </c>
      <c r="G1097" t="s">
        <v>1422</v>
      </c>
      <c r="H1097" t="s">
        <v>1337</v>
      </c>
    </row>
    <row r="1098" spans="1:8" s="64" customFormat="1">
      <c r="A1098">
        <v>17609782</v>
      </c>
      <c r="B1098" t="s">
        <v>77</v>
      </c>
      <c r="C1098" t="s">
        <v>68</v>
      </c>
      <c r="D1098" t="s">
        <v>76</v>
      </c>
      <c r="E1098" s="118" t="s">
        <v>1425</v>
      </c>
      <c r="F1098" s="119">
        <v>0.32364583333333335</v>
      </c>
      <c r="G1098" t="s">
        <v>1421</v>
      </c>
      <c r="H1098" t="s">
        <v>1336</v>
      </c>
    </row>
    <row r="1099" spans="1:8" s="64" customFormat="1">
      <c r="A1099">
        <v>17609782</v>
      </c>
      <c r="B1099" t="s">
        <v>77</v>
      </c>
      <c r="C1099" t="s">
        <v>68</v>
      </c>
      <c r="D1099" t="s">
        <v>76</v>
      </c>
      <c r="E1099" s="118" t="s">
        <v>1426</v>
      </c>
      <c r="F1099" s="119">
        <v>0.73304398148148142</v>
      </c>
      <c r="G1099" t="s">
        <v>1422</v>
      </c>
      <c r="H1099" t="s">
        <v>1337</v>
      </c>
    </row>
    <row r="1100" spans="1:8" s="64" customFormat="1">
      <c r="A1100">
        <v>17609782</v>
      </c>
      <c r="B1100" t="s">
        <v>77</v>
      </c>
      <c r="C1100" t="s">
        <v>68</v>
      </c>
      <c r="D1100" t="s">
        <v>76</v>
      </c>
      <c r="E1100" s="118" t="s">
        <v>1426</v>
      </c>
      <c r="F1100" s="119">
        <v>0.31962962962962965</v>
      </c>
      <c r="G1100" t="s">
        <v>1421</v>
      </c>
      <c r="H1100" t="s">
        <v>1336</v>
      </c>
    </row>
    <row r="1101" spans="1:8" s="64" customFormat="1">
      <c r="A1101">
        <v>17929108</v>
      </c>
      <c r="B1101" t="s">
        <v>334</v>
      </c>
      <c r="C1101" t="s">
        <v>332</v>
      </c>
      <c r="D1101" t="s">
        <v>333</v>
      </c>
      <c r="E1101" s="118" t="s">
        <v>1420</v>
      </c>
      <c r="F1101" s="119">
        <v>0.92137731481481477</v>
      </c>
      <c r="G1101" t="s">
        <v>1421</v>
      </c>
      <c r="H1101" t="s">
        <v>1336</v>
      </c>
    </row>
    <row r="1102" spans="1:8" s="64" customFormat="1">
      <c r="A1102">
        <v>17929108</v>
      </c>
      <c r="B1102" t="s">
        <v>334</v>
      </c>
      <c r="C1102" t="s">
        <v>332</v>
      </c>
      <c r="D1102" t="s">
        <v>333</v>
      </c>
      <c r="E1102" s="118" t="s">
        <v>1423</v>
      </c>
      <c r="F1102" s="119">
        <v>0.32702546296296298</v>
      </c>
      <c r="G1102" t="s">
        <v>1422</v>
      </c>
      <c r="H1102" t="s">
        <v>1337</v>
      </c>
    </row>
    <row r="1103" spans="1:8" s="64" customFormat="1">
      <c r="A1103">
        <v>17929108</v>
      </c>
      <c r="B1103" t="s">
        <v>334</v>
      </c>
      <c r="C1103" t="s">
        <v>332</v>
      </c>
      <c r="D1103" t="s">
        <v>333</v>
      </c>
      <c r="E1103" s="118" t="s">
        <v>1423</v>
      </c>
      <c r="F1103" s="119">
        <v>0.91957175925925927</v>
      </c>
      <c r="G1103" t="s">
        <v>1421</v>
      </c>
      <c r="H1103" t="s">
        <v>1336</v>
      </c>
    </row>
    <row r="1104" spans="1:8" s="64" customFormat="1">
      <c r="A1104">
        <v>17929108</v>
      </c>
      <c r="B1104" t="s">
        <v>334</v>
      </c>
      <c r="C1104" t="s">
        <v>332</v>
      </c>
      <c r="D1104" t="s">
        <v>333</v>
      </c>
      <c r="E1104" s="118" t="s">
        <v>1424</v>
      </c>
      <c r="F1104" s="119">
        <v>0.32750000000000001</v>
      </c>
      <c r="G1104" t="s">
        <v>1422</v>
      </c>
      <c r="H1104" t="s">
        <v>1337</v>
      </c>
    </row>
    <row r="1105" spans="1:8" s="64" customFormat="1">
      <c r="A1105">
        <v>17929108</v>
      </c>
      <c r="B1105" t="s">
        <v>334</v>
      </c>
      <c r="C1105" t="s">
        <v>332</v>
      </c>
      <c r="D1105" t="s">
        <v>333</v>
      </c>
      <c r="E1105" s="118" t="s">
        <v>1424</v>
      </c>
      <c r="F1105" s="119">
        <v>0.92143518518518519</v>
      </c>
      <c r="G1105" t="s">
        <v>1421</v>
      </c>
      <c r="H1105" t="s">
        <v>1336</v>
      </c>
    </row>
    <row r="1106" spans="1:8" s="64" customFormat="1">
      <c r="A1106">
        <v>17929108</v>
      </c>
      <c r="B1106" t="s">
        <v>334</v>
      </c>
      <c r="C1106" t="s">
        <v>332</v>
      </c>
      <c r="D1106" t="s">
        <v>333</v>
      </c>
      <c r="E1106" s="118" t="s">
        <v>1425</v>
      </c>
      <c r="F1106" s="119">
        <v>0.33026620370370369</v>
      </c>
      <c r="G1106" t="s">
        <v>1422</v>
      </c>
      <c r="H1106" t="s">
        <v>1337</v>
      </c>
    </row>
    <row r="1107" spans="1:8" s="64" customFormat="1">
      <c r="A1107">
        <v>17929108</v>
      </c>
      <c r="B1107" t="s">
        <v>334</v>
      </c>
      <c r="C1107" t="s">
        <v>332</v>
      </c>
      <c r="D1107" t="s">
        <v>333</v>
      </c>
      <c r="E1107" s="118" t="s">
        <v>1425</v>
      </c>
      <c r="F1107" s="119">
        <v>0.92087962962962966</v>
      </c>
      <c r="G1107" t="s">
        <v>1421</v>
      </c>
      <c r="H1107" t="s">
        <v>1336</v>
      </c>
    </row>
    <row r="1108" spans="1:8" s="64" customFormat="1">
      <c r="A1108">
        <v>17929108</v>
      </c>
      <c r="B1108" t="s">
        <v>334</v>
      </c>
      <c r="C1108" t="s">
        <v>332</v>
      </c>
      <c r="D1108" t="s">
        <v>333</v>
      </c>
      <c r="E1108" s="118" t="s">
        <v>1426</v>
      </c>
      <c r="F1108" s="119">
        <v>0.3283449074074074</v>
      </c>
      <c r="G1108" t="s">
        <v>1422</v>
      </c>
      <c r="H1108" t="s">
        <v>1337</v>
      </c>
    </row>
    <row r="1109" spans="1:8" s="64" customFormat="1">
      <c r="A1109">
        <v>20342651</v>
      </c>
      <c r="B1109" t="s">
        <v>792</v>
      </c>
      <c r="C1109" t="s">
        <v>785</v>
      </c>
      <c r="D1109" t="s">
        <v>791</v>
      </c>
      <c r="E1109" s="118" t="s">
        <v>1420</v>
      </c>
      <c r="F1109" s="119">
        <v>0.93942129629629623</v>
      </c>
      <c r="G1109" t="s">
        <v>1422</v>
      </c>
      <c r="H1109" t="s">
        <v>1337</v>
      </c>
    </row>
    <row r="1110" spans="1:8" s="64" customFormat="1">
      <c r="A1110">
        <v>20342651</v>
      </c>
      <c r="B1110" t="s">
        <v>792</v>
      </c>
      <c r="C1110" t="s">
        <v>785</v>
      </c>
      <c r="D1110" t="s">
        <v>791</v>
      </c>
      <c r="E1110" s="118" t="s">
        <v>1420</v>
      </c>
      <c r="F1110" s="119">
        <v>0.62251157407407409</v>
      </c>
      <c r="G1110" t="s">
        <v>1421</v>
      </c>
      <c r="H1110" t="s">
        <v>1336</v>
      </c>
    </row>
    <row r="1111" spans="1:8" s="64" customFormat="1">
      <c r="A1111">
        <v>20342651</v>
      </c>
      <c r="B1111" t="s">
        <v>792</v>
      </c>
      <c r="C1111" t="s">
        <v>785</v>
      </c>
      <c r="D1111" t="s">
        <v>791</v>
      </c>
      <c r="E1111" s="118" t="s">
        <v>1423</v>
      </c>
      <c r="F1111" s="119">
        <v>0.93902777777777768</v>
      </c>
      <c r="G1111" t="s">
        <v>1422</v>
      </c>
      <c r="H1111" t="s">
        <v>1337</v>
      </c>
    </row>
    <row r="1112" spans="1:8" s="64" customFormat="1">
      <c r="A1112">
        <v>20342651</v>
      </c>
      <c r="B1112" t="s">
        <v>792</v>
      </c>
      <c r="C1112" t="s">
        <v>785</v>
      </c>
      <c r="D1112" t="s">
        <v>791</v>
      </c>
      <c r="E1112" s="118" t="s">
        <v>1423</v>
      </c>
      <c r="F1112" s="119">
        <v>0.60795138888888889</v>
      </c>
      <c r="G1112" t="s">
        <v>1421</v>
      </c>
      <c r="H1112" t="s">
        <v>1336</v>
      </c>
    </row>
    <row r="1113" spans="1:8" s="64" customFormat="1">
      <c r="A1113">
        <v>20342651</v>
      </c>
      <c r="B1113" t="s">
        <v>792</v>
      </c>
      <c r="C1113" t="s">
        <v>785</v>
      </c>
      <c r="D1113" t="s">
        <v>791</v>
      </c>
      <c r="E1113" s="118" t="s">
        <v>1424</v>
      </c>
      <c r="F1113" s="119">
        <v>0.93774305555555559</v>
      </c>
      <c r="G1113" t="s">
        <v>1422</v>
      </c>
      <c r="H1113" t="s">
        <v>1337</v>
      </c>
    </row>
    <row r="1114" spans="1:8" s="64" customFormat="1">
      <c r="A1114">
        <v>20342651</v>
      </c>
      <c r="B1114" t="s">
        <v>792</v>
      </c>
      <c r="C1114" t="s">
        <v>785</v>
      </c>
      <c r="D1114" t="s">
        <v>791</v>
      </c>
      <c r="E1114" s="118" t="s">
        <v>1424</v>
      </c>
      <c r="F1114" s="119">
        <v>0.6074074074074074</v>
      </c>
      <c r="G1114" t="s">
        <v>1421</v>
      </c>
      <c r="H1114" t="s">
        <v>1336</v>
      </c>
    </row>
    <row r="1115" spans="1:8" s="64" customFormat="1">
      <c r="A1115">
        <v>20342651</v>
      </c>
      <c r="B1115" t="s">
        <v>792</v>
      </c>
      <c r="C1115" t="s">
        <v>785</v>
      </c>
      <c r="D1115" t="s">
        <v>791</v>
      </c>
      <c r="E1115" s="118" t="s">
        <v>1425</v>
      </c>
      <c r="F1115" s="119">
        <v>0.93885416666666666</v>
      </c>
      <c r="G1115" t="s">
        <v>1422</v>
      </c>
      <c r="H1115" t="s">
        <v>1337</v>
      </c>
    </row>
    <row r="1116" spans="1:8" s="64" customFormat="1">
      <c r="A1116">
        <v>20342651</v>
      </c>
      <c r="B1116" t="s">
        <v>792</v>
      </c>
      <c r="C1116" t="s">
        <v>785</v>
      </c>
      <c r="D1116" t="s">
        <v>791</v>
      </c>
      <c r="E1116" s="118" t="s">
        <v>1425</v>
      </c>
      <c r="F1116" s="119">
        <v>0.61946759259259265</v>
      </c>
      <c r="G1116" t="s">
        <v>1421</v>
      </c>
      <c r="H1116" t="s">
        <v>1336</v>
      </c>
    </row>
    <row r="1117" spans="1:8" s="64" customFormat="1">
      <c r="A1117">
        <v>20342651</v>
      </c>
      <c r="B1117" t="s">
        <v>792</v>
      </c>
      <c r="C1117" t="s">
        <v>785</v>
      </c>
      <c r="D1117" t="s">
        <v>791</v>
      </c>
      <c r="E1117" s="118" t="s">
        <v>1426</v>
      </c>
      <c r="F1117" s="119">
        <v>0.937962962962963</v>
      </c>
      <c r="G1117" t="s">
        <v>1422</v>
      </c>
      <c r="H1117" t="s">
        <v>1337</v>
      </c>
    </row>
    <row r="1118" spans="1:8" s="64" customFormat="1">
      <c r="A1118">
        <v>20342651</v>
      </c>
      <c r="B1118" t="s">
        <v>792</v>
      </c>
      <c r="C1118" t="s">
        <v>785</v>
      </c>
      <c r="D1118" t="s">
        <v>791</v>
      </c>
      <c r="E1118" s="118" t="s">
        <v>1426</v>
      </c>
      <c r="F1118" s="119">
        <v>0.6083101851851852</v>
      </c>
      <c r="G1118" t="s">
        <v>1421</v>
      </c>
      <c r="H1118" t="s">
        <v>1336</v>
      </c>
    </row>
    <row r="1119" spans="1:8" s="64" customFormat="1">
      <c r="A1119">
        <v>20342651</v>
      </c>
      <c r="B1119" t="s">
        <v>792</v>
      </c>
      <c r="C1119" t="s">
        <v>785</v>
      </c>
      <c r="D1119" t="s">
        <v>791</v>
      </c>
      <c r="E1119" s="118" t="s">
        <v>1427</v>
      </c>
      <c r="F1119" s="119">
        <v>0.93831018518518527</v>
      </c>
      <c r="G1119" t="s">
        <v>1422</v>
      </c>
      <c r="H1119" t="s">
        <v>1337</v>
      </c>
    </row>
    <row r="1120" spans="1:8" s="64" customFormat="1">
      <c r="A1120">
        <v>20342651</v>
      </c>
      <c r="B1120" t="s">
        <v>792</v>
      </c>
      <c r="C1120" t="s">
        <v>785</v>
      </c>
      <c r="D1120" t="s">
        <v>791</v>
      </c>
      <c r="E1120" s="118" t="s">
        <v>1427</v>
      </c>
      <c r="F1120" s="119">
        <v>0.61995370370370373</v>
      </c>
      <c r="G1120" t="s">
        <v>1421</v>
      </c>
      <c r="H1120" t="s">
        <v>1336</v>
      </c>
    </row>
    <row r="1121" spans="1:8" s="64" customFormat="1">
      <c r="A1121">
        <v>22637242</v>
      </c>
      <c r="B1121" t="s">
        <v>70</v>
      </c>
      <c r="C1121" t="s">
        <v>68</v>
      </c>
      <c r="D1121" t="s">
        <v>1432</v>
      </c>
      <c r="E1121" s="118" t="s">
        <v>1420</v>
      </c>
      <c r="F1121" s="119">
        <v>0.77098379629629632</v>
      </c>
      <c r="G1121" t="s">
        <v>1422</v>
      </c>
      <c r="H1121" t="s">
        <v>1337</v>
      </c>
    </row>
    <row r="1122" spans="1:8" s="64" customFormat="1">
      <c r="A1122">
        <v>22637242</v>
      </c>
      <c r="B1122" t="s">
        <v>70</v>
      </c>
      <c r="C1122" t="s">
        <v>68</v>
      </c>
      <c r="D1122" t="s">
        <v>1432</v>
      </c>
      <c r="E1122" s="118" t="s">
        <v>1420</v>
      </c>
      <c r="F1122" s="119">
        <v>0.34650462962962963</v>
      </c>
      <c r="G1122" t="s">
        <v>1421</v>
      </c>
      <c r="H1122" t="s">
        <v>1336</v>
      </c>
    </row>
    <row r="1123" spans="1:8" s="64" customFormat="1">
      <c r="A1123">
        <v>22637242</v>
      </c>
      <c r="B1123" t="s">
        <v>70</v>
      </c>
      <c r="C1123" t="s">
        <v>68</v>
      </c>
      <c r="D1123" t="s">
        <v>1432</v>
      </c>
      <c r="E1123" s="118" t="s">
        <v>1423</v>
      </c>
      <c r="F1123" s="119">
        <v>0.77341435185185192</v>
      </c>
      <c r="G1123" t="s">
        <v>1422</v>
      </c>
      <c r="H1123" t="s">
        <v>1337</v>
      </c>
    </row>
    <row r="1124" spans="1:8" s="64" customFormat="1">
      <c r="A1124">
        <v>22637242</v>
      </c>
      <c r="B1124" t="s">
        <v>70</v>
      </c>
      <c r="C1124" t="s">
        <v>68</v>
      </c>
      <c r="D1124" t="s">
        <v>1432</v>
      </c>
      <c r="E1124" s="118" t="s">
        <v>1423</v>
      </c>
      <c r="F1124" s="119">
        <v>0.3404282407407408</v>
      </c>
      <c r="G1124" t="s">
        <v>1421</v>
      </c>
      <c r="H1124" t="s">
        <v>1336</v>
      </c>
    </row>
    <row r="1125" spans="1:8" s="64" customFormat="1">
      <c r="A1125">
        <v>22637242</v>
      </c>
      <c r="B1125" t="s">
        <v>70</v>
      </c>
      <c r="C1125" t="s">
        <v>68</v>
      </c>
      <c r="D1125" t="s">
        <v>1432</v>
      </c>
      <c r="E1125" s="118" t="s">
        <v>1424</v>
      </c>
      <c r="F1125" s="119">
        <v>0.77650462962962974</v>
      </c>
      <c r="G1125" t="s">
        <v>1422</v>
      </c>
      <c r="H1125" t="s">
        <v>1337</v>
      </c>
    </row>
    <row r="1126" spans="1:8" s="64" customFormat="1">
      <c r="A1126">
        <v>22637242</v>
      </c>
      <c r="B1126" t="s">
        <v>70</v>
      </c>
      <c r="C1126" t="s">
        <v>68</v>
      </c>
      <c r="D1126" t="s">
        <v>1432</v>
      </c>
      <c r="E1126" s="118" t="s">
        <v>1424</v>
      </c>
      <c r="F1126" s="119">
        <v>0.34056712962962959</v>
      </c>
      <c r="G1126" t="s">
        <v>1421</v>
      </c>
      <c r="H1126" t="s">
        <v>1336</v>
      </c>
    </row>
    <row r="1127" spans="1:8" s="64" customFormat="1">
      <c r="A1127">
        <v>22637242</v>
      </c>
      <c r="B1127" t="s">
        <v>70</v>
      </c>
      <c r="C1127" t="s">
        <v>68</v>
      </c>
      <c r="D1127" t="s">
        <v>1432</v>
      </c>
      <c r="E1127" s="118" t="s">
        <v>1425</v>
      </c>
      <c r="F1127" s="119">
        <v>0.77280092592592586</v>
      </c>
      <c r="G1127" t="s">
        <v>1422</v>
      </c>
      <c r="H1127" t="s">
        <v>1337</v>
      </c>
    </row>
    <row r="1128" spans="1:8" s="64" customFormat="1">
      <c r="A1128">
        <v>22637242</v>
      </c>
      <c r="B1128" t="s">
        <v>70</v>
      </c>
      <c r="C1128" t="s">
        <v>68</v>
      </c>
      <c r="D1128" t="s">
        <v>1432</v>
      </c>
      <c r="E1128" s="118" t="s">
        <v>1425</v>
      </c>
      <c r="F1128" s="119">
        <v>0.34</v>
      </c>
      <c r="G1128" t="s">
        <v>1421</v>
      </c>
      <c r="H1128" t="s">
        <v>1336</v>
      </c>
    </row>
    <row r="1129" spans="1:8" s="64" customFormat="1">
      <c r="A1129">
        <v>22637242</v>
      </c>
      <c r="B1129" t="s">
        <v>70</v>
      </c>
      <c r="C1129" t="s">
        <v>68</v>
      </c>
      <c r="D1129" t="s">
        <v>1432</v>
      </c>
      <c r="E1129" s="118" t="s">
        <v>1426</v>
      </c>
      <c r="F1129" s="119">
        <v>0.71967592592592589</v>
      </c>
      <c r="G1129" t="s">
        <v>1422</v>
      </c>
      <c r="H1129" t="s">
        <v>1337</v>
      </c>
    </row>
    <row r="1130" spans="1:8" s="64" customFormat="1">
      <c r="A1130">
        <v>22637242</v>
      </c>
      <c r="B1130" t="s">
        <v>70</v>
      </c>
      <c r="C1130" t="s">
        <v>68</v>
      </c>
      <c r="D1130" t="s">
        <v>1432</v>
      </c>
      <c r="E1130" s="118" t="s">
        <v>1426</v>
      </c>
      <c r="F1130" s="119">
        <v>0.34229166666666666</v>
      </c>
      <c r="G1130" t="s">
        <v>1421</v>
      </c>
      <c r="H1130" t="s">
        <v>1336</v>
      </c>
    </row>
    <row r="1131" spans="1:8" s="64" customFormat="1">
      <c r="A1131" s="41"/>
      <c r="B1131" s="41"/>
      <c r="C1131" s="41"/>
      <c r="D1131" s="41"/>
      <c r="E1131" s="41"/>
      <c r="F1131" s="83"/>
      <c r="G1131" s="41"/>
      <c r="H1131" s="41"/>
    </row>
    <row r="1132" spans="1:8" s="64" customFormat="1">
      <c r="A1132" s="41"/>
      <c r="B1132" s="41"/>
      <c r="C1132" s="41"/>
      <c r="D1132" s="41"/>
      <c r="E1132" s="41"/>
      <c r="F1132" s="83"/>
      <c r="G1132" s="41"/>
      <c r="H1132" s="41"/>
    </row>
    <row r="1133" spans="1:8" s="64" customFormat="1">
      <c r="A1133" s="41"/>
      <c r="B1133" s="41"/>
      <c r="C1133" s="41"/>
      <c r="D1133" s="41"/>
      <c r="E1133" s="41"/>
      <c r="F1133" s="83"/>
      <c r="G1133" s="41"/>
      <c r="H1133" s="41"/>
    </row>
    <row r="1134" spans="1:8" s="64" customFormat="1">
      <c r="A1134" s="41"/>
      <c r="B1134" s="41"/>
      <c r="C1134" s="41"/>
      <c r="D1134" s="41"/>
      <c r="E1134" s="41"/>
      <c r="F1134" s="83"/>
      <c r="G1134" s="41"/>
      <c r="H1134" s="41"/>
    </row>
    <row r="1135" spans="1:8" s="64" customFormat="1">
      <c r="A1135" s="41"/>
      <c r="B1135" s="41"/>
      <c r="C1135" s="41"/>
      <c r="D1135" s="41"/>
      <c r="E1135" s="41"/>
      <c r="F1135" s="83"/>
      <c r="G1135" s="41"/>
      <c r="H1135" s="41"/>
    </row>
    <row r="1136" spans="1:8" s="64" customFormat="1">
      <c r="A1136" s="41"/>
      <c r="B1136" s="41"/>
      <c r="C1136" s="41"/>
      <c r="D1136" s="41"/>
      <c r="E1136" s="41"/>
      <c r="F1136" s="83"/>
      <c r="G1136" s="41"/>
      <c r="H1136" s="41"/>
    </row>
    <row r="1137" spans="1:8" s="64" customFormat="1">
      <c r="A1137" s="41"/>
      <c r="B1137" s="41"/>
      <c r="C1137" s="41"/>
      <c r="D1137" s="41"/>
      <c r="E1137" s="41"/>
      <c r="F1137" s="83"/>
      <c r="G1137" s="41"/>
      <c r="H1137" s="41"/>
    </row>
    <row r="1138" spans="1:8" s="64" customFormat="1">
      <c r="A1138" s="41"/>
      <c r="B1138" s="41"/>
      <c r="C1138" s="41"/>
      <c r="D1138" s="41"/>
      <c r="E1138" s="41"/>
      <c r="F1138" s="83"/>
      <c r="G1138" s="41"/>
      <c r="H1138" s="41"/>
    </row>
    <row r="1139" spans="1:8" s="64" customFormat="1">
      <c r="A1139" s="41"/>
      <c r="B1139" s="41"/>
      <c r="C1139" s="41"/>
      <c r="D1139" s="41"/>
      <c r="E1139" s="41"/>
      <c r="F1139" s="83"/>
      <c r="G1139" s="41"/>
      <c r="H1139" s="41"/>
    </row>
    <row r="1140" spans="1:8" s="64" customFormat="1">
      <c r="A1140" s="41"/>
      <c r="B1140" s="41"/>
      <c r="C1140" s="41"/>
      <c r="D1140" s="41"/>
      <c r="E1140" s="41"/>
      <c r="F1140" s="83"/>
      <c r="G1140" s="41"/>
      <c r="H1140" s="41"/>
    </row>
    <row r="1141" spans="1:8" s="64" customFormat="1">
      <c r="A1141" s="41"/>
      <c r="B1141" s="41"/>
      <c r="C1141" s="41"/>
      <c r="D1141" s="41"/>
      <c r="E1141" s="41"/>
      <c r="F1141" s="83"/>
      <c r="G1141" s="41"/>
      <c r="H1141" s="41"/>
    </row>
    <row r="1142" spans="1:8" s="64" customFormat="1">
      <c r="A1142" s="41"/>
      <c r="B1142" s="41"/>
      <c r="C1142" s="41"/>
      <c r="D1142" s="41"/>
      <c r="E1142" s="41"/>
      <c r="F1142" s="83"/>
      <c r="G1142" s="41"/>
      <c r="H1142" s="41"/>
    </row>
    <row r="1143" spans="1:8" s="64" customFormat="1">
      <c r="A1143" s="41"/>
      <c r="B1143" s="41"/>
      <c r="C1143" s="41"/>
      <c r="D1143" s="41"/>
      <c r="E1143" s="41"/>
      <c r="F1143" s="83"/>
      <c r="G1143" s="41"/>
      <c r="H1143" s="41"/>
    </row>
    <row r="1144" spans="1:8" s="64" customFormat="1">
      <c r="A1144" s="41"/>
      <c r="B1144" s="41"/>
      <c r="C1144" s="41"/>
      <c r="D1144" s="41"/>
      <c r="E1144" s="41"/>
      <c r="F1144" s="83"/>
      <c r="G1144" s="41"/>
      <c r="H1144" s="41"/>
    </row>
    <row r="1145" spans="1:8" s="64" customFormat="1">
      <c r="A1145" s="41"/>
      <c r="B1145" s="41"/>
      <c r="C1145" s="41"/>
      <c r="D1145" s="41"/>
      <c r="E1145" s="41"/>
      <c r="F1145" s="83"/>
      <c r="G1145" s="41"/>
      <c r="H1145" s="41"/>
    </row>
    <row r="1146" spans="1:8" s="64" customFormat="1">
      <c r="A1146" s="41"/>
      <c r="B1146" s="41"/>
      <c r="C1146" s="41"/>
      <c r="D1146" s="41"/>
      <c r="E1146" s="41"/>
      <c r="F1146" s="83"/>
      <c r="G1146" s="41"/>
      <c r="H1146" s="41"/>
    </row>
    <row r="1147" spans="1:8" s="64" customFormat="1">
      <c r="A1147" s="84"/>
      <c r="B1147" s="84"/>
      <c r="C1147" s="84"/>
      <c r="D1147" s="84"/>
      <c r="E1147" s="84"/>
      <c r="F1147" s="85"/>
      <c r="G1147" s="84"/>
      <c r="H1147" s="84"/>
    </row>
    <row r="1148" spans="1:8" s="64" customFormat="1">
      <c r="A1148" s="84"/>
      <c r="B1148" s="84"/>
      <c r="C1148" s="84"/>
      <c r="D1148" s="84"/>
      <c r="E1148" s="84"/>
      <c r="F1148" s="85"/>
      <c r="G1148" s="84"/>
      <c r="H1148" s="84"/>
    </row>
    <row r="1149" spans="1:8" s="64" customFormat="1">
      <c r="A1149" s="84"/>
      <c r="B1149" s="84"/>
      <c r="C1149" s="84"/>
      <c r="D1149" s="84"/>
      <c r="E1149" s="84"/>
      <c r="F1149" s="85"/>
      <c r="G1149" s="84"/>
      <c r="H1149" s="84"/>
    </row>
    <row r="1150" spans="1:8" s="64" customFormat="1">
      <c r="A1150" s="84"/>
      <c r="B1150" s="84"/>
      <c r="C1150" s="84"/>
      <c r="D1150" s="84"/>
      <c r="E1150" s="84"/>
      <c r="F1150" s="85"/>
      <c r="G1150" s="84"/>
      <c r="H1150" s="84"/>
    </row>
    <row r="1151" spans="1:8" s="64" customFormat="1">
      <c r="A1151" s="84"/>
      <c r="B1151" s="84"/>
      <c r="C1151" s="84"/>
      <c r="D1151" s="84"/>
      <c r="E1151" s="84"/>
      <c r="F1151" s="85"/>
      <c r="G1151" s="84"/>
      <c r="H1151" s="84"/>
    </row>
    <row r="1152" spans="1:8" s="64" customFormat="1">
      <c r="A1152" s="84"/>
      <c r="B1152" s="84"/>
      <c r="C1152" s="84"/>
      <c r="D1152" s="84"/>
      <c r="E1152" s="84"/>
      <c r="F1152" s="85"/>
      <c r="G1152" s="84"/>
      <c r="H1152" s="84"/>
    </row>
    <row r="1153" spans="1:8" s="64" customFormat="1">
      <c r="A1153" s="84"/>
      <c r="B1153" s="84"/>
      <c r="C1153" s="84"/>
      <c r="D1153" s="84"/>
      <c r="E1153" s="84"/>
      <c r="F1153" s="85"/>
      <c r="G1153" s="84"/>
      <c r="H1153" s="84"/>
    </row>
    <row r="1154" spans="1:8" s="64" customFormat="1">
      <c r="A1154" s="84"/>
      <c r="B1154" s="84"/>
      <c r="C1154" s="84"/>
      <c r="D1154" s="84"/>
      <c r="E1154" s="84"/>
      <c r="F1154" s="85"/>
      <c r="G1154" s="84"/>
      <c r="H1154" s="84"/>
    </row>
    <row r="1155" spans="1:8" s="64" customFormat="1">
      <c r="A1155" s="84"/>
      <c r="B1155" s="84"/>
      <c r="C1155" s="84"/>
      <c r="D1155" s="84"/>
      <c r="E1155" s="84"/>
      <c r="F1155" s="85"/>
      <c r="G1155" s="84"/>
      <c r="H1155" s="84"/>
    </row>
    <row r="1156" spans="1:8" s="64" customFormat="1">
      <c r="A1156" s="84"/>
      <c r="B1156" s="84"/>
      <c r="C1156" s="84"/>
      <c r="D1156" s="84"/>
      <c r="E1156" s="84"/>
      <c r="F1156" s="85"/>
      <c r="G1156" s="84"/>
      <c r="H1156" s="84"/>
    </row>
    <row r="1157" spans="1:8" s="64" customFormat="1">
      <c r="A1157" s="84"/>
      <c r="B1157" s="84"/>
      <c r="C1157" s="84"/>
      <c r="D1157" s="84"/>
      <c r="E1157" s="84"/>
      <c r="F1157" s="85"/>
      <c r="G1157" s="84"/>
      <c r="H1157" s="84"/>
    </row>
    <row r="1158" spans="1:8" s="64" customFormat="1">
      <c r="A1158" s="84"/>
      <c r="B1158" s="84"/>
      <c r="C1158" s="84"/>
      <c r="D1158" s="84"/>
      <c r="E1158" s="84"/>
      <c r="F1158" s="85"/>
      <c r="G1158" s="84"/>
      <c r="H1158" s="84"/>
    </row>
    <row r="1159" spans="1:8" s="64" customFormat="1">
      <c r="A1159" s="84"/>
      <c r="B1159" s="84"/>
      <c r="C1159" s="84"/>
      <c r="D1159" s="84"/>
      <c r="E1159" s="84"/>
      <c r="F1159" s="85"/>
      <c r="G1159" s="84"/>
      <c r="H1159" s="84"/>
    </row>
    <row r="1160" spans="1:8" s="64" customFormat="1">
      <c r="A1160" s="84"/>
      <c r="B1160" s="84"/>
      <c r="C1160" s="84"/>
      <c r="D1160" s="84"/>
      <c r="E1160" s="84"/>
      <c r="F1160" s="85"/>
      <c r="G1160" s="84"/>
      <c r="H1160" s="84"/>
    </row>
    <row r="1161" spans="1:8" s="64" customFormat="1">
      <c r="A1161" s="84"/>
      <c r="B1161" s="84"/>
      <c r="C1161" s="84"/>
      <c r="D1161" s="84"/>
      <c r="E1161" s="84"/>
      <c r="F1161" s="85"/>
      <c r="G1161" s="84"/>
      <c r="H1161" s="84"/>
    </row>
    <row r="1162" spans="1:8" s="64" customFormat="1">
      <c r="A1162" s="84"/>
      <c r="B1162" s="84"/>
      <c r="C1162" s="84"/>
      <c r="D1162" s="84"/>
      <c r="E1162" s="84"/>
      <c r="F1162" s="85"/>
      <c r="G1162" s="84"/>
      <c r="H1162" s="84"/>
    </row>
    <row r="1163" spans="1:8" s="64" customFormat="1">
      <c r="A1163" s="84"/>
      <c r="B1163" s="84"/>
      <c r="C1163" s="84"/>
      <c r="D1163" s="84"/>
      <c r="E1163" s="84"/>
      <c r="F1163" s="85"/>
      <c r="G1163" s="84"/>
      <c r="H1163" s="84"/>
    </row>
    <row r="1164" spans="1:8" s="64" customFormat="1">
      <c r="A1164" s="84"/>
      <c r="B1164" s="84"/>
      <c r="C1164" s="84"/>
      <c r="D1164" s="84"/>
      <c r="E1164" s="84"/>
      <c r="F1164" s="85"/>
      <c r="G1164" s="84"/>
      <c r="H1164" s="84"/>
    </row>
    <row r="1165" spans="1:8" s="64" customFormat="1">
      <c r="A1165" s="84"/>
      <c r="B1165" s="84"/>
      <c r="C1165" s="84"/>
      <c r="D1165" s="84"/>
      <c r="E1165" s="84"/>
      <c r="F1165" s="85"/>
      <c r="G1165" s="84"/>
      <c r="H1165" s="84"/>
    </row>
    <row r="1166" spans="1:8" s="64" customFormat="1">
      <c r="A1166" s="84"/>
      <c r="B1166" s="84"/>
      <c r="C1166" s="84"/>
      <c r="D1166" s="84"/>
      <c r="E1166" s="84"/>
      <c r="F1166" s="85"/>
      <c r="G1166" s="84"/>
      <c r="H1166" s="84"/>
    </row>
    <row r="1167" spans="1:8" s="64" customFormat="1">
      <c r="A1167" s="84"/>
      <c r="B1167" s="84"/>
      <c r="C1167" s="84"/>
      <c r="D1167" s="84"/>
      <c r="E1167" s="84"/>
      <c r="F1167" s="85"/>
      <c r="G1167" s="84"/>
      <c r="H1167" s="84"/>
    </row>
    <row r="1168" spans="1:8" s="64" customFormat="1">
      <c r="A1168" s="84"/>
      <c r="B1168" s="84"/>
      <c r="C1168" s="84"/>
      <c r="D1168" s="84"/>
      <c r="E1168" s="84"/>
      <c r="F1168" s="85"/>
      <c r="G1168" s="84"/>
      <c r="H1168" s="84"/>
    </row>
    <row r="1169" spans="1:8" s="64" customFormat="1">
      <c r="A1169" s="84"/>
      <c r="B1169" s="84"/>
      <c r="C1169" s="84"/>
      <c r="D1169" s="84"/>
      <c r="E1169" s="84"/>
      <c r="F1169" s="85"/>
      <c r="G1169" s="84"/>
      <c r="H1169" s="84"/>
    </row>
    <row r="1170" spans="1:8" s="64" customFormat="1">
      <c r="A1170" s="84"/>
      <c r="B1170" s="84"/>
      <c r="C1170" s="84"/>
      <c r="D1170" s="84"/>
      <c r="E1170" s="84"/>
      <c r="F1170" s="85"/>
      <c r="G1170" s="84"/>
      <c r="H1170" s="84"/>
    </row>
    <row r="1171" spans="1:8" s="64" customFormat="1">
      <c r="A1171" s="84"/>
      <c r="B1171" s="84"/>
      <c r="C1171" s="84"/>
      <c r="D1171" s="84"/>
      <c r="E1171" s="84"/>
      <c r="F1171" s="85"/>
      <c r="G1171" s="84"/>
      <c r="H1171" s="84"/>
    </row>
    <row r="1172" spans="1:8" s="64" customFormat="1">
      <c r="A1172" s="84"/>
      <c r="B1172" s="84"/>
      <c r="C1172" s="84"/>
      <c r="D1172" s="84"/>
      <c r="E1172" s="84"/>
      <c r="F1172" s="85"/>
      <c r="G1172" s="84"/>
      <c r="H1172" s="84"/>
    </row>
    <row r="1173" spans="1:8" s="64" customFormat="1">
      <c r="A1173" s="84"/>
      <c r="B1173" s="84"/>
      <c r="C1173" s="84"/>
      <c r="D1173" s="84"/>
      <c r="E1173" s="84"/>
      <c r="F1173" s="85"/>
      <c r="G1173" s="84"/>
      <c r="H1173" s="84"/>
    </row>
    <row r="1174" spans="1:8" s="64" customFormat="1">
      <c r="A1174" s="84"/>
      <c r="B1174" s="84"/>
      <c r="C1174" s="84"/>
      <c r="D1174" s="84"/>
      <c r="E1174" s="84"/>
      <c r="F1174" s="85"/>
      <c r="G1174" s="84"/>
      <c r="H1174" s="84"/>
    </row>
    <row r="1175" spans="1:8" s="64" customFormat="1">
      <c r="A1175" s="84"/>
      <c r="B1175" s="84"/>
      <c r="C1175" s="84"/>
      <c r="D1175" s="84"/>
      <c r="E1175" s="84"/>
      <c r="F1175" s="85"/>
      <c r="G1175" s="84"/>
      <c r="H1175" s="84"/>
    </row>
    <row r="1176" spans="1:8" s="64" customFormat="1">
      <c r="A1176" s="84"/>
      <c r="B1176" s="84"/>
      <c r="C1176" s="84"/>
      <c r="D1176" s="84"/>
      <c r="E1176" s="84"/>
      <c r="F1176" s="85"/>
      <c r="G1176" s="84"/>
      <c r="H1176" s="84"/>
    </row>
    <row r="1177" spans="1:8" s="64" customFormat="1">
      <c r="A1177" s="84"/>
      <c r="B1177" s="84"/>
      <c r="C1177" s="84"/>
      <c r="D1177" s="84"/>
      <c r="E1177" s="84"/>
      <c r="F1177" s="85"/>
      <c r="G1177" s="84"/>
      <c r="H1177" s="84"/>
    </row>
    <row r="1178" spans="1:8" s="64" customFormat="1">
      <c r="A1178" s="84"/>
      <c r="B1178" s="84"/>
      <c r="C1178" s="84"/>
      <c r="D1178" s="84"/>
      <c r="E1178" s="84"/>
      <c r="F1178" s="85"/>
      <c r="G1178" s="84"/>
      <c r="H1178" s="84"/>
    </row>
    <row r="1179" spans="1:8" s="64" customFormat="1">
      <c r="A1179" s="84"/>
      <c r="B1179" s="84"/>
      <c r="C1179" s="84"/>
      <c r="D1179" s="84"/>
      <c r="E1179" s="84"/>
      <c r="F1179" s="85"/>
      <c r="G1179" s="84"/>
      <c r="H1179" s="84"/>
    </row>
    <row r="1180" spans="1:8" s="64" customFormat="1">
      <c r="A1180" s="84"/>
      <c r="B1180" s="84"/>
      <c r="C1180" s="84"/>
      <c r="D1180" s="84"/>
      <c r="E1180" s="84"/>
      <c r="F1180" s="85"/>
      <c r="G1180" s="84"/>
      <c r="H1180" s="84"/>
    </row>
    <row r="1181" spans="1:8" s="64" customFormat="1">
      <c r="A1181" s="84"/>
      <c r="B1181" s="84"/>
      <c r="C1181" s="84"/>
      <c r="D1181" s="84"/>
      <c r="E1181" s="84"/>
      <c r="F1181" s="85"/>
      <c r="G1181" s="84"/>
      <c r="H1181" s="84"/>
    </row>
    <row r="1182" spans="1:8" s="64" customFormat="1">
      <c r="A1182" s="84"/>
      <c r="B1182" s="84"/>
      <c r="C1182" s="84"/>
      <c r="D1182" s="84"/>
      <c r="E1182" s="84"/>
      <c r="F1182" s="85"/>
      <c r="G1182" s="84"/>
      <c r="H1182" s="84"/>
    </row>
    <row r="1183" spans="1:8" s="64" customFormat="1">
      <c r="A1183" s="84"/>
      <c r="B1183" s="84"/>
      <c r="C1183" s="84"/>
      <c r="D1183" s="84"/>
      <c r="E1183" s="84"/>
      <c r="F1183" s="85"/>
      <c r="G1183" s="84"/>
      <c r="H1183" s="84"/>
    </row>
    <row r="1184" spans="1:8" s="64" customFormat="1">
      <c r="A1184" s="84"/>
      <c r="B1184" s="84"/>
      <c r="C1184" s="84"/>
      <c r="D1184" s="84"/>
      <c r="E1184" s="84"/>
      <c r="F1184" s="85"/>
      <c r="G1184" s="84"/>
      <c r="H1184" s="84"/>
    </row>
    <row r="1185" spans="1:8" s="64" customFormat="1">
      <c r="A1185" s="84"/>
      <c r="B1185" s="84"/>
      <c r="C1185" s="84"/>
      <c r="D1185" s="84"/>
      <c r="E1185" s="84"/>
      <c r="F1185" s="85"/>
      <c r="G1185" s="84"/>
      <c r="H1185" s="84"/>
    </row>
    <row r="1186" spans="1:8" s="64" customFormat="1">
      <c r="A1186" s="84"/>
      <c r="B1186" s="84"/>
      <c r="C1186" s="84"/>
      <c r="D1186" s="84"/>
      <c r="E1186" s="84"/>
      <c r="F1186" s="85"/>
      <c r="G1186" s="84"/>
      <c r="H1186" s="84"/>
    </row>
    <row r="1187" spans="1:8" s="64" customFormat="1">
      <c r="A1187" s="84"/>
      <c r="B1187" s="84"/>
      <c r="C1187" s="84"/>
      <c r="D1187" s="84"/>
      <c r="E1187" s="84"/>
      <c r="F1187" s="85"/>
      <c r="G1187" s="84"/>
      <c r="H1187" s="84"/>
    </row>
    <row r="1188" spans="1:8" s="64" customFormat="1">
      <c r="A1188" s="84"/>
      <c r="B1188" s="84"/>
      <c r="C1188" s="84"/>
      <c r="D1188" s="84"/>
      <c r="E1188" s="84"/>
      <c r="F1188" s="85"/>
      <c r="G1188" s="84"/>
      <c r="H1188" s="84"/>
    </row>
    <row r="1189" spans="1:8" s="64" customFormat="1">
      <c r="A1189" s="84"/>
      <c r="B1189" s="84"/>
      <c r="C1189" s="84"/>
      <c r="D1189" s="84"/>
      <c r="E1189" s="84"/>
      <c r="F1189" s="85"/>
      <c r="G1189" s="84"/>
      <c r="H1189" s="84"/>
    </row>
    <row r="1190" spans="1:8" s="64" customFormat="1">
      <c r="A1190" s="84"/>
      <c r="B1190" s="84"/>
      <c r="C1190" s="84"/>
      <c r="D1190" s="84"/>
      <c r="E1190" s="84"/>
      <c r="F1190" s="85"/>
      <c r="G1190" s="84"/>
      <c r="H1190" s="84"/>
    </row>
    <row r="1191" spans="1:8" s="64" customFormat="1">
      <c r="A1191" s="84"/>
      <c r="B1191" s="84"/>
      <c r="C1191" s="84"/>
      <c r="D1191" s="84"/>
      <c r="E1191" s="84"/>
      <c r="F1191" s="85"/>
      <c r="G1191" s="84"/>
      <c r="H1191" s="84"/>
    </row>
    <row r="1192" spans="1:8" s="64" customFormat="1">
      <c r="A1192" s="84"/>
      <c r="B1192" s="84"/>
      <c r="C1192" s="84"/>
      <c r="D1192" s="84"/>
      <c r="E1192" s="84"/>
      <c r="F1192" s="85"/>
      <c r="G1192" s="84"/>
      <c r="H1192" s="84"/>
    </row>
    <row r="1193" spans="1:8" s="64" customFormat="1">
      <c r="A1193" s="84"/>
      <c r="B1193" s="84"/>
      <c r="C1193" s="84"/>
      <c r="D1193" s="84"/>
      <c r="E1193" s="84"/>
      <c r="F1193" s="85"/>
      <c r="G1193" s="84"/>
      <c r="H1193" s="84"/>
    </row>
    <row r="1194" spans="1:8" s="64" customFormat="1">
      <c r="A1194" s="84"/>
      <c r="B1194" s="84"/>
      <c r="C1194" s="84"/>
      <c r="D1194" s="84"/>
      <c r="E1194" s="84"/>
      <c r="F1194" s="85"/>
      <c r="G1194" s="84"/>
      <c r="H1194" s="84"/>
    </row>
    <row r="1195" spans="1:8" s="64" customFormat="1">
      <c r="A1195" s="84"/>
      <c r="B1195" s="84"/>
      <c r="C1195" s="84"/>
      <c r="D1195" s="84"/>
      <c r="E1195" s="84"/>
      <c r="F1195" s="85"/>
      <c r="G1195" s="84"/>
      <c r="H1195" s="84"/>
    </row>
    <row r="1196" spans="1:8" s="64" customFormat="1">
      <c r="A1196" s="84"/>
      <c r="B1196" s="84"/>
      <c r="C1196" s="84"/>
      <c r="D1196" s="84"/>
      <c r="E1196" s="84"/>
      <c r="F1196" s="85"/>
      <c r="G1196" s="84"/>
      <c r="H1196" s="84"/>
    </row>
    <row r="1197" spans="1:8" s="64" customFormat="1">
      <c r="A1197" s="84"/>
      <c r="B1197" s="84"/>
      <c r="C1197" s="84"/>
      <c r="D1197" s="84"/>
      <c r="E1197" s="84"/>
      <c r="F1197" s="85"/>
      <c r="G1197" s="84"/>
      <c r="H1197" s="84"/>
    </row>
    <row r="1198" spans="1:8" s="64" customFormat="1">
      <c r="A1198" s="84"/>
      <c r="B1198" s="84"/>
      <c r="C1198" s="84"/>
      <c r="D1198" s="84"/>
      <c r="E1198" s="84"/>
      <c r="F1198" s="85"/>
      <c r="G1198" s="84"/>
      <c r="H1198" s="84"/>
    </row>
    <row r="1199" spans="1:8" s="64" customFormat="1">
      <c r="A1199" s="84"/>
      <c r="B1199" s="84"/>
      <c r="C1199" s="84"/>
      <c r="D1199" s="84"/>
      <c r="E1199" s="84"/>
      <c r="F1199" s="85"/>
      <c r="G1199" s="84"/>
      <c r="H1199" s="84"/>
    </row>
    <row r="1200" spans="1:8" s="64" customFormat="1">
      <c r="A1200" s="84"/>
      <c r="B1200" s="84"/>
      <c r="C1200" s="84"/>
      <c r="D1200" s="84"/>
      <c r="E1200" s="84"/>
      <c r="F1200" s="85"/>
      <c r="G1200" s="84"/>
      <c r="H1200" s="84"/>
    </row>
    <row r="1201" spans="1:8" s="64" customFormat="1">
      <c r="A1201" s="84"/>
      <c r="B1201" s="84"/>
      <c r="C1201" s="84"/>
      <c r="D1201" s="84"/>
      <c r="E1201" s="84"/>
      <c r="F1201" s="85"/>
      <c r="G1201" s="84"/>
      <c r="H1201" s="84"/>
    </row>
    <row r="1202" spans="1:8" s="64" customFormat="1">
      <c r="A1202" s="84"/>
      <c r="B1202" s="84"/>
      <c r="C1202" s="84"/>
      <c r="D1202" s="84"/>
      <c r="E1202" s="84"/>
      <c r="F1202" s="85"/>
      <c r="G1202" s="84"/>
      <c r="H1202" s="84"/>
    </row>
    <row r="1203" spans="1:8" s="64" customFormat="1">
      <c r="A1203" s="84"/>
      <c r="B1203" s="84"/>
      <c r="C1203" s="84"/>
      <c r="D1203" s="84"/>
      <c r="E1203" s="84"/>
      <c r="F1203" s="85"/>
      <c r="G1203" s="84"/>
      <c r="H1203" s="84"/>
    </row>
    <row r="1204" spans="1:8" s="64" customFormat="1">
      <c r="A1204" s="84"/>
      <c r="B1204" s="84"/>
      <c r="C1204" s="84"/>
      <c r="D1204" s="84"/>
      <c r="E1204" s="84"/>
      <c r="F1204" s="85"/>
      <c r="G1204" s="84"/>
      <c r="H1204" s="84"/>
    </row>
    <row r="1205" spans="1:8" s="64" customFormat="1">
      <c r="A1205" s="84"/>
      <c r="B1205" s="84"/>
      <c r="C1205" s="84"/>
      <c r="D1205" s="84"/>
      <c r="E1205" s="84"/>
      <c r="F1205" s="85"/>
      <c r="G1205" s="84"/>
      <c r="H1205" s="84"/>
    </row>
    <row r="1206" spans="1:8" s="64" customFormat="1">
      <c r="A1206" s="84"/>
      <c r="B1206" s="84"/>
      <c r="C1206" s="84"/>
      <c r="D1206" s="84"/>
      <c r="E1206" s="84"/>
      <c r="F1206" s="85"/>
      <c r="G1206" s="84"/>
      <c r="H1206" s="84"/>
    </row>
    <row r="1207" spans="1:8" s="64" customFormat="1">
      <c r="A1207" s="84"/>
      <c r="B1207" s="84"/>
      <c r="C1207" s="84"/>
      <c r="D1207" s="84"/>
      <c r="E1207" s="84"/>
      <c r="F1207" s="85"/>
      <c r="G1207" s="84"/>
      <c r="H1207" s="84"/>
    </row>
    <row r="1208" spans="1:8" s="64" customFormat="1">
      <c r="A1208" s="84"/>
      <c r="B1208" s="84"/>
      <c r="C1208" s="84"/>
      <c r="D1208" s="84"/>
      <c r="E1208" s="84"/>
      <c r="F1208" s="85"/>
      <c r="G1208" s="84"/>
      <c r="H1208" s="84"/>
    </row>
    <row r="1209" spans="1:8" s="64" customFormat="1">
      <c r="A1209" s="84"/>
      <c r="B1209" s="84"/>
      <c r="C1209" s="84"/>
      <c r="D1209" s="84"/>
      <c r="E1209" s="84"/>
      <c r="F1209" s="85"/>
      <c r="G1209" s="84"/>
      <c r="H1209" s="84"/>
    </row>
    <row r="1210" spans="1:8" s="64" customFormat="1">
      <c r="A1210" s="84"/>
      <c r="B1210" s="84"/>
      <c r="C1210" s="84"/>
      <c r="D1210" s="84"/>
      <c r="E1210" s="84"/>
      <c r="F1210" s="85"/>
      <c r="G1210" s="84"/>
      <c r="H1210" s="84"/>
    </row>
    <row r="1211" spans="1:8" s="64" customFormat="1">
      <c r="A1211" s="84"/>
      <c r="B1211" s="84"/>
      <c r="C1211" s="84"/>
      <c r="D1211" s="84"/>
      <c r="E1211" s="84"/>
      <c r="F1211" s="85"/>
      <c r="G1211" s="84"/>
      <c r="H1211" s="84"/>
    </row>
    <row r="1212" spans="1:8" s="64" customFormat="1">
      <c r="A1212" s="84"/>
      <c r="B1212" s="84"/>
      <c r="C1212" s="84"/>
      <c r="D1212" s="84"/>
      <c r="E1212" s="84"/>
      <c r="F1212" s="85"/>
      <c r="G1212" s="84"/>
      <c r="H1212" s="84"/>
    </row>
    <row r="1213" spans="1:8" s="64" customFormat="1">
      <c r="A1213" s="84"/>
      <c r="B1213" s="84"/>
      <c r="C1213" s="84"/>
      <c r="D1213" s="84"/>
      <c r="E1213" s="84"/>
      <c r="F1213" s="85"/>
      <c r="G1213" s="84"/>
      <c r="H1213" s="84"/>
    </row>
    <row r="1214" spans="1:8" s="64" customFormat="1">
      <c r="A1214" s="84"/>
      <c r="B1214" s="84"/>
      <c r="C1214" s="84"/>
      <c r="D1214" s="84"/>
      <c r="E1214" s="84"/>
      <c r="F1214" s="85"/>
      <c r="G1214" s="84"/>
      <c r="H1214" s="84"/>
    </row>
    <row r="1215" spans="1:8" s="64" customFormat="1">
      <c r="A1215" s="84"/>
      <c r="B1215" s="84"/>
      <c r="C1215" s="84"/>
      <c r="D1215" s="84"/>
      <c r="E1215" s="84"/>
      <c r="F1215" s="85"/>
      <c r="G1215" s="84"/>
      <c r="H1215" s="84"/>
    </row>
    <row r="1216" spans="1:8" s="64" customFormat="1">
      <c r="A1216" s="84"/>
      <c r="B1216" s="84"/>
      <c r="C1216" s="84"/>
      <c r="D1216" s="84"/>
      <c r="E1216" s="84"/>
      <c r="F1216" s="85"/>
      <c r="G1216" s="84"/>
      <c r="H1216" s="84"/>
    </row>
    <row r="1217" spans="1:8" s="64" customFormat="1">
      <c r="A1217" s="84"/>
      <c r="B1217" s="84"/>
      <c r="C1217" s="84"/>
      <c r="D1217" s="84"/>
      <c r="E1217" s="84"/>
      <c r="F1217" s="85"/>
      <c r="G1217" s="84"/>
      <c r="H1217" s="84"/>
    </row>
    <row r="1218" spans="1:8" s="64" customFormat="1">
      <c r="A1218" s="84"/>
      <c r="B1218" s="84"/>
      <c r="C1218" s="84"/>
      <c r="D1218" s="84"/>
      <c r="E1218" s="84"/>
      <c r="F1218" s="85"/>
      <c r="G1218" s="84"/>
      <c r="H1218" s="84"/>
    </row>
    <row r="1219" spans="1:8" s="64" customFormat="1">
      <c r="A1219" s="84"/>
      <c r="B1219" s="84"/>
      <c r="C1219" s="84"/>
      <c r="D1219" s="84"/>
      <c r="E1219" s="84"/>
      <c r="F1219" s="85"/>
      <c r="G1219" s="84"/>
      <c r="H1219" s="84"/>
    </row>
    <row r="1220" spans="1:8" s="64" customFormat="1">
      <c r="A1220" s="84"/>
      <c r="B1220" s="84"/>
      <c r="C1220" s="84"/>
      <c r="D1220" s="84"/>
      <c r="E1220" s="84"/>
      <c r="F1220" s="85"/>
      <c r="G1220" s="84"/>
      <c r="H1220" s="84"/>
    </row>
    <row r="1221" spans="1:8" s="64" customFormat="1">
      <c r="A1221" s="84"/>
      <c r="B1221" s="84"/>
      <c r="C1221" s="84"/>
      <c r="D1221" s="84"/>
      <c r="E1221" s="84"/>
      <c r="F1221" s="85"/>
      <c r="G1221" s="84"/>
      <c r="H1221" s="84"/>
    </row>
    <row r="1222" spans="1:8" s="64" customFormat="1">
      <c r="A1222" s="84"/>
      <c r="B1222" s="84"/>
      <c r="C1222" s="84"/>
      <c r="D1222" s="84"/>
      <c r="E1222" s="84"/>
      <c r="F1222" s="85"/>
      <c r="G1222" s="84"/>
      <c r="H1222" s="84"/>
    </row>
    <row r="1223" spans="1:8" s="64" customFormat="1">
      <c r="A1223" s="84"/>
      <c r="B1223" s="84"/>
      <c r="C1223" s="84"/>
      <c r="D1223" s="84"/>
      <c r="E1223" s="84"/>
      <c r="F1223" s="85"/>
      <c r="G1223" s="84"/>
      <c r="H1223" s="84"/>
    </row>
    <row r="1224" spans="1:8" s="64" customFormat="1">
      <c r="A1224" s="84"/>
      <c r="B1224" s="84"/>
      <c r="C1224" s="84"/>
      <c r="D1224" s="84"/>
      <c r="E1224" s="84"/>
      <c r="F1224" s="85"/>
      <c r="G1224" s="84"/>
      <c r="H1224" s="84"/>
    </row>
    <row r="1225" spans="1:8" s="64" customFormat="1">
      <c r="A1225" s="84"/>
      <c r="B1225" s="84"/>
      <c r="C1225" s="84"/>
      <c r="D1225" s="84"/>
      <c r="E1225" s="84"/>
      <c r="F1225" s="85"/>
      <c r="G1225" s="84"/>
      <c r="H1225" s="84"/>
    </row>
    <row r="1226" spans="1:8" s="64" customFormat="1">
      <c r="A1226" s="84"/>
      <c r="B1226" s="84"/>
      <c r="C1226" s="84"/>
      <c r="D1226" s="84"/>
      <c r="E1226" s="84"/>
      <c r="F1226" s="85"/>
      <c r="G1226" s="84"/>
      <c r="H1226" s="84"/>
    </row>
    <row r="1227" spans="1:8" s="64" customFormat="1">
      <c r="A1227" s="84"/>
      <c r="B1227" s="84"/>
      <c r="C1227" s="84"/>
      <c r="D1227" s="84"/>
      <c r="E1227" s="84"/>
      <c r="F1227" s="85"/>
      <c r="G1227" s="84"/>
      <c r="H1227" s="84"/>
    </row>
    <row r="1228" spans="1:8" s="64" customFormat="1">
      <c r="A1228" s="84"/>
      <c r="B1228" s="84"/>
      <c r="C1228" s="84"/>
      <c r="D1228" s="84"/>
      <c r="E1228" s="84"/>
      <c r="F1228" s="85"/>
      <c r="G1228" s="84"/>
      <c r="H1228" s="84"/>
    </row>
    <row r="1229" spans="1:8" s="64" customFormat="1">
      <c r="A1229" s="84"/>
      <c r="B1229" s="84"/>
      <c r="C1229" s="84"/>
      <c r="D1229" s="84"/>
      <c r="E1229" s="84"/>
      <c r="F1229" s="85"/>
      <c r="G1229" s="84"/>
      <c r="H1229" s="84"/>
    </row>
    <row r="1230" spans="1:8" s="64" customFormat="1">
      <c r="A1230" s="84"/>
      <c r="B1230" s="84"/>
      <c r="C1230" s="84"/>
      <c r="D1230" s="84"/>
      <c r="E1230" s="84"/>
      <c r="F1230" s="85"/>
      <c r="G1230" s="84"/>
      <c r="H1230" s="84"/>
    </row>
    <row r="1231" spans="1:8" s="64" customFormat="1">
      <c r="A1231" s="84"/>
      <c r="B1231" s="84"/>
      <c r="C1231" s="84"/>
      <c r="D1231" s="84"/>
      <c r="E1231" s="84"/>
      <c r="F1231" s="85"/>
      <c r="G1231" s="84"/>
      <c r="H1231" s="84"/>
    </row>
    <row r="1232" spans="1:8" s="64" customFormat="1">
      <c r="A1232" s="84"/>
      <c r="B1232" s="84"/>
      <c r="C1232" s="84"/>
      <c r="D1232" s="84"/>
      <c r="E1232" s="84"/>
      <c r="F1232" s="85"/>
      <c r="G1232" s="84"/>
      <c r="H1232" s="84"/>
    </row>
    <row r="1233" spans="1:8" s="64" customFormat="1">
      <c r="A1233" s="84"/>
      <c r="B1233" s="84"/>
      <c r="C1233" s="84"/>
      <c r="D1233" s="84"/>
      <c r="E1233" s="84"/>
      <c r="F1233" s="85"/>
      <c r="G1233" s="84"/>
      <c r="H1233" s="84"/>
    </row>
    <row r="1234" spans="1:8" s="64" customFormat="1">
      <c r="A1234" s="84"/>
      <c r="B1234" s="84"/>
      <c r="C1234" s="84"/>
      <c r="D1234" s="84"/>
      <c r="E1234" s="84"/>
      <c r="F1234" s="85"/>
      <c r="G1234" s="84"/>
      <c r="H1234" s="84"/>
    </row>
    <row r="1235" spans="1:8" s="64" customFormat="1">
      <c r="A1235" s="84"/>
      <c r="B1235" s="84"/>
      <c r="C1235" s="84"/>
      <c r="D1235" s="84"/>
      <c r="E1235" s="84"/>
      <c r="F1235" s="85"/>
      <c r="G1235" s="84"/>
      <c r="H1235" s="84"/>
    </row>
    <row r="1236" spans="1:8" s="64" customFormat="1">
      <c r="A1236" s="84"/>
      <c r="B1236" s="84"/>
      <c r="C1236" s="84"/>
      <c r="D1236" s="84"/>
      <c r="E1236" s="84"/>
      <c r="F1236" s="85"/>
      <c r="G1236" s="84"/>
      <c r="H1236" s="84"/>
    </row>
    <row r="1237" spans="1:8" s="64" customFormat="1">
      <c r="A1237" s="84"/>
      <c r="B1237" s="84"/>
      <c r="C1237" s="84"/>
      <c r="D1237" s="84"/>
      <c r="E1237" s="84"/>
      <c r="F1237" s="85"/>
      <c r="G1237" s="84"/>
      <c r="H1237" s="84"/>
    </row>
    <row r="1238" spans="1:8" s="64" customFormat="1">
      <c r="A1238" s="84"/>
      <c r="B1238" s="84"/>
      <c r="C1238" s="84"/>
      <c r="D1238" s="84"/>
      <c r="E1238" s="84"/>
      <c r="F1238" s="85"/>
      <c r="G1238" s="84"/>
      <c r="H1238" s="84"/>
    </row>
    <row r="1239" spans="1:8" s="64" customFormat="1">
      <c r="A1239" s="84"/>
      <c r="B1239" s="84"/>
      <c r="C1239" s="84"/>
      <c r="D1239" s="84"/>
      <c r="E1239" s="84"/>
      <c r="F1239" s="85"/>
      <c r="G1239" s="84"/>
      <c r="H1239" s="84"/>
    </row>
    <row r="1240" spans="1:8" s="64" customFormat="1">
      <c r="A1240" s="84"/>
      <c r="B1240" s="84"/>
      <c r="C1240" s="84"/>
      <c r="D1240" s="84"/>
      <c r="E1240" s="84"/>
      <c r="F1240" s="85"/>
      <c r="G1240" s="84"/>
      <c r="H1240" s="84"/>
    </row>
    <row r="1241" spans="1:8" s="64" customFormat="1">
      <c r="A1241" s="84"/>
      <c r="B1241" s="84"/>
      <c r="C1241" s="84"/>
      <c r="D1241" s="84"/>
      <c r="E1241" s="84"/>
      <c r="F1241" s="85"/>
      <c r="G1241" s="84"/>
      <c r="H1241" s="84"/>
    </row>
    <row r="1242" spans="1:8" s="64" customFormat="1">
      <c r="A1242" s="84"/>
      <c r="B1242" s="84"/>
      <c r="C1242" s="84"/>
      <c r="D1242" s="84"/>
      <c r="E1242" s="84"/>
      <c r="F1242" s="85"/>
      <c r="G1242" s="84"/>
      <c r="H1242" s="84"/>
    </row>
    <row r="1243" spans="1:8" s="64" customFormat="1">
      <c r="A1243" s="84"/>
      <c r="B1243" s="84"/>
      <c r="C1243" s="84"/>
      <c r="D1243" s="84"/>
      <c r="E1243" s="84"/>
      <c r="F1243" s="85"/>
      <c r="G1243" s="84"/>
      <c r="H1243" s="84"/>
    </row>
    <row r="1244" spans="1:8" s="64" customFormat="1">
      <c r="A1244" s="84"/>
      <c r="B1244" s="84"/>
      <c r="C1244" s="84"/>
      <c r="D1244" s="84"/>
      <c r="E1244" s="84"/>
      <c r="F1244" s="85"/>
      <c r="G1244" s="84"/>
      <c r="H1244" s="84"/>
    </row>
    <row r="1245" spans="1:8" s="64" customFormat="1">
      <c r="A1245" s="84"/>
      <c r="B1245" s="84"/>
      <c r="C1245" s="84"/>
      <c r="D1245" s="84"/>
      <c r="E1245" s="84"/>
      <c r="F1245" s="85"/>
      <c r="G1245" s="84"/>
      <c r="H1245" s="84"/>
    </row>
    <row r="1246" spans="1:8" s="64" customFormat="1">
      <c r="A1246" s="84"/>
      <c r="B1246" s="84"/>
      <c r="C1246" s="84"/>
      <c r="D1246" s="84"/>
      <c r="E1246" s="84"/>
      <c r="F1246" s="85"/>
      <c r="G1246" s="84"/>
      <c r="H1246" s="84"/>
    </row>
    <row r="1247" spans="1:8" s="64" customFormat="1">
      <c r="A1247" s="84"/>
      <c r="B1247" s="84"/>
      <c r="C1247" s="84"/>
      <c r="D1247" s="84"/>
      <c r="E1247" s="84"/>
      <c r="F1247" s="85"/>
      <c r="G1247" s="84"/>
      <c r="H1247" s="84"/>
    </row>
    <row r="1248" spans="1:8" s="64" customFormat="1">
      <c r="A1248" s="84"/>
      <c r="B1248" s="84"/>
      <c r="C1248" s="84"/>
      <c r="D1248" s="84"/>
      <c r="E1248" s="84"/>
      <c r="F1248" s="85"/>
      <c r="G1248" s="84"/>
      <c r="H1248" s="84"/>
    </row>
    <row r="1249" spans="1:8" s="64" customFormat="1">
      <c r="A1249" s="84"/>
      <c r="B1249" s="84"/>
      <c r="C1249" s="84"/>
      <c r="D1249" s="84"/>
      <c r="E1249" s="84"/>
      <c r="F1249" s="85"/>
      <c r="G1249" s="84"/>
      <c r="H1249" s="84"/>
    </row>
    <row r="1250" spans="1:8" s="64" customFormat="1">
      <c r="A1250" s="84"/>
      <c r="B1250" s="84"/>
      <c r="C1250" s="84"/>
      <c r="D1250" s="84"/>
      <c r="E1250" s="84"/>
      <c r="F1250" s="85"/>
      <c r="G1250" s="84"/>
      <c r="H1250" s="84"/>
    </row>
    <row r="1251" spans="1:8" s="64" customFormat="1">
      <c r="A1251" s="84"/>
      <c r="B1251" s="84"/>
      <c r="C1251" s="84"/>
      <c r="D1251" s="84"/>
      <c r="E1251" s="84"/>
      <c r="F1251" s="85"/>
      <c r="G1251" s="84"/>
      <c r="H1251" s="84"/>
    </row>
    <row r="1252" spans="1:8" s="64" customFormat="1">
      <c r="A1252" s="84"/>
      <c r="B1252" s="84"/>
      <c r="C1252" s="84"/>
      <c r="D1252" s="84"/>
      <c r="E1252" s="84"/>
      <c r="F1252" s="85"/>
      <c r="G1252" s="84"/>
      <c r="H1252" s="84"/>
    </row>
    <row r="1253" spans="1:8" s="64" customFormat="1">
      <c r="A1253" s="84"/>
      <c r="B1253" s="84"/>
      <c r="C1253" s="84"/>
      <c r="D1253" s="84"/>
      <c r="E1253" s="84"/>
      <c r="F1253" s="85"/>
      <c r="G1253" s="84"/>
      <c r="H1253" s="84"/>
    </row>
    <row r="1254" spans="1:8" s="64" customFormat="1">
      <c r="A1254" s="84"/>
      <c r="B1254" s="84"/>
      <c r="C1254" s="84"/>
      <c r="D1254" s="84"/>
      <c r="E1254" s="84"/>
      <c r="F1254" s="85"/>
      <c r="G1254" s="84"/>
      <c r="H1254" s="84"/>
    </row>
    <row r="1255" spans="1:8" s="64" customFormat="1">
      <c r="A1255" s="84"/>
      <c r="B1255" s="84"/>
      <c r="C1255" s="84"/>
      <c r="D1255" s="84"/>
      <c r="E1255" s="84"/>
      <c r="F1255" s="85"/>
      <c r="G1255" s="84"/>
      <c r="H1255" s="84"/>
    </row>
    <row r="1256" spans="1:8" s="64" customFormat="1">
      <c r="A1256" s="84"/>
      <c r="B1256" s="84"/>
      <c r="C1256" s="84"/>
      <c r="D1256" s="84"/>
      <c r="E1256" s="84"/>
      <c r="F1256" s="85"/>
      <c r="G1256" s="84"/>
      <c r="H1256" s="84"/>
    </row>
    <row r="1257" spans="1:8" s="64" customFormat="1">
      <c r="A1257" s="84"/>
      <c r="B1257" s="84"/>
      <c r="C1257" s="84"/>
      <c r="D1257" s="84"/>
      <c r="E1257" s="84"/>
      <c r="F1257" s="85"/>
      <c r="G1257" s="84"/>
      <c r="H1257" s="84"/>
    </row>
    <row r="1258" spans="1:8" s="64" customFormat="1">
      <c r="A1258" s="84"/>
      <c r="B1258" s="84"/>
      <c r="C1258" s="84"/>
      <c r="D1258" s="84"/>
      <c r="E1258" s="84"/>
      <c r="F1258" s="85"/>
      <c r="G1258" s="84"/>
      <c r="H1258" s="84"/>
    </row>
    <row r="1259" spans="1:8" s="64" customFormat="1">
      <c r="A1259" s="84"/>
      <c r="B1259" s="84"/>
      <c r="C1259" s="84"/>
      <c r="D1259" s="84"/>
      <c r="E1259" s="84"/>
      <c r="F1259" s="85"/>
      <c r="G1259" s="84"/>
      <c r="H1259" s="84"/>
    </row>
    <row r="1260" spans="1:8" s="64" customFormat="1">
      <c r="A1260" s="84"/>
      <c r="B1260" s="84"/>
      <c r="C1260" s="84"/>
      <c r="D1260" s="84"/>
      <c r="E1260" s="84"/>
      <c r="F1260" s="85"/>
      <c r="G1260" s="84"/>
      <c r="H1260" s="84"/>
    </row>
    <row r="1261" spans="1:8" s="64" customFormat="1">
      <c r="A1261" s="84"/>
      <c r="B1261" s="84"/>
      <c r="C1261" s="84"/>
      <c r="D1261" s="84"/>
      <c r="E1261" s="84"/>
      <c r="F1261" s="85"/>
      <c r="G1261" s="84"/>
      <c r="H1261" s="84"/>
    </row>
    <row r="1262" spans="1:8" s="64" customFormat="1">
      <c r="A1262" s="84"/>
      <c r="B1262" s="84"/>
      <c r="C1262" s="84"/>
      <c r="D1262" s="84"/>
      <c r="E1262" s="84"/>
      <c r="F1262" s="85"/>
      <c r="G1262" s="84"/>
      <c r="H1262" s="84"/>
    </row>
    <row r="1263" spans="1:8" s="64" customFormat="1">
      <c r="A1263" s="84"/>
      <c r="B1263" s="84"/>
      <c r="C1263" s="84"/>
      <c r="D1263" s="84"/>
      <c r="E1263" s="84"/>
      <c r="F1263" s="85"/>
      <c r="G1263" s="84"/>
      <c r="H1263" s="84"/>
    </row>
    <row r="1264" spans="1:8" s="64" customFormat="1">
      <c r="A1264" s="84"/>
      <c r="B1264" s="84"/>
      <c r="C1264" s="84"/>
      <c r="D1264" s="84"/>
      <c r="E1264" s="84"/>
      <c r="F1264" s="85"/>
      <c r="G1264" s="84"/>
      <c r="H1264" s="84"/>
    </row>
    <row r="1265" spans="1:8" s="64" customFormat="1">
      <c r="A1265" s="84"/>
      <c r="B1265" s="84"/>
      <c r="C1265" s="84"/>
      <c r="D1265" s="84"/>
      <c r="E1265" s="84"/>
      <c r="F1265" s="85"/>
      <c r="G1265" s="84"/>
      <c r="H1265" s="84"/>
    </row>
    <row r="1266" spans="1:8" s="64" customFormat="1">
      <c r="A1266" s="84"/>
      <c r="B1266" s="84"/>
      <c r="C1266" s="84"/>
      <c r="D1266" s="84"/>
      <c r="E1266" s="84"/>
      <c r="F1266" s="85"/>
      <c r="G1266" s="84"/>
      <c r="H1266" s="84"/>
    </row>
    <row r="1267" spans="1:8" s="64" customFormat="1">
      <c r="A1267" s="84"/>
      <c r="B1267" s="84"/>
      <c r="C1267" s="84"/>
      <c r="D1267" s="84"/>
      <c r="E1267" s="84"/>
      <c r="F1267" s="85"/>
      <c r="G1267" s="84"/>
      <c r="H1267" s="84"/>
    </row>
    <row r="1268" spans="1:8" s="64" customFormat="1">
      <c r="A1268" s="84"/>
      <c r="B1268" s="84"/>
      <c r="C1268" s="84"/>
      <c r="D1268" s="84"/>
      <c r="E1268" s="84"/>
      <c r="F1268" s="85"/>
      <c r="G1268" s="84"/>
      <c r="H1268" s="84"/>
    </row>
    <row r="1269" spans="1:8" s="64" customFormat="1">
      <c r="A1269" s="84"/>
      <c r="B1269" s="84"/>
      <c r="C1269" s="84"/>
      <c r="D1269" s="84"/>
      <c r="E1269" s="84"/>
      <c r="F1269" s="85"/>
      <c r="G1269" s="84"/>
      <c r="H1269" s="84"/>
    </row>
    <row r="1270" spans="1:8" s="64" customFormat="1">
      <c r="A1270" s="84"/>
      <c r="B1270" s="84"/>
      <c r="C1270" s="84"/>
      <c r="D1270" s="84"/>
      <c r="E1270" s="84"/>
      <c r="F1270" s="85"/>
      <c r="G1270" s="84"/>
      <c r="H1270" s="84"/>
    </row>
    <row r="1271" spans="1:8" s="64" customFormat="1">
      <c r="A1271" s="84"/>
      <c r="B1271" s="84"/>
      <c r="C1271" s="84"/>
      <c r="D1271" s="84"/>
      <c r="E1271" s="84"/>
      <c r="F1271" s="85"/>
      <c r="G1271" s="84"/>
      <c r="H1271" s="84"/>
    </row>
    <row r="1272" spans="1:8" s="64" customFormat="1">
      <c r="A1272" s="84"/>
      <c r="B1272" s="84"/>
      <c r="C1272" s="84"/>
      <c r="D1272" s="84"/>
      <c r="E1272" s="84"/>
      <c r="F1272" s="85"/>
      <c r="G1272" s="84"/>
      <c r="H1272" s="84"/>
    </row>
    <row r="1273" spans="1:8" s="64" customFormat="1">
      <c r="A1273" s="84"/>
      <c r="B1273" s="84"/>
      <c r="C1273" s="84"/>
      <c r="D1273" s="84"/>
      <c r="E1273" s="84"/>
      <c r="F1273" s="85"/>
      <c r="G1273" s="84"/>
      <c r="H1273" s="84"/>
    </row>
    <row r="1274" spans="1:8" s="64" customFormat="1">
      <c r="A1274" s="84"/>
      <c r="B1274" s="84"/>
      <c r="C1274" s="84"/>
      <c r="D1274" s="84"/>
      <c r="E1274" s="84"/>
      <c r="F1274" s="85"/>
      <c r="G1274" s="84"/>
      <c r="H1274" s="84"/>
    </row>
    <row r="1275" spans="1:8" s="64" customFormat="1">
      <c r="A1275" s="84"/>
      <c r="B1275" s="84"/>
      <c r="C1275" s="84"/>
      <c r="D1275" s="84"/>
      <c r="E1275" s="84"/>
      <c r="F1275" s="85"/>
      <c r="G1275" s="84"/>
      <c r="H1275" s="84"/>
    </row>
    <row r="1276" spans="1:8" s="64" customFormat="1">
      <c r="A1276" s="84"/>
      <c r="B1276" s="84"/>
      <c r="C1276" s="84"/>
      <c r="D1276" s="84"/>
      <c r="E1276" s="84"/>
      <c r="F1276" s="85"/>
      <c r="G1276" s="84"/>
      <c r="H1276" s="84"/>
    </row>
    <row r="1277" spans="1:8" s="64" customFormat="1">
      <c r="A1277" s="84"/>
      <c r="B1277" s="84"/>
      <c r="C1277" s="84"/>
      <c r="D1277" s="84"/>
      <c r="E1277" s="84"/>
      <c r="F1277" s="85"/>
      <c r="G1277" s="84"/>
      <c r="H1277" s="84"/>
    </row>
    <row r="1278" spans="1:8" s="64" customFormat="1">
      <c r="A1278" s="84"/>
      <c r="B1278" s="84"/>
      <c r="C1278" s="84"/>
      <c r="D1278" s="84"/>
      <c r="E1278" s="84"/>
      <c r="F1278" s="85"/>
      <c r="G1278" s="84"/>
      <c r="H1278" s="84"/>
    </row>
    <row r="1279" spans="1:8" s="64" customFormat="1">
      <c r="A1279" s="84"/>
      <c r="B1279" s="84"/>
      <c r="C1279" s="84"/>
      <c r="D1279" s="84"/>
      <c r="E1279" s="84"/>
      <c r="F1279" s="85"/>
      <c r="G1279" s="84"/>
      <c r="H1279" s="84"/>
    </row>
    <row r="1280" spans="1:8" s="64" customFormat="1">
      <c r="A1280" s="84"/>
      <c r="B1280" s="84"/>
      <c r="C1280" s="84"/>
      <c r="D1280" s="84"/>
      <c r="E1280" s="84"/>
      <c r="F1280" s="85"/>
      <c r="G1280" s="84"/>
      <c r="H1280" s="84"/>
    </row>
    <row r="1281" spans="1:8" s="64" customFormat="1">
      <c r="A1281" s="84"/>
      <c r="B1281" s="84"/>
      <c r="C1281" s="84"/>
      <c r="D1281" s="84"/>
      <c r="E1281" s="84"/>
      <c r="F1281" s="85"/>
      <c r="G1281" s="84"/>
      <c r="H1281" s="84"/>
    </row>
    <row r="1282" spans="1:8" s="64" customFormat="1">
      <c r="A1282" s="84"/>
      <c r="B1282" s="84"/>
      <c r="C1282" s="84"/>
      <c r="D1282" s="84"/>
      <c r="E1282" s="84"/>
      <c r="F1282" s="85"/>
      <c r="G1282" s="84"/>
      <c r="H1282" s="84"/>
    </row>
    <row r="1283" spans="1:8" s="64" customFormat="1">
      <c r="A1283" s="84"/>
      <c r="B1283" s="84"/>
      <c r="C1283" s="84"/>
      <c r="D1283" s="84"/>
      <c r="E1283" s="84"/>
      <c r="F1283" s="85"/>
      <c r="G1283" s="84"/>
      <c r="H1283" s="84"/>
    </row>
    <row r="1284" spans="1:8" s="64" customFormat="1">
      <c r="A1284" s="84"/>
      <c r="B1284" s="84"/>
      <c r="C1284" s="84"/>
      <c r="D1284" s="84"/>
      <c r="E1284" s="84"/>
      <c r="F1284" s="85"/>
      <c r="G1284" s="84"/>
      <c r="H1284" s="84"/>
    </row>
    <row r="1285" spans="1:8" s="64" customFormat="1">
      <c r="A1285" s="84"/>
      <c r="B1285" s="84"/>
      <c r="C1285" s="84"/>
      <c r="D1285" s="84"/>
      <c r="E1285" s="84"/>
      <c r="F1285" s="85"/>
      <c r="G1285" s="84"/>
      <c r="H1285" s="84"/>
    </row>
    <row r="1286" spans="1:8" s="64" customFormat="1">
      <c r="A1286" s="84"/>
      <c r="B1286" s="84"/>
      <c r="C1286" s="84"/>
      <c r="D1286" s="84"/>
      <c r="E1286" s="84"/>
      <c r="F1286" s="85"/>
      <c r="G1286" s="84"/>
      <c r="H1286" s="84"/>
    </row>
    <row r="1287" spans="1:8" s="64" customFormat="1">
      <c r="A1287" s="84"/>
      <c r="B1287" s="84"/>
      <c r="C1287" s="84"/>
      <c r="D1287" s="84"/>
      <c r="E1287" s="84"/>
      <c r="F1287" s="85"/>
      <c r="G1287" s="84"/>
      <c r="H1287" s="84"/>
    </row>
    <row r="1288" spans="1:8" s="64" customFormat="1">
      <c r="A1288" s="84"/>
      <c r="B1288" s="84"/>
      <c r="C1288" s="84"/>
      <c r="D1288" s="84"/>
      <c r="E1288" s="84"/>
      <c r="F1288" s="85"/>
      <c r="G1288" s="84"/>
      <c r="H1288" s="84"/>
    </row>
    <row r="1289" spans="1:8" s="64" customFormat="1">
      <c r="A1289" s="84"/>
      <c r="B1289" s="84"/>
      <c r="C1289" s="84"/>
      <c r="D1289" s="84"/>
      <c r="E1289" s="84"/>
      <c r="F1289" s="85"/>
      <c r="G1289" s="84"/>
      <c r="H1289" s="84"/>
    </row>
    <row r="1290" spans="1:8" s="64" customFormat="1">
      <c r="A1290" s="84"/>
      <c r="B1290" s="84"/>
      <c r="C1290" s="84"/>
      <c r="D1290" s="84"/>
      <c r="E1290" s="84"/>
      <c r="F1290" s="85"/>
      <c r="G1290" s="84"/>
      <c r="H1290" s="84"/>
    </row>
    <row r="1291" spans="1:8" s="64" customFormat="1">
      <c r="A1291" s="84"/>
      <c r="B1291" s="84"/>
      <c r="C1291" s="84"/>
      <c r="D1291" s="84"/>
      <c r="E1291" s="84"/>
      <c r="F1291" s="85"/>
      <c r="G1291" s="84"/>
      <c r="H1291" s="84"/>
    </row>
    <row r="1292" spans="1:8" s="64" customFormat="1">
      <c r="A1292" s="84"/>
      <c r="B1292" s="84"/>
      <c r="C1292" s="84"/>
      <c r="D1292" s="84"/>
      <c r="E1292" s="84"/>
      <c r="F1292" s="85"/>
      <c r="G1292" s="84"/>
      <c r="H1292" s="84"/>
    </row>
    <row r="1293" spans="1:8" s="64" customFormat="1">
      <c r="A1293" s="84"/>
      <c r="B1293" s="84"/>
      <c r="C1293" s="84"/>
      <c r="D1293" s="84"/>
      <c r="E1293" s="84"/>
      <c r="F1293" s="85"/>
      <c r="G1293" s="84"/>
      <c r="H1293" s="84"/>
    </row>
    <row r="1294" spans="1:8" s="64" customFormat="1">
      <c r="A1294" s="84"/>
      <c r="B1294" s="84"/>
      <c r="C1294" s="84"/>
      <c r="D1294" s="84"/>
      <c r="E1294" s="84"/>
      <c r="F1294" s="85"/>
      <c r="G1294" s="84"/>
      <c r="H1294" s="84"/>
    </row>
    <row r="1295" spans="1:8" s="64" customFormat="1">
      <c r="A1295" s="84"/>
      <c r="B1295" s="84"/>
      <c r="C1295" s="84"/>
      <c r="D1295" s="84"/>
      <c r="E1295" s="84"/>
      <c r="F1295" s="85"/>
      <c r="G1295" s="84"/>
      <c r="H1295" s="84"/>
    </row>
    <row r="1296" spans="1:8" s="64" customFormat="1">
      <c r="A1296" s="84"/>
      <c r="B1296" s="84"/>
      <c r="C1296" s="84"/>
      <c r="D1296" s="84"/>
      <c r="E1296" s="84"/>
      <c r="F1296" s="85"/>
      <c r="G1296" s="84"/>
      <c r="H1296" s="84"/>
    </row>
    <row r="1297" spans="1:8" s="64" customFormat="1">
      <c r="A1297" s="84"/>
      <c r="B1297" s="84"/>
      <c r="C1297" s="84"/>
      <c r="D1297" s="84"/>
      <c r="E1297" s="84"/>
      <c r="F1297" s="85"/>
      <c r="G1297" s="84"/>
      <c r="H1297" s="84"/>
    </row>
    <row r="1298" spans="1:8" s="64" customFormat="1">
      <c r="A1298" s="84"/>
      <c r="B1298" s="84"/>
      <c r="C1298" s="84"/>
      <c r="D1298" s="84"/>
      <c r="E1298" s="84"/>
      <c r="F1298" s="85"/>
      <c r="G1298" s="84"/>
      <c r="H1298" s="84"/>
    </row>
    <row r="1299" spans="1:8" s="64" customFormat="1">
      <c r="A1299" s="84"/>
      <c r="B1299" s="84"/>
      <c r="C1299" s="84"/>
      <c r="D1299" s="84"/>
      <c r="E1299" s="84"/>
      <c r="F1299" s="85"/>
      <c r="G1299" s="84"/>
      <c r="H1299" s="84"/>
    </row>
    <row r="1300" spans="1:8" s="64" customFormat="1">
      <c r="A1300" s="84"/>
      <c r="B1300" s="84"/>
      <c r="C1300" s="84"/>
      <c r="D1300" s="84"/>
      <c r="E1300" s="84"/>
      <c r="F1300" s="85"/>
      <c r="G1300" s="84"/>
      <c r="H1300" s="84"/>
    </row>
    <row r="1301" spans="1:8" s="64" customFormat="1">
      <c r="A1301" s="84"/>
      <c r="B1301" s="84"/>
      <c r="C1301" s="84"/>
      <c r="D1301" s="84"/>
      <c r="E1301" s="84"/>
      <c r="F1301" s="85"/>
      <c r="G1301" s="84"/>
      <c r="H1301" s="84"/>
    </row>
    <row r="1302" spans="1:8" s="64" customFormat="1">
      <c r="A1302" s="84"/>
      <c r="B1302" s="84"/>
      <c r="C1302" s="84"/>
      <c r="D1302" s="84"/>
      <c r="E1302" s="84"/>
      <c r="F1302" s="85"/>
      <c r="G1302" s="84"/>
      <c r="H1302" s="84"/>
    </row>
    <row r="1303" spans="1:8" s="64" customFormat="1">
      <c r="A1303" s="84"/>
      <c r="B1303" s="84"/>
      <c r="C1303" s="84"/>
      <c r="D1303" s="84"/>
      <c r="E1303" s="84"/>
      <c r="F1303" s="85"/>
      <c r="G1303" s="84"/>
      <c r="H1303" s="84"/>
    </row>
    <row r="1304" spans="1:8" s="64" customFormat="1">
      <c r="A1304" s="84"/>
      <c r="B1304" s="84"/>
      <c r="C1304" s="84"/>
      <c r="D1304" s="84"/>
      <c r="E1304" s="84"/>
      <c r="F1304" s="85"/>
      <c r="G1304" s="84"/>
      <c r="H1304" s="84"/>
    </row>
    <row r="1305" spans="1:8" s="64" customFormat="1">
      <c r="A1305" s="84"/>
      <c r="B1305" s="84"/>
      <c r="C1305" s="84"/>
      <c r="D1305" s="84"/>
      <c r="E1305" s="84"/>
      <c r="F1305" s="85"/>
      <c r="G1305" s="84"/>
      <c r="H1305" s="84"/>
    </row>
    <row r="1306" spans="1:8" s="64" customFormat="1">
      <c r="A1306" s="84"/>
      <c r="B1306" s="84"/>
      <c r="C1306" s="84"/>
      <c r="D1306" s="84"/>
      <c r="E1306" s="84"/>
      <c r="F1306" s="85"/>
      <c r="G1306" s="84"/>
      <c r="H1306" s="84"/>
    </row>
    <row r="1307" spans="1:8" s="64" customFormat="1">
      <c r="A1307" s="84"/>
      <c r="B1307" s="84"/>
      <c r="C1307" s="84"/>
      <c r="D1307" s="84"/>
      <c r="E1307" s="84"/>
      <c r="F1307" s="85"/>
      <c r="G1307" s="84"/>
      <c r="H1307" s="84"/>
    </row>
    <row r="1308" spans="1:8" s="64" customFormat="1">
      <c r="A1308" s="84"/>
      <c r="B1308" s="84"/>
      <c r="C1308" s="84"/>
      <c r="D1308" s="84"/>
      <c r="E1308" s="84"/>
      <c r="F1308" s="85"/>
      <c r="G1308" s="84"/>
      <c r="H1308" s="84"/>
    </row>
    <row r="1309" spans="1:8" s="64" customFormat="1">
      <c r="A1309" s="84"/>
      <c r="B1309" s="84"/>
      <c r="C1309" s="84"/>
      <c r="D1309" s="84"/>
      <c r="E1309" s="84"/>
      <c r="F1309" s="85"/>
      <c r="G1309" s="84"/>
      <c r="H1309" s="84"/>
    </row>
    <row r="1310" spans="1:8" s="64" customFormat="1">
      <c r="A1310" s="84"/>
      <c r="B1310" s="84"/>
      <c r="C1310" s="84"/>
      <c r="D1310" s="84"/>
      <c r="E1310" s="84"/>
      <c r="F1310" s="85"/>
      <c r="G1310" s="84"/>
      <c r="H1310" s="84"/>
    </row>
    <row r="1311" spans="1:8" s="64" customFormat="1">
      <c r="A1311" s="84"/>
      <c r="B1311" s="84"/>
      <c r="C1311" s="84"/>
      <c r="D1311" s="84"/>
      <c r="E1311" s="84"/>
      <c r="F1311" s="85"/>
      <c r="G1311" s="84"/>
      <c r="H1311" s="84"/>
    </row>
    <row r="1312" spans="1:8" s="64" customFormat="1">
      <c r="A1312" s="84"/>
      <c r="B1312" s="84"/>
      <c r="C1312" s="84"/>
      <c r="D1312" s="84"/>
      <c r="E1312" s="84"/>
      <c r="F1312" s="85"/>
      <c r="G1312" s="84"/>
      <c r="H1312" s="84"/>
    </row>
    <row r="1313" spans="1:8" s="64" customFormat="1">
      <c r="A1313" s="84"/>
      <c r="B1313" s="84"/>
      <c r="C1313" s="84"/>
      <c r="D1313" s="84"/>
      <c r="E1313" s="84"/>
      <c r="F1313" s="85"/>
      <c r="G1313" s="84"/>
      <c r="H1313" s="84"/>
    </row>
    <row r="1314" spans="1:8" s="64" customFormat="1">
      <c r="A1314" s="84"/>
      <c r="B1314" s="84"/>
      <c r="C1314" s="84"/>
      <c r="D1314" s="84"/>
      <c r="E1314" s="84"/>
      <c r="F1314" s="85"/>
      <c r="G1314" s="84"/>
      <c r="H1314" s="84"/>
    </row>
    <row r="1315" spans="1:8" s="64" customFormat="1">
      <c r="A1315" s="84"/>
      <c r="B1315" s="84"/>
      <c r="C1315" s="84"/>
      <c r="D1315" s="84"/>
      <c r="E1315" s="84"/>
      <c r="F1315" s="85"/>
      <c r="G1315" s="84"/>
      <c r="H1315" s="84"/>
    </row>
    <row r="1316" spans="1:8" s="64" customFormat="1">
      <c r="A1316" s="84"/>
      <c r="B1316" s="84"/>
      <c r="C1316" s="84"/>
      <c r="D1316" s="84"/>
      <c r="E1316" s="84"/>
      <c r="F1316" s="85"/>
      <c r="G1316" s="84"/>
      <c r="H1316" s="84"/>
    </row>
    <row r="1317" spans="1:8" s="64" customFormat="1">
      <c r="A1317" s="84"/>
      <c r="B1317" s="84"/>
      <c r="C1317" s="84"/>
      <c r="D1317" s="84"/>
      <c r="E1317" s="84"/>
      <c r="F1317" s="85"/>
      <c r="G1317" s="84"/>
      <c r="H1317" s="84"/>
    </row>
    <row r="1318" spans="1:8" s="64" customFormat="1">
      <c r="A1318" s="84"/>
      <c r="B1318" s="84"/>
      <c r="C1318" s="84"/>
      <c r="D1318" s="84"/>
      <c r="E1318" s="84"/>
      <c r="F1318" s="85"/>
      <c r="G1318" s="84"/>
      <c r="H1318" s="84"/>
    </row>
    <row r="1319" spans="1:8" s="64" customFormat="1">
      <c r="A1319" s="84"/>
      <c r="B1319" s="84"/>
      <c r="C1319" s="84"/>
      <c r="D1319" s="84"/>
      <c r="E1319" s="84"/>
      <c r="F1319" s="85"/>
      <c r="G1319" s="84"/>
      <c r="H1319" s="84"/>
    </row>
    <row r="1320" spans="1:8" s="64" customFormat="1">
      <c r="A1320" s="84"/>
      <c r="B1320" s="84"/>
      <c r="C1320" s="84"/>
      <c r="D1320" s="84"/>
      <c r="E1320" s="84"/>
      <c r="F1320" s="85"/>
      <c r="G1320" s="84"/>
      <c r="H1320" s="84"/>
    </row>
    <row r="1321" spans="1:8" s="64" customFormat="1">
      <c r="A1321" s="84"/>
      <c r="B1321" s="84"/>
      <c r="C1321" s="84"/>
      <c r="D1321" s="84"/>
      <c r="E1321" s="84"/>
      <c r="F1321" s="85"/>
      <c r="G1321" s="84"/>
      <c r="H1321" s="84"/>
    </row>
    <row r="1322" spans="1:8" s="64" customFormat="1">
      <c r="A1322" s="84"/>
      <c r="B1322" s="84"/>
      <c r="C1322" s="84"/>
      <c r="D1322" s="84"/>
      <c r="E1322" s="84"/>
      <c r="F1322" s="85"/>
      <c r="G1322" s="84"/>
      <c r="H1322" s="84"/>
    </row>
    <row r="1323" spans="1:8" s="64" customFormat="1">
      <c r="A1323" s="84"/>
      <c r="B1323" s="84"/>
      <c r="C1323" s="84"/>
      <c r="D1323" s="84"/>
      <c r="E1323" s="84"/>
      <c r="F1323" s="85"/>
      <c r="G1323" s="84"/>
      <c r="H1323" s="84"/>
    </row>
    <row r="1324" spans="1:8" s="64" customFormat="1">
      <c r="A1324" s="84"/>
      <c r="B1324" s="84"/>
      <c r="C1324" s="84"/>
      <c r="D1324" s="84"/>
      <c r="E1324" s="84"/>
      <c r="F1324" s="85"/>
      <c r="G1324" s="84"/>
      <c r="H1324" s="84"/>
    </row>
    <row r="1325" spans="1:8" s="64" customFormat="1">
      <c r="A1325" s="84"/>
      <c r="B1325" s="84"/>
      <c r="C1325" s="84"/>
      <c r="D1325" s="84"/>
      <c r="E1325" s="84"/>
      <c r="F1325" s="85"/>
      <c r="G1325" s="84"/>
      <c r="H1325" s="84"/>
    </row>
    <row r="1326" spans="1:8" s="64" customFormat="1">
      <c r="A1326" s="84"/>
      <c r="B1326" s="84"/>
      <c r="C1326" s="84"/>
      <c r="D1326" s="84"/>
      <c r="E1326" s="84"/>
      <c r="F1326" s="85"/>
      <c r="G1326" s="84"/>
      <c r="H1326" s="84"/>
    </row>
    <row r="1327" spans="1:8" s="64" customFormat="1">
      <c r="A1327" s="84"/>
      <c r="B1327" s="84"/>
      <c r="C1327" s="84"/>
      <c r="D1327" s="84"/>
      <c r="E1327" s="84"/>
      <c r="F1327" s="85"/>
      <c r="G1327" s="84"/>
      <c r="H1327" s="84"/>
    </row>
    <row r="1328" spans="1:8" s="64" customFormat="1">
      <c r="A1328" s="84"/>
      <c r="B1328" s="84"/>
      <c r="C1328" s="84"/>
      <c r="D1328" s="84"/>
      <c r="E1328" s="84"/>
      <c r="F1328" s="85"/>
      <c r="G1328" s="84"/>
      <c r="H1328" s="84"/>
    </row>
    <row r="1329" spans="1:8" s="64" customFormat="1">
      <c r="A1329" s="84"/>
      <c r="B1329" s="84"/>
      <c r="C1329" s="84"/>
      <c r="D1329" s="84"/>
      <c r="E1329" s="84"/>
      <c r="F1329" s="85"/>
      <c r="G1329" s="84"/>
      <c r="H1329" s="84"/>
    </row>
    <row r="1330" spans="1:8" s="64" customFormat="1">
      <c r="A1330" s="84"/>
      <c r="B1330" s="84"/>
      <c r="C1330" s="84"/>
      <c r="D1330" s="84"/>
      <c r="E1330" s="84"/>
      <c r="F1330" s="85"/>
      <c r="G1330" s="84"/>
      <c r="H1330" s="84"/>
    </row>
    <row r="1331" spans="1:8" s="64" customFormat="1">
      <c r="A1331" s="84"/>
      <c r="B1331" s="84"/>
      <c r="C1331" s="84"/>
      <c r="D1331" s="84"/>
      <c r="E1331" s="84"/>
      <c r="F1331" s="85"/>
      <c r="G1331" s="84"/>
      <c r="H1331" s="84"/>
    </row>
    <row r="1332" spans="1:8" s="64" customFormat="1">
      <c r="A1332" s="84"/>
      <c r="B1332" s="84"/>
      <c r="C1332" s="84"/>
      <c r="D1332" s="84"/>
      <c r="E1332" s="84"/>
      <c r="F1332" s="85"/>
      <c r="G1332" s="84"/>
      <c r="H1332" s="84"/>
    </row>
    <row r="1333" spans="1:8" s="64" customFormat="1">
      <c r="A1333" s="84"/>
      <c r="B1333" s="84"/>
      <c r="C1333" s="84"/>
      <c r="D1333" s="84"/>
      <c r="E1333" s="84"/>
      <c r="F1333" s="85"/>
      <c r="G1333" s="84"/>
      <c r="H1333" s="84"/>
    </row>
    <row r="1334" spans="1:8" s="64" customFormat="1">
      <c r="A1334" s="84"/>
      <c r="B1334" s="84"/>
      <c r="C1334" s="84"/>
      <c r="D1334" s="84"/>
      <c r="E1334" s="84"/>
      <c r="F1334" s="85"/>
      <c r="G1334" s="84"/>
      <c r="H1334" s="84"/>
    </row>
    <row r="1335" spans="1:8" s="64" customFormat="1">
      <c r="A1335" s="84"/>
      <c r="B1335" s="84"/>
      <c r="C1335" s="84"/>
      <c r="D1335" s="84"/>
      <c r="E1335" s="84"/>
      <c r="F1335" s="85"/>
      <c r="G1335" s="84"/>
      <c r="H1335" s="84"/>
    </row>
    <row r="1336" spans="1:8" s="64" customFormat="1">
      <c r="A1336" s="84"/>
      <c r="B1336" s="84"/>
      <c r="C1336" s="84"/>
      <c r="D1336" s="84"/>
      <c r="E1336" s="84"/>
      <c r="F1336" s="85"/>
      <c r="G1336" s="84"/>
      <c r="H1336" s="84"/>
    </row>
    <row r="1337" spans="1:8" s="64" customFormat="1">
      <c r="A1337" s="84"/>
      <c r="B1337" s="84"/>
      <c r="C1337" s="84"/>
      <c r="D1337" s="84"/>
      <c r="E1337" s="84"/>
      <c r="F1337" s="85"/>
      <c r="G1337" s="84"/>
      <c r="H1337" s="84"/>
    </row>
    <row r="1338" spans="1:8" s="64" customFormat="1">
      <c r="A1338" s="84"/>
      <c r="B1338" s="84"/>
      <c r="C1338" s="84"/>
      <c r="D1338" s="84"/>
      <c r="E1338" s="84"/>
      <c r="F1338" s="85"/>
      <c r="G1338" s="84"/>
      <c r="H1338" s="84"/>
    </row>
    <row r="1339" spans="1:8" s="64" customFormat="1">
      <c r="A1339" s="84"/>
      <c r="B1339" s="84"/>
      <c r="C1339" s="84"/>
      <c r="D1339" s="84"/>
      <c r="E1339" s="84"/>
      <c r="F1339" s="85"/>
      <c r="G1339" s="84"/>
      <c r="H1339" s="84"/>
    </row>
    <row r="1340" spans="1:8" s="64" customFormat="1">
      <c r="A1340" s="84"/>
      <c r="B1340" s="84"/>
      <c r="C1340" s="84"/>
      <c r="D1340" s="84"/>
      <c r="E1340" s="84"/>
      <c r="F1340" s="85"/>
      <c r="G1340" s="84"/>
      <c r="H1340" s="84"/>
    </row>
    <row r="1341" spans="1:8" s="64" customFormat="1">
      <c r="A1341" s="84"/>
      <c r="B1341" s="84"/>
      <c r="C1341" s="84"/>
      <c r="D1341" s="84"/>
      <c r="E1341" s="84"/>
      <c r="F1341" s="85"/>
      <c r="G1341" s="84"/>
      <c r="H1341" s="84"/>
    </row>
    <row r="1342" spans="1:8" s="64" customFormat="1">
      <c r="A1342" s="84"/>
      <c r="B1342" s="84"/>
      <c r="C1342" s="84"/>
      <c r="D1342" s="84"/>
      <c r="E1342" s="84"/>
      <c r="F1342" s="85"/>
      <c r="G1342" s="84"/>
      <c r="H1342" s="84"/>
    </row>
    <row r="1343" spans="1:8" s="64" customFormat="1">
      <c r="A1343" s="84"/>
      <c r="B1343" s="84"/>
      <c r="C1343" s="84"/>
      <c r="D1343" s="84"/>
      <c r="E1343" s="84"/>
      <c r="F1343" s="85"/>
      <c r="G1343" s="84"/>
      <c r="H1343" s="84"/>
    </row>
    <row r="1344" spans="1:8" s="64" customFormat="1">
      <c r="A1344" s="84"/>
      <c r="B1344" s="84"/>
      <c r="C1344" s="84"/>
      <c r="D1344" s="84"/>
      <c r="E1344" s="84"/>
      <c r="F1344" s="85"/>
      <c r="G1344" s="84"/>
      <c r="H1344" s="84"/>
    </row>
    <row r="1345" spans="1:8" s="64" customFormat="1">
      <c r="A1345" s="84"/>
      <c r="B1345" s="84"/>
      <c r="C1345" s="84"/>
      <c r="D1345" s="84"/>
      <c r="E1345" s="84"/>
      <c r="F1345" s="85"/>
      <c r="G1345" s="84"/>
      <c r="H1345" s="84"/>
    </row>
    <row r="1346" spans="1:8" s="64" customFormat="1">
      <c r="A1346" s="84"/>
      <c r="B1346" s="84"/>
      <c r="C1346" s="84"/>
      <c r="D1346" s="84"/>
      <c r="E1346" s="84"/>
      <c r="F1346" s="85"/>
      <c r="G1346" s="84"/>
      <c r="H1346" s="84"/>
    </row>
    <row r="1347" spans="1:8" s="64" customFormat="1">
      <c r="A1347" s="84"/>
      <c r="B1347" s="84"/>
      <c r="C1347" s="84"/>
      <c r="D1347" s="84"/>
      <c r="E1347" s="84"/>
      <c r="F1347" s="85"/>
      <c r="G1347" s="84"/>
      <c r="H1347" s="84"/>
    </row>
    <row r="1348" spans="1:8" s="64" customFormat="1">
      <c r="A1348" s="84"/>
      <c r="B1348" s="84"/>
      <c r="C1348" s="84"/>
      <c r="D1348" s="84"/>
      <c r="E1348" s="84"/>
      <c r="F1348" s="85"/>
      <c r="G1348" s="84"/>
      <c r="H1348" s="84"/>
    </row>
    <row r="1349" spans="1:8" s="64" customFormat="1">
      <c r="A1349" s="84"/>
      <c r="B1349" s="84"/>
      <c r="C1349" s="84"/>
      <c r="D1349" s="84"/>
      <c r="E1349" s="84"/>
      <c r="F1349" s="85"/>
      <c r="G1349" s="84"/>
      <c r="H1349" s="84"/>
    </row>
    <row r="1350" spans="1:8" s="64" customFormat="1">
      <c r="A1350" s="84"/>
      <c r="B1350" s="84"/>
      <c r="C1350" s="84"/>
      <c r="D1350" s="84"/>
      <c r="E1350" s="84"/>
      <c r="F1350" s="85"/>
      <c r="G1350" s="84"/>
      <c r="H1350" s="84"/>
    </row>
    <row r="1351" spans="1:8" s="64" customFormat="1">
      <c r="A1351" s="84"/>
      <c r="B1351" s="84"/>
      <c r="C1351" s="84"/>
      <c r="D1351" s="84"/>
      <c r="E1351" s="84"/>
      <c r="F1351" s="85"/>
      <c r="G1351" s="84"/>
      <c r="H1351" s="84"/>
    </row>
    <row r="1352" spans="1:8" s="64" customFormat="1">
      <c r="A1352" s="84"/>
      <c r="B1352" s="84"/>
      <c r="C1352" s="84"/>
      <c r="D1352" s="84"/>
      <c r="E1352" s="84"/>
      <c r="F1352" s="85"/>
      <c r="G1352" s="84"/>
      <c r="H1352" s="84"/>
    </row>
    <row r="1353" spans="1:8" s="64" customFormat="1">
      <c r="A1353" s="84"/>
      <c r="B1353" s="84"/>
      <c r="C1353" s="84"/>
      <c r="D1353" s="84"/>
      <c r="E1353" s="84"/>
      <c r="F1353" s="85"/>
      <c r="G1353" s="84"/>
      <c r="H1353" s="84"/>
    </row>
    <row r="1354" spans="1:8" s="64" customFormat="1">
      <c r="A1354" s="84"/>
      <c r="B1354" s="84"/>
      <c r="C1354" s="84"/>
      <c r="D1354" s="84"/>
      <c r="E1354" s="84"/>
      <c r="F1354" s="85"/>
      <c r="G1354" s="84"/>
      <c r="H1354" s="84"/>
    </row>
    <row r="1355" spans="1:8" s="64" customFormat="1">
      <c r="A1355" s="84"/>
      <c r="B1355" s="84"/>
      <c r="C1355" s="84"/>
      <c r="D1355" s="84"/>
      <c r="E1355" s="84"/>
      <c r="F1355" s="85"/>
      <c r="G1355" s="84"/>
      <c r="H1355" s="84"/>
    </row>
    <row r="1356" spans="1:8" s="64" customFormat="1">
      <c r="A1356" s="84"/>
      <c r="B1356" s="84"/>
      <c r="C1356" s="84"/>
      <c r="D1356" s="84"/>
      <c r="E1356" s="84"/>
      <c r="F1356" s="85"/>
      <c r="G1356" s="84"/>
      <c r="H1356" s="84"/>
    </row>
    <row r="1357" spans="1:8" s="64" customFormat="1">
      <c r="A1357" s="84"/>
      <c r="B1357" s="84"/>
      <c r="C1357" s="84"/>
      <c r="D1357" s="84"/>
      <c r="E1357" s="84"/>
      <c r="F1357" s="85"/>
      <c r="G1357" s="84"/>
      <c r="H1357" s="84"/>
    </row>
    <row r="1358" spans="1:8" s="64" customFormat="1">
      <c r="A1358" s="84"/>
      <c r="B1358" s="84"/>
      <c r="C1358" s="84"/>
      <c r="D1358" s="84"/>
      <c r="E1358" s="84"/>
      <c r="F1358" s="85"/>
      <c r="G1358" s="84"/>
      <c r="H1358" s="84"/>
    </row>
    <row r="1359" spans="1:8" s="64" customFormat="1">
      <c r="A1359" s="84"/>
      <c r="B1359" s="84"/>
      <c r="C1359" s="84"/>
      <c r="D1359" s="84"/>
      <c r="E1359" s="84"/>
      <c r="F1359" s="85"/>
      <c r="G1359" s="84"/>
      <c r="H1359" s="84"/>
    </row>
    <row r="1360" spans="1:8" s="64" customFormat="1">
      <c r="A1360" s="84"/>
      <c r="B1360" s="84"/>
      <c r="C1360" s="84"/>
      <c r="D1360" s="84"/>
      <c r="E1360" s="84"/>
      <c r="F1360" s="85"/>
      <c r="G1360" s="84"/>
      <c r="H1360" s="84"/>
    </row>
    <row r="1361" spans="1:8" s="64" customFormat="1">
      <c r="A1361" s="84"/>
      <c r="B1361" s="84"/>
      <c r="C1361" s="84"/>
      <c r="D1361" s="84"/>
      <c r="E1361" s="84"/>
      <c r="F1361" s="85"/>
      <c r="G1361" s="84"/>
      <c r="H1361" s="84"/>
    </row>
    <row r="1362" spans="1:8" s="64" customFormat="1">
      <c r="A1362" s="84"/>
      <c r="B1362" s="84"/>
      <c r="C1362" s="84"/>
      <c r="D1362" s="84"/>
      <c r="E1362" s="84"/>
      <c r="F1362" s="85"/>
      <c r="G1362" s="84"/>
      <c r="H1362" s="84"/>
    </row>
    <row r="1363" spans="1:8" s="64" customFormat="1">
      <c r="A1363" s="84"/>
      <c r="B1363" s="84"/>
      <c r="C1363" s="84"/>
      <c r="D1363" s="84"/>
      <c r="E1363" s="84"/>
      <c r="F1363" s="85"/>
      <c r="G1363" s="84"/>
      <c r="H1363" s="84"/>
    </row>
    <row r="1364" spans="1:8" s="64" customFormat="1">
      <c r="A1364" s="84"/>
      <c r="B1364" s="84"/>
      <c r="C1364" s="84"/>
      <c r="D1364" s="84"/>
      <c r="E1364" s="84"/>
      <c r="F1364" s="85"/>
      <c r="G1364" s="84"/>
      <c r="H1364" s="84"/>
    </row>
    <row r="1365" spans="1:8" s="64" customFormat="1">
      <c r="A1365" s="84"/>
      <c r="B1365" s="84"/>
      <c r="C1365" s="84"/>
      <c r="D1365" s="84"/>
      <c r="E1365" s="84"/>
      <c r="F1365" s="85"/>
      <c r="G1365" s="84"/>
      <c r="H1365" s="84"/>
    </row>
    <row r="1366" spans="1:8" s="64" customFormat="1">
      <c r="A1366" s="84"/>
      <c r="B1366" s="84"/>
      <c r="C1366" s="84"/>
      <c r="D1366" s="84"/>
      <c r="E1366" s="84"/>
      <c r="F1366" s="85"/>
      <c r="G1366" s="84"/>
      <c r="H1366" s="84"/>
    </row>
    <row r="1367" spans="1:8" s="64" customFormat="1">
      <c r="A1367" s="84"/>
      <c r="B1367" s="84"/>
      <c r="C1367" s="84"/>
      <c r="D1367" s="84"/>
      <c r="E1367" s="84"/>
      <c r="F1367" s="85"/>
      <c r="G1367" s="84"/>
      <c r="H1367" s="84"/>
    </row>
    <row r="1368" spans="1:8" s="64" customFormat="1">
      <c r="A1368" s="84"/>
      <c r="B1368" s="84"/>
      <c r="C1368" s="84"/>
      <c r="D1368" s="84"/>
      <c r="E1368" s="84"/>
      <c r="F1368" s="85"/>
      <c r="G1368" s="84"/>
      <c r="H1368" s="84"/>
    </row>
    <row r="1369" spans="1:8" s="64" customFormat="1">
      <c r="A1369" s="84"/>
      <c r="B1369" s="84"/>
      <c r="C1369" s="84"/>
      <c r="D1369" s="84"/>
      <c r="E1369" s="84"/>
      <c r="F1369" s="85"/>
      <c r="G1369" s="84"/>
      <c r="H1369" s="84"/>
    </row>
    <row r="1370" spans="1:8" s="64" customFormat="1">
      <c r="A1370" s="84"/>
      <c r="B1370" s="84"/>
      <c r="C1370" s="84"/>
      <c r="D1370" s="84"/>
      <c r="E1370" s="84"/>
      <c r="F1370" s="85"/>
      <c r="G1370" s="84"/>
      <c r="H1370" s="84"/>
    </row>
    <row r="1371" spans="1:8" s="64" customFormat="1">
      <c r="A1371" s="84"/>
      <c r="B1371" s="84"/>
      <c r="C1371" s="84"/>
      <c r="D1371" s="84"/>
      <c r="E1371" s="84"/>
      <c r="F1371" s="85"/>
      <c r="G1371" s="84"/>
      <c r="H1371" s="84"/>
    </row>
    <row r="1372" spans="1:8" s="64" customFormat="1">
      <c r="A1372" s="84"/>
      <c r="B1372" s="84"/>
      <c r="C1372" s="84"/>
      <c r="D1372" s="84"/>
      <c r="E1372" s="84"/>
      <c r="F1372" s="85"/>
      <c r="G1372" s="84"/>
      <c r="H1372" s="84"/>
    </row>
    <row r="1373" spans="1:8" s="64" customFormat="1">
      <c r="A1373" s="84"/>
      <c r="B1373" s="84"/>
      <c r="C1373" s="84"/>
      <c r="D1373" s="84"/>
      <c r="E1373" s="84"/>
      <c r="F1373" s="85"/>
      <c r="G1373" s="84"/>
      <c r="H1373" s="84"/>
    </row>
    <row r="1374" spans="1:8" s="64" customFormat="1">
      <c r="A1374" s="84"/>
      <c r="B1374" s="84"/>
      <c r="C1374" s="84"/>
      <c r="D1374" s="84"/>
      <c r="E1374" s="84"/>
      <c r="F1374" s="85"/>
      <c r="G1374" s="84"/>
      <c r="H1374" s="84"/>
    </row>
    <row r="1375" spans="1:8" s="64" customFormat="1">
      <c r="A1375" s="84"/>
      <c r="B1375" s="84"/>
      <c r="C1375" s="84"/>
      <c r="D1375" s="84"/>
      <c r="E1375" s="84"/>
      <c r="F1375" s="85"/>
      <c r="G1375" s="84"/>
      <c r="H1375" s="84"/>
    </row>
    <row r="1376" spans="1:8" s="64" customFormat="1">
      <c r="A1376" s="84"/>
      <c r="B1376" s="84"/>
      <c r="C1376" s="84"/>
      <c r="D1376" s="84"/>
      <c r="E1376" s="84"/>
      <c r="F1376" s="85"/>
      <c r="G1376" s="84"/>
      <c r="H1376" s="84"/>
    </row>
    <row r="1377" spans="1:8" s="64" customFormat="1">
      <c r="A1377" s="84"/>
      <c r="B1377" s="84"/>
      <c r="C1377" s="84"/>
      <c r="D1377" s="84"/>
      <c r="E1377" s="84"/>
      <c r="F1377" s="85"/>
      <c r="G1377" s="84"/>
      <c r="H1377" s="84"/>
    </row>
    <row r="1378" spans="1:8" s="64" customFormat="1">
      <c r="A1378" s="84"/>
      <c r="B1378" s="84"/>
      <c r="C1378" s="84"/>
      <c r="D1378" s="84"/>
      <c r="E1378" s="84"/>
      <c r="F1378" s="85"/>
      <c r="G1378" s="84"/>
      <c r="H1378" s="84"/>
    </row>
    <row r="1379" spans="1:8" s="64" customFormat="1">
      <c r="A1379" s="84"/>
      <c r="B1379" s="84"/>
      <c r="C1379" s="84"/>
      <c r="D1379" s="84"/>
      <c r="E1379" s="84"/>
      <c r="F1379" s="85"/>
      <c r="G1379" s="84"/>
      <c r="H1379" s="84"/>
    </row>
    <row r="1380" spans="1:8" s="64" customFormat="1">
      <c r="A1380" s="84"/>
      <c r="B1380" s="84"/>
      <c r="C1380" s="84"/>
      <c r="D1380" s="84"/>
      <c r="E1380" s="84"/>
      <c r="F1380" s="85"/>
      <c r="G1380" s="84"/>
      <c r="H1380" s="84"/>
    </row>
    <row r="1381" spans="1:8" s="64" customFormat="1">
      <c r="A1381" s="84"/>
      <c r="B1381" s="84"/>
      <c r="C1381" s="84"/>
      <c r="D1381" s="84"/>
      <c r="E1381" s="84"/>
      <c r="F1381" s="85"/>
      <c r="G1381" s="84"/>
      <c r="H1381" s="84"/>
    </row>
    <row r="1382" spans="1:8" s="64" customFormat="1">
      <c r="A1382" s="84"/>
      <c r="B1382" s="84"/>
      <c r="C1382" s="84"/>
      <c r="D1382" s="84"/>
      <c r="E1382" s="84"/>
      <c r="F1382" s="85"/>
      <c r="G1382" s="84"/>
      <c r="H1382" s="84"/>
    </row>
    <row r="1383" spans="1:8" s="64" customFormat="1">
      <c r="A1383" s="84"/>
      <c r="B1383" s="84"/>
      <c r="C1383" s="84"/>
      <c r="D1383" s="84"/>
      <c r="E1383" s="84"/>
      <c r="F1383" s="85"/>
      <c r="G1383" s="84"/>
      <c r="H1383" s="84"/>
    </row>
    <row r="1384" spans="1:8" s="64" customFormat="1">
      <c r="A1384" s="84"/>
      <c r="B1384" s="84"/>
      <c r="C1384" s="84"/>
      <c r="D1384" s="84"/>
      <c r="E1384" s="84"/>
      <c r="F1384" s="85"/>
      <c r="G1384" s="84"/>
      <c r="H1384" s="84"/>
    </row>
    <row r="1385" spans="1:8" s="64" customFormat="1">
      <c r="A1385" s="84"/>
      <c r="B1385" s="84"/>
      <c r="C1385" s="84"/>
      <c r="D1385" s="84"/>
      <c r="E1385" s="84"/>
      <c r="F1385" s="85"/>
      <c r="G1385" s="84"/>
      <c r="H1385" s="84"/>
    </row>
    <row r="1386" spans="1:8" s="64" customFormat="1">
      <c r="A1386" s="84"/>
      <c r="B1386" s="84"/>
      <c r="C1386" s="84"/>
      <c r="D1386" s="84"/>
      <c r="E1386" s="84"/>
      <c r="F1386" s="85"/>
      <c r="G1386" s="84"/>
      <c r="H1386" s="84"/>
    </row>
    <row r="1387" spans="1:8" s="64" customFormat="1">
      <c r="A1387" s="84"/>
      <c r="B1387" s="84"/>
      <c r="C1387" s="84"/>
      <c r="D1387" s="84"/>
      <c r="E1387" s="84"/>
      <c r="F1387" s="85"/>
      <c r="G1387" s="84"/>
      <c r="H1387" s="84"/>
    </row>
    <row r="1388" spans="1:8" s="64" customFormat="1">
      <c r="A1388" s="84"/>
      <c r="B1388" s="84"/>
      <c r="C1388" s="84"/>
      <c r="D1388" s="84"/>
      <c r="E1388" s="84"/>
      <c r="F1388" s="85"/>
      <c r="G1388" s="84"/>
      <c r="H1388" s="84"/>
    </row>
    <row r="1389" spans="1:8" s="64" customFormat="1">
      <c r="A1389" s="84"/>
      <c r="B1389" s="84"/>
      <c r="C1389" s="84"/>
      <c r="D1389" s="84"/>
      <c r="E1389" s="84"/>
      <c r="F1389" s="85"/>
      <c r="G1389" s="84"/>
      <c r="H1389" s="84"/>
    </row>
    <row r="1390" spans="1:8" s="64" customFormat="1">
      <c r="A1390" s="84"/>
      <c r="B1390" s="84"/>
      <c r="C1390" s="84"/>
      <c r="D1390" s="84"/>
      <c r="E1390" s="84"/>
      <c r="F1390" s="85"/>
      <c r="G1390" s="84"/>
      <c r="H1390" s="84"/>
    </row>
    <row r="1391" spans="1:8" s="64" customFormat="1">
      <c r="A1391" s="84"/>
      <c r="B1391" s="84"/>
      <c r="C1391" s="84"/>
      <c r="D1391" s="84"/>
      <c r="E1391" s="84"/>
      <c r="F1391" s="85"/>
      <c r="G1391" s="84"/>
      <c r="H1391" s="84"/>
    </row>
    <row r="1392" spans="1:8" s="64" customFormat="1">
      <c r="A1392" s="84"/>
      <c r="B1392" s="84"/>
      <c r="C1392" s="84"/>
      <c r="D1392" s="84"/>
      <c r="E1392" s="84"/>
      <c r="F1392" s="85"/>
      <c r="G1392" s="84"/>
      <c r="H1392" s="84"/>
    </row>
    <row r="1393" spans="1:8" s="64" customFormat="1">
      <c r="A1393" s="84"/>
      <c r="B1393" s="84"/>
      <c r="C1393" s="84"/>
      <c r="D1393" s="84"/>
      <c r="E1393" s="84"/>
      <c r="F1393" s="85"/>
      <c r="G1393" s="84"/>
      <c r="H1393" s="84"/>
    </row>
    <row r="1394" spans="1:8" s="64" customFormat="1">
      <c r="A1394" s="84"/>
      <c r="B1394" s="84"/>
      <c r="C1394" s="84"/>
      <c r="D1394" s="84"/>
      <c r="E1394" s="84"/>
      <c r="F1394" s="85"/>
      <c r="G1394" s="84"/>
      <c r="H1394" s="84"/>
    </row>
    <row r="1395" spans="1:8" s="64" customFormat="1">
      <c r="A1395" s="84"/>
      <c r="B1395" s="84"/>
      <c r="C1395" s="84"/>
      <c r="D1395" s="84"/>
      <c r="E1395" s="84"/>
      <c r="F1395" s="85"/>
      <c r="G1395" s="84"/>
      <c r="H1395" s="84"/>
    </row>
    <row r="1396" spans="1:8" s="64" customFormat="1">
      <c r="A1396" s="84"/>
      <c r="B1396" s="84"/>
      <c r="C1396" s="84"/>
      <c r="D1396" s="84"/>
      <c r="E1396" s="84"/>
      <c r="F1396" s="85"/>
      <c r="G1396" s="84"/>
      <c r="H1396" s="84"/>
    </row>
    <row r="1397" spans="1:8" s="64" customFormat="1">
      <c r="A1397" s="84"/>
      <c r="B1397" s="84"/>
      <c r="C1397" s="84"/>
      <c r="D1397" s="84"/>
      <c r="E1397" s="84"/>
      <c r="F1397" s="85"/>
      <c r="G1397" s="84"/>
      <c r="H1397" s="84"/>
    </row>
    <row r="1398" spans="1:8" s="64" customFormat="1">
      <c r="A1398" s="84"/>
      <c r="B1398" s="84"/>
      <c r="C1398" s="84"/>
      <c r="D1398" s="84"/>
      <c r="E1398" s="84"/>
      <c r="F1398" s="85"/>
      <c r="G1398" s="84"/>
      <c r="H1398" s="84"/>
    </row>
    <row r="1399" spans="1:8" s="64" customFormat="1">
      <c r="A1399" s="84"/>
      <c r="B1399" s="84"/>
      <c r="C1399" s="84"/>
      <c r="D1399" s="84"/>
      <c r="E1399" s="84"/>
      <c r="F1399" s="85"/>
      <c r="G1399" s="84"/>
      <c r="H1399" s="84"/>
    </row>
    <row r="1400" spans="1:8" s="64" customFormat="1">
      <c r="A1400" s="84"/>
      <c r="B1400" s="84"/>
      <c r="C1400" s="84"/>
      <c r="D1400" s="84"/>
      <c r="E1400" s="84"/>
      <c r="F1400" s="85"/>
      <c r="G1400" s="84"/>
      <c r="H1400" s="84"/>
    </row>
    <row r="1401" spans="1:8" s="64" customFormat="1">
      <c r="A1401" s="84"/>
      <c r="B1401" s="84"/>
      <c r="C1401" s="84"/>
      <c r="D1401" s="84"/>
      <c r="E1401" s="84"/>
      <c r="F1401" s="85"/>
      <c r="G1401" s="84"/>
      <c r="H1401" s="84"/>
    </row>
    <row r="1402" spans="1:8" s="64" customFormat="1">
      <c r="A1402" s="84"/>
      <c r="B1402" s="84"/>
      <c r="C1402" s="84"/>
      <c r="D1402" s="84"/>
      <c r="E1402" s="84"/>
      <c r="F1402" s="85"/>
      <c r="G1402" s="84"/>
      <c r="H1402" s="84"/>
    </row>
    <row r="1403" spans="1:8" s="64" customFormat="1">
      <c r="A1403" s="84"/>
      <c r="B1403" s="84"/>
      <c r="C1403" s="84"/>
      <c r="D1403" s="84"/>
      <c r="E1403" s="84"/>
      <c r="F1403" s="85"/>
      <c r="G1403" s="84"/>
      <c r="H1403" s="84"/>
    </row>
    <row r="1404" spans="1:8" s="64" customFormat="1">
      <c r="A1404" s="84"/>
      <c r="B1404" s="84"/>
      <c r="C1404" s="84"/>
      <c r="D1404" s="84"/>
      <c r="E1404" s="84"/>
      <c r="F1404" s="85"/>
      <c r="G1404" s="84"/>
      <c r="H1404" s="84"/>
    </row>
    <row r="1405" spans="1:8" s="64" customFormat="1">
      <c r="A1405" s="84"/>
      <c r="B1405" s="84"/>
      <c r="C1405" s="84"/>
      <c r="D1405" s="84"/>
      <c r="E1405" s="84"/>
      <c r="F1405" s="85"/>
      <c r="G1405" s="84"/>
      <c r="H1405" s="84"/>
    </row>
    <row r="1406" spans="1:8" s="64" customFormat="1">
      <c r="A1406" s="84"/>
      <c r="B1406" s="84"/>
      <c r="C1406" s="84"/>
      <c r="D1406" s="84"/>
      <c r="E1406" s="84"/>
      <c r="F1406" s="85"/>
      <c r="G1406" s="84"/>
      <c r="H1406" s="84"/>
    </row>
    <row r="1407" spans="1:8" s="64" customFormat="1">
      <c r="A1407" s="84"/>
      <c r="B1407" s="84"/>
      <c r="C1407" s="84"/>
      <c r="D1407" s="84"/>
      <c r="E1407" s="84"/>
      <c r="F1407" s="85"/>
      <c r="G1407" s="84"/>
      <c r="H1407" s="84"/>
    </row>
    <row r="1408" spans="1:8" s="64" customFormat="1">
      <c r="A1408" s="84"/>
      <c r="B1408" s="84"/>
      <c r="C1408" s="84"/>
      <c r="D1408" s="84"/>
      <c r="E1408" s="84"/>
      <c r="F1408" s="85"/>
      <c r="G1408" s="84"/>
      <c r="H1408" s="84"/>
    </row>
    <row r="1409" spans="1:8" s="64" customFormat="1">
      <c r="A1409" s="84"/>
      <c r="B1409" s="84"/>
      <c r="C1409" s="84"/>
      <c r="D1409" s="84"/>
      <c r="E1409" s="84"/>
      <c r="F1409" s="85"/>
      <c r="G1409" s="84"/>
      <c r="H1409" s="84"/>
    </row>
    <row r="1410" spans="1:8" s="64" customFormat="1">
      <c r="A1410" s="84"/>
      <c r="B1410" s="84"/>
      <c r="C1410" s="84"/>
      <c r="D1410" s="84"/>
      <c r="E1410" s="84"/>
      <c r="F1410" s="85"/>
      <c r="G1410" s="84"/>
      <c r="H1410" s="84"/>
    </row>
    <row r="1411" spans="1:8" s="64" customFormat="1">
      <c r="A1411" s="84"/>
      <c r="B1411" s="84"/>
      <c r="C1411" s="84"/>
      <c r="D1411" s="84"/>
      <c r="E1411" s="84"/>
      <c r="F1411" s="85"/>
      <c r="G1411" s="84"/>
      <c r="H1411" s="84"/>
    </row>
    <row r="1412" spans="1:8" s="64" customFormat="1">
      <c r="A1412" s="84"/>
      <c r="B1412" s="84"/>
      <c r="C1412" s="84"/>
      <c r="D1412" s="84"/>
      <c r="E1412" s="84"/>
      <c r="F1412" s="85"/>
      <c r="G1412" s="84"/>
      <c r="H1412" s="84"/>
    </row>
    <row r="1413" spans="1:8" s="64" customFormat="1">
      <c r="A1413" s="84"/>
      <c r="B1413" s="84"/>
      <c r="C1413" s="84"/>
      <c r="D1413" s="84"/>
      <c r="E1413" s="84"/>
      <c r="F1413" s="85"/>
      <c r="G1413" s="84"/>
      <c r="H1413" s="84"/>
    </row>
    <row r="1414" spans="1:8" s="64" customFormat="1">
      <c r="A1414" s="84"/>
      <c r="B1414" s="84"/>
      <c r="C1414" s="84"/>
      <c r="D1414" s="84"/>
      <c r="E1414" s="84"/>
      <c r="F1414" s="85"/>
      <c r="G1414" s="84"/>
      <c r="H1414" s="84"/>
    </row>
    <row r="1415" spans="1:8" s="64" customFormat="1">
      <c r="A1415" s="84"/>
      <c r="B1415" s="84"/>
      <c r="C1415" s="84"/>
      <c r="D1415" s="84"/>
      <c r="E1415" s="84"/>
      <c r="F1415" s="85"/>
      <c r="G1415" s="84"/>
      <c r="H1415" s="84"/>
    </row>
    <row r="1416" spans="1:8" s="64" customFormat="1">
      <c r="A1416" s="84"/>
      <c r="B1416" s="84"/>
      <c r="C1416" s="84"/>
      <c r="D1416" s="84"/>
      <c r="E1416" s="84"/>
      <c r="F1416" s="85"/>
      <c r="G1416" s="84"/>
      <c r="H1416" s="84"/>
    </row>
    <row r="1417" spans="1:8" s="64" customFormat="1">
      <c r="A1417" s="84"/>
      <c r="B1417" s="84"/>
      <c r="C1417" s="84"/>
      <c r="D1417" s="84"/>
      <c r="E1417" s="84"/>
      <c r="F1417" s="85"/>
      <c r="G1417" s="84"/>
      <c r="H1417" s="84"/>
    </row>
    <row r="1418" spans="1:8" s="64" customFormat="1">
      <c r="A1418" s="84"/>
      <c r="B1418" s="84"/>
      <c r="C1418" s="84"/>
      <c r="D1418" s="84"/>
      <c r="E1418" s="84"/>
      <c r="F1418" s="85"/>
      <c r="G1418" s="84"/>
      <c r="H1418" s="84"/>
    </row>
    <row r="1419" spans="1:8" s="64" customFormat="1">
      <c r="A1419" s="84"/>
      <c r="B1419" s="84"/>
      <c r="C1419" s="84"/>
      <c r="D1419" s="84"/>
      <c r="E1419" s="84"/>
      <c r="F1419" s="85"/>
      <c r="G1419" s="84"/>
      <c r="H1419" s="84"/>
    </row>
    <row r="1420" spans="1:8" s="64" customFormat="1">
      <c r="A1420" s="84"/>
      <c r="B1420" s="84"/>
      <c r="C1420" s="84"/>
      <c r="D1420" s="84"/>
      <c r="E1420" s="84"/>
      <c r="F1420" s="85"/>
      <c r="G1420" s="84"/>
      <c r="H1420" s="84"/>
    </row>
    <row r="1421" spans="1:8" s="64" customFormat="1">
      <c r="A1421" s="84"/>
      <c r="B1421" s="84"/>
      <c r="C1421" s="84"/>
      <c r="D1421" s="84"/>
      <c r="E1421" s="84"/>
      <c r="F1421" s="85"/>
      <c r="G1421" s="84"/>
      <c r="H1421" s="84"/>
    </row>
    <row r="1422" spans="1:8" s="64" customFormat="1">
      <c r="A1422" s="84"/>
      <c r="B1422" s="84"/>
      <c r="C1422" s="84"/>
      <c r="D1422" s="84"/>
      <c r="E1422" s="84"/>
      <c r="F1422" s="85"/>
      <c r="G1422" s="84"/>
      <c r="H1422" s="84"/>
    </row>
    <row r="1423" spans="1:8" s="64" customFormat="1">
      <c r="A1423" s="84"/>
      <c r="B1423" s="84"/>
      <c r="C1423" s="84"/>
      <c r="D1423" s="84"/>
      <c r="E1423" s="84"/>
      <c r="F1423" s="85"/>
      <c r="G1423" s="84"/>
      <c r="H1423" s="84"/>
    </row>
    <row r="1424" spans="1:8" s="64" customFormat="1">
      <c r="A1424" s="84"/>
      <c r="B1424" s="84"/>
      <c r="C1424" s="84"/>
      <c r="D1424" s="84"/>
      <c r="E1424" s="84"/>
      <c r="F1424" s="85"/>
      <c r="G1424" s="84"/>
      <c r="H1424" s="84"/>
    </row>
    <row r="1425" spans="1:8" s="64" customFormat="1">
      <c r="A1425" s="84"/>
      <c r="B1425" s="84"/>
      <c r="C1425" s="84"/>
      <c r="D1425" s="84"/>
      <c r="E1425" s="84"/>
      <c r="F1425" s="85"/>
      <c r="G1425" s="84"/>
      <c r="H1425" s="84"/>
    </row>
    <row r="1426" spans="1:8" s="64" customFormat="1">
      <c r="A1426" s="84"/>
      <c r="B1426" s="84"/>
      <c r="C1426" s="84"/>
      <c r="D1426" s="84"/>
      <c r="E1426" s="84"/>
      <c r="F1426" s="85"/>
      <c r="G1426" s="84"/>
      <c r="H1426" s="84"/>
    </row>
    <row r="1427" spans="1:8" s="64" customFormat="1">
      <c r="A1427" s="84"/>
      <c r="B1427" s="84"/>
      <c r="C1427" s="84"/>
      <c r="D1427" s="84"/>
      <c r="E1427" s="84"/>
      <c r="F1427" s="85"/>
      <c r="G1427" s="84"/>
      <c r="H1427" s="84"/>
    </row>
    <row r="1428" spans="1:8" s="64" customFormat="1">
      <c r="A1428" s="84"/>
      <c r="B1428" s="84"/>
      <c r="C1428" s="84"/>
      <c r="D1428" s="84"/>
      <c r="E1428" s="84"/>
      <c r="F1428" s="85"/>
      <c r="G1428" s="84"/>
      <c r="H1428" s="84"/>
    </row>
    <row r="1429" spans="1:8" s="64" customFormat="1">
      <c r="A1429" s="84"/>
      <c r="B1429" s="84"/>
      <c r="C1429" s="84"/>
      <c r="D1429" s="84"/>
      <c r="E1429" s="84"/>
      <c r="F1429" s="85"/>
      <c r="G1429" s="84"/>
      <c r="H1429" s="84"/>
    </row>
    <row r="1430" spans="1:8" s="64" customFormat="1">
      <c r="A1430" s="84"/>
      <c r="B1430" s="84"/>
      <c r="C1430" s="84"/>
      <c r="D1430" s="84"/>
      <c r="E1430" s="84"/>
      <c r="F1430" s="85"/>
      <c r="G1430" s="84"/>
      <c r="H1430" s="84"/>
    </row>
    <row r="1431" spans="1:8" s="64" customFormat="1">
      <c r="A1431" s="84"/>
      <c r="B1431" s="84"/>
      <c r="C1431" s="84"/>
      <c r="D1431" s="84"/>
      <c r="E1431" s="84"/>
      <c r="F1431" s="85"/>
      <c r="G1431" s="84"/>
      <c r="H1431" s="84"/>
    </row>
    <row r="1432" spans="1:8" s="64" customFormat="1">
      <c r="A1432" s="84"/>
      <c r="B1432" s="84"/>
      <c r="C1432" s="84"/>
      <c r="D1432" s="84"/>
      <c r="E1432" s="84"/>
      <c r="F1432" s="85"/>
      <c r="G1432" s="84"/>
      <c r="H1432" s="84"/>
    </row>
    <row r="1433" spans="1:8" s="64" customFormat="1">
      <c r="A1433" s="84"/>
      <c r="B1433" s="84"/>
      <c r="C1433" s="84"/>
      <c r="D1433" s="84"/>
      <c r="E1433" s="84"/>
      <c r="F1433" s="85"/>
      <c r="G1433" s="84"/>
      <c r="H1433" s="84"/>
    </row>
    <row r="1434" spans="1:8" s="64" customFormat="1">
      <c r="A1434" s="84"/>
      <c r="B1434" s="84"/>
      <c r="C1434" s="84"/>
      <c r="D1434" s="84"/>
      <c r="E1434" s="84"/>
      <c r="F1434" s="85"/>
      <c r="G1434" s="84"/>
      <c r="H1434" s="84"/>
    </row>
    <row r="1435" spans="1:8" s="64" customFormat="1">
      <c r="A1435" s="84"/>
      <c r="B1435" s="84"/>
      <c r="C1435" s="84"/>
      <c r="D1435" s="84"/>
      <c r="E1435" s="84"/>
      <c r="F1435" s="85"/>
      <c r="G1435" s="84"/>
      <c r="H1435" s="84"/>
    </row>
    <row r="1436" spans="1:8" s="64" customFormat="1">
      <c r="A1436" s="84"/>
      <c r="B1436" s="84"/>
      <c r="C1436" s="84"/>
      <c r="D1436" s="84"/>
      <c r="E1436" s="84"/>
      <c r="F1436" s="85"/>
      <c r="G1436" s="84"/>
      <c r="H1436" s="84"/>
    </row>
    <row r="1437" spans="1:8" s="64" customFormat="1">
      <c r="A1437" s="84"/>
      <c r="B1437" s="84"/>
      <c r="C1437" s="84"/>
      <c r="D1437" s="84"/>
      <c r="E1437" s="84"/>
      <c r="F1437" s="85"/>
      <c r="G1437" s="84"/>
      <c r="H1437" s="84"/>
    </row>
    <row r="1438" spans="1:8" s="64" customFormat="1">
      <c r="A1438" s="84"/>
      <c r="B1438" s="84"/>
      <c r="C1438" s="84"/>
      <c r="D1438" s="84"/>
      <c r="E1438" s="84"/>
      <c r="F1438" s="85"/>
      <c r="G1438" s="84"/>
      <c r="H1438" s="84"/>
    </row>
    <row r="1439" spans="1:8" s="64" customFormat="1">
      <c r="A1439" s="84"/>
      <c r="B1439" s="84"/>
      <c r="C1439" s="84"/>
      <c r="D1439" s="84"/>
      <c r="E1439" s="84"/>
      <c r="F1439" s="85"/>
      <c r="G1439" s="84"/>
      <c r="H1439" s="84"/>
    </row>
    <row r="1440" spans="1:8" s="64" customFormat="1">
      <c r="A1440" s="84"/>
      <c r="B1440" s="84"/>
      <c r="C1440" s="84"/>
      <c r="D1440" s="84"/>
      <c r="E1440" s="84"/>
      <c r="F1440" s="85"/>
      <c r="G1440" s="84"/>
      <c r="H1440" s="84"/>
    </row>
    <row r="1441" spans="1:8" s="64" customFormat="1">
      <c r="A1441" s="84"/>
      <c r="B1441" s="84"/>
      <c r="C1441" s="84"/>
      <c r="D1441" s="84"/>
      <c r="E1441" s="84"/>
      <c r="F1441" s="85"/>
      <c r="G1441" s="84"/>
      <c r="H1441" s="84"/>
    </row>
    <row r="1442" spans="1:8" s="64" customFormat="1">
      <c r="A1442" s="84"/>
      <c r="B1442" s="84"/>
      <c r="C1442" s="84"/>
      <c r="D1442" s="84"/>
      <c r="E1442" s="84"/>
      <c r="F1442" s="85"/>
      <c r="G1442" s="84"/>
      <c r="H1442" s="84"/>
    </row>
    <row r="1443" spans="1:8" s="64" customFormat="1">
      <c r="A1443" s="84"/>
      <c r="B1443" s="84"/>
      <c r="C1443" s="84"/>
      <c r="D1443" s="84"/>
      <c r="E1443" s="84"/>
      <c r="F1443" s="85"/>
      <c r="G1443" s="84"/>
      <c r="H1443" s="84"/>
    </row>
    <row r="1444" spans="1:8" s="64" customFormat="1">
      <c r="A1444" s="84"/>
      <c r="B1444" s="84"/>
      <c r="C1444" s="84"/>
      <c r="D1444" s="84"/>
      <c r="E1444" s="84"/>
      <c r="F1444" s="85"/>
      <c r="G1444" s="84"/>
      <c r="H1444" s="84"/>
    </row>
    <row r="1445" spans="1:8" s="64" customFormat="1">
      <c r="A1445" s="84"/>
      <c r="B1445" s="84"/>
      <c r="C1445" s="84"/>
      <c r="D1445" s="84"/>
      <c r="E1445" s="84"/>
      <c r="F1445" s="85"/>
      <c r="G1445" s="84"/>
      <c r="H1445" s="84"/>
    </row>
    <row r="1446" spans="1:8" s="64" customFormat="1">
      <c r="A1446" s="84"/>
      <c r="B1446" s="84"/>
      <c r="C1446" s="84"/>
      <c r="D1446" s="84"/>
      <c r="E1446" s="84"/>
      <c r="F1446" s="85"/>
      <c r="G1446" s="84"/>
      <c r="H1446" s="84"/>
    </row>
    <row r="1447" spans="1:8" s="64" customFormat="1">
      <c r="A1447" s="84"/>
      <c r="B1447" s="84"/>
      <c r="C1447" s="84"/>
      <c r="D1447" s="84"/>
      <c r="E1447" s="84"/>
      <c r="F1447" s="85"/>
      <c r="G1447" s="84"/>
      <c r="H1447" s="84"/>
    </row>
    <row r="1448" spans="1:8" s="64" customFormat="1">
      <c r="A1448" s="84"/>
      <c r="B1448" s="84"/>
      <c r="C1448" s="84"/>
      <c r="D1448" s="84"/>
      <c r="E1448" s="84"/>
      <c r="F1448" s="85"/>
      <c r="G1448" s="84"/>
      <c r="H1448" s="84"/>
    </row>
    <row r="1449" spans="1:8" s="64" customFormat="1">
      <c r="A1449" s="84"/>
      <c r="B1449" s="84"/>
      <c r="C1449" s="84"/>
      <c r="D1449" s="84"/>
      <c r="E1449" s="84"/>
      <c r="F1449" s="85"/>
      <c r="G1449" s="84"/>
      <c r="H1449" s="84"/>
    </row>
    <row r="1450" spans="1:8" s="64" customFormat="1">
      <c r="A1450" s="84"/>
      <c r="B1450" s="84"/>
      <c r="C1450" s="84"/>
      <c r="D1450" s="84"/>
      <c r="E1450" s="84"/>
      <c r="F1450" s="85"/>
      <c r="G1450" s="84"/>
      <c r="H1450" s="84"/>
    </row>
    <row r="1451" spans="1:8" s="64" customFormat="1">
      <c r="A1451" s="84"/>
      <c r="B1451" s="84"/>
      <c r="C1451" s="84"/>
      <c r="D1451" s="84"/>
      <c r="E1451" s="84"/>
      <c r="F1451" s="85"/>
      <c r="G1451" s="84"/>
      <c r="H1451" s="84"/>
    </row>
    <row r="1452" spans="1:8" s="64" customFormat="1">
      <c r="A1452" s="84"/>
      <c r="B1452" s="84"/>
      <c r="C1452" s="84"/>
      <c r="D1452" s="84"/>
      <c r="E1452" s="84"/>
      <c r="F1452" s="85"/>
      <c r="G1452" s="84"/>
      <c r="H1452" s="84"/>
    </row>
    <row r="1453" spans="1:8" s="64" customFormat="1">
      <c r="A1453" s="84"/>
      <c r="B1453" s="84"/>
      <c r="C1453" s="84"/>
      <c r="D1453" s="84"/>
      <c r="E1453" s="84"/>
      <c r="F1453" s="85"/>
      <c r="G1453" s="84"/>
      <c r="H1453" s="84"/>
    </row>
    <row r="1454" spans="1:8" s="64" customFormat="1">
      <c r="A1454" s="84"/>
      <c r="B1454" s="84"/>
      <c r="C1454" s="84"/>
      <c r="D1454" s="84"/>
      <c r="E1454" s="84"/>
      <c r="F1454" s="85"/>
      <c r="G1454" s="84"/>
      <c r="H1454" s="84"/>
    </row>
    <row r="1455" spans="1:8" s="64" customFormat="1">
      <c r="A1455" s="84"/>
      <c r="B1455" s="84"/>
      <c r="C1455" s="84"/>
      <c r="D1455" s="84"/>
      <c r="E1455" s="84"/>
      <c r="F1455" s="85"/>
      <c r="G1455" s="84"/>
      <c r="H1455" s="84"/>
    </row>
    <row r="1456" spans="1:8" s="64" customFormat="1">
      <c r="A1456" s="84"/>
      <c r="B1456" s="84"/>
      <c r="C1456" s="84"/>
      <c r="D1456" s="84"/>
      <c r="E1456" s="84"/>
      <c r="F1456" s="85"/>
      <c r="G1456" s="84"/>
      <c r="H1456" s="84"/>
    </row>
    <row r="1457" spans="1:8" s="64" customFormat="1">
      <c r="A1457" s="84"/>
      <c r="B1457" s="84"/>
      <c r="C1457" s="84"/>
      <c r="D1457" s="84"/>
      <c r="E1457" s="84"/>
      <c r="F1457" s="85"/>
      <c r="G1457" s="84"/>
      <c r="H1457" s="84"/>
    </row>
    <row r="1458" spans="1:8" s="64" customFormat="1">
      <c r="A1458" s="84"/>
      <c r="B1458" s="84"/>
      <c r="C1458" s="84"/>
      <c r="D1458" s="84"/>
      <c r="E1458" s="84"/>
      <c r="F1458" s="85"/>
      <c r="G1458" s="84"/>
      <c r="H1458" s="84"/>
    </row>
    <row r="1459" spans="1:8" s="64" customFormat="1">
      <c r="A1459" s="84"/>
      <c r="B1459" s="84"/>
      <c r="C1459" s="84"/>
      <c r="D1459" s="84"/>
      <c r="E1459" s="84"/>
      <c r="F1459" s="85"/>
      <c r="G1459" s="84"/>
      <c r="H1459" s="84"/>
    </row>
    <row r="1460" spans="1:8" s="64" customFormat="1">
      <c r="A1460" s="84"/>
      <c r="B1460" s="84"/>
      <c r="C1460" s="84"/>
      <c r="D1460" s="84"/>
      <c r="E1460" s="84"/>
      <c r="F1460" s="85"/>
      <c r="G1460" s="84"/>
      <c r="H1460" s="84"/>
    </row>
    <row r="1461" spans="1:8" s="64" customFormat="1">
      <c r="A1461" s="84"/>
      <c r="B1461" s="84"/>
      <c r="C1461" s="84"/>
      <c r="D1461" s="84"/>
      <c r="E1461" s="84"/>
      <c r="F1461" s="85"/>
      <c r="G1461" s="84"/>
      <c r="H1461" s="84"/>
    </row>
    <row r="1462" spans="1:8" s="64" customFormat="1">
      <c r="A1462" s="84"/>
      <c r="B1462" s="84"/>
      <c r="C1462" s="84"/>
      <c r="D1462" s="84"/>
      <c r="E1462" s="84"/>
      <c r="F1462" s="85"/>
      <c r="G1462" s="84"/>
      <c r="H1462" s="84"/>
    </row>
    <row r="1463" spans="1:8" s="64" customFormat="1">
      <c r="A1463" s="84"/>
      <c r="B1463" s="84"/>
      <c r="C1463" s="84"/>
      <c r="D1463" s="84"/>
      <c r="E1463" s="84"/>
      <c r="F1463" s="85"/>
      <c r="G1463" s="84"/>
      <c r="H1463" s="84"/>
    </row>
    <row r="1464" spans="1:8" s="64" customFormat="1">
      <c r="A1464" s="84"/>
      <c r="B1464" s="84"/>
      <c r="C1464" s="84"/>
      <c r="D1464" s="84"/>
      <c r="E1464" s="84"/>
      <c r="F1464" s="85"/>
      <c r="G1464" s="84"/>
      <c r="H1464" s="84"/>
    </row>
    <row r="1465" spans="1:8" s="64" customFormat="1">
      <c r="A1465" s="84"/>
      <c r="B1465" s="84"/>
      <c r="C1465" s="84"/>
      <c r="D1465" s="84"/>
      <c r="E1465" s="84"/>
      <c r="F1465" s="85"/>
      <c r="G1465" s="84"/>
      <c r="H1465" s="84"/>
    </row>
    <row r="1466" spans="1:8" s="64" customFormat="1">
      <c r="A1466" s="84"/>
      <c r="B1466" s="84"/>
      <c r="C1466" s="84"/>
      <c r="D1466" s="84"/>
      <c r="E1466" s="84"/>
      <c r="F1466" s="85"/>
      <c r="G1466" s="84"/>
      <c r="H1466" s="84"/>
    </row>
    <row r="1467" spans="1:8" s="64" customFormat="1">
      <c r="A1467" s="84"/>
      <c r="B1467" s="84"/>
      <c r="C1467" s="84"/>
      <c r="D1467" s="84"/>
      <c r="E1467" s="84"/>
      <c r="F1467" s="85"/>
      <c r="G1467" s="84"/>
      <c r="H1467" s="84"/>
    </row>
    <row r="1468" spans="1:8" s="64" customFormat="1">
      <c r="A1468" s="84"/>
      <c r="B1468" s="84"/>
      <c r="C1468" s="84"/>
      <c r="D1468" s="84"/>
      <c r="E1468" s="84"/>
      <c r="F1468" s="85"/>
      <c r="G1468" s="84"/>
      <c r="H1468" s="84"/>
    </row>
    <row r="1469" spans="1:8" s="64" customFormat="1">
      <c r="A1469" s="84"/>
      <c r="B1469" s="84"/>
      <c r="C1469" s="84"/>
      <c r="D1469" s="84"/>
      <c r="E1469" s="84"/>
      <c r="F1469" s="85"/>
      <c r="G1469" s="84"/>
      <c r="H1469" s="84"/>
    </row>
    <row r="1470" spans="1:8" s="64" customFormat="1">
      <c r="A1470" s="84"/>
      <c r="B1470" s="84"/>
      <c r="C1470" s="84"/>
      <c r="D1470" s="84"/>
      <c r="E1470" s="84"/>
      <c r="F1470" s="85"/>
      <c r="G1470" s="84"/>
      <c r="H1470" s="84"/>
    </row>
    <row r="1471" spans="1:8" s="64" customFormat="1">
      <c r="A1471" s="84"/>
      <c r="B1471" s="84"/>
      <c r="C1471" s="84"/>
      <c r="D1471" s="84"/>
      <c r="E1471" s="84"/>
      <c r="F1471" s="85"/>
      <c r="G1471" s="84"/>
      <c r="H1471" s="84"/>
    </row>
    <row r="1472" spans="1:8" s="64" customFormat="1">
      <c r="A1472" s="84"/>
      <c r="B1472" s="84"/>
      <c r="C1472" s="84"/>
      <c r="D1472" s="84"/>
      <c r="E1472" s="84"/>
      <c r="F1472" s="85"/>
      <c r="G1472" s="84"/>
      <c r="H1472" s="84"/>
    </row>
    <row r="1473" spans="1:8" s="64" customFormat="1">
      <c r="A1473" s="84"/>
      <c r="B1473" s="84"/>
      <c r="C1473" s="84"/>
      <c r="D1473" s="84"/>
      <c r="E1473" s="84"/>
      <c r="F1473" s="85"/>
      <c r="G1473" s="84"/>
      <c r="H1473" s="84"/>
    </row>
    <row r="1474" spans="1:8" s="64" customFormat="1">
      <c r="A1474" s="84"/>
      <c r="B1474" s="84"/>
      <c r="C1474" s="84"/>
      <c r="D1474" s="84"/>
      <c r="E1474" s="84"/>
      <c r="F1474" s="85"/>
      <c r="G1474" s="84"/>
      <c r="H1474" s="84"/>
    </row>
    <row r="1475" spans="1:8" s="64" customFormat="1">
      <c r="A1475" s="84"/>
      <c r="B1475" s="84"/>
      <c r="C1475" s="84"/>
      <c r="D1475" s="84"/>
      <c r="E1475" s="84"/>
      <c r="F1475" s="85"/>
      <c r="G1475" s="84"/>
      <c r="H1475" s="84"/>
    </row>
    <row r="1476" spans="1:8" s="64" customFormat="1">
      <c r="A1476" s="84"/>
      <c r="B1476" s="84"/>
      <c r="C1476" s="84"/>
      <c r="D1476" s="84"/>
      <c r="E1476" s="84"/>
      <c r="F1476" s="85"/>
      <c r="G1476" s="84"/>
      <c r="H1476" s="84"/>
    </row>
    <row r="1477" spans="1:8" s="64" customFormat="1">
      <c r="A1477" s="84"/>
      <c r="B1477" s="84"/>
      <c r="C1477" s="84"/>
      <c r="D1477" s="84"/>
      <c r="E1477" s="84"/>
      <c r="F1477" s="85"/>
      <c r="G1477" s="84"/>
      <c r="H1477" s="84"/>
    </row>
    <row r="1478" spans="1:8" s="64" customFormat="1">
      <c r="A1478" s="84"/>
      <c r="B1478" s="84"/>
      <c r="C1478" s="84"/>
      <c r="D1478" s="84"/>
      <c r="E1478" s="84"/>
      <c r="F1478" s="85"/>
      <c r="G1478" s="84"/>
      <c r="H1478" s="84"/>
    </row>
    <row r="1479" spans="1:8" s="64" customFormat="1">
      <c r="A1479" s="84"/>
      <c r="B1479" s="84"/>
      <c r="C1479" s="84"/>
      <c r="D1479" s="84"/>
      <c r="E1479" s="84"/>
      <c r="F1479" s="85"/>
      <c r="G1479" s="84"/>
      <c r="H1479" s="84"/>
    </row>
    <row r="1480" spans="1:8" s="64" customFormat="1">
      <c r="A1480" s="84"/>
      <c r="B1480" s="84"/>
      <c r="C1480" s="84"/>
      <c r="D1480" s="84"/>
      <c r="E1480" s="84"/>
      <c r="F1480" s="85"/>
      <c r="G1480" s="84"/>
      <c r="H1480" s="84"/>
    </row>
    <row r="1481" spans="1:8" s="64" customFormat="1">
      <c r="A1481" s="84"/>
      <c r="B1481" s="84"/>
      <c r="C1481" s="84"/>
      <c r="D1481" s="84"/>
      <c r="E1481" s="84"/>
      <c r="F1481" s="85"/>
      <c r="G1481" s="84"/>
      <c r="H1481" s="84"/>
    </row>
    <row r="1482" spans="1:8" s="64" customFormat="1">
      <c r="A1482" s="84"/>
      <c r="B1482" s="84"/>
      <c r="C1482" s="84"/>
      <c r="D1482" s="84"/>
      <c r="E1482" s="84"/>
      <c r="F1482" s="85"/>
      <c r="G1482" s="84"/>
      <c r="H1482" s="84"/>
    </row>
    <row r="1483" spans="1:8" s="64" customFormat="1">
      <c r="A1483" s="84"/>
      <c r="B1483" s="84"/>
      <c r="C1483" s="84"/>
      <c r="D1483" s="84"/>
      <c r="E1483" s="84"/>
      <c r="F1483" s="85"/>
      <c r="G1483" s="84"/>
      <c r="H1483" s="84"/>
    </row>
    <row r="1484" spans="1:8" s="64" customFormat="1">
      <c r="A1484" s="84"/>
      <c r="B1484" s="84"/>
      <c r="C1484" s="84"/>
      <c r="D1484" s="84"/>
      <c r="E1484" s="84"/>
      <c r="F1484" s="85"/>
      <c r="G1484" s="84"/>
      <c r="H1484" s="84"/>
    </row>
    <row r="1485" spans="1:8" s="64" customFormat="1">
      <c r="A1485" s="84"/>
      <c r="B1485" s="84"/>
      <c r="C1485" s="84"/>
      <c r="D1485" s="84"/>
      <c r="E1485" s="84"/>
      <c r="F1485" s="85"/>
      <c r="G1485" s="84"/>
      <c r="H1485" s="84"/>
    </row>
    <row r="1486" spans="1:8" s="64" customFormat="1">
      <c r="A1486" s="84"/>
      <c r="B1486" s="84"/>
      <c r="C1486" s="84"/>
      <c r="D1486" s="84"/>
      <c r="E1486" s="84"/>
      <c r="F1486" s="85"/>
      <c r="G1486" s="84"/>
      <c r="H1486" s="84"/>
    </row>
    <row r="1487" spans="1:8" s="64" customFormat="1">
      <c r="A1487" s="84"/>
      <c r="B1487" s="84"/>
      <c r="C1487" s="84"/>
      <c r="D1487" s="84"/>
      <c r="E1487" s="84"/>
      <c r="F1487" s="85"/>
      <c r="G1487" s="84"/>
      <c r="H1487" s="84"/>
    </row>
    <row r="1488" spans="1:8" s="64" customFormat="1">
      <c r="A1488" s="84"/>
      <c r="B1488" s="84"/>
      <c r="C1488" s="84"/>
      <c r="D1488" s="84"/>
      <c r="E1488" s="84"/>
      <c r="F1488" s="85"/>
      <c r="G1488" s="84"/>
      <c r="H1488" s="84"/>
    </row>
    <row r="1489" spans="1:8" s="64" customFormat="1">
      <c r="A1489" s="84"/>
      <c r="B1489" s="84"/>
      <c r="C1489" s="84"/>
      <c r="D1489" s="84"/>
      <c r="E1489" s="84"/>
      <c r="F1489" s="85"/>
      <c r="G1489" s="84"/>
      <c r="H1489" s="84"/>
    </row>
    <row r="1490" spans="1:8" s="64" customFormat="1">
      <c r="A1490" s="84"/>
      <c r="B1490" s="84"/>
      <c r="C1490" s="84"/>
      <c r="D1490" s="84"/>
      <c r="E1490" s="84"/>
      <c r="F1490" s="85"/>
      <c r="G1490" s="84"/>
      <c r="H1490" s="84"/>
    </row>
    <row r="1491" spans="1:8" s="64" customFormat="1">
      <c r="A1491" s="84"/>
      <c r="B1491" s="84"/>
      <c r="C1491" s="84"/>
      <c r="D1491" s="84"/>
      <c r="E1491" s="84"/>
      <c r="F1491" s="85"/>
      <c r="G1491" s="84"/>
      <c r="H1491" s="84"/>
    </row>
    <row r="1492" spans="1:8" s="64" customFormat="1">
      <c r="A1492" s="84"/>
      <c r="B1492" s="84"/>
      <c r="C1492" s="84"/>
      <c r="D1492" s="84"/>
      <c r="E1492" s="84"/>
      <c r="F1492" s="85"/>
      <c r="G1492" s="84"/>
      <c r="H1492" s="84"/>
    </row>
    <row r="1493" spans="1:8" s="64" customFormat="1">
      <c r="A1493" s="84"/>
      <c r="B1493" s="84"/>
      <c r="C1493" s="84"/>
      <c r="D1493" s="84"/>
      <c r="E1493" s="84"/>
      <c r="F1493" s="85"/>
      <c r="G1493" s="84"/>
      <c r="H1493" s="84"/>
    </row>
    <row r="1494" spans="1:8" s="64" customFormat="1">
      <c r="A1494" s="84"/>
      <c r="B1494" s="84"/>
      <c r="C1494" s="84"/>
      <c r="D1494" s="84"/>
      <c r="E1494" s="84"/>
      <c r="F1494" s="85"/>
      <c r="G1494" s="84"/>
      <c r="H1494" s="84"/>
    </row>
    <row r="1495" spans="1:8" s="64" customFormat="1">
      <c r="A1495" s="84"/>
      <c r="B1495" s="84"/>
      <c r="C1495" s="84"/>
      <c r="D1495" s="84"/>
      <c r="E1495" s="84"/>
      <c r="F1495" s="85"/>
      <c r="G1495" s="84"/>
      <c r="H1495" s="84"/>
    </row>
    <row r="1496" spans="1:8" s="64" customFormat="1">
      <c r="A1496" s="84"/>
      <c r="B1496" s="84"/>
      <c r="C1496" s="84"/>
      <c r="D1496" s="84"/>
      <c r="E1496" s="84"/>
      <c r="F1496" s="85"/>
      <c r="G1496" s="84"/>
      <c r="H1496" s="84"/>
    </row>
    <row r="1497" spans="1:8" s="64" customFormat="1">
      <c r="A1497" s="84"/>
      <c r="B1497" s="84"/>
      <c r="C1497" s="84"/>
      <c r="D1497" s="84"/>
      <c r="E1497" s="84"/>
      <c r="F1497" s="85"/>
      <c r="G1497" s="84"/>
      <c r="H1497" s="84"/>
    </row>
    <row r="1498" spans="1:8" s="64" customFormat="1">
      <c r="A1498" s="84"/>
      <c r="B1498" s="84"/>
      <c r="C1498" s="84"/>
      <c r="D1498" s="84"/>
      <c r="E1498" s="84"/>
      <c r="F1498" s="85"/>
      <c r="G1498" s="84"/>
      <c r="H1498" s="84"/>
    </row>
    <row r="1499" spans="1:8" s="64" customFormat="1">
      <c r="A1499" s="84"/>
      <c r="B1499" s="84"/>
      <c r="C1499" s="84"/>
      <c r="D1499" s="84"/>
      <c r="E1499" s="84"/>
      <c r="F1499" s="85"/>
      <c r="G1499" s="84"/>
      <c r="H1499" s="84"/>
    </row>
    <row r="1500" spans="1:8" s="64" customFormat="1">
      <c r="A1500" s="84"/>
      <c r="B1500" s="84"/>
      <c r="C1500" s="84"/>
      <c r="D1500" s="84"/>
      <c r="E1500" s="84"/>
      <c r="F1500" s="85"/>
      <c r="G1500" s="84"/>
      <c r="H1500" s="84"/>
    </row>
    <row r="1501" spans="1:8" s="64" customFormat="1">
      <c r="A1501" s="84"/>
      <c r="B1501" s="84"/>
      <c r="C1501" s="84"/>
      <c r="D1501" s="84"/>
      <c r="E1501" s="84"/>
      <c r="F1501" s="85"/>
      <c r="G1501" s="84"/>
      <c r="H1501" s="84"/>
    </row>
    <row r="1502" spans="1:8" s="64" customFormat="1">
      <c r="A1502" s="84"/>
      <c r="B1502" s="84"/>
      <c r="C1502" s="84"/>
      <c r="D1502" s="84"/>
      <c r="E1502" s="84"/>
      <c r="F1502" s="85"/>
      <c r="G1502" s="84"/>
      <c r="H1502" s="84"/>
    </row>
    <row r="1503" spans="1:8" s="64" customFormat="1">
      <c r="A1503" s="84"/>
      <c r="B1503" s="84"/>
      <c r="C1503" s="84"/>
      <c r="D1503" s="84"/>
      <c r="E1503" s="84"/>
      <c r="F1503" s="85"/>
      <c r="G1503" s="84"/>
      <c r="H1503" s="84"/>
    </row>
    <row r="1504" spans="1:8" s="64" customFormat="1">
      <c r="A1504" s="84"/>
      <c r="B1504" s="84"/>
      <c r="C1504" s="84"/>
      <c r="D1504" s="84"/>
      <c r="E1504" s="84"/>
      <c r="F1504" s="85"/>
      <c r="G1504" s="84"/>
      <c r="H1504" s="84"/>
    </row>
    <row r="1505" spans="1:8" s="64" customFormat="1">
      <c r="A1505" s="84"/>
      <c r="B1505" s="84"/>
      <c r="C1505" s="84"/>
      <c r="D1505" s="84"/>
      <c r="E1505" s="84"/>
      <c r="F1505" s="85"/>
      <c r="G1505" s="84"/>
      <c r="H1505" s="84"/>
    </row>
    <row r="1506" spans="1:8" s="64" customFormat="1">
      <c r="A1506" s="84"/>
      <c r="B1506" s="84"/>
      <c r="C1506" s="84"/>
      <c r="D1506" s="84"/>
      <c r="E1506" s="84"/>
      <c r="F1506" s="85"/>
      <c r="G1506" s="84"/>
      <c r="H1506" s="84"/>
    </row>
    <row r="1507" spans="1:8" s="64" customFormat="1">
      <c r="A1507" s="84"/>
      <c r="B1507" s="84"/>
      <c r="C1507" s="84"/>
      <c r="D1507" s="84"/>
      <c r="E1507" s="84"/>
      <c r="F1507" s="85"/>
      <c r="G1507" s="84"/>
      <c r="H1507" s="84"/>
    </row>
    <row r="1508" spans="1:8" s="64" customFormat="1">
      <c r="A1508" s="84"/>
      <c r="B1508" s="84"/>
      <c r="C1508" s="84"/>
      <c r="D1508" s="84"/>
      <c r="E1508" s="84"/>
      <c r="F1508" s="85"/>
      <c r="G1508" s="84"/>
      <c r="H1508" s="84"/>
    </row>
    <row r="1509" spans="1:8" s="64" customFormat="1">
      <c r="A1509" s="84"/>
      <c r="B1509" s="84"/>
      <c r="C1509" s="84"/>
      <c r="D1509" s="84"/>
      <c r="E1509" s="84"/>
      <c r="F1509" s="85"/>
      <c r="G1509" s="84"/>
      <c r="H1509" s="84"/>
    </row>
    <row r="1510" spans="1:8" s="64" customFormat="1">
      <c r="A1510" s="84"/>
      <c r="B1510" s="84"/>
      <c r="C1510" s="84"/>
      <c r="D1510" s="84"/>
      <c r="E1510" s="84"/>
      <c r="F1510" s="85"/>
      <c r="G1510" s="84"/>
      <c r="H1510" s="84"/>
    </row>
    <row r="1511" spans="1:8" s="64" customFormat="1">
      <c r="A1511" s="84"/>
      <c r="B1511" s="84"/>
      <c r="C1511" s="84"/>
      <c r="D1511" s="84"/>
      <c r="E1511" s="84"/>
      <c r="F1511" s="85"/>
      <c r="G1511" s="84"/>
      <c r="H1511" s="84"/>
    </row>
    <row r="1512" spans="1:8" s="64" customFormat="1">
      <c r="A1512" s="84"/>
      <c r="B1512" s="84"/>
      <c r="C1512" s="84"/>
      <c r="D1512" s="84"/>
      <c r="E1512" s="84"/>
      <c r="F1512" s="85"/>
      <c r="G1512" s="84"/>
      <c r="H1512" s="84"/>
    </row>
    <row r="1513" spans="1:8" s="64" customFormat="1">
      <c r="A1513" s="84"/>
      <c r="B1513" s="84"/>
      <c r="C1513" s="84"/>
      <c r="D1513" s="84"/>
      <c r="E1513" s="84"/>
      <c r="F1513" s="85"/>
      <c r="G1513" s="84"/>
      <c r="H1513" s="84"/>
    </row>
    <row r="1514" spans="1:8" s="64" customFormat="1">
      <c r="A1514" s="84"/>
      <c r="B1514" s="84"/>
      <c r="C1514" s="84"/>
      <c r="D1514" s="84"/>
      <c r="E1514" s="84"/>
      <c r="F1514" s="85"/>
      <c r="G1514" s="84"/>
      <c r="H1514" s="84"/>
    </row>
    <row r="1515" spans="1:8" s="64" customFormat="1">
      <c r="A1515" s="84"/>
      <c r="B1515" s="84"/>
      <c r="C1515" s="84"/>
      <c r="D1515" s="84"/>
      <c r="E1515" s="84"/>
      <c r="F1515" s="85"/>
      <c r="G1515" s="84"/>
      <c r="H1515" s="84"/>
    </row>
    <row r="1516" spans="1:8" s="64" customFormat="1">
      <c r="A1516" s="84"/>
      <c r="B1516" s="84"/>
      <c r="C1516" s="84"/>
      <c r="D1516" s="84"/>
      <c r="E1516" s="84"/>
      <c r="F1516" s="85"/>
      <c r="G1516" s="84"/>
      <c r="H1516" s="84"/>
    </row>
    <row r="1517" spans="1:8" s="64" customFormat="1">
      <c r="A1517" s="84"/>
      <c r="B1517" s="84"/>
      <c r="C1517" s="84"/>
      <c r="D1517" s="84"/>
      <c r="E1517" s="84"/>
      <c r="F1517" s="85"/>
      <c r="G1517" s="84"/>
      <c r="H1517" s="84"/>
    </row>
    <row r="1518" spans="1:8" s="64" customFormat="1">
      <c r="A1518" s="84"/>
      <c r="B1518" s="84"/>
      <c r="C1518" s="84"/>
      <c r="D1518" s="84"/>
      <c r="E1518" s="84"/>
      <c r="F1518" s="85"/>
      <c r="G1518" s="84"/>
      <c r="H1518" s="84"/>
    </row>
    <row r="1519" spans="1:8" s="64" customFormat="1">
      <c r="A1519" s="84"/>
      <c r="B1519" s="84"/>
      <c r="C1519" s="84"/>
      <c r="D1519" s="84"/>
      <c r="E1519" s="84"/>
      <c r="F1519" s="85"/>
      <c r="G1519" s="84"/>
      <c r="H1519" s="84"/>
    </row>
    <row r="1520" spans="1:8" s="64" customFormat="1">
      <c r="A1520" s="84"/>
      <c r="B1520" s="84"/>
      <c r="C1520" s="84"/>
      <c r="D1520" s="84"/>
      <c r="E1520" s="84"/>
      <c r="F1520" s="85"/>
      <c r="G1520" s="84"/>
      <c r="H1520" s="84"/>
    </row>
    <row r="1521" spans="1:8" s="64" customFormat="1">
      <c r="A1521" s="84"/>
      <c r="B1521" s="84"/>
      <c r="C1521" s="84"/>
      <c r="D1521" s="84"/>
      <c r="E1521" s="84"/>
      <c r="F1521" s="85"/>
      <c r="G1521" s="84"/>
      <c r="H1521" s="84"/>
    </row>
    <row r="1522" spans="1:8" s="64" customFormat="1">
      <c r="A1522" s="84"/>
      <c r="B1522" s="84"/>
      <c r="C1522" s="84"/>
      <c r="D1522" s="84"/>
      <c r="E1522" s="84"/>
      <c r="F1522" s="85"/>
      <c r="G1522" s="84"/>
      <c r="H1522" s="84"/>
    </row>
    <row r="1523" spans="1:8" s="64" customFormat="1">
      <c r="A1523" s="84"/>
      <c r="B1523" s="84"/>
      <c r="C1523" s="84"/>
      <c r="D1523" s="84"/>
      <c r="E1523" s="84"/>
      <c r="F1523" s="85"/>
      <c r="G1523" s="84"/>
      <c r="H1523" s="84"/>
    </row>
    <row r="1524" spans="1:8" s="64" customFormat="1">
      <c r="A1524" s="84"/>
      <c r="B1524" s="84"/>
      <c r="C1524" s="84"/>
      <c r="D1524" s="84"/>
      <c r="E1524" s="84"/>
      <c r="F1524" s="85"/>
      <c r="G1524" s="84"/>
      <c r="H1524" s="84"/>
    </row>
    <row r="1525" spans="1:8" s="64" customFormat="1">
      <c r="A1525" s="84"/>
      <c r="B1525" s="84"/>
      <c r="C1525" s="84"/>
      <c r="D1525" s="84"/>
      <c r="E1525" s="84"/>
      <c r="F1525" s="85"/>
      <c r="G1525" s="84"/>
      <c r="H1525" s="84"/>
    </row>
    <row r="1526" spans="1:8" s="64" customFormat="1">
      <c r="A1526" s="84"/>
      <c r="B1526" s="84"/>
      <c r="C1526" s="84"/>
      <c r="D1526" s="84"/>
      <c r="E1526" s="84"/>
      <c r="F1526" s="85"/>
      <c r="G1526" s="84"/>
      <c r="H1526" s="84"/>
    </row>
    <row r="1527" spans="1:8" s="64" customFormat="1">
      <c r="A1527" s="84"/>
      <c r="B1527" s="84"/>
      <c r="C1527" s="84"/>
      <c r="D1527" s="84"/>
      <c r="E1527" s="84"/>
      <c r="F1527" s="85"/>
      <c r="G1527" s="84"/>
      <c r="H1527" s="84"/>
    </row>
    <row r="1528" spans="1:8" s="64" customFormat="1">
      <c r="A1528" s="84"/>
      <c r="B1528" s="84"/>
      <c r="C1528" s="84"/>
      <c r="D1528" s="84"/>
      <c r="E1528" s="84"/>
      <c r="F1528" s="85"/>
      <c r="G1528" s="84"/>
      <c r="H1528" s="84"/>
    </row>
    <row r="1529" spans="1:8" s="64" customFormat="1">
      <c r="A1529" s="84"/>
      <c r="B1529" s="84"/>
      <c r="C1529" s="84"/>
      <c r="D1529" s="84"/>
      <c r="E1529" s="84"/>
      <c r="F1529" s="85"/>
      <c r="G1529" s="84"/>
      <c r="H1529" s="84"/>
    </row>
    <row r="1530" spans="1:8" s="64" customFormat="1">
      <c r="A1530" s="84"/>
      <c r="B1530" s="84"/>
      <c r="C1530" s="84"/>
      <c r="D1530" s="84"/>
      <c r="E1530" s="84"/>
      <c r="F1530" s="85"/>
      <c r="G1530" s="84"/>
      <c r="H1530" s="84"/>
    </row>
    <row r="1531" spans="1:8" s="64" customFormat="1">
      <c r="A1531" s="84"/>
      <c r="B1531" s="84"/>
      <c r="C1531" s="84"/>
      <c r="D1531" s="84"/>
      <c r="E1531" s="84"/>
      <c r="F1531" s="85"/>
      <c r="G1531" s="84"/>
      <c r="H1531" s="84"/>
    </row>
    <row r="1532" spans="1:8" s="64" customFormat="1">
      <c r="A1532" s="84"/>
      <c r="B1532" s="84"/>
      <c r="C1532" s="84"/>
      <c r="D1532" s="84"/>
      <c r="E1532" s="84"/>
      <c r="F1532" s="85"/>
      <c r="G1532" s="84"/>
      <c r="H1532" s="84"/>
    </row>
    <row r="1533" spans="1:8" s="64" customFormat="1">
      <c r="A1533" s="84"/>
      <c r="B1533" s="84"/>
      <c r="C1533" s="84"/>
      <c r="D1533" s="84"/>
      <c r="E1533" s="84"/>
      <c r="F1533" s="85"/>
      <c r="G1533" s="84"/>
      <c r="H1533" s="84"/>
    </row>
    <row r="1534" spans="1:8" s="64" customFormat="1">
      <c r="A1534" s="84"/>
      <c r="B1534" s="84"/>
      <c r="C1534" s="84"/>
      <c r="D1534" s="84"/>
      <c r="E1534" s="84"/>
      <c r="F1534" s="85"/>
      <c r="G1534" s="84"/>
      <c r="H1534" s="84"/>
    </row>
    <row r="1535" spans="1:8" s="64" customFormat="1">
      <c r="A1535" s="84"/>
      <c r="B1535" s="84"/>
      <c r="C1535" s="84"/>
      <c r="D1535" s="84"/>
      <c r="E1535" s="84"/>
      <c r="F1535" s="85"/>
      <c r="G1535" s="84"/>
      <c r="H1535" s="84"/>
    </row>
    <row r="1536" spans="1:8" s="64" customFormat="1">
      <c r="A1536" s="84"/>
      <c r="B1536" s="84"/>
      <c r="C1536" s="84"/>
      <c r="D1536" s="84"/>
      <c r="E1536" s="84"/>
      <c r="F1536" s="85"/>
      <c r="G1536" s="84"/>
      <c r="H1536" s="84"/>
    </row>
    <row r="1537" spans="1:8" s="64" customFormat="1">
      <c r="A1537" s="84"/>
      <c r="B1537" s="84"/>
      <c r="C1537" s="84"/>
      <c r="D1537" s="84"/>
      <c r="E1537" s="84"/>
      <c r="F1537" s="85"/>
      <c r="G1537" s="84"/>
      <c r="H1537" s="84"/>
    </row>
    <row r="1538" spans="1:8" s="64" customFormat="1">
      <c r="A1538" s="84"/>
      <c r="B1538" s="84"/>
      <c r="C1538" s="84"/>
      <c r="D1538" s="84"/>
      <c r="E1538" s="84"/>
      <c r="F1538" s="85"/>
      <c r="G1538" s="84"/>
      <c r="H1538" s="84"/>
    </row>
    <row r="1539" spans="1:8" s="64" customFormat="1">
      <c r="A1539" s="84"/>
      <c r="B1539" s="84"/>
      <c r="C1539" s="84"/>
      <c r="D1539" s="84"/>
      <c r="E1539" s="84"/>
      <c r="F1539" s="85"/>
      <c r="G1539" s="84"/>
      <c r="H1539" s="84"/>
    </row>
    <row r="1540" spans="1:8" s="64" customFormat="1">
      <c r="A1540" s="84"/>
      <c r="B1540" s="84"/>
      <c r="C1540" s="84"/>
      <c r="D1540" s="84"/>
      <c r="E1540" s="84"/>
      <c r="F1540" s="85"/>
      <c r="G1540" s="84"/>
      <c r="H1540" s="84"/>
    </row>
    <row r="1541" spans="1:8" s="64" customFormat="1">
      <c r="A1541" s="84"/>
      <c r="B1541" s="84"/>
      <c r="C1541" s="84"/>
      <c r="D1541" s="84"/>
      <c r="E1541" s="84"/>
      <c r="F1541" s="85"/>
      <c r="G1541" s="84"/>
      <c r="H1541" s="84"/>
    </row>
    <row r="1542" spans="1:8" s="64" customFormat="1">
      <c r="A1542" s="84"/>
      <c r="B1542" s="84"/>
      <c r="C1542" s="84"/>
      <c r="D1542" s="84"/>
      <c r="E1542" s="84"/>
      <c r="F1542" s="85"/>
      <c r="G1542" s="84"/>
      <c r="H1542" s="84"/>
    </row>
    <row r="1543" spans="1:8" s="64" customFormat="1">
      <c r="A1543" s="84"/>
      <c r="B1543" s="84"/>
      <c r="C1543" s="84"/>
      <c r="D1543" s="84"/>
      <c r="E1543" s="84"/>
      <c r="F1543" s="85"/>
      <c r="G1543" s="84"/>
      <c r="H1543" s="84"/>
    </row>
    <row r="1544" spans="1:8" s="64" customFormat="1">
      <c r="A1544" s="84"/>
      <c r="B1544" s="84"/>
      <c r="C1544" s="84"/>
      <c r="D1544" s="84"/>
      <c r="E1544" s="84"/>
      <c r="F1544" s="85"/>
      <c r="G1544" s="84"/>
      <c r="H1544" s="84"/>
    </row>
    <row r="1545" spans="1:8" s="64" customFormat="1">
      <c r="A1545" s="84"/>
      <c r="B1545" s="84"/>
      <c r="C1545" s="84"/>
      <c r="D1545" s="84"/>
      <c r="E1545" s="84"/>
      <c r="F1545" s="85"/>
      <c r="G1545" s="84"/>
      <c r="H1545" s="84"/>
    </row>
    <row r="1546" spans="1:8" s="64" customFormat="1">
      <c r="A1546" s="84"/>
      <c r="B1546" s="84"/>
      <c r="C1546" s="84"/>
      <c r="D1546" s="84"/>
      <c r="E1546" s="84"/>
      <c r="F1546" s="85"/>
      <c r="G1546" s="84"/>
      <c r="H1546" s="84"/>
    </row>
    <row r="1547" spans="1:8" s="64" customFormat="1">
      <c r="A1547" s="84"/>
      <c r="B1547" s="84"/>
      <c r="C1547" s="84"/>
      <c r="D1547" s="84"/>
      <c r="E1547" s="84"/>
      <c r="F1547" s="85"/>
      <c r="G1547" s="84"/>
      <c r="H1547" s="84"/>
    </row>
    <row r="1548" spans="1:8" s="64" customFormat="1">
      <c r="A1548" s="84"/>
      <c r="B1548" s="84"/>
      <c r="C1548" s="84"/>
      <c r="D1548" s="84"/>
      <c r="E1548" s="84"/>
      <c r="F1548" s="85"/>
      <c r="G1548" s="84"/>
      <c r="H1548" s="84"/>
    </row>
    <row r="1549" spans="1:8" s="64" customFormat="1">
      <c r="A1549" s="84"/>
      <c r="B1549" s="84"/>
      <c r="C1549" s="84"/>
      <c r="D1549" s="84"/>
      <c r="E1549" s="84"/>
      <c r="F1549" s="85"/>
      <c r="G1549" s="84"/>
      <c r="H1549" s="84"/>
    </row>
    <row r="1550" spans="1:8" s="64" customFormat="1">
      <c r="A1550" s="84"/>
      <c r="B1550" s="84"/>
      <c r="C1550" s="84"/>
      <c r="D1550" s="84"/>
      <c r="E1550" s="84"/>
      <c r="F1550" s="85"/>
      <c r="G1550" s="84"/>
      <c r="H1550" s="84"/>
    </row>
    <row r="1551" spans="1:8" s="64" customFormat="1">
      <c r="A1551" s="84"/>
      <c r="B1551" s="84"/>
      <c r="C1551" s="84"/>
      <c r="D1551" s="84"/>
      <c r="E1551" s="84"/>
      <c r="F1551" s="85"/>
      <c r="G1551" s="84"/>
      <c r="H1551" s="84"/>
    </row>
    <row r="1552" spans="1:8" s="64" customFormat="1">
      <c r="A1552" s="84"/>
      <c r="B1552" s="84"/>
      <c r="C1552" s="84"/>
      <c r="D1552" s="84"/>
      <c r="E1552" s="84"/>
      <c r="F1552" s="85"/>
      <c r="G1552" s="84"/>
      <c r="H1552" s="84"/>
    </row>
    <row r="1553" spans="1:8" s="64" customFormat="1">
      <c r="A1553" s="84"/>
      <c r="B1553" s="84"/>
      <c r="C1553" s="84"/>
      <c r="D1553" s="84"/>
      <c r="E1553" s="84"/>
      <c r="F1553" s="85"/>
      <c r="G1553" s="84"/>
      <c r="H1553" s="84"/>
    </row>
    <row r="1554" spans="1:8" s="64" customFormat="1">
      <c r="A1554" s="84"/>
      <c r="B1554" s="84"/>
      <c r="C1554" s="84"/>
      <c r="D1554" s="84"/>
      <c r="E1554" s="84"/>
      <c r="F1554" s="85"/>
      <c r="G1554" s="84"/>
      <c r="H1554" s="84"/>
    </row>
    <row r="1555" spans="1:8" s="64" customFormat="1">
      <c r="A1555" s="84"/>
      <c r="B1555" s="84"/>
      <c r="C1555" s="84"/>
      <c r="D1555" s="84"/>
      <c r="E1555" s="84"/>
      <c r="F1555" s="85"/>
      <c r="G1555" s="84"/>
      <c r="H1555" s="84"/>
    </row>
    <row r="1556" spans="1:8" s="64" customFormat="1">
      <c r="A1556" s="84"/>
      <c r="B1556" s="84"/>
      <c r="C1556" s="84"/>
      <c r="D1556" s="84"/>
      <c r="E1556" s="84"/>
      <c r="F1556" s="85"/>
      <c r="G1556" s="84"/>
      <c r="H1556" s="84"/>
    </row>
    <row r="1557" spans="1:8" s="64" customFormat="1">
      <c r="A1557" s="84"/>
      <c r="B1557" s="84"/>
      <c r="C1557" s="84"/>
      <c r="D1557" s="84"/>
      <c r="E1557" s="84"/>
      <c r="F1557" s="85"/>
      <c r="G1557" s="84"/>
      <c r="H1557" s="84"/>
    </row>
    <row r="1558" spans="1:8" s="64" customFormat="1">
      <c r="A1558" s="84"/>
      <c r="B1558" s="84"/>
      <c r="C1558" s="84"/>
      <c r="D1558" s="84"/>
      <c r="E1558" s="84"/>
      <c r="F1558" s="85"/>
      <c r="G1558" s="84"/>
      <c r="H1558" s="84"/>
    </row>
    <row r="1559" spans="1:8" s="64" customFormat="1">
      <c r="A1559" s="84"/>
      <c r="B1559" s="84"/>
      <c r="C1559" s="84"/>
      <c r="D1559" s="84"/>
      <c r="E1559" s="84"/>
      <c r="F1559" s="85"/>
      <c r="G1559" s="84"/>
      <c r="H1559" s="84"/>
    </row>
    <row r="1560" spans="1:8" s="64" customFormat="1">
      <c r="A1560" s="84"/>
      <c r="B1560" s="84"/>
      <c r="C1560" s="84"/>
      <c r="D1560" s="84"/>
      <c r="E1560" s="84"/>
      <c r="F1560" s="85"/>
      <c r="G1560" s="84"/>
      <c r="H1560" s="84"/>
    </row>
    <row r="1561" spans="1:8" s="64" customFormat="1">
      <c r="A1561" s="84"/>
      <c r="B1561" s="84"/>
      <c r="C1561" s="84"/>
      <c r="D1561" s="84"/>
      <c r="E1561" s="84"/>
      <c r="F1561" s="85"/>
      <c r="G1561" s="84"/>
      <c r="H1561" s="84"/>
    </row>
    <row r="1562" spans="1:8" s="64" customFormat="1">
      <c r="A1562" s="84"/>
      <c r="B1562" s="84"/>
      <c r="C1562" s="84"/>
      <c r="D1562" s="84"/>
      <c r="E1562" s="84"/>
      <c r="F1562" s="85"/>
      <c r="G1562" s="84"/>
      <c r="H1562" s="84"/>
    </row>
    <row r="1563" spans="1:8" s="64" customFormat="1">
      <c r="A1563" s="84"/>
      <c r="B1563" s="84"/>
      <c r="C1563" s="84"/>
      <c r="D1563" s="84"/>
      <c r="E1563" s="84"/>
      <c r="F1563" s="85"/>
      <c r="G1563" s="84"/>
      <c r="H1563" s="84"/>
    </row>
    <row r="1564" spans="1:8" s="64" customFormat="1">
      <c r="A1564" s="84"/>
      <c r="B1564" s="84"/>
      <c r="C1564" s="84"/>
      <c r="D1564" s="84"/>
      <c r="E1564" s="84"/>
      <c r="F1564" s="85"/>
      <c r="G1564" s="84"/>
      <c r="H1564" s="84"/>
    </row>
    <row r="1565" spans="1:8" s="64" customFormat="1">
      <c r="A1565" s="84"/>
      <c r="B1565" s="84"/>
      <c r="C1565" s="84"/>
      <c r="D1565" s="84"/>
      <c r="E1565" s="84"/>
      <c r="F1565" s="85"/>
      <c r="G1565" s="84"/>
      <c r="H1565" s="84"/>
    </row>
    <row r="1566" spans="1:8" s="64" customFormat="1">
      <c r="A1566" s="84"/>
      <c r="B1566" s="84"/>
      <c r="C1566" s="84"/>
      <c r="D1566" s="84"/>
      <c r="E1566" s="84"/>
      <c r="F1566" s="85"/>
      <c r="G1566" s="84"/>
      <c r="H1566" s="84"/>
    </row>
    <row r="1567" spans="1:8" s="64" customFormat="1">
      <c r="A1567" s="84"/>
      <c r="B1567" s="84"/>
      <c r="C1567" s="84"/>
      <c r="D1567" s="84"/>
      <c r="E1567" s="84"/>
      <c r="F1567" s="85"/>
      <c r="G1567" s="84"/>
      <c r="H1567" s="84"/>
    </row>
    <row r="1568" spans="1:8" s="64" customFormat="1">
      <c r="A1568" s="84"/>
      <c r="B1568" s="84"/>
      <c r="C1568" s="84"/>
      <c r="D1568" s="84"/>
      <c r="E1568" s="84"/>
      <c r="F1568" s="85"/>
      <c r="G1568" s="84"/>
      <c r="H1568" s="84"/>
    </row>
    <row r="1569" spans="1:8" s="64" customFormat="1">
      <c r="A1569" s="84"/>
      <c r="B1569" s="84"/>
      <c r="C1569" s="84"/>
      <c r="D1569" s="84"/>
      <c r="E1569" s="84"/>
      <c r="F1569" s="85"/>
      <c r="G1569" s="84"/>
      <c r="H1569" s="84"/>
    </row>
    <row r="1570" spans="1:8" s="64" customFormat="1">
      <c r="A1570" s="84"/>
      <c r="B1570" s="84"/>
      <c r="C1570" s="84"/>
      <c r="D1570" s="84"/>
      <c r="E1570" s="84"/>
      <c r="F1570" s="85"/>
      <c r="G1570" s="84"/>
      <c r="H1570" s="84"/>
    </row>
    <row r="1571" spans="1:8" s="64" customFormat="1">
      <c r="A1571" s="84"/>
      <c r="B1571" s="84"/>
      <c r="C1571" s="84"/>
      <c r="D1571" s="84"/>
      <c r="E1571" s="84"/>
      <c r="F1571" s="85"/>
      <c r="G1571" s="84"/>
      <c r="H1571" s="84"/>
    </row>
    <row r="1572" spans="1:8" s="64" customFormat="1">
      <c r="A1572" s="84"/>
      <c r="B1572" s="84"/>
      <c r="C1572" s="84"/>
      <c r="D1572" s="84"/>
      <c r="E1572" s="84"/>
      <c r="F1572" s="85"/>
      <c r="G1572" s="84"/>
      <c r="H1572" s="84"/>
    </row>
    <row r="1573" spans="1:8" s="64" customFormat="1">
      <c r="A1573" s="84"/>
      <c r="B1573" s="84"/>
      <c r="C1573" s="84"/>
      <c r="D1573" s="84"/>
      <c r="E1573" s="84"/>
      <c r="F1573" s="85"/>
      <c r="G1573" s="84"/>
      <c r="H1573" s="84"/>
    </row>
    <row r="1574" spans="1:8" s="64" customFormat="1">
      <c r="A1574" s="84"/>
      <c r="B1574" s="84"/>
      <c r="C1574" s="84"/>
      <c r="D1574" s="84"/>
      <c r="E1574" s="84"/>
      <c r="F1574" s="85"/>
      <c r="G1574" s="84"/>
      <c r="H1574" s="84"/>
    </row>
    <row r="1575" spans="1:8" s="64" customFormat="1">
      <c r="A1575" s="84"/>
      <c r="B1575" s="84"/>
      <c r="C1575" s="84"/>
      <c r="D1575" s="84"/>
      <c r="E1575" s="84"/>
      <c r="F1575" s="85"/>
      <c r="G1575" s="84"/>
      <c r="H1575" s="84"/>
    </row>
    <row r="1576" spans="1:8" s="64" customFormat="1">
      <c r="A1576" s="84"/>
      <c r="B1576" s="84"/>
      <c r="C1576" s="84"/>
      <c r="D1576" s="84"/>
      <c r="E1576" s="84"/>
      <c r="F1576" s="85"/>
      <c r="G1576" s="84"/>
      <c r="H1576" s="84"/>
    </row>
    <row r="1577" spans="1:8" s="64" customFormat="1">
      <c r="A1577" s="84"/>
      <c r="B1577" s="84"/>
      <c r="C1577" s="84"/>
      <c r="D1577" s="84"/>
      <c r="E1577" s="84"/>
      <c r="F1577" s="85"/>
      <c r="G1577" s="84"/>
      <c r="H1577" s="84"/>
    </row>
    <row r="1578" spans="1:8" s="64" customFormat="1">
      <c r="A1578" s="84"/>
      <c r="B1578" s="84"/>
      <c r="C1578" s="84"/>
      <c r="D1578" s="84"/>
      <c r="E1578" s="84"/>
      <c r="F1578" s="85"/>
      <c r="G1578" s="84"/>
      <c r="H1578" s="84"/>
    </row>
    <row r="1579" spans="1:8" s="64" customFormat="1">
      <c r="A1579" s="84"/>
      <c r="B1579" s="84"/>
      <c r="C1579" s="84"/>
      <c r="D1579" s="84"/>
      <c r="E1579" s="84"/>
      <c r="F1579" s="85"/>
      <c r="G1579" s="84"/>
      <c r="H1579" s="84"/>
    </row>
    <row r="1580" spans="1:8" s="64" customFormat="1">
      <c r="A1580" s="84"/>
      <c r="B1580" s="84"/>
      <c r="C1580" s="84"/>
      <c r="D1580" s="84"/>
      <c r="E1580" s="84"/>
      <c r="F1580" s="85"/>
      <c r="G1580" s="84"/>
      <c r="H1580" s="84"/>
    </row>
    <row r="1581" spans="1:8" s="64" customFormat="1">
      <c r="A1581" s="84"/>
      <c r="B1581" s="84"/>
      <c r="C1581" s="84"/>
      <c r="D1581" s="84"/>
      <c r="E1581" s="84"/>
      <c r="F1581" s="85"/>
      <c r="G1581" s="84"/>
      <c r="H1581" s="84"/>
    </row>
    <row r="1582" spans="1:8" s="64" customFormat="1">
      <c r="A1582" s="84"/>
      <c r="B1582" s="84"/>
      <c r="C1582" s="84"/>
      <c r="D1582" s="84"/>
      <c r="E1582" s="84"/>
      <c r="F1582" s="85"/>
      <c r="G1582" s="84"/>
      <c r="H1582" s="84"/>
    </row>
    <row r="1583" spans="1:8" s="64" customFormat="1">
      <c r="A1583" s="84"/>
      <c r="B1583" s="84"/>
      <c r="C1583" s="84"/>
      <c r="D1583" s="84"/>
      <c r="E1583" s="84"/>
      <c r="F1583" s="85"/>
      <c r="G1583" s="84"/>
      <c r="H1583" s="84"/>
    </row>
    <row r="1584" spans="1:8" s="64" customFormat="1">
      <c r="A1584" s="84"/>
      <c r="B1584" s="84"/>
      <c r="C1584" s="84"/>
      <c r="D1584" s="84"/>
      <c r="E1584" s="84"/>
      <c r="F1584" s="85"/>
      <c r="G1584" s="84"/>
      <c r="H1584" s="84"/>
    </row>
    <row r="1585" spans="1:8" s="64" customFormat="1">
      <c r="A1585" s="84"/>
      <c r="B1585" s="84"/>
      <c r="C1585" s="84"/>
      <c r="D1585" s="84"/>
      <c r="E1585" s="84"/>
      <c r="F1585" s="85"/>
      <c r="G1585" s="84"/>
      <c r="H1585" s="84"/>
    </row>
    <row r="1586" spans="1:8" s="64" customFormat="1">
      <c r="A1586" s="84"/>
      <c r="B1586" s="84"/>
      <c r="C1586" s="84"/>
      <c r="D1586" s="84"/>
      <c r="E1586" s="84"/>
      <c r="F1586" s="85"/>
      <c r="G1586" s="84"/>
      <c r="H1586" s="84"/>
    </row>
    <row r="1587" spans="1:8" s="64" customFormat="1">
      <c r="A1587" s="84"/>
      <c r="B1587" s="84"/>
      <c r="C1587" s="84"/>
      <c r="D1587" s="84"/>
      <c r="E1587" s="84"/>
      <c r="F1587" s="85"/>
      <c r="G1587" s="84"/>
      <c r="H1587" s="84"/>
    </row>
    <row r="1588" spans="1:8" s="64" customFormat="1">
      <c r="A1588" s="84"/>
      <c r="B1588" s="84"/>
      <c r="C1588" s="84"/>
      <c r="D1588" s="84"/>
      <c r="E1588" s="84"/>
      <c r="F1588" s="85"/>
      <c r="G1588" s="84"/>
      <c r="H1588" s="84"/>
    </row>
    <row r="1589" spans="1:8" s="64" customFormat="1">
      <c r="A1589" s="84"/>
      <c r="B1589" s="84"/>
      <c r="C1589" s="84"/>
      <c r="D1589" s="84"/>
      <c r="E1589" s="84"/>
      <c r="F1589" s="85"/>
      <c r="G1589" s="84"/>
      <c r="H1589" s="84"/>
    </row>
    <row r="1590" spans="1:8" s="64" customFormat="1">
      <c r="A1590" s="84"/>
      <c r="B1590" s="84"/>
      <c r="C1590" s="84"/>
      <c r="D1590" s="84"/>
      <c r="E1590" s="84"/>
      <c r="F1590" s="85"/>
      <c r="G1590" s="84"/>
      <c r="H1590" s="84"/>
    </row>
    <row r="1591" spans="1:8" s="64" customFormat="1">
      <c r="A1591" s="84"/>
      <c r="B1591" s="84"/>
      <c r="C1591" s="84"/>
      <c r="D1591" s="84"/>
      <c r="E1591" s="84"/>
      <c r="F1591" s="85"/>
      <c r="G1591" s="84"/>
      <c r="H1591" s="84"/>
    </row>
    <row r="1592" spans="1:8" s="64" customFormat="1">
      <c r="A1592" s="84"/>
      <c r="B1592" s="84"/>
      <c r="C1592" s="84"/>
      <c r="D1592" s="84"/>
      <c r="E1592" s="84"/>
      <c r="F1592" s="85"/>
      <c r="G1592" s="84"/>
      <c r="H1592" s="84"/>
    </row>
    <row r="1593" spans="1:8" s="64" customFormat="1">
      <c r="A1593" s="84"/>
      <c r="B1593" s="84"/>
      <c r="C1593" s="84"/>
      <c r="D1593" s="84"/>
      <c r="E1593" s="84"/>
      <c r="F1593" s="85"/>
      <c r="G1593" s="84"/>
      <c r="H1593" s="84"/>
    </row>
    <row r="1594" spans="1:8" s="64" customFormat="1">
      <c r="A1594" s="84"/>
      <c r="B1594" s="84"/>
      <c r="C1594" s="84"/>
      <c r="D1594" s="84"/>
      <c r="E1594" s="84"/>
      <c r="F1594" s="85"/>
      <c r="G1594" s="84"/>
      <c r="H1594" s="84"/>
    </row>
    <row r="1595" spans="1:8" s="64" customFormat="1">
      <c r="A1595" s="84"/>
      <c r="B1595" s="84"/>
      <c r="C1595" s="84"/>
      <c r="D1595" s="84"/>
      <c r="E1595" s="84"/>
      <c r="F1595" s="85"/>
      <c r="G1595" s="84"/>
      <c r="H1595" s="84"/>
    </row>
    <row r="1596" spans="1:8" s="64" customFormat="1">
      <c r="A1596" s="84"/>
      <c r="B1596" s="84"/>
      <c r="C1596" s="84"/>
      <c r="D1596" s="84"/>
      <c r="E1596" s="84"/>
      <c r="F1596" s="85"/>
      <c r="G1596" s="84"/>
      <c r="H1596" s="84"/>
    </row>
    <row r="1597" spans="1:8" s="64" customFormat="1">
      <c r="A1597" s="84"/>
      <c r="B1597" s="84"/>
      <c r="C1597" s="84"/>
      <c r="D1597" s="84"/>
      <c r="E1597" s="84"/>
      <c r="F1597" s="85"/>
      <c r="G1597" s="84"/>
      <c r="H1597" s="84"/>
    </row>
    <row r="1598" spans="1:8" s="64" customFormat="1">
      <c r="A1598" s="84"/>
      <c r="B1598" s="84"/>
      <c r="C1598" s="84"/>
      <c r="D1598" s="84"/>
      <c r="E1598" s="84"/>
      <c r="F1598" s="85"/>
      <c r="G1598" s="84"/>
      <c r="H1598" s="84"/>
    </row>
    <row r="1599" spans="1:8" s="64" customFormat="1">
      <c r="A1599" s="84"/>
      <c r="B1599" s="84"/>
      <c r="C1599" s="84"/>
      <c r="D1599" s="84"/>
      <c r="E1599" s="84"/>
      <c r="F1599" s="85"/>
      <c r="G1599" s="84"/>
      <c r="H1599" s="84"/>
    </row>
    <row r="1600" spans="1:8" s="64" customFormat="1">
      <c r="A1600" s="84"/>
      <c r="B1600" s="84"/>
      <c r="C1600" s="84"/>
      <c r="D1600" s="84"/>
      <c r="E1600" s="84"/>
      <c r="F1600" s="85"/>
      <c r="G1600" s="84"/>
      <c r="H1600" s="84"/>
    </row>
    <row r="1601" spans="1:8" s="64" customFormat="1">
      <c r="A1601" s="84"/>
      <c r="B1601" s="84"/>
      <c r="C1601" s="84"/>
      <c r="D1601" s="84"/>
      <c r="E1601" s="84"/>
      <c r="F1601" s="85"/>
      <c r="G1601" s="84"/>
      <c r="H1601" s="84"/>
    </row>
    <row r="1602" spans="1:8" s="64" customFormat="1">
      <c r="A1602" s="84"/>
      <c r="B1602" s="84"/>
      <c r="C1602" s="84"/>
      <c r="D1602" s="84"/>
      <c r="E1602" s="84"/>
      <c r="F1602" s="85"/>
      <c r="G1602" s="84"/>
      <c r="H1602" s="84"/>
    </row>
    <row r="1603" spans="1:8" s="64" customFormat="1">
      <c r="A1603" s="84"/>
      <c r="B1603" s="84"/>
      <c r="C1603" s="84"/>
      <c r="D1603" s="84"/>
      <c r="E1603" s="84"/>
      <c r="F1603" s="85"/>
      <c r="G1603" s="84"/>
      <c r="H1603" s="84"/>
    </row>
    <row r="1604" spans="1:8" s="64" customFormat="1">
      <c r="A1604" s="84"/>
      <c r="B1604" s="84"/>
      <c r="C1604" s="84"/>
      <c r="D1604" s="84"/>
      <c r="E1604" s="84"/>
      <c r="F1604" s="85"/>
      <c r="G1604" s="84"/>
      <c r="H1604" s="84"/>
    </row>
    <row r="1605" spans="1:8" s="64" customFormat="1">
      <c r="A1605" s="84"/>
      <c r="B1605" s="84"/>
      <c r="C1605" s="84"/>
      <c r="D1605" s="84"/>
      <c r="E1605" s="84"/>
      <c r="F1605" s="85"/>
      <c r="G1605" s="84"/>
      <c r="H1605" s="84"/>
    </row>
    <row r="1606" spans="1:8" s="64" customFormat="1">
      <c r="A1606" s="84"/>
      <c r="B1606" s="84"/>
      <c r="C1606" s="84"/>
      <c r="D1606" s="84"/>
      <c r="E1606" s="84"/>
      <c r="F1606" s="85"/>
      <c r="G1606" s="84"/>
      <c r="H1606" s="84"/>
    </row>
    <row r="1607" spans="1:8" s="64" customFormat="1">
      <c r="A1607" s="84"/>
      <c r="B1607" s="84"/>
      <c r="C1607" s="84"/>
      <c r="D1607" s="84"/>
      <c r="E1607" s="84"/>
      <c r="F1607" s="85"/>
      <c r="G1607" s="84"/>
      <c r="H1607" s="84"/>
    </row>
    <row r="1608" spans="1:8" s="64" customFormat="1">
      <c r="A1608" s="84"/>
      <c r="B1608" s="84"/>
      <c r="C1608" s="84"/>
      <c r="D1608" s="84"/>
      <c r="E1608" s="84"/>
      <c r="F1608" s="85"/>
      <c r="G1608" s="84"/>
      <c r="H1608" s="84"/>
    </row>
    <row r="1609" spans="1:8" s="64" customFormat="1">
      <c r="A1609" s="84"/>
      <c r="B1609" s="84"/>
      <c r="C1609" s="84"/>
      <c r="D1609" s="84"/>
      <c r="E1609" s="84"/>
      <c r="F1609" s="85"/>
      <c r="G1609" s="84"/>
      <c r="H1609" s="84"/>
    </row>
    <row r="1610" spans="1:8" s="64" customFormat="1">
      <c r="A1610" s="84"/>
      <c r="B1610" s="84"/>
      <c r="C1610" s="84"/>
      <c r="D1610" s="84"/>
      <c r="E1610" s="84"/>
      <c r="F1610" s="85"/>
      <c r="G1610" s="84"/>
      <c r="H1610" s="84"/>
    </row>
    <row r="1611" spans="1:8" s="64" customFormat="1">
      <c r="A1611" s="84"/>
      <c r="B1611" s="84"/>
      <c r="C1611" s="84"/>
      <c r="D1611" s="84"/>
      <c r="E1611" s="84"/>
      <c r="F1611" s="85"/>
      <c r="G1611" s="84"/>
      <c r="H1611" s="84"/>
    </row>
    <row r="1612" spans="1:8" s="64" customFormat="1">
      <c r="A1612" s="84"/>
      <c r="B1612" s="84"/>
      <c r="C1612" s="84"/>
      <c r="D1612" s="84"/>
      <c r="E1612" s="84"/>
      <c r="F1612" s="85"/>
      <c r="G1612" s="84"/>
      <c r="H1612" s="84"/>
    </row>
    <row r="1613" spans="1:8" s="64" customFormat="1">
      <c r="A1613" s="84"/>
      <c r="B1613" s="84"/>
      <c r="C1613" s="84"/>
      <c r="D1613" s="84"/>
      <c r="E1613" s="84"/>
      <c r="F1613" s="85"/>
      <c r="G1613" s="84"/>
      <c r="H1613" s="84"/>
    </row>
    <row r="1614" spans="1:8" s="64" customFormat="1">
      <c r="A1614" s="84"/>
      <c r="B1614" s="84"/>
      <c r="C1614" s="84"/>
      <c r="D1614" s="84"/>
      <c r="E1614" s="84"/>
      <c r="F1614" s="85"/>
      <c r="G1614" s="84"/>
      <c r="H1614" s="84"/>
    </row>
    <row r="1615" spans="1:8" s="64" customFormat="1">
      <c r="A1615" s="84"/>
      <c r="B1615" s="84"/>
      <c r="C1615" s="84"/>
      <c r="D1615" s="84"/>
      <c r="E1615" s="84"/>
      <c r="F1615" s="85"/>
      <c r="G1615" s="84"/>
      <c r="H1615" s="84"/>
    </row>
    <row r="1616" spans="1:8" s="64" customFormat="1">
      <c r="A1616" s="84"/>
      <c r="B1616" s="84"/>
      <c r="C1616" s="84"/>
      <c r="D1616" s="84"/>
      <c r="E1616" s="84"/>
      <c r="F1616" s="85"/>
      <c r="G1616" s="84"/>
      <c r="H1616" s="84"/>
    </row>
    <row r="1617" spans="1:8" s="64" customFormat="1">
      <c r="A1617" s="84"/>
      <c r="B1617" s="84"/>
      <c r="C1617" s="84"/>
      <c r="D1617" s="84"/>
      <c r="E1617" s="84"/>
      <c r="F1617" s="85"/>
      <c r="G1617" s="84"/>
      <c r="H1617" s="84"/>
    </row>
    <row r="1618" spans="1:8" s="64" customFormat="1">
      <c r="A1618" s="84"/>
      <c r="B1618" s="84"/>
      <c r="C1618" s="84"/>
      <c r="D1618" s="84"/>
      <c r="E1618" s="84"/>
      <c r="F1618" s="85"/>
      <c r="G1618" s="84"/>
      <c r="H1618" s="84"/>
    </row>
    <row r="1619" spans="1:8" s="64" customFormat="1">
      <c r="A1619" s="84"/>
      <c r="B1619" s="84"/>
      <c r="C1619" s="84"/>
      <c r="D1619" s="84"/>
      <c r="E1619" s="84"/>
      <c r="F1619" s="85"/>
      <c r="G1619" s="84"/>
      <c r="H1619" s="84"/>
    </row>
    <row r="1620" spans="1:8" s="64" customFormat="1">
      <c r="A1620" s="84"/>
      <c r="B1620" s="84"/>
      <c r="C1620" s="84"/>
      <c r="D1620" s="84"/>
      <c r="E1620" s="84"/>
      <c r="F1620" s="85"/>
      <c r="G1620" s="84"/>
      <c r="H1620" s="84"/>
    </row>
    <row r="1621" spans="1:8" s="64" customFormat="1">
      <c r="A1621" s="84"/>
      <c r="B1621" s="84"/>
      <c r="C1621" s="84"/>
      <c r="D1621" s="84"/>
      <c r="E1621" s="84"/>
      <c r="F1621" s="85"/>
      <c r="G1621" s="84"/>
      <c r="H1621" s="84"/>
    </row>
    <row r="1622" spans="1:8" s="64" customFormat="1">
      <c r="A1622" s="84"/>
      <c r="B1622" s="84"/>
      <c r="C1622" s="84"/>
      <c r="D1622" s="84"/>
      <c r="E1622" s="84"/>
      <c r="F1622" s="85"/>
      <c r="G1622" s="84"/>
      <c r="H1622" s="84"/>
    </row>
    <row r="1623" spans="1:8" s="64" customFormat="1">
      <c r="A1623" s="84"/>
      <c r="B1623" s="84"/>
      <c r="C1623" s="84"/>
      <c r="D1623" s="84"/>
      <c r="E1623" s="84"/>
      <c r="F1623" s="85"/>
      <c r="G1623" s="84"/>
      <c r="H1623" s="84"/>
    </row>
    <row r="1624" spans="1:8" s="64" customFormat="1">
      <c r="A1624" s="84"/>
      <c r="B1624" s="84"/>
      <c r="C1624" s="84"/>
      <c r="D1624" s="84"/>
      <c r="E1624" s="84"/>
      <c r="F1624" s="85"/>
      <c r="G1624" s="84"/>
      <c r="H1624" s="84"/>
    </row>
    <row r="1625" spans="1:8" s="64" customFormat="1">
      <c r="A1625" s="84"/>
      <c r="B1625" s="84"/>
      <c r="C1625" s="84"/>
      <c r="D1625" s="84"/>
      <c r="E1625" s="84"/>
      <c r="F1625" s="85"/>
      <c r="G1625" s="84"/>
      <c r="H1625" s="84"/>
    </row>
    <row r="1626" spans="1:8" s="64" customFormat="1">
      <c r="A1626" s="84"/>
      <c r="B1626" s="84"/>
      <c r="C1626" s="84"/>
      <c r="D1626" s="84"/>
      <c r="E1626" s="84"/>
      <c r="F1626" s="85"/>
      <c r="G1626" s="84"/>
      <c r="H1626" s="84"/>
    </row>
    <row r="1627" spans="1:8" s="64" customFormat="1">
      <c r="A1627" s="84"/>
      <c r="B1627" s="84"/>
      <c r="C1627" s="84"/>
      <c r="D1627" s="84"/>
      <c r="E1627" s="84"/>
      <c r="F1627" s="85"/>
      <c r="G1627" s="84"/>
      <c r="H1627" s="84"/>
    </row>
    <row r="1628" spans="1:8" s="64" customFormat="1">
      <c r="A1628" s="84"/>
      <c r="B1628" s="84"/>
      <c r="C1628" s="84"/>
      <c r="D1628" s="84"/>
      <c r="E1628" s="84"/>
      <c r="F1628" s="85"/>
      <c r="G1628" s="84"/>
      <c r="H1628" s="84"/>
    </row>
    <row r="1629" spans="1:8" s="64" customFormat="1">
      <c r="A1629" s="84"/>
      <c r="B1629" s="84"/>
      <c r="C1629" s="84"/>
      <c r="D1629" s="84"/>
      <c r="E1629" s="84"/>
      <c r="F1629" s="85"/>
      <c r="G1629" s="84"/>
      <c r="H1629" s="84"/>
    </row>
    <row r="1630" spans="1:8" s="64" customFormat="1">
      <c r="A1630" s="84"/>
      <c r="B1630" s="84"/>
      <c r="C1630" s="84"/>
      <c r="D1630" s="84"/>
      <c r="E1630" s="84"/>
      <c r="F1630" s="85"/>
      <c r="G1630" s="84"/>
      <c r="H1630" s="84"/>
    </row>
    <row r="1631" spans="1:8" s="64" customFormat="1">
      <c r="A1631" s="84"/>
      <c r="B1631" s="84"/>
      <c r="C1631" s="84"/>
      <c r="D1631" s="84"/>
      <c r="E1631" s="84"/>
      <c r="F1631" s="85"/>
      <c r="G1631" s="84"/>
      <c r="H1631" s="84"/>
    </row>
    <row r="1632" spans="1:8" s="64" customFormat="1">
      <c r="A1632" s="84"/>
      <c r="B1632" s="84"/>
      <c r="C1632" s="84"/>
      <c r="D1632" s="84"/>
      <c r="E1632" s="84"/>
      <c r="F1632" s="85"/>
      <c r="G1632" s="84"/>
      <c r="H1632" s="84"/>
    </row>
    <row r="1633" spans="1:8" s="64" customFormat="1">
      <c r="A1633" s="84"/>
      <c r="B1633" s="84"/>
      <c r="C1633" s="84"/>
      <c r="D1633" s="84"/>
      <c r="E1633" s="84"/>
      <c r="F1633" s="85"/>
      <c r="G1633" s="84"/>
      <c r="H1633" s="84"/>
    </row>
    <row r="1634" spans="1:8" s="64" customFormat="1">
      <c r="A1634" s="84"/>
      <c r="B1634" s="84"/>
      <c r="C1634" s="84"/>
      <c r="D1634" s="84"/>
      <c r="E1634" s="84"/>
      <c r="F1634" s="85"/>
      <c r="G1634" s="84"/>
      <c r="H1634" s="84"/>
    </row>
    <row r="1635" spans="1:8" s="64" customFormat="1">
      <c r="A1635" s="84"/>
      <c r="B1635" s="84"/>
      <c r="C1635" s="84"/>
      <c r="D1635" s="84"/>
      <c r="E1635" s="84"/>
      <c r="F1635" s="85"/>
      <c r="G1635" s="84"/>
      <c r="H1635" s="84"/>
    </row>
    <row r="1636" spans="1:8" s="64" customFormat="1">
      <c r="A1636" s="84"/>
      <c r="B1636" s="84"/>
      <c r="C1636" s="84"/>
      <c r="D1636" s="84"/>
      <c r="E1636" s="84"/>
      <c r="F1636" s="85"/>
      <c r="G1636" s="84"/>
      <c r="H1636" s="84"/>
    </row>
    <row r="1637" spans="1:8" s="64" customFormat="1">
      <c r="A1637" s="84"/>
      <c r="B1637" s="84"/>
      <c r="C1637" s="84"/>
      <c r="D1637" s="84"/>
      <c r="E1637" s="84"/>
      <c r="F1637" s="85"/>
      <c r="G1637" s="84"/>
      <c r="H1637" s="84"/>
    </row>
    <row r="1638" spans="1:8" s="64" customFormat="1">
      <c r="A1638" s="84"/>
      <c r="B1638" s="84"/>
      <c r="C1638" s="84"/>
      <c r="D1638" s="84"/>
      <c r="E1638" s="84"/>
      <c r="F1638" s="85"/>
      <c r="G1638" s="84"/>
      <c r="H1638" s="84"/>
    </row>
    <row r="1639" spans="1:8" s="64" customFormat="1">
      <c r="A1639" s="84"/>
      <c r="B1639" s="84"/>
      <c r="C1639" s="84"/>
      <c r="D1639" s="84"/>
      <c r="E1639" s="84"/>
      <c r="F1639" s="85"/>
      <c r="G1639" s="84"/>
      <c r="H1639" s="84"/>
    </row>
    <row r="1640" spans="1:8" s="64" customFormat="1">
      <c r="A1640" s="84"/>
      <c r="B1640" s="84"/>
      <c r="C1640" s="84"/>
      <c r="D1640" s="84"/>
      <c r="E1640" s="84"/>
      <c r="F1640" s="85"/>
      <c r="G1640" s="84"/>
      <c r="H1640" s="84"/>
    </row>
    <row r="1641" spans="1:8" s="64" customFormat="1">
      <c r="A1641" s="84"/>
      <c r="B1641" s="84"/>
      <c r="C1641" s="84"/>
      <c r="D1641" s="84"/>
      <c r="E1641" s="84"/>
      <c r="F1641" s="85"/>
      <c r="G1641" s="84"/>
      <c r="H1641" s="84"/>
    </row>
    <row r="1642" spans="1:8" s="64" customFormat="1">
      <c r="A1642" s="84"/>
      <c r="B1642" s="84"/>
      <c r="C1642" s="84"/>
      <c r="D1642" s="84"/>
      <c r="E1642" s="84"/>
      <c r="F1642" s="85"/>
      <c r="G1642" s="84"/>
      <c r="H1642" s="84"/>
    </row>
    <row r="1643" spans="1:8" s="64" customFormat="1">
      <c r="A1643" s="84"/>
      <c r="B1643" s="84"/>
      <c r="C1643" s="84"/>
      <c r="D1643" s="84"/>
      <c r="E1643" s="84"/>
      <c r="F1643" s="85"/>
      <c r="G1643" s="84"/>
      <c r="H1643" s="84"/>
    </row>
    <row r="1644" spans="1:8" s="64" customFormat="1">
      <c r="A1644" s="84"/>
      <c r="B1644" s="84"/>
      <c r="C1644" s="84"/>
      <c r="D1644" s="84"/>
      <c r="E1644" s="84"/>
      <c r="F1644" s="85"/>
      <c r="G1644" s="84"/>
      <c r="H1644" s="84"/>
    </row>
    <row r="1645" spans="1:8" s="64" customFormat="1">
      <c r="A1645" s="84"/>
      <c r="B1645" s="84"/>
      <c r="C1645" s="84"/>
      <c r="D1645" s="84"/>
      <c r="E1645" s="84"/>
      <c r="F1645" s="85"/>
      <c r="G1645" s="84"/>
      <c r="H1645" s="84"/>
    </row>
    <row r="1646" spans="1:8" s="64" customFormat="1">
      <c r="A1646" s="84"/>
      <c r="B1646" s="84"/>
      <c r="C1646" s="84"/>
      <c r="D1646" s="84"/>
      <c r="E1646" s="84"/>
      <c r="F1646" s="85"/>
      <c r="G1646" s="84"/>
      <c r="H1646" s="84"/>
    </row>
    <row r="1647" spans="1:8" s="64" customFormat="1">
      <c r="A1647" s="84"/>
      <c r="B1647" s="84"/>
      <c r="C1647" s="84"/>
      <c r="D1647" s="84"/>
      <c r="E1647" s="84"/>
      <c r="F1647" s="85"/>
      <c r="G1647" s="84"/>
      <c r="H1647" s="84"/>
    </row>
    <row r="1648" spans="1:8" s="64" customFormat="1">
      <c r="A1648" s="84"/>
      <c r="B1648" s="84"/>
      <c r="C1648" s="84"/>
      <c r="D1648" s="84"/>
      <c r="E1648" s="84"/>
      <c r="F1648" s="85"/>
      <c r="G1648" s="84"/>
      <c r="H1648" s="84"/>
    </row>
    <row r="1649" spans="1:8" s="64" customFormat="1">
      <c r="A1649" s="84"/>
      <c r="B1649" s="84"/>
      <c r="C1649" s="84"/>
      <c r="D1649" s="84"/>
      <c r="E1649" s="84"/>
      <c r="F1649" s="85"/>
      <c r="G1649" s="84"/>
      <c r="H1649" s="84"/>
    </row>
    <row r="1650" spans="1:8" s="64" customFormat="1">
      <c r="A1650" s="84"/>
      <c r="B1650" s="84"/>
      <c r="C1650" s="84"/>
      <c r="D1650" s="84"/>
      <c r="E1650" s="84"/>
      <c r="F1650" s="85"/>
      <c r="G1650" s="84"/>
      <c r="H1650" s="84"/>
    </row>
    <row r="1651" spans="1:8" s="64" customFormat="1">
      <c r="A1651" s="84"/>
      <c r="B1651" s="84"/>
      <c r="C1651" s="84"/>
      <c r="D1651" s="84"/>
      <c r="E1651" s="84"/>
      <c r="F1651" s="85"/>
      <c r="G1651" s="84"/>
      <c r="H1651" s="84"/>
    </row>
    <row r="1652" spans="1:8" s="64" customFormat="1">
      <c r="A1652" s="84"/>
      <c r="B1652" s="84"/>
      <c r="C1652" s="84"/>
      <c r="D1652" s="84"/>
      <c r="E1652" s="84"/>
      <c r="F1652" s="85"/>
      <c r="G1652" s="84"/>
      <c r="H1652" s="84"/>
    </row>
    <row r="1653" spans="1:8" s="64" customFormat="1">
      <c r="A1653" s="84"/>
      <c r="B1653" s="84"/>
      <c r="C1653" s="84"/>
      <c r="D1653" s="84"/>
      <c r="E1653" s="84"/>
      <c r="F1653" s="85"/>
      <c r="G1653" s="84"/>
      <c r="H1653" s="84"/>
    </row>
    <row r="1654" spans="1:8" s="64" customFormat="1">
      <c r="A1654" s="84"/>
      <c r="B1654" s="84"/>
      <c r="C1654" s="84"/>
      <c r="D1654" s="84"/>
      <c r="E1654" s="84"/>
      <c r="F1654" s="85"/>
      <c r="G1654" s="84"/>
      <c r="H1654" s="84"/>
    </row>
    <row r="1655" spans="1:8" s="64" customFormat="1">
      <c r="A1655" s="84"/>
      <c r="B1655" s="84"/>
      <c r="C1655" s="84"/>
      <c r="D1655" s="84"/>
      <c r="E1655" s="84"/>
      <c r="F1655" s="85"/>
      <c r="G1655" s="84"/>
      <c r="H1655" s="84"/>
    </row>
    <row r="1656" spans="1:8" s="64" customFormat="1">
      <c r="A1656" s="84"/>
      <c r="B1656" s="84"/>
      <c r="C1656" s="84"/>
      <c r="D1656" s="84"/>
      <c r="E1656" s="84"/>
      <c r="F1656" s="85"/>
      <c r="G1656" s="84"/>
      <c r="H1656" s="84"/>
    </row>
    <row r="1657" spans="1:8" s="64" customFormat="1">
      <c r="A1657" s="84"/>
      <c r="B1657" s="84"/>
      <c r="C1657" s="84"/>
      <c r="D1657" s="84"/>
      <c r="E1657" s="84"/>
      <c r="F1657" s="85"/>
      <c r="G1657" s="84"/>
      <c r="H1657" s="84"/>
    </row>
    <row r="1658" spans="1:8" s="64" customFormat="1">
      <c r="A1658" s="84"/>
      <c r="B1658" s="84"/>
      <c r="C1658" s="84"/>
      <c r="D1658" s="84"/>
      <c r="E1658" s="84"/>
      <c r="F1658" s="85"/>
      <c r="G1658" s="84"/>
      <c r="H1658" s="84"/>
    </row>
    <row r="1659" spans="1:8" s="64" customFormat="1">
      <c r="A1659" s="84"/>
      <c r="B1659" s="84"/>
      <c r="C1659" s="84"/>
      <c r="D1659" s="84"/>
      <c r="E1659" s="84"/>
      <c r="F1659" s="85"/>
      <c r="G1659" s="84"/>
      <c r="H1659" s="84"/>
    </row>
    <row r="1660" spans="1:8" s="64" customFormat="1">
      <c r="A1660" s="84"/>
      <c r="B1660" s="84"/>
      <c r="C1660" s="84"/>
      <c r="D1660" s="84"/>
      <c r="E1660" s="84"/>
      <c r="F1660" s="85"/>
      <c r="G1660" s="84"/>
      <c r="H1660" s="84"/>
    </row>
    <row r="1661" spans="1:8" s="64" customFormat="1">
      <c r="A1661" s="84"/>
      <c r="B1661" s="84"/>
      <c r="C1661" s="84"/>
      <c r="D1661" s="84"/>
      <c r="E1661" s="84"/>
      <c r="F1661" s="85"/>
      <c r="G1661" s="84"/>
      <c r="H1661" s="84"/>
    </row>
    <row r="1662" spans="1:8" s="64" customFormat="1">
      <c r="A1662" s="84"/>
      <c r="B1662" s="84"/>
      <c r="C1662" s="84"/>
      <c r="D1662" s="84"/>
      <c r="E1662" s="84"/>
      <c r="F1662" s="85"/>
      <c r="G1662" s="84"/>
      <c r="H1662" s="84"/>
    </row>
    <row r="1663" spans="1:8" s="64" customFormat="1">
      <c r="A1663" s="84"/>
      <c r="B1663" s="84"/>
      <c r="C1663" s="84"/>
      <c r="D1663" s="84"/>
      <c r="E1663" s="84"/>
      <c r="F1663" s="85"/>
      <c r="G1663" s="84"/>
      <c r="H1663" s="84"/>
    </row>
    <row r="1664" spans="1:8" s="64" customFormat="1">
      <c r="A1664" s="84"/>
      <c r="B1664" s="84"/>
      <c r="C1664" s="84"/>
      <c r="D1664" s="84"/>
      <c r="E1664" s="84"/>
      <c r="F1664" s="85"/>
      <c r="G1664" s="84"/>
      <c r="H1664" s="84"/>
    </row>
    <row r="1665" spans="1:8" s="64" customFormat="1">
      <c r="A1665" s="84"/>
      <c r="B1665" s="84"/>
      <c r="C1665" s="84"/>
      <c r="D1665" s="84"/>
      <c r="E1665" s="84"/>
      <c r="F1665" s="85"/>
      <c r="G1665" s="84"/>
      <c r="H1665" s="84"/>
    </row>
    <row r="1666" spans="1:8" s="64" customFormat="1">
      <c r="A1666" s="84"/>
      <c r="B1666" s="84"/>
      <c r="C1666" s="84"/>
      <c r="D1666" s="84"/>
      <c r="E1666" s="84"/>
      <c r="F1666" s="85"/>
      <c r="G1666" s="84"/>
      <c r="H1666" s="84"/>
    </row>
    <row r="1667" spans="1:8" s="64" customFormat="1">
      <c r="A1667" s="84"/>
      <c r="B1667" s="84"/>
      <c r="C1667" s="84"/>
      <c r="D1667" s="84"/>
      <c r="E1667" s="84"/>
      <c r="F1667" s="85"/>
      <c r="G1667" s="84"/>
      <c r="H1667" s="84"/>
    </row>
    <row r="1668" spans="1:8" s="64" customFormat="1">
      <c r="A1668" s="84"/>
      <c r="B1668" s="84"/>
      <c r="C1668" s="84"/>
      <c r="D1668" s="84"/>
      <c r="E1668" s="84"/>
      <c r="F1668" s="85"/>
      <c r="G1668" s="84"/>
      <c r="H1668" s="84"/>
    </row>
    <row r="1669" spans="1:8" s="64" customFormat="1">
      <c r="A1669" s="84"/>
      <c r="B1669" s="84"/>
      <c r="C1669" s="84"/>
      <c r="D1669" s="84"/>
      <c r="E1669" s="84"/>
      <c r="F1669" s="85"/>
      <c r="G1669" s="84"/>
      <c r="H1669" s="84"/>
    </row>
    <row r="1670" spans="1:8" s="64" customFormat="1">
      <c r="A1670" s="84"/>
      <c r="B1670" s="84"/>
      <c r="C1670" s="84"/>
      <c r="D1670" s="84"/>
      <c r="E1670" s="84"/>
      <c r="F1670" s="85"/>
      <c r="G1670" s="84"/>
      <c r="H1670" s="84"/>
    </row>
    <row r="1671" spans="1:8" s="64" customFormat="1">
      <c r="A1671" s="84"/>
      <c r="B1671" s="84"/>
      <c r="C1671" s="84"/>
      <c r="D1671" s="84"/>
      <c r="E1671" s="84"/>
      <c r="F1671" s="85"/>
      <c r="G1671" s="84"/>
      <c r="H1671" s="84"/>
    </row>
    <row r="1672" spans="1:8" s="64" customFormat="1">
      <c r="A1672" s="84"/>
      <c r="B1672" s="84"/>
      <c r="C1672" s="84"/>
      <c r="D1672" s="84"/>
      <c r="E1672" s="84"/>
      <c r="F1672" s="85"/>
      <c r="G1672" s="84"/>
      <c r="H1672" s="84"/>
    </row>
    <row r="1673" spans="1:8" s="64" customFormat="1">
      <c r="A1673" s="84"/>
      <c r="B1673" s="84"/>
      <c r="C1673" s="84"/>
      <c r="D1673" s="84"/>
      <c r="E1673" s="84"/>
      <c r="F1673" s="85"/>
      <c r="G1673" s="84"/>
      <c r="H1673" s="84"/>
    </row>
    <row r="1674" spans="1:8" s="64" customFormat="1">
      <c r="A1674" s="84"/>
      <c r="B1674" s="84"/>
      <c r="C1674" s="84"/>
      <c r="D1674" s="84"/>
      <c r="E1674" s="84"/>
      <c r="F1674" s="85"/>
      <c r="G1674" s="84"/>
      <c r="H1674" s="84"/>
    </row>
    <row r="1675" spans="1:8" s="64" customFormat="1">
      <c r="A1675" s="84"/>
      <c r="B1675" s="84"/>
      <c r="C1675" s="84"/>
      <c r="D1675" s="84"/>
      <c r="E1675" s="84"/>
      <c r="F1675" s="85"/>
      <c r="G1675" s="84"/>
      <c r="H1675" s="84"/>
    </row>
    <row r="1676" spans="1:8" s="64" customFormat="1">
      <c r="A1676" s="84"/>
      <c r="B1676" s="84"/>
      <c r="C1676" s="84"/>
      <c r="D1676" s="84"/>
      <c r="E1676" s="84"/>
      <c r="F1676" s="85"/>
      <c r="G1676" s="84"/>
      <c r="H1676" s="84"/>
    </row>
    <row r="1677" spans="1:8" s="64" customFormat="1">
      <c r="A1677" s="84"/>
      <c r="B1677" s="84"/>
      <c r="C1677" s="84"/>
      <c r="D1677" s="84"/>
      <c r="E1677" s="84"/>
      <c r="F1677" s="85"/>
      <c r="G1677" s="84"/>
      <c r="H1677" s="84"/>
    </row>
    <row r="1678" spans="1:8" s="64" customFormat="1">
      <c r="A1678" s="84"/>
      <c r="B1678" s="84"/>
      <c r="C1678" s="84"/>
      <c r="D1678" s="84"/>
      <c r="E1678" s="84"/>
      <c r="F1678" s="85"/>
      <c r="G1678" s="84"/>
      <c r="H1678" s="84"/>
    </row>
    <row r="1679" spans="1:8" s="64" customFormat="1">
      <c r="A1679" s="84"/>
      <c r="B1679" s="84"/>
      <c r="C1679" s="84"/>
      <c r="D1679" s="84"/>
      <c r="E1679" s="84"/>
      <c r="F1679" s="85"/>
      <c r="G1679" s="84"/>
      <c r="H1679" s="84"/>
    </row>
    <row r="1680" spans="1:8" s="64" customFormat="1">
      <c r="A1680" s="84"/>
      <c r="B1680" s="84"/>
      <c r="C1680" s="84"/>
      <c r="D1680" s="84"/>
      <c r="E1680" s="84"/>
      <c r="F1680" s="85"/>
      <c r="G1680" s="84"/>
      <c r="H1680" s="84"/>
    </row>
    <row r="1681" spans="1:8" s="64" customFormat="1">
      <c r="A1681" s="84"/>
      <c r="B1681" s="84"/>
      <c r="C1681" s="84"/>
      <c r="D1681" s="84"/>
      <c r="E1681" s="84"/>
      <c r="F1681" s="85"/>
      <c r="G1681" s="84"/>
      <c r="H1681" s="84"/>
    </row>
    <row r="1682" spans="1:8" s="64" customFormat="1">
      <c r="A1682" s="84"/>
      <c r="B1682" s="84"/>
      <c r="C1682" s="84"/>
      <c r="D1682" s="84"/>
      <c r="E1682" s="84"/>
      <c r="F1682" s="85"/>
      <c r="G1682" s="84"/>
      <c r="H1682" s="84"/>
    </row>
    <row r="1683" spans="1:8" s="64" customFormat="1">
      <c r="A1683" s="84"/>
      <c r="B1683" s="84"/>
      <c r="C1683" s="84"/>
      <c r="D1683" s="84"/>
      <c r="E1683" s="84"/>
      <c r="F1683" s="85"/>
      <c r="G1683" s="84"/>
      <c r="H1683" s="84"/>
    </row>
    <row r="1684" spans="1:8" s="64" customFormat="1">
      <c r="A1684" s="84"/>
      <c r="B1684" s="84"/>
      <c r="C1684" s="84"/>
      <c r="D1684" s="84"/>
      <c r="E1684" s="84"/>
      <c r="F1684" s="85"/>
      <c r="G1684" s="84"/>
      <c r="H1684" s="84"/>
    </row>
    <row r="1685" spans="1:8" s="64" customFormat="1">
      <c r="A1685" s="84"/>
      <c r="B1685" s="84"/>
      <c r="C1685" s="84"/>
      <c r="D1685" s="84"/>
      <c r="E1685" s="84"/>
      <c r="F1685" s="85"/>
      <c r="G1685" s="84"/>
      <c r="H1685" s="84"/>
    </row>
    <row r="1686" spans="1:8" s="64" customFormat="1">
      <c r="A1686" s="84"/>
      <c r="B1686" s="84"/>
      <c r="C1686" s="84"/>
      <c r="D1686" s="84"/>
      <c r="E1686" s="84"/>
      <c r="F1686" s="85"/>
      <c r="G1686" s="84"/>
      <c r="H1686" s="84"/>
    </row>
    <row r="1687" spans="1:8" s="64" customFormat="1">
      <c r="A1687" s="84"/>
      <c r="B1687" s="84"/>
      <c r="C1687" s="84"/>
      <c r="D1687" s="84"/>
      <c r="E1687" s="84"/>
      <c r="F1687" s="85"/>
      <c r="G1687" s="84"/>
      <c r="H1687" s="84"/>
    </row>
    <row r="1688" spans="1:8" s="64" customFormat="1">
      <c r="A1688" s="84"/>
      <c r="B1688" s="84"/>
      <c r="C1688" s="84"/>
      <c r="D1688" s="84"/>
      <c r="E1688" s="84"/>
      <c r="F1688" s="85"/>
      <c r="G1688" s="84"/>
      <c r="H1688" s="84"/>
    </row>
    <row r="1689" spans="1:8" s="64" customFormat="1">
      <c r="A1689" s="84"/>
      <c r="B1689" s="84"/>
      <c r="C1689" s="84"/>
      <c r="D1689" s="84"/>
      <c r="E1689" s="84"/>
      <c r="F1689" s="85"/>
      <c r="G1689" s="84"/>
      <c r="H1689" s="84"/>
    </row>
    <row r="1690" spans="1:8" s="64" customFormat="1">
      <c r="A1690" s="84"/>
      <c r="B1690" s="84"/>
      <c r="C1690" s="84"/>
      <c r="D1690" s="84"/>
      <c r="E1690" s="84"/>
      <c r="F1690" s="85"/>
      <c r="G1690" s="84"/>
      <c r="H1690" s="84"/>
    </row>
    <row r="1691" spans="1:8" s="64" customFormat="1">
      <c r="A1691" s="84"/>
      <c r="B1691" s="84"/>
      <c r="C1691" s="84"/>
      <c r="D1691" s="84"/>
      <c r="E1691" s="84"/>
      <c r="F1691" s="85"/>
      <c r="G1691" s="84"/>
      <c r="H1691" s="84"/>
    </row>
    <row r="1692" spans="1:8" s="64" customFormat="1">
      <c r="A1692" s="84"/>
      <c r="B1692" s="84"/>
      <c r="C1692" s="84"/>
      <c r="D1692" s="84"/>
      <c r="E1692" s="84"/>
      <c r="F1692" s="85"/>
      <c r="G1692" s="84"/>
      <c r="H1692" s="84"/>
    </row>
    <row r="1693" spans="1:8" s="64" customFormat="1">
      <c r="A1693" s="84"/>
      <c r="B1693" s="84"/>
      <c r="C1693" s="84"/>
      <c r="D1693" s="84"/>
      <c r="E1693" s="84"/>
      <c r="F1693" s="85"/>
      <c r="G1693" s="84"/>
      <c r="H1693" s="84"/>
    </row>
    <row r="1694" spans="1:8" s="64" customFormat="1">
      <c r="A1694" s="84"/>
      <c r="B1694" s="84"/>
      <c r="C1694" s="84"/>
      <c r="D1694" s="84"/>
      <c r="E1694" s="84"/>
      <c r="F1694" s="85"/>
      <c r="G1694" s="84"/>
      <c r="H1694" s="84"/>
    </row>
    <row r="1695" spans="1:8" s="64" customFormat="1">
      <c r="A1695" s="84"/>
      <c r="B1695" s="84"/>
      <c r="C1695" s="84"/>
      <c r="D1695" s="84"/>
      <c r="E1695" s="84"/>
      <c r="F1695" s="85"/>
      <c r="G1695" s="84"/>
      <c r="H1695" s="84"/>
    </row>
    <row r="1696" spans="1:8" s="64" customFormat="1">
      <c r="A1696" s="84"/>
      <c r="B1696" s="84"/>
      <c r="C1696" s="84"/>
      <c r="D1696" s="84"/>
      <c r="E1696" s="84"/>
      <c r="F1696" s="85"/>
      <c r="G1696" s="84"/>
      <c r="H1696" s="84"/>
    </row>
    <row r="1697" spans="1:8" s="64" customFormat="1">
      <c r="A1697" s="84"/>
      <c r="B1697" s="84"/>
      <c r="C1697" s="84"/>
      <c r="D1697" s="84"/>
      <c r="E1697" s="84"/>
      <c r="F1697" s="85"/>
      <c r="G1697" s="84"/>
      <c r="H1697" s="84"/>
    </row>
    <row r="1698" spans="1:8" s="64" customFormat="1">
      <c r="A1698" s="84"/>
      <c r="B1698" s="84"/>
      <c r="C1698" s="84"/>
      <c r="D1698" s="84"/>
      <c r="E1698" s="84"/>
      <c r="F1698" s="85"/>
      <c r="G1698" s="84"/>
      <c r="H1698" s="84"/>
    </row>
    <row r="1699" spans="1:8" s="64" customFormat="1">
      <c r="A1699" s="84"/>
      <c r="B1699" s="84"/>
      <c r="C1699" s="84"/>
      <c r="D1699" s="84"/>
      <c r="E1699" s="84"/>
      <c r="F1699" s="85"/>
      <c r="G1699" s="84"/>
      <c r="H1699" s="84"/>
    </row>
    <row r="1700" spans="1:8" s="64" customFormat="1">
      <c r="A1700" s="84"/>
      <c r="B1700" s="84"/>
      <c r="C1700" s="84"/>
      <c r="D1700" s="84"/>
      <c r="E1700" s="84"/>
      <c r="F1700" s="85"/>
      <c r="G1700" s="84"/>
      <c r="H1700" s="84"/>
    </row>
    <row r="1701" spans="1:8" s="64" customFormat="1">
      <c r="A1701" s="84"/>
      <c r="B1701" s="84"/>
      <c r="C1701" s="84"/>
      <c r="D1701" s="84"/>
      <c r="E1701" s="84"/>
      <c r="F1701" s="85"/>
      <c r="G1701" s="84"/>
      <c r="H1701" s="84"/>
    </row>
    <row r="1702" spans="1:8" s="64" customFormat="1">
      <c r="A1702" s="84"/>
      <c r="B1702" s="84"/>
      <c r="C1702" s="84"/>
      <c r="D1702" s="84"/>
      <c r="E1702" s="84"/>
      <c r="F1702" s="85"/>
      <c r="G1702" s="84"/>
      <c r="H1702" s="84"/>
    </row>
    <row r="1703" spans="1:8" s="64" customFormat="1">
      <c r="A1703" s="84"/>
      <c r="B1703" s="84"/>
      <c r="C1703" s="84"/>
      <c r="D1703" s="84"/>
      <c r="E1703" s="84"/>
      <c r="F1703" s="85"/>
      <c r="G1703" s="84"/>
      <c r="H1703" s="84"/>
    </row>
    <row r="1704" spans="1:8" s="64" customFormat="1">
      <c r="A1704" s="84"/>
      <c r="B1704" s="84"/>
      <c r="C1704" s="84"/>
      <c r="D1704" s="84"/>
      <c r="E1704" s="84"/>
      <c r="F1704" s="85"/>
      <c r="G1704" s="84"/>
      <c r="H1704" s="84"/>
    </row>
    <row r="1705" spans="1:8" s="64" customFormat="1">
      <c r="A1705" s="84"/>
      <c r="B1705" s="84"/>
      <c r="C1705" s="84"/>
      <c r="D1705" s="84"/>
      <c r="E1705" s="84"/>
      <c r="F1705" s="85"/>
      <c r="G1705" s="84"/>
      <c r="H1705" s="84"/>
    </row>
    <row r="1706" spans="1:8" s="64" customFormat="1">
      <c r="A1706" s="84"/>
      <c r="B1706" s="84"/>
      <c r="C1706" s="84"/>
      <c r="D1706" s="84"/>
      <c r="E1706" s="84"/>
      <c r="F1706" s="85"/>
      <c r="G1706" s="84"/>
      <c r="H1706" s="84"/>
    </row>
    <row r="1707" spans="1:8" s="64" customFormat="1">
      <c r="A1707" s="84"/>
      <c r="B1707" s="84"/>
      <c r="C1707" s="84"/>
      <c r="D1707" s="84"/>
      <c r="E1707" s="84"/>
      <c r="F1707" s="85"/>
      <c r="G1707" s="84"/>
      <c r="H1707" s="84"/>
    </row>
    <row r="1708" spans="1:8" s="64" customFormat="1">
      <c r="A1708" s="84"/>
      <c r="B1708" s="84"/>
      <c r="C1708" s="84"/>
      <c r="D1708" s="84"/>
      <c r="E1708" s="84"/>
      <c r="F1708" s="85"/>
      <c r="G1708" s="84"/>
      <c r="H1708" s="84"/>
    </row>
    <row r="1709" spans="1:8" s="64" customFormat="1">
      <c r="A1709" s="84"/>
      <c r="B1709" s="84"/>
      <c r="C1709" s="84"/>
      <c r="D1709" s="84"/>
      <c r="E1709" s="84"/>
      <c r="F1709" s="85"/>
      <c r="G1709" s="84"/>
      <c r="H1709" s="84"/>
    </row>
    <row r="1710" spans="1:8" s="64" customFormat="1">
      <c r="A1710" s="84"/>
      <c r="B1710" s="84"/>
      <c r="C1710" s="84"/>
      <c r="D1710" s="84"/>
      <c r="E1710" s="84"/>
      <c r="F1710" s="85"/>
      <c r="G1710" s="84"/>
      <c r="H1710" s="84"/>
    </row>
    <row r="1711" spans="1:8" s="64" customFormat="1">
      <c r="A1711" s="84"/>
      <c r="B1711" s="84"/>
      <c r="C1711" s="84"/>
      <c r="D1711" s="84"/>
      <c r="E1711" s="84"/>
      <c r="F1711" s="85"/>
      <c r="G1711" s="84"/>
      <c r="H1711" s="84"/>
    </row>
    <row r="1712" spans="1:8" s="64" customFormat="1">
      <c r="A1712" s="84"/>
      <c r="B1712" s="84"/>
      <c r="C1712" s="84"/>
      <c r="D1712" s="84"/>
      <c r="E1712" s="84"/>
      <c r="F1712" s="85"/>
      <c r="G1712" s="84"/>
      <c r="H1712" s="84"/>
    </row>
    <row r="1713" spans="1:8" s="64" customFormat="1">
      <c r="A1713" s="84"/>
      <c r="B1713" s="84"/>
      <c r="C1713" s="84"/>
      <c r="D1713" s="84"/>
      <c r="E1713" s="84"/>
      <c r="F1713" s="85"/>
      <c r="G1713" s="84"/>
      <c r="H1713" s="84"/>
    </row>
    <row r="1714" spans="1:8" s="64" customFormat="1">
      <c r="A1714" s="84"/>
      <c r="B1714" s="84"/>
      <c r="C1714" s="84"/>
      <c r="D1714" s="84"/>
      <c r="E1714" s="84"/>
      <c r="F1714" s="85"/>
      <c r="G1714" s="84"/>
      <c r="H1714" s="84"/>
    </row>
    <row r="1715" spans="1:8" s="64" customFormat="1">
      <c r="A1715" s="84"/>
      <c r="B1715" s="84"/>
      <c r="C1715" s="84"/>
      <c r="D1715" s="84"/>
      <c r="E1715" s="84"/>
      <c r="F1715" s="85"/>
      <c r="G1715" s="84"/>
      <c r="H1715" s="84"/>
    </row>
    <row r="1716" spans="1:8" s="64" customFormat="1">
      <c r="A1716" s="84"/>
      <c r="B1716" s="84"/>
      <c r="C1716" s="84"/>
      <c r="D1716" s="84"/>
      <c r="E1716" s="84"/>
      <c r="F1716" s="85"/>
      <c r="G1716" s="84"/>
      <c r="H1716" s="84"/>
    </row>
    <row r="1717" spans="1:8" s="64" customFormat="1">
      <c r="A1717" s="84"/>
      <c r="B1717" s="84"/>
      <c r="C1717" s="84"/>
      <c r="D1717" s="84"/>
      <c r="E1717" s="84"/>
      <c r="F1717" s="85"/>
      <c r="G1717" s="84"/>
      <c r="H1717" s="84"/>
    </row>
    <row r="1718" spans="1:8" s="64" customFormat="1">
      <c r="A1718" s="84"/>
      <c r="B1718" s="84"/>
      <c r="C1718" s="84"/>
      <c r="D1718" s="84"/>
      <c r="E1718" s="84"/>
      <c r="F1718" s="85"/>
      <c r="G1718" s="84"/>
      <c r="H1718" s="84"/>
    </row>
    <row r="1719" spans="1:8" s="64" customFormat="1">
      <c r="A1719" s="84"/>
      <c r="B1719" s="84"/>
      <c r="C1719" s="84"/>
      <c r="D1719" s="84"/>
      <c r="E1719" s="84"/>
      <c r="F1719" s="85"/>
      <c r="G1719" s="84"/>
      <c r="H1719" s="84"/>
    </row>
    <row r="1720" spans="1:8" s="64" customFormat="1">
      <c r="A1720" s="84"/>
      <c r="B1720" s="84"/>
      <c r="C1720" s="84"/>
      <c r="D1720" s="84"/>
      <c r="E1720" s="84"/>
      <c r="F1720" s="85"/>
      <c r="G1720" s="84"/>
      <c r="H1720" s="84"/>
    </row>
    <row r="1721" spans="1:8" s="64" customFormat="1">
      <c r="A1721" s="84"/>
      <c r="B1721" s="84"/>
      <c r="C1721" s="84"/>
      <c r="D1721" s="84"/>
      <c r="E1721" s="84"/>
      <c r="F1721" s="85"/>
      <c r="G1721" s="84"/>
      <c r="H1721" s="84"/>
    </row>
    <row r="1722" spans="1:8" s="64" customFormat="1">
      <c r="A1722" s="84"/>
      <c r="B1722" s="84"/>
      <c r="C1722" s="84"/>
      <c r="D1722" s="84"/>
      <c r="E1722" s="84"/>
      <c r="F1722" s="85"/>
      <c r="G1722" s="84"/>
      <c r="H1722" s="84"/>
    </row>
    <row r="1723" spans="1:8" s="64" customFormat="1">
      <c r="A1723" s="84"/>
      <c r="B1723" s="84"/>
      <c r="C1723" s="84"/>
      <c r="D1723" s="84"/>
      <c r="E1723" s="84"/>
      <c r="F1723" s="85"/>
      <c r="G1723" s="84"/>
      <c r="H1723" s="84"/>
    </row>
    <row r="1724" spans="1:8" s="64" customFormat="1">
      <c r="A1724" s="84"/>
      <c r="B1724" s="84"/>
      <c r="C1724" s="84"/>
      <c r="D1724" s="84"/>
      <c r="E1724" s="84"/>
      <c r="F1724" s="85"/>
      <c r="G1724" s="84"/>
      <c r="H1724" s="84"/>
    </row>
    <row r="1725" spans="1:8" s="64" customFormat="1">
      <c r="A1725" s="84"/>
      <c r="B1725" s="84"/>
      <c r="C1725" s="84"/>
      <c r="D1725" s="84"/>
      <c r="E1725" s="84"/>
      <c r="F1725" s="85"/>
      <c r="G1725" s="84"/>
      <c r="H1725" s="84"/>
    </row>
    <row r="1726" spans="1:8" s="64" customFormat="1">
      <c r="A1726" s="84"/>
      <c r="B1726" s="84"/>
      <c r="C1726" s="84"/>
      <c r="D1726" s="84"/>
      <c r="E1726" s="84"/>
      <c r="F1726" s="85"/>
      <c r="G1726" s="84"/>
      <c r="H1726" s="84"/>
    </row>
    <row r="1727" spans="1:8" s="64" customFormat="1">
      <c r="A1727" s="84"/>
      <c r="B1727" s="84"/>
      <c r="C1727" s="84"/>
      <c r="D1727" s="84"/>
      <c r="E1727" s="84"/>
      <c r="F1727" s="85"/>
      <c r="G1727" s="84"/>
      <c r="H1727" s="84"/>
    </row>
    <row r="1728" spans="1:8" s="64" customFormat="1">
      <c r="A1728" s="84"/>
      <c r="B1728" s="84"/>
      <c r="C1728" s="84"/>
      <c r="D1728" s="84"/>
      <c r="E1728" s="84"/>
      <c r="F1728" s="85"/>
      <c r="G1728" s="84"/>
      <c r="H1728" s="84"/>
    </row>
    <row r="1729" spans="1:8" s="64" customFormat="1">
      <c r="A1729" s="84"/>
      <c r="B1729" s="84"/>
      <c r="C1729" s="84"/>
      <c r="D1729" s="84"/>
      <c r="E1729" s="84"/>
      <c r="F1729" s="85"/>
      <c r="G1729" s="84"/>
      <c r="H1729" s="84"/>
    </row>
    <row r="1730" spans="1:8" s="64" customFormat="1">
      <c r="A1730" s="84"/>
      <c r="B1730" s="84"/>
      <c r="C1730" s="84"/>
      <c r="D1730" s="84"/>
      <c r="E1730" s="84"/>
      <c r="F1730" s="85"/>
      <c r="G1730" s="84"/>
      <c r="H1730" s="84"/>
    </row>
    <row r="1731" spans="1:8" s="64" customFormat="1">
      <c r="A1731" s="84"/>
      <c r="B1731" s="84"/>
      <c r="C1731" s="84"/>
      <c r="D1731" s="84"/>
      <c r="E1731" s="84"/>
      <c r="F1731" s="85"/>
      <c r="G1731" s="84"/>
      <c r="H1731" s="84"/>
    </row>
    <row r="1732" spans="1:8" s="64" customFormat="1">
      <c r="A1732" s="84"/>
      <c r="B1732" s="84"/>
      <c r="C1732" s="84"/>
      <c r="D1732" s="84"/>
      <c r="E1732" s="84"/>
      <c r="F1732" s="85"/>
      <c r="G1732" s="84"/>
      <c r="H1732" s="84"/>
    </row>
    <row r="1733" spans="1:8" s="64" customFormat="1">
      <c r="A1733" s="84"/>
      <c r="B1733" s="84"/>
      <c r="C1733" s="84"/>
      <c r="D1733" s="84"/>
      <c r="E1733" s="84"/>
      <c r="F1733" s="85"/>
      <c r="G1733" s="84"/>
      <c r="H1733" s="84"/>
    </row>
    <row r="1734" spans="1:8" s="64" customFormat="1">
      <c r="A1734" s="84"/>
      <c r="B1734" s="84"/>
      <c r="C1734" s="84"/>
      <c r="D1734" s="84"/>
      <c r="E1734" s="84"/>
      <c r="F1734" s="85"/>
      <c r="G1734" s="84"/>
      <c r="H1734" s="84"/>
    </row>
    <row r="1735" spans="1:8" s="64" customFormat="1">
      <c r="A1735" s="84"/>
      <c r="B1735" s="84"/>
      <c r="C1735" s="84"/>
      <c r="D1735" s="84"/>
      <c r="E1735" s="84"/>
      <c r="F1735" s="85"/>
      <c r="G1735" s="84"/>
      <c r="H1735" s="84"/>
    </row>
    <row r="1736" spans="1:8" s="64" customFormat="1">
      <c r="A1736" s="84"/>
      <c r="B1736" s="84"/>
      <c r="C1736" s="84"/>
      <c r="D1736" s="84"/>
      <c r="E1736" s="84"/>
      <c r="F1736" s="85"/>
      <c r="G1736" s="84"/>
      <c r="H1736" s="84"/>
    </row>
    <row r="1737" spans="1:8" s="64" customFormat="1">
      <c r="A1737" s="84"/>
      <c r="B1737" s="84"/>
      <c r="C1737" s="84"/>
      <c r="D1737" s="84"/>
      <c r="E1737" s="84"/>
      <c r="F1737" s="85"/>
      <c r="G1737" s="84"/>
      <c r="H1737" s="84"/>
    </row>
    <row r="1738" spans="1:8" s="64" customFormat="1">
      <c r="A1738" s="84"/>
      <c r="B1738" s="84"/>
      <c r="C1738" s="84"/>
      <c r="D1738" s="84"/>
      <c r="E1738" s="84"/>
      <c r="F1738" s="85"/>
      <c r="G1738" s="84"/>
      <c r="H1738" s="84"/>
    </row>
    <row r="1739" spans="1:8" s="64" customFormat="1">
      <c r="A1739" s="84"/>
      <c r="B1739" s="84"/>
      <c r="C1739" s="84"/>
      <c r="D1739" s="84"/>
      <c r="E1739" s="84"/>
      <c r="F1739" s="85"/>
      <c r="G1739" s="84"/>
      <c r="H1739" s="84"/>
    </row>
    <row r="1740" spans="1:8" s="64" customFormat="1">
      <c r="A1740" s="84"/>
      <c r="B1740" s="84"/>
      <c r="C1740" s="84"/>
      <c r="D1740" s="84"/>
      <c r="E1740" s="84"/>
      <c r="F1740" s="85"/>
      <c r="G1740" s="84"/>
      <c r="H1740" s="84"/>
    </row>
    <row r="1741" spans="1:8" s="64" customFormat="1">
      <c r="A1741" s="84"/>
      <c r="B1741" s="84"/>
      <c r="C1741" s="84"/>
      <c r="D1741" s="84"/>
      <c r="E1741" s="84"/>
      <c r="F1741" s="85"/>
      <c r="G1741" s="84"/>
      <c r="H1741" s="84"/>
    </row>
    <row r="1742" spans="1:8" s="64" customFormat="1">
      <c r="A1742" s="84"/>
      <c r="B1742" s="84"/>
      <c r="C1742" s="84"/>
      <c r="D1742" s="84"/>
      <c r="E1742" s="84"/>
      <c r="F1742" s="85"/>
      <c r="G1742" s="84"/>
      <c r="H1742" s="84"/>
    </row>
    <row r="1743" spans="1:8" s="64" customFormat="1">
      <c r="A1743" s="84"/>
      <c r="B1743" s="84"/>
      <c r="C1743" s="84"/>
      <c r="D1743" s="84"/>
      <c r="E1743" s="84"/>
      <c r="F1743" s="85"/>
      <c r="G1743" s="84"/>
      <c r="H1743" s="84"/>
    </row>
    <row r="1744" spans="1:8" s="64" customFormat="1">
      <c r="A1744" s="84"/>
      <c r="B1744" s="84"/>
      <c r="C1744" s="84"/>
      <c r="D1744" s="84"/>
      <c r="E1744" s="84"/>
      <c r="F1744" s="85"/>
      <c r="G1744" s="84"/>
      <c r="H1744" s="84"/>
    </row>
    <row r="1745" spans="1:8" s="64" customFormat="1">
      <c r="A1745" s="84"/>
      <c r="B1745" s="84"/>
      <c r="C1745" s="84"/>
      <c r="D1745" s="84"/>
      <c r="E1745" s="84"/>
      <c r="F1745" s="85"/>
      <c r="G1745" s="84"/>
      <c r="H1745" s="84"/>
    </row>
    <row r="1746" spans="1:8" s="64" customFormat="1">
      <c r="A1746" s="84"/>
      <c r="B1746" s="84"/>
      <c r="C1746" s="84"/>
      <c r="D1746" s="84"/>
      <c r="E1746" s="84"/>
      <c r="F1746" s="85"/>
      <c r="G1746" s="84"/>
      <c r="H1746" s="84"/>
    </row>
    <row r="1747" spans="1:8" s="64" customFormat="1">
      <c r="A1747" s="84"/>
      <c r="B1747" s="84"/>
      <c r="C1747" s="84"/>
      <c r="D1747" s="84"/>
      <c r="E1747" s="84"/>
      <c r="F1747" s="85"/>
      <c r="G1747" s="84"/>
      <c r="H1747" s="84"/>
    </row>
    <row r="1748" spans="1:8" s="64" customFormat="1">
      <c r="A1748" s="84"/>
      <c r="B1748" s="84"/>
      <c r="C1748" s="84"/>
      <c r="D1748" s="84"/>
      <c r="E1748" s="84"/>
      <c r="F1748" s="85"/>
      <c r="G1748" s="84"/>
      <c r="H1748" s="84"/>
    </row>
    <row r="1749" spans="1:8" s="64" customFormat="1">
      <c r="A1749" s="84"/>
      <c r="B1749" s="84"/>
      <c r="C1749" s="84"/>
      <c r="D1749" s="84"/>
      <c r="E1749" s="84"/>
      <c r="F1749" s="85"/>
      <c r="G1749" s="84"/>
      <c r="H1749" s="84"/>
    </row>
    <row r="1750" spans="1:8" s="64" customFormat="1">
      <c r="A1750" s="84"/>
      <c r="B1750" s="84"/>
      <c r="C1750" s="84"/>
      <c r="D1750" s="84"/>
      <c r="E1750" s="84"/>
      <c r="F1750" s="85"/>
      <c r="G1750" s="84"/>
      <c r="H1750" s="84"/>
    </row>
    <row r="1751" spans="1:8" s="64" customFormat="1">
      <c r="A1751" s="84"/>
      <c r="B1751" s="84"/>
      <c r="C1751" s="84"/>
      <c r="D1751" s="84"/>
      <c r="E1751" s="84"/>
      <c r="F1751" s="85"/>
      <c r="G1751" s="84"/>
      <c r="H1751" s="84"/>
    </row>
    <row r="1752" spans="1:8" s="64" customFormat="1">
      <c r="A1752" s="84"/>
      <c r="B1752" s="84"/>
      <c r="C1752" s="84"/>
      <c r="D1752" s="84"/>
      <c r="E1752" s="84"/>
      <c r="F1752" s="85"/>
      <c r="G1752" s="84"/>
      <c r="H1752" s="84"/>
    </row>
    <row r="1753" spans="1:8" s="64" customFormat="1">
      <c r="A1753" s="84"/>
      <c r="B1753" s="84"/>
      <c r="C1753" s="84"/>
      <c r="D1753" s="84"/>
      <c r="E1753" s="84"/>
      <c r="F1753" s="85"/>
      <c r="G1753" s="84"/>
      <c r="H1753" s="84"/>
    </row>
    <row r="1754" spans="1:8" s="64" customFormat="1">
      <c r="A1754" s="84"/>
      <c r="B1754" s="84"/>
      <c r="C1754" s="84"/>
      <c r="D1754" s="84"/>
      <c r="E1754" s="84"/>
      <c r="F1754" s="85"/>
      <c r="G1754" s="84"/>
      <c r="H1754" s="84"/>
    </row>
    <row r="1755" spans="1:8" s="64" customFormat="1">
      <c r="A1755" s="84"/>
      <c r="B1755" s="84"/>
      <c r="C1755" s="84"/>
      <c r="D1755" s="84"/>
      <c r="E1755" s="84"/>
      <c r="F1755" s="85"/>
      <c r="G1755" s="84"/>
      <c r="H1755" s="84"/>
    </row>
    <row r="1756" spans="1:8" s="64" customFormat="1">
      <c r="A1756" s="84"/>
      <c r="B1756" s="84"/>
      <c r="C1756" s="84"/>
      <c r="D1756" s="84"/>
      <c r="E1756" s="84"/>
      <c r="F1756" s="85"/>
      <c r="G1756" s="84"/>
      <c r="H1756" s="84"/>
    </row>
    <row r="1757" spans="1:8" s="64" customFormat="1">
      <c r="A1757" s="84"/>
      <c r="B1757" s="84"/>
      <c r="C1757" s="84"/>
      <c r="D1757" s="84"/>
      <c r="E1757" s="84"/>
      <c r="F1757" s="85"/>
      <c r="G1757" s="84"/>
      <c r="H1757" s="84"/>
    </row>
    <row r="1758" spans="1:8" s="64" customFormat="1">
      <c r="A1758" s="84"/>
      <c r="B1758" s="84"/>
      <c r="C1758" s="84"/>
      <c r="D1758" s="84"/>
      <c r="E1758" s="84"/>
      <c r="F1758" s="85"/>
      <c r="G1758" s="84"/>
      <c r="H1758" s="84"/>
    </row>
    <row r="1759" spans="1:8" s="64" customFormat="1">
      <c r="A1759" s="84"/>
      <c r="B1759" s="84"/>
      <c r="C1759" s="84"/>
      <c r="D1759" s="84"/>
      <c r="E1759" s="84"/>
      <c r="F1759" s="85"/>
      <c r="G1759" s="84"/>
      <c r="H1759" s="84"/>
    </row>
    <row r="1760" spans="1:8" s="64" customFormat="1">
      <c r="A1760" s="84"/>
      <c r="B1760" s="84"/>
      <c r="C1760" s="84"/>
      <c r="D1760" s="84"/>
      <c r="E1760" s="84"/>
      <c r="F1760" s="85"/>
      <c r="G1760" s="84"/>
      <c r="H1760" s="84"/>
    </row>
    <row r="1761" spans="1:8" s="64" customFormat="1">
      <c r="A1761" s="84"/>
      <c r="B1761" s="84"/>
      <c r="C1761" s="84"/>
      <c r="D1761" s="84"/>
      <c r="E1761" s="84"/>
      <c r="F1761" s="85"/>
      <c r="G1761" s="84"/>
      <c r="H1761" s="84"/>
    </row>
    <row r="1762" spans="1:8" s="64" customFormat="1">
      <c r="A1762" s="84"/>
      <c r="B1762" s="84"/>
      <c r="C1762" s="84"/>
      <c r="D1762" s="84"/>
      <c r="E1762" s="84"/>
      <c r="F1762" s="85"/>
      <c r="G1762" s="84"/>
      <c r="H1762" s="84"/>
    </row>
    <row r="1763" spans="1:8" s="64" customFormat="1">
      <c r="A1763" s="84"/>
      <c r="B1763" s="84"/>
      <c r="C1763" s="84"/>
      <c r="D1763" s="84"/>
      <c r="E1763" s="84"/>
      <c r="F1763" s="85"/>
      <c r="G1763" s="84"/>
      <c r="H1763" s="84"/>
    </row>
    <row r="1764" spans="1:8" s="64" customFormat="1">
      <c r="A1764" s="84"/>
      <c r="B1764" s="84"/>
      <c r="C1764" s="84"/>
      <c r="D1764" s="84"/>
      <c r="E1764" s="84"/>
      <c r="F1764" s="85"/>
      <c r="G1764" s="84"/>
      <c r="H1764" s="84"/>
    </row>
    <row r="1765" spans="1:8" s="64" customFormat="1">
      <c r="A1765" s="84"/>
      <c r="B1765" s="84"/>
      <c r="C1765" s="84"/>
      <c r="D1765" s="84"/>
      <c r="E1765" s="84"/>
      <c r="F1765" s="85"/>
      <c r="G1765" s="84"/>
      <c r="H1765" s="84"/>
    </row>
    <row r="1766" spans="1:8" s="64" customFormat="1">
      <c r="A1766" s="84"/>
      <c r="B1766" s="84"/>
      <c r="C1766" s="84"/>
      <c r="D1766" s="84"/>
      <c r="E1766" s="84"/>
      <c r="F1766" s="85"/>
      <c r="G1766" s="84"/>
      <c r="H1766" s="84"/>
    </row>
    <row r="1767" spans="1:8" s="64" customFormat="1">
      <c r="A1767" s="84"/>
      <c r="B1767" s="84"/>
      <c r="C1767" s="84"/>
      <c r="D1767" s="84"/>
      <c r="E1767" s="84"/>
      <c r="F1767" s="85"/>
      <c r="G1767" s="84"/>
      <c r="H1767" s="84"/>
    </row>
    <row r="1768" spans="1:8" s="64" customFormat="1">
      <c r="A1768" s="84"/>
      <c r="B1768" s="84"/>
      <c r="C1768" s="84"/>
      <c r="D1768" s="84"/>
      <c r="E1768" s="84"/>
      <c r="F1768" s="85"/>
      <c r="G1768" s="84"/>
      <c r="H1768" s="84"/>
    </row>
    <row r="1769" spans="1:8" s="64" customFormat="1">
      <c r="A1769" s="84"/>
      <c r="B1769" s="84"/>
      <c r="C1769" s="84"/>
      <c r="D1769" s="84"/>
      <c r="E1769" s="84"/>
      <c r="F1769" s="85"/>
      <c r="G1769" s="84"/>
      <c r="H1769" s="84"/>
    </row>
    <row r="1770" spans="1:8" s="64" customFormat="1">
      <c r="A1770" s="84"/>
      <c r="B1770" s="84"/>
      <c r="C1770" s="84"/>
      <c r="D1770" s="84"/>
      <c r="E1770" s="84"/>
      <c r="F1770" s="85"/>
      <c r="G1770" s="84"/>
      <c r="H1770" s="84"/>
    </row>
    <row r="1771" spans="1:8" s="64" customFormat="1">
      <c r="A1771" s="84"/>
      <c r="B1771" s="84"/>
      <c r="C1771" s="84"/>
      <c r="D1771" s="84"/>
      <c r="E1771" s="84"/>
      <c r="F1771" s="85"/>
      <c r="G1771" s="84"/>
      <c r="H1771" s="84"/>
    </row>
    <row r="1772" spans="1:8" s="64" customFormat="1">
      <c r="A1772" s="84"/>
      <c r="B1772" s="84"/>
      <c r="C1772" s="84"/>
      <c r="D1772" s="84"/>
      <c r="E1772" s="84"/>
      <c r="F1772" s="85"/>
      <c r="G1772" s="84"/>
      <c r="H1772" s="84"/>
    </row>
    <row r="1773" spans="1:8" s="64" customFormat="1">
      <c r="A1773" s="84"/>
      <c r="B1773" s="84"/>
      <c r="C1773" s="84"/>
      <c r="D1773" s="84"/>
      <c r="E1773" s="84"/>
      <c r="F1773" s="85"/>
      <c r="G1773" s="84"/>
      <c r="H1773" s="84"/>
    </row>
    <row r="1774" spans="1:8" s="64" customFormat="1">
      <c r="A1774" s="84"/>
      <c r="B1774" s="84"/>
      <c r="C1774" s="84"/>
      <c r="D1774" s="84"/>
      <c r="E1774" s="84"/>
      <c r="F1774" s="85"/>
      <c r="G1774" s="84"/>
      <c r="H1774" s="84"/>
    </row>
    <row r="1775" spans="1:8" s="64" customFormat="1">
      <c r="A1775" s="84"/>
      <c r="B1775" s="84"/>
      <c r="C1775" s="84"/>
      <c r="D1775" s="84"/>
      <c r="E1775" s="84"/>
      <c r="F1775" s="85"/>
      <c r="G1775" s="84"/>
      <c r="H1775" s="84"/>
    </row>
    <row r="1776" spans="1:8" s="64" customFormat="1">
      <c r="A1776" s="84"/>
      <c r="B1776" s="84"/>
      <c r="C1776" s="84"/>
      <c r="D1776" s="84"/>
      <c r="E1776" s="84"/>
      <c r="F1776" s="85"/>
      <c r="G1776" s="84"/>
      <c r="H1776" s="84"/>
    </row>
    <row r="1777" spans="1:8" s="64" customFormat="1">
      <c r="A1777" s="84"/>
      <c r="B1777" s="84"/>
      <c r="C1777" s="84"/>
      <c r="D1777" s="84"/>
      <c r="E1777" s="84"/>
      <c r="F1777" s="85"/>
      <c r="G1777" s="84"/>
      <c r="H1777" s="84"/>
    </row>
    <row r="1778" spans="1:8" s="64" customFormat="1">
      <c r="A1778" s="84"/>
      <c r="B1778" s="84"/>
      <c r="C1778" s="84"/>
      <c r="D1778" s="84"/>
      <c r="E1778" s="84"/>
      <c r="F1778" s="85"/>
      <c r="G1778" s="84"/>
      <c r="H1778" s="84"/>
    </row>
    <row r="1779" spans="1:8" s="64" customFormat="1">
      <c r="A1779" s="84"/>
      <c r="B1779" s="84"/>
      <c r="C1779" s="84"/>
      <c r="D1779" s="84"/>
      <c r="E1779" s="84"/>
      <c r="F1779" s="85"/>
      <c r="G1779" s="84"/>
      <c r="H1779" s="84"/>
    </row>
    <row r="1780" spans="1:8" s="64" customFormat="1">
      <c r="A1780" s="84"/>
      <c r="B1780" s="84"/>
      <c r="C1780" s="84"/>
      <c r="D1780" s="84"/>
      <c r="E1780" s="84"/>
      <c r="F1780" s="85"/>
      <c r="G1780" s="84"/>
      <c r="H1780" s="84"/>
    </row>
    <row r="1781" spans="1:8" s="64" customFormat="1">
      <c r="A1781" s="84"/>
      <c r="B1781" s="84"/>
      <c r="C1781" s="84"/>
      <c r="D1781" s="84"/>
      <c r="E1781" s="84"/>
      <c r="F1781" s="85"/>
      <c r="G1781" s="84"/>
      <c r="H1781" s="84"/>
    </row>
    <row r="1782" spans="1:8" s="64" customFormat="1">
      <c r="A1782" s="84"/>
      <c r="B1782" s="84"/>
      <c r="C1782" s="84"/>
      <c r="D1782" s="84"/>
      <c r="E1782" s="84"/>
      <c r="F1782" s="85"/>
      <c r="G1782" s="84"/>
      <c r="H1782" s="84"/>
    </row>
    <row r="1783" spans="1:8" s="64" customFormat="1">
      <c r="A1783" s="84"/>
      <c r="B1783" s="84"/>
      <c r="C1783" s="84"/>
      <c r="D1783" s="84"/>
      <c r="E1783" s="84"/>
      <c r="F1783" s="85"/>
      <c r="G1783" s="84"/>
      <c r="H1783" s="84"/>
    </row>
    <row r="1784" spans="1:8" s="64" customFormat="1">
      <c r="A1784" s="84"/>
      <c r="B1784" s="84"/>
      <c r="C1784" s="84"/>
      <c r="D1784" s="84"/>
      <c r="E1784" s="84"/>
      <c r="F1784" s="85"/>
      <c r="G1784" s="84"/>
      <c r="H1784" s="84"/>
    </row>
    <row r="1785" spans="1:8" s="64" customFormat="1">
      <c r="A1785" s="84"/>
      <c r="B1785" s="84"/>
      <c r="C1785" s="84"/>
      <c r="D1785" s="84"/>
      <c r="E1785" s="84"/>
      <c r="F1785" s="85"/>
      <c r="G1785" s="84"/>
      <c r="H1785" s="84"/>
    </row>
    <row r="1786" spans="1:8" s="64" customFormat="1">
      <c r="A1786" s="84"/>
      <c r="B1786" s="84"/>
      <c r="C1786" s="84"/>
      <c r="D1786" s="84"/>
      <c r="E1786" s="84"/>
      <c r="F1786" s="85"/>
      <c r="G1786" s="84"/>
      <c r="H1786" s="84"/>
    </row>
    <row r="1787" spans="1:8" s="64" customFormat="1">
      <c r="A1787" s="84"/>
      <c r="B1787" s="84"/>
      <c r="C1787" s="84"/>
      <c r="D1787" s="84"/>
      <c r="E1787" s="84"/>
      <c r="F1787" s="85"/>
      <c r="G1787" s="84"/>
      <c r="H1787" s="84"/>
    </row>
    <row r="1788" spans="1:8" s="64" customFormat="1">
      <c r="A1788" s="84"/>
      <c r="B1788" s="84"/>
      <c r="C1788" s="84"/>
      <c r="D1788" s="84"/>
      <c r="E1788" s="84"/>
      <c r="F1788" s="85"/>
      <c r="G1788" s="84"/>
      <c r="H1788" s="84"/>
    </row>
    <row r="1789" spans="1:8" s="64" customFormat="1">
      <c r="A1789" s="84"/>
      <c r="B1789" s="84"/>
      <c r="C1789" s="84"/>
      <c r="D1789" s="84"/>
      <c r="E1789" s="84"/>
      <c r="F1789" s="85"/>
      <c r="G1789" s="84"/>
      <c r="H1789" s="84"/>
    </row>
    <row r="1790" spans="1:8" s="64" customFormat="1">
      <c r="A1790" s="84"/>
      <c r="B1790" s="84"/>
      <c r="C1790" s="84"/>
      <c r="D1790" s="84"/>
      <c r="E1790" s="84"/>
      <c r="F1790" s="85"/>
      <c r="G1790" s="84"/>
      <c r="H1790" s="84"/>
    </row>
    <row r="1791" spans="1:8" s="64" customFormat="1">
      <c r="A1791" s="84"/>
      <c r="B1791" s="84"/>
      <c r="C1791" s="84"/>
      <c r="D1791" s="84"/>
      <c r="E1791" s="84"/>
      <c r="F1791" s="85"/>
      <c r="G1791" s="84"/>
      <c r="H1791" s="84"/>
    </row>
    <row r="1792" spans="1:8" s="64" customFormat="1">
      <c r="A1792" s="84"/>
      <c r="B1792" s="84"/>
      <c r="C1792" s="84"/>
      <c r="D1792" s="84"/>
      <c r="E1792" s="84"/>
      <c r="F1792" s="85"/>
      <c r="G1792" s="84"/>
      <c r="H1792" s="84"/>
    </row>
    <row r="1793" spans="1:8" s="64" customFormat="1">
      <c r="A1793" s="84"/>
      <c r="B1793" s="84"/>
      <c r="C1793" s="84"/>
      <c r="D1793" s="84"/>
      <c r="E1793" s="84"/>
      <c r="F1793" s="85"/>
      <c r="G1793" s="84"/>
      <c r="H1793" s="84"/>
    </row>
    <row r="1794" spans="1:8" s="64" customFormat="1">
      <c r="A1794" s="84"/>
      <c r="B1794" s="84"/>
      <c r="C1794" s="84"/>
      <c r="D1794" s="84"/>
      <c r="E1794" s="84"/>
      <c r="F1794" s="85"/>
      <c r="G1794" s="84"/>
      <c r="H1794" s="84"/>
    </row>
    <row r="1795" spans="1:8" s="64" customFormat="1">
      <c r="A1795" s="84"/>
      <c r="B1795" s="84"/>
      <c r="C1795" s="84"/>
      <c r="D1795" s="84"/>
      <c r="E1795" s="84"/>
      <c r="F1795" s="85"/>
      <c r="G1795" s="84"/>
      <c r="H1795" s="84"/>
    </row>
    <row r="1796" spans="1:8" s="64" customFormat="1">
      <c r="A1796" s="84"/>
      <c r="B1796" s="84"/>
      <c r="C1796" s="84"/>
      <c r="D1796" s="84"/>
      <c r="E1796" s="84"/>
      <c r="F1796" s="85"/>
      <c r="G1796" s="84"/>
      <c r="H1796" s="84"/>
    </row>
    <row r="1797" spans="1:8" s="64" customFormat="1">
      <c r="A1797" s="84"/>
      <c r="B1797" s="84"/>
      <c r="C1797" s="84"/>
      <c r="D1797" s="84"/>
      <c r="E1797" s="84"/>
      <c r="F1797" s="85"/>
      <c r="G1797" s="84"/>
      <c r="H1797" s="84"/>
    </row>
    <row r="1798" spans="1:8" s="64" customFormat="1">
      <c r="A1798" s="84"/>
      <c r="B1798" s="84"/>
      <c r="C1798" s="84"/>
      <c r="D1798" s="84"/>
      <c r="E1798" s="84"/>
      <c r="F1798" s="85"/>
      <c r="G1798" s="84"/>
      <c r="H1798" s="84"/>
    </row>
    <row r="1799" spans="1:8" s="64" customFormat="1">
      <c r="A1799" s="84"/>
      <c r="B1799" s="84"/>
      <c r="C1799" s="84"/>
      <c r="D1799" s="84"/>
      <c r="E1799" s="84"/>
      <c r="F1799" s="85"/>
      <c r="G1799" s="84"/>
      <c r="H1799" s="84"/>
    </row>
    <row r="1800" spans="1:8" s="64" customFormat="1">
      <c r="A1800" s="84"/>
      <c r="B1800" s="84"/>
      <c r="C1800" s="84"/>
      <c r="D1800" s="84"/>
      <c r="E1800" s="84"/>
      <c r="F1800" s="85"/>
      <c r="G1800" s="84"/>
      <c r="H1800" s="84"/>
    </row>
    <row r="1801" spans="1:8" s="64" customFormat="1">
      <c r="A1801" s="84"/>
      <c r="B1801" s="84"/>
      <c r="C1801" s="84"/>
      <c r="D1801" s="84"/>
      <c r="E1801" s="84"/>
      <c r="F1801" s="85"/>
      <c r="G1801" s="84"/>
      <c r="H1801" s="84"/>
    </row>
    <row r="1802" spans="1:8" s="64" customFormat="1">
      <c r="A1802" s="84"/>
      <c r="B1802" s="84"/>
      <c r="C1802" s="84"/>
      <c r="D1802" s="84"/>
      <c r="E1802" s="84"/>
      <c r="F1802" s="85"/>
      <c r="G1802" s="84"/>
      <c r="H1802" s="84"/>
    </row>
    <row r="1803" spans="1:8" s="64" customFormat="1">
      <c r="A1803" s="84"/>
      <c r="B1803" s="84"/>
      <c r="C1803" s="84"/>
      <c r="D1803" s="84"/>
      <c r="E1803" s="84"/>
      <c r="F1803" s="85"/>
      <c r="G1803" s="84"/>
      <c r="H1803" s="84"/>
    </row>
    <row r="1804" spans="1:8" s="64" customFormat="1">
      <c r="A1804" s="84"/>
      <c r="B1804" s="84"/>
      <c r="C1804" s="84"/>
      <c r="D1804" s="84"/>
      <c r="E1804" s="84"/>
      <c r="F1804" s="85"/>
      <c r="G1804" s="84"/>
      <c r="H1804" s="84"/>
    </row>
    <row r="1805" spans="1:8" s="64" customFormat="1">
      <c r="A1805" s="84"/>
      <c r="B1805" s="84"/>
      <c r="C1805" s="84"/>
      <c r="D1805" s="84"/>
      <c r="E1805" s="84"/>
      <c r="F1805" s="85"/>
      <c r="G1805" s="84"/>
      <c r="H1805" s="84"/>
    </row>
    <row r="1806" spans="1:8" s="64" customFormat="1">
      <c r="A1806" s="84"/>
      <c r="B1806" s="84"/>
      <c r="C1806" s="84"/>
      <c r="D1806" s="84"/>
      <c r="E1806" s="84"/>
      <c r="F1806" s="85"/>
      <c r="G1806" s="84"/>
      <c r="H1806" s="84"/>
    </row>
    <row r="1807" spans="1:8" s="64" customFormat="1">
      <c r="A1807" s="84"/>
      <c r="B1807" s="84"/>
      <c r="C1807" s="84"/>
      <c r="D1807" s="84"/>
      <c r="E1807" s="84"/>
      <c r="F1807" s="85"/>
      <c r="G1807" s="84"/>
      <c r="H1807" s="84"/>
    </row>
    <row r="1808" spans="1:8" s="64" customFormat="1">
      <c r="A1808" s="84"/>
      <c r="B1808" s="84"/>
      <c r="C1808" s="84"/>
      <c r="D1808" s="84"/>
      <c r="E1808" s="84"/>
      <c r="F1808" s="85"/>
      <c r="G1808" s="84"/>
      <c r="H1808" s="84"/>
    </row>
    <row r="1809" spans="1:8" s="64" customFormat="1">
      <c r="A1809" s="84"/>
      <c r="B1809" s="84"/>
      <c r="C1809" s="84"/>
      <c r="D1809" s="84"/>
      <c r="E1809" s="84"/>
      <c r="F1809" s="85"/>
      <c r="G1809" s="84"/>
      <c r="H1809" s="84"/>
    </row>
    <row r="1810" spans="1:8" s="64" customFormat="1">
      <c r="A1810" s="84"/>
      <c r="B1810" s="84"/>
      <c r="C1810" s="84"/>
      <c r="D1810" s="84"/>
      <c r="E1810" s="84"/>
      <c r="F1810" s="85"/>
      <c r="G1810" s="84"/>
      <c r="H1810" s="84"/>
    </row>
    <row r="1811" spans="1:8" s="64" customFormat="1">
      <c r="A1811" s="84"/>
      <c r="B1811" s="84"/>
      <c r="C1811" s="84"/>
      <c r="D1811" s="84"/>
      <c r="E1811" s="84"/>
      <c r="F1811" s="85"/>
      <c r="G1811" s="84"/>
      <c r="H1811" s="84"/>
    </row>
    <row r="1812" spans="1:8" s="64" customFormat="1">
      <c r="A1812" s="84"/>
      <c r="B1812" s="84"/>
      <c r="C1812" s="84"/>
      <c r="D1812" s="84"/>
      <c r="E1812" s="84"/>
      <c r="F1812" s="85"/>
      <c r="G1812" s="84"/>
      <c r="H1812" s="84"/>
    </row>
    <row r="1813" spans="1:8" s="64" customFormat="1">
      <c r="A1813" s="84"/>
      <c r="B1813" s="84"/>
      <c r="C1813" s="84"/>
      <c r="D1813" s="84"/>
      <c r="E1813" s="84"/>
      <c r="F1813" s="85"/>
      <c r="G1813" s="84"/>
      <c r="H1813" s="84"/>
    </row>
    <row r="1814" spans="1:8" s="64" customFormat="1">
      <c r="A1814" s="84"/>
      <c r="B1814" s="84"/>
      <c r="C1814" s="84"/>
      <c r="D1814" s="84"/>
      <c r="E1814" s="84"/>
      <c r="F1814" s="85"/>
      <c r="G1814" s="84"/>
      <c r="H1814" s="84"/>
    </row>
    <row r="1815" spans="1:8" s="64" customFormat="1">
      <c r="A1815" s="84"/>
      <c r="B1815" s="84"/>
      <c r="C1815" s="84"/>
      <c r="D1815" s="84"/>
      <c r="E1815" s="84"/>
      <c r="F1815" s="85"/>
      <c r="G1815" s="84"/>
      <c r="H1815" s="84"/>
    </row>
    <row r="1816" spans="1:8" s="64" customFormat="1">
      <c r="A1816" s="84"/>
      <c r="B1816" s="84"/>
      <c r="C1816" s="84"/>
      <c r="D1816" s="84"/>
      <c r="E1816" s="84"/>
      <c r="F1816" s="85"/>
      <c r="G1816" s="84"/>
      <c r="H1816" s="84"/>
    </row>
    <row r="1817" spans="1:8" s="64" customFormat="1">
      <c r="A1817" s="84"/>
      <c r="B1817" s="84"/>
      <c r="C1817" s="84"/>
      <c r="D1817" s="84"/>
      <c r="E1817" s="84"/>
      <c r="F1817" s="85"/>
      <c r="G1817" s="84"/>
      <c r="H1817" s="84"/>
    </row>
    <row r="1818" spans="1:8" s="64" customFormat="1">
      <c r="A1818" s="84"/>
      <c r="B1818" s="84"/>
      <c r="C1818" s="84"/>
      <c r="D1818" s="84"/>
      <c r="E1818" s="84"/>
      <c r="F1818" s="85"/>
      <c r="G1818" s="84"/>
      <c r="H1818" s="84"/>
    </row>
    <row r="1819" spans="1:8" s="64" customFormat="1">
      <c r="A1819" s="84"/>
      <c r="B1819" s="84"/>
      <c r="C1819" s="84"/>
      <c r="D1819" s="84"/>
      <c r="E1819" s="84"/>
      <c r="F1819" s="85"/>
      <c r="G1819" s="84"/>
      <c r="H1819" s="84"/>
    </row>
    <row r="1820" spans="1:8" s="64" customFormat="1">
      <c r="A1820" s="84"/>
      <c r="B1820" s="84"/>
      <c r="C1820" s="84"/>
      <c r="D1820" s="84"/>
      <c r="E1820" s="84"/>
      <c r="F1820" s="85"/>
      <c r="G1820" s="84"/>
      <c r="H1820" s="84"/>
    </row>
    <row r="1821" spans="1:8" s="64" customFormat="1">
      <c r="A1821" s="84"/>
      <c r="B1821" s="84"/>
      <c r="C1821" s="84"/>
      <c r="D1821" s="84"/>
      <c r="E1821" s="84"/>
      <c r="F1821" s="85"/>
      <c r="G1821" s="84"/>
      <c r="H1821" s="84"/>
    </row>
    <row r="1822" spans="1:8" s="64" customFormat="1">
      <c r="A1822" s="84"/>
      <c r="B1822" s="84"/>
      <c r="C1822" s="84"/>
      <c r="D1822" s="84"/>
      <c r="E1822" s="84"/>
      <c r="F1822" s="85"/>
      <c r="G1822" s="84"/>
      <c r="H1822" s="84"/>
    </row>
    <row r="1823" spans="1:8" s="64" customFormat="1">
      <c r="A1823" s="84"/>
      <c r="B1823" s="84"/>
      <c r="C1823" s="84"/>
      <c r="D1823" s="84"/>
      <c r="E1823" s="84"/>
      <c r="F1823" s="85"/>
      <c r="G1823" s="84"/>
      <c r="H1823" s="84"/>
    </row>
    <row r="1824" spans="1:8" s="64" customFormat="1">
      <c r="A1824" s="84"/>
      <c r="B1824" s="84"/>
      <c r="C1824" s="84"/>
      <c r="D1824" s="84"/>
      <c r="E1824" s="84"/>
      <c r="F1824" s="85"/>
      <c r="G1824" s="84"/>
      <c r="H1824" s="84"/>
    </row>
    <row r="1825" spans="1:8" s="64" customFormat="1">
      <c r="A1825" s="84"/>
      <c r="B1825" s="84"/>
      <c r="C1825" s="84"/>
      <c r="D1825" s="84"/>
      <c r="E1825" s="84"/>
      <c r="F1825" s="85"/>
      <c r="G1825" s="84"/>
      <c r="H1825" s="84"/>
    </row>
    <row r="1826" spans="1:8" s="64" customFormat="1">
      <c r="A1826" s="84"/>
      <c r="B1826" s="84"/>
      <c r="C1826" s="84"/>
      <c r="D1826" s="84"/>
      <c r="E1826" s="84"/>
      <c r="F1826" s="85"/>
      <c r="G1826" s="84"/>
      <c r="H1826" s="84"/>
    </row>
    <row r="1827" spans="1:8" s="64" customFormat="1">
      <c r="A1827" s="84"/>
      <c r="B1827" s="84"/>
      <c r="C1827" s="84"/>
      <c r="D1827" s="84"/>
      <c r="E1827" s="84"/>
      <c r="F1827" s="85"/>
      <c r="G1827" s="84"/>
      <c r="H1827" s="84"/>
    </row>
    <row r="1828" spans="1:8" s="64" customFormat="1">
      <c r="A1828" s="84"/>
      <c r="B1828" s="84"/>
      <c r="C1828" s="84"/>
      <c r="D1828" s="84"/>
      <c r="E1828" s="84"/>
      <c r="F1828" s="85"/>
      <c r="G1828" s="84"/>
      <c r="H1828" s="84"/>
    </row>
    <row r="1829" spans="1:8" s="64" customFormat="1">
      <c r="A1829" s="84"/>
      <c r="B1829" s="84"/>
      <c r="C1829" s="84"/>
      <c r="D1829" s="84"/>
      <c r="E1829" s="84"/>
      <c r="F1829" s="85"/>
      <c r="G1829" s="84"/>
      <c r="H1829" s="84"/>
    </row>
    <row r="1830" spans="1:8" s="64" customFormat="1">
      <c r="A1830" s="84"/>
      <c r="B1830" s="84"/>
      <c r="C1830" s="84"/>
      <c r="D1830" s="84"/>
      <c r="E1830" s="84"/>
      <c r="F1830" s="85"/>
      <c r="G1830" s="84"/>
      <c r="H1830" s="84"/>
    </row>
    <row r="1831" spans="1:8" s="64" customFormat="1">
      <c r="A1831" s="84"/>
      <c r="B1831" s="84"/>
      <c r="C1831" s="84"/>
      <c r="D1831" s="84"/>
      <c r="E1831" s="84"/>
      <c r="F1831" s="85"/>
      <c r="G1831" s="84"/>
      <c r="H1831" s="84"/>
    </row>
    <row r="1832" spans="1:8" s="64" customFormat="1">
      <c r="A1832" s="84"/>
      <c r="B1832" s="84"/>
      <c r="C1832" s="84"/>
      <c r="D1832" s="84"/>
      <c r="E1832" s="84"/>
      <c r="F1832" s="85"/>
      <c r="G1832" s="84"/>
      <c r="H1832" s="84"/>
    </row>
    <row r="1833" spans="1:8" s="64" customFormat="1">
      <c r="A1833" s="84"/>
      <c r="B1833" s="84"/>
      <c r="C1833" s="84"/>
      <c r="D1833" s="84"/>
      <c r="E1833" s="84"/>
      <c r="F1833" s="85"/>
      <c r="G1833" s="84"/>
      <c r="H1833" s="84"/>
    </row>
    <row r="1834" spans="1:8" s="64" customFormat="1">
      <c r="A1834" s="84"/>
      <c r="B1834" s="84"/>
      <c r="C1834" s="84"/>
      <c r="D1834" s="84"/>
      <c r="E1834" s="84"/>
      <c r="F1834" s="85"/>
      <c r="G1834" s="84"/>
      <c r="H1834" s="84"/>
    </row>
    <row r="1835" spans="1:8" s="64" customFormat="1">
      <c r="A1835" s="84"/>
      <c r="B1835" s="84"/>
      <c r="C1835" s="84"/>
      <c r="D1835" s="84"/>
      <c r="E1835" s="84"/>
      <c r="F1835" s="85"/>
      <c r="G1835" s="84"/>
      <c r="H1835" s="84"/>
    </row>
    <row r="1836" spans="1:8" s="64" customFormat="1">
      <c r="A1836" s="84"/>
      <c r="B1836" s="84"/>
      <c r="C1836" s="84"/>
      <c r="D1836" s="84"/>
      <c r="E1836" s="84"/>
      <c r="F1836" s="85"/>
      <c r="G1836" s="84"/>
      <c r="H1836" s="84"/>
    </row>
    <row r="1837" spans="1:8" s="64" customFormat="1">
      <c r="A1837" s="84"/>
      <c r="B1837" s="84"/>
      <c r="C1837" s="84"/>
      <c r="D1837" s="84"/>
      <c r="E1837" s="84"/>
      <c r="F1837" s="85"/>
      <c r="G1837" s="84"/>
      <c r="H1837" s="84"/>
    </row>
    <row r="1838" spans="1:8" s="64" customFormat="1">
      <c r="A1838" s="84"/>
      <c r="B1838" s="84"/>
      <c r="C1838" s="84"/>
      <c r="D1838" s="84"/>
      <c r="E1838" s="84"/>
      <c r="F1838" s="85"/>
      <c r="G1838" s="84"/>
      <c r="H1838" s="84"/>
    </row>
    <row r="1839" spans="1:8" s="64" customFormat="1">
      <c r="A1839" s="84"/>
      <c r="B1839" s="84"/>
      <c r="C1839" s="84"/>
      <c r="D1839" s="84"/>
      <c r="E1839" s="84"/>
      <c r="F1839" s="85"/>
      <c r="G1839" s="84"/>
      <c r="H1839" s="84"/>
    </row>
    <row r="1840" spans="1:8" s="64" customFormat="1">
      <c r="A1840" s="84"/>
      <c r="B1840" s="84"/>
      <c r="C1840" s="84"/>
      <c r="D1840" s="84"/>
      <c r="E1840" s="84"/>
      <c r="F1840" s="85"/>
      <c r="G1840" s="84"/>
      <c r="H1840" s="84"/>
    </row>
    <row r="1841" spans="1:8" s="64" customFormat="1">
      <c r="A1841" s="84"/>
      <c r="B1841" s="84"/>
      <c r="C1841" s="84"/>
      <c r="D1841" s="84"/>
      <c r="E1841" s="84"/>
      <c r="F1841" s="85"/>
      <c r="G1841" s="84"/>
      <c r="H1841" s="84"/>
    </row>
    <row r="1842" spans="1:8" s="64" customFormat="1">
      <c r="A1842" s="84"/>
      <c r="B1842" s="84"/>
      <c r="C1842" s="84"/>
      <c r="D1842" s="84"/>
      <c r="E1842" s="84"/>
      <c r="F1842" s="85"/>
      <c r="G1842" s="84"/>
      <c r="H1842" s="84"/>
    </row>
    <row r="1843" spans="1:8" s="64" customFormat="1">
      <c r="A1843" s="84"/>
      <c r="B1843" s="84"/>
      <c r="C1843" s="84"/>
      <c r="D1843" s="84"/>
      <c r="E1843" s="84"/>
      <c r="F1843" s="85"/>
      <c r="G1843" s="84"/>
      <c r="H1843" s="84"/>
    </row>
    <row r="1844" spans="1:8" s="64" customFormat="1">
      <c r="A1844" s="84"/>
      <c r="B1844" s="84"/>
      <c r="C1844" s="84"/>
      <c r="D1844" s="84"/>
      <c r="E1844" s="84"/>
      <c r="F1844" s="85"/>
      <c r="G1844" s="84"/>
      <c r="H1844" s="84"/>
    </row>
    <row r="1845" spans="1:8" s="64" customFormat="1">
      <c r="A1845" s="84"/>
      <c r="B1845" s="84"/>
      <c r="C1845" s="84"/>
      <c r="D1845" s="84"/>
      <c r="E1845" s="84"/>
      <c r="F1845" s="85"/>
      <c r="G1845" s="84"/>
      <c r="H1845" s="84"/>
    </row>
    <row r="1846" spans="1:8" s="64" customFormat="1">
      <c r="A1846" s="84"/>
      <c r="B1846" s="84"/>
      <c r="C1846" s="84"/>
      <c r="D1846" s="84"/>
      <c r="E1846" s="84"/>
      <c r="F1846" s="85"/>
      <c r="G1846" s="84"/>
      <c r="H1846" s="84"/>
    </row>
    <row r="1847" spans="1:8" s="64" customFormat="1">
      <c r="A1847" s="84"/>
      <c r="B1847" s="84"/>
      <c r="C1847" s="84"/>
      <c r="D1847" s="84"/>
      <c r="E1847" s="84"/>
      <c r="F1847" s="85"/>
      <c r="G1847" s="84"/>
      <c r="H1847" s="84"/>
    </row>
    <row r="1848" spans="1:8" s="64" customFormat="1">
      <c r="A1848" s="84"/>
      <c r="B1848" s="84"/>
      <c r="C1848" s="84"/>
      <c r="D1848" s="84"/>
      <c r="E1848" s="84"/>
      <c r="F1848" s="85"/>
      <c r="G1848" s="84"/>
      <c r="H1848" s="84"/>
    </row>
    <row r="1849" spans="1:8" s="64" customFormat="1">
      <c r="A1849" s="84"/>
      <c r="B1849" s="84"/>
      <c r="C1849" s="84"/>
      <c r="D1849" s="84"/>
      <c r="E1849" s="84"/>
      <c r="F1849" s="85"/>
      <c r="G1849" s="84"/>
      <c r="H1849" s="84"/>
    </row>
    <row r="1850" spans="1:8" s="64" customFormat="1">
      <c r="A1850" s="84"/>
      <c r="B1850" s="84"/>
      <c r="C1850" s="84"/>
      <c r="D1850" s="84"/>
      <c r="E1850" s="84"/>
      <c r="F1850" s="85"/>
      <c r="G1850" s="84"/>
      <c r="H1850" s="84"/>
    </row>
    <row r="1851" spans="1:8" s="64" customFormat="1">
      <c r="A1851" s="84"/>
      <c r="B1851" s="84"/>
      <c r="C1851" s="84"/>
      <c r="D1851" s="84"/>
      <c r="E1851" s="84"/>
      <c r="F1851" s="85"/>
      <c r="G1851" s="84"/>
      <c r="H1851" s="84"/>
    </row>
    <row r="1852" spans="1:8" s="64" customFormat="1">
      <c r="A1852" s="84"/>
      <c r="B1852" s="84"/>
      <c r="C1852" s="84"/>
      <c r="D1852" s="84"/>
      <c r="E1852" s="84"/>
      <c r="F1852" s="85"/>
      <c r="G1852" s="84"/>
      <c r="H1852" s="84"/>
    </row>
    <row r="1853" spans="1:8" s="64" customFormat="1">
      <c r="A1853" s="84"/>
      <c r="B1853" s="84"/>
      <c r="C1853" s="84"/>
      <c r="D1853" s="84"/>
      <c r="E1853" s="84"/>
      <c r="F1853" s="85"/>
      <c r="G1853" s="84"/>
      <c r="H1853" s="84"/>
    </row>
    <row r="1854" spans="1:8" s="64" customFormat="1">
      <c r="A1854" s="84"/>
      <c r="B1854" s="84"/>
      <c r="C1854" s="84"/>
      <c r="D1854" s="84"/>
      <c r="E1854" s="84"/>
      <c r="F1854" s="85"/>
      <c r="G1854" s="84"/>
      <c r="H1854" s="84"/>
    </row>
    <row r="1855" spans="1:8" s="64" customFormat="1">
      <c r="A1855" s="84"/>
      <c r="B1855" s="84"/>
      <c r="C1855" s="84"/>
      <c r="D1855" s="84"/>
      <c r="E1855" s="84"/>
      <c r="F1855" s="85"/>
      <c r="G1855" s="84"/>
      <c r="H1855" s="84"/>
    </row>
    <row r="1856" spans="1:8" s="64" customFormat="1">
      <c r="A1856" s="84"/>
      <c r="B1856" s="84"/>
      <c r="C1856" s="84"/>
      <c r="D1856" s="84"/>
      <c r="E1856" s="84"/>
      <c r="F1856" s="85"/>
      <c r="G1856" s="84"/>
      <c r="H1856" s="84"/>
    </row>
    <row r="1857" spans="1:8" s="64" customFormat="1">
      <c r="A1857" s="84"/>
      <c r="B1857" s="84"/>
      <c r="C1857" s="84"/>
      <c r="D1857" s="84"/>
      <c r="E1857" s="84"/>
      <c r="F1857" s="85"/>
      <c r="G1857" s="84"/>
      <c r="H1857" s="84"/>
    </row>
    <row r="1858" spans="1:8" s="64" customFormat="1">
      <c r="A1858" s="84"/>
      <c r="B1858" s="84"/>
      <c r="C1858" s="84"/>
      <c r="D1858" s="84"/>
      <c r="E1858" s="84"/>
      <c r="F1858" s="85"/>
      <c r="G1858" s="84"/>
      <c r="H1858" s="84"/>
    </row>
    <row r="1859" spans="1:8" s="64" customFormat="1">
      <c r="A1859" s="84"/>
      <c r="B1859" s="84"/>
      <c r="C1859" s="84"/>
      <c r="D1859" s="84"/>
      <c r="E1859" s="84"/>
      <c r="F1859" s="85"/>
      <c r="G1859" s="84"/>
      <c r="H1859" s="84"/>
    </row>
    <row r="1860" spans="1:8" s="64" customFormat="1">
      <c r="A1860" s="84"/>
      <c r="B1860" s="84"/>
      <c r="C1860" s="84"/>
      <c r="D1860" s="84"/>
      <c r="E1860" s="84"/>
      <c r="F1860" s="85"/>
      <c r="G1860" s="84"/>
      <c r="H1860" s="84"/>
    </row>
    <row r="1861" spans="1:8" s="64" customFormat="1">
      <c r="A1861" s="84"/>
      <c r="B1861" s="84"/>
      <c r="C1861" s="84"/>
      <c r="D1861" s="84"/>
      <c r="E1861" s="84"/>
      <c r="F1861" s="85"/>
      <c r="G1861" s="84"/>
      <c r="H1861" s="84"/>
    </row>
    <row r="1862" spans="1:8" s="64" customFormat="1">
      <c r="A1862" s="84"/>
      <c r="B1862" s="84"/>
      <c r="C1862" s="84"/>
      <c r="D1862" s="84"/>
      <c r="E1862" s="84"/>
      <c r="F1862" s="85"/>
      <c r="G1862" s="84"/>
      <c r="H1862" s="84"/>
    </row>
    <row r="1863" spans="1:8" s="64" customFormat="1">
      <c r="A1863" s="84"/>
      <c r="B1863" s="84"/>
      <c r="C1863" s="84"/>
      <c r="D1863" s="84"/>
      <c r="E1863" s="84"/>
      <c r="F1863" s="85"/>
      <c r="G1863" s="84"/>
      <c r="H1863" s="84"/>
    </row>
    <row r="1864" spans="1:8" s="64" customFormat="1">
      <c r="A1864" s="84"/>
      <c r="B1864" s="84"/>
      <c r="C1864" s="84"/>
      <c r="D1864" s="84"/>
      <c r="E1864" s="84"/>
      <c r="F1864" s="85"/>
      <c r="G1864" s="84"/>
      <c r="H1864" s="84"/>
    </row>
    <row r="1865" spans="1:8" s="64" customFormat="1">
      <c r="A1865" s="84"/>
      <c r="B1865" s="84"/>
      <c r="C1865" s="84"/>
      <c r="D1865" s="84"/>
      <c r="E1865" s="84"/>
      <c r="F1865" s="85"/>
      <c r="G1865" s="84"/>
      <c r="H1865" s="84"/>
    </row>
    <row r="1866" spans="1:8" s="64" customFormat="1">
      <c r="A1866" s="84"/>
      <c r="B1866" s="84"/>
      <c r="C1866" s="84"/>
      <c r="D1866" s="84"/>
      <c r="E1866" s="84"/>
      <c r="F1866" s="85"/>
      <c r="G1866" s="84"/>
      <c r="H1866" s="84"/>
    </row>
    <row r="1867" spans="1:8" s="64" customFormat="1">
      <c r="A1867" s="84"/>
      <c r="B1867" s="84"/>
      <c r="C1867" s="84"/>
      <c r="D1867" s="84"/>
      <c r="E1867" s="84"/>
      <c r="F1867" s="85"/>
      <c r="G1867" s="84"/>
      <c r="H1867" s="84"/>
    </row>
    <row r="1868" spans="1:8" s="64" customFormat="1">
      <c r="A1868" s="84"/>
      <c r="B1868" s="84"/>
      <c r="C1868" s="84"/>
      <c r="D1868" s="84"/>
      <c r="E1868" s="84"/>
      <c r="F1868" s="85"/>
      <c r="G1868" s="84"/>
      <c r="H1868" s="84"/>
    </row>
    <row r="1869" spans="1:8" s="64" customFormat="1">
      <c r="A1869" s="84"/>
      <c r="B1869" s="84"/>
      <c r="C1869" s="84"/>
      <c r="D1869" s="84"/>
      <c r="E1869" s="84"/>
      <c r="F1869" s="85"/>
      <c r="G1869" s="84"/>
      <c r="H1869" s="84"/>
    </row>
    <row r="1870" spans="1:8" s="64" customFormat="1">
      <c r="A1870" s="84"/>
      <c r="B1870" s="84"/>
      <c r="C1870" s="84"/>
      <c r="D1870" s="84"/>
      <c r="E1870" s="84"/>
      <c r="F1870" s="85"/>
      <c r="G1870" s="84"/>
      <c r="H1870" s="84"/>
    </row>
    <row r="1871" spans="1:8" s="64" customFormat="1">
      <c r="A1871" s="84"/>
      <c r="B1871" s="84"/>
      <c r="C1871" s="84"/>
      <c r="D1871" s="84"/>
      <c r="E1871" s="84"/>
      <c r="F1871" s="85"/>
      <c r="G1871" s="84"/>
      <c r="H1871" s="84"/>
    </row>
    <row r="1872" spans="1:8" s="64" customFormat="1">
      <c r="A1872" s="84"/>
      <c r="B1872" s="84"/>
      <c r="C1872" s="84"/>
      <c r="D1872" s="84"/>
      <c r="E1872" s="84"/>
      <c r="F1872" s="85"/>
      <c r="G1872" s="84"/>
      <c r="H1872" s="84"/>
    </row>
    <row r="1873" spans="1:8" s="64" customFormat="1">
      <c r="A1873" s="84"/>
      <c r="B1873" s="84"/>
      <c r="C1873" s="84"/>
      <c r="D1873" s="84"/>
      <c r="E1873" s="84"/>
      <c r="F1873" s="85"/>
      <c r="G1873" s="84"/>
      <c r="H1873" s="84"/>
    </row>
    <row r="1874" spans="1:8" s="64" customFormat="1">
      <c r="A1874" s="84"/>
      <c r="B1874" s="84"/>
      <c r="C1874" s="84"/>
      <c r="D1874" s="84"/>
      <c r="E1874" s="84"/>
      <c r="F1874" s="85"/>
      <c r="G1874" s="84"/>
      <c r="H1874" s="84"/>
    </row>
    <row r="1875" spans="1:8" s="64" customFormat="1">
      <c r="A1875" s="84"/>
      <c r="B1875" s="84"/>
      <c r="C1875" s="84"/>
      <c r="D1875" s="84"/>
      <c r="E1875" s="84"/>
      <c r="F1875" s="85"/>
      <c r="G1875" s="84"/>
      <c r="H1875" s="84"/>
    </row>
    <row r="1876" spans="1:8" s="64" customFormat="1">
      <c r="A1876" s="84"/>
      <c r="B1876" s="84"/>
      <c r="C1876" s="84"/>
      <c r="D1876" s="84"/>
      <c r="E1876" s="84"/>
      <c r="F1876" s="85"/>
      <c r="G1876" s="84"/>
      <c r="H1876" s="84"/>
    </row>
    <row r="1877" spans="1:8" s="64" customFormat="1">
      <c r="A1877" s="84"/>
      <c r="B1877" s="84"/>
      <c r="C1877" s="84"/>
      <c r="D1877" s="84"/>
      <c r="E1877" s="84"/>
      <c r="F1877" s="85"/>
      <c r="G1877" s="84"/>
      <c r="H1877" s="84"/>
    </row>
    <row r="1878" spans="1:8" s="64" customFormat="1">
      <c r="A1878" s="84"/>
      <c r="B1878" s="84"/>
      <c r="C1878" s="84"/>
      <c r="D1878" s="84"/>
      <c r="E1878" s="84"/>
      <c r="F1878" s="85"/>
      <c r="G1878" s="84"/>
      <c r="H1878" s="84"/>
    </row>
    <row r="1879" spans="1:8" s="64" customFormat="1">
      <c r="A1879" s="84"/>
      <c r="B1879" s="84"/>
      <c r="C1879" s="84"/>
      <c r="D1879" s="84"/>
      <c r="E1879" s="84"/>
      <c r="F1879" s="85"/>
      <c r="G1879" s="84"/>
      <c r="H1879" s="84"/>
    </row>
    <row r="1880" spans="1:8" s="64" customFormat="1">
      <c r="A1880" s="84"/>
      <c r="B1880" s="84"/>
      <c r="C1880" s="84"/>
      <c r="D1880" s="84"/>
      <c r="E1880" s="84"/>
      <c r="F1880" s="85"/>
      <c r="G1880" s="84"/>
      <c r="H1880" s="84"/>
    </row>
    <row r="1881" spans="1:8" s="64" customFormat="1">
      <c r="A1881" s="84"/>
      <c r="B1881" s="84"/>
      <c r="C1881" s="84"/>
      <c r="D1881" s="84"/>
      <c r="E1881" s="84"/>
      <c r="F1881" s="85"/>
      <c r="G1881" s="84"/>
      <c r="H1881" s="84"/>
    </row>
    <row r="1882" spans="1:8" s="64" customFormat="1">
      <c r="A1882" s="84"/>
      <c r="B1882" s="84"/>
      <c r="C1882" s="84"/>
      <c r="D1882" s="84"/>
      <c r="E1882" s="84"/>
      <c r="F1882" s="85"/>
      <c r="G1882" s="84"/>
      <c r="H1882" s="84"/>
    </row>
    <row r="1883" spans="1:8" s="64" customFormat="1">
      <c r="A1883" s="84"/>
      <c r="B1883" s="84"/>
      <c r="C1883" s="84"/>
      <c r="D1883" s="84"/>
      <c r="E1883" s="84"/>
      <c r="F1883" s="85"/>
      <c r="G1883" s="84"/>
      <c r="H1883" s="84"/>
    </row>
    <row r="1884" spans="1:8" s="64" customFormat="1">
      <c r="A1884" s="84"/>
      <c r="B1884" s="84"/>
      <c r="C1884" s="84"/>
      <c r="D1884" s="84"/>
      <c r="E1884" s="84"/>
      <c r="F1884" s="85"/>
      <c r="G1884" s="84"/>
      <c r="H1884" s="84"/>
    </row>
    <row r="1885" spans="1:8" s="64" customFormat="1">
      <c r="A1885" s="84"/>
      <c r="B1885" s="84"/>
      <c r="C1885" s="84"/>
      <c r="D1885" s="84"/>
      <c r="E1885" s="84"/>
      <c r="F1885" s="85"/>
      <c r="G1885" s="84"/>
      <c r="H1885" s="84"/>
    </row>
    <row r="1886" spans="1:8" s="64" customFormat="1">
      <c r="A1886" s="84"/>
      <c r="B1886" s="84"/>
      <c r="C1886" s="84"/>
      <c r="D1886" s="84"/>
      <c r="E1886" s="84"/>
      <c r="F1886" s="85"/>
      <c r="G1886" s="84"/>
      <c r="H1886" s="84"/>
    </row>
    <row r="1887" spans="1:8" s="64" customFormat="1">
      <c r="A1887" s="84"/>
      <c r="B1887" s="84"/>
      <c r="C1887" s="84"/>
      <c r="D1887" s="84"/>
      <c r="E1887" s="84"/>
      <c r="F1887" s="85"/>
      <c r="G1887" s="84"/>
      <c r="H1887" s="84"/>
    </row>
    <row r="1888" spans="1:8" s="64" customFormat="1">
      <c r="A1888" s="84"/>
      <c r="B1888" s="84"/>
      <c r="C1888" s="84"/>
      <c r="D1888" s="84"/>
      <c r="E1888" s="84"/>
      <c r="F1888" s="85"/>
      <c r="G1888" s="84"/>
      <c r="H1888" s="84"/>
    </row>
    <row r="1889" spans="1:8" s="64" customFormat="1">
      <c r="A1889" s="84"/>
      <c r="B1889" s="84"/>
      <c r="C1889" s="84"/>
      <c r="D1889" s="84"/>
      <c r="E1889" s="84"/>
      <c r="F1889" s="85"/>
      <c r="G1889" s="84"/>
      <c r="H1889" s="84"/>
    </row>
    <row r="1890" spans="1:8" s="64" customFormat="1">
      <c r="A1890" s="84"/>
      <c r="B1890" s="84"/>
      <c r="C1890" s="84"/>
      <c r="D1890" s="84"/>
      <c r="E1890" s="84"/>
      <c r="F1890" s="85"/>
      <c r="G1890" s="84"/>
      <c r="H1890" s="84"/>
    </row>
    <row r="1891" spans="1:8" s="64" customFormat="1">
      <c r="A1891" s="84"/>
      <c r="B1891" s="84"/>
      <c r="C1891" s="84"/>
      <c r="D1891" s="84"/>
      <c r="E1891" s="84"/>
      <c r="F1891" s="85"/>
      <c r="G1891" s="84"/>
      <c r="H1891" s="84"/>
    </row>
    <row r="1892" spans="1:8" s="64" customFormat="1">
      <c r="A1892" s="84"/>
      <c r="B1892" s="84"/>
      <c r="C1892" s="84"/>
      <c r="D1892" s="84"/>
      <c r="E1892" s="84"/>
      <c r="F1892" s="85"/>
      <c r="G1892" s="84"/>
      <c r="H1892" s="84"/>
    </row>
    <row r="1893" spans="1:8" s="64" customFormat="1">
      <c r="A1893" s="84"/>
      <c r="B1893" s="84"/>
      <c r="C1893" s="84"/>
      <c r="D1893" s="84"/>
      <c r="E1893" s="84"/>
      <c r="F1893" s="85"/>
      <c r="G1893" s="84"/>
      <c r="H1893" s="84"/>
    </row>
    <row r="1894" spans="1:8" s="64" customFormat="1">
      <c r="A1894" s="84"/>
      <c r="B1894" s="84"/>
      <c r="C1894" s="84"/>
      <c r="D1894" s="84"/>
      <c r="E1894" s="84"/>
      <c r="F1894" s="85"/>
      <c r="G1894" s="84"/>
      <c r="H1894" s="84"/>
    </row>
    <row r="1895" spans="1:8" s="64" customFormat="1">
      <c r="A1895" s="84"/>
      <c r="B1895" s="84"/>
      <c r="C1895" s="84"/>
      <c r="D1895" s="84"/>
      <c r="E1895" s="84"/>
      <c r="F1895" s="85"/>
      <c r="G1895" s="84"/>
      <c r="H1895" s="84"/>
    </row>
    <row r="1896" spans="1:8" s="64" customFormat="1">
      <c r="A1896" s="84"/>
      <c r="B1896" s="84"/>
      <c r="C1896" s="84"/>
      <c r="D1896" s="84"/>
      <c r="E1896" s="84"/>
      <c r="F1896" s="85"/>
      <c r="G1896" s="84"/>
      <c r="H1896" s="84"/>
    </row>
    <row r="1897" spans="1:8" s="64" customFormat="1">
      <c r="A1897" s="84"/>
      <c r="B1897" s="84"/>
      <c r="C1897" s="84"/>
      <c r="D1897" s="84"/>
      <c r="E1897" s="84"/>
      <c r="F1897" s="85"/>
      <c r="G1897" s="84"/>
      <c r="H1897" s="84"/>
    </row>
    <row r="1898" spans="1:8" s="64" customFormat="1">
      <c r="A1898" s="84"/>
      <c r="B1898" s="84"/>
      <c r="C1898" s="84"/>
      <c r="D1898" s="84"/>
      <c r="E1898" s="84"/>
      <c r="F1898" s="85"/>
      <c r="G1898" s="84"/>
      <c r="H1898" s="84"/>
    </row>
    <row r="1899" spans="1:8" s="64" customFormat="1">
      <c r="A1899" s="84"/>
      <c r="B1899" s="84"/>
      <c r="C1899" s="84"/>
      <c r="D1899" s="84"/>
      <c r="E1899" s="84"/>
      <c r="F1899" s="85"/>
      <c r="G1899" s="84"/>
      <c r="H1899" s="84"/>
    </row>
    <row r="1900" spans="1:8" s="64" customFormat="1">
      <c r="A1900" s="84"/>
      <c r="B1900" s="84"/>
      <c r="C1900" s="84"/>
      <c r="D1900" s="84"/>
      <c r="E1900" s="84"/>
      <c r="F1900" s="85"/>
      <c r="G1900" s="84"/>
      <c r="H1900" s="84"/>
    </row>
    <row r="1901" spans="1:8" s="64" customFormat="1">
      <c r="A1901" s="84"/>
      <c r="B1901" s="84"/>
      <c r="C1901" s="84"/>
      <c r="D1901" s="84"/>
      <c r="E1901" s="84"/>
      <c r="F1901" s="85"/>
      <c r="G1901" s="84"/>
      <c r="H1901" s="84"/>
    </row>
    <row r="1902" spans="1:8" s="64" customFormat="1">
      <c r="A1902" s="84"/>
      <c r="B1902" s="84"/>
      <c r="C1902" s="84"/>
      <c r="D1902" s="84"/>
      <c r="E1902" s="84"/>
      <c r="F1902" s="85"/>
      <c r="G1902" s="84"/>
      <c r="H1902" s="84"/>
    </row>
    <row r="1903" spans="1:8" s="64" customFormat="1">
      <c r="A1903" s="84"/>
      <c r="B1903" s="84"/>
      <c r="C1903" s="84"/>
      <c r="D1903" s="84"/>
      <c r="E1903" s="84"/>
      <c r="F1903" s="85"/>
      <c r="G1903" s="84"/>
      <c r="H1903" s="84"/>
    </row>
    <row r="1904" spans="1:8" s="64" customFormat="1">
      <c r="A1904" s="84"/>
      <c r="B1904" s="84"/>
      <c r="C1904" s="84"/>
      <c r="D1904" s="84"/>
      <c r="E1904" s="84"/>
      <c r="F1904" s="85"/>
      <c r="G1904" s="84"/>
      <c r="H1904" s="84"/>
    </row>
    <row r="1905" spans="1:8" s="64" customFormat="1">
      <c r="A1905" s="84"/>
      <c r="B1905" s="84"/>
      <c r="C1905" s="84"/>
      <c r="D1905" s="84"/>
      <c r="E1905" s="84"/>
      <c r="F1905" s="85"/>
      <c r="G1905" s="84"/>
      <c r="H1905" s="84"/>
    </row>
    <row r="1906" spans="1:8" s="64" customFormat="1">
      <c r="A1906" s="84"/>
      <c r="B1906" s="84"/>
      <c r="C1906" s="84"/>
      <c r="D1906" s="84"/>
      <c r="E1906" s="84"/>
      <c r="F1906" s="85"/>
      <c r="G1906" s="84"/>
      <c r="H1906" s="84"/>
    </row>
    <row r="1907" spans="1:8" s="64" customFormat="1">
      <c r="A1907" s="84"/>
      <c r="B1907" s="84"/>
      <c r="C1907" s="84"/>
      <c r="D1907" s="84"/>
      <c r="E1907" s="84"/>
      <c r="F1907" s="85"/>
      <c r="G1907" s="84"/>
      <c r="H1907" s="84"/>
    </row>
    <row r="1908" spans="1:8" s="64" customFormat="1">
      <c r="A1908" s="84"/>
      <c r="B1908" s="84"/>
      <c r="C1908" s="84"/>
      <c r="D1908" s="84"/>
      <c r="E1908" s="84"/>
      <c r="F1908" s="85"/>
      <c r="G1908" s="84"/>
      <c r="H1908" s="84"/>
    </row>
    <row r="1909" spans="1:8" s="64" customFormat="1">
      <c r="A1909" s="84"/>
      <c r="B1909" s="84"/>
      <c r="C1909" s="84"/>
      <c r="D1909" s="84"/>
      <c r="E1909" s="84"/>
      <c r="F1909" s="85"/>
      <c r="G1909" s="84"/>
      <c r="H1909" s="84"/>
    </row>
    <row r="1910" spans="1:8" s="64" customFormat="1">
      <c r="A1910" s="84"/>
      <c r="B1910" s="84"/>
      <c r="C1910" s="84"/>
      <c r="D1910" s="84"/>
      <c r="E1910" s="84"/>
      <c r="F1910" s="85"/>
      <c r="G1910" s="84"/>
      <c r="H1910" s="84"/>
    </row>
    <row r="1911" spans="1:8" s="64" customFormat="1">
      <c r="A1911" s="84"/>
      <c r="B1911" s="84"/>
      <c r="C1911" s="84"/>
      <c r="D1911" s="84"/>
      <c r="E1911" s="84"/>
      <c r="F1911" s="85"/>
      <c r="G1911" s="84"/>
      <c r="H1911" s="84"/>
    </row>
    <row r="1912" spans="1:8" s="64" customFormat="1">
      <c r="A1912" s="84"/>
      <c r="B1912" s="84"/>
      <c r="C1912" s="84"/>
      <c r="D1912" s="84"/>
      <c r="E1912" s="84"/>
      <c r="F1912" s="85"/>
      <c r="G1912" s="84"/>
      <c r="H1912" s="84"/>
    </row>
    <row r="1913" spans="1:8" s="64" customFormat="1">
      <c r="A1913" s="84"/>
      <c r="B1913" s="84"/>
      <c r="C1913" s="84"/>
      <c r="D1913" s="84"/>
      <c r="E1913" s="84"/>
      <c r="F1913" s="85"/>
      <c r="G1913" s="84"/>
      <c r="H1913" s="84"/>
    </row>
    <row r="1914" spans="1:8" s="64" customFormat="1">
      <c r="A1914" s="84"/>
      <c r="B1914" s="84"/>
      <c r="C1914" s="84"/>
      <c r="D1914" s="84"/>
      <c r="E1914" s="84"/>
      <c r="F1914" s="85"/>
      <c r="G1914" s="84"/>
      <c r="H1914" s="84"/>
    </row>
    <row r="1915" spans="1:8" s="64" customFormat="1">
      <c r="A1915" s="84"/>
      <c r="B1915" s="84"/>
      <c r="C1915" s="84"/>
      <c r="D1915" s="84"/>
      <c r="E1915" s="84"/>
      <c r="F1915" s="85"/>
      <c r="G1915" s="84"/>
      <c r="H1915" s="84"/>
    </row>
    <row r="1916" spans="1:8" s="64" customFormat="1">
      <c r="A1916" s="84"/>
      <c r="B1916" s="84"/>
      <c r="C1916" s="84"/>
      <c r="D1916" s="84"/>
      <c r="E1916" s="84"/>
      <c r="F1916" s="85"/>
      <c r="G1916" s="84"/>
      <c r="H1916" s="84"/>
    </row>
    <row r="1917" spans="1:8" s="64" customFormat="1">
      <c r="A1917" s="84"/>
      <c r="B1917" s="84"/>
      <c r="C1917" s="84"/>
      <c r="D1917" s="84"/>
      <c r="E1917" s="84"/>
      <c r="F1917" s="85"/>
      <c r="G1917" s="84"/>
      <c r="H1917" s="84"/>
    </row>
    <row r="1918" spans="1:8" s="64" customFormat="1">
      <c r="A1918" s="84"/>
      <c r="B1918" s="84"/>
      <c r="C1918" s="84"/>
      <c r="D1918" s="84"/>
      <c r="E1918" s="84"/>
      <c r="F1918" s="85"/>
      <c r="G1918" s="84"/>
      <c r="H1918" s="84"/>
    </row>
    <row r="1919" spans="1:8" s="64" customFormat="1">
      <c r="A1919" s="84"/>
      <c r="B1919" s="84"/>
      <c r="C1919" s="84"/>
      <c r="D1919" s="84"/>
      <c r="E1919" s="84"/>
      <c r="F1919" s="85"/>
      <c r="G1919" s="84"/>
      <c r="H1919" s="84"/>
    </row>
    <row r="1920" spans="1:8" s="64" customFormat="1">
      <c r="A1920" s="84"/>
      <c r="B1920" s="84"/>
      <c r="C1920" s="84"/>
      <c r="D1920" s="84"/>
      <c r="E1920" s="84"/>
      <c r="F1920" s="85"/>
      <c r="G1920" s="84"/>
      <c r="H1920" s="84"/>
    </row>
    <row r="1921" spans="1:8" s="64" customFormat="1">
      <c r="A1921" s="84"/>
      <c r="B1921" s="84"/>
      <c r="C1921" s="84"/>
      <c r="D1921" s="84"/>
      <c r="E1921" s="84"/>
      <c r="F1921" s="85"/>
      <c r="G1921" s="84"/>
      <c r="H1921" s="84"/>
    </row>
    <row r="1922" spans="1:8" s="64" customFormat="1">
      <c r="A1922" s="84"/>
      <c r="B1922" s="84"/>
      <c r="C1922" s="84"/>
      <c r="D1922" s="84"/>
      <c r="E1922" s="84"/>
      <c r="F1922" s="85"/>
      <c r="G1922" s="84"/>
      <c r="H1922" s="84"/>
    </row>
    <row r="1923" spans="1:8" s="64" customFormat="1">
      <c r="A1923" s="84"/>
      <c r="B1923" s="84"/>
      <c r="C1923" s="84"/>
      <c r="D1923" s="84"/>
      <c r="E1923" s="84"/>
      <c r="F1923" s="85"/>
      <c r="G1923" s="84"/>
      <c r="H1923" s="84"/>
    </row>
    <row r="1924" spans="1:8" s="64" customFormat="1">
      <c r="A1924" s="84"/>
      <c r="B1924" s="84"/>
      <c r="C1924" s="84"/>
      <c r="D1924" s="84"/>
      <c r="E1924" s="84"/>
      <c r="F1924" s="85"/>
      <c r="G1924" s="84"/>
      <c r="H1924" s="84"/>
    </row>
    <row r="1925" spans="1:8" s="64" customFormat="1">
      <c r="A1925" s="84"/>
      <c r="B1925" s="84"/>
      <c r="C1925" s="84"/>
      <c r="D1925" s="84"/>
      <c r="E1925" s="84"/>
      <c r="F1925" s="85"/>
      <c r="G1925" s="84"/>
      <c r="H1925" s="84"/>
    </row>
    <row r="1926" spans="1:8" s="64" customFormat="1">
      <c r="A1926" s="84"/>
      <c r="B1926" s="84"/>
      <c r="C1926" s="84"/>
      <c r="D1926" s="84"/>
      <c r="E1926" s="84"/>
      <c r="F1926" s="85"/>
      <c r="G1926" s="84"/>
      <c r="H1926" s="84"/>
    </row>
    <row r="1927" spans="1:8" s="64" customFormat="1">
      <c r="A1927" s="84"/>
      <c r="B1927" s="84"/>
      <c r="C1927" s="84"/>
      <c r="D1927" s="84"/>
      <c r="E1927" s="84"/>
      <c r="F1927" s="85"/>
      <c r="G1927" s="84"/>
      <c r="H1927" s="84"/>
    </row>
    <row r="1928" spans="1:8" s="64" customFormat="1">
      <c r="A1928" s="84"/>
      <c r="B1928" s="84"/>
      <c r="C1928" s="84"/>
      <c r="D1928" s="84"/>
      <c r="E1928" s="84"/>
      <c r="F1928" s="85"/>
      <c r="G1928" s="84"/>
      <c r="H1928" s="84"/>
    </row>
    <row r="1929" spans="1:8" s="64" customFormat="1">
      <c r="A1929" s="84"/>
      <c r="B1929" s="84"/>
      <c r="C1929" s="84"/>
      <c r="D1929" s="84"/>
      <c r="E1929" s="84"/>
      <c r="F1929" s="85"/>
      <c r="G1929" s="84"/>
      <c r="H1929" s="84"/>
    </row>
    <row r="1930" spans="1:8" s="64" customFormat="1">
      <c r="A1930" s="84"/>
      <c r="B1930" s="84"/>
      <c r="C1930" s="84"/>
      <c r="D1930" s="84"/>
      <c r="E1930" s="84"/>
      <c r="F1930" s="85"/>
      <c r="G1930" s="84"/>
      <c r="H1930" s="84"/>
    </row>
    <row r="1931" spans="1:8" s="64" customFormat="1">
      <c r="A1931" s="84"/>
      <c r="B1931" s="84"/>
      <c r="C1931" s="84"/>
      <c r="D1931" s="84"/>
      <c r="E1931" s="84"/>
      <c r="F1931" s="85"/>
      <c r="G1931" s="84"/>
      <c r="H1931" s="84"/>
    </row>
    <row r="1932" spans="1:8" s="64" customFormat="1">
      <c r="A1932" s="84"/>
      <c r="B1932" s="84"/>
      <c r="C1932" s="84"/>
      <c r="D1932" s="84"/>
      <c r="E1932" s="84"/>
      <c r="F1932" s="85"/>
      <c r="G1932" s="84"/>
      <c r="H1932" s="84"/>
    </row>
    <row r="1933" spans="1:8" s="64" customFormat="1">
      <c r="A1933" s="84"/>
      <c r="B1933" s="84"/>
      <c r="C1933" s="84"/>
      <c r="D1933" s="84"/>
      <c r="E1933" s="84"/>
      <c r="F1933" s="85"/>
      <c r="G1933" s="84"/>
      <c r="H1933" s="84"/>
    </row>
    <row r="1934" spans="1:8" s="64" customFormat="1">
      <c r="A1934" s="84"/>
      <c r="B1934" s="84"/>
      <c r="C1934" s="84"/>
      <c r="D1934" s="84"/>
      <c r="E1934" s="84"/>
      <c r="F1934" s="85"/>
      <c r="G1934" s="84"/>
      <c r="H1934" s="84"/>
    </row>
    <row r="1935" spans="1:8" s="64" customFormat="1">
      <c r="A1935" s="84"/>
      <c r="B1935" s="84"/>
      <c r="C1935" s="84"/>
      <c r="D1935" s="84"/>
      <c r="E1935" s="84"/>
      <c r="F1935" s="85"/>
      <c r="G1935" s="84"/>
      <c r="H1935" s="84"/>
    </row>
    <row r="1936" spans="1:8" s="64" customFormat="1">
      <c r="A1936" s="84"/>
      <c r="B1936" s="84"/>
      <c r="C1936" s="84"/>
      <c r="D1936" s="84"/>
      <c r="E1936" s="84"/>
      <c r="F1936" s="85"/>
      <c r="G1936" s="84"/>
      <c r="H1936" s="84"/>
    </row>
    <row r="1937" spans="1:8" s="64" customFormat="1">
      <c r="A1937" s="84"/>
      <c r="B1937" s="84"/>
      <c r="C1937" s="84"/>
      <c r="D1937" s="84"/>
      <c r="E1937" s="84"/>
      <c r="F1937" s="85"/>
      <c r="G1937" s="84"/>
      <c r="H1937" s="84"/>
    </row>
    <row r="1938" spans="1:8" s="64" customFormat="1">
      <c r="A1938" s="84"/>
      <c r="B1938" s="84"/>
      <c r="C1938" s="84"/>
      <c r="D1938" s="84"/>
      <c r="E1938" s="84"/>
      <c r="F1938" s="85"/>
      <c r="G1938" s="84"/>
      <c r="H1938" s="84"/>
    </row>
    <row r="1939" spans="1:8" s="64" customFormat="1">
      <c r="A1939" s="84"/>
      <c r="B1939" s="84"/>
      <c r="C1939" s="84"/>
      <c r="D1939" s="84"/>
      <c r="E1939" s="84"/>
      <c r="F1939" s="85"/>
      <c r="G1939" s="84"/>
      <c r="H1939" s="84"/>
    </row>
    <row r="1940" spans="1:8" s="64" customFormat="1">
      <c r="A1940" s="84"/>
      <c r="B1940" s="84"/>
      <c r="C1940" s="84"/>
      <c r="D1940" s="84"/>
      <c r="E1940" s="84"/>
      <c r="F1940" s="85"/>
      <c r="G1940" s="84"/>
      <c r="H1940" s="84"/>
    </row>
    <row r="1941" spans="1:8" s="64" customFormat="1">
      <c r="A1941" s="84"/>
      <c r="B1941" s="84"/>
      <c r="C1941" s="84"/>
      <c r="D1941" s="84"/>
      <c r="E1941" s="84"/>
      <c r="F1941" s="85"/>
      <c r="G1941" s="84"/>
      <c r="H1941" s="84"/>
    </row>
    <row r="1942" spans="1:8" s="64" customFormat="1">
      <c r="A1942" s="84"/>
      <c r="B1942" s="84"/>
      <c r="C1942" s="84"/>
      <c r="D1942" s="84"/>
      <c r="E1942" s="84"/>
      <c r="F1942" s="85"/>
      <c r="G1942" s="84"/>
      <c r="H1942" s="84"/>
    </row>
    <row r="1943" spans="1:8" s="64" customFormat="1">
      <c r="A1943" s="84"/>
      <c r="B1943" s="84"/>
      <c r="C1943" s="84"/>
      <c r="D1943" s="84"/>
      <c r="E1943" s="84"/>
      <c r="F1943" s="85"/>
      <c r="G1943" s="84"/>
      <c r="H1943" s="84"/>
    </row>
    <row r="1944" spans="1:8" s="64" customFormat="1">
      <c r="A1944" s="84"/>
      <c r="B1944" s="84"/>
      <c r="C1944" s="84"/>
      <c r="D1944" s="84"/>
      <c r="E1944" s="84"/>
      <c r="F1944" s="85"/>
      <c r="G1944" s="84"/>
      <c r="H1944" s="84"/>
    </row>
    <row r="1945" spans="1:8" s="64" customFormat="1">
      <c r="A1945" s="84"/>
      <c r="B1945" s="84"/>
      <c r="C1945" s="84"/>
      <c r="D1945" s="84"/>
      <c r="E1945" s="84"/>
      <c r="F1945" s="85"/>
      <c r="G1945" s="84"/>
      <c r="H1945" s="84"/>
    </row>
    <row r="1946" spans="1:8" s="64" customFormat="1">
      <c r="A1946" s="84"/>
      <c r="B1946" s="84"/>
      <c r="C1946" s="84"/>
      <c r="D1946" s="84"/>
      <c r="E1946" s="84"/>
      <c r="F1946" s="85"/>
      <c r="G1946" s="84"/>
      <c r="H1946" s="84"/>
    </row>
    <row r="1947" spans="1:8" s="64" customFormat="1">
      <c r="A1947" s="84"/>
      <c r="B1947" s="84"/>
      <c r="C1947" s="84"/>
      <c r="D1947" s="84"/>
      <c r="E1947" s="84"/>
      <c r="F1947" s="85"/>
      <c r="G1947" s="84"/>
      <c r="H1947" s="84"/>
    </row>
    <row r="1948" spans="1:8" s="64" customFormat="1">
      <c r="A1948" s="84"/>
      <c r="B1948" s="84"/>
      <c r="C1948" s="84"/>
      <c r="D1948" s="84"/>
      <c r="E1948" s="84"/>
      <c r="F1948" s="85"/>
      <c r="G1948" s="84"/>
      <c r="H1948" s="84"/>
    </row>
    <row r="1949" spans="1:8" s="64" customFormat="1">
      <c r="A1949" s="84"/>
      <c r="B1949" s="84"/>
      <c r="C1949" s="84"/>
      <c r="D1949" s="84"/>
      <c r="E1949" s="84"/>
      <c r="F1949" s="85"/>
      <c r="G1949" s="84"/>
      <c r="H1949" s="84"/>
    </row>
    <row r="1950" spans="1:8" s="64" customFormat="1">
      <c r="A1950" s="84"/>
      <c r="B1950" s="84"/>
      <c r="C1950" s="84"/>
      <c r="D1950" s="84"/>
      <c r="E1950" s="84"/>
      <c r="F1950" s="85"/>
      <c r="G1950" s="84"/>
      <c r="H1950" s="84"/>
    </row>
    <row r="1951" spans="1:8" s="64" customFormat="1">
      <c r="A1951" s="84"/>
      <c r="B1951" s="84"/>
      <c r="C1951" s="84"/>
      <c r="D1951" s="84"/>
      <c r="E1951" s="84"/>
      <c r="F1951" s="85"/>
      <c r="G1951" s="84"/>
      <c r="H1951" s="84"/>
    </row>
    <row r="1952" spans="1:8" s="64" customFormat="1">
      <c r="A1952" s="84"/>
      <c r="B1952" s="84"/>
      <c r="C1952" s="84"/>
      <c r="D1952" s="84"/>
      <c r="E1952" s="84"/>
      <c r="F1952" s="85"/>
      <c r="G1952" s="84"/>
      <c r="H1952" s="84"/>
    </row>
    <row r="1953" spans="1:8" s="64" customFormat="1">
      <c r="A1953" s="84"/>
      <c r="B1953" s="84"/>
      <c r="C1953" s="84"/>
      <c r="D1953" s="84"/>
      <c r="E1953" s="84"/>
      <c r="F1953" s="85"/>
      <c r="G1953" s="84"/>
      <c r="H1953" s="84"/>
    </row>
    <row r="1954" spans="1:8" s="64" customFormat="1">
      <c r="A1954" s="84"/>
      <c r="B1954" s="84"/>
      <c r="C1954" s="84"/>
      <c r="D1954" s="84"/>
      <c r="E1954" s="84"/>
      <c r="F1954" s="85"/>
      <c r="G1954" s="84"/>
      <c r="H1954" s="84"/>
    </row>
    <row r="1955" spans="1:8" s="64" customFormat="1">
      <c r="A1955" s="84"/>
      <c r="B1955" s="84"/>
      <c r="C1955" s="84"/>
      <c r="D1955" s="84"/>
      <c r="E1955" s="84"/>
      <c r="F1955" s="85"/>
      <c r="G1955" s="84"/>
      <c r="H1955" s="84"/>
    </row>
    <row r="1956" spans="1:8" s="64" customFormat="1">
      <c r="A1956" s="84"/>
      <c r="B1956" s="84"/>
      <c r="C1956" s="84"/>
      <c r="D1956" s="84"/>
      <c r="E1956" s="84"/>
      <c r="F1956" s="85"/>
      <c r="G1956" s="84"/>
      <c r="H1956" s="84"/>
    </row>
    <row r="1957" spans="1:8" s="64" customFormat="1">
      <c r="A1957" s="84"/>
      <c r="B1957" s="84"/>
      <c r="C1957" s="84"/>
      <c r="D1957" s="84"/>
      <c r="E1957" s="84"/>
      <c r="F1957" s="85"/>
      <c r="G1957" s="84"/>
      <c r="H1957" s="84"/>
    </row>
    <row r="1958" spans="1:8" s="64" customFormat="1">
      <c r="A1958" s="84"/>
      <c r="B1958" s="84"/>
      <c r="C1958" s="84"/>
      <c r="D1958" s="84"/>
      <c r="E1958" s="84"/>
      <c r="F1958" s="85"/>
      <c r="G1958" s="84"/>
      <c r="H1958" s="84"/>
    </row>
    <row r="1959" spans="1:8" s="64" customFormat="1">
      <c r="A1959" s="84"/>
      <c r="B1959" s="84"/>
      <c r="C1959" s="84"/>
      <c r="D1959" s="84"/>
      <c r="E1959" s="84"/>
      <c r="F1959" s="85"/>
      <c r="G1959" s="84"/>
      <c r="H1959" s="84"/>
    </row>
    <row r="1960" spans="1:8" s="64" customFormat="1">
      <c r="A1960" s="84"/>
      <c r="B1960" s="84"/>
      <c r="C1960" s="84"/>
      <c r="D1960" s="84"/>
      <c r="E1960" s="84"/>
      <c r="F1960" s="85"/>
      <c r="G1960" s="84"/>
      <c r="H1960" s="84"/>
    </row>
    <row r="1961" spans="1:8" s="64" customFormat="1">
      <c r="A1961" s="84"/>
      <c r="B1961" s="84"/>
      <c r="C1961" s="84"/>
      <c r="D1961" s="84"/>
      <c r="E1961" s="84"/>
      <c r="F1961" s="85"/>
      <c r="G1961" s="84"/>
      <c r="H1961" s="84"/>
    </row>
    <row r="1962" spans="1:8" s="64" customFormat="1">
      <c r="A1962" s="84"/>
      <c r="B1962" s="84"/>
      <c r="C1962" s="84"/>
      <c r="D1962" s="84"/>
      <c r="E1962" s="84"/>
      <c r="F1962" s="85"/>
      <c r="G1962" s="84"/>
      <c r="H1962" s="84"/>
    </row>
    <row r="1963" spans="1:8" s="64" customFormat="1">
      <c r="A1963" s="84"/>
      <c r="B1963" s="84"/>
      <c r="C1963" s="84"/>
      <c r="D1963" s="84"/>
      <c r="E1963" s="84"/>
      <c r="F1963" s="85"/>
      <c r="G1963" s="84"/>
      <c r="H1963" s="84"/>
    </row>
    <row r="1964" spans="1:8" s="64" customFormat="1">
      <c r="A1964" s="84"/>
      <c r="B1964" s="84"/>
      <c r="C1964" s="84"/>
      <c r="D1964" s="84"/>
      <c r="E1964" s="84"/>
      <c r="F1964" s="85"/>
      <c r="G1964" s="84"/>
      <c r="H1964" s="84"/>
    </row>
    <row r="1965" spans="1:8" s="64" customFormat="1">
      <c r="A1965" s="84"/>
      <c r="B1965" s="84"/>
      <c r="C1965" s="84"/>
      <c r="D1965" s="84"/>
      <c r="E1965" s="84"/>
      <c r="F1965" s="85"/>
      <c r="G1965" s="84"/>
      <c r="H1965" s="84"/>
    </row>
    <row r="1966" spans="1:8" s="64" customFormat="1">
      <c r="A1966" s="84"/>
      <c r="B1966" s="84"/>
      <c r="C1966" s="84"/>
      <c r="D1966" s="84"/>
      <c r="E1966" s="84"/>
      <c r="F1966" s="85"/>
      <c r="G1966" s="84"/>
      <c r="H1966" s="84"/>
    </row>
    <row r="1967" spans="1:8" s="64" customFormat="1">
      <c r="A1967" s="84"/>
      <c r="B1967" s="84"/>
      <c r="C1967" s="84"/>
      <c r="D1967" s="84"/>
      <c r="E1967" s="84"/>
      <c r="F1967" s="85"/>
      <c r="G1967" s="84"/>
      <c r="H1967" s="84"/>
    </row>
    <row r="1968" spans="1:8" s="64" customFormat="1">
      <c r="A1968" s="84"/>
      <c r="B1968" s="84"/>
      <c r="C1968" s="84"/>
      <c r="D1968" s="84"/>
      <c r="E1968" s="84"/>
      <c r="F1968" s="85"/>
      <c r="G1968" s="84"/>
      <c r="H1968" s="84"/>
    </row>
    <row r="1969" spans="1:8" s="64" customFormat="1">
      <c r="A1969" s="84"/>
      <c r="B1969" s="84"/>
      <c r="C1969" s="84"/>
      <c r="D1969" s="84"/>
      <c r="E1969" s="84"/>
      <c r="F1969" s="85"/>
      <c r="G1969" s="84"/>
      <c r="H1969" s="84"/>
    </row>
    <row r="1970" spans="1:8" s="64" customFormat="1">
      <c r="A1970" s="84"/>
      <c r="B1970" s="84"/>
      <c r="C1970" s="84"/>
      <c r="D1970" s="84"/>
      <c r="E1970" s="84"/>
      <c r="F1970" s="85"/>
      <c r="G1970" s="84"/>
      <c r="H1970" s="84"/>
    </row>
    <row r="1971" spans="1:8" s="64" customFormat="1">
      <c r="A1971" s="84"/>
      <c r="B1971" s="84"/>
      <c r="C1971" s="84"/>
      <c r="D1971" s="84"/>
      <c r="E1971" s="84"/>
      <c r="F1971" s="85"/>
      <c r="G1971" s="84"/>
      <c r="H1971" s="84"/>
    </row>
    <row r="1972" spans="1:8" s="64" customFormat="1">
      <c r="A1972" s="84"/>
      <c r="B1972" s="84"/>
      <c r="C1972" s="84"/>
      <c r="D1972" s="84"/>
      <c r="E1972" s="84"/>
      <c r="F1972" s="85"/>
      <c r="G1972" s="84"/>
      <c r="H1972" s="84"/>
    </row>
    <row r="1973" spans="1:8" s="64" customFormat="1">
      <c r="A1973" s="84"/>
      <c r="B1973" s="84"/>
      <c r="C1973" s="84"/>
      <c r="D1973" s="84"/>
      <c r="E1973" s="84"/>
      <c r="F1973" s="85"/>
      <c r="G1973" s="84"/>
      <c r="H1973" s="84"/>
    </row>
    <row r="1974" spans="1:8" s="64" customFormat="1">
      <c r="A1974" s="84"/>
      <c r="B1974" s="84"/>
      <c r="C1974" s="84"/>
      <c r="D1974" s="84"/>
      <c r="E1974" s="84"/>
      <c r="F1974" s="85"/>
      <c r="G1974" s="84"/>
      <c r="H1974" s="84"/>
    </row>
    <row r="1975" spans="1:8" s="64" customFormat="1">
      <c r="A1975" s="84"/>
      <c r="B1975" s="84"/>
      <c r="C1975" s="84"/>
      <c r="D1975" s="84"/>
      <c r="E1975" s="84"/>
      <c r="F1975" s="85"/>
      <c r="G1975" s="84"/>
      <c r="H1975" s="84"/>
    </row>
    <row r="1976" spans="1:8" s="64" customFormat="1">
      <c r="A1976" s="84"/>
      <c r="B1976" s="84"/>
      <c r="C1976" s="84"/>
      <c r="D1976" s="84"/>
      <c r="E1976" s="84"/>
      <c r="F1976" s="85"/>
      <c r="G1976" s="84"/>
      <c r="H1976" s="84"/>
    </row>
    <row r="1977" spans="1:8" s="64" customFormat="1">
      <c r="A1977" s="84"/>
      <c r="B1977" s="84"/>
      <c r="C1977" s="84"/>
      <c r="D1977" s="84"/>
      <c r="E1977" s="84"/>
      <c r="F1977" s="85"/>
      <c r="G1977" s="84"/>
      <c r="H1977" s="84"/>
    </row>
    <row r="1978" spans="1:8" s="64" customFormat="1">
      <c r="A1978" s="84"/>
      <c r="B1978" s="84"/>
      <c r="C1978" s="84"/>
      <c r="D1978" s="84"/>
      <c r="E1978" s="84"/>
      <c r="F1978" s="85"/>
      <c r="G1978" s="84"/>
      <c r="H1978" s="84"/>
    </row>
    <row r="1979" spans="1:8" s="64" customFormat="1">
      <c r="A1979" s="84"/>
      <c r="B1979" s="84"/>
      <c r="C1979" s="84"/>
      <c r="D1979" s="84"/>
      <c r="E1979" s="84"/>
      <c r="F1979" s="85"/>
      <c r="G1979" s="84"/>
      <c r="H1979" s="84"/>
    </row>
    <row r="1980" spans="1:8" s="64" customFormat="1">
      <c r="A1980" s="84"/>
      <c r="B1980" s="84"/>
      <c r="C1980" s="84"/>
      <c r="D1980" s="84"/>
      <c r="E1980" s="84"/>
      <c r="F1980" s="85"/>
      <c r="G1980" s="84"/>
      <c r="H1980" s="84"/>
    </row>
    <row r="1981" spans="1:8" s="64" customFormat="1">
      <c r="A1981" s="84"/>
      <c r="B1981" s="84"/>
      <c r="C1981" s="84"/>
      <c r="D1981" s="84"/>
      <c r="E1981" s="84"/>
      <c r="F1981" s="85"/>
      <c r="G1981" s="84"/>
      <c r="H1981" s="84"/>
    </row>
    <row r="1982" spans="1:8" s="64" customFormat="1">
      <c r="A1982" s="84"/>
      <c r="B1982" s="84"/>
      <c r="C1982" s="84"/>
      <c r="D1982" s="84"/>
      <c r="E1982" s="84"/>
      <c r="F1982" s="85"/>
      <c r="G1982" s="84"/>
      <c r="H1982" s="84"/>
    </row>
    <row r="1983" spans="1:8" s="64" customFormat="1">
      <c r="A1983" s="84"/>
      <c r="B1983" s="84"/>
      <c r="C1983" s="84"/>
      <c r="D1983" s="84"/>
      <c r="E1983" s="84"/>
      <c r="F1983" s="85"/>
      <c r="G1983" s="84"/>
      <c r="H1983" s="84"/>
    </row>
    <row r="1984" spans="1:8" s="64" customFormat="1">
      <c r="A1984" s="84"/>
      <c r="B1984" s="84"/>
      <c r="C1984" s="84"/>
      <c r="D1984" s="84"/>
      <c r="E1984" s="84"/>
      <c r="F1984" s="85"/>
      <c r="G1984" s="84"/>
      <c r="H1984" s="84"/>
    </row>
    <row r="1985" spans="1:8" s="64" customFormat="1">
      <c r="A1985" s="84"/>
      <c r="B1985" s="84"/>
      <c r="C1985" s="84"/>
      <c r="D1985" s="84"/>
      <c r="E1985" s="84"/>
      <c r="F1985" s="85"/>
      <c r="G1985" s="84"/>
      <c r="H1985" s="84"/>
    </row>
    <row r="1986" spans="1:8" s="64" customFormat="1">
      <c r="A1986" s="84"/>
      <c r="B1986" s="84"/>
      <c r="C1986" s="84"/>
      <c r="D1986" s="84"/>
      <c r="E1986" s="84"/>
      <c r="F1986" s="85"/>
      <c r="G1986" s="84"/>
      <c r="H1986" s="84"/>
    </row>
    <row r="1987" spans="1:8" s="64" customFormat="1">
      <c r="A1987" s="84"/>
      <c r="B1987" s="84"/>
      <c r="C1987" s="84"/>
      <c r="D1987" s="84"/>
      <c r="E1987" s="84"/>
      <c r="F1987" s="85"/>
      <c r="G1987" s="84"/>
      <c r="H1987" s="84"/>
    </row>
    <row r="1988" spans="1:8" s="64" customFormat="1">
      <c r="A1988" s="84"/>
      <c r="B1988" s="84"/>
      <c r="C1988" s="84"/>
      <c r="D1988" s="84"/>
      <c r="E1988" s="84"/>
      <c r="F1988" s="85"/>
      <c r="G1988" s="84"/>
      <c r="H1988" s="84"/>
    </row>
    <row r="1989" spans="1:8" s="64" customFormat="1">
      <c r="A1989" s="84"/>
      <c r="B1989" s="84"/>
      <c r="C1989" s="84"/>
      <c r="D1989" s="84"/>
      <c r="E1989" s="84"/>
      <c r="F1989" s="85"/>
      <c r="G1989" s="84"/>
      <c r="H1989" s="84"/>
    </row>
    <row r="1990" spans="1:8" s="64" customFormat="1">
      <c r="A1990" s="84"/>
      <c r="B1990" s="84"/>
      <c r="C1990" s="84"/>
      <c r="D1990" s="84"/>
      <c r="E1990" s="84"/>
      <c r="F1990" s="85"/>
      <c r="G1990" s="84"/>
      <c r="H1990" s="84"/>
    </row>
    <row r="1991" spans="1:8" s="64" customFormat="1">
      <c r="A1991" s="84"/>
      <c r="B1991" s="84"/>
      <c r="C1991" s="84"/>
      <c r="D1991" s="84"/>
      <c r="E1991" s="84"/>
      <c r="F1991" s="85"/>
      <c r="G1991" s="84"/>
      <c r="H1991" s="84"/>
    </row>
    <row r="1992" spans="1:8" s="64" customFormat="1">
      <c r="A1992" s="84"/>
      <c r="B1992" s="84"/>
      <c r="C1992" s="84"/>
      <c r="D1992" s="84"/>
      <c r="E1992" s="84"/>
      <c r="F1992" s="85"/>
      <c r="G1992" s="84"/>
      <c r="H1992" s="84"/>
    </row>
    <row r="1993" spans="1:8" s="64" customFormat="1">
      <c r="A1993" s="84"/>
      <c r="B1993" s="84"/>
      <c r="C1993" s="84"/>
      <c r="D1993" s="84"/>
      <c r="E1993" s="84"/>
      <c r="F1993" s="85"/>
      <c r="G1993" s="84"/>
      <c r="H1993" s="84"/>
    </row>
    <row r="1994" spans="1:8" s="64" customFormat="1">
      <c r="A1994" s="84"/>
      <c r="B1994" s="84"/>
      <c r="C1994" s="84"/>
      <c r="D1994" s="84"/>
      <c r="E1994" s="84"/>
      <c r="F1994" s="85"/>
      <c r="G1994" s="84"/>
      <c r="H1994" s="84"/>
    </row>
    <row r="1995" spans="1:8" s="64" customFormat="1">
      <c r="A1995" s="84"/>
      <c r="B1995" s="84"/>
      <c r="C1995" s="84"/>
      <c r="D1995" s="84"/>
      <c r="E1995" s="84"/>
      <c r="F1995" s="85"/>
      <c r="G1995" s="84"/>
      <c r="H1995" s="84"/>
    </row>
    <row r="1996" spans="1:8">
      <c r="F1996" s="83"/>
    </row>
    <row r="1997" spans="1:8">
      <c r="F1997" s="83"/>
    </row>
    <row r="1998" spans="1:8">
      <c r="F1998" s="83"/>
    </row>
    <row r="1999" spans="1:8">
      <c r="F1999" s="83"/>
    </row>
    <row r="2000" spans="1:8">
      <c r="F2000" s="83"/>
    </row>
    <row r="2001" spans="6:6">
      <c r="F2001" s="83"/>
    </row>
    <row r="2002" spans="6:6">
      <c r="F2002" s="83"/>
    </row>
    <row r="2003" spans="6:6">
      <c r="F2003" s="83"/>
    </row>
    <row r="2004" spans="6:6">
      <c r="F2004" s="83"/>
    </row>
    <row r="2005" spans="6:6">
      <c r="F2005" s="83"/>
    </row>
    <row r="2006" spans="6:6">
      <c r="F2006" s="83"/>
    </row>
    <row r="2007" spans="6:6">
      <c r="F2007" s="83"/>
    </row>
    <row r="2008" spans="6:6">
      <c r="F2008" s="83"/>
    </row>
    <row r="2009" spans="6:6">
      <c r="F2009" s="83"/>
    </row>
    <row r="2010" spans="6:6">
      <c r="F2010" s="83"/>
    </row>
    <row r="2011" spans="6:6">
      <c r="F2011" s="83"/>
    </row>
    <row r="2012" spans="6:6">
      <c r="F2012" s="83"/>
    </row>
    <row r="2013" spans="6:6">
      <c r="F2013" s="83"/>
    </row>
    <row r="2014" spans="6:6">
      <c r="F2014" s="83"/>
    </row>
    <row r="2015" spans="6:6">
      <c r="F2015" s="83"/>
    </row>
    <row r="2016" spans="6:6">
      <c r="F2016" s="83"/>
    </row>
    <row r="2017" spans="1:8">
      <c r="F2017" s="83"/>
    </row>
    <row r="2018" spans="1:8">
      <c r="F2018" s="83"/>
    </row>
    <row r="2019" spans="1:8">
      <c r="A2019" s="86"/>
      <c r="B2019" s="86"/>
      <c r="C2019" s="86"/>
      <c r="D2019" s="86"/>
      <c r="E2019" s="86"/>
      <c r="F2019" s="87"/>
      <c r="G2019" s="86"/>
      <c r="H2019" s="86"/>
    </row>
    <row r="2020" spans="1:8">
      <c r="A2020" s="86"/>
      <c r="B2020" s="86"/>
      <c r="C2020" s="86"/>
      <c r="D2020" s="86"/>
      <c r="E2020" s="86"/>
      <c r="F2020" s="87"/>
      <c r="G2020" s="86"/>
      <c r="H2020" s="86"/>
    </row>
    <row r="2021" spans="1:8">
      <c r="A2021" s="86"/>
      <c r="B2021" s="86"/>
      <c r="C2021" s="86"/>
      <c r="D2021" s="86"/>
      <c r="E2021" s="86"/>
      <c r="F2021" s="87"/>
      <c r="G2021" s="86"/>
      <c r="H2021" s="86"/>
    </row>
    <row r="2022" spans="1:8">
      <c r="A2022" s="86"/>
      <c r="B2022" s="86"/>
      <c r="C2022" s="86"/>
      <c r="D2022" s="86"/>
      <c r="E2022" s="86"/>
      <c r="F2022" s="87"/>
      <c r="G2022" s="86"/>
      <c r="H2022" s="86"/>
    </row>
    <row r="2023" spans="1:8">
      <c r="A2023" s="86"/>
      <c r="B2023" s="86"/>
      <c r="C2023" s="86"/>
      <c r="D2023" s="86"/>
      <c r="E2023" s="86"/>
      <c r="F2023" s="87"/>
      <c r="G2023" s="86"/>
      <c r="H2023" s="86"/>
    </row>
    <row r="2024" spans="1:8">
      <c r="A2024" s="86"/>
      <c r="B2024" s="86"/>
      <c r="C2024" s="86"/>
      <c r="D2024" s="86"/>
      <c r="E2024" s="86"/>
      <c r="F2024" s="87"/>
      <c r="G2024" s="86"/>
      <c r="H2024" s="86"/>
    </row>
    <row r="2025" spans="1:8">
      <c r="A2025" s="86"/>
      <c r="B2025" s="86"/>
      <c r="C2025" s="86"/>
      <c r="D2025" s="86"/>
      <c r="E2025" s="86"/>
      <c r="F2025" s="87"/>
      <c r="G2025" s="86"/>
      <c r="H2025" s="86"/>
    </row>
    <row r="2026" spans="1:8">
      <c r="A2026" s="86"/>
      <c r="B2026" s="86"/>
      <c r="C2026" s="86"/>
      <c r="D2026" s="86"/>
      <c r="E2026" s="86"/>
      <c r="F2026" s="87"/>
      <c r="G2026" s="86"/>
      <c r="H2026" s="86"/>
    </row>
    <row r="2027" spans="1:8">
      <c r="A2027" s="86"/>
      <c r="B2027" s="86"/>
      <c r="C2027" s="86"/>
      <c r="D2027" s="86"/>
      <c r="E2027" s="86"/>
      <c r="F2027" s="87"/>
      <c r="G2027" s="86"/>
      <c r="H2027" s="86"/>
    </row>
    <row r="2028" spans="1:8">
      <c r="A2028" s="86"/>
      <c r="B2028" s="86"/>
      <c r="C2028" s="86"/>
      <c r="D2028" s="86"/>
      <c r="E2028" s="86"/>
      <c r="F2028" s="87"/>
      <c r="G2028" s="86"/>
      <c r="H2028" s="86"/>
    </row>
    <row r="2029" spans="1:8">
      <c r="A2029" s="86"/>
      <c r="B2029" s="86"/>
      <c r="C2029" s="86"/>
      <c r="D2029" s="86"/>
      <c r="E2029" s="86"/>
      <c r="F2029" s="87"/>
      <c r="G2029" s="86"/>
      <c r="H2029" s="86"/>
    </row>
    <row r="2030" spans="1:8">
      <c r="A2030" s="86"/>
      <c r="B2030" s="86"/>
      <c r="C2030" s="86"/>
      <c r="D2030" s="86"/>
      <c r="E2030" s="86"/>
      <c r="F2030" s="87"/>
      <c r="G2030" s="86"/>
      <c r="H2030" s="86"/>
    </row>
    <row r="2031" spans="1:8">
      <c r="F2031" s="83"/>
    </row>
    <row r="2032" spans="1:8">
      <c r="F2032" s="83"/>
    </row>
    <row r="2033" spans="6:6">
      <c r="F2033" s="83"/>
    </row>
    <row r="2034" spans="6:6">
      <c r="F2034" s="83"/>
    </row>
    <row r="2035" spans="6:6">
      <c r="F2035" s="83"/>
    </row>
    <row r="2036" spans="6:6">
      <c r="F2036" s="83"/>
    </row>
    <row r="2037" spans="6:6">
      <c r="F2037" s="83"/>
    </row>
    <row r="2038" spans="6:6">
      <c r="F2038" s="83"/>
    </row>
    <row r="2039" spans="6:6">
      <c r="F2039" s="83"/>
    </row>
    <row r="2040" spans="6:6">
      <c r="F2040" s="83"/>
    </row>
    <row r="2041" spans="6:6">
      <c r="F2041" s="83"/>
    </row>
    <row r="2042" spans="6:6">
      <c r="F2042" s="83"/>
    </row>
    <row r="2043" spans="6:6">
      <c r="F2043" s="83"/>
    </row>
    <row r="2044" spans="6:6">
      <c r="F2044" s="83"/>
    </row>
    <row r="2045" spans="6:6">
      <c r="F2045" s="83"/>
    </row>
    <row r="2046" spans="6:6">
      <c r="F2046" s="83"/>
    </row>
    <row r="2047" spans="6:6">
      <c r="F2047" s="83"/>
    </row>
    <row r="2048" spans="6:6">
      <c r="F2048" s="83"/>
    </row>
    <row r="2049" spans="6:6">
      <c r="F2049" s="83"/>
    </row>
    <row r="2050" spans="6:6">
      <c r="F2050" s="83"/>
    </row>
    <row r="2051" spans="6:6">
      <c r="F2051" s="83"/>
    </row>
    <row r="2052" spans="6:6">
      <c r="F2052" s="83"/>
    </row>
    <row r="2053" spans="6:6">
      <c r="F2053" s="83"/>
    </row>
    <row r="2054" spans="6:6">
      <c r="F2054" s="83"/>
    </row>
    <row r="2055" spans="6:6">
      <c r="F2055" s="83"/>
    </row>
    <row r="2056" spans="6:6">
      <c r="F2056" s="83"/>
    </row>
    <row r="2057" spans="6:6">
      <c r="F2057" s="83"/>
    </row>
    <row r="2058" spans="6:6">
      <c r="F2058" s="83"/>
    </row>
    <row r="2059" spans="6:6">
      <c r="F2059" s="83"/>
    </row>
    <row r="2060" spans="6:6">
      <c r="F2060" s="83"/>
    </row>
    <row r="2061" spans="6:6">
      <c r="F2061" s="83"/>
    </row>
    <row r="2062" spans="6:6">
      <c r="F2062" s="83"/>
    </row>
    <row r="2063" spans="6:6">
      <c r="F2063" s="83"/>
    </row>
    <row r="2064" spans="6:6">
      <c r="F2064" s="83"/>
    </row>
    <row r="2065" spans="6:6">
      <c r="F2065" s="83"/>
    </row>
    <row r="2066" spans="6:6">
      <c r="F2066" s="83"/>
    </row>
    <row r="2067" spans="6:6">
      <c r="F2067" s="83"/>
    </row>
    <row r="2068" spans="6:6">
      <c r="F2068" s="83"/>
    </row>
    <row r="2069" spans="6:6">
      <c r="F2069" s="83"/>
    </row>
    <row r="2070" spans="6:6">
      <c r="F2070" s="83"/>
    </row>
    <row r="2071" spans="6:6">
      <c r="F2071" s="83"/>
    </row>
    <row r="2072" spans="6:6">
      <c r="F2072" s="83"/>
    </row>
    <row r="2073" spans="6:6">
      <c r="F2073" s="83"/>
    </row>
    <row r="2074" spans="6:6">
      <c r="F2074" s="83"/>
    </row>
    <row r="2075" spans="6:6">
      <c r="F2075" s="83"/>
    </row>
    <row r="2076" spans="6:6">
      <c r="F2076" s="83"/>
    </row>
    <row r="2077" spans="6:6">
      <c r="F2077" s="83"/>
    </row>
    <row r="2078" spans="6:6">
      <c r="F2078" s="83"/>
    </row>
    <row r="2079" spans="6:6">
      <c r="F2079" s="83"/>
    </row>
    <row r="2080" spans="6:6">
      <c r="F2080" s="83"/>
    </row>
    <row r="2081" spans="6:6">
      <c r="F2081" s="83"/>
    </row>
    <row r="2082" spans="6:6">
      <c r="F2082" s="83"/>
    </row>
    <row r="2083" spans="6:6">
      <c r="F2083" s="83"/>
    </row>
    <row r="2084" spans="6:6">
      <c r="F2084" s="83"/>
    </row>
    <row r="2085" spans="6:6">
      <c r="F2085" s="83"/>
    </row>
    <row r="2086" spans="6:6">
      <c r="F2086" s="83"/>
    </row>
    <row r="2087" spans="6:6">
      <c r="F2087" s="83"/>
    </row>
    <row r="2088" spans="6:6">
      <c r="F2088" s="83"/>
    </row>
    <row r="2089" spans="6:6">
      <c r="F2089" s="83"/>
    </row>
    <row r="2090" spans="6:6">
      <c r="F2090" s="83"/>
    </row>
    <row r="2091" spans="6:6">
      <c r="F2091" s="83"/>
    </row>
    <row r="2092" spans="6:6">
      <c r="F2092" s="83"/>
    </row>
    <row r="2093" spans="6:6">
      <c r="F2093" s="83"/>
    </row>
    <row r="2094" spans="6:6">
      <c r="F2094" s="83"/>
    </row>
    <row r="2095" spans="6:6">
      <c r="F2095" s="83"/>
    </row>
    <row r="2096" spans="6:6">
      <c r="F2096" s="83"/>
    </row>
    <row r="2097" spans="6:6">
      <c r="F2097" s="83"/>
    </row>
    <row r="2098" spans="6:6">
      <c r="F2098" s="83"/>
    </row>
    <row r="2099" spans="6:6">
      <c r="F2099" s="83"/>
    </row>
    <row r="2100" spans="6:6">
      <c r="F2100" s="83"/>
    </row>
    <row r="2101" spans="6:6">
      <c r="F2101" s="83"/>
    </row>
    <row r="2102" spans="6:6">
      <c r="F2102" s="83"/>
    </row>
    <row r="2103" spans="6:6">
      <c r="F2103" s="83"/>
    </row>
    <row r="2104" spans="6:6">
      <c r="F2104" s="83"/>
    </row>
    <row r="2105" spans="6:6">
      <c r="F2105" s="83"/>
    </row>
    <row r="2106" spans="6:6">
      <c r="F2106" s="83"/>
    </row>
    <row r="2107" spans="6:6">
      <c r="F2107" s="83"/>
    </row>
    <row r="2108" spans="6:6">
      <c r="F2108" s="83"/>
    </row>
    <row r="2109" spans="6:6">
      <c r="F2109" s="83"/>
    </row>
    <row r="2110" spans="6:6">
      <c r="F2110" s="83"/>
    </row>
    <row r="2111" spans="6:6">
      <c r="F2111" s="83"/>
    </row>
    <row r="2112" spans="6:6">
      <c r="F2112" s="83"/>
    </row>
    <row r="2113" spans="6:6">
      <c r="F2113" s="83"/>
    </row>
    <row r="2114" spans="6:6">
      <c r="F2114" s="83"/>
    </row>
    <row r="2115" spans="6:6">
      <c r="F2115" s="83"/>
    </row>
    <row r="2116" spans="6:6">
      <c r="F2116" s="83"/>
    </row>
    <row r="2117" spans="6:6">
      <c r="F2117" s="83"/>
    </row>
    <row r="2118" spans="6:6">
      <c r="F2118" s="83"/>
    </row>
    <row r="2119" spans="6:6">
      <c r="F2119" s="83"/>
    </row>
    <row r="2120" spans="6:6">
      <c r="F2120" s="83"/>
    </row>
    <row r="2121" spans="6:6">
      <c r="F2121" s="83"/>
    </row>
    <row r="2122" spans="6:6">
      <c r="F2122" s="83"/>
    </row>
    <row r="2123" spans="6:6">
      <c r="F2123" s="83"/>
    </row>
    <row r="2124" spans="6:6">
      <c r="F2124" s="83"/>
    </row>
    <row r="2125" spans="6:6">
      <c r="F2125" s="83"/>
    </row>
    <row r="2126" spans="6:6">
      <c r="F2126" s="83"/>
    </row>
    <row r="2127" spans="6:6">
      <c r="F2127" s="83"/>
    </row>
    <row r="2128" spans="6:6">
      <c r="F2128" s="83"/>
    </row>
    <row r="2129" spans="6:6">
      <c r="F2129" s="83"/>
    </row>
    <row r="2130" spans="6:6">
      <c r="F2130" s="83"/>
    </row>
    <row r="2131" spans="6:6">
      <c r="F2131" s="83"/>
    </row>
    <row r="2132" spans="6:6">
      <c r="F2132" s="83"/>
    </row>
    <row r="2133" spans="6:6">
      <c r="F2133" s="83"/>
    </row>
    <row r="2134" spans="6:6">
      <c r="F2134" s="83"/>
    </row>
    <row r="2135" spans="6:6">
      <c r="F2135" s="83"/>
    </row>
    <row r="2136" spans="6:6">
      <c r="F2136" s="83"/>
    </row>
    <row r="2137" spans="6:6">
      <c r="F2137" s="83"/>
    </row>
    <row r="2138" spans="6:6">
      <c r="F2138" s="83"/>
    </row>
    <row r="2139" spans="6:6">
      <c r="F2139" s="83"/>
    </row>
    <row r="2140" spans="6:6">
      <c r="F2140" s="83"/>
    </row>
    <row r="2141" spans="6:6">
      <c r="F2141" s="83"/>
    </row>
    <row r="2142" spans="6:6">
      <c r="F2142" s="83"/>
    </row>
    <row r="2143" spans="6:6">
      <c r="F2143" s="83"/>
    </row>
    <row r="2144" spans="6:6">
      <c r="F2144" s="83"/>
    </row>
    <row r="2145" spans="6:6">
      <c r="F2145" s="83"/>
    </row>
    <row r="2146" spans="6:6">
      <c r="F2146" s="83"/>
    </row>
    <row r="2147" spans="6:6">
      <c r="F2147" s="83"/>
    </row>
    <row r="2148" spans="6:6">
      <c r="F2148" s="83"/>
    </row>
    <row r="2149" spans="6:6">
      <c r="F2149" s="83"/>
    </row>
    <row r="2150" spans="6:6">
      <c r="F2150" s="83"/>
    </row>
    <row r="2151" spans="6:6">
      <c r="F2151" s="83"/>
    </row>
    <row r="2152" spans="6:6">
      <c r="F2152" s="83"/>
    </row>
    <row r="2153" spans="6:6">
      <c r="F2153" s="83"/>
    </row>
    <row r="2154" spans="6:6">
      <c r="F2154" s="83"/>
    </row>
    <row r="2155" spans="6:6">
      <c r="F2155" s="83"/>
    </row>
    <row r="2156" spans="6:6">
      <c r="F2156" s="83"/>
    </row>
    <row r="2157" spans="6:6">
      <c r="F2157" s="83"/>
    </row>
    <row r="2158" spans="6:6">
      <c r="F2158" s="83"/>
    </row>
    <row r="2159" spans="6:6">
      <c r="F2159" s="83"/>
    </row>
    <row r="2160" spans="6:6">
      <c r="F2160" s="83"/>
    </row>
    <row r="2161" spans="1:8">
      <c r="F2161" s="83"/>
    </row>
    <row r="2162" spans="1:8">
      <c r="F2162" s="83"/>
    </row>
    <row r="2163" spans="1:8">
      <c r="F2163" s="83"/>
    </row>
    <row r="2164" spans="1:8">
      <c r="F2164" s="83"/>
    </row>
    <row r="2165" spans="1:8">
      <c r="F2165" s="83"/>
    </row>
    <row r="2166" spans="1:8">
      <c r="F2166" s="83"/>
    </row>
    <row r="2167" spans="1:8">
      <c r="F2167" s="83"/>
    </row>
    <row r="2168" spans="1:8">
      <c r="F2168" s="83"/>
    </row>
    <row r="2169" spans="1:8">
      <c r="F2169" s="83"/>
    </row>
    <row r="2170" spans="1:8">
      <c r="F2170" s="83"/>
    </row>
    <row r="2171" spans="1:8">
      <c r="F2171" s="83"/>
    </row>
    <row r="2172" spans="1:8">
      <c r="F2172" s="83"/>
    </row>
    <row r="2173" spans="1:8">
      <c r="F2173" s="83"/>
    </row>
    <row r="2174" spans="1:8">
      <c r="F2174" s="83"/>
    </row>
    <row r="2175" spans="1:8">
      <c r="A2175" s="86"/>
      <c r="B2175" s="86"/>
      <c r="C2175" s="86"/>
      <c r="D2175" s="86"/>
      <c r="E2175" s="86"/>
      <c r="F2175" s="87"/>
      <c r="G2175" s="86"/>
      <c r="H2175" s="86"/>
    </row>
    <row r="2176" spans="1:8">
      <c r="A2176" s="86"/>
      <c r="B2176" s="86"/>
      <c r="C2176" s="86"/>
      <c r="D2176" s="86"/>
      <c r="E2176" s="86"/>
      <c r="F2176" s="87"/>
      <c r="G2176" s="86"/>
      <c r="H2176" s="86"/>
    </row>
    <row r="2177" spans="1:8">
      <c r="A2177" s="86"/>
      <c r="B2177" s="86"/>
      <c r="C2177" s="86"/>
      <c r="D2177" s="86"/>
      <c r="E2177" s="86"/>
      <c r="F2177" s="87"/>
      <c r="G2177" s="86"/>
      <c r="H2177" s="86"/>
    </row>
    <row r="2178" spans="1:8">
      <c r="A2178" s="86"/>
      <c r="B2178" s="86"/>
      <c r="C2178" s="86"/>
      <c r="D2178" s="86"/>
      <c r="E2178" s="86"/>
      <c r="F2178" s="87"/>
      <c r="G2178" s="86"/>
      <c r="H2178" s="86"/>
    </row>
    <row r="2179" spans="1:8">
      <c r="A2179" s="86"/>
      <c r="B2179" s="86"/>
      <c r="C2179" s="86"/>
      <c r="D2179" s="86"/>
      <c r="E2179" s="86"/>
      <c r="F2179" s="87"/>
      <c r="G2179" s="86"/>
      <c r="H2179" s="86"/>
    </row>
    <row r="2180" spans="1:8">
      <c r="A2180" s="86"/>
      <c r="B2180" s="86"/>
      <c r="C2180" s="86"/>
      <c r="D2180" s="86"/>
      <c r="E2180" s="86"/>
      <c r="F2180" s="87"/>
      <c r="G2180" s="86"/>
      <c r="H2180" s="86"/>
    </row>
    <row r="2181" spans="1:8">
      <c r="A2181" s="86"/>
      <c r="B2181" s="86"/>
      <c r="C2181" s="86"/>
      <c r="D2181" s="86"/>
      <c r="E2181" s="86"/>
      <c r="F2181" s="87"/>
      <c r="G2181" s="86"/>
      <c r="H2181" s="86"/>
    </row>
    <row r="2182" spans="1:8">
      <c r="A2182" s="86"/>
      <c r="B2182" s="86"/>
      <c r="C2182" s="86"/>
      <c r="D2182" s="86"/>
      <c r="E2182" s="86"/>
      <c r="F2182" s="87"/>
      <c r="G2182" s="86"/>
      <c r="H2182" s="86"/>
    </row>
    <row r="2183" spans="1:8">
      <c r="A2183" s="86"/>
      <c r="B2183" s="86"/>
      <c r="C2183" s="86"/>
      <c r="D2183" s="86"/>
      <c r="E2183" s="86"/>
      <c r="F2183" s="87"/>
      <c r="G2183" s="86"/>
      <c r="H2183" s="86"/>
    </row>
    <row r="2184" spans="1:8">
      <c r="A2184" s="86"/>
      <c r="B2184" s="86"/>
      <c r="C2184" s="86"/>
      <c r="D2184" s="86"/>
      <c r="E2184" s="86"/>
      <c r="F2184" s="87"/>
      <c r="G2184" s="86"/>
      <c r="H2184" s="86"/>
    </row>
    <row r="2185" spans="1:8">
      <c r="A2185" s="86"/>
      <c r="B2185" s="86"/>
      <c r="C2185" s="86"/>
      <c r="D2185" s="86"/>
      <c r="E2185" s="86"/>
      <c r="F2185" s="87"/>
      <c r="G2185" s="86"/>
      <c r="H2185" s="86"/>
    </row>
    <row r="2186" spans="1:8">
      <c r="A2186" s="86"/>
      <c r="B2186" s="86"/>
      <c r="C2186" s="86"/>
      <c r="D2186" s="86"/>
      <c r="E2186" s="86"/>
      <c r="F2186" s="87"/>
      <c r="G2186" s="86"/>
      <c r="H2186" s="86"/>
    </row>
    <row r="2187" spans="1:8">
      <c r="F2187" s="83"/>
    </row>
    <row r="2188" spans="1:8">
      <c r="F2188" s="83"/>
    </row>
    <row r="2189" spans="1:8">
      <c r="F2189" s="83"/>
    </row>
    <row r="2190" spans="1:8">
      <c r="F2190" s="83"/>
    </row>
    <row r="2191" spans="1:8">
      <c r="F2191" s="83"/>
    </row>
    <row r="2192" spans="1:8">
      <c r="F2192" s="83"/>
    </row>
    <row r="2193" spans="6:6">
      <c r="F2193" s="83"/>
    </row>
    <row r="2194" spans="6:6">
      <c r="F2194" s="83"/>
    </row>
    <row r="2195" spans="6:6">
      <c r="F2195" s="83"/>
    </row>
    <row r="2196" spans="6:6">
      <c r="F2196" s="83"/>
    </row>
    <row r="2197" spans="6:6">
      <c r="F2197" s="83"/>
    </row>
    <row r="2198" spans="6:6">
      <c r="F2198" s="83"/>
    </row>
    <row r="2199" spans="6:6">
      <c r="F2199" s="83"/>
    </row>
    <row r="2200" spans="6:6">
      <c r="F2200" s="83"/>
    </row>
    <row r="2201" spans="6:6">
      <c r="F2201" s="83"/>
    </row>
    <row r="2202" spans="6:6">
      <c r="F2202" s="83"/>
    </row>
    <row r="2203" spans="6:6">
      <c r="F2203" s="83"/>
    </row>
    <row r="2204" spans="6:6">
      <c r="F2204" s="83"/>
    </row>
    <row r="2205" spans="6:6">
      <c r="F2205" s="83"/>
    </row>
    <row r="2206" spans="6:6">
      <c r="F2206" s="83"/>
    </row>
    <row r="2207" spans="6:6">
      <c r="F2207" s="83"/>
    </row>
    <row r="2208" spans="6:6">
      <c r="F2208" s="83"/>
    </row>
    <row r="2209" spans="6:6">
      <c r="F2209" s="83"/>
    </row>
    <row r="2210" spans="6:6">
      <c r="F2210" s="83"/>
    </row>
    <row r="2211" spans="6:6">
      <c r="F2211" s="83"/>
    </row>
    <row r="2212" spans="6:6">
      <c r="F2212" s="83"/>
    </row>
    <row r="2213" spans="6:6">
      <c r="F2213" s="83"/>
    </row>
    <row r="2214" spans="6:6">
      <c r="F2214" s="83"/>
    </row>
    <row r="2215" spans="6:6">
      <c r="F2215" s="83"/>
    </row>
    <row r="2216" spans="6:6">
      <c r="F2216" s="83"/>
    </row>
    <row r="2217" spans="6:6">
      <c r="F2217" s="83"/>
    </row>
    <row r="2218" spans="6:6">
      <c r="F2218" s="83"/>
    </row>
    <row r="2219" spans="6:6">
      <c r="F2219" s="83"/>
    </row>
    <row r="2220" spans="6:6">
      <c r="F2220" s="83"/>
    </row>
    <row r="2221" spans="6:6">
      <c r="F2221" s="83"/>
    </row>
    <row r="2222" spans="6:6">
      <c r="F2222" s="83"/>
    </row>
    <row r="2223" spans="6:6">
      <c r="F2223" s="83"/>
    </row>
    <row r="2224" spans="6:6">
      <c r="F2224" s="83"/>
    </row>
    <row r="2225" spans="6:6">
      <c r="F2225" s="83"/>
    </row>
    <row r="2226" spans="6:6">
      <c r="F2226" s="83"/>
    </row>
    <row r="2227" spans="6:6">
      <c r="F2227" s="83"/>
    </row>
    <row r="2228" spans="6:6">
      <c r="F2228" s="83"/>
    </row>
    <row r="2229" spans="6:6">
      <c r="F2229" s="83"/>
    </row>
    <row r="2230" spans="6:6">
      <c r="F2230" s="83"/>
    </row>
    <row r="2231" spans="6:6">
      <c r="F2231" s="83"/>
    </row>
    <row r="2232" spans="6:6">
      <c r="F2232" s="83"/>
    </row>
    <row r="2233" spans="6:6">
      <c r="F2233" s="83"/>
    </row>
    <row r="2234" spans="6:6">
      <c r="F2234" s="83"/>
    </row>
    <row r="2235" spans="6:6">
      <c r="F2235" s="83"/>
    </row>
    <row r="2236" spans="6:6">
      <c r="F2236" s="83"/>
    </row>
    <row r="2237" spans="6:6">
      <c r="F2237" s="83"/>
    </row>
    <row r="2238" spans="6:6">
      <c r="F2238" s="83"/>
    </row>
    <row r="2239" spans="6:6">
      <c r="F2239" s="83"/>
    </row>
    <row r="2240" spans="6:6">
      <c r="F2240" s="83"/>
    </row>
    <row r="2241" spans="6:6">
      <c r="F2241" s="83"/>
    </row>
    <row r="2242" spans="6:6">
      <c r="F2242" s="83"/>
    </row>
    <row r="2243" spans="6:6">
      <c r="F2243" s="83"/>
    </row>
    <row r="2244" spans="6:6">
      <c r="F2244" s="83"/>
    </row>
    <row r="2245" spans="6:6">
      <c r="F2245" s="83"/>
    </row>
    <row r="2246" spans="6:6">
      <c r="F2246" s="83"/>
    </row>
    <row r="2247" spans="6:6">
      <c r="F2247" s="83"/>
    </row>
    <row r="2248" spans="6:6">
      <c r="F2248" s="83"/>
    </row>
    <row r="2249" spans="6:6">
      <c r="F2249" s="83"/>
    </row>
    <row r="2250" spans="6:6">
      <c r="F2250" s="83"/>
    </row>
    <row r="2251" spans="6:6">
      <c r="F2251" s="83"/>
    </row>
    <row r="2252" spans="6:6">
      <c r="F2252" s="83"/>
    </row>
    <row r="2253" spans="6:6">
      <c r="F2253" s="83"/>
    </row>
    <row r="2254" spans="6:6">
      <c r="F2254" s="83"/>
    </row>
    <row r="2255" spans="6:6">
      <c r="F2255" s="83"/>
    </row>
    <row r="2256" spans="6:6">
      <c r="F2256" s="83"/>
    </row>
    <row r="2257" spans="6:6">
      <c r="F2257" s="83"/>
    </row>
    <row r="2258" spans="6:6">
      <c r="F2258" s="83"/>
    </row>
    <row r="2259" spans="6:6">
      <c r="F2259" s="83"/>
    </row>
    <row r="2260" spans="6:6">
      <c r="F2260" s="83"/>
    </row>
    <row r="2261" spans="6:6">
      <c r="F2261" s="83"/>
    </row>
    <row r="2262" spans="6:6">
      <c r="F2262" s="83"/>
    </row>
    <row r="2263" spans="6:6">
      <c r="F2263" s="83"/>
    </row>
    <row r="2264" spans="6:6">
      <c r="F2264" s="83"/>
    </row>
    <row r="2265" spans="6:6">
      <c r="F2265" s="83"/>
    </row>
    <row r="2266" spans="6:6">
      <c r="F2266" s="83"/>
    </row>
    <row r="2267" spans="6:6">
      <c r="F2267" s="83"/>
    </row>
    <row r="2268" spans="6:6">
      <c r="F2268" s="83"/>
    </row>
    <row r="2269" spans="6:6">
      <c r="F2269" s="83"/>
    </row>
    <row r="2270" spans="6:6">
      <c r="F2270" s="83"/>
    </row>
    <row r="2271" spans="6:6">
      <c r="F2271" s="83"/>
    </row>
    <row r="2272" spans="6:6">
      <c r="F2272" s="83"/>
    </row>
    <row r="2273" spans="6:6">
      <c r="F2273" s="83"/>
    </row>
    <row r="2274" spans="6:6">
      <c r="F2274" s="83"/>
    </row>
    <row r="2275" spans="6:6">
      <c r="F2275" s="83"/>
    </row>
    <row r="2276" spans="6:6">
      <c r="F2276" s="83"/>
    </row>
    <row r="2277" spans="6:6">
      <c r="F2277" s="83"/>
    </row>
    <row r="2278" spans="6:6">
      <c r="F2278" s="83"/>
    </row>
    <row r="2279" spans="6:6">
      <c r="F2279" s="83"/>
    </row>
    <row r="2280" spans="6:6">
      <c r="F2280" s="83"/>
    </row>
    <row r="2281" spans="6:6">
      <c r="F2281" s="83"/>
    </row>
    <row r="2282" spans="6:6">
      <c r="F2282" s="83"/>
    </row>
    <row r="2283" spans="6:6">
      <c r="F2283" s="83"/>
    </row>
    <row r="2284" spans="6:6">
      <c r="F2284" s="83"/>
    </row>
    <row r="2285" spans="6:6">
      <c r="F2285" s="83"/>
    </row>
    <row r="2286" spans="6:6">
      <c r="F2286" s="83"/>
    </row>
    <row r="2287" spans="6:6">
      <c r="F2287" s="83"/>
    </row>
    <row r="2288" spans="6:6">
      <c r="F2288" s="83"/>
    </row>
    <row r="2289" spans="6:6">
      <c r="F2289" s="83"/>
    </row>
    <row r="2290" spans="6:6">
      <c r="F2290" s="83"/>
    </row>
    <row r="2291" spans="6:6">
      <c r="F2291" s="83"/>
    </row>
    <row r="2292" spans="6:6">
      <c r="F2292" s="83"/>
    </row>
    <row r="2293" spans="6:6">
      <c r="F2293" s="83"/>
    </row>
    <row r="2294" spans="6:6">
      <c r="F2294" s="83"/>
    </row>
    <row r="2295" spans="6:6">
      <c r="F2295" s="83"/>
    </row>
    <row r="2296" spans="6:6">
      <c r="F2296" s="83"/>
    </row>
    <row r="2297" spans="6:6">
      <c r="F2297" s="83"/>
    </row>
    <row r="2298" spans="6:6">
      <c r="F2298" s="83"/>
    </row>
    <row r="2299" spans="6:6">
      <c r="F2299" s="83"/>
    </row>
    <row r="2300" spans="6:6">
      <c r="F2300" s="83"/>
    </row>
    <row r="2301" spans="6:6">
      <c r="F2301" s="83"/>
    </row>
    <row r="2302" spans="6:6">
      <c r="F2302" s="83"/>
    </row>
    <row r="2303" spans="6:6">
      <c r="F2303" s="83"/>
    </row>
    <row r="2304" spans="6:6">
      <c r="F2304" s="83"/>
    </row>
    <row r="2305" spans="6:6">
      <c r="F2305" s="83"/>
    </row>
    <row r="2306" spans="6:6">
      <c r="F2306" s="83"/>
    </row>
    <row r="2307" spans="6:6">
      <c r="F2307" s="83"/>
    </row>
    <row r="2308" spans="6:6">
      <c r="F2308" s="83"/>
    </row>
    <row r="2309" spans="6:6">
      <c r="F2309" s="83"/>
    </row>
    <row r="2310" spans="6:6">
      <c r="F2310" s="83"/>
    </row>
    <row r="2311" spans="6:6">
      <c r="F2311" s="83"/>
    </row>
    <row r="2312" spans="6:6">
      <c r="F2312" s="83"/>
    </row>
    <row r="2313" spans="6:6">
      <c r="F2313" s="83"/>
    </row>
    <row r="2314" spans="6:6">
      <c r="F2314" s="83"/>
    </row>
    <row r="2315" spans="6:6">
      <c r="F2315" s="83"/>
    </row>
    <row r="2316" spans="6:6">
      <c r="F2316" s="83"/>
    </row>
    <row r="2317" spans="6:6">
      <c r="F2317" s="83"/>
    </row>
    <row r="2318" spans="6:6">
      <c r="F2318" s="83"/>
    </row>
    <row r="2319" spans="6:6">
      <c r="F2319" s="83"/>
    </row>
    <row r="2320" spans="6:6">
      <c r="F2320" s="83"/>
    </row>
    <row r="2321" spans="6:6">
      <c r="F2321" s="83"/>
    </row>
    <row r="2322" spans="6:6">
      <c r="F2322" s="83"/>
    </row>
    <row r="2323" spans="6:6">
      <c r="F2323" s="83"/>
    </row>
    <row r="2324" spans="6:6">
      <c r="F2324" s="83"/>
    </row>
    <row r="2325" spans="6:6">
      <c r="F2325" s="83"/>
    </row>
    <row r="2326" spans="6:6">
      <c r="F2326" s="83"/>
    </row>
    <row r="2327" spans="6:6">
      <c r="F2327" s="83"/>
    </row>
    <row r="2328" spans="6:6">
      <c r="F2328" s="83"/>
    </row>
    <row r="2329" spans="6:6">
      <c r="F2329" s="83"/>
    </row>
    <row r="2330" spans="6:6">
      <c r="F2330" s="83"/>
    </row>
    <row r="2331" spans="6:6">
      <c r="F2331" s="83"/>
    </row>
    <row r="2332" spans="6:6">
      <c r="F2332" s="83"/>
    </row>
    <row r="2333" spans="6:6">
      <c r="F2333" s="83"/>
    </row>
    <row r="2334" spans="6:6">
      <c r="F2334" s="83"/>
    </row>
    <row r="2335" spans="6:6">
      <c r="F2335" s="83"/>
    </row>
    <row r="2336" spans="6:6">
      <c r="F2336" s="83"/>
    </row>
    <row r="2337" spans="6:6">
      <c r="F2337" s="83"/>
    </row>
    <row r="2338" spans="6:6">
      <c r="F2338" s="83"/>
    </row>
    <row r="2339" spans="6:6">
      <c r="F2339" s="83"/>
    </row>
    <row r="2340" spans="6:6">
      <c r="F2340" s="83"/>
    </row>
    <row r="2341" spans="6:6">
      <c r="F2341" s="83"/>
    </row>
    <row r="2342" spans="6:6">
      <c r="F2342" s="83"/>
    </row>
    <row r="2343" spans="6:6">
      <c r="F2343" s="83"/>
    </row>
    <row r="2344" spans="6:6">
      <c r="F2344" s="83"/>
    </row>
    <row r="2345" spans="6:6">
      <c r="F2345" s="83"/>
    </row>
    <row r="2346" spans="6:6">
      <c r="F2346" s="83"/>
    </row>
    <row r="2347" spans="6:6">
      <c r="F2347" s="83"/>
    </row>
    <row r="2348" spans="6:6">
      <c r="F2348" s="83"/>
    </row>
    <row r="2349" spans="6:6">
      <c r="F2349" s="83"/>
    </row>
    <row r="2350" spans="6:6">
      <c r="F2350" s="83"/>
    </row>
    <row r="2351" spans="6:6">
      <c r="F2351" s="83"/>
    </row>
    <row r="2352" spans="6:6">
      <c r="F2352" s="83"/>
    </row>
    <row r="2353" spans="6:6">
      <c r="F2353" s="83"/>
    </row>
    <row r="2354" spans="6:6">
      <c r="F2354" s="83"/>
    </row>
    <row r="2355" spans="6:6">
      <c r="F2355" s="83"/>
    </row>
    <row r="2356" spans="6:6">
      <c r="F2356" s="83"/>
    </row>
    <row r="2357" spans="6:6">
      <c r="F2357" s="83"/>
    </row>
    <row r="2358" spans="6:6">
      <c r="F2358" s="83"/>
    </row>
    <row r="2359" spans="6:6">
      <c r="F2359" s="83"/>
    </row>
    <row r="2360" spans="6:6">
      <c r="F2360" s="83"/>
    </row>
    <row r="2361" spans="6:6">
      <c r="F2361" s="83"/>
    </row>
    <row r="2362" spans="6:6">
      <c r="F2362" s="83"/>
    </row>
    <row r="2363" spans="6:6">
      <c r="F2363" s="83"/>
    </row>
    <row r="2364" spans="6:6">
      <c r="F2364" s="83"/>
    </row>
    <row r="2365" spans="6:6">
      <c r="F2365" s="83"/>
    </row>
    <row r="2366" spans="6:6">
      <c r="F2366" s="83"/>
    </row>
    <row r="2367" spans="6:6">
      <c r="F2367" s="83"/>
    </row>
    <row r="2368" spans="6:6">
      <c r="F2368" s="83"/>
    </row>
    <row r="2369" spans="6:6">
      <c r="F2369" s="83"/>
    </row>
    <row r="2370" spans="6:6">
      <c r="F2370" s="83"/>
    </row>
    <row r="2371" spans="6:6">
      <c r="F2371" s="83"/>
    </row>
    <row r="2372" spans="6:6">
      <c r="F2372" s="83"/>
    </row>
    <row r="2373" spans="6:6">
      <c r="F2373" s="83"/>
    </row>
    <row r="2374" spans="6:6">
      <c r="F2374" s="83"/>
    </row>
    <row r="2375" spans="6:6">
      <c r="F2375" s="83"/>
    </row>
    <row r="2376" spans="6:6">
      <c r="F2376" s="83"/>
    </row>
    <row r="2377" spans="6:6">
      <c r="F2377" s="83"/>
    </row>
    <row r="2378" spans="6:6">
      <c r="F2378" s="83"/>
    </row>
    <row r="2379" spans="6:6">
      <c r="F2379" s="83"/>
    </row>
    <row r="2380" spans="6:6">
      <c r="F2380" s="83"/>
    </row>
    <row r="2381" spans="6:6">
      <c r="F2381" s="83"/>
    </row>
    <row r="2382" spans="6:6">
      <c r="F2382" s="83"/>
    </row>
    <row r="2383" spans="6:6">
      <c r="F2383" s="83"/>
    </row>
    <row r="2384" spans="6:6">
      <c r="F2384" s="83"/>
    </row>
    <row r="2385" spans="6:6">
      <c r="F2385" s="83"/>
    </row>
    <row r="2386" spans="6:6">
      <c r="F2386" s="83"/>
    </row>
    <row r="2387" spans="6:6">
      <c r="F2387" s="83"/>
    </row>
    <row r="2388" spans="6:6">
      <c r="F2388" s="83"/>
    </row>
    <row r="2389" spans="6:6">
      <c r="F2389" s="83"/>
    </row>
    <row r="2390" spans="6:6">
      <c r="F2390" s="83"/>
    </row>
    <row r="2391" spans="6:6">
      <c r="F2391" s="83"/>
    </row>
    <row r="2392" spans="6:6">
      <c r="F2392" s="83"/>
    </row>
    <row r="2393" spans="6:6">
      <c r="F2393" s="83"/>
    </row>
    <row r="2394" spans="6:6">
      <c r="F2394" s="83"/>
    </row>
  </sheetData>
  <sortState ref="A2:H2394">
    <sortCondition ref="A2:A11130"/>
    <sortCondition ref="E2:E11130"/>
    <sortCondition descending="1" ref="G2:G11130"/>
  </sortState>
  <pageMargins left="0.7" right="0.7" top="0.75" bottom="0.75" header="0.3" footer="0.3"/>
  <legacyDrawing r:id="rId1"/>
  <controls>
    <control shapeId="33793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AG2025"/>
  <sheetViews>
    <sheetView tabSelected="1" workbookViewId="0">
      <selection activeCell="L4" sqref="L4"/>
    </sheetView>
  </sheetViews>
  <sheetFormatPr baseColWidth="10" defaultRowHeight="12.75"/>
  <cols>
    <col min="1" max="1" width="11.42578125" customWidth="1"/>
    <col min="2" max="2" width="33.42578125" customWidth="1"/>
    <col min="3" max="4" width="13.28515625" customWidth="1"/>
    <col min="5" max="6" width="8.140625" style="70" customWidth="1"/>
    <col min="7" max="7" width="9.7109375" customWidth="1"/>
    <col min="8" max="8" width="9.7109375" style="62" customWidth="1"/>
    <col min="9" max="13" width="9.7109375" customWidth="1"/>
    <col min="14" max="16" width="11.42578125" customWidth="1"/>
    <col min="18" max="18" width="17.28515625" customWidth="1"/>
    <col min="19" max="19" width="33.7109375" customWidth="1"/>
    <col min="20" max="20" width="12.5703125" customWidth="1"/>
    <col min="21" max="21" width="13.140625" customWidth="1"/>
    <col min="22" max="22" width="21.42578125" style="62" customWidth="1"/>
    <col min="23" max="23" width="4.28515625" style="73" customWidth="1"/>
    <col min="24" max="26" width="10.140625" style="89" customWidth="1"/>
    <col min="27" max="27" width="10.5703125" style="89" customWidth="1"/>
    <col min="28" max="28" width="12.28515625" style="99" customWidth="1"/>
    <col min="29" max="29" width="9.140625" style="99" customWidth="1"/>
    <col min="30" max="30" width="8.140625" style="62" customWidth="1"/>
    <col min="31" max="31" width="9.28515625" customWidth="1"/>
    <col min="32" max="32" width="7.140625" customWidth="1"/>
    <col min="33" max="33" width="8" customWidth="1"/>
  </cols>
  <sheetData>
    <row r="1" spans="1:33">
      <c r="V1"/>
      <c r="W1" s="96"/>
      <c r="X1" s="96"/>
      <c r="Y1" s="97"/>
      <c r="Z1" s="97"/>
      <c r="AA1" s="97"/>
      <c r="AB1" s="96"/>
      <c r="AC1" s="96"/>
      <c r="AD1" s="96"/>
    </row>
    <row r="2" spans="1:33">
      <c r="A2" s="41" t="s">
        <v>1336</v>
      </c>
      <c r="C2" s="39" t="s">
        <v>4</v>
      </c>
      <c r="D2" s="63">
        <v>0.3125</v>
      </c>
      <c r="F2" s="109"/>
      <c r="R2" s="41" t="s">
        <v>1420</v>
      </c>
      <c r="S2" s="41" t="s">
        <v>1379</v>
      </c>
      <c r="V2"/>
      <c r="W2" s="96"/>
      <c r="X2" s="96"/>
      <c r="Y2" s="97"/>
      <c r="Z2" s="97"/>
      <c r="AA2" s="97"/>
      <c r="AB2" s="96"/>
      <c r="AC2" s="96"/>
      <c r="AD2" s="96"/>
    </row>
    <row r="3" spans="1:33">
      <c r="A3" s="41" t="s">
        <v>1337</v>
      </c>
      <c r="C3" s="39" t="s">
        <v>1322</v>
      </c>
      <c r="D3" s="63">
        <v>0.3125</v>
      </c>
      <c r="F3" s="109"/>
      <c r="R3" s="94" t="s">
        <v>1377</v>
      </c>
      <c r="S3" s="92" t="s">
        <v>1380</v>
      </c>
      <c r="V3"/>
      <c r="W3" s="96"/>
      <c r="X3" s="96"/>
      <c r="Y3" s="97"/>
      <c r="Z3" s="97"/>
      <c r="AA3" s="97"/>
      <c r="AB3" s="96"/>
      <c r="AC3" s="96"/>
      <c r="AD3" s="96"/>
    </row>
    <row r="4" spans="1:33">
      <c r="C4" s="39" t="s">
        <v>1324</v>
      </c>
      <c r="D4" s="63">
        <v>0.375</v>
      </c>
      <c r="F4" s="109"/>
      <c r="R4" s="41"/>
      <c r="S4" s="92" t="s">
        <v>1381</v>
      </c>
      <c r="V4"/>
      <c r="W4" s="96"/>
      <c r="X4" s="96"/>
      <c r="Y4" s="97"/>
      <c r="Z4" s="97"/>
      <c r="AA4" s="97"/>
      <c r="AB4" s="96"/>
      <c r="AC4" s="96"/>
      <c r="AD4" s="96"/>
    </row>
    <row r="5" spans="1:33">
      <c r="C5" s="39" t="s">
        <v>1338</v>
      </c>
      <c r="D5" s="63">
        <v>0.41666666666666669</v>
      </c>
      <c r="F5" s="109"/>
      <c r="R5" s="41"/>
      <c r="S5" s="41"/>
      <c r="V5"/>
      <c r="W5" s="96"/>
      <c r="X5" s="96"/>
      <c r="Y5" s="97"/>
      <c r="Z5" s="97"/>
      <c r="AA5" s="97"/>
      <c r="AB5" s="96"/>
      <c r="AC5" s="96"/>
      <c r="AD5" s="96"/>
    </row>
    <row r="6" spans="1:33">
      <c r="V6"/>
      <c r="W6" s="96"/>
      <c r="X6" s="96"/>
      <c r="Y6" s="97"/>
      <c r="Z6" s="97"/>
      <c r="AA6" s="97"/>
      <c r="AB6" s="96"/>
      <c r="AC6" s="96"/>
      <c r="AD6" s="96"/>
    </row>
    <row r="7" spans="1:33" ht="13.5" thickBot="1">
      <c r="V7"/>
      <c r="W7" s="96"/>
      <c r="X7" s="96"/>
      <c r="Y7" s="97"/>
      <c r="Z7" s="97"/>
      <c r="AA7" s="97"/>
      <c r="AB7" s="96"/>
      <c r="AC7" s="96"/>
    </row>
    <row r="8" spans="1:33" ht="13.5" thickBot="1">
      <c r="A8" s="41" t="s">
        <v>1318</v>
      </c>
      <c r="B8" s="41" t="s">
        <v>1343</v>
      </c>
      <c r="C8" s="41" t="s">
        <v>1434</v>
      </c>
      <c r="D8" s="41" t="s">
        <v>1435</v>
      </c>
      <c r="E8" s="55">
        <v>0</v>
      </c>
      <c r="F8" s="110" t="s">
        <v>1418</v>
      </c>
      <c r="G8" s="41" t="s">
        <v>1342</v>
      </c>
      <c r="H8" s="65" t="s">
        <v>1340</v>
      </c>
      <c r="I8" s="41" t="s">
        <v>1341</v>
      </c>
      <c r="J8" s="94" t="s">
        <v>1384</v>
      </c>
      <c r="K8" s="94" t="s">
        <v>1385</v>
      </c>
      <c r="L8" s="94" t="s">
        <v>1347</v>
      </c>
      <c r="M8" s="41" t="s">
        <v>1379</v>
      </c>
      <c r="N8" s="92" t="s">
        <v>1380</v>
      </c>
      <c r="O8" s="92" t="s">
        <v>1381</v>
      </c>
      <c r="P8" s="91"/>
      <c r="V8"/>
      <c r="W8" s="62"/>
      <c r="X8" s="96"/>
      <c r="Y8" s="132" t="s">
        <v>1395</v>
      </c>
      <c r="Z8" s="133"/>
      <c r="AA8" s="133"/>
      <c r="AB8" s="134"/>
      <c r="AC8" s="132" t="s">
        <v>1396</v>
      </c>
      <c r="AD8" s="133"/>
      <c r="AE8" s="133"/>
      <c r="AF8" s="133"/>
      <c r="AG8" s="134"/>
    </row>
    <row r="9" spans="1:33">
      <c r="A9" s="65" t="str">
        <f>IFERROR(VLOOKUP('Informe Kelly'!A2,Base!A:B,2,FALSE),"")</f>
        <v>05.080.993-5</v>
      </c>
      <c r="B9" s="65" t="str">
        <f>IFERROR(VLOOKUP('Informe Kelly'!A2,Base!A:G,7,FALSE),"")</f>
        <v>FIGUEROA NILO CARLOS</v>
      </c>
      <c r="C9" s="69" t="str">
        <f>IF(G9=$C$4,IF('Informe Kelly'!H2='Control informe Kelly'!$A$2,TEXT(((LEFT('Informe Kelly'!E2,2)*1)+1),"dd")&amp;"."&amp;MID('Informe Kelly'!E2,4,2)&amp;"."&amp;RIGHT('Informe Kelly'!E2,4),'Informe Kelly'!E2),'Informe Kelly'!E2)</f>
        <v>11.04.2011</v>
      </c>
      <c r="D9" s="69" t="str">
        <f>IF('Informe Kelly'!E2="","",'Informe Kelly'!E2)</f>
        <v>11.04.2011</v>
      </c>
      <c r="E9" s="72">
        <f>IF(C8=C9,IF(C9=C6,E8,IF(C9=C7,E8+1,E8)),E8+1)</f>
        <v>1</v>
      </c>
      <c r="F9" s="72" t="str">
        <f>IFERROR(HLOOKUP(C9,Ingreso!$Q$8:$AD$9,2,FALSE),"v")</f>
        <v>Lunes</v>
      </c>
      <c r="G9" s="65" t="str">
        <f>IFERROR(VLOOKUP(A9,Ingreso!K:P,6,FALSE),"no esta ingresado")</f>
        <v>Turno B</v>
      </c>
      <c r="H9" s="65" t="str">
        <f>IFERROR(IF('Informe Kelly'!H2=$A$2,'Informe Kelly'!F2,""),0)</f>
        <v/>
      </c>
      <c r="I9" s="65">
        <f>IFERROR(IF('Informe Kelly'!H2=$A$3,'Informe Kelly'!F2,""),0)</f>
        <v>0.93800925925925915</v>
      </c>
      <c r="J9" s="65" t="str">
        <f>IF(IFERROR(IF(E9=E8,0,(HLOOKUP(D9,Ingreso!$AN$10:$AT$260,VLOOKUP(A9,Ingreso!$AL$11:$AM$260,2,FALSE)))/24),0)=0,"",IFERROR(IF(E9=E8,0,(HLOOKUP(D9,Ingreso!$AN$10:$AT$260,VLOOKUP(A9,Ingreso!$AL$11:$AM$260,2,FALSE)))/24),0))</f>
        <v/>
      </c>
      <c r="K9" s="65" t="str">
        <f>IF(IFERROR(IF(E9=E8,0,(HLOOKUP(D9,Ingreso!$AW$10:$BC$260,VLOOKUP(A9,Ingreso!$AL$11:$AM$260,2,FALSE)))/24),0)=0,"",IFERROR(IF(E9=E8,0,(HLOOKUP(D9,Ingreso!$AW$10:$BC$260,VLOOKUP(A9,Ingreso!$AL$11:$AM$260,2,FALSE)))/24),0))</f>
        <v/>
      </c>
      <c r="L9" s="63">
        <f>IFERROR(IF(C9=C7,0,IF(E9=E8,0,(VLOOKUP(G9,$C$2:$D$5,2,FALSE)))),"")</f>
        <v>0.3125</v>
      </c>
      <c r="M9" s="63" t="str">
        <f>IF(IFERROR(IF(C9=C7,0,IF(E9=E8,0,IF(C9=$R$2,HLOOKUP($R$2,Ingreso!$AW$10:$BC$260,VLOOKUP(A9,Ingreso!AL:AM,2,FALSE),FALSE)/24,""))),"")=0,"",IFERROR(IF(C9=C7,0,IF(E9=E8,0,IF(C9=$R$2,HLOOKUP($R$2,Ingreso!$AW$10:$BC$260,VLOOKUP(A9,Ingreso!AL:AM,2,FALSE),FALSE)/24,""))),""))</f>
        <v/>
      </c>
      <c r="N9" s="95" t="str">
        <f>IF(IFERROR(IF(C9=C7,0,IF(E9=E8,0,IF(C9=$R$3,HLOOKUP($R$3,Ingreso!$AW$10:$BC$260,VLOOKUP(A9,Ingreso!AL:AM,2,FALSE),FALSE)/24,""))),"")=0,"",IFERROR(IF(C9=C7,0,IF(E9=E8,0,IF(C9=$R$3,HLOOKUP($R$3,Ingreso!$AW$10:$BC$260,VLOOKUP(A9,Ingreso!AL:AM,2,FALSE),FALSE)/24,""))),""))</f>
        <v/>
      </c>
      <c r="O9" s="95" t="str">
        <f>IF(IFERROR(IF(C9=C7,0,IF(E9=E8,0,IF(C9=$R$4,HLOOKUP($R$4,Ingreso!$AW$10:$BC$260,VLOOKUP(A9,Ingreso!AL:AM,2,FALSE),FALSE)/24,""))),"")=0,"",IFERROR(IF(C9=C7,0,IF(E9=E8,0,IF(C9=$R$4,HLOOKUP($R$4,Ingreso!$AW$10:$BC$260,VLOOKUP(A9,Ingreso!AL:AM,2,FALSE),FALSE)/24,""))),""))</f>
        <v/>
      </c>
      <c r="P9" s="90"/>
      <c r="V9"/>
      <c r="W9"/>
      <c r="X9" s="98" t="s">
        <v>1339</v>
      </c>
      <c r="Y9" s="62"/>
      <c r="Z9" s="62"/>
      <c r="AA9" s="62"/>
      <c r="AB9" s="62"/>
      <c r="AC9" s="62"/>
      <c r="AE9" s="62"/>
      <c r="AF9" s="62"/>
      <c r="AG9" s="62"/>
    </row>
    <row r="10" spans="1:33" ht="38.25">
      <c r="A10" s="65" t="str">
        <f>IFERROR(VLOOKUP('Informe Kelly'!A3,Base!A:B,2,FALSE),"")</f>
        <v>05.080.993-5</v>
      </c>
      <c r="B10" s="65" t="str">
        <f>IFERROR(VLOOKUP('Informe Kelly'!A3,Base!A:G,7,FALSE),"")</f>
        <v>FIGUEROA NILO CARLOS</v>
      </c>
      <c r="C10" s="69" t="str">
        <f>IF(G10=$C$4,IF('Informe Kelly'!H3='Control informe Kelly'!$A$2,TEXT(((LEFT('Informe Kelly'!E3,2)*1)+1),"dd")&amp;"."&amp;MID('Informe Kelly'!E3,4,2)&amp;"."&amp;RIGHT('Informe Kelly'!E3,4),'Informe Kelly'!E3),'Informe Kelly'!E3)</f>
        <v>11.04.2011</v>
      </c>
      <c r="D10" s="69" t="str">
        <f>IF('Informe Kelly'!E3="","",'Informe Kelly'!E3)</f>
        <v>11.04.2011</v>
      </c>
      <c r="E10" s="72">
        <f t="shared" ref="E10:E73" si="0">IF(C9=C10,IF(C10=C7,E9,IF(C10=C8,E9+1,E9)),E9+1)</f>
        <v>1</v>
      </c>
      <c r="F10" s="72" t="str">
        <f>IFERROR(HLOOKUP(C10,Ingreso!$Q$8:$AD$9,2,FALSE),"v")</f>
        <v>Lunes</v>
      </c>
      <c r="G10" s="65" t="str">
        <f>IFERROR(VLOOKUP(A10,Ingreso!K:P,6,FALSE),"no esta ingresado")</f>
        <v>Turno B</v>
      </c>
      <c r="H10" s="65">
        <f>IFERROR(IF('Informe Kelly'!H3=$A$2,'Informe Kelly'!F3,""),0)</f>
        <v>0.6005787037037037</v>
      </c>
      <c r="I10" s="65" t="str">
        <f>IFERROR(IF('Informe Kelly'!H3=$A$3,'Informe Kelly'!F3,""),0)</f>
        <v/>
      </c>
      <c r="J10" s="65" t="str">
        <f>IF(IFERROR(IF(E10=E9,0,(HLOOKUP(D10,Ingreso!$AN$10:$AT$260,VLOOKUP(A10,Ingreso!$AL$11:$AM$260,2,FALSE)))/24),0)=0,"",IFERROR(IF(E10=E9,0,(HLOOKUP(D10,Ingreso!$AN$10:$AT$260,VLOOKUP(A10,Ingreso!$AL$11:$AM$260,2,FALSE)))/24),0))</f>
        <v/>
      </c>
      <c r="K10" s="65" t="str">
        <f>IF(IFERROR(IF(E10=E9,0,(HLOOKUP(C10,Ingreso!$AW$10:$BC$260,VLOOKUP(A10,Ingreso!$AL$11:$AM$260,2,FALSE)))/24),0)=0,"",IFERROR(IF(E10=E9,0,(HLOOKUP(C10,Ingreso!$AW$10:$BC$260,VLOOKUP(A10,Ingreso!$AL$11:$AM$260,2,FALSE)))/24),0))</f>
        <v/>
      </c>
      <c r="L10" s="63">
        <f t="shared" ref="L9:L72" si="1">IFERROR(IF(C10=C8,0,IF(E10=E9,0,(VLOOKUP(G10,$C$2:$D$5,2,FALSE)))),"")</f>
        <v>0</v>
      </c>
      <c r="M10" s="63" t="str">
        <f>IF(IFERROR(IF(C10=C8,0,IF(E10=E9,0,IF(C10=$R$2,HLOOKUP($R$2,Ingreso!$AW$10:$BC$260,VLOOKUP(A10,Ingreso!AL:AM,2,FALSE),FALSE)/24,""))),"")=0,"",IFERROR(IF(C10=C8,0,IF(E10=E9,0,IF(C10=$R$2,HLOOKUP($R$2,Ingreso!$AW$10:$BC$260,VLOOKUP(A10,Ingreso!AL:AM,2,FALSE),FALSE)/24,""))),""))</f>
        <v/>
      </c>
      <c r="N10" s="95" t="str">
        <f>IF(IFERROR(IF(C10=C8,0,IF(E10=E9,0,IF(C10=$R$3,HLOOKUP($R$3,Ingreso!$AW$10:$BC$260,VLOOKUP(A10,Ingreso!AL:AM,2,FALSE),FALSE)/24,""))),"")=0,"",IFERROR(IF(C10=C8,0,IF(E10=E9,0,IF(C10=$R$3,HLOOKUP($R$3,Ingreso!$AW$10:$BC$260,VLOOKUP(A10,Ingreso!AL:AM,2,FALSE),FALSE)/24,""))),""))</f>
        <v/>
      </c>
      <c r="O10" s="95" t="str">
        <f>IF(IFERROR(IF(C10=C8,0,IF(E10=E9,0,IF(C10=$R$4,HLOOKUP($R$4,Ingreso!$AW$10:$BC$260,VLOOKUP(A10,Ingreso!AL:AM,2,FALSE),FALSE)/24,""))),"")=0,"",IFERROR(IF(C10=C8,0,IF(E10=E9,0,IF(C10=$R$4,HLOOKUP($R$4,Ingreso!$AW$10:$BC$260,VLOOKUP(A10,Ingreso!AL:AM,2,FALSE),FALSE)/24,""))),""))</f>
        <v/>
      </c>
      <c r="P10" s="90"/>
      <c r="R10" s="59" t="s">
        <v>1318</v>
      </c>
      <c r="S10" s="59" t="s">
        <v>1343</v>
      </c>
      <c r="T10" s="59" t="s">
        <v>1434</v>
      </c>
      <c r="U10" s="59" t="s">
        <v>1342</v>
      </c>
      <c r="V10" s="59" t="s">
        <v>1418</v>
      </c>
      <c r="W10" s="59" t="s">
        <v>1345</v>
      </c>
      <c r="X10" s="103" t="s">
        <v>1386</v>
      </c>
      <c r="Y10" s="100" t="s">
        <v>1346</v>
      </c>
      <c r="Z10" s="100" t="s">
        <v>1387</v>
      </c>
      <c r="AA10" s="102" t="s">
        <v>1388</v>
      </c>
      <c r="AB10" s="102" t="s">
        <v>1389</v>
      </c>
      <c r="AC10" s="104" t="s">
        <v>1390</v>
      </c>
      <c r="AD10" s="104" t="s">
        <v>1391</v>
      </c>
      <c r="AE10" s="106" t="s">
        <v>1392</v>
      </c>
      <c r="AF10" s="106" t="s">
        <v>1393</v>
      </c>
      <c r="AG10" s="106" t="s">
        <v>1394</v>
      </c>
    </row>
    <row r="11" spans="1:33" ht="12.75" customHeight="1">
      <c r="A11" s="65" t="str">
        <f>IFERROR(VLOOKUP('Informe Kelly'!A4,Base!A:B,2,FALSE),"")</f>
        <v>05.080.993-5</v>
      </c>
      <c r="B11" s="65" t="str">
        <f>IFERROR(VLOOKUP('Informe Kelly'!A4,Base!A:G,7,FALSE),"")</f>
        <v>FIGUEROA NILO CARLOS</v>
      </c>
      <c r="C11" s="69" t="str">
        <f>IF(G11=$C$4,IF('Informe Kelly'!H4='Control informe Kelly'!$A$2,TEXT(((LEFT('Informe Kelly'!E4,2)*1)+1),"dd")&amp;"."&amp;MID('Informe Kelly'!E4,4,2)&amp;"."&amp;RIGHT('Informe Kelly'!E4,4),'Informe Kelly'!E4),'Informe Kelly'!E4)</f>
        <v>12.04.2011</v>
      </c>
      <c r="D11" s="69" t="str">
        <f>IF('Informe Kelly'!E4="","",'Informe Kelly'!E4)</f>
        <v>12.04.2011</v>
      </c>
      <c r="E11" s="72">
        <f t="shared" si="0"/>
        <v>2</v>
      </c>
      <c r="F11" s="72" t="str">
        <f>IFERROR(HLOOKUP(C11,Ingreso!$Q$8:$AD$9,2,FALSE),"v")</f>
        <v>Martes</v>
      </c>
      <c r="G11" s="65" t="str">
        <f>IFERROR(VLOOKUP(A11,Ingreso!K:P,6,FALSE),"no esta ingresado")</f>
        <v>Turno B</v>
      </c>
      <c r="H11" s="65" t="str">
        <f>IFERROR(IF('Informe Kelly'!H4=$A$2,'Informe Kelly'!F4,""),0)</f>
        <v/>
      </c>
      <c r="I11" s="65">
        <f>IFERROR(IF('Informe Kelly'!H4=$A$3,'Informe Kelly'!F4,""),0)</f>
        <v>0.93682870370370364</v>
      </c>
      <c r="J11" s="65" t="str">
        <f>IF(IFERROR(IF(E11=E10,0,(HLOOKUP(D11,Ingreso!$AN$10:$AT$260,VLOOKUP(A11,Ingreso!$AL$11:$AM$260,2,FALSE)))/24),0)=0,"",IFERROR(IF(E11=E10,0,(HLOOKUP(D11,Ingreso!$AN$10:$AT$260,VLOOKUP(A11,Ingreso!$AL$11:$AM$260,2,FALSE)))/24),0))</f>
        <v/>
      </c>
      <c r="K11" s="65" t="str">
        <f>IF(IFERROR(IF(E11=E10,0,(HLOOKUP(C11,Ingreso!$AW$10:$BC$260,VLOOKUP(A11,Ingreso!$AL$11:$AM$260,2,FALSE)))/24),0)=0,"",IFERROR(IF(E11=E10,0,(HLOOKUP(C11,Ingreso!$AW$10:$BC$260,VLOOKUP(A11,Ingreso!$AL$11:$AM$260,2,FALSE)))/24),0))</f>
        <v/>
      </c>
      <c r="L11" s="63">
        <f t="shared" si="1"/>
        <v>0.3125</v>
      </c>
      <c r="M11" s="63" t="str">
        <f>IF(IFERROR(IF(C11=C9,0,IF(E11=E10,0,IF(C11=$R$2,HLOOKUP($R$2,Ingreso!$AW$10:$BC$260,VLOOKUP(A11,Ingreso!AL:AM,2,FALSE),FALSE)/24,""))),"")=0,"",IFERROR(IF(C11=C9,0,IF(E11=E10,0,IF(C11=$R$2,HLOOKUP($R$2,Ingreso!$AW$10:$BC$260,VLOOKUP(A11,Ingreso!AL:AM,2,FALSE),FALSE)/24,""))),""))</f>
        <v/>
      </c>
      <c r="N11" s="95" t="str">
        <f>IF(IFERROR(IF(C11=C9,0,IF(E11=E10,0,IF(C11=$R$3,HLOOKUP($R$3,Ingreso!$AW$10:$BC$260,VLOOKUP(A11,Ingreso!AL:AM,2,FALSE),FALSE)/24,""))),"")=0,"",IFERROR(IF(C11=C9,0,IF(E11=E10,0,IF(C11=$R$3,HLOOKUP($R$3,Ingreso!$AW$10:$BC$260,VLOOKUP(A11,Ingreso!AL:AM,2,FALSE),FALSE)/24,""))),""))</f>
        <v/>
      </c>
      <c r="O11" s="95" t="str">
        <f>IF(IFERROR(IF(C11=C9,0,IF(E11=E10,0,IF(C11=$R$4,HLOOKUP($R$4,Ingreso!$AW$10:$BC$260,VLOOKUP(A11,Ingreso!AL:AM,2,FALSE),FALSE)/24,""))),"")=0,"",IFERROR(IF(C11=C9,0,IF(E11=E10,0,IF(C11=$R$4,HLOOKUP($R$4,Ingreso!$AW$10:$BC$260,VLOOKUP(A11,Ingreso!AL:AM,2,FALSE),FALSE)/24,""))),""))</f>
        <v/>
      </c>
      <c r="P11" s="90"/>
      <c r="R11" t="s">
        <v>376</v>
      </c>
      <c r="S11" t="s">
        <v>380</v>
      </c>
      <c r="T11" t="s">
        <v>1420</v>
      </c>
      <c r="U11" t="s">
        <v>1322</v>
      </c>
      <c r="V11" t="s">
        <v>1397</v>
      </c>
      <c r="W11" s="82">
        <v>1</v>
      </c>
      <c r="X11" s="71">
        <v>0.3125</v>
      </c>
      <c r="Y11" s="101">
        <v>0.6005787037037037</v>
      </c>
      <c r="Z11" s="101">
        <v>0.93800925925925915</v>
      </c>
      <c r="AA11" s="101">
        <v>0.33743055555555546</v>
      </c>
      <c r="AB11" s="101">
        <v>2.4930555555555456E-2</v>
      </c>
      <c r="AC11" s="105">
        <v>0</v>
      </c>
      <c r="AD11" s="105">
        <v>0</v>
      </c>
      <c r="AE11" s="93">
        <v>0</v>
      </c>
      <c r="AF11" s="93">
        <v>0</v>
      </c>
      <c r="AG11" s="93">
        <v>0</v>
      </c>
    </row>
    <row r="12" spans="1:33">
      <c r="A12" s="65" t="str">
        <f>IFERROR(VLOOKUP('Informe Kelly'!A5,Base!A:B,2,FALSE),"")</f>
        <v>05.080.993-5</v>
      </c>
      <c r="B12" s="65" t="str">
        <f>IFERROR(VLOOKUP('Informe Kelly'!A5,Base!A:G,7,FALSE),"")</f>
        <v>FIGUEROA NILO CARLOS</v>
      </c>
      <c r="C12" s="69" t="str">
        <f>IF(G12=$C$4,IF('Informe Kelly'!H5='Control informe Kelly'!$A$2,TEXT(((LEFT('Informe Kelly'!E5,2)*1)+1),"dd")&amp;"."&amp;MID('Informe Kelly'!E5,4,2)&amp;"."&amp;RIGHT('Informe Kelly'!E5,4),'Informe Kelly'!E5),'Informe Kelly'!E5)</f>
        <v>12.04.2011</v>
      </c>
      <c r="D12" s="69" t="str">
        <f>IF('Informe Kelly'!E5="","",'Informe Kelly'!E5)</f>
        <v>12.04.2011</v>
      </c>
      <c r="E12" s="72">
        <f t="shared" si="0"/>
        <v>2</v>
      </c>
      <c r="F12" s="72" t="str">
        <f>IFERROR(HLOOKUP(C12,Ingreso!$Q$8:$AD$9,2,FALSE),"v")</f>
        <v>Martes</v>
      </c>
      <c r="G12" s="65" t="str">
        <f>IFERROR(VLOOKUP(A12,Ingreso!K:P,6,FALSE),"no esta ingresado")</f>
        <v>Turno B</v>
      </c>
      <c r="H12" s="65">
        <f>IFERROR(IF('Informe Kelly'!H5=$A$2,'Informe Kelly'!F5,""),0)</f>
        <v>0.59415509259259258</v>
      </c>
      <c r="I12" s="65" t="str">
        <f>IFERROR(IF('Informe Kelly'!H5=$A$3,'Informe Kelly'!F5,""),0)</f>
        <v/>
      </c>
      <c r="J12" s="65" t="str">
        <f>IF(IFERROR(IF(E12=E11,0,(HLOOKUP(D12,Ingreso!$AN$10:$AT$260,VLOOKUP(A12,Ingreso!$AL$11:$AM$260,2,FALSE)))/24),0)=0,"",IFERROR(IF(E12=E11,0,(HLOOKUP(D12,Ingreso!$AN$10:$AT$260,VLOOKUP(A12,Ingreso!$AL$11:$AM$260,2,FALSE)))/24),0))</f>
        <v/>
      </c>
      <c r="K12" s="65" t="str">
        <f>IF(IFERROR(IF(E12=E11,0,(HLOOKUP(C12,Ingreso!$AW$10:$BC$260,VLOOKUP(A12,Ingreso!$AL$11:$AM$260,2,FALSE)))/24),0)=0,"",IFERROR(IF(E12=E11,0,(HLOOKUP(C12,Ingreso!$AW$10:$BC$260,VLOOKUP(A12,Ingreso!$AL$11:$AM$260,2,FALSE)))/24),0))</f>
        <v/>
      </c>
      <c r="L12" s="63">
        <f t="shared" si="1"/>
        <v>0</v>
      </c>
      <c r="M12" s="63" t="str">
        <f>IF(IFERROR(IF(C12=C10,0,IF(E12=E11,0,IF(C12=$R$2,HLOOKUP($R$2,Ingreso!$AW$10:$BC$260,VLOOKUP(A12,Ingreso!AL:AM,2,FALSE),FALSE)/24,""))),"")=0,"",IFERROR(IF(C12=C10,0,IF(E12=E11,0,IF(C12=$R$2,HLOOKUP($R$2,Ingreso!$AW$10:$BC$260,VLOOKUP(A12,Ingreso!AL:AM,2,FALSE),FALSE)/24,""))),""))</f>
        <v/>
      </c>
      <c r="N12" s="95" t="str">
        <f>IF(IFERROR(IF(C12=C10,0,IF(E12=E11,0,IF(C12=$R$3,HLOOKUP($R$3,Ingreso!$AW$10:$BC$260,VLOOKUP(A12,Ingreso!AL:AM,2,FALSE),FALSE)/24,""))),"")=0,"",IFERROR(IF(C12=C10,0,IF(E12=E11,0,IF(C12=$R$3,HLOOKUP($R$3,Ingreso!$AW$10:$BC$260,VLOOKUP(A12,Ingreso!AL:AM,2,FALSE),FALSE)/24,""))),""))</f>
        <v/>
      </c>
      <c r="O12" s="95" t="str">
        <f>IF(IFERROR(IF(C12=C10,0,IF(E12=E11,0,IF(C12=$R$4,HLOOKUP($R$4,Ingreso!$AW$10:$BC$260,VLOOKUP(A12,Ingreso!AL:AM,2,FALSE),FALSE)/24,""))),"")=0,"",IFERROR(IF(C12=C10,0,IF(E12=E11,0,IF(C12=$R$4,HLOOKUP($R$4,Ingreso!$AW$10:$BC$260,VLOOKUP(A12,Ingreso!AL:AM,2,FALSE),FALSE)/24,""))),""))</f>
        <v/>
      </c>
      <c r="P12" s="90"/>
      <c r="T12" t="s">
        <v>1423</v>
      </c>
      <c r="U12" t="s">
        <v>1322</v>
      </c>
      <c r="V12" t="s">
        <v>1398</v>
      </c>
      <c r="W12" s="82">
        <v>2</v>
      </c>
      <c r="X12" s="71">
        <v>0.3125</v>
      </c>
      <c r="Y12" s="101">
        <v>0.59415509259259258</v>
      </c>
      <c r="Z12" s="101">
        <v>0.93682870370370364</v>
      </c>
      <c r="AA12" s="101">
        <v>0.34267361111111105</v>
      </c>
      <c r="AB12" s="101">
        <v>3.0173611111111054E-2</v>
      </c>
      <c r="AC12" s="105">
        <v>0</v>
      </c>
      <c r="AD12" s="105">
        <v>0</v>
      </c>
      <c r="AE12" s="93">
        <v>0</v>
      </c>
      <c r="AF12" s="93">
        <v>0</v>
      </c>
      <c r="AG12" s="93">
        <v>0</v>
      </c>
    </row>
    <row r="13" spans="1:33">
      <c r="A13" s="65" t="str">
        <f>IFERROR(VLOOKUP('Informe Kelly'!A6,Base!A:B,2,FALSE),"")</f>
        <v>05.080.993-5</v>
      </c>
      <c r="B13" s="65" t="str">
        <f>IFERROR(VLOOKUP('Informe Kelly'!A6,Base!A:G,7,FALSE),"")</f>
        <v>FIGUEROA NILO CARLOS</v>
      </c>
      <c r="C13" s="69" t="str">
        <f>IF(G13=$C$4,IF('Informe Kelly'!H6='Control informe Kelly'!$A$2,TEXT(((LEFT('Informe Kelly'!E6,2)*1)+1),"dd")&amp;"."&amp;MID('Informe Kelly'!E6,4,2)&amp;"."&amp;RIGHT('Informe Kelly'!E6,4),'Informe Kelly'!E6),'Informe Kelly'!E6)</f>
        <v>13.04.2011</v>
      </c>
      <c r="D13" s="69" t="str">
        <f>IF('Informe Kelly'!E6="","",'Informe Kelly'!E6)</f>
        <v>13.04.2011</v>
      </c>
      <c r="E13" s="72">
        <f t="shared" si="0"/>
        <v>3</v>
      </c>
      <c r="F13" s="72" t="str">
        <f>IFERROR(HLOOKUP(C13,Ingreso!$Q$8:$AD$9,2,FALSE),"v")</f>
        <v>Miércoles</v>
      </c>
      <c r="G13" s="65" t="str">
        <f>IFERROR(VLOOKUP(A13,Ingreso!K:P,6,FALSE),"no esta ingresado")</f>
        <v>Turno B</v>
      </c>
      <c r="H13" s="65" t="str">
        <f>IFERROR(IF('Informe Kelly'!H6=$A$2,'Informe Kelly'!F6,""),0)</f>
        <v/>
      </c>
      <c r="I13" s="65">
        <f>IFERROR(IF('Informe Kelly'!H6=$A$3,'Informe Kelly'!F6,""),0)</f>
        <v>0.85018518518518515</v>
      </c>
      <c r="J13" s="65" t="str">
        <f>IF(IFERROR(IF(E13=E12,0,(HLOOKUP(D13,Ingreso!$AN$10:$AT$260,VLOOKUP(A13,Ingreso!$AL$11:$AM$260,2,FALSE)))/24),0)=0,"",IFERROR(IF(E13=E12,0,(HLOOKUP(D13,Ingreso!$AN$10:$AT$260,VLOOKUP(A13,Ingreso!$AL$11:$AM$260,2,FALSE)))/24),0))</f>
        <v/>
      </c>
      <c r="K13" s="65" t="str">
        <f>IF(IFERROR(IF(E13=E12,0,(HLOOKUP(C13,Ingreso!$AW$10:$BC$260,VLOOKUP(A13,Ingreso!$AL$11:$AM$260,2,FALSE)))/24),0)=0,"",IFERROR(IF(E13=E12,0,(HLOOKUP(C13,Ingreso!$AW$10:$BC$260,VLOOKUP(A13,Ingreso!$AL$11:$AM$260,2,FALSE)))/24),0))</f>
        <v/>
      </c>
      <c r="L13" s="63">
        <f t="shared" si="1"/>
        <v>0.3125</v>
      </c>
      <c r="M13" s="63" t="str">
        <f>IF(IFERROR(IF(C13=C11,0,IF(E13=E12,0,IF(C13=$R$2,HLOOKUP($R$2,Ingreso!$AW$10:$BC$260,VLOOKUP(A13,Ingreso!AL:AM,2,FALSE),FALSE)/24,""))),"")=0,"",IFERROR(IF(C13=C11,0,IF(E13=E12,0,IF(C13=$R$2,HLOOKUP($R$2,Ingreso!$AW$10:$BC$260,VLOOKUP(A13,Ingreso!AL:AM,2,FALSE),FALSE)/24,""))),""))</f>
        <v/>
      </c>
      <c r="N13" s="95" t="str">
        <f>IF(IFERROR(IF(C13=C11,0,IF(E13=E12,0,IF(C13=$R$3,HLOOKUP($R$3,Ingreso!$AW$10:$BC$260,VLOOKUP(A13,Ingreso!AL:AM,2,FALSE),FALSE)/24,""))),"")=0,"",IFERROR(IF(C13=C11,0,IF(E13=E12,0,IF(C13=$R$3,HLOOKUP($R$3,Ingreso!$AW$10:$BC$260,VLOOKUP(A13,Ingreso!AL:AM,2,FALSE),FALSE)/24,""))),""))</f>
        <v/>
      </c>
      <c r="O13" s="95" t="str">
        <f>IF(IFERROR(IF(C13=C11,0,IF(E13=E12,0,IF(C13=$R$4,HLOOKUP($R$4,Ingreso!$AW$10:$BC$260,VLOOKUP(A13,Ingreso!AL:AM,2,FALSE),FALSE)/24,""))),"")=0,"",IFERROR(IF(C13=C11,0,IF(E13=E12,0,IF(C13=$R$4,HLOOKUP($R$4,Ingreso!$AW$10:$BC$260,VLOOKUP(A13,Ingreso!AL:AM,2,FALSE),FALSE)/24,""))),""))</f>
        <v/>
      </c>
      <c r="P13" s="90"/>
      <c r="T13" t="s">
        <v>1424</v>
      </c>
      <c r="U13" t="s">
        <v>1322</v>
      </c>
      <c r="V13" t="s">
        <v>1399</v>
      </c>
      <c r="W13" s="82">
        <v>3</v>
      </c>
      <c r="X13" s="71">
        <v>0.3125</v>
      </c>
      <c r="Y13" s="101">
        <v>0.60032407407407407</v>
      </c>
      <c r="Z13" s="101">
        <v>0.85018518518518515</v>
      </c>
      <c r="AA13" s="101">
        <v>0.24986111111111109</v>
      </c>
      <c r="AB13" s="101">
        <v>-6.2638888888888911E-2</v>
      </c>
      <c r="AC13" s="105">
        <v>0</v>
      </c>
      <c r="AD13" s="105">
        <v>0</v>
      </c>
      <c r="AE13" s="93">
        <v>0</v>
      </c>
      <c r="AF13" s="93">
        <v>0</v>
      </c>
      <c r="AG13" s="93">
        <v>0</v>
      </c>
    </row>
    <row r="14" spans="1:33">
      <c r="A14" s="65" t="str">
        <f>IFERROR(VLOOKUP('Informe Kelly'!A7,Base!A:B,2,FALSE),"")</f>
        <v>05.080.993-5</v>
      </c>
      <c r="B14" s="65" t="str">
        <f>IFERROR(VLOOKUP('Informe Kelly'!A7,Base!A:G,7,FALSE),"")</f>
        <v>FIGUEROA NILO CARLOS</v>
      </c>
      <c r="C14" s="69" t="str">
        <f>IF(G14=$C$4,IF('Informe Kelly'!H7='Control informe Kelly'!$A$2,TEXT(((LEFT('Informe Kelly'!E7,2)*1)+1),"dd")&amp;"."&amp;MID('Informe Kelly'!E7,4,2)&amp;"."&amp;RIGHT('Informe Kelly'!E7,4),'Informe Kelly'!E7),'Informe Kelly'!E7)</f>
        <v>13.04.2011</v>
      </c>
      <c r="D14" s="69" t="str">
        <f>IF('Informe Kelly'!E7="","",'Informe Kelly'!E7)</f>
        <v>13.04.2011</v>
      </c>
      <c r="E14" s="72">
        <f t="shared" si="0"/>
        <v>3</v>
      </c>
      <c r="F14" s="72" t="str">
        <f>IFERROR(HLOOKUP(C14,Ingreso!$Q$8:$AD$9,2,FALSE),"v")</f>
        <v>Miércoles</v>
      </c>
      <c r="G14" s="65" t="str">
        <f>IFERROR(VLOOKUP(A14,Ingreso!K:P,6,FALSE),"no esta ingresado")</f>
        <v>Turno B</v>
      </c>
      <c r="H14" s="65">
        <f>IFERROR(IF('Informe Kelly'!H7=$A$2,'Informe Kelly'!F7,""),0)</f>
        <v>0.60032407407407407</v>
      </c>
      <c r="I14" s="65" t="str">
        <f>IFERROR(IF('Informe Kelly'!H7=$A$3,'Informe Kelly'!F7,""),0)</f>
        <v/>
      </c>
      <c r="J14" s="65" t="str">
        <f>IF(IFERROR(IF(E14=E13,0,(HLOOKUP(D14,Ingreso!$AN$10:$AT$260,VLOOKUP(A14,Ingreso!$AL$11:$AM$260,2,FALSE)))/24),0)=0,"",IFERROR(IF(E14=E13,0,(HLOOKUP(D14,Ingreso!$AN$10:$AT$260,VLOOKUP(A14,Ingreso!$AL$11:$AM$260,2,FALSE)))/24),0))</f>
        <v/>
      </c>
      <c r="K14" s="65" t="str">
        <f>IF(IFERROR(IF(E14=E13,0,(HLOOKUP(C14,Ingreso!$AW$10:$BC$260,VLOOKUP(A14,Ingreso!$AL$11:$AM$260,2,FALSE)))/24),0)=0,"",IFERROR(IF(E14=E13,0,(HLOOKUP(C14,Ingreso!$AW$10:$BC$260,VLOOKUP(A14,Ingreso!$AL$11:$AM$260,2,FALSE)))/24),0))</f>
        <v/>
      </c>
      <c r="L14" s="63">
        <f t="shared" si="1"/>
        <v>0</v>
      </c>
      <c r="M14" s="63" t="str">
        <f>IF(IFERROR(IF(C14=C12,0,IF(E14=E13,0,IF(C14=$R$2,HLOOKUP($R$2,Ingreso!$AW$10:$BC$260,VLOOKUP(A14,Ingreso!AL:AM,2,FALSE),FALSE)/24,""))),"")=0,"",IFERROR(IF(C14=C12,0,IF(E14=E13,0,IF(C14=$R$2,HLOOKUP($R$2,Ingreso!$AW$10:$BC$260,VLOOKUP(A14,Ingreso!AL:AM,2,FALSE),FALSE)/24,""))),""))</f>
        <v/>
      </c>
      <c r="N14" s="95" t="str">
        <f>IF(IFERROR(IF(C14=C12,0,IF(E14=E13,0,IF(C14=$R$3,HLOOKUP($R$3,Ingreso!$AW$10:$BC$260,VLOOKUP(A14,Ingreso!AL:AM,2,FALSE),FALSE)/24,""))),"")=0,"",IFERROR(IF(C14=C12,0,IF(E14=E13,0,IF(C14=$R$3,HLOOKUP($R$3,Ingreso!$AW$10:$BC$260,VLOOKUP(A14,Ingreso!AL:AM,2,FALSE),FALSE)/24,""))),""))</f>
        <v/>
      </c>
      <c r="O14" s="95" t="str">
        <f>IF(IFERROR(IF(C14=C12,0,IF(E14=E13,0,IF(C14=$R$4,HLOOKUP($R$4,Ingreso!$AW$10:$BC$260,VLOOKUP(A14,Ingreso!AL:AM,2,FALSE),FALSE)/24,""))),"")=0,"",IFERROR(IF(C14=C12,0,IF(E14=E13,0,IF(C14=$R$4,HLOOKUP($R$4,Ingreso!$AW$10:$BC$260,VLOOKUP(A14,Ingreso!AL:AM,2,FALSE),FALSE)/24,""))),""))</f>
        <v/>
      </c>
      <c r="P14" s="90"/>
      <c r="T14" t="s">
        <v>1425</v>
      </c>
      <c r="U14" t="s">
        <v>1322</v>
      </c>
      <c r="V14" t="s">
        <v>1400</v>
      </c>
      <c r="W14" s="82">
        <v>4</v>
      </c>
      <c r="X14" s="71">
        <v>0.3125</v>
      </c>
      <c r="Y14" s="101">
        <v>0.60040509259259256</v>
      </c>
      <c r="Z14" s="101">
        <v>0.93754629629629627</v>
      </c>
      <c r="AA14" s="101">
        <v>0.33714120370370371</v>
      </c>
      <c r="AB14" s="101">
        <v>2.4641203703703707E-2</v>
      </c>
      <c r="AC14" s="105">
        <v>0</v>
      </c>
      <c r="AD14" s="105">
        <v>0</v>
      </c>
      <c r="AE14" s="93">
        <v>0</v>
      </c>
      <c r="AF14" s="93">
        <v>0</v>
      </c>
      <c r="AG14" s="93">
        <v>0</v>
      </c>
    </row>
    <row r="15" spans="1:33">
      <c r="A15" s="65" t="str">
        <f>IFERROR(VLOOKUP('Informe Kelly'!A8,Base!A:B,2,FALSE),"")</f>
        <v>05.080.993-5</v>
      </c>
      <c r="B15" s="65" t="str">
        <f>IFERROR(VLOOKUP('Informe Kelly'!A8,Base!A:G,7,FALSE),"")</f>
        <v>FIGUEROA NILO CARLOS</v>
      </c>
      <c r="C15" s="69" t="str">
        <f>IF(G15=$C$4,IF('Informe Kelly'!H8='Control informe Kelly'!$A$2,TEXT(((LEFT('Informe Kelly'!E8,2)*1)+1),"dd")&amp;"."&amp;MID('Informe Kelly'!E8,4,2)&amp;"."&amp;RIGHT('Informe Kelly'!E8,4),'Informe Kelly'!E8),'Informe Kelly'!E8)</f>
        <v>14.04.2011</v>
      </c>
      <c r="D15" s="69" t="str">
        <f>IF('Informe Kelly'!E8="","",'Informe Kelly'!E8)</f>
        <v>14.04.2011</v>
      </c>
      <c r="E15" s="72">
        <f t="shared" si="0"/>
        <v>4</v>
      </c>
      <c r="F15" s="72" t="str">
        <f>IFERROR(HLOOKUP(C15,Ingreso!$Q$8:$AD$9,2,FALSE),"v")</f>
        <v>Jueves</v>
      </c>
      <c r="G15" s="65" t="str">
        <f>IFERROR(VLOOKUP(A15,Ingreso!K:P,6,FALSE),"no esta ingresado")</f>
        <v>Turno B</v>
      </c>
      <c r="H15" s="65" t="str">
        <f>IFERROR(IF('Informe Kelly'!H8=$A$2,'Informe Kelly'!F8,""),0)</f>
        <v/>
      </c>
      <c r="I15" s="65">
        <f>IFERROR(IF('Informe Kelly'!H8=$A$3,'Informe Kelly'!F8,""),0)</f>
        <v>0.93754629629629627</v>
      </c>
      <c r="J15" s="65" t="str">
        <f>IF(IFERROR(IF(E15=E14,0,(HLOOKUP(D15,Ingreso!$AN$10:$AT$260,VLOOKUP(A15,Ingreso!$AL$11:$AM$260,2,FALSE)))/24),0)=0,"",IFERROR(IF(E15=E14,0,(HLOOKUP(D15,Ingreso!$AN$10:$AT$260,VLOOKUP(A15,Ingreso!$AL$11:$AM$260,2,FALSE)))/24),0))</f>
        <v/>
      </c>
      <c r="K15" s="65" t="str">
        <f>IF(IFERROR(IF(E15=E14,0,(HLOOKUP(C15,Ingreso!$AW$10:$BC$260,VLOOKUP(A15,Ingreso!$AL$11:$AM$260,2,FALSE)))/24),0)=0,"",IFERROR(IF(E15=E14,0,(HLOOKUP(C15,Ingreso!$AW$10:$BC$260,VLOOKUP(A15,Ingreso!$AL$11:$AM$260,2,FALSE)))/24),0))</f>
        <v/>
      </c>
      <c r="L15" s="63">
        <f t="shared" si="1"/>
        <v>0.3125</v>
      </c>
      <c r="M15" s="63" t="str">
        <f>IF(IFERROR(IF(C15=C13,0,IF(E15=E14,0,IF(C15=$R$2,HLOOKUP($R$2,Ingreso!$AW$10:$BC$260,VLOOKUP(A15,Ingreso!AL:AM,2,FALSE),FALSE)/24,""))),"")=0,"",IFERROR(IF(C15=C13,0,IF(E15=E14,0,IF(C15=$R$2,HLOOKUP($R$2,Ingreso!$AW$10:$BC$260,VLOOKUP(A15,Ingreso!AL:AM,2,FALSE),FALSE)/24,""))),""))</f>
        <v/>
      </c>
      <c r="N15" s="95" t="str">
        <f>IF(IFERROR(IF(C15=C13,0,IF(E15=E14,0,IF(C15=$R$3,HLOOKUP($R$3,Ingreso!$AW$10:$BC$260,VLOOKUP(A15,Ingreso!AL:AM,2,FALSE),FALSE)/24,""))),"")=0,"",IFERROR(IF(C15=C13,0,IF(E15=E14,0,IF(C15=$R$3,HLOOKUP($R$3,Ingreso!$AW$10:$BC$260,VLOOKUP(A15,Ingreso!AL:AM,2,FALSE),FALSE)/24,""))),""))</f>
        <v/>
      </c>
      <c r="O15" s="95" t="str">
        <f>IF(IFERROR(IF(C15=C13,0,IF(E15=E14,0,IF(C15=$R$4,HLOOKUP($R$4,Ingreso!$AW$10:$BC$260,VLOOKUP(A15,Ingreso!AL:AM,2,FALSE),FALSE)/24,""))),"")=0,"",IFERROR(IF(C15=C13,0,IF(E15=E14,0,IF(C15=$R$4,HLOOKUP($R$4,Ingreso!$AW$10:$BC$260,VLOOKUP(A15,Ingreso!AL:AM,2,FALSE),FALSE)/24,""))),""))</f>
        <v/>
      </c>
      <c r="P15" s="90"/>
      <c r="T15" t="s">
        <v>1426</v>
      </c>
      <c r="U15" t="s">
        <v>1322</v>
      </c>
      <c r="V15" t="s">
        <v>1401</v>
      </c>
      <c r="W15" s="82">
        <v>5</v>
      </c>
      <c r="X15" s="71">
        <v>0.3125</v>
      </c>
      <c r="Y15" s="101">
        <v>0.62310185185185185</v>
      </c>
      <c r="Z15" s="101">
        <v>0.93752314814814808</v>
      </c>
      <c r="AA15" s="101">
        <v>0.31442129629629623</v>
      </c>
      <c r="AB15" s="101">
        <v>1.9212962962962266E-3</v>
      </c>
      <c r="AC15" s="105">
        <v>0</v>
      </c>
      <c r="AD15" s="105">
        <v>0</v>
      </c>
      <c r="AE15" s="93">
        <v>0</v>
      </c>
      <c r="AF15" s="93">
        <v>0</v>
      </c>
      <c r="AG15" s="93">
        <v>0</v>
      </c>
    </row>
    <row r="16" spans="1:33">
      <c r="A16" s="65" t="str">
        <f>IFERROR(VLOOKUP('Informe Kelly'!A9,Base!A:B,2,FALSE),"")</f>
        <v>05.080.993-5</v>
      </c>
      <c r="B16" s="65" t="str">
        <f>IFERROR(VLOOKUP('Informe Kelly'!A9,Base!A:G,7,FALSE),"")</f>
        <v>FIGUEROA NILO CARLOS</v>
      </c>
      <c r="C16" s="69" t="str">
        <f>IF(G16=$C$4,IF('Informe Kelly'!H9='Control informe Kelly'!$A$2,TEXT(((LEFT('Informe Kelly'!E9,2)*1)+1),"dd")&amp;"."&amp;MID('Informe Kelly'!E9,4,2)&amp;"."&amp;RIGHT('Informe Kelly'!E9,4),'Informe Kelly'!E9),'Informe Kelly'!E9)</f>
        <v>14.04.2011</v>
      </c>
      <c r="D16" s="69" t="str">
        <f>IF('Informe Kelly'!E9="","",'Informe Kelly'!E9)</f>
        <v>14.04.2011</v>
      </c>
      <c r="E16" s="72">
        <f t="shared" si="0"/>
        <v>4</v>
      </c>
      <c r="F16" s="72" t="str">
        <f>IFERROR(HLOOKUP(C16,Ingreso!$Q$8:$AD$9,2,FALSE),"v")</f>
        <v>Jueves</v>
      </c>
      <c r="G16" s="65" t="str">
        <f>IFERROR(VLOOKUP(A16,Ingreso!K:P,6,FALSE),"no esta ingresado")</f>
        <v>Turno B</v>
      </c>
      <c r="H16" s="65">
        <f>IFERROR(IF('Informe Kelly'!H9=$A$2,'Informe Kelly'!F9,""),0)</f>
        <v>0.60040509259259256</v>
      </c>
      <c r="I16" s="65" t="str">
        <f>IFERROR(IF('Informe Kelly'!H9=$A$3,'Informe Kelly'!F9,""),0)</f>
        <v/>
      </c>
      <c r="J16" s="65" t="str">
        <f>IF(IFERROR(IF(E16=E15,0,(HLOOKUP(D16,Ingreso!$AN$10:$AT$260,VLOOKUP(A16,Ingreso!$AL$11:$AM$260,2,FALSE)))/24),0)=0,"",IFERROR(IF(E16=E15,0,(HLOOKUP(D16,Ingreso!$AN$10:$AT$260,VLOOKUP(A16,Ingreso!$AL$11:$AM$260,2,FALSE)))/24),0))</f>
        <v/>
      </c>
      <c r="K16" s="65" t="str">
        <f>IF(IFERROR(IF(E16=E15,0,(HLOOKUP(C16,Ingreso!$AW$10:$BC$260,VLOOKUP(A16,Ingreso!$AL$11:$AM$260,2,FALSE)))/24),0)=0,"",IFERROR(IF(E16=E15,0,(HLOOKUP(C16,Ingreso!$AW$10:$BC$260,VLOOKUP(A16,Ingreso!$AL$11:$AM$260,2,FALSE)))/24),0))</f>
        <v/>
      </c>
      <c r="L16" s="63">
        <f t="shared" si="1"/>
        <v>0</v>
      </c>
      <c r="M16" s="63" t="str">
        <f>IF(IFERROR(IF(C16=C14,0,IF(E16=E15,0,IF(C16=$R$2,HLOOKUP($R$2,Ingreso!$AW$10:$BC$260,VLOOKUP(A16,Ingreso!AL:AM,2,FALSE),FALSE)/24,""))),"")=0,"",IFERROR(IF(C16=C14,0,IF(E16=E15,0,IF(C16=$R$2,HLOOKUP($R$2,Ingreso!$AW$10:$BC$260,VLOOKUP(A16,Ingreso!AL:AM,2,FALSE),FALSE)/24,""))),""))</f>
        <v/>
      </c>
      <c r="N16" s="95" t="str">
        <f>IF(IFERROR(IF(C16=C14,0,IF(E16=E15,0,IF(C16=$R$3,HLOOKUP($R$3,Ingreso!$AW$10:$BC$260,VLOOKUP(A16,Ingreso!AL:AM,2,FALSE),FALSE)/24,""))),"")=0,"",IFERROR(IF(C16=C14,0,IF(E16=E15,0,IF(C16=$R$3,HLOOKUP($R$3,Ingreso!$AW$10:$BC$260,VLOOKUP(A16,Ingreso!AL:AM,2,FALSE),FALSE)/24,""))),""))</f>
        <v/>
      </c>
      <c r="O16" s="95" t="str">
        <f>IF(IFERROR(IF(C16=C14,0,IF(E16=E15,0,IF(C16=$R$4,HLOOKUP($R$4,Ingreso!$AW$10:$BC$260,VLOOKUP(A16,Ingreso!AL:AM,2,FALSE),FALSE)/24,""))),"")=0,"",IFERROR(IF(C16=C14,0,IF(E16=E15,0,IF(C16=$R$4,HLOOKUP($R$4,Ingreso!$AW$10:$BC$260,VLOOKUP(A16,Ingreso!AL:AM,2,FALSE),FALSE)/24,""))),""))</f>
        <v/>
      </c>
      <c r="P16" s="90"/>
      <c r="T16" t="s">
        <v>1427</v>
      </c>
      <c r="U16" t="s">
        <v>1322</v>
      </c>
      <c r="V16" t="s">
        <v>1402</v>
      </c>
      <c r="W16" s="82">
        <v>6</v>
      </c>
      <c r="X16" s="71">
        <v>0.3125</v>
      </c>
      <c r="Y16" s="101">
        <v>0.59476851851851853</v>
      </c>
      <c r="Z16" s="101">
        <v>0.93815972222222221</v>
      </c>
      <c r="AA16" s="101">
        <v>0.34339120370370368</v>
      </c>
      <c r="AB16" s="101">
        <v>3.0891203703703685E-2</v>
      </c>
      <c r="AC16" s="105">
        <v>0</v>
      </c>
      <c r="AD16" s="105">
        <v>0</v>
      </c>
      <c r="AE16" s="93">
        <v>0</v>
      </c>
      <c r="AF16" s="93">
        <v>0</v>
      </c>
      <c r="AG16" s="93">
        <v>0</v>
      </c>
    </row>
    <row r="17" spans="1:33">
      <c r="A17" s="65" t="str">
        <f>IFERROR(VLOOKUP('Informe Kelly'!A10,Base!A:B,2,FALSE),"")</f>
        <v>05.080.993-5</v>
      </c>
      <c r="B17" s="65" t="str">
        <f>IFERROR(VLOOKUP('Informe Kelly'!A10,Base!A:G,7,FALSE),"")</f>
        <v>FIGUEROA NILO CARLOS</v>
      </c>
      <c r="C17" s="69" t="str">
        <f>IF(G17=$C$4,IF('Informe Kelly'!H10='Control informe Kelly'!$A$2,TEXT(((LEFT('Informe Kelly'!E10,2)*1)+1),"dd")&amp;"."&amp;MID('Informe Kelly'!E10,4,2)&amp;"."&amp;RIGHT('Informe Kelly'!E10,4),'Informe Kelly'!E10),'Informe Kelly'!E10)</f>
        <v>15.04.2011</v>
      </c>
      <c r="D17" s="69" t="str">
        <f>IF('Informe Kelly'!E10="","",'Informe Kelly'!E10)</f>
        <v>15.04.2011</v>
      </c>
      <c r="E17" s="72">
        <f t="shared" si="0"/>
        <v>5</v>
      </c>
      <c r="F17" s="72" t="str">
        <f>IFERROR(HLOOKUP(C17,Ingreso!$Q$8:$AD$9,2,FALSE),"v")</f>
        <v>Viernes</v>
      </c>
      <c r="G17" s="65" t="str">
        <f>IFERROR(VLOOKUP(A17,Ingreso!K:P,6,FALSE),"no esta ingresado")</f>
        <v>Turno B</v>
      </c>
      <c r="H17" s="65" t="str">
        <f>IFERROR(IF('Informe Kelly'!H10=$A$2,'Informe Kelly'!F10,""),0)</f>
        <v/>
      </c>
      <c r="I17" s="65">
        <f>IFERROR(IF('Informe Kelly'!H10=$A$3,'Informe Kelly'!F10,""),0)</f>
        <v>0.93752314814814808</v>
      </c>
      <c r="J17" s="65" t="str">
        <f>IF(IFERROR(IF(E17=E16,0,(HLOOKUP(D17,Ingreso!$AN$10:$AT$260,VLOOKUP(A17,Ingreso!$AL$11:$AM$260,2,FALSE)))/24),0)=0,"",IFERROR(IF(E17=E16,0,(HLOOKUP(D17,Ingreso!$AN$10:$AT$260,VLOOKUP(A17,Ingreso!$AL$11:$AM$260,2,FALSE)))/24),0))</f>
        <v/>
      </c>
      <c r="K17" s="65" t="str">
        <f>IF(IFERROR(IF(E17=E16,0,(HLOOKUP(C17,Ingreso!$AW$10:$BC$260,VLOOKUP(A17,Ingreso!$AL$11:$AM$260,2,FALSE)))/24),0)=0,"",IFERROR(IF(E17=E16,0,(HLOOKUP(C17,Ingreso!$AW$10:$BC$260,VLOOKUP(A17,Ingreso!$AL$11:$AM$260,2,FALSE)))/24),0))</f>
        <v/>
      </c>
      <c r="L17" s="63">
        <f t="shared" si="1"/>
        <v>0.3125</v>
      </c>
      <c r="M17" s="63" t="str">
        <f>IF(IFERROR(IF(C17=C15,0,IF(E17=E16,0,IF(C17=$R$2,HLOOKUP($R$2,Ingreso!$AW$10:$BC$260,VLOOKUP(A17,Ingreso!AL:AM,2,FALSE),FALSE)/24,""))),"")=0,"",IFERROR(IF(C17=C15,0,IF(E17=E16,0,IF(C17=$R$2,HLOOKUP($R$2,Ingreso!$AW$10:$BC$260,VLOOKUP(A17,Ingreso!AL:AM,2,FALSE),FALSE)/24,""))),""))</f>
        <v/>
      </c>
      <c r="N17" s="95" t="str">
        <f>IF(IFERROR(IF(C17=C15,0,IF(E17=E16,0,IF(C17=$R$3,HLOOKUP($R$3,Ingreso!$AW$10:$BC$260,VLOOKUP(A17,Ingreso!AL:AM,2,FALSE),FALSE)/24,""))),"")=0,"",IFERROR(IF(C17=C15,0,IF(E17=E16,0,IF(C17=$R$3,HLOOKUP($R$3,Ingreso!$AW$10:$BC$260,VLOOKUP(A17,Ingreso!AL:AM,2,FALSE),FALSE)/24,""))),""))</f>
        <v/>
      </c>
      <c r="O17" s="95" t="str">
        <f>IF(IFERROR(IF(C17=C15,0,IF(E17=E16,0,IF(C17=$R$4,HLOOKUP($R$4,Ingreso!$AW$10:$BC$260,VLOOKUP(A17,Ingreso!AL:AM,2,FALSE),FALSE)/24,""))),"")=0,"",IFERROR(IF(C17=C15,0,IF(E17=E16,0,IF(C17=$R$4,HLOOKUP($R$4,Ingreso!$AW$10:$BC$260,VLOOKUP(A17,Ingreso!AL:AM,2,FALSE),FALSE)/24,""))),""))</f>
        <v/>
      </c>
      <c r="P17" s="90"/>
      <c r="R17" t="s">
        <v>337</v>
      </c>
      <c r="S17" t="s">
        <v>341</v>
      </c>
      <c r="T17" t="s">
        <v>1420</v>
      </c>
      <c r="U17" t="s">
        <v>1338</v>
      </c>
      <c r="V17" t="s">
        <v>1397</v>
      </c>
      <c r="W17" s="82">
        <v>7</v>
      </c>
      <c r="X17" s="71">
        <v>0.41666666666666669</v>
      </c>
      <c r="Y17" s="101">
        <v>0.28668981481481481</v>
      </c>
      <c r="Z17" s="101">
        <v>0.72828703703703701</v>
      </c>
      <c r="AA17" s="101">
        <v>0.4415972222222222</v>
      </c>
      <c r="AB17" s="101">
        <v>2.4930555555555511E-2</v>
      </c>
      <c r="AC17" s="105">
        <v>0</v>
      </c>
      <c r="AD17" s="105">
        <v>0</v>
      </c>
      <c r="AE17" s="93">
        <v>0</v>
      </c>
      <c r="AF17" s="93">
        <v>0</v>
      </c>
      <c r="AG17" s="93">
        <v>0</v>
      </c>
    </row>
    <row r="18" spans="1:33">
      <c r="A18" s="65" t="str">
        <f>IFERROR(VLOOKUP('Informe Kelly'!A11,Base!A:B,2,FALSE),"")</f>
        <v>05.080.993-5</v>
      </c>
      <c r="B18" s="65" t="str">
        <f>IFERROR(VLOOKUP('Informe Kelly'!A11,Base!A:G,7,FALSE),"")</f>
        <v>FIGUEROA NILO CARLOS</v>
      </c>
      <c r="C18" s="69" t="str">
        <f>IF(G18=$C$4,IF('Informe Kelly'!H11='Control informe Kelly'!$A$2,TEXT(((LEFT('Informe Kelly'!E11,2)*1)+1),"dd")&amp;"."&amp;MID('Informe Kelly'!E11,4,2)&amp;"."&amp;RIGHT('Informe Kelly'!E11,4),'Informe Kelly'!E11),'Informe Kelly'!E11)</f>
        <v>15.04.2011</v>
      </c>
      <c r="D18" s="69" t="str">
        <f>IF('Informe Kelly'!E11="","",'Informe Kelly'!E11)</f>
        <v>15.04.2011</v>
      </c>
      <c r="E18" s="72">
        <f t="shared" si="0"/>
        <v>5</v>
      </c>
      <c r="F18" s="72" t="str">
        <f>IFERROR(HLOOKUP(C18,Ingreso!$Q$8:$AD$9,2,FALSE),"v")</f>
        <v>Viernes</v>
      </c>
      <c r="G18" s="65" t="str">
        <f>IFERROR(VLOOKUP(A18,Ingreso!K:P,6,FALSE),"no esta ingresado")</f>
        <v>Turno B</v>
      </c>
      <c r="H18" s="65">
        <f>IFERROR(IF('Informe Kelly'!H11=$A$2,'Informe Kelly'!F11,""),0)</f>
        <v>0.62310185185185185</v>
      </c>
      <c r="I18" s="65" t="str">
        <f>IFERROR(IF('Informe Kelly'!H11=$A$3,'Informe Kelly'!F11,""),0)</f>
        <v/>
      </c>
      <c r="J18" s="65" t="str">
        <f>IF(IFERROR(IF(E18=E17,0,(HLOOKUP(D18,Ingreso!$AN$10:$AT$260,VLOOKUP(A18,Ingreso!$AL$11:$AM$260,2,FALSE)))/24),0)=0,"",IFERROR(IF(E18=E17,0,(HLOOKUP(D18,Ingreso!$AN$10:$AT$260,VLOOKUP(A18,Ingreso!$AL$11:$AM$260,2,FALSE)))/24),0))</f>
        <v/>
      </c>
      <c r="K18" s="65" t="str">
        <f>IF(IFERROR(IF(E18=E17,0,(HLOOKUP(C18,Ingreso!$AW$10:$BC$260,VLOOKUP(A18,Ingreso!$AL$11:$AM$260,2,FALSE)))/24),0)=0,"",IFERROR(IF(E18=E17,0,(HLOOKUP(C18,Ingreso!$AW$10:$BC$260,VLOOKUP(A18,Ingreso!$AL$11:$AM$260,2,FALSE)))/24),0))</f>
        <v/>
      </c>
      <c r="L18" s="63">
        <f t="shared" si="1"/>
        <v>0</v>
      </c>
      <c r="M18" s="63" t="str">
        <f>IF(IFERROR(IF(C18=C16,0,IF(E18=E17,0,IF(C18=$R$2,HLOOKUP($R$2,Ingreso!$AW$10:$BC$260,VLOOKUP(A18,Ingreso!AL:AM,2,FALSE),FALSE)/24,""))),"")=0,"",IFERROR(IF(C18=C16,0,IF(E18=E17,0,IF(C18=$R$2,HLOOKUP($R$2,Ingreso!$AW$10:$BC$260,VLOOKUP(A18,Ingreso!AL:AM,2,FALSE),FALSE)/24,""))),""))</f>
        <v/>
      </c>
      <c r="N18" s="95" t="str">
        <f>IF(IFERROR(IF(C18=C16,0,IF(E18=E17,0,IF(C18=$R$3,HLOOKUP($R$3,Ingreso!$AW$10:$BC$260,VLOOKUP(A18,Ingreso!AL:AM,2,FALSE),FALSE)/24,""))),"")=0,"",IFERROR(IF(C18=C16,0,IF(E18=E17,0,IF(C18=$R$3,HLOOKUP($R$3,Ingreso!$AW$10:$BC$260,VLOOKUP(A18,Ingreso!AL:AM,2,FALSE),FALSE)/24,""))),""))</f>
        <v/>
      </c>
      <c r="O18" s="95" t="str">
        <f>IF(IFERROR(IF(C18=C16,0,IF(E18=E17,0,IF(C18=$R$4,HLOOKUP($R$4,Ingreso!$AW$10:$BC$260,VLOOKUP(A18,Ingreso!AL:AM,2,FALSE),FALSE)/24,""))),"")=0,"",IFERROR(IF(C18=C16,0,IF(E18=E17,0,IF(C18=$R$4,HLOOKUP($R$4,Ingreso!$AW$10:$BC$260,VLOOKUP(A18,Ingreso!AL:AM,2,FALSE),FALSE)/24,""))),""))</f>
        <v/>
      </c>
      <c r="P18" s="90"/>
      <c r="T18" t="s">
        <v>1423</v>
      </c>
      <c r="U18" t="s">
        <v>1338</v>
      </c>
      <c r="V18" t="s">
        <v>1398</v>
      </c>
      <c r="W18" s="82">
        <v>8</v>
      </c>
      <c r="X18" s="71">
        <v>0.41666666666666669</v>
      </c>
      <c r="Y18" s="101">
        <v>0.29966435185185186</v>
      </c>
      <c r="Z18" s="101">
        <v>0.72619212962962953</v>
      </c>
      <c r="AA18" s="101">
        <v>0.42652777777777767</v>
      </c>
      <c r="AB18" s="101">
        <v>9.8611111111109873E-3</v>
      </c>
      <c r="AC18" s="105">
        <v>0</v>
      </c>
      <c r="AD18" s="105">
        <v>0</v>
      </c>
      <c r="AE18" s="93">
        <v>0</v>
      </c>
      <c r="AF18" s="93">
        <v>0</v>
      </c>
      <c r="AG18" s="93">
        <v>0</v>
      </c>
    </row>
    <row r="19" spans="1:33">
      <c r="A19" s="65" t="str">
        <f>IFERROR(VLOOKUP('Informe Kelly'!A12,Base!A:B,2,FALSE),"")</f>
        <v>05.080.993-5</v>
      </c>
      <c r="B19" s="65" t="str">
        <f>IFERROR(VLOOKUP('Informe Kelly'!A12,Base!A:G,7,FALSE),"")</f>
        <v>FIGUEROA NILO CARLOS</v>
      </c>
      <c r="C19" s="69" t="str">
        <f>IF(G19=$C$4,IF('Informe Kelly'!H12='Control informe Kelly'!$A$2,TEXT(((LEFT('Informe Kelly'!E12,2)*1)+1),"dd")&amp;"."&amp;MID('Informe Kelly'!E12,4,2)&amp;"."&amp;RIGHT('Informe Kelly'!E12,4),'Informe Kelly'!E12),'Informe Kelly'!E12)</f>
        <v>16.04.2011</v>
      </c>
      <c r="D19" s="69" t="str">
        <f>IF('Informe Kelly'!E12="","",'Informe Kelly'!E12)</f>
        <v>16.04.2011</v>
      </c>
      <c r="E19" s="72">
        <f t="shared" si="0"/>
        <v>6</v>
      </c>
      <c r="F19" s="72" t="str">
        <f>IFERROR(HLOOKUP(C19,Ingreso!$Q$8:$AD$9,2,FALSE),"v")</f>
        <v>Sábado</v>
      </c>
      <c r="G19" s="65" t="str">
        <f>IFERROR(VLOOKUP(A19,Ingreso!K:P,6,FALSE),"no esta ingresado")</f>
        <v>Turno B</v>
      </c>
      <c r="H19" s="65" t="str">
        <f>IFERROR(IF('Informe Kelly'!H12=$A$2,'Informe Kelly'!F12,""),0)</f>
        <v/>
      </c>
      <c r="I19" s="65">
        <f>IFERROR(IF('Informe Kelly'!H12=$A$3,'Informe Kelly'!F12,""),0)</f>
        <v>0.93815972222222221</v>
      </c>
      <c r="J19" s="65" t="str">
        <f>IF(IFERROR(IF(E19=E18,0,(HLOOKUP(D19,Ingreso!$AN$10:$AT$260,VLOOKUP(A19,Ingreso!$AL$11:$AM$260,2,FALSE)))/24),0)=0,"",IFERROR(IF(E19=E18,0,(HLOOKUP(D19,Ingreso!$AN$10:$AT$260,VLOOKUP(A19,Ingreso!$AL$11:$AM$260,2,FALSE)))/24),0))</f>
        <v/>
      </c>
      <c r="K19" s="65" t="str">
        <f>IF(IFERROR(IF(E19=E18,0,(HLOOKUP(C19,Ingreso!$AW$10:$BC$260,VLOOKUP(A19,Ingreso!$AL$11:$AM$260,2,FALSE)))/24),0)=0,"",IFERROR(IF(E19=E18,0,(HLOOKUP(C19,Ingreso!$AW$10:$BC$260,VLOOKUP(A19,Ingreso!$AL$11:$AM$260,2,FALSE)))/24),0))</f>
        <v/>
      </c>
      <c r="L19" s="63">
        <f t="shared" si="1"/>
        <v>0.3125</v>
      </c>
      <c r="M19" s="63" t="str">
        <f>IF(IFERROR(IF(C19=C17,0,IF(E19=E18,0,IF(C19=$R$2,HLOOKUP($R$2,Ingreso!$AW$10:$BC$260,VLOOKUP(A19,Ingreso!AL:AM,2,FALSE),FALSE)/24,""))),"")=0,"",IFERROR(IF(C19=C17,0,IF(E19=E18,0,IF(C19=$R$2,HLOOKUP($R$2,Ingreso!$AW$10:$BC$260,VLOOKUP(A19,Ingreso!AL:AM,2,FALSE),FALSE)/24,""))),""))</f>
        <v/>
      </c>
      <c r="N19" s="95" t="str">
        <f>IF(IFERROR(IF(C19=C17,0,IF(E19=E18,0,IF(C19=$R$3,HLOOKUP($R$3,Ingreso!$AW$10:$BC$260,VLOOKUP(A19,Ingreso!AL:AM,2,FALSE),FALSE)/24,""))),"")=0,"",IFERROR(IF(C19=C17,0,IF(E19=E18,0,IF(C19=$R$3,HLOOKUP($R$3,Ingreso!$AW$10:$BC$260,VLOOKUP(A19,Ingreso!AL:AM,2,FALSE),FALSE)/24,""))),""))</f>
        <v/>
      </c>
      <c r="O19" s="95" t="str">
        <f>IF(IFERROR(IF(C19=C17,0,IF(E19=E18,0,IF(C19=$R$4,HLOOKUP($R$4,Ingreso!$AW$10:$BC$260,VLOOKUP(A19,Ingreso!AL:AM,2,FALSE),FALSE)/24,""))),"")=0,"",IFERROR(IF(C19=C17,0,IF(E19=E18,0,IF(C19=$R$4,HLOOKUP($R$4,Ingreso!$AW$10:$BC$260,VLOOKUP(A19,Ingreso!AL:AM,2,FALSE),FALSE)/24,""))),""))</f>
        <v/>
      </c>
      <c r="P19" s="90"/>
      <c r="T19" t="s">
        <v>1424</v>
      </c>
      <c r="U19" t="s">
        <v>1338</v>
      </c>
      <c r="V19" t="s">
        <v>1399</v>
      </c>
      <c r="W19" s="82">
        <v>9</v>
      </c>
      <c r="X19" s="71">
        <v>0.41666666666666669</v>
      </c>
      <c r="Y19" s="101">
        <v>0.28695601851851854</v>
      </c>
      <c r="Z19" s="101">
        <v>0.73567129629629635</v>
      </c>
      <c r="AA19" s="101">
        <v>0.44871527777777781</v>
      </c>
      <c r="AB19" s="101">
        <v>3.2048611111111125E-2</v>
      </c>
      <c r="AC19" s="105">
        <v>0</v>
      </c>
      <c r="AD19" s="105">
        <v>0</v>
      </c>
      <c r="AE19" s="93">
        <v>0</v>
      </c>
      <c r="AF19" s="93">
        <v>0</v>
      </c>
      <c r="AG19" s="93">
        <v>0</v>
      </c>
    </row>
    <row r="20" spans="1:33">
      <c r="A20" s="65" t="str">
        <f>IFERROR(VLOOKUP('Informe Kelly'!A13,Base!A:B,2,FALSE),"")</f>
        <v>05.080.993-5</v>
      </c>
      <c r="B20" s="65" t="str">
        <f>IFERROR(VLOOKUP('Informe Kelly'!A13,Base!A:G,7,FALSE),"")</f>
        <v>FIGUEROA NILO CARLOS</v>
      </c>
      <c r="C20" s="69" t="str">
        <f>IF(G20=$C$4,IF('Informe Kelly'!H13='Control informe Kelly'!$A$2,TEXT(((LEFT('Informe Kelly'!E13,2)*1)+1),"dd")&amp;"."&amp;MID('Informe Kelly'!E13,4,2)&amp;"."&amp;RIGHT('Informe Kelly'!E13,4),'Informe Kelly'!E13),'Informe Kelly'!E13)</f>
        <v>16.04.2011</v>
      </c>
      <c r="D20" s="69" t="str">
        <f>IF('Informe Kelly'!E13="","",'Informe Kelly'!E13)</f>
        <v>16.04.2011</v>
      </c>
      <c r="E20" s="72">
        <f t="shared" si="0"/>
        <v>6</v>
      </c>
      <c r="F20" s="72" t="str">
        <f>IFERROR(HLOOKUP(C20,Ingreso!$Q$8:$AD$9,2,FALSE),"v")</f>
        <v>Sábado</v>
      </c>
      <c r="G20" s="65" t="str">
        <f>IFERROR(VLOOKUP(A20,Ingreso!K:P,6,FALSE),"no esta ingresado")</f>
        <v>Turno B</v>
      </c>
      <c r="H20" s="65">
        <f>IFERROR(IF('Informe Kelly'!H13=$A$2,'Informe Kelly'!F13,""),0)</f>
        <v>0.59476851851851853</v>
      </c>
      <c r="I20" s="65" t="str">
        <f>IFERROR(IF('Informe Kelly'!H13=$A$3,'Informe Kelly'!F13,""),0)</f>
        <v/>
      </c>
      <c r="J20" s="65" t="str">
        <f>IF(IFERROR(IF(E20=E19,0,(HLOOKUP(D20,Ingreso!$AN$10:$AT$260,VLOOKUP(A20,Ingreso!$AL$11:$AM$260,2,FALSE)))/24),0)=0,"",IFERROR(IF(E20=E19,0,(HLOOKUP(D20,Ingreso!$AN$10:$AT$260,VLOOKUP(A20,Ingreso!$AL$11:$AM$260,2,FALSE)))/24),0))</f>
        <v/>
      </c>
      <c r="K20" s="65" t="str">
        <f>IF(IFERROR(IF(E20=E19,0,(HLOOKUP(C20,Ingreso!$AW$10:$BC$260,VLOOKUP(A20,Ingreso!$AL$11:$AM$260,2,FALSE)))/24),0)=0,"",IFERROR(IF(E20=E19,0,(HLOOKUP(C20,Ingreso!$AW$10:$BC$260,VLOOKUP(A20,Ingreso!$AL$11:$AM$260,2,FALSE)))/24),0))</f>
        <v/>
      </c>
      <c r="L20" s="63">
        <f t="shared" si="1"/>
        <v>0</v>
      </c>
      <c r="M20" s="63" t="str">
        <f>IF(IFERROR(IF(C20=C18,0,IF(E20=E19,0,IF(C20=$R$2,HLOOKUP($R$2,Ingreso!$AW$10:$BC$260,VLOOKUP(A20,Ingreso!AL:AM,2,FALSE),FALSE)/24,""))),"")=0,"",IFERROR(IF(C20=C18,0,IF(E20=E19,0,IF(C20=$R$2,HLOOKUP($R$2,Ingreso!$AW$10:$BC$260,VLOOKUP(A20,Ingreso!AL:AM,2,FALSE),FALSE)/24,""))),""))</f>
        <v/>
      </c>
      <c r="N20" s="95" t="str">
        <f>IF(IFERROR(IF(C20=C18,0,IF(E20=E19,0,IF(C20=$R$3,HLOOKUP($R$3,Ingreso!$AW$10:$BC$260,VLOOKUP(A20,Ingreso!AL:AM,2,FALSE),FALSE)/24,""))),"")=0,"",IFERROR(IF(C20=C18,0,IF(E20=E19,0,IF(C20=$R$3,HLOOKUP($R$3,Ingreso!$AW$10:$BC$260,VLOOKUP(A20,Ingreso!AL:AM,2,FALSE),FALSE)/24,""))),""))</f>
        <v/>
      </c>
      <c r="O20" s="95" t="str">
        <f>IF(IFERROR(IF(C20=C18,0,IF(E20=E19,0,IF(C20=$R$4,HLOOKUP($R$4,Ingreso!$AW$10:$BC$260,VLOOKUP(A20,Ingreso!AL:AM,2,FALSE),FALSE)/24,""))),"")=0,"",IFERROR(IF(C20=C18,0,IF(E20=E19,0,IF(C20=$R$4,HLOOKUP($R$4,Ingreso!$AW$10:$BC$260,VLOOKUP(A20,Ingreso!AL:AM,2,FALSE),FALSE)/24,""))),""))</f>
        <v/>
      </c>
      <c r="P20" s="90"/>
      <c r="T20" t="s">
        <v>1425</v>
      </c>
      <c r="U20" t="s">
        <v>1338</v>
      </c>
      <c r="V20" t="s">
        <v>1400</v>
      </c>
      <c r="W20" s="82">
        <v>10</v>
      </c>
      <c r="X20" s="71">
        <v>0.41666666666666669</v>
      </c>
      <c r="Y20" s="101">
        <v>0.28765046296296298</v>
      </c>
      <c r="Z20" s="101">
        <v>0.72928240740740735</v>
      </c>
      <c r="AA20" s="101">
        <v>0.44163194444444437</v>
      </c>
      <c r="AB20" s="101">
        <v>2.4965277777777684E-2</v>
      </c>
      <c r="AC20" s="105">
        <v>0</v>
      </c>
      <c r="AD20" s="105">
        <v>0</v>
      </c>
      <c r="AE20" s="93">
        <v>0</v>
      </c>
      <c r="AF20" s="93">
        <v>0</v>
      </c>
      <c r="AG20" s="93">
        <v>0</v>
      </c>
    </row>
    <row r="21" spans="1:33">
      <c r="A21" s="65" t="str">
        <f>IFERROR(VLOOKUP('Informe Kelly'!A14,Base!A:B,2,FALSE),"")</f>
        <v>05.267.317-8</v>
      </c>
      <c r="B21" s="65" t="str">
        <f>IFERROR(VLOOKUP('Informe Kelly'!A14,Base!A:G,7,FALSE),"")</f>
        <v xml:space="preserve">DUARTE BECERRA LUIS </v>
      </c>
      <c r="C21" s="69" t="str">
        <f>IF(G21=$C$4,IF('Informe Kelly'!H14='Control informe Kelly'!$A$2,TEXT(((LEFT('Informe Kelly'!E14,2)*1)+1),"dd")&amp;"."&amp;MID('Informe Kelly'!E14,4,2)&amp;"."&amp;RIGHT('Informe Kelly'!E14,4),'Informe Kelly'!E14),'Informe Kelly'!E14)</f>
        <v>11.04.2011</v>
      </c>
      <c r="D21" s="69" t="str">
        <f>IF('Informe Kelly'!E14="","",'Informe Kelly'!E14)</f>
        <v>11.04.2011</v>
      </c>
      <c r="E21" s="72">
        <f t="shared" si="0"/>
        <v>7</v>
      </c>
      <c r="F21" s="72" t="str">
        <f>IFERROR(HLOOKUP(C21,Ingreso!$Q$8:$AD$9,2,FALSE),"v")</f>
        <v>Lunes</v>
      </c>
      <c r="G21" s="65" t="str">
        <f>IFERROR(VLOOKUP(A21,Ingreso!K:P,6,FALSE),"no esta ingresado")</f>
        <v>Admin</v>
      </c>
      <c r="H21" s="65" t="str">
        <f>IFERROR(IF('Informe Kelly'!H14=$A$2,'Informe Kelly'!F14,""),0)</f>
        <v/>
      </c>
      <c r="I21" s="65">
        <f>IFERROR(IF('Informe Kelly'!H14=$A$3,'Informe Kelly'!F14,""),0)</f>
        <v>0.72828703703703701</v>
      </c>
      <c r="J21" s="65" t="str">
        <f>IF(IFERROR(IF(E21=E20,0,(HLOOKUP(D21,Ingreso!$AN$10:$AT$260,VLOOKUP(A21,Ingreso!$AL$11:$AM$260,2,FALSE)))/24),0)=0,"",IFERROR(IF(E21=E20,0,(HLOOKUP(D21,Ingreso!$AN$10:$AT$260,VLOOKUP(A21,Ingreso!$AL$11:$AM$260,2,FALSE)))/24),0))</f>
        <v/>
      </c>
      <c r="K21" s="65" t="str">
        <f>IF(IFERROR(IF(E21=E20,0,(HLOOKUP(C21,Ingreso!$AW$10:$BC$260,VLOOKUP(A21,Ingreso!$AL$11:$AM$260,2,FALSE)))/24),0)=0,"",IFERROR(IF(E21=E20,0,(HLOOKUP(C21,Ingreso!$AW$10:$BC$260,VLOOKUP(A21,Ingreso!$AL$11:$AM$260,2,FALSE)))/24),0))</f>
        <v/>
      </c>
      <c r="L21" s="63">
        <f t="shared" si="1"/>
        <v>0.41666666666666669</v>
      </c>
      <c r="M21" s="63" t="str">
        <f>IF(IFERROR(IF(C21=C19,0,IF(E21=E20,0,IF(C21=$R$2,HLOOKUP($R$2,Ingreso!$AW$10:$BC$260,VLOOKUP(A21,Ingreso!AL:AM,2,FALSE),FALSE)/24,""))),"")=0,"",IFERROR(IF(C21=C19,0,IF(E21=E20,0,IF(C21=$R$2,HLOOKUP($R$2,Ingreso!$AW$10:$BC$260,VLOOKUP(A21,Ingreso!AL:AM,2,FALSE),FALSE)/24,""))),""))</f>
        <v/>
      </c>
      <c r="N21" s="95" t="str">
        <f>IF(IFERROR(IF(C21=C19,0,IF(E21=E20,0,IF(C21=$R$3,HLOOKUP($R$3,Ingreso!$AW$10:$BC$260,VLOOKUP(A21,Ingreso!AL:AM,2,FALSE),FALSE)/24,""))),"")=0,"",IFERROR(IF(C21=C19,0,IF(E21=E20,0,IF(C21=$R$3,HLOOKUP($R$3,Ingreso!$AW$10:$BC$260,VLOOKUP(A21,Ingreso!AL:AM,2,FALSE),FALSE)/24,""))),""))</f>
        <v/>
      </c>
      <c r="O21" s="95" t="str">
        <f>IF(IFERROR(IF(C21=C19,0,IF(E21=E20,0,IF(C21=$R$4,HLOOKUP($R$4,Ingreso!$AW$10:$BC$260,VLOOKUP(A21,Ingreso!AL:AM,2,FALSE),FALSE)/24,""))),"")=0,"",IFERROR(IF(C21=C19,0,IF(E21=E20,0,IF(C21=$R$4,HLOOKUP($R$4,Ingreso!$AW$10:$BC$260,VLOOKUP(A21,Ingreso!AL:AM,2,FALSE),FALSE)/24,""))),""))</f>
        <v/>
      </c>
      <c r="P21" s="90"/>
      <c r="T21" t="s">
        <v>1426</v>
      </c>
      <c r="U21" t="s">
        <v>1338</v>
      </c>
      <c r="V21" t="s">
        <v>1401</v>
      </c>
      <c r="W21" s="82">
        <v>11</v>
      </c>
      <c r="X21" s="71">
        <v>0.41666666666666669</v>
      </c>
      <c r="Y21" s="101">
        <v>0.2840625</v>
      </c>
      <c r="Z21" s="101">
        <v>0.87041666666666673</v>
      </c>
      <c r="AA21" s="101">
        <v>0.58635416666666673</v>
      </c>
      <c r="AB21" s="101">
        <v>0.16968750000000005</v>
      </c>
      <c r="AC21" s="105">
        <v>0.125</v>
      </c>
      <c r="AD21" s="105">
        <v>0</v>
      </c>
      <c r="AE21" s="93">
        <v>0</v>
      </c>
      <c r="AF21" s="93">
        <v>0</v>
      </c>
      <c r="AG21" s="93">
        <v>0</v>
      </c>
    </row>
    <row r="22" spans="1:33">
      <c r="A22" s="65" t="str">
        <f>IFERROR(VLOOKUP('Informe Kelly'!A15,Base!A:B,2,FALSE),"")</f>
        <v>05.267.317-8</v>
      </c>
      <c r="B22" s="65" t="str">
        <f>IFERROR(VLOOKUP('Informe Kelly'!A15,Base!A:G,7,FALSE),"")</f>
        <v xml:space="preserve">DUARTE BECERRA LUIS </v>
      </c>
      <c r="C22" s="69" t="str">
        <f>IF(G22=$C$4,IF('Informe Kelly'!H15='Control informe Kelly'!$A$2,TEXT(((LEFT('Informe Kelly'!E15,2)*1)+1),"dd")&amp;"."&amp;MID('Informe Kelly'!E15,4,2)&amp;"."&amp;RIGHT('Informe Kelly'!E15,4),'Informe Kelly'!E15),'Informe Kelly'!E15)</f>
        <v>11.04.2011</v>
      </c>
      <c r="D22" s="69" t="str">
        <f>IF('Informe Kelly'!E15="","",'Informe Kelly'!E15)</f>
        <v>11.04.2011</v>
      </c>
      <c r="E22" s="72">
        <f t="shared" si="0"/>
        <v>7</v>
      </c>
      <c r="F22" s="72" t="str">
        <f>IFERROR(HLOOKUP(C22,Ingreso!$Q$8:$AD$9,2,FALSE),"v")</f>
        <v>Lunes</v>
      </c>
      <c r="G22" s="65" t="str">
        <f>IFERROR(VLOOKUP(A22,Ingreso!K:P,6,FALSE),"no esta ingresado")</f>
        <v>Admin</v>
      </c>
      <c r="H22" s="65">
        <f>IFERROR(IF('Informe Kelly'!H15=$A$2,'Informe Kelly'!F15,""),0)</f>
        <v>0.28668981481481481</v>
      </c>
      <c r="I22" s="65" t="str">
        <f>IFERROR(IF('Informe Kelly'!H15=$A$3,'Informe Kelly'!F15,""),0)</f>
        <v/>
      </c>
      <c r="J22" s="65" t="str">
        <f>IF(IFERROR(IF(E22=E21,0,(HLOOKUP(D22,Ingreso!$AN$10:$AT$260,VLOOKUP(A22,Ingreso!$AL$11:$AM$260,2,FALSE)))/24),0)=0,"",IFERROR(IF(E22=E21,0,(HLOOKUP(D22,Ingreso!$AN$10:$AT$260,VLOOKUP(A22,Ingreso!$AL$11:$AM$260,2,FALSE)))/24),0))</f>
        <v/>
      </c>
      <c r="K22" s="65" t="str">
        <f>IF(IFERROR(IF(E22=E21,0,(HLOOKUP(C22,Ingreso!$AW$10:$BC$260,VLOOKUP(A22,Ingreso!$AL$11:$AM$260,2,FALSE)))/24),0)=0,"",IFERROR(IF(E22=E21,0,(HLOOKUP(C22,Ingreso!$AW$10:$BC$260,VLOOKUP(A22,Ingreso!$AL$11:$AM$260,2,FALSE)))/24),0))</f>
        <v/>
      </c>
      <c r="L22" s="63">
        <f t="shared" si="1"/>
        <v>0</v>
      </c>
      <c r="M22" s="63" t="str">
        <f>IF(IFERROR(IF(C22=C20,0,IF(E22=E21,0,IF(C22=$R$2,HLOOKUP($R$2,Ingreso!$AW$10:$BC$260,VLOOKUP(A22,Ingreso!AL:AM,2,FALSE),FALSE)/24,""))),"")=0,"",IFERROR(IF(C22=C20,0,IF(E22=E21,0,IF(C22=$R$2,HLOOKUP($R$2,Ingreso!$AW$10:$BC$260,VLOOKUP(A22,Ingreso!AL:AM,2,FALSE),FALSE)/24,""))),""))</f>
        <v/>
      </c>
      <c r="N22" s="95" t="str">
        <f>IF(IFERROR(IF(C22=C20,0,IF(E22=E21,0,IF(C22=$R$3,HLOOKUP($R$3,Ingreso!$AW$10:$BC$260,VLOOKUP(A22,Ingreso!AL:AM,2,FALSE),FALSE)/24,""))),"")=0,"",IFERROR(IF(C22=C20,0,IF(E22=E21,0,IF(C22=$R$3,HLOOKUP($R$3,Ingreso!$AW$10:$BC$260,VLOOKUP(A22,Ingreso!AL:AM,2,FALSE),FALSE)/24,""))),""))</f>
        <v/>
      </c>
      <c r="O22" s="95" t="str">
        <f>IF(IFERROR(IF(C22=C20,0,IF(E22=E21,0,IF(C22=$R$4,HLOOKUP($R$4,Ingreso!$AW$10:$BC$260,VLOOKUP(A22,Ingreso!AL:AM,2,FALSE),FALSE)/24,""))),"")=0,"",IFERROR(IF(C22=C20,0,IF(E22=E21,0,IF(C22=$R$4,HLOOKUP($R$4,Ingreso!$AW$10:$BC$260,VLOOKUP(A22,Ingreso!AL:AM,2,FALSE),FALSE)/24,""))),""))</f>
        <v/>
      </c>
      <c r="P22" s="90"/>
      <c r="T22" t="s">
        <v>1427</v>
      </c>
      <c r="U22" t="s">
        <v>1338</v>
      </c>
      <c r="V22" t="s">
        <v>1402</v>
      </c>
      <c r="W22" s="82">
        <v>12</v>
      </c>
      <c r="X22" s="71">
        <v>0.41666666666666669</v>
      </c>
      <c r="Y22" s="101">
        <v>0.30790509259259258</v>
      </c>
      <c r="Z22" s="101">
        <v>0.57298611111111108</v>
      </c>
      <c r="AA22" s="101">
        <v>0.26508101851851851</v>
      </c>
      <c r="AB22" s="101">
        <v>-0.15158564814814818</v>
      </c>
      <c r="AC22" s="105">
        <v>0.25</v>
      </c>
      <c r="AD22" s="105">
        <v>0</v>
      </c>
      <c r="AE22" s="93">
        <v>0</v>
      </c>
      <c r="AF22" s="93">
        <v>0</v>
      </c>
      <c r="AG22" s="93">
        <v>0</v>
      </c>
    </row>
    <row r="23" spans="1:33">
      <c r="A23" s="65" t="str">
        <f>IFERROR(VLOOKUP('Informe Kelly'!A16,Base!A:B,2,FALSE),"")</f>
        <v>05.267.317-8</v>
      </c>
      <c r="B23" s="65" t="str">
        <f>IFERROR(VLOOKUP('Informe Kelly'!A16,Base!A:G,7,FALSE),"")</f>
        <v xml:space="preserve">DUARTE BECERRA LUIS </v>
      </c>
      <c r="C23" s="69" t="str">
        <f>IF(G23=$C$4,IF('Informe Kelly'!H16='Control informe Kelly'!$A$2,TEXT(((LEFT('Informe Kelly'!E16,2)*1)+1),"dd")&amp;"."&amp;MID('Informe Kelly'!E16,4,2)&amp;"."&amp;RIGHT('Informe Kelly'!E16,4),'Informe Kelly'!E16),'Informe Kelly'!E16)</f>
        <v>12.04.2011</v>
      </c>
      <c r="D23" s="69" t="str">
        <f>IF('Informe Kelly'!E16="","",'Informe Kelly'!E16)</f>
        <v>12.04.2011</v>
      </c>
      <c r="E23" s="72">
        <f t="shared" si="0"/>
        <v>8</v>
      </c>
      <c r="F23" s="72" t="str">
        <f>IFERROR(HLOOKUP(C23,Ingreso!$Q$8:$AD$9,2,FALSE),"v")</f>
        <v>Martes</v>
      </c>
      <c r="G23" s="65" t="str">
        <f>IFERROR(VLOOKUP(A23,Ingreso!K:P,6,FALSE),"no esta ingresado")</f>
        <v>Admin</v>
      </c>
      <c r="H23" s="65" t="str">
        <f>IFERROR(IF('Informe Kelly'!H16=$A$2,'Informe Kelly'!F16,""),0)</f>
        <v/>
      </c>
      <c r="I23" s="65">
        <f>IFERROR(IF('Informe Kelly'!H16=$A$3,'Informe Kelly'!F16,""),0)</f>
        <v>0.72619212962962953</v>
      </c>
      <c r="J23" s="65" t="str">
        <f>IF(IFERROR(IF(E23=E22,0,(HLOOKUP(D23,Ingreso!$AN$10:$AT$260,VLOOKUP(A23,Ingreso!$AL$11:$AM$260,2,FALSE)))/24),0)=0,"",IFERROR(IF(E23=E22,0,(HLOOKUP(D23,Ingreso!$AN$10:$AT$260,VLOOKUP(A23,Ingreso!$AL$11:$AM$260,2,FALSE)))/24),0))</f>
        <v/>
      </c>
      <c r="K23" s="65" t="str">
        <f>IF(IFERROR(IF(E23=E22,0,(HLOOKUP(C23,Ingreso!$AW$10:$BC$260,VLOOKUP(A23,Ingreso!$AL$11:$AM$260,2,FALSE)))/24),0)=0,"",IFERROR(IF(E23=E22,0,(HLOOKUP(C23,Ingreso!$AW$10:$BC$260,VLOOKUP(A23,Ingreso!$AL$11:$AM$260,2,FALSE)))/24),0))</f>
        <v/>
      </c>
      <c r="L23" s="63">
        <f t="shared" si="1"/>
        <v>0.41666666666666669</v>
      </c>
      <c r="M23" s="63" t="str">
        <f>IF(IFERROR(IF(C23=C21,0,IF(E23=E22,0,IF(C23=$R$2,HLOOKUP($R$2,Ingreso!$AW$10:$BC$260,VLOOKUP(A23,Ingreso!AL:AM,2,FALSE),FALSE)/24,""))),"")=0,"",IFERROR(IF(C23=C21,0,IF(E23=E22,0,IF(C23=$R$2,HLOOKUP($R$2,Ingreso!$AW$10:$BC$260,VLOOKUP(A23,Ingreso!AL:AM,2,FALSE),FALSE)/24,""))),""))</f>
        <v/>
      </c>
      <c r="N23" s="95" t="str">
        <f>IF(IFERROR(IF(C23=C21,0,IF(E23=E22,0,IF(C23=$R$3,HLOOKUP($R$3,Ingreso!$AW$10:$BC$260,VLOOKUP(A23,Ingreso!AL:AM,2,FALSE),FALSE)/24,""))),"")=0,"",IFERROR(IF(C23=C21,0,IF(E23=E22,0,IF(C23=$R$3,HLOOKUP($R$3,Ingreso!$AW$10:$BC$260,VLOOKUP(A23,Ingreso!AL:AM,2,FALSE),FALSE)/24,""))),""))</f>
        <v/>
      </c>
      <c r="O23" s="95" t="str">
        <f>IF(IFERROR(IF(C23=C21,0,IF(E23=E22,0,IF(C23=$R$4,HLOOKUP($R$4,Ingreso!$AW$10:$BC$260,VLOOKUP(A23,Ingreso!AL:AM,2,FALSE),FALSE)/24,""))),"")=0,"",IFERROR(IF(C23=C21,0,IF(E23=E22,0,IF(C23=$R$4,HLOOKUP($R$4,Ingreso!$AW$10:$BC$260,VLOOKUP(A23,Ingreso!AL:AM,2,FALSE),FALSE)/24,""))),""))</f>
        <v/>
      </c>
      <c r="P23" s="90"/>
      <c r="R23" t="s">
        <v>381</v>
      </c>
      <c r="S23" t="s">
        <v>385</v>
      </c>
      <c r="T23" t="s">
        <v>1420</v>
      </c>
      <c r="U23" t="s">
        <v>1322</v>
      </c>
      <c r="V23" t="s">
        <v>1397</v>
      </c>
      <c r="W23" s="82">
        <v>13</v>
      </c>
      <c r="X23" s="71">
        <v>0.3125</v>
      </c>
      <c r="Y23" s="101">
        <v>0.60752314814814812</v>
      </c>
      <c r="Z23" s="101">
        <v>0.94047453703703709</v>
      </c>
      <c r="AA23" s="101">
        <v>0.33295138888888898</v>
      </c>
      <c r="AB23" s="101">
        <v>2.0451388888888977E-2</v>
      </c>
      <c r="AC23" s="105">
        <v>0</v>
      </c>
      <c r="AD23" s="105">
        <v>0</v>
      </c>
      <c r="AE23" s="93">
        <v>0</v>
      </c>
      <c r="AF23" s="93">
        <v>0</v>
      </c>
      <c r="AG23" s="93">
        <v>0</v>
      </c>
    </row>
    <row r="24" spans="1:33">
      <c r="A24" s="65" t="str">
        <f>IFERROR(VLOOKUP('Informe Kelly'!A17,Base!A:B,2,FALSE),"")</f>
        <v>05.267.317-8</v>
      </c>
      <c r="B24" s="65" t="str">
        <f>IFERROR(VLOOKUP('Informe Kelly'!A17,Base!A:G,7,FALSE),"")</f>
        <v xml:space="preserve">DUARTE BECERRA LUIS </v>
      </c>
      <c r="C24" s="69" t="str">
        <f>IF(G24=$C$4,IF('Informe Kelly'!H17='Control informe Kelly'!$A$2,TEXT(((LEFT('Informe Kelly'!E17,2)*1)+1),"dd")&amp;"."&amp;MID('Informe Kelly'!E17,4,2)&amp;"."&amp;RIGHT('Informe Kelly'!E17,4),'Informe Kelly'!E17),'Informe Kelly'!E17)</f>
        <v>12.04.2011</v>
      </c>
      <c r="D24" s="69" t="str">
        <f>IF('Informe Kelly'!E17="","",'Informe Kelly'!E17)</f>
        <v>12.04.2011</v>
      </c>
      <c r="E24" s="72">
        <f t="shared" si="0"/>
        <v>8</v>
      </c>
      <c r="F24" s="72" t="str">
        <f>IFERROR(HLOOKUP(C24,Ingreso!$Q$8:$AD$9,2,FALSE),"v")</f>
        <v>Martes</v>
      </c>
      <c r="G24" s="65" t="str">
        <f>IFERROR(VLOOKUP(A24,Ingreso!K:P,6,FALSE),"no esta ingresado")</f>
        <v>Admin</v>
      </c>
      <c r="H24" s="65">
        <f>IFERROR(IF('Informe Kelly'!H17=$A$2,'Informe Kelly'!F17,""),0)</f>
        <v>0.29966435185185186</v>
      </c>
      <c r="I24" s="65" t="str">
        <f>IFERROR(IF('Informe Kelly'!H17=$A$3,'Informe Kelly'!F17,""),0)</f>
        <v/>
      </c>
      <c r="J24" s="65" t="str">
        <f>IF(IFERROR(IF(E24=E23,0,(HLOOKUP(D24,Ingreso!$AN$10:$AT$260,VLOOKUP(A24,Ingreso!$AL$11:$AM$260,2,FALSE)))/24),0)=0,"",IFERROR(IF(E24=E23,0,(HLOOKUP(D24,Ingreso!$AN$10:$AT$260,VLOOKUP(A24,Ingreso!$AL$11:$AM$260,2,FALSE)))/24),0))</f>
        <v/>
      </c>
      <c r="K24" s="65" t="str">
        <f>IF(IFERROR(IF(E24=E23,0,(HLOOKUP(C24,Ingreso!$AW$10:$BC$260,VLOOKUP(A24,Ingreso!$AL$11:$AM$260,2,FALSE)))/24),0)=0,"",IFERROR(IF(E24=E23,0,(HLOOKUP(C24,Ingreso!$AW$10:$BC$260,VLOOKUP(A24,Ingreso!$AL$11:$AM$260,2,FALSE)))/24),0))</f>
        <v/>
      </c>
      <c r="L24" s="63">
        <f t="shared" si="1"/>
        <v>0</v>
      </c>
      <c r="M24" s="63" t="str">
        <f>IF(IFERROR(IF(C24=C22,0,IF(E24=E23,0,IF(C24=$R$2,HLOOKUP($R$2,Ingreso!$AW$10:$BC$260,VLOOKUP(A24,Ingreso!AL:AM,2,FALSE),FALSE)/24,""))),"")=0,"",IFERROR(IF(C24=C22,0,IF(E24=E23,0,IF(C24=$R$2,HLOOKUP($R$2,Ingreso!$AW$10:$BC$260,VLOOKUP(A24,Ingreso!AL:AM,2,FALSE),FALSE)/24,""))),""))</f>
        <v/>
      </c>
      <c r="N24" s="95" t="str">
        <f>IF(IFERROR(IF(C24=C22,0,IF(E24=E23,0,IF(C24=$R$3,HLOOKUP($R$3,Ingreso!$AW$10:$BC$260,VLOOKUP(A24,Ingreso!AL:AM,2,FALSE),FALSE)/24,""))),"")=0,"",IFERROR(IF(C24=C22,0,IF(E24=E23,0,IF(C24=$R$3,HLOOKUP($R$3,Ingreso!$AW$10:$BC$260,VLOOKUP(A24,Ingreso!AL:AM,2,FALSE),FALSE)/24,""))),""))</f>
        <v/>
      </c>
      <c r="O24" s="95" t="str">
        <f>IF(IFERROR(IF(C24=C22,0,IF(E24=E23,0,IF(C24=$R$4,HLOOKUP($R$4,Ingreso!$AW$10:$BC$260,VLOOKUP(A24,Ingreso!AL:AM,2,FALSE),FALSE)/24,""))),"")=0,"",IFERROR(IF(C24=C22,0,IF(E24=E23,0,IF(C24=$R$4,HLOOKUP($R$4,Ingreso!$AW$10:$BC$260,VLOOKUP(A24,Ingreso!AL:AM,2,FALSE),FALSE)/24,""))),""))</f>
        <v/>
      </c>
      <c r="P24" s="90"/>
      <c r="T24" t="s">
        <v>1423</v>
      </c>
      <c r="U24" t="s">
        <v>1322</v>
      </c>
      <c r="V24" t="s">
        <v>1398</v>
      </c>
      <c r="W24" s="82">
        <v>14</v>
      </c>
      <c r="X24" s="71">
        <v>0.3125</v>
      </c>
      <c r="Y24" s="101">
        <v>0.60767361111111107</v>
      </c>
      <c r="Z24" s="101">
        <v>0.94491898148148146</v>
      </c>
      <c r="AA24" s="101">
        <v>0.33724537037037039</v>
      </c>
      <c r="AB24" s="101">
        <v>2.474537037037039E-2</v>
      </c>
      <c r="AC24" s="105">
        <v>0</v>
      </c>
      <c r="AD24" s="105">
        <v>0</v>
      </c>
      <c r="AE24" s="93">
        <v>0</v>
      </c>
      <c r="AF24" s="93">
        <v>0</v>
      </c>
      <c r="AG24" s="93">
        <v>0</v>
      </c>
    </row>
    <row r="25" spans="1:33">
      <c r="A25" s="65" t="str">
        <f>IFERROR(VLOOKUP('Informe Kelly'!A18,Base!A:B,2,FALSE),"")</f>
        <v>05.267.317-8</v>
      </c>
      <c r="B25" s="65" t="str">
        <f>IFERROR(VLOOKUP('Informe Kelly'!A18,Base!A:G,7,FALSE),"")</f>
        <v xml:space="preserve">DUARTE BECERRA LUIS </v>
      </c>
      <c r="C25" s="69" t="str">
        <f>IF(G25=$C$4,IF('Informe Kelly'!H18='Control informe Kelly'!$A$2,TEXT(((LEFT('Informe Kelly'!E18,2)*1)+1),"dd")&amp;"."&amp;MID('Informe Kelly'!E18,4,2)&amp;"."&amp;RIGHT('Informe Kelly'!E18,4),'Informe Kelly'!E18),'Informe Kelly'!E18)</f>
        <v>13.04.2011</v>
      </c>
      <c r="D25" s="69" t="str">
        <f>IF('Informe Kelly'!E18="","",'Informe Kelly'!E18)</f>
        <v>13.04.2011</v>
      </c>
      <c r="E25" s="72">
        <f t="shared" si="0"/>
        <v>9</v>
      </c>
      <c r="F25" s="72" t="str">
        <f>IFERROR(HLOOKUP(C25,Ingreso!$Q$8:$AD$9,2,FALSE),"v")</f>
        <v>Miércoles</v>
      </c>
      <c r="G25" s="65" t="str">
        <f>IFERROR(VLOOKUP(A25,Ingreso!K:P,6,FALSE),"no esta ingresado")</f>
        <v>Admin</v>
      </c>
      <c r="H25" s="65" t="str">
        <f>IFERROR(IF('Informe Kelly'!H18=$A$2,'Informe Kelly'!F18,""),0)</f>
        <v/>
      </c>
      <c r="I25" s="65">
        <f>IFERROR(IF('Informe Kelly'!H18=$A$3,'Informe Kelly'!F18,""),0)</f>
        <v>0.73567129629629635</v>
      </c>
      <c r="J25" s="65" t="str">
        <f>IF(IFERROR(IF(E25=E24,0,(HLOOKUP(D25,Ingreso!$AN$10:$AT$260,VLOOKUP(A25,Ingreso!$AL$11:$AM$260,2,FALSE)))/24),0)=0,"",IFERROR(IF(E25=E24,0,(HLOOKUP(D25,Ingreso!$AN$10:$AT$260,VLOOKUP(A25,Ingreso!$AL$11:$AM$260,2,FALSE)))/24),0))</f>
        <v/>
      </c>
      <c r="K25" s="65" t="str">
        <f>IF(IFERROR(IF(E25=E24,0,(HLOOKUP(C25,Ingreso!$AW$10:$BC$260,VLOOKUP(A25,Ingreso!$AL$11:$AM$260,2,FALSE)))/24),0)=0,"",IFERROR(IF(E25=E24,0,(HLOOKUP(C25,Ingreso!$AW$10:$BC$260,VLOOKUP(A25,Ingreso!$AL$11:$AM$260,2,FALSE)))/24),0))</f>
        <v/>
      </c>
      <c r="L25" s="63">
        <f t="shared" si="1"/>
        <v>0.41666666666666669</v>
      </c>
      <c r="M25" s="63" t="str">
        <f>IF(IFERROR(IF(C25=C23,0,IF(E25=E24,0,IF(C25=$R$2,HLOOKUP($R$2,Ingreso!$AW$10:$BC$260,VLOOKUP(A25,Ingreso!AL:AM,2,FALSE),FALSE)/24,""))),"")=0,"",IFERROR(IF(C25=C23,0,IF(E25=E24,0,IF(C25=$R$2,HLOOKUP($R$2,Ingreso!$AW$10:$BC$260,VLOOKUP(A25,Ingreso!AL:AM,2,FALSE),FALSE)/24,""))),""))</f>
        <v/>
      </c>
      <c r="N25" s="95" t="str">
        <f>IF(IFERROR(IF(C25=C23,0,IF(E25=E24,0,IF(C25=$R$3,HLOOKUP($R$3,Ingreso!$AW$10:$BC$260,VLOOKUP(A25,Ingreso!AL:AM,2,FALSE),FALSE)/24,""))),"")=0,"",IFERROR(IF(C25=C23,0,IF(E25=E24,0,IF(C25=$R$3,HLOOKUP($R$3,Ingreso!$AW$10:$BC$260,VLOOKUP(A25,Ingreso!AL:AM,2,FALSE),FALSE)/24,""))),""))</f>
        <v/>
      </c>
      <c r="O25" s="95" t="str">
        <f>IF(IFERROR(IF(C25=C23,0,IF(E25=E24,0,IF(C25=$R$4,HLOOKUP($R$4,Ingreso!$AW$10:$BC$260,VLOOKUP(A25,Ingreso!AL:AM,2,FALSE),FALSE)/24,""))),"")=0,"",IFERROR(IF(C25=C23,0,IF(E25=E24,0,IF(C25=$R$4,HLOOKUP($R$4,Ingreso!$AW$10:$BC$260,VLOOKUP(A25,Ingreso!AL:AM,2,FALSE),FALSE)/24,""))),""))</f>
        <v/>
      </c>
      <c r="P25" s="90"/>
      <c r="T25" t="s">
        <v>1424</v>
      </c>
      <c r="U25" t="s">
        <v>1322</v>
      </c>
      <c r="V25" t="s">
        <v>1399</v>
      </c>
      <c r="W25" s="82">
        <v>15</v>
      </c>
      <c r="X25" s="71">
        <v>0.3125</v>
      </c>
      <c r="Y25" s="101">
        <v>0.609837962962963</v>
      </c>
      <c r="Z25" s="101">
        <v>0.94079861111111107</v>
      </c>
      <c r="AA25" s="101">
        <v>0.33096064814814807</v>
      </c>
      <c r="AB25" s="101">
        <v>1.8460648148148073E-2</v>
      </c>
      <c r="AC25" s="105">
        <v>0</v>
      </c>
      <c r="AD25" s="105">
        <v>0</v>
      </c>
      <c r="AE25" s="93">
        <v>0</v>
      </c>
      <c r="AF25" s="93">
        <v>0</v>
      </c>
      <c r="AG25" s="93">
        <v>0</v>
      </c>
    </row>
    <row r="26" spans="1:33">
      <c r="A26" s="65" t="str">
        <f>IFERROR(VLOOKUP('Informe Kelly'!A19,Base!A:B,2,FALSE),"")</f>
        <v>05.267.317-8</v>
      </c>
      <c r="B26" s="65" t="str">
        <f>IFERROR(VLOOKUP('Informe Kelly'!A19,Base!A:G,7,FALSE),"")</f>
        <v xml:space="preserve">DUARTE BECERRA LUIS </v>
      </c>
      <c r="C26" s="69" t="str">
        <f>IF(G26=$C$4,IF('Informe Kelly'!H19='Control informe Kelly'!$A$2,TEXT(((LEFT('Informe Kelly'!E19,2)*1)+1),"dd")&amp;"."&amp;MID('Informe Kelly'!E19,4,2)&amp;"."&amp;RIGHT('Informe Kelly'!E19,4),'Informe Kelly'!E19),'Informe Kelly'!E19)</f>
        <v>13.04.2011</v>
      </c>
      <c r="D26" s="69" t="str">
        <f>IF('Informe Kelly'!E19="","",'Informe Kelly'!E19)</f>
        <v>13.04.2011</v>
      </c>
      <c r="E26" s="72">
        <f t="shared" si="0"/>
        <v>9</v>
      </c>
      <c r="F26" s="72" t="str">
        <f>IFERROR(HLOOKUP(C26,Ingreso!$Q$8:$AD$9,2,FALSE),"v")</f>
        <v>Miércoles</v>
      </c>
      <c r="G26" s="65" t="str">
        <f>IFERROR(VLOOKUP(A26,Ingreso!K:P,6,FALSE),"no esta ingresado")</f>
        <v>Admin</v>
      </c>
      <c r="H26" s="65">
        <f>IFERROR(IF('Informe Kelly'!H19=$A$2,'Informe Kelly'!F19,""),0)</f>
        <v>0.28695601851851854</v>
      </c>
      <c r="I26" s="65" t="str">
        <f>IFERROR(IF('Informe Kelly'!H19=$A$3,'Informe Kelly'!F19,""),0)</f>
        <v/>
      </c>
      <c r="J26" s="65" t="str">
        <f>IF(IFERROR(IF(E26=E25,0,(HLOOKUP(D26,Ingreso!$AN$10:$AT$260,VLOOKUP(A26,Ingreso!$AL$11:$AM$260,2,FALSE)))/24),0)=0,"",IFERROR(IF(E26=E25,0,(HLOOKUP(D26,Ingreso!$AN$10:$AT$260,VLOOKUP(A26,Ingreso!$AL$11:$AM$260,2,FALSE)))/24),0))</f>
        <v/>
      </c>
      <c r="K26" s="65" t="str">
        <f>IF(IFERROR(IF(E26=E25,0,(HLOOKUP(C26,Ingreso!$AW$10:$BC$260,VLOOKUP(A26,Ingreso!$AL$11:$AM$260,2,FALSE)))/24),0)=0,"",IFERROR(IF(E26=E25,0,(HLOOKUP(C26,Ingreso!$AW$10:$BC$260,VLOOKUP(A26,Ingreso!$AL$11:$AM$260,2,FALSE)))/24),0))</f>
        <v/>
      </c>
      <c r="L26" s="63">
        <f t="shared" si="1"/>
        <v>0</v>
      </c>
      <c r="M26" s="63" t="str">
        <f>IF(IFERROR(IF(C26=C24,0,IF(E26=E25,0,IF(C26=$R$2,HLOOKUP($R$2,Ingreso!$AW$10:$BC$260,VLOOKUP(A26,Ingreso!AL:AM,2,FALSE),FALSE)/24,""))),"")=0,"",IFERROR(IF(C26=C24,0,IF(E26=E25,0,IF(C26=$R$2,HLOOKUP($R$2,Ingreso!$AW$10:$BC$260,VLOOKUP(A26,Ingreso!AL:AM,2,FALSE),FALSE)/24,""))),""))</f>
        <v/>
      </c>
      <c r="N26" s="95" t="str">
        <f>IF(IFERROR(IF(C26=C24,0,IF(E26=E25,0,IF(C26=$R$3,HLOOKUP($R$3,Ingreso!$AW$10:$BC$260,VLOOKUP(A26,Ingreso!AL:AM,2,FALSE),FALSE)/24,""))),"")=0,"",IFERROR(IF(C26=C24,0,IF(E26=E25,0,IF(C26=$R$3,HLOOKUP($R$3,Ingreso!$AW$10:$BC$260,VLOOKUP(A26,Ingreso!AL:AM,2,FALSE),FALSE)/24,""))),""))</f>
        <v/>
      </c>
      <c r="O26" s="95" t="str">
        <f>IF(IFERROR(IF(C26=C24,0,IF(E26=E25,0,IF(C26=$R$4,HLOOKUP($R$4,Ingreso!$AW$10:$BC$260,VLOOKUP(A26,Ingreso!AL:AM,2,FALSE),FALSE)/24,""))),"")=0,"",IFERROR(IF(C26=C24,0,IF(E26=E25,0,IF(C26=$R$4,HLOOKUP($R$4,Ingreso!$AW$10:$BC$260,VLOOKUP(A26,Ingreso!AL:AM,2,FALSE),FALSE)/24,""))),""))</f>
        <v/>
      </c>
      <c r="P26" s="90"/>
      <c r="T26" t="s">
        <v>1425</v>
      </c>
      <c r="U26" t="s">
        <v>1322</v>
      </c>
      <c r="V26" t="s">
        <v>1400</v>
      </c>
      <c r="W26" s="82">
        <v>16</v>
      </c>
      <c r="X26" s="71">
        <v>0.3125</v>
      </c>
      <c r="Y26" s="101">
        <v>0.29910879629629633</v>
      </c>
      <c r="Z26" s="101">
        <v>0.63003472222222223</v>
      </c>
      <c r="AA26" s="101">
        <v>0.3309259259259259</v>
      </c>
      <c r="AB26" s="101">
        <v>1.8425925925925901E-2</v>
      </c>
      <c r="AC26" s="105">
        <v>0</v>
      </c>
      <c r="AD26" s="105">
        <v>0</v>
      </c>
      <c r="AE26" s="93">
        <v>0</v>
      </c>
      <c r="AF26" s="93">
        <v>0</v>
      </c>
      <c r="AG26" s="93">
        <v>0</v>
      </c>
    </row>
    <row r="27" spans="1:33">
      <c r="A27" s="65" t="str">
        <f>IFERROR(VLOOKUP('Informe Kelly'!A20,Base!A:B,2,FALSE),"")</f>
        <v>05.267.317-8</v>
      </c>
      <c r="B27" s="65" t="str">
        <f>IFERROR(VLOOKUP('Informe Kelly'!A20,Base!A:G,7,FALSE),"")</f>
        <v xml:space="preserve">DUARTE BECERRA LUIS </v>
      </c>
      <c r="C27" s="69" t="str">
        <f>IF(G27=$C$4,IF('Informe Kelly'!H20='Control informe Kelly'!$A$2,TEXT(((LEFT('Informe Kelly'!E20,2)*1)+1),"dd")&amp;"."&amp;MID('Informe Kelly'!E20,4,2)&amp;"."&amp;RIGHT('Informe Kelly'!E20,4),'Informe Kelly'!E20),'Informe Kelly'!E20)</f>
        <v>14.04.2011</v>
      </c>
      <c r="D27" s="69" t="str">
        <f>IF('Informe Kelly'!E20="","",'Informe Kelly'!E20)</f>
        <v>14.04.2011</v>
      </c>
      <c r="E27" s="72">
        <f t="shared" si="0"/>
        <v>10</v>
      </c>
      <c r="F27" s="72" t="str">
        <f>IFERROR(HLOOKUP(C27,Ingreso!$Q$8:$AD$9,2,FALSE),"v")</f>
        <v>Jueves</v>
      </c>
      <c r="G27" s="65" t="str">
        <f>IFERROR(VLOOKUP(A27,Ingreso!K:P,6,FALSE),"no esta ingresado")</f>
        <v>Admin</v>
      </c>
      <c r="H27" s="65" t="str">
        <f>IFERROR(IF('Informe Kelly'!H20=$A$2,'Informe Kelly'!F20,""),0)</f>
        <v/>
      </c>
      <c r="I27" s="65">
        <f>IFERROR(IF('Informe Kelly'!H20=$A$3,'Informe Kelly'!F20,""),0)</f>
        <v>0.72928240740740735</v>
      </c>
      <c r="J27" s="65" t="str">
        <f>IF(IFERROR(IF(E27=E26,0,(HLOOKUP(D27,Ingreso!$AN$10:$AT$260,VLOOKUP(A27,Ingreso!$AL$11:$AM$260,2,FALSE)))/24),0)=0,"",IFERROR(IF(E27=E26,0,(HLOOKUP(D27,Ingreso!$AN$10:$AT$260,VLOOKUP(A27,Ingreso!$AL$11:$AM$260,2,FALSE)))/24),0))</f>
        <v/>
      </c>
      <c r="K27" s="65" t="str">
        <f>IF(IFERROR(IF(E27=E26,0,(HLOOKUP(C27,Ingreso!$AW$10:$BC$260,VLOOKUP(A27,Ingreso!$AL$11:$AM$260,2,FALSE)))/24),0)=0,"",IFERROR(IF(E27=E26,0,(HLOOKUP(C27,Ingreso!$AW$10:$BC$260,VLOOKUP(A27,Ingreso!$AL$11:$AM$260,2,FALSE)))/24),0))</f>
        <v/>
      </c>
      <c r="L27" s="63">
        <f t="shared" si="1"/>
        <v>0.41666666666666669</v>
      </c>
      <c r="M27" s="63" t="str">
        <f>IF(IFERROR(IF(C27=C25,0,IF(E27=E26,0,IF(C27=$R$2,HLOOKUP($R$2,Ingreso!$AW$10:$BC$260,VLOOKUP(A27,Ingreso!AL:AM,2,FALSE),FALSE)/24,""))),"")=0,"",IFERROR(IF(C27=C25,0,IF(E27=E26,0,IF(C27=$R$2,HLOOKUP($R$2,Ingreso!$AW$10:$BC$260,VLOOKUP(A27,Ingreso!AL:AM,2,FALSE),FALSE)/24,""))),""))</f>
        <v/>
      </c>
      <c r="N27" s="95" t="str">
        <f>IF(IFERROR(IF(C27=C25,0,IF(E27=E26,0,IF(C27=$R$3,HLOOKUP($R$3,Ingreso!$AW$10:$BC$260,VLOOKUP(A27,Ingreso!AL:AM,2,FALSE),FALSE)/24,""))),"")=0,"",IFERROR(IF(C27=C25,0,IF(E27=E26,0,IF(C27=$R$3,HLOOKUP($R$3,Ingreso!$AW$10:$BC$260,VLOOKUP(A27,Ingreso!AL:AM,2,FALSE),FALSE)/24,""))),""))</f>
        <v/>
      </c>
      <c r="O27" s="95" t="str">
        <f>IF(IFERROR(IF(C27=C25,0,IF(E27=E26,0,IF(C27=$R$4,HLOOKUP($R$4,Ingreso!$AW$10:$BC$260,VLOOKUP(A27,Ingreso!AL:AM,2,FALSE),FALSE)/24,""))),"")=0,"",IFERROR(IF(C27=C25,0,IF(E27=E26,0,IF(C27=$R$4,HLOOKUP($R$4,Ingreso!$AW$10:$BC$260,VLOOKUP(A27,Ingreso!AL:AM,2,FALSE),FALSE)/24,""))),""))</f>
        <v/>
      </c>
      <c r="P27" s="90"/>
      <c r="T27" t="s">
        <v>1426</v>
      </c>
      <c r="U27" t="s">
        <v>1322</v>
      </c>
      <c r="V27" t="s">
        <v>1401</v>
      </c>
      <c r="W27" s="82">
        <v>17</v>
      </c>
      <c r="X27" s="71">
        <v>0.3125</v>
      </c>
      <c r="Y27" s="101">
        <v>0.60766203703703703</v>
      </c>
      <c r="Z27" s="101">
        <v>0.93927083333333339</v>
      </c>
      <c r="AA27" s="101">
        <v>0.33160879629629636</v>
      </c>
      <c r="AB27" s="101">
        <v>1.910879629629636E-2</v>
      </c>
      <c r="AC27" s="105">
        <v>0</v>
      </c>
      <c r="AD27" s="105">
        <v>0</v>
      </c>
      <c r="AE27" s="93">
        <v>0</v>
      </c>
      <c r="AF27" s="93">
        <v>0</v>
      </c>
      <c r="AG27" s="93">
        <v>0</v>
      </c>
    </row>
    <row r="28" spans="1:33">
      <c r="A28" s="65" t="str">
        <f>IFERROR(VLOOKUP('Informe Kelly'!A21,Base!A:B,2,FALSE),"")</f>
        <v>05.267.317-8</v>
      </c>
      <c r="B28" s="65" t="str">
        <f>IFERROR(VLOOKUP('Informe Kelly'!A21,Base!A:G,7,FALSE),"")</f>
        <v xml:space="preserve">DUARTE BECERRA LUIS </v>
      </c>
      <c r="C28" s="69" t="str">
        <f>IF(G28=$C$4,IF('Informe Kelly'!H21='Control informe Kelly'!$A$2,TEXT(((LEFT('Informe Kelly'!E21,2)*1)+1),"dd")&amp;"."&amp;MID('Informe Kelly'!E21,4,2)&amp;"."&amp;RIGHT('Informe Kelly'!E21,4),'Informe Kelly'!E21),'Informe Kelly'!E21)</f>
        <v>14.04.2011</v>
      </c>
      <c r="D28" s="69" t="str">
        <f>IF('Informe Kelly'!E21="","",'Informe Kelly'!E21)</f>
        <v>14.04.2011</v>
      </c>
      <c r="E28" s="72">
        <f t="shared" si="0"/>
        <v>10</v>
      </c>
      <c r="F28" s="72" t="str">
        <f>IFERROR(HLOOKUP(C28,Ingreso!$Q$8:$AD$9,2,FALSE),"v")</f>
        <v>Jueves</v>
      </c>
      <c r="G28" s="65" t="str">
        <f>IFERROR(VLOOKUP(A28,Ingreso!K:P,6,FALSE),"no esta ingresado")</f>
        <v>Admin</v>
      </c>
      <c r="H28" s="65">
        <f>IFERROR(IF('Informe Kelly'!H21=$A$2,'Informe Kelly'!F21,""),0)</f>
        <v>0.28765046296296298</v>
      </c>
      <c r="I28" s="65" t="str">
        <f>IFERROR(IF('Informe Kelly'!H21=$A$3,'Informe Kelly'!F21,""),0)</f>
        <v/>
      </c>
      <c r="J28" s="65" t="str">
        <f>IF(IFERROR(IF(E28=E27,0,(HLOOKUP(D28,Ingreso!$AN$10:$AT$260,VLOOKUP(A28,Ingreso!$AL$11:$AM$260,2,FALSE)))/24),0)=0,"",IFERROR(IF(E28=E27,0,(HLOOKUP(D28,Ingreso!$AN$10:$AT$260,VLOOKUP(A28,Ingreso!$AL$11:$AM$260,2,FALSE)))/24),0))</f>
        <v/>
      </c>
      <c r="K28" s="65" t="str">
        <f>IF(IFERROR(IF(E28=E27,0,(HLOOKUP(C28,Ingreso!$AW$10:$BC$260,VLOOKUP(A28,Ingreso!$AL$11:$AM$260,2,FALSE)))/24),0)=0,"",IFERROR(IF(E28=E27,0,(HLOOKUP(C28,Ingreso!$AW$10:$BC$260,VLOOKUP(A28,Ingreso!$AL$11:$AM$260,2,FALSE)))/24),0))</f>
        <v/>
      </c>
      <c r="L28" s="63">
        <f t="shared" si="1"/>
        <v>0</v>
      </c>
      <c r="M28" s="63" t="str">
        <f>IF(IFERROR(IF(C28=C26,0,IF(E28=E27,0,IF(C28=$R$2,HLOOKUP($R$2,Ingreso!$AW$10:$BC$260,VLOOKUP(A28,Ingreso!AL:AM,2,FALSE),FALSE)/24,""))),"")=0,"",IFERROR(IF(C28=C26,0,IF(E28=E27,0,IF(C28=$R$2,HLOOKUP($R$2,Ingreso!$AW$10:$BC$260,VLOOKUP(A28,Ingreso!AL:AM,2,FALSE),FALSE)/24,""))),""))</f>
        <v/>
      </c>
      <c r="N28" s="95" t="str">
        <f>IF(IFERROR(IF(C28=C26,0,IF(E28=E27,0,IF(C28=$R$3,HLOOKUP($R$3,Ingreso!$AW$10:$BC$260,VLOOKUP(A28,Ingreso!AL:AM,2,FALSE),FALSE)/24,""))),"")=0,"",IFERROR(IF(C28=C26,0,IF(E28=E27,0,IF(C28=$R$3,HLOOKUP($R$3,Ingreso!$AW$10:$BC$260,VLOOKUP(A28,Ingreso!AL:AM,2,FALSE),FALSE)/24,""))),""))</f>
        <v/>
      </c>
      <c r="O28" s="95" t="str">
        <f>IF(IFERROR(IF(C28=C26,0,IF(E28=E27,0,IF(C28=$R$4,HLOOKUP($R$4,Ingreso!$AW$10:$BC$260,VLOOKUP(A28,Ingreso!AL:AM,2,FALSE),FALSE)/24,""))),"")=0,"",IFERROR(IF(C28=C26,0,IF(E28=E27,0,IF(C28=$R$4,HLOOKUP($R$4,Ingreso!$AW$10:$BC$260,VLOOKUP(A28,Ingreso!AL:AM,2,FALSE),FALSE)/24,""))),""))</f>
        <v/>
      </c>
      <c r="P28" s="90"/>
      <c r="T28" t="s">
        <v>1427</v>
      </c>
      <c r="U28" t="s">
        <v>1322</v>
      </c>
      <c r="V28" t="s">
        <v>1402</v>
      </c>
      <c r="W28" s="82">
        <v>18</v>
      </c>
      <c r="X28" s="71">
        <v>0.3125</v>
      </c>
      <c r="Y28" s="101">
        <v>0.49086805555555557</v>
      </c>
      <c r="Z28" s="101">
        <v>0.81225694444444441</v>
      </c>
      <c r="AA28" s="101">
        <v>0.32138888888888884</v>
      </c>
      <c r="AB28" s="101">
        <v>8.8888888888888351E-3</v>
      </c>
      <c r="AC28" s="105">
        <v>0</v>
      </c>
      <c r="AD28" s="105">
        <v>0</v>
      </c>
      <c r="AE28" s="93">
        <v>0</v>
      </c>
      <c r="AF28" s="93">
        <v>0</v>
      </c>
      <c r="AG28" s="93">
        <v>0</v>
      </c>
    </row>
    <row r="29" spans="1:33">
      <c r="A29" s="65" t="str">
        <f>IFERROR(VLOOKUP('Informe Kelly'!A22,Base!A:B,2,FALSE),"")</f>
        <v>05.267.317-8</v>
      </c>
      <c r="B29" s="65" t="str">
        <f>IFERROR(VLOOKUP('Informe Kelly'!A22,Base!A:G,7,FALSE),"")</f>
        <v xml:space="preserve">DUARTE BECERRA LUIS </v>
      </c>
      <c r="C29" s="69" t="str">
        <f>IF(G29=$C$4,IF('Informe Kelly'!H22='Control informe Kelly'!$A$2,TEXT(((LEFT('Informe Kelly'!E22,2)*1)+1),"dd")&amp;"."&amp;MID('Informe Kelly'!E22,4,2)&amp;"."&amp;RIGHT('Informe Kelly'!E22,4),'Informe Kelly'!E22),'Informe Kelly'!E22)</f>
        <v>15.04.2011</v>
      </c>
      <c r="D29" s="69" t="str">
        <f>IF('Informe Kelly'!E22="","",'Informe Kelly'!E22)</f>
        <v>15.04.2011</v>
      </c>
      <c r="E29" s="72">
        <f t="shared" si="0"/>
        <v>11</v>
      </c>
      <c r="F29" s="72" t="str">
        <f>IFERROR(HLOOKUP(C29,Ingreso!$Q$8:$AD$9,2,FALSE),"v")</f>
        <v>Viernes</v>
      </c>
      <c r="G29" s="65" t="str">
        <f>IFERROR(VLOOKUP(A29,Ingreso!K:P,6,FALSE),"no esta ingresado")</f>
        <v>Admin</v>
      </c>
      <c r="H29" s="65" t="str">
        <f>IFERROR(IF('Informe Kelly'!H22=$A$2,'Informe Kelly'!F22,""),0)</f>
        <v/>
      </c>
      <c r="I29" s="65">
        <f>IFERROR(IF('Informe Kelly'!H22=$A$3,'Informe Kelly'!F22,""),0)</f>
        <v>0.87041666666666673</v>
      </c>
      <c r="J29" s="65">
        <f>IF(IFERROR(IF(E29=E28,0,(HLOOKUP(D29,Ingreso!$AN$10:$AT$260,VLOOKUP(A29,Ingreso!$AL$11:$AM$260,2,FALSE)))/24),0)=0,"",IFERROR(IF(E29=E28,0,(HLOOKUP(D29,Ingreso!$AN$10:$AT$260,VLOOKUP(A29,Ingreso!$AL$11:$AM$260,2,FALSE)))/24),0))</f>
        <v>0.125</v>
      </c>
      <c r="K29" s="65" t="str">
        <f>IF(IFERROR(IF(E29=E28,0,(HLOOKUP(C29,Ingreso!$AW$10:$BC$260,VLOOKUP(A29,Ingreso!$AL$11:$AM$260,2,FALSE)))/24),0)=0,"",IFERROR(IF(E29=E28,0,(HLOOKUP(C29,Ingreso!$AW$10:$BC$260,VLOOKUP(A29,Ingreso!$AL$11:$AM$260,2,FALSE)))/24),0))</f>
        <v/>
      </c>
      <c r="L29" s="63">
        <f t="shared" si="1"/>
        <v>0.41666666666666669</v>
      </c>
      <c r="M29" s="63" t="str">
        <f>IF(IFERROR(IF(C29=C27,0,IF(E29=E28,0,IF(C29=$R$2,HLOOKUP($R$2,Ingreso!$AW$10:$BC$260,VLOOKUP(A29,Ingreso!AL:AM,2,FALSE),FALSE)/24,""))),"")=0,"",IFERROR(IF(C29=C27,0,IF(E29=E28,0,IF(C29=$R$2,HLOOKUP($R$2,Ingreso!$AW$10:$BC$260,VLOOKUP(A29,Ingreso!AL:AM,2,FALSE),FALSE)/24,""))),""))</f>
        <v/>
      </c>
      <c r="N29" s="95" t="str">
        <f>IF(IFERROR(IF(C29=C27,0,IF(E29=E28,0,IF(C29=$R$3,HLOOKUP($R$3,Ingreso!$AW$10:$BC$260,VLOOKUP(A29,Ingreso!AL:AM,2,FALSE),FALSE)/24,""))),"")=0,"",IFERROR(IF(C29=C27,0,IF(E29=E28,0,IF(C29=$R$3,HLOOKUP($R$3,Ingreso!$AW$10:$BC$260,VLOOKUP(A29,Ingreso!AL:AM,2,FALSE),FALSE)/24,""))),""))</f>
        <v/>
      </c>
      <c r="O29" s="95" t="str">
        <f>IF(IFERROR(IF(C29=C27,0,IF(E29=E28,0,IF(C29=$R$4,HLOOKUP($R$4,Ingreso!$AW$10:$BC$260,VLOOKUP(A29,Ingreso!AL:AM,2,FALSE),FALSE)/24,""))),"")=0,"",IFERROR(IF(C29=C27,0,IF(E29=E28,0,IF(C29=$R$4,HLOOKUP($R$4,Ingreso!$AW$10:$BC$260,VLOOKUP(A29,Ingreso!AL:AM,2,FALSE),FALSE)/24,""))),""))</f>
        <v/>
      </c>
      <c r="P29" s="90"/>
      <c r="R29" t="s">
        <v>699</v>
      </c>
      <c r="S29" t="s">
        <v>703</v>
      </c>
      <c r="T29" t="s">
        <v>1420</v>
      </c>
      <c r="U29" t="s">
        <v>1322</v>
      </c>
      <c r="V29" t="s">
        <v>1397</v>
      </c>
      <c r="W29" s="82">
        <v>25</v>
      </c>
      <c r="X29" s="71">
        <v>0.3125</v>
      </c>
      <c r="Y29" s="101">
        <v>0.60835648148148147</v>
      </c>
      <c r="Z29" s="101">
        <v>0.94307870370370372</v>
      </c>
      <c r="AA29" s="101">
        <v>0.33472222222222225</v>
      </c>
      <c r="AB29" s="101">
        <v>2.2222222222222254E-2</v>
      </c>
      <c r="AC29" s="105">
        <v>0</v>
      </c>
      <c r="AD29" s="105">
        <v>0</v>
      </c>
      <c r="AE29" s="93">
        <v>0</v>
      </c>
      <c r="AF29" s="93">
        <v>0</v>
      </c>
      <c r="AG29" s="93">
        <v>0</v>
      </c>
    </row>
    <row r="30" spans="1:33" ht="12.75" customHeight="1">
      <c r="A30" s="65" t="str">
        <f>IFERROR(VLOOKUP('Informe Kelly'!A23,Base!A:B,2,FALSE),"")</f>
        <v>05.267.317-8</v>
      </c>
      <c r="B30" s="65" t="str">
        <f>IFERROR(VLOOKUP('Informe Kelly'!A23,Base!A:G,7,FALSE),"")</f>
        <v xml:space="preserve">DUARTE BECERRA LUIS </v>
      </c>
      <c r="C30" s="69" t="str">
        <f>IF(G30=$C$4,IF('Informe Kelly'!H23='Control informe Kelly'!$A$2,TEXT(((LEFT('Informe Kelly'!E23,2)*1)+1),"dd")&amp;"."&amp;MID('Informe Kelly'!E23,4,2)&amp;"."&amp;RIGHT('Informe Kelly'!E23,4),'Informe Kelly'!E23),'Informe Kelly'!E23)</f>
        <v>15.04.2011</v>
      </c>
      <c r="D30" s="69" t="str">
        <f>IF('Informe Kelly'!E23="","",'Informe Kelly'!E23)</f>
        <v>15.04.2011</v>
      </c>
      <c r="E30" s="72">
        <f t="shared" si="0"/>
        <v>11</v>
      </c>
      <c r="F30" s="72" t="str">
        <f>IFERROR(HLOOKUP(C30,Ingreso!$Q$8:$AD$9,2,FALSE),"v")</f>
        <v>Viernes</v>
      </c>
      <c r="G30" s="65" t="str">
        <f>IFERROR(VLOOKUP(A30,Ingreso!K:P,6,FALSE),"no esta ingresado")</f>
        <v>Admin</v>
      </c>
      <c r="H30" s="65">
        <f>IFERROR(IF('Informe Kelly'!H23=$A$2,'Informe Kelly'!F23,""),0)</f>
        <v>0.2840625</v>
      </c>
      <c r="I30" s="65" t="str">
        <f>IFERROR(IF('Informe Kelly'!H23=$A$3,'Informe Kelly'!F23,""),0)</f>
        <v/>
      </c>
      <c r="J30" s="65" t="str">
        <f>IF(IFERROR(IF(E30=E29,0,(HLOOKUP(D30,Ingreso!$AN$10:$AT$260,VLOOKUP(A30,Ingreso!$AL$11:$AM$260,2,FALSE)))/24),0)=0,"",IFERROR(IF(E30=E29,0,(HLOOKUP(D30,Ingreso!$AN$10:$AT$260,VLOOKUP(A30,Ingreso!$AL$11:$AM$260,2,FALSE)))/24),0))</f>
        <v/>
      </c>
      <c r="K30" s="65" t="str">
        <f>IF(IFERROR(IF(E30=E29,0,(HLOOKUP(C30,Ingreso!$AW$10:$BC$260,VLOOKUP(A30,Ingreso!$AL$11:$AM$260,2,FALSE)))/24),0)=0,"",IFERROR(IF(E30=E29,0,(HLOOKUP(C30,Ingreso!$AW$10:$BC$260,VLOOKUP(A30,Ingreso!$AL$11:$AM$260,2,FALSE)))/24),0))</f>
        <v/>
      </c>
      <c r="L30" s="63">
        <f t="shared" si="1"/>
        <v>0</v>
      </c>
      <c r="M30" s="63" t="str">
        <f>IF(IFERROR(IF(C30=C28,0,IF(E30=E29,0,IF(C30=$R$2,HLOOKUP($R$2,Ingreso!$AW$10:$BC$260,VLOOKUP(A30,Ingreso!AL:AM,2,FALSE),FALSE)/24,""))),"")=0,"",IFERROR(IF(C30=C28,0,IF(E30=E29,0,IF(C30=$R$2,HLOOKUP($R$2,Ingreso!$AW$10:$BC$260,VLOOKUP(A30,Ingreso!AL:AM,2,FALSE),FALSE)/24,""))),""))</f>
        <v/>
      </c>
      <c r="N30" s="95" t="str">
        <f>IF(IFERROR(IF(C30=C28,0,IF(E30=E29,0,IF(C30=$R$3,HLOOKUP($R$3,Ingreso!$AW$10:$BC$260,VLOOKUP(A30,Ingreso!AL:AM,2,FALSE),FALSE)/24,""))),"")=0,"",IFERROR(IF(C30=C28,0,IF(E30=E29,0,IF(C30=$R$3,HLOOKUP($R$3,Ingreso!$AW$10:$BC$260,VLOOKUP(A30,Ingreso!AL:AM,2,FALSE),FALSE)/24,""))),""))</f>
        <v/>
      </c>
      <c r="O30" s="95" t="str">
        <f>IF(IFERROR(IF(C30=C28,0,IF(E30=E29,0,IF(C30=$R$4,HLOOKUP($R$4,Ingreso!$AW$10:$BC$260,VLOOKUP(A30,Ingreso!AL:AM,2,FALSE),FALSE)/24,""))),"")=0,"",IFERROR(IF(C30=C28,0,IF(E30=E29,0,IF(C30=$R$4,HLOOKUP($R$4,Ingreso!$AW$10:$BC$260,VLOOKUP(A30,Ingreso!AL:AM,2,FALSE),FALSE)/24,""))),""))</f>
        <v/>
      </c>
      <c r="P30" s="90"/>
      <c r="T30" t="s">
        <v>1423</v>
      </c>
      <c r="U30" t="s">
        <v>1322</v>
      </c>
      <c r="V30" t="s">
        <v>1398</v>
      </c>
      <c r="W30" s="82">
        <v>26</v>
      </c>
      <c r="X30" s="71">
        <v>0.3125</v>
      </c>
      <c r="Y30" s="101">
        <v>0.60817129629629629</v>
      </c>
      <c r="Z30" s="101">
        <v>0.9443287037037037</v>
      </c>
      <c r="AA30" s="101">
        <v>0.3361574074074074</v>
      </c>
      <c r="AB30" s="101">
        <v>2.3657407407407405E-2</v>
      </c>
      <c r="AC30" s="105">
        <v>0</v>
      </c>
      <c r="AD30" s="105">
        <v>0</v>
      </c>
      <c r="AE30" s="93">
        <v>0</v>
      </c>
      <c r="AF30" s="93">
        <v>0</v>
      </c>
      <c r="AG30" s="93">
        <v>0</v>
      </c>
    </row>
    <row r="31" spans="1:33">
      <c r="A31" s="65" t="str">
        <f>IFERROR(VLOOKUP('Informe Kelly'!A24,Base!A:B,2,FALSE),"")</f>
        <v>05.267.317-8</v>
      </c>
      <c r="B31" s="65" t="str">
        <f>IFERROR(VLOOKUP('Informe Kelly'!A24,Base!A:G,7,FALSE),"")</f>
        <v xml:space="preserve">DUARTE BECERRA LUIS </v>
      </c>
      <c r="C31" s="69" t="str">
        <f>IF(G31=$C$4,IF('Informe Kelly'!H24='Control informe Kelly'!$A$2,TEXT(((LEFT('Informe Kelly'!E24,2)*1)+1),"dd")&amp;"."&amp;MID('Informe Kelly'!E24,4,2)&amp;"."&amp;RIGHT('Informe Kelly'!E24,4),'Informe Kelly'!E24),'Informe Kelly'!E24)</f>
        <v>16.04.2011</v>
      </c>
      <c r="D31" s="69" t="str">
        <f>IF('Informe Kelly'!E24="","",'Informe Kelly'!E24)</f>
        <v>16.04.2011</v>
      </c>
      <c r="E31" s="72">
        <f t="shared" si="0"/>
        <v>12</v>
      </c>
      <c r="F31" s="72" t="str">
        <f>IFERROR(HLOOKUP(C31,Ingreso!$Q$8:$AD$9,2,FALSE),"v")</f>
        <v>Sábado</v>
      </c>
      <c r="G31" s="65" t="str">
        <f>IFERROR(VLOOKUP(A31,Ingreso!K:P,6,FALSE),"no esta ingresado")</f>
        <v>Admin</v>
      </c>
      <c r="H31" s="65" t="str">
        <f>IFERROR(IF('Informe Kelly'!H24=$A$2,'Informe Kelly'!F24,""),0)</f>
        <v/>
      </c>
      <c r="I31" s="65">
        <f>IFERROR(IF('Informe Kelly'!H24=$A$3,'Informe Kelly'!F24,""),0)</f>
        <v>0.57298611111111108</v>
      </c>
      <c r="J31" s="65">
        <f>IF(IFERROR(IF(E31=E30,0,(HLOOKUP(D31,Ingreso!$AN$10:$AT$260,VLOOKUP(A31,Ingreso!$AL$11:$AM$260,2,FALSE)))/24),0)=0,"",IFERROR(IF(E31=E30,0,(HLOOKUP(D31,Ingreso!$AN$10:$AT$260,VLOOKUP(A31,Ingreso!$AL$11:$AM$260,2,FALSE)))/24),0))</f>
        <v>0.25</v>
      </c>
      <c r="K31" s="65" t="str">
        <f>IF(IFERROR(IF(E31=E30,0,(HLOOKUP(C31,Ingreso!$AW$10:$BC$260,VLOOKUP(A31,Ingreso!$AL$11:$AM$260,2,FALSE)))/24),0)=0,"",IFERROR(IF(E31=E30,0,(HLOOKUP(C31,Ingreso!$AW$10:$BC$260,VLOOKUP(A31,Ingreso!$AL$11:$AM$260,2,FALSE)))/24),0))</f>
        <v/>
      </c>
      <c r="L31" s="63">
        <f t="shared" si="1"/>
        <v>0.41666666666666669</v>
      </c>
      <c r="M31" s="63" t="str">
        <f>IF(IFERROR(IF(C31=C29,0,IF(E31=E30,0,IF(C31=$R$2,HLOOKUP($R$2,Ingreso!$AW$10:$BC$260,VLOOKUP(A31,Ingreso!AL:AM,2,FALSE),FALSE)/24,""))),"")=0,"",IFERROR(IF(C31=C29,0,IF(E31=E30,0,IF(C31=$R$2,HLOOKUP($R$2,Ingreso!$AW$10:$BC$260,VLOOKUP(A31,Ingreso!AL:AM,2,FALSE),FALSE)/24,""))),""))</f>
        <v/>
      </c>
      <c r="N31" s="95" t="str">
        <f>IF(IFERROR(IF(C31=C29,0,IF(E31=E30,0,IF(C31=$R$3,HLOOKUP($R$3,Ingreso!$AW$10:$BC$260,VLOOKUP(A31,Ingreso!AL:AM,2,FALSE),FALSE)/24,""))),"")=0,"",IFERROR(IF(C31=C29,0,IF(E31=E30,0,IF(C31=$R$3,HLOOKUP($R$3,Ingreso!$AW$10:$BC$260,VLOOKUP(A31,Ingreso!AL:AM,2,FALSE),FALSE)/24,""))),""))</f>
        <v/>
      </c>
      <c r="O31" s="95" t="str">
        <f>IF(IFERROR(IF(C31=C29,0,IF(E31=E30,0,IF(C31=$R$4,HLOOKUP($R$4,Ingreso!$AW$10:$BC$260,VLOOKUP(A31,Ingreso!AL:AM,2,FALSE),FALSE)/24,""))),"")=0,"",IFERROR(IF(C31=C29,0,IF(E31=E30,0,IF(C31=$R$4,HLOOKUP($R$4,Ingreso!$AW$10:$BC$260,VLOOKUP(A31,Ingreso!AL:AM,2,FALSE),FALSE)/24,""))),""))</f>
        <v/>
      </c>
      <c r="P31" s="90"/>
      <c r="T31" t="s">
        <v>1424</v>
      </c>
      <c r="U31" t="s">
        <v>1322</v>
      </c>
      <c r="V31" t="s">
        <v>1399</v>
      </c>
      <c r="W31" s="82">
        <v>27</v>
      </c>
      <c r="X31" s="71">
        <v>0.3125</v>
      </c>
      <c r="Y31" s="101">
        <v>0.60945601851851849</v>
      </c>
      <c r="Z31" s="101">
        <v>0.94033564814814818</v>
      </c>
      <c r="AA31" s="101">
        <v>0.33087962962962969</v>
      </c>
      <c r="AB31" s="101">
        <v>1.837962962962969E-2</v>
      </c>
      <c r="AC31" s="105">
        <v>0</v>
      </c>
      <c r="AD31" s="105">
        <v>0</v>
      </c>
      <c r="AE31" s="93">
        <v>0</v>
      </c>
      <c r="AF31" s="93">
        <v>0</v>
      </c>
      <c r="AG31" s="93">
        <v>0</v>
      </c>
    </row>
    <row r="32" spans="1:33">
      <c r="A32" s="65" t="str">
        <f>IFERROR(VLOOKUP('Informe Kelly'!A25,Base!A:B,2,FALSE),"")</f>
        <v>05.267.317-8</v>
      </c>
      <c r="B32" s="65" t="str">
        <f>IFERROR(VLOOKUP('Informe Kelly'!A25,Base!A:G,7,FALSE),"")</f>
        <v xml:space="preserve">DUARTE BECERRA LUIS </v>
      </c>
      <c r="C32" s="69" t="str">
        <f>IF(G32=$C$4,IF('Informe Kelly'!H25='Control informe Kelly'!$A$2,TEXT(((LEFT('Informe Kelly'!E25,2)*1)+1),"dd")&amp;"."&amp;MID('Informe Kelly'!E25,4,2)&amp;"."&amp;RIGHT('Informe Kelly'!E25,4),'Informe Kelly'!E25),'Informe Kelly'!E25)</f>
        <v>16.04.2011</v>
      </c>
      <c r="D32" s="69" t="str">
        <f>IF('Informe Kelly'!E25="","",'Informe Kelly'!E25)</f>
        <v>16.04.2011</v>
      </c>
      <c r="E32" s="72">
        <f t="shared" si="0"/>
        <v>12</v>
      </c>
      <c r="F32" s="72" t="str">
        <f>IFERROR(HLOOKUP(C32,Ingreso!$Q$8:$AD$9,2,FALSE),"v")</f>
        <v>Sábado</v>
      </c>
      <c r="G32" s="65" t="str">
        <f>IFERROR(VLOOKUP(A32,Ingreso!K:P,6,FALSE),"no esta ingresado")</f>
        <v>Admin</v>
      </c>
      <c r="H32" s="65">
        <f>IFERROR(IF('Informe Kelly'!H25=$A$2,'Informe Kelly'!F25,""),0)</f>
        <v>0.30790509259259258</v>
      </c>
      <c r="I32" s="65" t="str">
        <f>IFERROR(IF('Informe Kelly'!H25=$A$3,'Informe Kelly'!F25,""),0)</f>
        <v/>
      </c>
      <c r="J32" s="65" t="str">
        <f>IF(IFERROR(IF(E32=E31,0,(HLOOKUP(D32,Ingreso!$AN$10:$AT$260,VLOOKUP(A32,Ingreso!$AL$11:$AM$260,2,FALSE)))/24),0)=0,"",IFERROR(IF(E32=E31,0,(HLOOKUP(D32,Ingreso!$AN$10:$AT$260,VLOOKUP(A32,Ingreso!$AL$11:$AM$260,2,FALSE)))/24),0))</f>
        <v/>
      </c>
      <c r="K32" s="65" t="str">
        <f>IF(IFERROR(IF(E32=E31,0,(HLOOKUP(C32,Ingreso!$AW$10:$BC$260,VLOOKUP(A32,Ingreso!$AL$11:$AM$260,2,FALSE)))/24),0)=0,"",IFERROR(IF(E32=E31,0,(HLOOKUP(C32,Ingreso!$AW$10:$BC$260,VLOOKUP(A32,Ingreso!$AL$11:$AM$260,2,FALSE)))/24),0))</f>
        <v/>
      </c>
      <c r="L32" s="63">
        <f t="shared" si="1"/>
        <v>0</v>
      </c>
      <c r="M32" s="63" t="str">
        <f>IF(IFERROR(IF(C32=C30,0,IF(E32=E31,0,IF(C32=$R$2,HLOOKUP($R$2,Ingreso!$AW$10:$BC$260,VLOOKUP(A32,Ingreso!AL:AM,2,FALSE),FALSE)/24,""))),"")=0,"",IFERROR(IF(C32=C30,0,IF(E32=E31,0,IF(C32=$R$2,HLOOKUP($R$2,Ingreso!$AW$10:$BC$260,VLOOKUP(A32,Ingreso!AL:AM,2,FALSE),FALSE)/24,""))),""))</f>
        <v/>
      </c>
      <c r="N32" s="95" t="str">
        <f>IF(IFERROR(IF(C32=C30,0,IF(E32=E31,0,IF(C32=$R$3,HLOOKUP($R$3,Ingreso!$AW$10:$BC$260,VLOOKUP(A32,Ingreso!AL:AM,2,FALSE),FALSE)/24,""))),"")=0,"",IFERROR(IF(C32=C30,0,IF(E32=E31,0,IF(C32=$R$3,HLOOKUP($R$3,Ingreso!$AW$10:$BC$260,VLOOKUP(A32,Ingreso!AL:AM,2,FALSE),FALSE)/24,""))),""))</f>
        <v/>
      </c>
      <c r="O32" s="95" t="str">
        <f>IF(IFERROR(IF(C32=C30,0,IF(E32=E31,0,IF(C32=$R$4,HLOOKUP($R$4,Ingreso!$AW$10:$BC$260,VLOOKUP(A32,Ingreso!AL:AM,2,FALSE),FALSE)/24,""))),"")=0,"",IFERROR(IF(C32=C30,0,IF(E32=E31,0,IF(C32=$R$4,HLOOKUP($R$4,Ingreso!$AW$10:$BC$260,VLOOKUP(A32,Ingreso!AL:AM,2,FALSE),FALSE)/24,""))),""))</f>
        <v/>
      </c>
      <c r="P32" s="90"/>
      <c r="T32" t="s">
        <v>1425</v>
      </c>
      <c r="U32" t="s">
        <v>1322</v>
      </c>
      <c r="V32" t="s">
        <v>1400</v>
      </c>
      <c r="W32" s="82">
        <v>28</v>
      </c>
      <c r="X32" s="71">
        <v>0.3125</v>
      </c>
      <c r="Y32" s="101">
        <v>0.61252314814814812</v>
      </c>
      <c r="Z32" s="101">
        <v>0.94390046296296293</v>
      </c>
      <c r="AA32" s="101">
        <v>0.33137731481481481</v>
      </c>
      <c r="AB32" s="101">
        <v>1.8877314814814805E-2</v>
      </c>
      <c r="AC32" s="105">
        <v>0</v>
      </c>
      <c r="AD32" s="105">
        <v>0</v>
      </c>
      <c r="AE32" s="93">
        <v>0</v>
      </c>
      <c r="AF32" s="93">
        <v>0</v>
      </c>
      <c r="AG32" s="93">
        <v>0</v>
      </c>
    </row>
    <row r="33" spans="1:33">
      <c r="A33" s="65" t="str">
        <f>IFERROR(VLOOKUP('Informe Kelly'!A26,Base!A:B,2,FALSE),"")</f>
        <v>05.989.878-7</v>
      </c>
      <c r="B33" s="65" t="str">
        <f>IFERROR(VLOOKUP('Informe Kelly'!A26,Base!A:G,7,FALSE),"")</f>
        <v>FIGUEROA PAVEZ NELLY E.</v>
      </c>
      <c r="C33" s="69" t="str">
        <f>IF(G33=$C$4,IF('Informe Kelly'!H26='Control informe Kelly'!$A$2,TEXT(((LEFT('Informe Kelly'!E26,2)*1)+1),"dd")&amp;"."&amp;MID('Informe Kelly'!E26,4,2)&amp;"."&amp;RIGHT('Informe Kelly'!E26,4),'Informe Kelly'!E26),'Informe Kelly'!E26)</f>
        <v>11.04.2011</v>
      </c>
      <c r="D33" s="69" t="str">
        <f>IF('Informe Kelly'!E26="","",'Informe Kelly'!E26)</f>
        <v>11.04.2011</v>
      </c>
      <c r="E33" s="72">
        <f t="shared" si="0"/>
        <v>13</v>
      </c>
      <c r="F33" s="72" t="str">
        <f>IFERROR(HLOOKUP(C33,Ingreso!$Q$8:$AD$9,2,FALSE),"v")</f>
        <v>Lunes</v>
      </c>
      <c r="G33" s="65" t="str">
        <f>IFERROR(VLOOKUP(A33,Ingreso!K:P,6,FALSE),"no esta ingresado")</f>
        <v>Turno B</v>
      </c>
      <c r="H33" s="65" t="str">
        <f>IFERROR(IF('Informe Kelly'!H26=$A$2,'Informe Kelly'!F26,""),0)</f>
        <v/>
      </c>
      <c r="I33" s="65">
        <f>IFERROR(IF('Informe Kelly'!H26=$A$3,'Informe Kelly'!F26,""),0)</f>
        <v>0.94047453703703709</v>
      </c>
      <c r="J33" s="65" t="str">
        <f>IF(IFERROR(IF(E33=E32,0,(HLOOKUP(D33,Ingreso!$AN$10:$AT$260,VLOOKUP(A33,Ingreso!$AL$11:$AM$260,2,FALSE)))/24),0)=0,"",IFERROR(IF(E33=E32,0,(HLOOKUP(D33,Ingreso!$AN$10:$AT$260,VLOOKUP(A33,Ingreso!$AL$11:$AM$260,2,FALSE)))/24),0))</f>
        <v/>
      </c>
      <c r="K33" s="65" t="str">
        <f>IF(IFERROR(IF(E33=E32,0,(HLOOKUP(C33,Ingreso!$AW$10:$BC$260,VLOOKUP(A33,Ingreso!$AL$11:$AM$260,2,FALSE)))/24),0)=0,"",IFERROR(IF(E33=E32,0,(HLOOKUP(C33,Ingreso!$AW$10:$BC$260,VLOOKUP(A33,Ingreso!$AL$11:$AM$260,2,FALSE)))/24),0))</f>
        <v/>
      </c>
      <c r="L33" s="63">
        <f t="shared" si="1"/>
        <v>0.3125</v>
      </c>
      <c r="M33" s="63" t="str">
        <f>IF(IFERROR(IF(C33=C31,0,IF(E33=E32,0,IF(C33=$R$2,HLOOKUP($R$2,Ingreso!$AW$10:$BC$260,VLOOKUP(A33,Ingreso!AL:AM,2,FALSE),FALSE)/24,""))),"")=0,"",IFERROR(IF(C33=C31,0,IF(E33=E32,0,IF(C33=$R$2,HLOOKUP($R$2,Ingreso!$AW$10:$BC$260,VLOOKUP(A33,Ingreso!AL:AM,2,FALSE),FALSE)/24,""))),""))</f>
        <v/>
      </c>
      <c r="N33" s="95" t="str">
        <f>IF(IFERROR(IF(C33=C31,0,IF(E33=E32,0,IF(C33=$R$3,HLOOKUP($R$3,Ingreso!$AW$10:$BC$260,VLOOKUP(A33,Ingreso!AL:AM,2,FALSE),FALSE)/24,""))),"")=0,"",IFERROR(IF(C33=C31,0,IF(E33=E32,0,IF(C33=$R$3,HLOOKUP($R$3,Ingreso!$AW$10:$BC$260,VLOOKUP(A33,Ingreso!AL:AM,2,FALSE),FALSE)/24,""))),""))</f>
        <v/>
      </c>
      <c r="O33" s="95" t="str">
        <f>IF(IFERROR(IF(C33=C31,0,IF(E33=E32,0,IF(C33=$R$4,HLOOKUP($R$4,Ingreso!$AW$10:$BC$260,VLOOKUP(A33,Ingreso!AL:AM,2,FALSE),FALSE)/24,""))),"")=0,"",IFERROR(IF(C33=C31,0,IF(E33=E32,0,IF(C33=$R$4,HLOOKUP($R$4,Ingreso!$AW$10:$BC$260,VLOOKUP(A33,Ingreso!AL:AM,2,FALSE),FALSE)/24,""))),""))</f>
        <v/>
      </c>
      <c r="P33" s="90"/>
      <c r="T33" t="s">
        <v>1426</v>
      </c>
      <c r="U33" t="s">
        <v>1322</v>
      </c>
      <c r="V33" t="s">
        <v>1401</v>
      </c>
      <c r="W33" s="82">
        <v>29</v>
      </c>
      <c r="X33" s="71">
        <v>0.3125</v>
      </c>
      <c r="Y33" s="101">
        <v>0.61799768518518516</v>
      </c>
      <c r="Z33" s="101">
        <v>0.9437037037037036</v>
      </c>
      <c r="AA33" s="101">
        <v>0.32570601851851844</v>
      </c>
      <c r="AB33" s="101">
        <v>1.3206018518518436E-2</v>
      </c>
      <c r="AC33" s="105">
        <v>0</v>
      </c>
      <c r="AD33" s="105">
        <v>0</v>
      </c>
      <c r="AE33" s="93">
        <v>0</v>
      </c>
      <c r="AF33" s="93">
        <v>0</v>
      </c>
      <c r="AG33" s="93">
        <v>0</v>
      </c>
    </row>
    <row r="34" spans="1:33">
      <c r="A34" s="65" t="str">
        <f>IFERROR(VLOOKUP('Informe Kelly'!A27,Base!A:B,2,FALSE),"")</f>
        <v>05.989.878-7</v>
      </c>
      <c r="B34" s="65" t="str">
        <f>IFERROR(VLOOKUP('Informe Kelly'!A27,Base!A:G,7,FALSE),"")</f>
        <v>FIGUEROA PAVEZ NELLY E.</v>
      </c>
      <c r="C34" s="69" t="str">
        <f>IF(G34=$C$4,IF('Informe Kelly'!H27='Control informe Kelly'!$A$2,TEXT(((LEFT('Informe Kelly'!E27,2)*1)+1),"dd")&amp;"."&amp;MID('Informe Kelly'!E27,4,2)&amp;"."&amp;RIGHT('Informe Kelly'!E27,4),'Informe Kelly'!E27),'Informe Kelly'!E27)</f>
        <v>11.04.2011</v>
      </c>
      <c r="D34" s="69" t="str">
        <f>IF('Informe Kelly'!E27="","",'Informe Kelly'!E27)</f>
        <v>11.04.2011</v>
      </c>
      <c r="E34" s="72">
        <f t="shared" si="0"/>
        <v>13</v>
      </c>
      <c r="F34" s="72" t="str">
        <f>IFERROR(HLOOKUP(C34,Ingreso!$Q$8:$AD$9,2,FALSE),"v")</f>
        <v>Lunes</v>
      </c>
      <c r="G34" s="65" t="str">
        <f>IFERROR(VLOOKUP(A34,Ingreso!K:P,6,FALSE),"no esta ingresado")</f>
        <v>Turno B</v>
      </c>
      <c r="H34" s="65">
        <f>IFERROR(IF('Informe Kelly'!H27=$A$2,'Informe Kelly'!F27,""),0)</f>
        <v>0.60752314814814812</v>
      </c>
      <c r="I34" s="65" t="str">
        <f>IFERROR(IF('Informe Kelly'!H27=$A$3,'Informe Kelly'!F27,""),0)</f>
        <v/>
      </c>
      <c r="J34" s="65" t="str">
        <f>IF(IFERROR(IF(E34=E33,0,(HLOOKUP(D34,Ingreso!$AN$10:$AT$260,VLOOKUP(A34,Ingreso!$AL$11:$AM$260,2,FALSE)))/24),0)=0,"",IFERROR(IF(E34=E33,0,(HLOOKUP(D34,Ingreso!$AN$10:$AT$260,VLOOKUP(A34,Ingreso!$AL$11:$AM$260,2,FALSE)))/24),0))</f>
        <v/>
      </c>
      <c r="K34" s="65" t="str">
        <f>IF(IFERROR(IF(E34=E33,0,(HLOOKUP(C34,Ingreso!$AW$10:$BC$260,VLOOKUP(A34,Ingreso!$AL$11:$AM$260,2,FALSE)))/24),0)=0,"",IFERROR(IF(E34=E33,0,(HLOOKUP(C34,Ingreso!$AW$10:$BC$260,VLOOKUP(A34,Ingreso!$AL$11:$AM$260,2,FALSE)))/24),0))</f>
        <v/>
      </c>
      <c r="L34" s="63">
        <f t="shared" si="1"/>
        <v>0</v>
      </c>
      <c r="M34" s="63" t="str">
        <f>IF(IFERROR(IF(C34=C32,0,IF(E34=E33,0,IF(C34=$R$2,HLOOKUP($R$2,Ingreso!$AW$10:$BC$260,VLOOKUP(A34,Ingreso!AL:AM,2,FALSE),FALSE)/24,""))),"")=0,"",IFERROR(IF(C34=C32,0,IF(E34=E33,0,IF(C34=$R$2,HLOOKUP($R$2,Ingreso!$AW$10:$BC$260,VLOOKUP(A34,Ingreso!AL:AM,2,FALSE),FALSE)/24,""))),""))</f>
        <v/>
      </c>
      <c r="N34" s="95" t="str">
        <f>IF(IFERROR(IF(C34=C32,0,IF(E34=E33,0,IF(C34=$R$3,HLOOKUP($R$3,Ingreso!$AW$10:$BC$260,VLOOKUP(A34,Ingreso!AL:AM,2,FALSE),FALSE)/24,""))),"")=0,"",IFERROR(IF(C34=C32,0,IF(E34=E33,0,IF(C34=$R$3,HLOOKUP($R$3,Ingreso!$AW$10:$BC$260,VLOOKUP(A34,Ingreso!AL:AM,2,FALSE),FALSE)/24,""))),""))</f>
        <v/>
      </c>
      <c r="O34" s="95" t="str">
        <f>IF(IFERROR(IF(C34=C32,0,IF(E34=E33,0,IF(C34=$R$4,HLOOKUP($R$4,Ingreso!$AW$10:$BC$260,VLOOKUP(A34,Ingreso!AL:AM,2,FALSE),FALSE)/24,""))),"")=0,"",IFERROR(IF(C34=C32,0,IF(E34=E33,0,IF(C34=$R$4,HLOOKUP($R$4,Ingreso!$AW$10:$BC$260,VLOOKUP(A34,Ingreso!AL:AM,2,FALSE),FALSE)/24,""))),""))</f>
        <v/>
      </c>
      <c r="P34" s="90"/>
      <c r="T34" t="s">
        <v>1427</v>
      </c>
      <c r="U34" t="s">
        <v>1322</v>
      </c>
      <c r="V34" t="s">
        <v>1402</v>
      </c>
      <c r="W34" s="82">
        <v>30</v>
      </c>
      <c r="X34" s="71">
        <v>0.3125</v>
      </c>
      <c r="Y34" s="101">
        <v>0.42921296296296302</v>
      </c>
      <c r="Z34" s="101">
        <v>0.72829861111111116</v>
      </c>
      <c r="AA34" s="101">
        <v>0.29908564814814814</v>
      </c>
      <c r="AB34" s="101">
        <v>-1.3414351851851858E-2</v>
      </c>
      <c r="AC34" s="105">
        <v>0</v>
      </c>
      <c r="AD34" s="105">
        <v>0</v>
      </c>
      <c r="AE34" s="93">
        <v>0</v>
      </c>
      <c r="AF34" s="93">
        <v>0</v>
      </c>
      <c r="AG34" s="93">
        <v>0</v>
      </c>
    </row>
    <row r="35" spans="1:33">
      <c r="A35" s="65" t="str">
        <f>IFERROR(VLOOKUP('Informe Kelly'!A28,Base!A:B,2,FALSE),"")</f>
        <v>05.989.878-7</v>
      </c>
      <c r="B35" s="65" t="str">
        <f>IFERROR(VLOOKUP('Informe Kelly'!A28,Base!A:G,7,FALSE),"")</f>
        <v>FIGUEROA PAVEZ NELLY E.</v>
      </c>
      <c r="C35" s="69" t="str">
        <f>IF(G35=$C$4,IF('Informe Kelly'!H28='Control informe Kelly'!$A$2,TEXT(((LEFT('Informe Kelly'!E28,2)*1)+1),"dd")&amp;"."&amp;MID('Informe Kelly'!E28,4,2)&amp;"."&amp;RIGHT('Informe Kelly'!E28,4),'Informe Kelly'!E28),'Informe Kelly'!E28)</f>
        <v>12.04.2011</v>
      </c>
      <c r="D35" s="69" t="str">
        <f>IF('Informe Kelly'!E28="","",'Informe Kelly'!E28)</f>
        <v>12.04.2011</v>
      </c>
      <c r="E35" s="72">
        <f t="shared" si="0"/>
        <v>14</v>
      </c>
      <c r="F35" s="72" t="str">
        <f>IFERROR(HLOOKUP(C35,Ingreso!$Q$8:$AD$9,2,FALSE),"v")</f>
        <v>Martes</v>
      </c>
      <c r="G35" s="65" t="str">
        <f>IFERROR(VLOOKUP(A35,Ingreso!K:P,6,FALSE),"no esta ingresado")</f>
        <v>Turno B</v>
      </c>
      <c r="H35" s="65" t="str">
        <f>IFERROR(IF('Informe Kelly'!H28=$A$2,'Informe Kelly'!F28,""),0)</f>
        <v/>
      </c>
      <c r="I35" s="65">
        <f>IFERROR(IF('Informe Kelly'!H28=$A$3,'Informe Kelly'!F28,""),0)</f>
        <v>0.94491898148148146</v>
      </c>
      <c r="J35" s="65" t="str">
        <f>IF(IFERROR(IF(E35=E34,0,(HLOOKUP(D35,Ingreso!$AN$10:$AT$260,VLOOKUP(A35,Ingreso!$AL$11:$AM$260,2,FALSE)))/24),0)=0,"",IFERROR(IF(E35=E34,0,(HLOOKUP(D35,Ingreso!$AN$10:$AT$260,VLOOKUP(A35,Ingreso!$AL$11:$AM$260,2,FALSE)))/24),0))</f>
        <v/>
      </c>
      <c r="K35" s="65" t="str">
        <f>IF(IFERROR(IF(E35=E34,0,(HLOOKUP(C35,Ingreso!$AW$10:$BC$260,VLOOKUP(A35,Ingreso!$AL$11:$AM$260,2,FALSE)))/24),0)=0,"",IFERROR(IF(E35=E34,0,(HLOOKUP(C35,Ingreso!$AW$10:$BC$260,VLOOKUP(A35,Ingreso!$AL$11:$AM$260,2,FALSE)))/24),0))</f>
        <v/>
      </c>
      <c r="L35" s="63">
        <f t="shared" si="1"/>
        <v>0.3125</v>
      </c>
      <c r="M35" s="63" t="str">
        <f>IF(IFERROR(IF(C35=C33,0,IF(E35=E34,0,IF(C35=$R$2,HLOOKUP($R$2,Ingreso!$AW$10:$BC$260,VLOOKUP(A35,Ingreso!AL:AM,2,FALSE),FALSE)/24,""))),"")=0,"",IFERROR(IF(C35=C33,0,IF(E35=E34,0,IF(C35=$R$2,HLOOKUP($R$2,Ingreso!$AW$10:$BC$260,VLOOKUP(A35,Ingreso!AL:AM,2,FALSE),FALSE)/24,""))),""))</f>
        <v/>
      </c>
      <c r="N35" s="95" t="str">
        <f>IF(IFERROR(IF(C35=C33,0,IF(E35=E34,0,IF(C35=$R$3,HLOOKUP($R$3,Ingreso!$AW$10:$BC$260,VLOOKUP(A35,Ingreso!AL:AM,2,FALSE),FALSE)/24,""))),"")=0,"",IFERROR(IF(C35=C33,0,IF(E35=E34,0,IF(C35=$R$3,HLOOKUP($R$3,Ingreso!$AW$10:$BC$260,VLOOKUP(A35,Ingreso!AL:AM,2,FALSE),FALSE)/24,""))),""))</f>
        <v/>
      </c>
      <c r="O35" s="95" t="str">
        <f>IF(IFERROR(IF(C35=C33,0,IF(E35=E34,0,IF(C35=$R$4,HLOOKUP($R$4,Ingreso!$AW$10:$BC$260,VLOOKUP(A35,Ingreso!AL:AM,2,FALSE),FALSE)/24,""))),"")=0,"",IFERROR(IF(C35=C33,0,IF(E35=E34,0,IF(C35=$R$4,HLOOKUP($R$4,Ingreso!$AW$10:$BC$260,VLOOKUP(A35,Ingreso!AL:AM,2,FALSE),FALSE)/24,""))),""))</f>
        <v/>
      </c>
      <c r="P35" s="90"/>
      <c r="R35" t="s">
        <v>837</v>
      </c>
      <c r="S35" t="s">
        <v>841</v>
      </c>
      <c r="T35" t="s">
        <v>1423</v>
      </c>
      <c r="U35" t="s">
        <v>1324</v>
      </c>
      <c r="V35" t="s">
        <v>1398</v>
      </c>
      <c r="W35" s="82">
        <v>31</v>
      </c>
      <c r="X35" s="71">
        <v>0.375</v>
      </c>
      <c r="Y35" s="101">
        <v>0.91929398148148145</v>
      </c>
      <c r="Z35" s="101">
        <v>0.31740740740740742</v>
      </c>
      <c r="AA35" s="101">
        <v>0.39811342592592591</v>
      </c>
      <c r="AB35" s="101">
        <v>2.3113425925925912E-2</v>
      </c>
      <c r="AC35" s="105">
        <v>0</v>
      </c>
      <c r="AD35" s="105">
        <v>0</v>
      </c>
      <c r="AE35" s="93">
        <v>0</v>
      </c>
      <c r="AF35" s="93">
        <v>0</v>
      </c>
      <c r="AG35" s="93">
        <v>0</v>
      </c>
    </row>
    <row r="36" spans="1:33" ht="12.75" customHeight="1">
      <c r="A36" s="65" t="str">
        <f>IFERROR(VLOOKUP('Informe Kelly'!A29,Base!A:B,2,FALSE),"")</f>
        <v>05.989.878-7</v>
      </c>
      <c r="B36" s="65" t="str">
        <f>IFERROR(VLOOKUP('Informe Kelly'!A29,Base!A:G,7,FALSE),"")</f>
        <v>FIGUEROA PAVEZ NELLY E.</v>
      </c>
      <c r="C36" s="69" t="str">
        <f>IF(G36=$C$4,IF('Informe Kelly'!H29='Control informe Kelly'!$A$2,TEXT(((LEFT('Informe Kelly'!E29,2)*1)+1),"dd")&amp;"."&amp;MID('Informe Kelly'!E29,4,2)&amp;"."&amp;RIGHT('Informe Kelly'!E29,4),'Informe Kelly'!E29),'Informe Kelly'!E29)</f>
        <v>12.04.2011</v>
      </c>
      <c r="D36" s="69" t="str">
        <f>IF('Informe Kelly'!E29="","",'Informe Kelly'!E29)</f>
        <v>12.04.2011</v>
      </c>
      <c r="E36" s="72">
        <f t="shared" si="0"/>
        <v>14</v>
      </c>
      <c r="F36" s="72" t="str">
        <f>IFERROR(HLOOKUP(C36,Ingreso!$Q$8:$AD$9,2,FALSE),"v")</f>
        <v>Martes</v>
      </c>
      <c r="G36" s="65" t="str">
        <f>IFERROR(VLOOKUP(A36,Ingreso!K:P,6,FALSE),"no esta ingresado")</f>
        <v>Turno B</v>
      </c>
      <c r="H36" s="65">
        <f>IFERROR(IF('Informe Kelly'!H29=$A$2,'Informe Kelly'!F29,""),0)</f>
        <v>0.60767361111111107</v>
      </c>
      <c r="I36" s="65" t="str">
        <f>IFERROR(IF('Informe Kelly'!H29=$A$3,'Informe Kelly'!F29,""),0)</f>
        <v/>
      </c>
      <c r="J36" s="65" t="str">
        <f>IF(IFERROR(IF(E36=E35,0,(HLOOKUP(D36,Ingreso!$AN$10:$AT$260,VLOOKUP(A36,Ingreso!$AL$11:$AM$260,2,FALSE)))/24),0)=0,"",IFERROR(IF(E36=E35,0,(HLOOKUP(D36,Ingreso!$AN$10:$AT$260,VLOOKUP(A36,Ingreso!$AL$11:$AM$260,2,FALSE)))/24),0))</f>
        <v/>
      </c>
      <c r="K36" s="65" t="str">
        <f>IF(IFERROR(IF(E36=E35,0,(HLOOKUP(C36,Ingreso!$AW$10:$BC$260,VLOOKUP(A36,Ingreso!$AL$11:$AM$260,2,FALSE)))/24),0)=0,"",IFERROR(IF(E36=E35,0,(HLOOKUP(C36,Ingreso!$AW$10:$BC$260,VLOOKUP(A36,Ingreso!$AL$11:$AM$260,2,FALSE)))/24),0))</f>
        <v/>
      </c>
      <c r="L36" s="63">
        <f t="shared" si="1"/>
        <v>0</v>
      </c>
      <c r="M36" s="63" t="str">
        <f>IF(IFERROR(IF(C36=C34,0,IF(E36=E35,0,IF(C36=$R$2,HLOOKUP($R$2,Ingreso!$AW$10:$BC$260,VLOOKUP(A36,Ingreso!AL:AM,2,FALSE),FALSE)/24,""))),"")=0,"",IFERROR(IF(C36=C34,0,IF(E36=E35,0,IF(C36=$R$2,HLOOKUP($R$2,Ingreso!$AW$10:$BC$260,VLOOKUP(A36,Ingreso!AL:AM,2,FALSE),FALSE)/24,""))),""))</f>
        <v/>
      </c>
      <c r="N36" s="95" t="str">
        <f>IF(IFERROR(IF(C36=C34,0,IF(E36=E35,0,IF(C36=$R$3,HLOOKUP($R$3,Ingreso!$AW$10:$BC$260,VLOOKUP(A36,Ingreso!AL:AM,2,FALSE),FALSE)/24,""))),"")=0,"",IFERROR(IF(C36=C34,0,IF(E36=E35,0,IF(C36=$R$3,HLOOKUP($R$3,Ingreso!$AW$10:$BC$260,VLOOKUP(A36,Ingreso!AL:AM,2,FALSE),FALSE)/24,""))),""))</f>
        <v/>
      </c>
      <c r="O36" s="95" t="str">
        <f>IF(IFERROR(IF(C36=C34,0,IF(E36=E35,0,IF(C36=$R$4,HLOOKUP($R$4,Ingreso!$AW$10:$BC$260,VLOOKUP(A36,Ingreso!AL:AM,2,FALSE),FALSE)/24,""))),"")=0,"",IFERROR(IF(C36=C34,0,IF(E36=E35,0,IF(C36=$R$4,HLOOKUP($R$4,Ingreso!$AW$10:$BC$260,VLOOKUP(A36,Ingreso!AL:AM,2,FALSE),FALSE)/24,""))),""))</f>
        <v/>
      </c>
      <c r="P36" s="90"/>
      <c r="T36" t="s">
        <v>1424</v>
      </c>
      <c r="U36" t="s">
        <v>1324</v>
      </c>
      <c r="V36" t="s">
        <v>1399</v>
      </c>
      <c r="W36" s="82">
        <v>32</v>
      </c>
      <c r="X36" s="71">
        <v>0.375</v>
      </c>
      <c r="Y36" s="101">
        <v>0.91819444444444442</v>
      </c>
      <c r="Z36" s="101">
        <v>0.31697916666666665</v>
      </c>
      <c r="AA36" s="101">
        <v>0.39878472222222217</v>
      </c>
      <c r="AB36" s="101">
        <v>2.3784722222222165E-2</v>
      </c>
      <c r="AC36" s="105">
        <v>0</v>
      </c>
      <c r="AD36" s="105">
        <v>0</v>
      </c>
      <c r="AE36" s="93">
        <v>0</v>
      </c>
      <c r="AF36" s="93">
        <v>0</v>
      </c>
      <c r="AG36" s="93">
        <v>0</v>
      </c>
    </row>
    <row r="37" spans="1:33">
      <c r="A37" s="65" t="str">
        <f>IFERROR(VLOOKUP('Informe Kelly'!A30,Base!A:B,2,FALSE),"")</f>
        <v>05.989.878-7</v>
      </c>
      <c r="B37" s="65" t="str">
        <f>IFERROR(VLOOKUP('Informe Kelly'!A30,Base!A:G,7,FALSE),"")</f>
        <v>FIGUEROA PAVEZ NELLY E.</v>
      </c>
      <c r="C37" s="69" t="str">
        <f>IF(G37=$C$4,IF('Informe Kelly'!H30='Control informe Kelly'!$A$2,TEXT(((LEFT('Informe Kelly'!E30,2)*1)+1),"dd")&amp;"."&amp;MID('Informe Kelly'!E30,4,2)&amp;"."&amp;RIGHT('Informe Kelly'!E30,4),'Informe Kelly'!E30),'Informe Kelly'!E30)</f>
        <v>13.04.2011</v>
      </c>
      <c r="D37" s="69" t="str">
        <f>IF('Informe Kelly'!E30="","",'Informe Kelly'!E30)</f>
        <v>13.04.2011</v>
      </c>
      <c r="E37" s="72">
        <f t="shared" si="0"/>
        <v>15</v>
      </c>
      <c r="F37" s="72" t="str">
        <f>IFERROR(HLOOKUP(C37,Ingreso!$Q$8:$AD$9,2,FALSE),"v")</f>
        <v>Miércoles</v>
      </c>
      <c r="G37" s="65" t="str">
        <f>IFERROR(VLOOKUP(A37,Ingreso!K:P,6,FALSE),"no esta ingresado")</f>
        <v>Turno B</v>
      </c>
      <c r="H37" s="65" t="str">
        <f>IFERROR(IF('Informe Kelly'!H30=$A$2,'Informe Kelly'!F30,""),0)</f>
        <v/>
      </c>
      <c r="I37" s="65">
        <f>IFERROR(IF('Informe Kelly'!H30=$A$3,'Informe Kelly'!F30,""),0)</f>
        <v>0.94079861111111107</v>
      </c>
      <c r="J37" s="65" t="str">
        <f>IF(IFERROR(IF(E37=E36,0,(HLOOKUP(D37,Ingreso!$AN$10:$AT$260,VLOOKUP(A37,Ingreso!$AL$11:$AM$260,2,FALSE)))/24),0)=0,"",IFERROR(IF(E37=E36,0,(HLOOKUP(D37,Ingreso!$AN$10:$AT$260,VLOOKUP(A37,Ingreso!$AL$11:$AM$260,2,FALSE)))/24),0))</f>
        <v/>
      </c>
      <c r="K37" s="65" t="str">
        <f>IF(IFERROR(IF(E37=E36,0,(HLOOKUP(C37,Ingreso!$AW$10:$BC$260,VLOOKUP(A37,Ingreso!$AL$11:$AM$260,2,FALSE)))/24),0)=0,"",IFERROR(IF(E37=E36,0,(HLOOKUP(C37,Ingreso!$AW$10:$BC$260,VLOOKUP(A37,Ingreso!$AL$11:$AM$260,2,FALSE)))/24),0))</f>
        <v/>
      </c>
      <c r="L37" s="63">
        <f t="shared" si="1"/>
        <v>0.3125</v>
      </c>
      <c r="M37" s="63" t="str">
        <f>IF(IFERROR(IF(C37=C35,0,IF(E37=E36,0,IF(C37=$R$2,HLOOKUP($R$2,Ingreso!$AW$10:$BC$260,VLOOKUP(A37,Ingreso!AL:AM,2,FALSE),FALSE)/24,""))),"")=0,"",IFERROR(IF(C37=C35,0,IF(E37=E36,0,IF(C37=$R$2,HLOOKUP($R$2,Ingreso!$AW$10:$BC$260,VLOOKUP(A37,Ingreso!AL:AM,2,FALSE),FALSE)/24,""))),""))</f>
        <v/>
      </c>
      <c r="N37" s="95" t="str">
        <f>IF(IFERROR(IF(C37=C35,0,IF(E37=E36,0,IF(C37=$R$3,HLOOKUP($R$3,Ingreso!$AW$10:$BC$260,VLOOKUP(A37,Ingreso!AL:AM,2,FALSE),FALSE)/24,""))),"")=0,"",IFERROR(IF(C37=C35,0,IF(E37=E36,0,IF(C37=$R$3,HLOOKUP($R$3,Ingreso!$AW$10:$BC$260,VLOOKUP(A37,Ingreso!AL:AM,2,FALSE),FALSE)/24,""))),""))</f>
        <v/>
      </c>
      <c r="O37" s="95" t="str">
        <f>IF(IFERROR(IF(C37=C35,0,IF(E37=E36,0,IF(C37=$R$4,HLOOKUP($R$4,Ingreso!$AW$10:$BC$260,VLOOKUP(A37,Ingreso!AL:AM,2,FALSE),FALSE)/24,""))),"")=0,"",IFERROR(IF(C37=C35,0,IF(E37=E36,0,IF(C37=$R$4,HLOOKUP($R$4,Ingreso!$AW$10:$BC$260,VLOOKUP(A37,Ingreso!AL:AM,2,FALSE),FALSE)/24,""))),""))</f>
        <v/>
      </c>
      <c r="P37" s="90"/>
      <c r="T37" t="s">
        <v>1425</v>
      </c>
      <c r="U37" t="s">
        <v>1324</v>
      </c>
      <c r="V37" t="s">
        <v>1400</v>
      </c>
      <c r="W37" s="82">
        <v>33</v>
      </c>
      <c r="X37" s="71">
        <v>0.375</v>
      </c>
      <c r="Y37" s="101">
        <v>0.91810185185185178</v>
      </c>
      <c r="Z37" s="101">
        <v>0.32002314814814814</v>
      </c>
      <c r="AA37" s="101">
        <v>0.40192129629629636</v>
      </c>
      <c r="AB37" s="101">
        <v>2.692129629629636E-2</v>
      </c>
      <c r="AC37" s="105">
        <v>0</v>
      </c>
      <c r="AD37" s="105">
        <v>0</v>
      </c>
      <c r="AE37" s="93">
        <v>0</v>
      </c>
      <c r="AF37" s="93">
        <v>0</v>
      </c>
      <c r="AG37" s="93">
        <v>0</v>
      </c>
    </row>
    <row r="38" spans="1:33">
      <c r="A38" s="65" t="str">
        <f>IFERROR(VLOOKUP('Informe Kelly'!A31,Base!A:B,2,FALSE),"")</f>
        <v>05.989.878-7</v>
      </c>
      <c r="B38" s="65" t="str">
        <f>IFERROR(VLOOKUP('Informe Kelly'!A31,Base!A:G,7,FALSE),"")</f>
        <v>FIGUEROA PAVEZ NELLY E.</v>
      </c>
      <c r="C38" s="69" t="str">
        <f>IF(G38=$C$4,IF('Informe Kelly'!H31='Control informe Kelly'!$A$2,TEXT(((LEFT('Informe Kelly'!E31,2)*1)+1),"dd")&amp;"."&amp;MID('Informe Kelly'!E31,4,2)&amp;"."&amp;RIGHT('Informe Kelly'!E31,4),'Informe Kelly'!E31),'Informe Kelly'!E31)</f>
        <v>13.04.2011</v>
      </c>
      <c r="D38" s="69" t="str">
        <f>IF('Informe Kelly'!E31="","",'Informe Kelly'!E31)</f>
        <v>13.04.2011</v>
      </c>
      <c r="E38" s="72">
        <f t="shared" si="0"/>
        <v>15</v>
      </c>
      <c r="F38" s="72" t="str">
        <f>IFERROR(HLOOKUP(C38,Ingreso!$Q$8:$AD$9,2,FALSE),"v")</f>
        <v>Miércoles</v>
      </c>
      <c r="G38" s="65" t="str">
        <f>IFERROR(VLOOKUP(A38,Ingreso!K:P,6,FALSE),"no esta ingresado")</f>
        <v>Turno B</v>
      </c>
      <c r="H38" s="65">
        <f>IFERROR(IF('Informe Kelly'!H31=$A$2,'Informe Kelly'!F31,""),0)</f>
        <v>0.609837962962963</v>
      </c>
      <c r="I38" s="65" t="str">
        <f>IFERROR(IF('Informe Kelly'!H31=$A$3,'Informe Kelly'!F31,""),0)</f>
        <v/>
      </c>
      <c r="J38" s="65" t="str">
        <f>IF(IFERROR(IF(E38=E37,0,(HLOOKUP(D38,Ingreso!$AN$10:$AT$260,VLOOKUP(A38,Ingreso!$AL$11:$AM$260,2,FALSE)))/24),0)=0,"",IFERROR(IF(E38=E37,0,(HLOOKUP(D38,Ingreso!$AN$10:$AT$260,VLOOKUP(A38,Ingreso!$AL$11:$AM$260,2,FALSE)))/24),0))</f>
        <v/>
      </c>
      <c r="K38" s="65" t="str">
        <f>IF(IFERROR(IF(E38=E37,0,(HLOOKUP(C38,Ingreso!$AW$10:$BC$260,VLOOKUP(A38,Ingreso!$AL$11:$AM$260,2,FALSE)))/24),0)=0,"",IFERROR(IF(E38=E37,0,(HLOOKUP(C38,Ingreso!$AW$10:$BC$260,VLOOKUP(A38,Ingreso!$AL$11:$AM$260,2,FALSE)))/24),0))</f>
        <v/>
      </c>
      <c r="L38" s="63">
        <f t="shared" si="1"/>
        <v>0</v>
      </c>
      <c r="M38" s="63" t="str">
        <f>IF(IFERROR(IF(C38=C36,0,IF(E38=E37,0,IF(C38=$R$2,HLOOKUP($R$2,Ingreso!$AW$10:$BC$260,VLOOKUP(A38,Ingreso!AL:AM,2,FALSE),FALSE)/24,""))),"")=0,"",IFERROR(IF(C38=C36,0,IF(E38=E37,0,IF(C38=$R$2,HLOOKUP($R$2,Ingreso!$AW$10:$BC$260,VLOOKUP(A38,Ingreso!AL:AM,2,FALSE),FALSE)/24,""))),""))</f>
        <v/>
      </c>
      <c r="N38" s="95" t="str">
        <f>IF(IFERROR(IF(C38=C36,0,IF(E38=E37,0,IF(C38=$R$3,HLOOKUP($R$3,Ingreso!$AW$10:$BC$260,VLOOKUP(A38,Ingreso!AL:AM,2,FALSE),FALSE)/24,""))),"")=0,"",IFERROR(IF(C38=C36,0,IF(E38=E37,0,IF(C38=$R$3,HLOOKUP($R$3,Ingreso!$AW$10:$BC$260,VLOOKUP(A38,Ingreso!AL:AM,2,FALSE),FALSE)/24,""))),""))</f>
        <v/>
      </c>
      <c r="O38" s="95" t="str">
        <f>IF(IFERROR(IF(C38=C36,0,IF(E38=E37,0,IF(C38=$R$4,HLOOKUP($R$4,Ingreso!$AW$10:$BC$260,VLOOKUP(A38,Ingreso!AL:AM,2,FALSE),FALSE)/24,""))),"")=0,"",IFERROR(IF(C38=C36,0,IF(E38=E37,0,IF(C38=$R$4,HLOOKUP($R$4,Ingreso!$AW$10:$BC$260,VLOOKUP(A38,Ingreso!AL:AM,2,FALSE),FALSE)/24,""))),""))</f>
        <v/>
      </c>
      <c r="P38" s="90"/>
      <c r="T38" t="s">
        <v>1426</v>
      </c>
      <c r="U38" t="s">
        <v>1324</v>
      </c>
      <c r="V38" t="s">
        <v>1401</v>
      </c>
      <c r="W38" s="82">
        <v>34</v>
      </c>
      <c r="X38" s="71">
        <v>0.375</v>
      </c>
      <c r="Y38" s="101">
        <v>0.91947916666666663</v>
      </c>
      <c r="Z38" s="101">
        <v>0.31730324074074073</v>
      </c>
      <c r="AA38" s="101">
        <v>0.39782407407407416</v>
      </c>
      <c r="AB38" s="101">
        <v>2.2824074074074163E-2</v>
      </c>
      <c r="AC38" s="105">
        <v>0</v>
      </c>
      <c r="AD38" s="105">
        <v>0</v>
      </c>
      <c r="AE38" s="93">
        <v>0</v>
      </c>
      <c r="AF38" s="93">
        <v>0</v>
      </c>
      <c r="AG38" s="93">
        <v>0</v>
      </c>
    </row>
    <row r="39" spans="1:33">
      <c r="A39" s="65" t="str">
        <f>IFERROR(VLOOKUP('Informe Kelly'!A32,Base!A:B,2,FALSE),"")</f>
        <v>05.989.878-7</v>
      </c>
      <c r="B39" s="65" t="str">
        <f>IFERROR(VLOOKUP('Informe Kelly'!A32,Base!A:G,7,FALSE),"")</f>
        <v>FIGUEROA PAVEZ NELLY E.</v>
      </c>
      <c r="C39" s="69" t="str">
        <f>IF(G39=$C$4,IF('Informe Kelly'!H32='Control informe Kelly'!$A$2,TEXT(((LEFT('Informe Kelly'!E32,2)*1)+1),"dd")&amp;"."&amp;MID('Informe Kelly'!E32,4,2)&amp;"."&amp;RIGHT('Informe Kelly'!E32,4),'Informe Kelly'!E32),'Informe Kelly'!E32)</f>
        <v>14.04.2011</v>
      </c>
      <c r="D39" s="69" t="str">
        <f>IF('Informe Kelly'!E32="","",'Informe Kelly'!E32)</f>
        <v>14.04.2011</v>
      </c>
      <c r="E39" s="72">
        <f t="shared" si="0"/>
        <v>16</v>
      </c>
      <c r="F39" s="72" t="str">
        <f>IFERROR(HLOOKUP(C39,Ingreso!$Q$8:$AD$9,2,FALSE),"v")</f>
        <v>Jueves</v>
      </c>
      <c r="G39" s="65" t="str">
        <f>IFERROR(VLOOKUP(A39,Ingreso!K:P,6,FALSE),"no esta ingresado")</f>
        <v>Turno B</v>
      </c>
      <c r="H39" s="65" t="str">
        <f>IFERROR(IF('Informe Kelly'!H32=$A$2,'Informe Kelly'!F32,""),0)</f>
        <v/>
      </c>
      <c r="I39" s="65">
        <f>IFERROR(IF('Informe Kelly'!H32=$A$3,'Informe Kelly'!F32,""),0)</f>
        <v>0.63003472222222223</v>
      </c>
      <c r="J39" s="65" t="str">
        <f>IF(IFERROR(IF(E39=E38,0,(HLOOKUP(D39,Ingreso!$AN$10:$AT$260,VLOOKUP(A39,Ingreso!$AL$11:$AM$260,2,FALSE)))/24),0)=0,"",IFERROR(IF(E39=E38,0,(HLOOKUP(D39,Ingreso!$AN$10:$AT$260,VLOOKUP(A39,Ingreso!$AL$11:$AM$260,2,FALSE)))/24),0))</f>
        <v/>
      </c>
      <c r="K39" s="65" t="str">
        <f>IF(IFERROR(IF(E39=E38,0,(HLOOKUP(C39,Ingreso!$AW$10:$BC$260,VLOOKUP(A39,Ingreso!$AL$11:$AM$260,2,FALSE)))/24),0)=0,"",IFERROR(IF(E39=E38,0,(HLOOKUP(C39,Ingreso!$AW$10:$BC$260,VLOOKUP(A39,Ingreso!$AL$11:$AM$260,2,FALSE)))/24),0))</f>
        <v/>
      </c>
      <c r="L39" s="63">
        <f t="shared" si="1"/>
        <v>0.3125</v>
      </c>
      <c r="M39" s="63" t="str">
        <f>IF(IFERROR(IF(C39=C37,0,IF(E39=E38,0,IF(C39=$R$2,HLOOKUP($R$2,Ingreso!$AW$10:$BC$260,VLOOKUP(A39,Ingreso!AL:AM,2,FALSE),FALSE)/24,""))),"")=0,"",IFERROR(IF(C39=C37,0,IF(E39=E38,0,IF(C39=$R$2,HLOOKUP($R$2,Ingreso!$AW$10:$BC$260,VLOOKUP(A39,Ingreso!AL:AM,2,FALSE),FALSE)/24,""))),""))</f>
        <v/>
      </c>
      <c r="N39" s="95" t="str">
        <f>IF(IFERROR(IF(C39=C37,0,IF(E39=E38,0,IF(C39=$R$3,HLOOKUP($R$3,Ingreso!$AW$10:$BC$260,VLOOKUP(A39,Ingreso!AL:AM,2,FALSE),FALSE)/24,""))),"")=0,"",IFERROR(IF(C39=C37,0,IF(E39=E38,0,IF(C39=$R$3,HLOOKUP($R$3,Ingreso!$AW$10:$BC$260,VLOOKUP(A39,Ingreso!AL:AM,2,FALSE),FALSE)/24,""))),""))</f>
        <v/>
      </c>
      <c r="O39" s="95" t="str">
        <f>IF(IFERROR(IF(C39=C37,0,IF(E39=E38,0,IF(C39=$R$4,HLOOKUP($R$4,Ingreso!$AW$10:$BC$260,VLOOKUP(A39,Ingreso!AL:AM,2,FALSE),FALSE)/24,""))),"")=0,"",IFERROR(IF(C39=C37,0,IF(E39=E38,0,IF(C39=$R$4,HLOOKUP($R$4,Ingreso!$AW$10:$BC$260,VLOOKUP(A39,Ingreso!AL:AM,2,FALSE),FALSE)/24,""))),""))</f>
        <v/>
      </c>
      <c r="P39" s="90"/>
      <c r="T39" t="s">
        <v>1427</v>
      </c>
      <c r="U39" t="s">
        <v>1324</v>
      </c>
      <c r="V39" t="s">
        <v>1402</v>
      </c>
      <c r="W39" s="82">
        <v>35</v>
      </c>
      <c r="X39" s="71">
        <v>0.375</v>
      </c>
      <c r="Y39" s="101">
        <v>0.92180555555555566</v>
      </c>
      <c r="Z39" s="101">
        <v>0.31568287037037041</v>
      </c>
      <c r="AA39" s="101">
        <v>0.39387731481481481</v>
      </c>
      <c r="AB39" s="101">
        <v>1.8877314814814805E-2</v>
      </c>
      <c r="AC39" s="105">
        <v>0</v>
      </c>
      <c r="AD39" s="105">
        <v>0</v>
      </c>
      <c r="AE39" s="93">
        <v>0</v>
      </c>
      <c r="AF39" s="93">
        <v>0</v>
      </c>
      <c r="AG39" s="93">
        <v>0</v>
      </c>
    </row>
    <row r="40" spans="1:33">
      <c r="A40" s="65" t="str">
        <f>IFERROR(VLOOKUP('Informe Kelly'!A33,Base!A:B,2,FALSE),"")</f>
        <v>05.989.878-7</v>
      </c>
      <c r="B40" s="65" t="str">
        <f>IFERROR(VLOOKUP('Informe Kelly'!A33,Base!A:G,7,FALSE),"")</f>
        <v>FIGUEROA PAVEZ NELLY E.</v>
      </c>
      <c r="C40" s="69" t="str">
        <f>IF(G40=$C$4,IF('Informe Kelly'!H33='Control informe Kelly'!$A$2,TEXT(((LEFT('Informe Kelly'!E33,2)*1)+1),"dd")&amp;"."&amp;MID('Informe Kelly'!E33,4,2)&amp;"."&amp;RIGHT('Informe Kelly'!E33,4),'Informe Kelly'!E33),'Informe Kelly'!E33)</f>
        <v>14.04.2011</v>
      </c>
      <c r="D40" s="69" t="str">
        <f>IF('Informe Kelly'!E33="","",'Informe Kelly'!E33)</f>
        <v>14.04.2011</v>
      </c>
      <c r="E40" s="72">
        <f t="shared" si="0"/>
        <v>16</v>
      </c>
      <c r="F40" s="72" t="str">
        <f>IFERROR(HLOOKUP(C40,Ingreso!$Q$8:$AD$9,2,FALSE),"v")</f>
        <v>Jueves</v>
      </c>
      <c r="G40" s="65" t="str">
        <f>IFERROR(VLOOKUP(A40,Ingreso!K:P,6,FALSE),"no esta ingresado")</f>
        <v>Turno B</v>
      </c>
      <c r="H40" s="65">
        <f>IFERROR(IF('Informe Kelly'!H33=$A$2,'Informe Kelly'!F33,""),0)</f>
        <v>0.29910879629629633</v>
      </c>
      <c r="I40" s="65" t="str">
        <f>IFERROR(IF('Informe Kelly'!H33=$A$3,'Informe Kelly'!F33,""),0)</f>
        <v/>
      </c>
      <c r="J40" s="65" t="str">
        <f>IF(IFERROR(IF(E40=E39,0,(HLOOKUP(D40,Ingreso!$AN$10:$AT$260,VLOOKUP(A40,Ingreso!$AL$11:$AM$260,2,FALSE)))/24),0)=0,"",IFERROR(IF(E40=E39,0,(HLOOKUP(D40,Ingreso!$AN$10:$AT$260,VLOOKUP(A40,Ingreso!$AL$11:$AM$260,2,FALSE)))/24),0))</f>
        <v/>
      </c>
      <c r="K40" s="65" t="str">
        <f>IF(IFERROR(IF(E40=E39,0,(HLOOKUP(C40,Ingreso!$AW$10:$BC$260,VLOOKUP(A40,Ingreso!$AL$11:$AM$260,2,FALSE)))/24),0)=0,"",IFERROR(IF(E40=E39,0,(HLOOKUP(C40,Ingreso!$AW$10:$BC$260,VLOOKUP(A40,Ingreso!$AL$11:$AM$260,2,FALSE)))/24),0))</f>
        <v/>
      </c>
      <c r="L40" s="63">
        <f t="shared" si="1"/>
        <v>0</v>
      </c>
      <c r="M40" s="63" t="str">
        <f>IF(IFERROR(IF(C40=C38,0,IF(E40=E39,0,IF(C40=$R$2,HLOOKUP($R$2,Ingreso!$AW$10:$BC$260,VLOOKUP(A40,Ingreso!AL:AM,2,FALSE),FALSE)/24,""))),"")=0,"",IFERROR(IF(C40=C38,0,IF(E40=E39,0,IF(C40=$R$2,HLOOKUP($R$2,Ingreso!$AW$10:$BC$260,VLOOKUP(A40,Ingreso!AL:AM,2,FALSE),FALSE)/24,""))),""))</f>
        <v/>
      </c>
      <c r="N40" s="95" t="str">
        <f>IF(IFERROR(IF(C40=C38,0,IF(E40=E39,0,IF(C40=$R$3,HLOOKUP($R$3,Ingreso!$AW$10:$BC$260,VLOOKUP(A40,Ingreso!AL:AM,2,FALSE),FALSE)/24,""))),"")=0,"",IFERROR(IF(C40=C38,0,IF(E40=E39,0,IF(C40=$R$3,HLOOKUP($R$3,Ingreso!$AW$10:$BC$260,VLOOKUP(A40,Ingreso!AL:AM,2,FALSE),FALSE)/24,""))),""))</f>
        <v/>
      </c>
      <c r="O40" s="95" t="str">
        <f>IF(IFERROR(IF(C40=C38,0,IF(E40=E39,0,IF(C40=$R$4,HLOOKUP($R$4,Ingreso!$AW$10:$BC$260,VLOOKUP(A40,Ingreso!AL:AM,2,FALSE),FALSE)/24,""))),"")=0,"",IFERROR(IF(C40=C38,0,IF(E40=E39,0,IF(C40=$R$4,HLOOKUP($R$4,Ingreso!$AW$10:$BC$260,VLOOKUP(A40,Ingreso!AL:AM,2,FALSE),FALSE)/24,""))),""))</f>
        <v/>
      </c>
      <c r="P40" s="90"/>
      <c r="R40" t="s">
        <v>53</v>
      </c>
      <c r="S40" t="s">
        <v>58</v>
      </c>
      <c r="T40" t="s">
        <v>1420</v>
      </c>
      <c r="U40" t="s">
        <v>4</v>
      </c>
      <c r="V40" t="s">
        <v>1397</v>
      </c>
      <c r="W40" s="82">
        <v>36</v>
      </c>
      <c r="X40" s="71">
        <v>0.3125</v>
      </c>
      <c r="Y40" s="101">
        <v>0.30967592592592591</v>
      </c>
      <c r="Z40" s="101">
        <v>0.81153935185185189</v>
      </c>
      <c r="AA40" s="101">
        <v>0.50186342592592603</v>
      </c>
      <c r="AB40" s="101">
        <v>0.18936342592592603</v>
      </c>
      <c r="AC40" s="105">
        <v>8.3333333333333329E-2</v>
      </c>
      <c r="AD40" s="105">
        <v>0</v>
      </c>
      <c r="AE40" s="93">
        <v>0</v>
      </c>
      <c r="AF40" s="93">
        <v>0</v>
      </c>
      <c r="AG40" s="93">
        <v>0</v>
      </c>
    </row>
    <row r="41" spans="1:33">
      <c r="A41" s="65" t="str">
        <f>IFERROR(VLOOKUP('Informe Kelly'!A34,Base!A:B,2,FALSE),"")</f>
        <v>05.989.878-7</v>
      </c>
      <c r="B41" s="65" t="str">
        <f>IFERROR(VLOOKUP('Informe Kelly'!A34,Base!A:G,7,FALSE),"")</f>
        <v>FIGUEROA PAVEZ NELLY E.</v>
      </c>
      <c r="C41" s="69" t="str">
        <f>IF(G41=$C$4,IF('Informe Kelly'!H34='Control informe Kelly'!$A$2,TEXT(((LEFT('Informe Kelly'!E34,2)*1)+1),"dd")&amp;"."&amp;MID('Informe Kelly'!E34,4,2)&amp;"."&amp;RIGHT('Informe Kelly'!E34,4),'Informe Kelly'!E34),'Informe Kelly'!E34)</f>
        <v>15.04.2011</v>
      </c>
      <c r="D41" s="69" t="str">
        <f>IF('Informe Kelly'!E34="","",'Informe Kelly'!E34)</f>
        <v>15.04.2011</v>
      </c>
      <c r="E41" s="72">
        <f t="shared" si="0"/>
        <v>17</v>
      </c>
      <c r="F41" s="72" t="str">
        <f>IFERROR(HLOOKUP(C41,Ingreso!$Q$8:$AD$9,2,FALSE),"v")</f>
        <v>Viernes</v>
      </c>
      <c r="G41" s="65" t="str">
        <f>IFERROR(VLOOKUP(A41,Ingreso!K:P,6,FALSE),"no esta ingresado")</f>
        <v>Turno B</v>
      </c>
      <c r="H41" s="65" t="str">
        <f>IFERROR(IF('Informe Kelly'!H34=$A$2,'Informe Kelly'!F34,""),0)</f>
        <v/>
      </c>
      <c r="I41" s="65">
        <f>IFERROR(IF('Informe Kelly'!H34=$A$3,'Informe Kelly'!F34,""),0)</f>
        <v>0.93927083333333339</v>
      </c>
      <c r="J41" s="65" t="str">
        <f>IF(IFERROR(IF(E41=E40,0,(HLOOKUP(D41,Ingreso!$AN$10:$AT$260,VLOOKUP(A41,Ingreso!$AL$11:$AM$260,2,FALSE)))/24),0)=0,"",IFERROR(IF(E41=E40,0,(HLOOKUP(D41,Ingreso!$AN$10:$AT$260,VLOOKUP(A41,Ingreso!$AL$11:$AM$260,2,FALSE)))/24),0))</f>
        <v/>
      </c>
      <c r="K41" s="65" t="str">
        <f>IF(IFERROR(IF(E41=E40,0,(HLOOKUP(C41,Ingreso!$AW$10:$BC$260,VLOOKUP(A41,Ingreso!$AL$11:$AM$260,2,FALSE)))/24),0)=0,"",IFERROR(IF(E41=E40,0,(HLOOKUP(C41,Ingreso!$AW$10:$BC$260,VLOOKUP(A41,Ingreso!$AL$11:$AM$260,2,FALSE)))/24),0))</f>
        <v/>
      </c>
      <c r="L41" s="63">
        <f t="shared" si="1"/>
        <v>0.3125</v>
      </c>
      <c r="M41" s="63" t="str">
        <f>IF(IFERROR(IF(C41=C39,0,IF(E41=E40,0,IF(C41=$R$2,HLOOKUP($R$2,Ingreso!$AW$10:$BC$260,VLOOKUP(A41,Ingreso!AL:AM,2,FALSE),FALSE)/24,""))),"")=0,"",IFERROR(IF(C41=C39,0,IF(E41=E40,0,IF(C41=$R$2,HLOOKUP($R$2,Ingreso!$AW$10:$BC$260,VLOOKUP(A41,Ingreso!AL:AM,2,FALSE),FALSE)/24,""))),""))</f>
        <v/>
      </c>
      <c r="N41" s="95" t="str">
        <f>IF(IFERROR(IF(C41=C39,0,IF(E41=E40,0,IF(C41=$R$3,HLOOKUP($R$3,Ingreso!$AW$10:$BC$260,VLOOKUP(A41,Ingreso!AL:AM,2,FALSE),FALSE)/24,""))),"")=0,"",IFERROR(IF(C41=C39,0,IF(E41=E40,0,IF(C41=$R$3,HLOOKUP($R$3,Ingreso!$AW$10:$BC$260,VLOOKUP(A41,Ingreso!AL:AM,2,FALSE),FALSE)/24,""))),""))</f>
        <v/>
      </c>
      <c r="O41" s="95" t="str">
        <f>IF(IFERROR(IF(C41=C39,0,IF(E41=E40,0,IF(C41=$R$4,HLOOKUP($R$4,Ingreso!$AW$10:$BC$260,VLOOKUP(A41,Ingreso!AL:AM,2,FALSE),FALSE)/24,""))),"")=0,"",IFERROR(IF(C41=C39,0,IF(E41=E40,0,IF(C41=$R$4,HLOOKUP($R$4,Ingreso!$AW$10:$BC$260,VLOOKUP(A41,Ingreso!AL:AM,2,FALSE),FALSE)/24,""))),""))</f>
        <v/>
      </c>
      <c r="P41" s="90"/>
      <c r="T41" t="s">
        <v>1423</v>
      </c>
      <c r="U41" t="s">
        <v>4</v>
      </c>
      <c r="V41" t="s">
        <v>1398</v>
      </c>
      <c r="W41" s="82">
        <v>37</v>
      </c>
      <c r="X41" s="71">
        <v>0.3125</v>
      </c>
      <c r="Y41" s="101">
        <v>0.31056712962962962</v>
      </c>
      <c r="Z41" s="101">
        <v>0.8143287037037038</v>
      </c>
      <c r="AA41" s="101">
        <v>0.50376157407407418</v>
      </c>
      <c r="AB41" s="101">
        <v>0.19126157407407418</v>
      </c>
      <c r="AC41" s="105">
        <v>8.3333333333333329E-2</v>
      </c>
      <c r="AD41" s="105">
        <v>0</v>
      </c>
      <c r="AE41" s="93">
        <v>0</v>
      </c>
      <c r="AF41" s="93">
        <v>0</v>
      </c>
      <c r="AG41" s="93">
        <v>0</v>
      </c>
    </row>
    <row r="42" spans="1:33" ht="12.75" customHeight="1">
      <c r="A42" s="65" t="str">
        <f>IFERROR(VLOOKUP('Informe Kelly'!A35,Base!A:B,2,FALSE),"")</f>
        <v>05.989.878-7</v>
      </c>
      <c r="B42" s="65" t="str">
        <f>IFERROR(VLOOKUP('Informe Kelly'!A35,Base!A:G,7,FALSE),"")</f>
        <v>FIGUEROA PAVEZ NELLY E.</v>
      </c>
      <c r="C42" s="69" t="str">
        <f>IF(G42=$C$4,IF('Informe Kelly'!H35='Control informe Kelly'!$A$2,TEXT(((LEFT('Informe Kelly'!E35,2)*1)+1),"dd")&amp;"."&amp;MID('Informe Kelly'!E35,4,2)&amp;"."&amp;RIGHT('Informe Kelly'!E35,4),'Informe Kelly'!E35),'Informe Kelly'!E35)</f>
        <v>15.04.2011</v>
      </c>
      <c r="D42" s="69" t="str">
        <f>IF('Informe Kelly'!E35="","",'Informe Kelly'!E35)</f>
        <v>15.04.2011</v>
      </c>
      <c r="E42" s="72">
        <f t="shared" si="0"/>
        <v>17</v>
      </c>
      <c r="F42" s="72" t="str">
        <f>IFERROR(HLOOKUP(C42,Ingreso!$Q$8:$AD$9,2,FALSE),"v")</f>
        <v>Viernes</v>
      </c>
      <c r="G42" s="65" t="str">
        <f>IFERROR(VLOOKUP(A42,Ingreso!K:P,6,FALSE),"no esta ingresado")</f>
        <v>Turno B</v>
      </c>
      <c r="H42" s="65">
        <f>IFERROR(IF('Informe Kelly'!H35=$A$2,'Informe Kelly'!F35,""),0)</f>
        <v>0.60766203703703703</v>
      </c>
      <c r="I42" s="65" t="str">
        <f>IFERROR(IF('Informe Kelly'!H35=$A$3,'Informe Kelly'!F35,""),0)</f>
        <v/>
      </c>
      <c r="J42" s="65" t="str">
        <f>IF(IFERROR(IF(E42=E41,0,(HLOOKUP(D42,Ingreso!$AN$10:$AT$260,VLOOKUP(A42,Ingreso!$AL$11:$AM$260,2,FALSE)))/24),0)=0,"",IFERROR(IF(E42=E41,0,(HLOOKUP(D42,Ingreso!$AN$10:$AT$260,VLOOKUP(A42,Ingreso!$AL$11:$AM$260,2,FALSE)))/24),0))</f>
        <v/>
      </c>
      <c r="K42" s="65" t="str">
        <f>IF(IFERROR(IF(E42=E41,0,(HLOOKUP(C42,Ingreso!$AW$10:$BC$260,VLOOKUP(A42,Ingreso!$AL$11:$AM$260,2,FALSE)))/24),0)=0,"",IFERROR(IF(E42=E41,0,(HLOOKUP(C42,Ingreso!$AW$10:$BC$260,VLOOKUP(A42,Ingreso!$AL$11:$AM$260,2,FALSE)))/24),0))</f>
        <v/>
      </c>
      <c r="L42" s="63">
        <f t="shared" si="1"/>
        <v>0</v>
      </c>
      <c r="M42" s="63" t="str">
        <f>IF(IFERROR(IF(C42=C40,0,IF(E42=E41,0,IF(C42=$R$2,HLOOKUP($R$2,Ingreso!$AW$10:$BC$260,VLOOKUP(A42,Ingreso!AL:AM,2,FALSE),FALSE)/24,""))),"")=0,"",IFERROR(IF(C42=C40,0,IF(E42=E41,0,IF(C42=$R$2,HLOOKUP($R$2,Ingreso!$AW$10:$BC$260,VLOOKUP(A42,Ingreso!AL:AM,2,FALSE),FALSE)/24,""))),""))</f>
        <v/>
      </c>
      <c r="N42" s="95" t="str">
        <f>IF(IFERROR(IF(C42=C40,0,IF(E42=E41,0,IF(C42=$R$3,HLOOKUP($R$3,Ingreso!$AW$10:$BC$260,VLOOKUP(A42,Ingreso!AL:AM,2,FALSE),FALSE)/24,""))),"")=0,"",IFERROR(IF(C42=C40,0,IF(E42=E41,0,IF(C42=$R$3,HLOOKUP($R$3,Ingreso!$AW$10:$BC$260,VLOOKUP(A42,Ingreso!AL:AM,2,FALSE),FALSE)/24,""))),""))</f>
        <v/>
      </c>
      <c r="O42" s="95" t="str">
        <f>IF(IFERROR(IF(C42=C40,0,IF(E42=E41,0,IF(C42=$R$4,HLOOKUP($R$4,Ingreso!$AW$10:$BC$260,VLOOKUP(A42,Ingreso!AL:AM,2,FALSE),FALSE)/24,""))),"")=0,"",IFERROR(IF(C42=C40,0,IF(E42=E41,0,IF(C42=$R$4,HLOOKUP($R$4,Ingreso!$AW$10:$BC$260,VLOOKUP(A42,Ingreso!AL:AM,2,FALSE),FALSE)/24,""))),""))</f>
        <v/>
      </c>
      <c r="P42" s="90"/>
      <c r="T42" t="s">
        <v>1424</v>
      </c>
      <c r="U42" t="s">
        <v>4</v>
      </c>
      <c r="V42" t="s">
        <v>1399</v>
      </c>
      <c r="W42" s="82">
        <v>38</v>
      </c>
      <c r="X42" s="71">
        <v>0.3125</v>
      </c>
      <c r="Y42" s="101">
        <v>0.30584490740740738</v>
      </c>
      <c r="Z42" s="101">
        <v>0.80843750000000003</v>
      </c>
      <c r="AA42" s="101">
        <v>0.5025925925925927</v>
      </c>
      <c r="AB42" s="101">
        <v>0.1900925925925927</v>
      </c>
      <c r="AC42" s="105">
        <v>8.3333333333333329E-2</v>
      </c>
      <c r="AD42" s="105">
        <v>0</v>
      </c>
      <c r="AE42" s="93">
        <v>0</v>
      </c>
      <c r="AF42" s="93">
        <v>0</v>
      </c>
      <c r="AG42" s="93">
        <v>0</v>
      </c>
    </row>
    <row r="43" spans="1:33">
      <c r="A43" s="65" t="str">
        <f>IFERROR(VLOOKUP('Informe Kelly'!A36,Base!A:B,2,FALSE),"")</f>
        <v>05.989.878-7</v>
      </c>
      <c r="B43" s="65" t="str">
        <f>IFERROR(VLOOKUP('Informe Kelly'!A36,Base!A:G,7,FALSE),"")</f>
        <v>FIGUEROA PAVEZ NELLY E.</v>
      </c>
      <c r="C43" s="69" t="str">
        <f>IF(G43=$C$4,IF('Informe Kelly'!H36='Control informe Kelly'!$A$2,TEXT(((LEFT('Informe Kelly'!E36,2)*1)+1),"dd")&amp;"."&amp;MID('Informe Kelly'!E36,4,2)&amp;"."&amp;RIGHT('Informe Kelly'!E36,4),'Informe Kelly'!E36),'Informe Kelly'!E36)</f>
        <v>16.04.2011</v>
      </c>
      <c r="D43" s="69" t="str">
        <f>IF('Informe Kelly'!E36="","",'Informe Kelly'!E36)</f>
        <v>16.04.2011</v>
      </c>
      <c r="E43" s="72">
        <f t="shared" si="0"/>
        <v>18</v>
      </c>
      <c r="F43" s="72" t="str">
        <f>IFERROR(HLOOKUP(C43,Ingreso!$Q$8:$AD$9,2,FALSE),"v")</f>
        <v>Sábado</v>
      </c>
      <c r="G43" s="65" t="str">
        <f>IFERROR(VLOOKUP(A43,Ingreso!K:P,6,FALSE),"no esta ingresado")</f>
        <v>Turno B</v>
      </c>
      <c r="H43" s="65" t="str">
        <f>IFERROR(IF('Informe Kelly'!H36=$A$2,'Informe Kelly'!F36,""),0)</f>
        <v/>
      </c>
      <c r="I43" s="65">
        <f>IFERROR(IF('Informe Kelly'!H36=$A$3,'Informe Kelly'!F36,""),0)</f>
        <v>0.81225694444444441</v>
      </c>
      <c r="J43" s="65" t="str">
        <f>IF(IFERROR(IF(E43=E42,0,(HLOOKUP(D43,Ingreso!$AN$10:$AT$260,VLOOKUP(A43,Ingreso!$AL$11:$AM$260,2,FALSE)))/24),0)=0,"",IFERROR(IF(E43=E42,0,(HLOOKUP(D43,Ingreso!$AN$10:$AT$260,VLOOKUP(A43,Ingreso!$AL$11:$AM$260,2,FALSE)))/24),0))</f>
        <v/>
      </c>
      <c r="K43" s="65" t="str">
        <f>IF(IFERROR(IF(E43=E42,0,(HLOOKUP(C43,Ingreso!$AW$10:$BC$260,VLOOKUP(A43,Ingreso!$AL$11:$AM$260,2,FALSE)))/24),0)=0,"",IFERROR(IF(E43=E42,0,(HLOOKUP(C43,Ingreso!$AW$10:$BC$260,VLOOKUP(A43,Ingreso!$AL$11:$AM$260,2,FALSE)))/24),0))</f>
        <v/>
      </c>
      <c r="L43" s="63">
        <f t="shared" si="1"/>
        <v>0.3125</v>
      </c>
      <c r="M43" s="63" t="str">
        <f>IF(IFERROR(IF(C43=C41,0,IF(E43=E42,0,IF(C43=$R$2,HLOOKUP($R$2,Ingreso!$AW$10:$BC$260,VLOOKUP(A43,Ingreso!AL:AM,2,FALSE),FALSE)/24,""))),"")=0,"",IFERROR(IF(C43=C41,0,IF(E43=E42,0,IF(C43=$R$2,HLOOKUP($R$2,Ingreso!$AW$10:$BC$260,VLOOKUP(A43,Ingreso!AL:AM,2,FALSE),FALSE)/24,""))),""))</f>
        <v/>
      </c>
      <c r="N43" s="95" t="str">
        <f>IF(IFERROR(IF(C43=C41,0,IF(E43=E42,0,IF(C43=$R$3,HLOOKUP($R$3,Ingreso!$AW$10:$BC$260,VLOOKUP(A43,Ingreso!AL:AM,2,FALSE),FALSE)/24,""))),"")=0,"",IFERROR(IF(C43=C41,0,IF(E43=E42,0,IF(C43=$R$3,HLOOKUP($R$3,Ingreso!$AW$10:$BC$260,VLOOKUP(A43,Ingreso!AL:AM,2,FALSE),FALSE)/24,""))),""))</f>
        <v/>
      </c>
      <c r="O43" s="95" t="str">
        <f>IF(IFERROR(IF(C43=C41,0,IF(E43=E42,0,IF(C43=$R$4,HLOOKUP($R$4,Ingreso!$AW$10:$BC$260,VLOOKUP(A43,Ingreso!AL:AM,2,FALSE),FALSE)/24,""))),"")=0,"",IFERROR(IF(C43=C41,0,IF(E43=E42,0,IF(C43=$R$4,HLOOKUP($R$4,Ingreso!$AW$10:$BC$260,VLOOKUP(A43,Ingreso!AL:AM,2,FALSE),FALSE)/24,""))),""))</f>
        <v/>
      </c>
      <c r="P43" s="90"/>
      <c r="T43" t="s">
        <v>1425</v>
      </c>
      <c r="U43" t="s">
        <v>4</v>
      </c>
      <c r="V43" t="s">
        <v>1400</v>
      </c>
      <c r="W43" s="82">
        <v>39</v>
      </c>
      <c r="X43" s="71">
        <v>0.3125</v>
      </c>
      <c r="Y43" s="101">
        <v>0.30701388888888886</v>
      </c>
      <c r="Z43" s="101">
        <v>0.81135416666666671</v>
      </c>
      <c r="AA43" s="101">
        <v>0.5043402777777779</v>
      </c>
      <c r="AB43" s="101">
        <v>0.1918402777777779</v>
      </c>
      <c r="AC43" s="105">
        <v>8.3333333333333329E-2</v>
      </c>
      <c r="AD43" s="105">
        <v>0</v>
      </c>
      <c r="AE43" s="93">
        <v>0</v>
      </c>
      <c r="AF43" s="93">
        <v>0</v>
      </c>
      <c r="AG43" s="93">
        <v>0</v>
      </c>
    </row>
    <row r="44" spans="1:33">
      <c r="A44" s="65" t="str">
        <f>IFERROR(VLOOKUP('Informe Kelly'!A37,Base!A:B,2,FALSE),"")</f>
        <v>05.989.878-7</v>
      </c>
      <c r="B44" s="65" t="str">
        <f>IFERROR(VLOOKUP('Informe Kelly'!A37,Base!A:G,7,FALSE),"")</f>
        <v>FIGUEROA PAVEZ NELLY E.</v>
      </c>
      <c r="C44" s="69" t="str">
        <f>IF(G44=$C$4,IF('Informe Kelly'!H37='Control informe Kelly'!$A$2,TEXT(((LEFT('Informe Kelly'!E37,2)*1)+1),"dd")&amp;"."&amp;MID('Informe Kelly'!E37,4,2)&amp;"."&amp;RIGHT('Informe Kelly'!E37,4),'Informe Kelly'!E37),'Informe Kelly'!E37)</f>
        <v>16.04.2011</v>
      </c>
      <c r="D44" s="69" t="str">
        <f>IF('Informe Kelly'!E37="","",'Informe Kelly'!E37)</f>
        <v>16.04.2011</v>
      </c>
      <c r="E44" s="72">
        <f t="shared" si="0"/>
        <v>18</v>
      </c>
      <c r="F44" s="72" t="str">
        <f>IFERROR(HLOOKUP(C44,Ingreso!$Q$8:$AD$9,2,FALSE),"v")</f>
        <v>Sábado</v>
      </c>
      <c r="G44" s="65" t="str">
        <f>IFERROR(VLOOKUP(A44,Ingreso!K:P,6,FALSE),"no esta ingresado")</f>
        <v>Turno B</v>
      </c>
      <c r="H44" s="65">
        <f>IFERROR(IF('Informe Kelly'!H37=$A$2,'Informe Kelly'!F37,""),0)</f>
        <v>0.49086805555555557</v>
      </c>
      <c r="I44" s="65" t="str">
        <f>IFERROR(IF('Informe Kelly'!H37=$A$3,'Informe Kelly'!F37,""),0)</f>
        <v/>
      </c>
      <c r="J44" s="65" t="str">
        <f>IF(IFERROR(IF(E44=E43,0,(HLOOKUP(D44,Ingreso!$AN$10:$AT$260,VLOOKUP(A44,Ingreso!$AL$11:$AM$260,2,FALSE)))/24),0)=0,"",IFERROR(IF(E44=E43,0,(HLOOKUP(D44,Ingreso!$AN$10:$AT$260,VLOOKUP(A44,Ingreso!$AL$11:$AM$260,2,FALSE)))/24),0))</f>
        <v/>
      </c>
      <c r="K44" s="65" t="str">
        <f>IF(IFERROR(IF(E44=E43,0,(HLOOKUP(C44,Ingreso!$AW$10:$BC$260,VLOOKUP(A44,Ingreso!$AL$11:$AM$260,2,FALSE)))/24),0)=0,"",IFERROR(IF(E44=E43,0,(HLOOKUP(C44,Ingreso!$AW$10:$BC$260,VLOOKUP(A44,Ingreso!$AL$11:$AM$260,2,FALSE)))/24),0))</f>
        <v/>
      </c>
      <c r="L44" s="63">
        <f t="shared" si="1"/>
        <v>0</v>
      </c>
      <c r="M44" s="63" t="str">
        <f>IF(IFERROR(IF(C44=C42,0,IF(E44=E43,0,IF(C44=$R$2,HLOOKUP($R$2,Ingreso!$AW$10:$BC$260,VLOOKUP(A44,Ingreso!AL:AM,2,FALSE),FALSE)/24,""))),"")=0,"",IFERROR(IF(C44=C42,0,IF(E44=E43,0,IF(C44=$R$2,HLOOKUP($R$2,Ingreso!$AW$10:$BC$260,VLOOKUP(A44,Ingreso!AL:AM,2,FALSE),FALSE)/24,""))),""))</f>
        <v/>
      </c>
      <c r="N44" s="95" t="str">
        <f>IF(IFERROR(IF(C44=C42,0,IF(E44=E43,0,IF(C44=$R$3,HLOOKUP($R$3,Ingreso!$AW$10:$BC$260,VLOOKUP(A44,Ingreso!AL:AM,2,FALSE),FALSE)/24,""))),"")=0,"",IFERROR(IF(C44=C42,0,IF(E44=E43,0,IF(C44=$R$3,HLOOKUP($R$3,Ingreso!$AW$10:$BC$260,VLOOKUP(A44,Ingreso!AL:AM,2,FALSE),FALSE)/24,""))),""))</f>
        <v/>
      </c>
      <c r="O44" s="95" t="str">
        <f>IF(IFERROR(IF(C44=C42,0,IF(E44=E43,0,IF(C44=$R$4,HLOOKUP($R$4,Ingreso!$AW$10:$BC$260,VLOOKUP(A44,Ingreso!AL:AM,2,FALSE),FALSE)/24,""))),"")=0,"",IFERROR(IF(C44=C42,0,IF(E44=E43,0,IF(C44=$R$4,HLOOKUP($R$4,Ingreso!$AW$10:$BC$260,VLOOKUP(A44,Ingreso!AL:AM,2,FALSE),FALSE)/24,""))),""))</f>
        <v/>
      </c>
      <c r="P44" s="90"/>
      <c r="T44" t="s">
        <v>1426</v>
      </c>
      <c r="U44" t="s">
        <v>4</v>
      </c>
      <c r="V44" t="s">
        <v>1401</v>
      </c>
      <c r="W44" s="82">
        <v>40</v>
      </c>
      <c r="X44" s="71">
        <v>0.3125</v>
      </c>
      <c r="Y44" s="101">
        <v>0.30303240740740739</v>
      </c>
      <c r="Z44" s="101">
        <v>0.81001157407407398</v>
      </c>
      <c r="AA44" s="101">
        <v>0.50697916666666654</v>
      </c>
      <c r="AB44" s="101">
        <v>0.19447916666666654</v>
      </c>
      <c r="AC44" s="105">
        <v>8.3333333333333329E-2</v>
      </c>
      <c r="AD44" s="105">
        <v>0</v>
      </c>
      <c r="AE44" s="93">
        <v>0</v>
      </c>
      <c r="AF44" s="93">
        <v>0</v>
      </c>
      <c r="AG44" s="93">
        <v>0</v>
      </c>
    </row>
    <row r="45" spans="1:33">
      <c r="A45" s="65" t="str">
        <f>IFERROR(VLOOKUP('Informe Kelly'!A38,Base!A:B,2,FALSE),"")</f>
        <v>06.528.911-3</v>
      </c>
      <c r="B45" s="65" t="str">
        <f>IFERROR(VLOOKUP('Informe Kelly'!A38,Base!A:G,7,FALSE),"")</f>
        <v>PINO MARTINEZ CARLOS</v>
      </c>
      <c r="C45" s="69" t="str">
        <f>IF(G45=$C$4,IF('Informe Kelly'!H38='Control informe Kelly'!$A$2,TEXT(((LEFT('Informe Kelly'!E38,2)*1)+1),"dd")&amp;"."&amp;MID('Informe Kelly'!E38,4,2)&amp;"."&amp;RIGHT('Informe Kelly'!E38,4),'Informe Kelly'!E38),'Informe Kelly'!E38)</f>
        <v>11.04.2011</v>
      </c>
      <c r="D45" s="69" t="str">
        <f>IF('Informe Kelly'!E38="","",'Informe Kelly'!E38)</f>
        <v>11.04.2011</v>
      </c>
      <c r="E45" s="72">
        <f t="shared" si="0"/>
        <v>19</v>
      </c>
      <c r="F45" s="72" t="str">
        <f>IFERROR(HLOOKUP(C45,Ingreso!$Q$8:$AD$9,2,FALSE),"v")</f>
        <v>Lunes</v>
      </c>
      <c r="G45" s="65" t="str">
        <f>IFERROR(VLOOKUP(A45,Ingreso!K:P,6,FALSE),"no esta ingresado")</f>
        <v>no esta ingresado</v>
      </c>
      <c r="H45" s="65" t="str">
        <f>IFERROR(IF('Informe Kelly'!H38=$A$2,'Informe Kelly'!F38,""),0)</f>
        <v/>
      </c>
      <c r="I45" s="65">
        <f>IFERROR(IF('Informe Kelly'!H38=$A$3,'Informe Kelly'!F38,""),0)</f>
        <v>0.63222222222222224</v>
      </c>
      <c r="J45" s="65" t="str">
        <f>IF(IFERROR(IF(E45=E44,0,(HLOOKUP(D45,Ingreso!$AN$10:$AT$260,VLOOKUP(A45,Ingreso!$AL$11:$AM$260,2,FALSE)))/24),0)=0,"",IFERROR(IF(E45=E44,0,(HLOOKUP(D45,Ingreso!$AN$10:$AT$260,VLOOKUP(A45,Ingreso!$AL$11:$AM$260,2,FALSE)))/24),0))</f>
        <v/>
      </c>
      <c r="K45" s="65" t="str">
        <f>IF(IFERROR(IF(E45=E44,0,(HLOOKUP(C45,Ingreso!$AW$10:$BC$260,VLOOKUP(A45,Ingreso!$AL$11:$AM$260,2,FALSE)))/24),0)=0,"",IFERROR(IF(E45=E44,0,(HLOOKUP(C45,Ingreso!$AW$10:$BC$260,VLOOKUP(A45,Ingreso!$AL$11:$AM$260,2,FALSE)))/24),0))</f>
        <v/>
      </c>
      <c r="L45" s="63" t="str">
        <f>IFERROR(IF(C45=C43,0,IF(E45=E44,0,(VLOOKUP(G45,$C$2:$D$5,2,FALSE)))),"")</f>
        <v/>
      </c>
      <c r="M45" s="63" t="str">
        <f>IF(IFERROR(IF(C45=C43,0,IF(E45=E44,0,IF(C45=$R$2,HLOOKUP($R$2,Ingreso!$AW$10:$BC$260,VLOOKUP(A45,Ingreso!AL:AM,2,FALSE),FALSE)/24,""))),"")=0,"",IFERROR(IF(C45=C43,0,IF(E45=E44,0,IF(C45=$R$2,HLOOKUP($R$2,Ingreso!$AW$10:$BC$260,VLOOKUP(A45,Ingreso!AL:AM,2,FALSE),FALSE)/24,""))),""))</f>
        <v/>
      </c>
      <c r="N45" s="95" t="str">
        <f>IF(IFERROR(IF(C45=C43,0,IF(E45=E44,0,IF(C45=$R$3,HLOOKUP($R$3,Ingreso!$AW$10:$BC$260,VLOOKUP(A45,Ingreso!AL:AM,2,FALSE),FALSE)/24,""))),"")=0,"",IFERROR(IF(C45=C43,0,IF(E45=E44,0,IF(C45=$R$3,HLOOKUP($R$3,Ingreso!$AW$10:$BC$260,VLOOKUP(A45,Ingreso!AL:AM,2,FALSE),FALSE)/24,""))),""))</f>
        <v/>
      </c>
      <c r="O45" s="95" t="str">
        <f>IF(IFERROR(IF(C45=C43,0,IF(E45=E44,0,IF(C45=$R$4,HLOOKUP($R$4,Ingreso!$AW$10:$BC$260,VLOOKUP(A45,Ingreso!AL:AM,2,FALSE),FALSE)/24,""))),"")=0,"",IFERROR(IF(C45=C43,0,IF(E45=E44,0,IF(C45=$R$4,HLOOKUP($R$4,Ingreso!$AW$10:$BC$260,VLOOKUP(A45,Ingreso!AL:AM,2,FALSE),FALSE)/24,""))),""))</f>
        <v/>
      </c>
      <c r="P45" s="90"/>
      <c r="R45" t="s">
        <v>288</v>
      </c>
      <c r="S45" t="s">
        <v>293</v>
      </c>
      <c r="T45" t="s">
        <v>1420</v>
      </c>
      <c r="U45" t="s">
        <v>1322</v>
      </c>
      <c r="V45" t="s">
        <v>1397</v>
      </c>
      <c r="W45" s="82">
        <v>41</v>
      </c>
      <c r="X45" s="71">
        <v>0.3125</v>
      </c>
      <c r="Y45" s="101">
        <v>0.28010416666666665</v>
      </c>
      <c r="Z45" s="101">
        <v>0.63031249999999994</v>
      </c>
      <c r="AA45" s="101">
        <v>0.35020833333333329</v>
      </c>
      <c r="AB45" s="101">
        <v>3.7708333333333288E-2</v>
      </c>
      <c r="AC45" s="105">
        <v>0</v>
      </c>
      <c r="AD45" s="105">
        <v>0</v>
      </c>
      <c r="AE45" s="93">
        <v>0</v>
      </c>
      <c r="AF45" s="93">
        <v>0</v>
      </c>
      <c r="AG45" s="93">
        <v>0</v>
      </c>
    </row>
    <row r="46" spans="1:33">
      <c r="A46" s="65" t="str">
        <f>IFERROR(VLOOKUP('Informe Kelly'!A39,Base!A:B,2,FALSE),"")</f>
        <v>06.528.911-3</v>
      </c>
      <c r="B46" s="65" t="str">
        <f>IFERROR(VLOOKUP('Informe Kelly'!A39,Base!A:G,7,FALSE),"")</f>
        <v>PINO MARTINEZ CARLOS</v>
      </c>
      <c r="C46" s="69" t="str">
        <f>IF(G46=$C$4,IF('Informe Kelly'!H39='Control informe Kelly'!$A$2,TEXT(((LEFT('Informe Kelly'!E39,2)*1)+1),"dd")&amp;"."&amp;MID('Informe Kelly'!E39,4,2)&amp;"."&amp;RIGHT('Informe Kelly'!E39,4),'Informe Kelly'!E39),'Informe Kelly'!E39)</f>
        <v>11.04.2011</v>
      </c>
      <c r="D46" s="69" t="str">
        <f>IF('Informe Kelly'!E39="","",'Informe Kelly'!E39)</f>
        <v>11.04.2011</v>
      </c>
      <c r="E46" s="72">
        <f t="shared" si="0"/>
        <v>19</v>
      </c>
      <c r="F46" s="72" t="str">
        <f>IFERROR(HLOOKUP(C46,Ingreso!$Q$8:$AD$9,2,FALSE),"v")</f>
        <v>Lunes</v>
      </c>
      <c r="G46" s="65" t="str">
        <f>IFERROR(VLOOKUP(A46,Ingreso!K:P,6,FALSE),"no esta ingresado")</f>
        <v>no esta ingresado</v>
      </c>
      <c r="H46" s="65">
        <f>IFERROR(IF('Informe Kelly'!H39=$A$2,'Informe Kelly'!F39,""),0)</f>
        <v>0.29260416666666667</v>
      </c>
      <c r="I46" s="65" t="str">
        <f>IFERROR(IF('Informe Kelly'!H39=$A$3,'Informe Kelly'!F39,""),0)</f>
        <v/>
      </c>
      <c r="J46" s="65" t="str">
        <f>IF(IFERROR(IF(E46=E45,0,(HLOOKUP(D46,Ingreso!$AN$10:$AT$260,VLOOKUP(A46,Ingreso!$AL$11:$AM$260,2,FALSE)))/24),0)=0,"",IFERROR(IF(E46=E45,0,(HLOOKUP(D46,Ingreso!$AN$10:$AT$260,VLOOKUP(A46,Ingreso!$AL$11:$AM$260,2,FALSE)))/24),0))</f>
        <v/>
      </c>
      <c r="K46" s="65" t="str">
        <f>IF(IFERROR(IF(E46=E45,0,(HLOOKUP(C46,Ingreso!$AW$10:$BC$260,VLOOKUP(A46,Ingreso!$AL$11:$AM$260,2,FALSE)))/24),0)=0,"",IFERROR(IF(E46=E45,0,(HLOOKUP(C46,Ingreso!$AW$10:$BC$260,VLOOKUP(A46,Ingreso!$AL$11:$AM$260,2,FALSE)))/24),0))</f>
        <v/>
      </c>
      <c r="L46" s="63">
        <f t="shared" si="1"/>
        <v>0</v>
      </c>
      <c r="M46" s="63" t="str">
        <f>IF(IFERROR(IF(C46=C44,0,IF(E46=E45,0,IF(C46=$R$2,HLOOKUP($R$2,Ingreso!$AW$10:$BC$260,VLOOKUP(A46,Ingreso!AL:AM,2,FALSE),FALSE)/24,""))),"")=0,"",IFERROR(IF(C46=C44,0,IF(E46=E45,0,IF(C46=$R$2,HLOOKUP($R$2,Ingreso!$AW$10:$BC$260,VLOOKUP(A46,Ingreso!AL:AM,2,FALSE),FALSE)/24,""))),""))</f>
        <v/>
      </c>
      <c r="N46" s="95" t="str">
        <f>IF(IFERROR(IF(C46=C44,0,IF(E46=E45,0,IF(C46=$R$3,HLOOKUP($R$3,Ingreso!$AW$10:$BC$260,VLOOKUP(A46,Ingreso!AL:AM,2,FALSE),FALSE)/24,""))),"")=0,"",IFERROR(IF(C46=C44,0,IF(E46=E45,0,IF(C46=$R$3,HLOOKUP($R$3,Ingreso!$AW$10:$BC$260,VLOOKUP(A46,Ingreso!AL:AM,2,FALSE),FALSE)/24,""))),""))</f>
        <v/>
      </c>
      <c r="O46" s="95" t="str">
        <f>IF(IFERROR(IF(C46=C44,0,IF(E46=E45,0,IF(C46=$R$4,HLOOKUP($R$4,Ingreso!$AW$10:$BC$260,VLOOKUP(A46,Ingreso!AL:AM,2,FALSE),FALSE)/24,""))),"")=0,"",IFERROR(IF(C46=C44,0,IF(E46=E45,0,IF(C46=$R$4,HLOOKUP($R$4,Ingreso!$AW$10:$BC$260,VLOOKUP(A46,Ingreso!AL:AM,2,FALSE),FALSE)/24,""))),""))</f>
        <v/>
      </c>
      <c r="P46" s="90"/>
      <c r="T46" t="s">
        <v>1423</v>
      </c>
      <c r="U46" t="s">
        <v>1322</v>
      </c>
      <c r="V46" t="s">
        <v>1398</v>
      </c>
      <c r="W46" s="82">
        <v>42</v>
      </c>
      <c r="X46" s="71">
        <v>0.3125</v>
      </c>
      <c r="Y46" s="101">
        <v>0.28938657407407409</v>
      </c>
      <c r="Z46" s="101">
        <v>0.63261574074074078</v>
      </c>
      <c r="AA46" s="101">
        <v>0.3432291666666667</v>
      </c>
      <c r="AB46" s="101">
        <v>3.0729166666666696E-2</v>
      </c>
      <c r="AC46" s="105">
        <v>0</v>
      </c>
      <c r="AD46" s="105">
        <v>0</v>
      </c>
      <c r="AE46" s="93">
        <v>0</v>
      </c>
      <c r="AF46" s="93">
        <v>0</v>
      </c>
      <c r="AG46" s="93">
        <v>0</v>
      </c>
    </row>
    <row r="47" spans="1:33" ht="12.75" customHeight="1">
      <c r="A47" s="65" t="str">
        <f>IFERROR(VLOOKUP('Informe Kelly'!A40,Base!A:B,2,FALSE),"")</f>
        <v>06.528.911-3</v>
      </c>
      <c r="B47" s="65" t="str">
        <f>IFERROR(VLOOKUP('Informe Kelly'!A40,Base!A:G,7,FALSE),"")</f>
        <v>PINO MARTINEZ CARLOS</v>
      </c>
      <c r="C47" s="69" t="str">
        <f>IF(G47=$C$4,IF('Informe Kelly'!H40='Control informe Kelly'!$A$2,TEXT(((LEFT('Informe Kelly'!E40,2)*1)+1),"dd")&amp;"."&amp;MID('Informe Kelly'!E40,4,2)&amp;"."&amp;RIGHT('Informe Kelly'!E40,4),'Informe Kelly'!E40),'Informe Kelly'!E40)</f>
        <v>12.04.2011</v>
      </c>
      <c r="D47" s="69" t="str">
        <f>IF('Informe Kelly'!E40="","",'Informe Kelly'!E40)</f>
        <v>12.04.2011</v>
      </c>
      <c r="E47" s="72">
        <f t="shared" si="0"/>
        <v>20</v>
      </c>
      <c r="F47" s="72" t="str">
        <f>IFERROR(HLOOKUP(C47,Ingreso!$Q$8:$AD$9,2,FALSE),"v")</f>
        <v>Martes</v>
      </c>
      <c r="G47" s="65" t="str">
        <f>IFERROR(VLOOKUP(A47,Ingreso!K:P,6,FALSE),"no esta ingresado")</f>
        <v>no esta ingresado</v>
      </c>
      <c r="H47" s="65" t="str">
        <f>IFERROR(IF('Informe Kelly'!H40=$A$2,'Informe Kelly'!F40,""),0)</f>
        <v/>
      </c>
      <c r="I47" s="65">
        <f>IFERROR(IF('Informe Kelly'!H40=$A$3,'Informe Kelly'!F40,""),0)</f>
        <v>0.63972222222222219</v>
      </c>
      <c r="J47" s="65" t="str">
        <f>IF(IFERROR(IF(E47=E46,0,(HLOOKUP(D47,Ingreso!$AN$10:$AT$260,VLOOKUP(A47,Ingreso!$AL$11:$AM$260,2,FALSE)))/24),0)=0,"",IFERROR(IF(E47=E46,0,(HLOOKUP(D47,Ingreso!$AN$10:$AT$260,VLOOKUP(A47,Ingreso!$AL$11:$AM$260,2,FALSE)))/24),0))</f>
        <v/>
      </c>
      <c r="K47" s="65" t="str">
        <f>IF(IFERROR(IF(E47=E46,0,(HLOOKUP(C47,Ingreso!$AW$10:$BC$260,VLOOKUP(A47,Ingreso!$AL$11:$AM$260,2,FALSE)))/24),0)=0,"",IFERROR(IF(E47=E46,0,(HLOOKUP(C47,Ingreso!$AW$10:$BC$260,VLOOKUP(A47,Ingreso!$AL$11:$AM$260,2,FALSE)))/24),0))</f>
        <v/>
      </c>
      <c r="L47" s="63" t="str">
        <f t="shared" si="1"/>
        <v/>
      </c>
      <c r="M47" s="63" t="str">
        <f>IF(IFERROR(IF(C47=C45,0,IF(E47=E46,0,IF(C47=$R$2,HLOOKUP($R$2,Ingreso!$AW$10:$BC$260,VLOOKUP(A47,Ingreso!AL:AM,2,FALSE),FALSE)/24,""))),"")=0,"",IFERROR(IF(C47=C45,0,IF(E47=E46,0,IF(C47=$R$2,HLOOKUP($R$2,Ingreso!$AW$10:$BC$260,VLOOKUP(A47,Ingreso!AL:AM,2,FALSE),FALSE)/24,""))),""))</f>
        <v/>
      </c>
      <c r="N47" s="95" t="str">
        <f>IF(IFERROR(IF(C47=C45,0,IF(E47=E46,0,IF(C47=$R$3,HLOOKUP($R$3,Ingreso!$AW$10:$BC$260,VLOOKUP(A47,Ingreso!AL:AM,2,FALSE),FALSE)/24,""))),"")=0,"",IFERROR(IF(C47=C45,0,IF(E47=E46,0,IF(C47=$R$3,HLOOKUP($R$3,Ingreso!$AW$10:$BC$260,VLOOKUP(A47,Ingreso!AL:AM,2,FALSE),FALSE)/24,""))),""))</f>
        <v/>
      </c>
      <c r="O47" s="95" t="str">
        <f>IF(IFERROR(IF(C47=C45,0,IF(E47=E46,0,IF(C47=$R$4,HLOOKUP($R$4,Ingreso!$AW$10:$BC$260,VLOOKUP(A47,Ingreso!AL:AM,2,FALSE),FALSE)/24,""))),"")=0,"",IFERROR(IF(C47=C45,0,IF(E47=E46,0,IF(C47=$R$4,HLOOKUP($R$4,Ingreso!$AW$10:$BC$260,VLOOKUP(A47,Ingreso!AL:AM,2,FALSE),FALSE)/24,""))),""))</f>
        <v/>
      </c>
      <c r="P47" s="90"/>
      <c r="T47" t="s">
        <v>1424</v>
      </c>
      <c r="U47" t="s">
        <v>1322</v>
      </c>
      <c r="V47" t="s">
        <v>1399</v>
      </c>
      <c r="W47" s="82">
        <v>43</v>
      </c>
      <c r="X47" s="71">
        <v>0.3125</v>
      </c>
      <c r="Y47" s="101">
        <v>0.27717592592592594</v>
      </c>
      <c r="Z47" s="101">
        <v>0.63570601851851849</v>
      </c>
      <c r="AA47" s="101">
        <v>0.35853009259259255</v>
      </c>
      <c r="AB47" s="101">
        <v>4.6030092592592553E-2</v>
      </c>
      <c r="AC47" s="105">
        <v>0</v>
      </c>
      <c r="AD47" s="105">
        <v>0</v>
      </c>
      <c r="AE47" s="93">
        <v>0</v>
      </c>
      <c r="AF47" s="93">
        <v>0</v>
      </c>
      <c r="AG47" s="93">
        <v>0</v>
      </c>
    </row>
    <row r="48" spans="1:33">
      <c r="A48" s="65" t="str">
        <f>IFERROR(VLOOKUP('Informe Kelly'!A41,Base!A:B,2,FALSE),"")</f>
        <v>06.528.911-3</v>
      </c>
      <c r="B48" s="65" t="str">
        <f>IFERROR(VLOOKUP('Informe Kelly'!A41,Base!A:G,7,FALSE),"")</f>
        <v>PINO MARTINEZ CARLOS</v>
      </c>
      <c r="C48" s="69" t="str">
        <f>IF(G48=$C$4,IF('Informe Kelly'!H41='Control informe Kelly'!$A$2,TEXT(((LEFT('Informe Kelly'!E41,2)*1)+1),"dd")&amp;"."&amp;MID('Informe Kelly'!E41,4,2)&amp;"."&amp;RIGHT('Informe Kelly'!E41,4),'Informe Kelly'!E41),'Informe Kelly'!E41)</f>
        <v>12.04.2011</v>
      </c>
      <c r="D48" s="69" t="str">
        <f>IF('Informe Kelly'!E41="","",'Informe Kelly'!E41)</f>
        <v>12.04.2011</v>
      </c>
      <c r="E48" s="72">
        <f t="shared" si="0"/>
        <v>20</v>
      </c>
      <c r="F48" s="72" t="str">
        <f>IFERROR(HLOOKUP(C48,Ingreso!$Q$8:$AD$9,2,FALSE),"v")</f>
        <v>Martes</v>
      </c>
      <c r="G48" s="65" t="str">
        <f>IFERROR(VLOOKUP(A48,Ingreso!K:P,6,FALSE),"no esta ingresado")</f>
        <v>no esta ingresado</v>
      </c>
      <c r="H48" s="65">
        <f>IFERROR(IF('Informe Kelly'!H41=$A$2,'Informe Kelly'!F41,""),0)</f>
        <v>0.29247685185185185</v>
      </c>
      <c r="I48" s="65" t="str">
        <f>IFERROR(IF('Informe Kelly'!H41=$A$3,'Informe Kelly'!F41,""),0)</f>
        <v/>
      </c>
      <c r="J48" s="65" t="str">
        <f>IF(IFERROR(IF(E48=E47,0,(HLOOKUP(D48,Ingreso!$AN$10:$AT$260,VLOOKUP(A48,Ingreso!$AL$11:$AM$260,2,FALSE)))/24),0)=0,"",IFERROR(IF(E48=E47,0,(HLOOKUP(D48,Ingreso!$AN$10:$AT$260,VLOOKUP(A48,Ingreso!$AL$11:$AM$260,2,FALSE)))/24),0))</f>
        <v/>
      </c>
      <c r="K48" s="65" t="str">
        <f>IF(IFERROR(IF(E48=E47,0,(HLOOKUP(C48,Ingreso!$AW$10:$BC$260,VLOOKUP(A48,Ingreso!$AL$11:$AM$260,2,FALSE)))/24),0)=0,"",IFERROR(IF(E48=E47,0,(HLOOKUP(C48,Ingreso!$AW$10:$BC$260,VLOOKUP(A48,Ingreso!$AL$11:$AM$260,2,FALSE)))/24),0))</f>
        <v/>
      </c>
      <c r="L48" s="63">
        <f t="shared" si="1"/>
        <v>0</v>
      </c>
      <c r="M48" s="63" t="str">
        <f>IF(IFERROR(IF(C48=C46,0,IF(E48=E47,0,IF(C48=$R$2,HLOOKUP($R$2,Ingreso!$AW$10:$BC$260,VLOOKUP(A48,Ingreso!AL:AM,2,FALSE),FALSE)/24,""))),"")=0,"",IFERROR(IF(C48=C46,0,IF(E48=E47,0,IF(C48=$R$2,HLOOKUP($R$2,Ingreso!$AW$10:$BC$260,VLOOKUP(A48,Ingreso!AL:AM,2,FALSE),FALSE)/24,""))),""))</f>
        <v/>
      </c>
      <c r="N48" s="95" t="str">
        <f>IF(IFERROR(IF(C48=C46,0,IF(E48=E47,0,IF(C48=$R$3,HLOOKUP($R$3,Ingreso!$AW$10:$BC$260,VLOOKUP(A48,Ingreso!AL:AM,2,FALSE),FALSE)/24,""))),"")=0,"",IFERROR(IF(C48=C46,0,IF(E48=E47,0,IF(C48=$R$3,HLOOKUP($R$3,Ingreso!$AW$10:$BC$260,VLOOKUP(A48,Ingreso!AL:AM,2,FALSE),FALSE)/24,""))),""))</f>
        <v/>
      </c>
      <c r="O48" s="95" t="str">
        <f>IF(IFERROR(IF(C48=C46,0,IF(E48=E47,0,IF(C48=$R$4,HLOOKUP($R$4,Ingreso!$AW$10:$BC$260,VLOOKUP(A48,Ingreso!AL:AM,2,FALSE),FALSE)/24,""))),"")=0,"",IFERROR(IF(C48=C46,0,IF(E48=E47,0,IF(C48=$R$4,HLOOKUP($R$4,Ingreso!$AW$10:$BC$260,VLOOKUP(A48,Ingreso!AL:AM,2,FALSE),FALSE)/24,""))),""))</f>
        <v/>
      </c>
      <c r="P48" s="90"/>
      <c r="T48" t="s">
        <v>1425</v>
      </c>
      <c r="U48" t="s">
        <v>1322</v>
      </c>
      <c r="V48" t="s">
        <v>1400</v>
      </c>
      <c r="W48" s="82">
        <v>44</v>
      </c>
      <c r="X48" s="71">
        <v>0.3125</v>
      </c>
      <c r="Y48" s="101">
        <v>0.27717592592592594</v>
      </c>
      <c r="Z48" s="101">
        <v>0.63596064814814812</v>
      </c>
      <c r="AA48" s="101">
        <v>0.35878472222222219</v>
      </c>
      <c r="AB48" s="101">
        <v>4.6284722222222185E-2</v>
      </c>
      <c r="AC48" s="105">
        <v>0</v>
      </c>
      <c r="AD48" s="105">
        <v>0</v>
      </c>
      <c r="AE48" s="93">
        <v>0</v>
      </c>
      <c r="AF48" s="93">
        <v>0</v>
      </c>
      <c r="AG48" s="93">
        <v>0</v>
      </c>
    </row>
    <row r="49" spans="1:33">
      <c r="A49" s="65" t="str">
        <f>IFERROR(VLOOKUP('Informe Kelly'!A42,Base!A:B,2,FALSE),"")</f>
        <v>06.528.911-3</v>
      </c>
      <c r="B49" s="65" t="str">
        <f>IFERROR(VLOOKUP('Informe Kelly'!A42,Base!A:G,7,FALSE),"")</f>
        <v>PINO MARTINEZ CARLOS</v>
      </c>
      <c r="C49" s="69" t="str">
        <f>IF(G49=$C$4,IF('Informe Kelly'!H42='Control informe Kelly'!$A$2,TEXT(((LEFT('Informe Kelly'!E42,2)*1)+1),"dd")&amp;"."&amp;MID('Informe Kelly'!E42,4,2)&amp;"."&amp;RIGHT('Informe Kelly'!E42,4),'Informe Kelly'!E42),'Informe Kelly'!E42)</f>
        <v>13.04.2011</v>
      </c>
      <c r="D49" s="69" t="str">
        <f>IF('Informe Kelly'!E42="","",'Informe Kelly'!E42)</f>
        <v>13.04.2011</v>
      </c>
      <c r="E49" s="72">
        <f t="shared" si="0"/>
        <v>21</v>
      </c>
      <c r="F49" s="72" t="str">
        <f>IFERROR(HLOOKUP(C49,Ingreso!$Q$8:$AD$9,2,FALSE),"v")</f>
        <v>Miércoles</v>
      </c>
      <c r="G49" s="65" t="str">
        <f>IFERROR(VLOOKUP(A49,Ingreso!K:P,6,FALSE),"no esta ingresado")</f>
        <v>no esta ingresado</v>
      </c>
      <c r="H49" s="65" t="str">
        <f>IFERROR(IF('Informe Kelly'!H42=$A$2,'Informe Kelly'!F42,""),0)</f>
        <v/>
      </c>
      <c r="I49" s="65">
        <f>IFERROR(IF('Informe Kelly'!H42=$A$3,'Informe Kelly'!F42,""),0)</f>
        <v>0.62829861111111118</v>
      </c>
      <c r="J49" s="65" t="str">
        <f>IF(IFERROR(IF(E49=E48,0,(HLOOKUP(D49,Ingreso!$AN$10:$AT$260,VLOOKUP(A49,Ingreso!$AL$11:$AM$260,2,FALSE)))/24),0)=0,"",IFERROR(IF(E49=E48,0,(HLOOKUP(D49,Ingreso!$AN$10:$AT$260,VLOOKUP(A49,Ingreso!$AL$11:$AM$260,2,FALSE)))/24),0))</f>
        <v/>
      </c>
      <c r="K49" s="65" t="str">
        <f>IF(IFERROR(IF(E49=E48,0,(HLOOKUP(C49,Ingreso!$AW$10:$BC$260,VLOOKUP(A49,Ingreso!$AL$11:$AM$260,2,FALSE)))/24),0)=0,"",IFERROR(IF(E49=E48,0,(HLOOKUP(C49,Ingreso!$AW$10:$BC$260,VLOOKUP(A49,Ingreso!$AL$11:$AM$260,2,FALSE)))/24),0))</f>
        <v/>
      </c>
      <c r="L49" s="63" t="str">
        <f t="shared" si="1"/>
        <v/>
      </c>
      <c r="M49" s="63" t="str">
        <f>IF(IFERROR(IF(C49=C47,0,IF(E49=E48,0,IF(C49=$R$2,HLOOKUP($R$2,Ingreso!$AW$10:$BC$260,VLOOKUP(A49,Ingreso!AL:AM,2,FALSE),FALSE)/24,""))),"")=0,"",IFERROR(IF(C49=C47,0,IF(E49=E48,0,IF(C49=$R$2,HLOOKUP($R$2,Ingreso!$AW$10:$BC$260,VLOOKUP(A49,Ingreso!AL:AM,2,FALSE),FALSE)/24,""))),""))</f>
        <v/>
      </c>
      <c r="N49" s="95" t="str">
        <f>IF(IFERROR(IF(C49=C47,0,IF(E49=E48,0,IF(C49=$R$3,HLOOKUP($R$3,Ingreso!$AW$10:$BC$260,VLOOKUP(A49,Ingreso!AL:AM,2,FALSE),FALSE)/24,""))),"")=0,"",IFERROR(IF(C49=C47,0,IF(E49=E48,0,IF(C49=$R$3,HLOOKUP($R$3,Ingreso!$AW$10:$BC$260,VLOOKUP(A49,Ingreso!AL:AM,2,FALSE),FALSE)/24,""))),""))</f>
        <v/>
      </c>
      <c r="O49" s="95" t="str">
        <f>IF(IFERROR(IF(C49=C47,0,IF(E49=E48,0,IF(C49=$R$4,HLOOKUP($R$4,Ingreso!$AW$10:$BC$260,VLOOKUP(A49,Ingreso!AL:AM,2,FALSE),FALSE)/24,""))),"")=0,"",IFERROR(IF(C49=C47,0,IF(E49=E48,0,IF(C49=$R$4,HLOOKUP($R$4,Ingreso!$AW$10:$BC$260,VLOOKUP(A49,Ingreso!AL:AM,2,FALSE),FALSE)/24,""))),""))</f>
        <v/>
      </c>
      <c r="P49" s="90"/>
      <c r="T49" t="s">
        <v>1426</v>
      </c>
      <c r="U49" t="s">
        <v>1322</v>
      </c>
      <c r="V49" t="s">
        <v>1401</v>
      </c>
      <c r="W49" s="82">
        <v>45</v>
      </c>
      <c r="X49" s="71">
        <v>0.3125</v>
      </c>
      <c r="Y49" s="101">
        <v>0.28449074074074071</v>
      </c>
      <c r="Z49" s="101">
        <v>0.63589120370370367</v>
      </c>
      <c r="AA49" s="101">
        <v>0.35140046296296296</v>
      </c>
      <c r="AB49" s="101">
        <v>3.8900462962962956E-2</v>
      </c>
      <c r="AC49" s="105">
        <v>0</v>
      </c>
      <c r="AD49" s="105">
        <v>0</v>
      </c>
      <c r="AE49" s="93">
        <v>0</v>
      </c>
      <c r="AF49" s="93">
        <v>0</v>
      </c>
      <c r="AG49" s="93">
        <v>0</v>
      </c>
    </row>
    <row r="50" spans="1:33">
      <c r="A50" s="65" t="str">
        <f>IFERROR(VLOOKUP('Informe Kelly'!A43,Base!A:B,2,FALSE),"")</f>
        <v>06.528.911-3</v>
      </c>
      <c r="B50" s="65" t="str">
        <f>IFERROR(VLOOKUP('Informe Kelly'!A43,Base!A:G,7,FALSE),"")</f>
        <v>PINO MARTINEZ CARLOS</v>
      </c>
      <c r="C50" s="69" t="str">
        <f>IF(G50=$C$4,IF('Informe Kelly'!H43='Control informe Kelly'!$A$2,TEXT(((LEFT('Informe Kelly'!E43,2)*1)+1),"dd")&amp;"."&amp;MID('Informe Kelly'!E43,4,2)&amp;"."&amp;RIGHT('Informe Kelly'!E43,4),'Informe Kelly'!E43),'Informe Kelly'!E43)</f>
        <v>13.04.2011</v>
      </c>
      <c r="D50" s="69" t="str">
        <f>IF('Informe Kelly'!E43="","",'Informe Kelly'!E43)</f>
        <v>13.04.2011</v>
      </c>
      <c r="E50" s="72">
        <f t="shared" si="0"/>
        <v>21</v>
      </c>
      <c r="F50" s="72" t="str">
        <f>IFERROR(HLOOKUP(C50,Ingreso!$Q$8:$AD$9,2,FALSE),"v")</f>
        <v>Miércoles</v>
      </c>
      <c r="G50" s="65" t="str">
        <f>IFERROR(VLOOKUP(A50,Ingreso!K:P,6,FALSE),"no esta ingresado")</f>
        <v>no esta ingresado</v>
      </c>
      <c r="H50" s="65">
        <f>IFERROR(IF('Informe Kelly'!H43=$A$2,'Informe Kelly'!F43,""),0)</f>
        <v>0.29304398148148147</v>
      </c>
      <c r="I50" s="65" t="str">
        <f>IFERROR(IF('Informe Kelly'!H43=$A$3,'Informe Kelly'!F43,""),0)</f>
        <v/>
      </c>
      <c r="J50" s="65" t="str">
        <f>IF(IFERROR(IF(E50=E49,0,(HLOOKUP(D50,Ingreso!$AN$10:$AT$260,VLOOKUP(A50,Ingreso!$AL$11:$AM$260,2,FALSE)))/24),0)=0,"",IFERROR(IF(E50=E49,0,(HLOOKUP(D50,Ingreso!$AN$10:$AT$260,VLOOKUP(A50,Ingreso!$AL$11:$AM$260,2,FALSE)))/24),0))</f>
        <v/>
      </c>
      <c r="K50" s="65" t="str">
        <f>IF(IFERROR(IF(E50=E49,0,(HLOOKUP(C50,Ingreso!$AW$10:$BC$260,VLOOKUP(A50,Ingreso!$AL$11:$AM$260,2,FALSE)))/24),0)=0,"",IFERROR(IF(E50=E49,0,(HLOOKUP(C50,Ingreso!$AW$10:$BC$260,VLOOKUP(A50,Ingreso!$AL$11:$AM$260,2,FALSE)))/24),0))</f>
        <v/>
      </c>
      <c r="L50" s="63">
        <f t="shared" si="1"/>
        <v>0</v>
      </c>
      <c r="M50" s="63" t="str">
        <f>IF(IFERROR(IF(C50=C48,0,IF(E50=E49,0,IF(C50=$R$2,HLOOKUP($R$2,Ingreso!$AW$10:$BC$260,VLOOKUP(A50,Ingreso!AL:AM,2,FALSE),FALSE)/24,""))),"")=0,"",IFERROR(IF(C50=C48,0,IF(E50=E49,0,IF(C50=$R$2,HLOOKUP($R$2,Ingreso!$AW$10:$BC$260,VLOOKUP(A50,Ingreso!AL:AM,2,FALSE),FALSE)/24,""))),""))</f>
        <v/>
      </c>
      <c r="N50" s="95" t="str">
        <f>IF(IFERROR(IF(C50=C48,0,IF(E50=E49,0,IF(C50=$R$3,HLOOKUP($R$3,Ingreso!$AW$10:$BC$260,VLOOKUP(A50,Ingreso!AL:AM,2,FALSE),FALSE)/24,""))),"")=0,"",IFERROR(IF(C50=C48,0,IF(E50=E49,0,IF(C50=$R$3,HLOOKUP($R$3,Ingreso!$AW$10:$BC$260,VLOOKUP(A50,Ingreso!AL:AM,2,FALSE),FALSE)/24,""))),""))</f>
        <v/>
      </c>
      <c r="O50" s="95" t="str">
        <f>IF(IFERROR(IF(C50=C48,0,IF(E50=E49,0,IF(C50=$R$4,HLOOKUP($R$4,Ingreso!$AW$10:$BC$260,VLOOKUP(A50,Ingreso!AL:AM,2,FALSE),FALSE)/24,""))),"")=0,"",IFERROR(IF(C50=C48,0,IF(E50=E49,0,IF(C50=$R$4,HLOOKUP($R$4,Ingreso!$AW$10:$BC$260,VLOOKUP(A50,Ingreso!AL:AM,2,FALSE),FALSE)/24,""))),""))</f>
        <v/>
      </c>
      <c r="P50" s="90"/>
      <c r="T50" t="s">
        <v>1427</v>
      </c>
      <c r="U50" t="s">
        <v>1322</v>
      </c>
      <c r="V50" t="s">
        <v>1402</v>
      </c>
      <c r="W50" s="82">
        <v>46</v>
      </c>
      <c r="X50" s="71">
        <v>0.3125</v>
      </c>
      <c r="Y50" s="101">
        <v>0.60362268518518525</v>
      </c>
      <c r="Z50" s="101">
        <v>0.93822916666666656</v>
      </c>
      <c r="AA50" s="101">
        <v>0.33460648148148131</v>
      </c>
      <c r="AB50" s="101">
        <v>2.210648148148131E-2</v>
      </c>
      <c r="AC50" s="105">
        <v>0</v>
      </c>
      <c r="AD50" s="105">
        <v>0</v>
      </c>
      <c r="AE50" s="93">
        <v>0</v>
      </c>
      <c r="AF50" s="93">
        <v>0</v>
      </c>
      <c r="AG50" s="93">
        <v>0</v>
      </c>
    </row>
    <row r="51" spans="1:33">
      <c r="A51" s="65" t="str">
        <f>IFERROR(VLOOKUP('Informe Kelly'!A44,Base!A:B,2,FALSE),"")</f>
        <v>06.528.911-3</v>
      </c>
      <c r="B51" s="65" t="str">
        <f>IFERROR(VLOOKUP('Informe Kelly'!A44,Base!A:G,7,FALSE),"")</f>
        <v>PINO MARTINEZ CARLOS</v>
      </c>
      <c r="C51" s="69" t="str">
        <f>IF(G51=$C$4,IF('Informe Kelly'!H44='Control informe Kelly'!$A$2,TEXT(((LEFT('Informe Kelly'!E44,2)*1)+1),"dd")&amp;"."&amp;MID('Informe Kelly'!E44,4,2)&amp;"."&amp;RIGHT('Informe Kelly'!E44,4),'Informe Kelly'!E44),'Informe Kelly'!E44)</f>
        <v>14.04.2011</v>
      </c>
      <c r="D51" s="69" t="str">
        <f>IF('Informe Kelly'!E44="","",'Informe Kelly'!E44)</f>
        <v>14.04.2011</v>
      </c>
      <c r="E51" s="72">
        <f t="shared" si="0"/>
        <v>22</v>
      </c>
      <c r="F51" s="72" t="str">
        <f>IFERROR(HLOOKUP(C51,Ingreso!$Q$8:$AD$9,2,FALSE),"v")</f>
        <v>Jueves</v>
      </c>
      <c r="G51" s="65" t="str">
        <f>IFERROR(VLOOKUP(A51,Ingreso!K:P,6,FALSE),"no esta ingresado")</f>
        <v>no esta ingresado</v>
      </c>
      <c r="H51" s="65" t="str">
        <f>IFERROR(IF('Informe Kelly'!H44=$A$2,'Informe Kelly'!F44,""),0)</f>
        <v/>
      </c>
      <c r="I51" s="65">
        <f>IFERROR(IF('Informe Kelly'!H44=$A$3,'Informe Kelly'!F44,""),0)</f>
        <v>0.63708333333333333</v>
      </c>
      <c r="J51" s="65" t="str">
        <f>IF(IFERROR(IF(E51=E50,0,(HLOOKUP(D51,Ingreso!$AN$10:$AT$260,VLOOKUP(A51,Ingreso!$AL$11:$AM$260,2,FALSE)))/24),0)=0,"",IFERROR(IF(E51=E50,0,(HLOOKUP(D51,Ingreso!$AN$10:$AT$260,VLOOKUP(A51,Ingreso!$AL$11:$AM$260,2,FALSE)))/24),0))</f>
        <v/>
      </c>
      <c r="K51" s="65" t="str">
        <f>IF(IFERROR(IF(E51=E50,0,(HLOOKUP(C51,Ingreso!$AW$10:$BC$260,VLOOKUP(A51,Ingreso!$AL$11:$AM$260,2,FALSE)))/24),0)=0,"",IFERROR(IF(E51=E50,0,(HLOOKUP(C51,Ingreso!$AW$10:$BC$260,VLOOKUP(A51,Ingreso!$AL$11:$AM$260,2,FALSE)))/24),0))</f>
        <v/>
      </c>
      <c r="L51" s="63" t="str">
        <f t="shared" si="1"/>
        <v/>
      </c>
      <c r="M51" s="63" t="str">
        <f>IF(IFERROR(IF(C51=C49,0,IF(E51=E50,0,IF(C51=$R$2,HLOOKUP($R$2,Ingreso!$AW$10:$BC$260,VLOOKUP(A51,Ingreso!AL:AM,2,FALSE),FALSE)/24,""))),"")=0,"",IFERROR(IF(C51=C49,0,IF(E51=E50,0,IF(C51=$R$2,HLOOKUP($R$2,Ingreso!$AW$10:$BC$260,VLOOKUP(A51,Ingreso!AL:AM,2,FALSE),FALSE)/24,""))),""))</f>
        <v/>
      </c>
      <c r="N51" s="95" t="str">
        <f>IF(IFERROR(IF(C51=C49,0,IF(E51=E50,0,IF(C51=$R$3,HLOOKUP($R$3,Ingreso!$AW$10:$BC$260,VLOOKUP(A51,Ingreso!AL:AM,2,FALSE),FALSE)/24,""))),"")=0,"",IFERROR(IF(C51=C49,0,IF(E51=E50,0,IF(C51=$R$3,HLOOKUP($R$3,Ingreso!$AW$10:$BC$260,VLOOKUP(A51,Ingreso!AL:AM,2,FALSE),FALSE)/24,""))),""))</f>
        <v/>
      </c>
      <c r="O51" s="95" t="str">
        <f>IF(IFERROR(IF(C51=C49,0,IF(E51=E50,0,IF(C51=$R$4,HLOOKUP($R$4,Ingreso!$AW$10:$BC$260,VLOOKUP(A51,Ingreso!AL:AM,2,FALSE),FALSE)/24,""))),"")=0,"",IFERROR(IF(C51=C49,0,IF(E51=E50,0,IF(C51=$R$4,HLOOKUP($R$4,Ingreso!$AW$10:$BC$260,VLOOKUP(A51,Ingreso!AL:AM,2,FALSE),FALSE)/24,""))),""))</f>
        <v/>
      </c>
      <c r="P51" s="90"/>
      <c r="R51" t="s">
        <v>847</v>
      </c>
      <c r="S51" t="s">
        <v>851</v>
      </c>
      <c r="T51" t="s">
        <v>1420</v>
      </c>
      <c r="U51" t="s">
        <v>4</v>
      </c>
      <c r="V51" t="s">
        <v>1397</v>
      </c>
      <c r="W51" s="82">
        <v>58</v>
      </c>
      <c r="X51" s="71">
        <v>0.3125</v>
      </c>
      <c r="Y51" s="101">
        <v>0.29050925925925924</v>
      </c>
      <c r="Z51" s="101">
        <v>0.63399305555555552</v>
      </c>
      <c r="AA51" s="101">
        <v>0.34348379629629627</v>
      </c>
      <c r="AB51" s="101">
        <v>3.0983796296296273E-2</v>
      </c>
      <c r="AC51" s="105">
        <v>0</v>
      </c>
      <c r="AD51" s="105">
        <v>0</v>
      </c>
      <c r="AE51" s="93">
        <v>0</v>
      </c>
      <c r="AF51" s="93">
        <v>0</v>
      </c>
      <c r="AG51" s="93">
        <v>0</v>
      </c>
    </row>
    <row r="52" spans="1:33">
      <c r="A52" s="65" t="str">
        <f>IFERROR(VLOOKUP('Informe Kelly'!A45,Base!A:B,2,FALSE),"")</f>
        <v>06.528.911-3</v>
      </c>
      <c r="B52" s="65" t="str">
        <f>IFERROR(VLOOKUP('Informe Kelly'!A45,Base!A:G,7,FALSE),"")</f>
        <v>PINO MARTINEZ CARLOS</v>
      </c>
      <c r="C52" s="69" t="str">
        <f>IF(G52=$C$4,IF('Informe Kelly'!H45='Control informe Kelly'!$A$2,TEXT(((LEFT('Informe Kelly'!E45,2)*1)+1),"dd")&amp;"."&amp;MID('Informe Kelly'!E45,4,2)&amp;"."&amp;RIGHT('Informe Kelly'!E45,4),'Informe Kelly'!E45),'Informe Kelly'!E45)</f>
        <v>14.04.2011</v>
      </c>
      <c r="D52" s="69" t="str">
        <f>IF('Informe Kelly'!E45="","",'Informe Kelly'!E45)</f>
        <v>14.04.2011</v>
      </c>
      <c r="E52" s="72">
        <f t="shared" si="0"/>
        <v>22</v>
      </c>
      <c r="F52" s="72" t="str">
        <f>IFERROR(HLOOKUP(C52,Ingreso!$Q$8:$AD$9,2,FALSE),"v")</f>
        <v>Jueves</v>
      </c>
      <c r="G52" s="65" t="str">
        <f>IFERROR(VLOOKUP(A52,Ingreso!K:P,6,FALSE),"no esta ingresado")</f>
        <v>no esta ingresado</v>
      </c>
      <c r="H52" s="65">
        <f>IFERROR(IF('Informe Kelly'!H45=$A$2,'Informe Kelly'!F45,""),0)</f>
        <v>0.29281249999999998</v>
      </c>
      <c r="I52" s="65" t="str">
        <f>IFERROR(IF('Informe Kelly'!H45=$A$3,'Informe Kelly'!F45,""),0)</f>
        <v/>
      </c>
      <c r="J52" s="65" t="str">
        <f>IF(IFERROR(IF(E52=E51,0,(HLOOKUP(D52,Ingreso!$AN$10:$AT$260,VLOOKUP(A52,Ingreso!$AL$11:$AM$260,2,FALSE)))/24),0)=0,"",IFERROR(IF(E52=E51,0,(HLOOKUP(D52,Ingreso!$AN$10:$AT$260,VLOOKUP(A52,Ingreso!$AL$11:$AM$260,2,FALSE)))/24),0))</f>
        <v/>
      </c>
      <c r="K52" s="65" t="str">
        <f>IF(IFERROR(IF(E52=E51,0,(HLOOKUP(C52,Ingreso!$AW$10:$BC$260,VLOOKUP(A52,Ingreso!$AL$11:$AM$260,2,FALSE)))/24),0)=0,"",IFERROR(IF(E52=E51,0,(HLOOKUP(C52,Ingreso!$AW$10:$BC$260,VLOOKUP(A52,Ingreso!$AL$11:$AM$260,2,FALSE)))/24),0))</f>
        <v/>
      </c>
      <c r="L52" s="63">
        <f t="shared" si="1"/>
        <v>0</v>
      </c>
      <c r="M52" s="63" t="str">
        <f>IF(IFERROR(IF(C52=C50,0,IF(E52=E51,0,IF(C52=$R$2,HLOOKUP($R$2,Ingreso!$AW$10:$BC$260,VLOOKUP(A52,Ingreso!AL:AM,2,FALSE),FALSE)/24,""))),"")=0,"",IFERROR(IF(C52=C50,0,IF(E52=E51,0,IF(C52=$R$2,HLOOKUP($R$2,Ingreso!$AW$10:$BC$260,VLOOKUP(A52,Ingreso!AL:AM,2,FALSE),FALSE)/24,""))),""))</f>
        <v/>
      </c>
      <c r="N52" s="95" t="str">
        <f>IF(IFERROR(IF(C52=C50,0,IF(E52=E51,0,IF(C52=$R$3,HLOOKUP($R$3,Ingreso!$AW$10:$BC$260,VLOOKUP(A52,Ingreso!AL:AM,2,FALSE),FALSE)/24,""))),"")=0,"",IFERROR(IF(C52=C50,0,IF(E52=E51,0,IF(C52=$R$3,HLOOKUP($R$3,Ingreso!$AW$10:$BC$260,VLOOKUP(A52,Ingreso!AL:AM,2,FALSE),FALSE)/24,""))),""))</f>
        <v/>
      </c>
      <c r="O52" s="95" t="str">
        <f>IF(IFERROR(IF(C52=C50,0,IF(E52=E51,0,IF(C52=$R$4,HLOOKUP($R$4,Ingreso!$AW$10:$BC$260,VLOOKUP(A52,Ingreso!AL:AM,2,FALSE),FALSE)/24,""))),"")=0,"",IFERROR(IF(C52=C50,0,IF(E52=E51,0,IF(C52=$R$4,HLOOKUP($R$4,Ingreso!$AW$10:$BC$260,VLOOKUP(A52,Ingreso!AL:AM,2,FALSE),FALSE)/24,""))),""))</f>
        <v/>
      </c>
      <c r="P52" s="90"/>
      <c r="T52" t="s">
        <v>1423</v>
      </c>
      <c r="U52" t="s">
        <v>4</v>
      </c>
      <c r="V52" t="s">
        <v>1398</v>
      </c>
      <c r="W52" s="82">
        <v>59</v>
      </c>
      <c r="X52" s="71">
        <v>0.3125</v>
      </c>
      <c r="Y52" s="101">
        <v>0.29032407407407407</v>
      </c>
      <c r="Z52" s="101">
        <v>0.70780092592592592</v>
      </c>
      <c r="AA52" s="101">
        <v>0.41747685185185185</v>
      </c>
      <c r="AB52" s="101">
        <v>0.10497685185185185</v>
      </c>
      <c r="AC52" s="105">
        <v>8.3333333333333329E-2</v>
      </c>
      <c r="AD52" s="105">
        <v>0</v>
      </c>
      <c r="AE52" s="93">
        <v>0</v>
      </c>
      <c r="AF52" s="93">
        <v>0</v>
      </c>
      <c r="AG52" s="93">
        <v>0</v>
      </c>
    </row>
    <row r="53" spans="1:33">
      <c r="A53" s="65" t="str">
        <f>IFERROR(VLOOKUP('Informe Kelly'!A46,Base!A:B,2,FALSE),"")</f>
        <v>06.528.911-3</v>
      </c>
      <c r="B53" s="65" t="str">
        <f>IFERROR(VLOOKUP('Informe Kelly'!A46,Base!A:G,7,FALSE),"")</f>
        <v>PINO MARTINEZ CARLOS</v>
      </c>
      <c r="C53" s="69" t="str">
        <f>IF(G53=$C$4,IF('Informe Kelly'!H46='Control informe Kelly'!$A$2,TEXT(((LEFT('Informe Kelly'!E46,2)*1)+1),"dd")&amp;"."&amp;MID('Informe Kelly'!E46,4,2)&amp;"."&amp;RIGHT('Informe Kelly'!E46,4),'Informe Kelly'!E46),'Informe Kelly'!E46)</f>
        <v>15.04.2011</v>
      </c>
      <c r="D53" s="69" t="str">
        <f>IF('Informe Kelly'!E46="","",'Informe Kelly'!E46)</f>
        <v>15.04.2011</v>
      </c>
      <c r="E53" s="72">
        <f t="shared" si="0"/>
        <v>23</v>
      </c>
      <c r="F53" s="72" t="str">
        <f>IFERROR(HLOOKUP(C53,Ingreso!$Q$8:$AD$9,2,FALSE),"v")</f>
        <v>Viernes</v>
      </c>
      <c r="G53" s="65" t="str">
        <f>IFERROR(VLOOKUP(A53,Ingreso!K:P,6,FALSE),"no esta ingresado")</f>
        <v>no esta ingresado</v>
      </c>
      <c r="H53" s="65" t="str">
        <f>IFERROR(IF('Informe Kelly'!H46=$A$2,'Informe Kelly'!F46,""),0)</f>
        <v/>
      </c>
      <c r="I53" s="65">
        <f>IFERROR(IF('Informe Kelly'!H46=$A$3,'Informe Kelly'!F46,""),0)</f>
        <v>0.64274305555555555</v>
      </c>
      <c r="J53" s="65" t="str">
        <f>IF(IFERROR(IF(E53=E52,0,(HLOOKUP(D53,Ingreso!$AN$10:$AT$260,VLOOKUP(A53,Ingreso!$AL$11:$AM$260,2,FALSE)))/24),0)=0,"",IFERROR(IF(E53=E52,0,(HLOOKUP(D53,Ingreso!$AN$10:$AT$260,VLOOKUP(A53,Ingreso!$AL$11:$AM$260,2,FALSE)))/24),0))</f>
        <v/>
      </c>
      <c r="K53" s="65" t="str">
        <f>IF(IFERROR(IF(E53=E52,0,(HLOOKUP(C53,Ingreso!$AW$10:$BC$260,VLOOKUP(A53,Ingreso!$AL$11:$AM$260,2,FALSE)))/24),0)=0,"",IFERROR(IF(E53=E52,0,(HLOOKUP(C53,Ingreso!$AW$10:$BC$260,VLOOKUP(A53,Ingreso!$AL$11:$AM$260,2,FALSE)))/24),0))</f>
        <v/>
      </c>
      <c r="L53" s="63" t="str">
        <f t="shared" si="1"/>
        <v/>
      </c>
      <c r="M53" s="63" t="str">
        <f>IF(IFERROR(IF(C53=C51,0,IF(E53=E52,0,IF(C53=$R$2,HLOOKUP($R$2,Ingreso!$AW$10:$BC$260,VLOOKUP(A53,Ingreso!AL:AM,2,FALSE),FALSE)/24,""))),"")=0,"",IFERROR(IF(C53=C51,0,IF(E53=E52,0,IF(C53=$R$2,HLOOKUP($R$2,Ingreso!$AW$10:$BC$260,VLOOKUP(A53,Ingreso!AL:AM,2,FALSE),FALSE)/24,""))),""))</f>
        <v/>
      </c>
      <c r="N53" s="95" t="str">
        <f>IF(IFERROR(IF(C53=C51,0,IF(E53=E52,0,IF(C53=$R$3,HLOOKUP($R$3,Ingreso!$AW$10:$BC$260,VLOOKUP(A53,Ingreso!AL:AM,2,FALSE),FALSE)/24,""))),"")=0,"",IFERROR(IF(C53=C51,0,IF(E53=E52,0,IF(C53=$R$3,HLOOKUP($R$3,Ingreso!$AW$10:$BC$260,VLOOKUP(A53,Ingreso!AL:AM,2,FALSE),FALSE)/24,""))),""))</f>
        <v/>
      </c>
      <c r="O53" s="95" t="str">
        <f>IF(IFERROR(IF(C53=C51,0,IF(E53=E52,0,IF(C53=$R$4,HLOOKUP($R$4,Ingreso!$AW$10:$BC$260,VLOOKUP(A53,Ingreso!AL:AM,2,FALSE),FALSE)/24,""))),"")=0,"",IFERROR(IF(C53=C51,0,IF(E53=E52,0,IF(C53=$R$4,HLOOKUP($R$4,Ingreso!$AW$10:$BC$260,VLOOKUP(A53,Ingreso!AL:AM,2,FALSE),FALSE)/24,""))),""))</f>
        <v/>
      </c>
      <c r="P53" s="90"/>
      <c r="T53" t="s">
        <v>1424</v>
      </c>
      <c r="U53" t="s">
        <v>4</v>
      </c>
      <c r="V53" t="s">
        <v>1399</v>
      </c>
      <c r="W53" s="82">
        <v>60</v>
      </c>
      <c r="X53" s="71">
        <v>0.3125</v>
      </c>
      <c r="Y53" s="101">
        <v>0.28899305555555554</v>
      </c>
      <c r="Z53" s="101">
        <v>0.68293981481481481</v>
      </c>
      <c r="AA53" s="101">
        <v>0.39394675925925926</v>
      </c>
      <c r="AB53" s="101">
        <v>8.144675925925926E-2</v>
      </c>
      <c r="AC53" s="105">
        <v>8.3333333333333329E-2</v>
      </c>
      <c r="AD53" s="105">
        <v>0</v>
      </c>
      <c r="AE53" s="93">
        <v>0</v>
      </c>
      <c r="AF53" s="93">
        <v>0</v>
      </c>
      <c r="AG53" s="93">
        <v>0</v>
      </c>
    </row>
    <row r="54" spans="1:33">
      <c r="A54" s="65" t="str">
        <f>IFERROR(VLOOKUP('Informe Kelly'!A47,Base!A:B,2,FALSE),"")</f>
        <v>06.528.911-3</v>
      </c>
      <c r="B54" s="65" t="str">
        <f>IFERROR(VLOOKUP('Informe Kelly'!A47,Base!A:G,7,FALSE),"")</f>
        <v>PINO MARTINEZ CARLOS</v>
      </c>
      <c r="C54" s="69" t="str">
        <f>IF(G54=$C$4,IF('Informe Kelly'!H47='Control informe Kelly'!$A$2,TEXT(((LEFT('Informe Kelly'!E47,2)*1)+1),"dd")&amp;"."&amp;MID('Informe Kelly'!E47,4,2)&amp;"."&amp;RIGHT('Informe Kelly'!E47,4),'Informe Kelly'!E47),'Informe Kelly'!E47)</f>
        <v>15.04.2011</v>
      </c>
      <c r="D54" s="69" t="str">
        <f>IF('Informe Kelly'!E47="","",'Informe Kelly'!E47)</f>
        <v>15.04.2011</v>
      </c>
      <c r="E54" s="72">
        <f t="shared" si="0"/>
        <v>23</v>
      </c>
      <c r="F54" s="72" t="str">
        <f>IFERROR(HLOOKUP(C54,Ingreso!$Q$8:$AD$9,2,FALSE),"v")</f>
        <v>Viernes</v>
      </c>
      <c r="G54" s="65" t="str">
        <f>IFERROR(VLOOKUP(A54,Ingreso!K:P,6,FALSE),"no esta ingresado")</f>
        <v>no esta ingresado</v>
      </c>
      <c r="H54" s="65">
        <f>IFERROR(IF('Informe Kelly'!H47=$A$2,'Informe Kelly'!F47,""),0)</f>
        <v>0.29392361111111109</v>
      </c>
      <c r="I54" s="65" t="str">
        <f>IFERROR(IF('Informe Kelly'!H47=$A$3,'Informe Kelly'!F47,""),0)</f>
        <v/>
      </c>
      <c r="J54" s="65" t="str">
        <f>IF(IFERROR(IF(E54=E53,0,(HLOOKUP(D54,Ingreso!$AN$10:$AT$260,VLOOKUP(A54,Ingreso!$AL$11:$AM$260,2,FALSE)))/24),0)=0,"",IFERROR(IF(E54=E53,0,(HLOOKUP(D54,Ingreso!$AN$10:$AT$260,VLOOKUP(A54,Ingreso!$AL$11:$AM$260,2,FALSE)))/24),0))</f>
        <v/>
      </c>
      <c r="K54" s="65" t="str">
        <f>IF(IFERROR(IF(E54=E53,0,(HLOOKUP(C54,Ingreso!$AW$10:$BC$260,VLOOKUP(A54,Ingreso!$AL$11:$AM$260,2,FALSE)))/24),0)=0,"",IFERROR(IF(E54=E53,0,(HLOOKUP(C54,Ingreso!$AW$10:$BC$260,VLOOKUP(A54,Ingreso!$AL$11:$AM$260,2,FALSE)))/24),0))</f>
        <v/>
      </c>
      <c r="L54" s="63">
        <f t="shared" si="1"/>
        <v>0</v>
      </c>
      <c r="M54" s="63" t="str">
        <f>IF(IFERROR(IF(C54=C52,0,IF(E54=E53,0,IF(C54=$R$2,HLOOKUP($R$2,Ingreso!$AW$10:$BC$260,VLOOKUP(A54,Ingreso!AL:AM,2,FALSE),FALSE)/24,""))),"")=0,"",IFERROR(IF(C54=C52,0,IF(E54=E53,0,IF(C54=$R$2,HLOOKUP($R$2,Ingreso!$AW$10:$BC$260,VLOOKUP(A54,Ingreso!AL:AM,2,FALSE),FALSE)/24,""))),""))</f>
        <v/>
      </c>
      <c r="N54" s="95" t="str">
        <f>IF(IFERROR(IF(C54=C52,0,IF(E54=E53,0,IF(C54=$R$3,HLOOKUP($R$3,Ingreso!$AW$10:$BC$260,VLOOKUP(A54,Ingreso!AL:AM,2,FALSE),FALSE)/24,""))),"")=0,"",IFERROR(IF(C54=C52,0,IF(E54=E53,0,IF(C54=$R$3,HLOOKUP($R$3,Ingreso!$AW$10:$BC$260,VLOOKUP(A54,Ingreso!AL:AM,2,FALSE),FALSE)/24,""))),""))</f>
        <v/>
      </c>
      <c r="O54" s="95" t="str">
        <f>IF(IFERROR(IF(C54=C52,0,IF(E54=E53,0,IF(C54=$R$4,HLOOKUP($R$4,Ingreso!$AW$10:$BC$260,VLOOKUP(A54,Ingreso!AL:AM,2,FALSE),FALSE)/24,""))),"")=0,"",IFERROR(IF(C54=C52,0,IF(E54=E53,0,IF(C54=$R$4,HLOOKUP($R$4,Ingreso!$AW$10:$BC$260,VLOOKUP(A54,Ingreso!AL:AM,2,FALSE),FALSE)/24,""))),""))</f>
        <v/>
      </c>
      <c r="P54" s="90"/>
      <c r="T54" t="s">
        <v>1425</v>
      </c>
      <c r="U54" t="s">
        <v>4</v>
      </c>
      <c r="V54" t="s">
        <v>1400</v>
      </c>
      <c r="W54" s="82">
        <v>61</v>
      </c>
      <c r="X54" s="71">
        <v>0.3125</v>
      </c>
      <c r="Y54" s="101">
        <v>0.29623842592592592</v>
      </c>
      <c r="Z54" s="101">
        <v>0.63590277777777782</v>
      </c>
      <c r="AA54" s="101">
        <v>0.3396643518518519</v>
      </c>
      <c r="AB54" s="101">
        <v>2.7164351851851898E-2</v>
      </c>
      <c r="AC54" s="105">
        <v>0</v>
      </c>
      <c r="AD54" s="105">
        <v>0</v>
      </c>
      <c r="AE54" s="93">
        <v>0</v>
      </c>
      <c r="AF54" s="93">
        <v>0</v>
      </c>
      <c r="AG54" s="93">
        <v>0</v>
      </c>
    </row>
    <row r="55" spans="1:33">
      <c r="A55" s="65" t="str">
        <f>IFERROR(VLOOKUP('Informe Kelly'!A48,Base!A:B,2,FALSE),"")</f>
        <v>06.528.911-3</v>
      </c>
      <c r="B55" s="65" t="str">
        <f>IFERROR(VLOOKUP('Informe Kelly'!A48,Base!A:G,7,FALSE),"")</f>
        <v>PINO MARTINEZ CARLOS</v>
      </c>
      <c r="C55" s="69" t="str">
        <f>IF(G55=$C$4,IF('Informe Kelly'!H48='Control informe Kelly'!$A$2,TEXT(((LEFT('Informe Kelly'!E48,2)*1)+1),"dd")&amp;"."&amp;MID('Informe Kelly'!E48,4,2)&amp;"."&amp;RIGHT('Informe Kelly'!E48,4),'Informe Kelly'!E48),'Informe Kelly'!E48)</f>
        <v>16.04.2011</v>
      </c>
      <c r="D55" s="69" t="str">
        <f>IF('Informe Kelly'!E48="","",'Informe Kelly'!E48)</f>
        <v>16.04.2011</v>
      </c>
      <c r="E55" s="72">
        <f t="shared" si="0"/>
        <v>24</v>
      </c>
      <c r="F55" s="72" t="str">
        <f>IFERROR(HLOOKUP(C55,Ingreso!$Q$8:$AD$9,2,FALSE),"v")</f>
        <v>Sábado</v>
      </c>
      <c r="G55" s="65" t="str">
        <f>IFERROR(VLOOKUP(A55,Ingreso!K:P,6,FALSE),"no esta ingresado")</f>
        <v>no esta ingresado</v>
      </c>
      <c r="H55" s="65" t="str">
        <f>IFERROR(IF('Informe Kelly'!H48=$A$2,'Informe Kelly'!F48,""),0)</f>
        <v/>
      </c>
      <c r="I55" s="65">
        <f>IFERROR(IF('Informe Kelly'!H48=$A$3,'Informe Kelly'!F48,""),0)</f>
        <v>0.63292824074074072</v>
      </c>
      <c r="J55" s="65" t="str">
        <f>IF(IFERROR(IF(E55=E54,0,(HLOOKUP(D55,Ingreso!$AN$10:$AT$260,VLOOKUP(A55,Ingreso!$AL$11:$AM$260,2,FALSE)))/24),0)=0,"",IFERROR(IF(E55=E54,0,(HLOOKUP(D55,Ingreso!$AN$10:$AT$260,VLOOKUP(A55,Ingreso!$AL$11:$AM$260,2,FALSE)))/24),0))</f>
        <v/>
      </c>
      <c r="K55" s="65" t="str">
        <f>IF(IFERROR(IF(E55=E54,0,(HLOOKUP(C55,Ingreso!$AW$10:$BC$260,VLOOKUP(A55,Ingreso!$AL$11:$AM$260,2,FALSE)))/24),0)=0,"",IFERROR(IF(E55=E54,0,(HLOOKUP(C55,Ingreso!$AW$10:$BC$260,VLOOKUP(A55,Ingreso!$AL$11:$AM$260,2,FALSE)))/24),0))</f>
        <v/>
      </c>
      <c r="L55" s="63" t="str">
        <f t="shared" si="1"/>
        <v/>
      </c>
      <c r="M55" s="63" t="str">
        <f>IF(IFERROR(IF(C55=C53,0,IF(E55=E54,0,IF(C55=$R$2,HLOOKUP($R$2,Ingreso!$AW$10:$BC$260,VLOOKUP(A55,Ingreso!AL:AM,2,FALSE),FALSE)/24,""))),"")=0,"",IFERROR(IF(C55=C53,0,IF(E55=E54,0,IF(C55=$R$2,HLOOKUP($R$2,Ingreso!$AW$10:$BC$260,VLOOKUP(A55,Ingreso!AL:AM,2,FALSE),FALSE)/24,""))),""))</f>
        <v/>
      </c>
      <c r="N55" s="95" t="str">
        <f>IF(IFERROR(IF(C55=C53,0,IF(E55=E54,0,IF(C55=$R$3,HLOOKUP($R$3,Ingreso!$AW$10:$BC$260,VLOOKUP(A55,Ingreso!AL:AM,2,FALSE),FALSE)/24,""))),"")=0,"",IFERROR(IF(C55=C53,0,IF(E55=E54,0,IF(C55=$R$3,HLOOKUP($R$3,Ingreso!$AW$10:$BC$260,VLOOKUP(A55,Ingreso!AL:AM,2,FALSE),FALSE)/24,""))),""))</f>
        <v/>
      </c>
      <c r="O55" s="95" t="str">
        <f>IF(IFERROR(IF(C55=C53,0,IF(E55=E54,0,IF(C55=$R$4,HLOOKUP($R$4,Ingreso!$AW$10:$BC$260,VLOOKUP(A55,Ingreso!AL:AM,2,FALSE),FALSE)/24,""))),"")=0,"",IFERROR(IF(C55=C53,0,IF(E55=E54,0,IF(C55=$R$4,HLOOKUP($R$4,Ingreso!$AW$10:$BC$260,VLOOKUP(A55,Ingreso!AL:AM,2,FALSE),FALSE)/24,""))),""))</f>
        <v/>
      </c>
      <c r="P55" s="90"/>
      <c r="T55" t="s">
        <v>1426</v>
      </c>
      <c r="U55" t="s">
        <v>4</v>
      </c>
      <c r="V55" t="s">
        <v>1401</v>
      </c>
      <c r="W55" s="82">
        <v>62</v>
      </c>
      <c r="X55" s="71">
        <v>0.3125</v>
      </c>
      <c r="Y55" s="101">
        <v>0.29631944444444441</v>
      </c>
      <c r="Z55" s="101">
        <v>0.6366087962962963</v>
      </c>
      <c r="AA55" s="101">
        <v>0.34028935185185188</v>
      </c>
      <c r="AB55" s="101">
        <v>2.7789351851851885E-2</v>
      </c>
      <c r="AC55" s="105">
        <v>0</v>
      </c>
      <c r="AD55" s="105">
        <v>0</v>
      </c>
      <c r="AE55" s="93">
        <v>0</v>
      </c>
      <c r="AF55" s="93">
        <v>0</v>
      </c>
      <c r="AG55" s="93">
        <v>0</v>
      </c>
    </row>
    <row r="56" spans="1:33">
      <c r="A56" s="65" t="str">
        <f>IFERROR(VLOOKUP('Informe Kelly'!A49,Base!A:B,2,FALSE),"")</f>
        <v>06.528.911-3</v>
      </c>
      <c r="B56" s="65" t="str">
        <f>IFERROR(VLOOKUP('Informe Kelly'!A49,Base!A:G,7,FALSE),"")</f>
        <v>PINO MARTINEZ CARLOS</v>
      </c>
      <c r="C56" s="69" t="str">
        <f>IF(G56=$C$4,IF('Informe Kelly'!H49='Control informe Kelly'!$A$2,TEXT(((LEFT('Informe Kelly'!E49,2)*1)+1),"dd")&amp;"."&amp;MID('Informe Kelly'!E49,4,2)&amp;"."&amp;RIGHT('Informe Kelly'!E49,4),'Informe Kelly'!E49),'Informe Kelly'!E49)</f>
        <v>16.04.2011</v>
      </c>
      <c r="D56" s="69" t="str">
        <f>IF('Informe Kelly'!E49="","",'Informe Kelly'!E49)</f>
        <v>16.04.2011</v>
      </c>
      <c r="E56" s="72">
        <f t="shared" si="0"/>
        <v>24</v>
      </c>
      <c r="F56" s="72" t="str">
        <f>IFERROR(HLOOKUP(C56,Ingreso!$Q$8:$AD$9,2,FALSE),"v")</f>
        <v>Sábado</v>
      </c>
      <c r="G56" s="65" t="str">
        <f>IFERROR(VLOOKUP(A56,Ingreso!K:P,6,FALSE),"no esta ingresado")</f>
        <v>no esta ingresado</v>
      </c>
      <c r="H56" s="65">
        <f>IFERROR(IF('Informe Kelly'!H49=$A$2,'Informe Kelly'!F49,""),0)</f>
        <v>0.29335648148148147</v>
      </c>
      <c r="I56" s="65" t="str">
        <f>IFERROR(IF('Informe Kelly'!H49=$A$3,'Informe Kelly'!F49,""),0)</f>
        <v/>
      </c>
      <c r="J56" s="65" t="str">
        <f>IF(IFERROR(IF(E56=E55,0,(HLOOKUP(D56,Ingreso!$AN$10:$AT$260,VLOOKUP(A56,Ingreso!$AL$11:$AM$260,2,FALSE)))/24),0)=0,"",IFERROR(IF(E56=E55,0,(HLOOKUP(D56,Ingreso!$AN$10:$AT$260,VLOOKUP(A56,Ingreso!$AL$11:$AM$260,2,FALSE)))/24),0))</f>
        <v/>
      </c>
      <c r="K56" s="65" t="str">
        <f>IF(IFERROR(IF(E56=E55,0,(HLOOKUP(C56,Ingreso!$AW$10:$BC$260,VLOOKUP(A56,Ingreso!$AL$11:$AM$260,2,FALSE)))/24),0)=0,"",IFERROR(IF(E56=E55,0,(HLOOKUP(C56,Ingreso!$AW$10:$BC$260,VLOOKUP(A56,Ingreso!$AL$11:$AM$260,2,FALSE)))/24),0))</f>
        <v/>
      </c>
      <c r="L56" s="63">
        <f t="shared" si="1"/>
        <v>0</v>
      </c>
      <c r="M56" s="63" t="str">
        <f>IF(IFERROR(IF(C56=C54,0,IF(E56=E55,0,IF(C56=$R$2,HLOOKUP($R$2,Ingreso!$AW$10:$BC$260,VLOOKUP(A56,Ingreso!AL:AM,2,FALSE),FALSE)/24,""))),"")=0,"",IFERROR(IF(C56=C54,0,IF(E56=E55,0,IF(C56=$R$2,HLOOKUP($R$2,Ingreso!$AW$10:$BC$260,VLOOKUP(A56,Ingreso!AL:AM,2,FALSE),FALSE)/24,""))),""))</f>
        <v/>
      </c>
      <c r="N56" s="95" t="str">
        <f>IF(IFERROR(IF(C56=C54,0,IF(E56=E55,0,IF(C56=$R$3,HLOOKUP($R$3,Ingreso!$AW$10:$BC$260,VLOOKUP(A56,Ingreso!AL:AM,2,FALSE),FALSE)/24,""))),"")=0,"",IFERROR(IF(C56=C54,0,IF(E56=E55,0,IF(C56=$R$3,HLOOKUP($R$3,Ingreso!$AW$10:$BC$260,VLOOKUP(A56,Ingreso!AL:AM,2,FALSE),FALSE)/24,""))),""))</f>
        <v/>
      </c>
      <c r="O56" s="95" t="str">
        <f>IF(IFERROR(IF(C56=C54,0,IF(E56=E55,0,IF(C56=$R$4,HLOOKUP($R$4,Ingreso!$AW$10:$BC$260,VLOOKUP(A56,Ingreso!AL:AM,2,FALSE),FALSE)/24,""))),"")=0,"",IFERROR(IF(C56=C54,0,IF(E56=E55,0,IF(C56=$R$4,HLOOKUP($R$4,Ingreso!$AW$10:$BC$260,VLOOKUP(A56,Ingreso!AL:AM,2,FALSE),FALSE)/24,""))),""))</f>
        <v/>
      </c>
      <c r="P56" s="90"/>
      <c r="T56" t="s">
        <v>1427</v>
      </c>
      <c r="U56" t="s">
        <v>4</v>
      </c>
      <c r="V56" t="s">
        <v>1402</v>
      </c>
      <c r="W56" s="82">
        <v>63</v>
      </c>
      <c r="X56" s="71">
        <v>0.3125</v>
      </c>
      <c r="Y56" s="101">
        <v>0.29158564814814814</v>
      </c>
      <c r="Z56" s="101">
        <v>0.63445601851851852</v>
      </c>
      <c r="AA56" s="101">
        <v>0.34287037037037038</v>
      </c>
      <c r="AB56" s="101">
        <v>3.0370370370370381E-2</v>
      </c>
      <c r="AC56" s="105">
        <v>0</v>
      </c>
      <c r="AD56" s="105">
        <v>0</v>
      </c>
      <c r="AE56" s="93">
        <v>0</v>
      </c>
      <c r="AF56" s="93">
        <v>0</v>
      </c>
      <c r="AG56" s="93">
        <v>0</v>
      </c>
    </row>
    <row r="57" spans="1:33">
      <c r="A57" s="65" t="str">
        <f>IFERROR(VLOOKUP('Informe Kelly'!A50,Base!A:B,2,FALSE),"")</f>
        <v>07.481.602-9</v>
      </c>
      <c r="B57" s="65" t="str">
        <f>IFERROR(VLOOKUP('Informe Kelly'!A50,Base!A:G,7,FALSE),"")</f>
        <v>NARVAI RIVERA JORGE PATRICIO</v>
      </c>
      <c r="C57" s="69" t="str">
        <f>IF(G57=$C$4,IF('Informe Kelly'!H50='Control informe Kelly'!$A$2,TEXT(((LEFT('Informe Kelly'!E50,2)*1)+1),"dd")&amp;"."&amp;MID('Informe Kelly'!E50,4,2)&amp;"."&amp;RIGHT('Informe Kelly'!E50,4),'Informe Kelly'!E50),'Informe Kelly'!E50)</f>
        <v>11.04.2011</v>
      </c>
      <c r="D57" s="69" t="str">
        <f>IF('Informe Kelly'!E50="","",'Informe Kelly'!E50)</f>
        <v>11.04.2011</v>
      </c>
      <c r="E57" s="72">
        <f t="shared" si="0"/>
        <v>25</v>
      </c>
      <c r="F57" s="72" t="str">
        <f>IFERROR(HLOOKUP(C57,Ingreso!$Q$8:$AD$9,2,FALSE),"v")</f>
        <v>Lunes</v>
      </c>
      <c r="G57" s="65" t="str">
        <f>IFERROR(VLOOKUP(A57,Ingreso!K:P,6,FALSE),"no esta ingresado")</f>
        <v>Turno B</v>
      </c>
      <c r="H57" s="65" t="str">
        <f>IFERROR(IF('Informe Kelly'!H50=$A$2,'Informe Kelly'!F50,""),0)</f>
        <v/>
      </c>
      <c r="I57" s="65">
        <f>IFERROR(IF('Informe Kelly'!H50=$A$3,'Informe Kelly'!F50,""),0)</f>
        <v>0.94307870370370372</v>
      </c>
      <c r="J57" s="65" t="str">
        <f>IF(IFERROR(IF(E57=E56,0,(HLOOKUP(D57,Ingreso!$AN$10:$AT$260,VLOOKUP(A57,Ingreso!$AL$11:$AM$260,2,FALSE)))/24),0)=0,"",IFERROR(IF(E57=E56,0,(HLOOKUP(D57,Ingreso!$AN$10:$AT$260,VLOOKUP(A57,Ingreso!$AL$11:$AM$260,2,FALSE)))/24),0))</f>
        <v/>
      </c>
      <c r="K57" s="65" t="str">
        <f>IF(IFERROR(IF(E57=E56,0,(HLOOKUP(C57,Ingreso!$AW$10:$BC$260,VLOOKUP(A57,Ingreso!$AL$11:$AM$260,2,FALSE)))/24),0)=0,"",IFERROR(IF(E57=E56,0,(HLOOKUP(C57,Ingreso!$AW$10:$BC$260,VLOOKUP(A57,Ingreso!$AL$11:$AM$260,2,FALSE)))/24),0))</f>
        <v/>
      </c>
      <c r="L57" s="63">
        <f t="shared" si="1"/>
        <v>0.3125</v>
      </c>
      <c r="M57" s="63" t="str">
        <f>IF(IFERROR(IF(C57=C55,0,IF(E57=E56,0,IF(C57=$R$2,HLOOKUP($R$2,Ingreso!$AW$10:$BC$260,VLOOKUP(A57,Ingreso!AL:AM,2,FALSE),FALSE)/24,""))),"")=0,"",IFERROR(IF(C57=C55,0,IF(E57=E56,0,IF(C57=$R$2,HLOOKUP($R$2,Ingreso!$AW$10:$BC$260,VLOOKUP(A57,Ingreso!AL:AM,2,FALSE),FALSE)/24,""))),""))</f>
        <v/>
      </c>
      <c r="N57" s="95" t="str">
        <f>IF(IFERROR(IF(C57=C55,0,IF(E57=E56,0,IF(C57=$R$3,HLOOKUP($R$3,Ingreso!$AW$10:$BC$260,VLOOKUP(A57,Ingreso!AL:AM,2,FALSE),FALSE)/24,""))),"")=0,"",IFERROR(IF(C57=C55,0,IF(E57=E56,0,IF(C57=$R$3,HLOOKUP($R$3,Ingreso!$AW$10:$BC$260,VLOOKUP(A57,Ingreso!AL:AM,2,FALSE),FALSE)/24,""))),""))</f>
        <v/>
      </c>
      <c r="O57" s="95" t="str">
        <f>IF(IFERROR(IF(C57=C55,0,IF(E57=E56,0,IF(C57=$R$4,HLOOKUP($R$4,Ingreso!$AW$10:$BC$260,VLOOKUP(A57,Ingreso!AL:AM,2,FALSE),FALSE)/24,""))),"")=0,"",IFERROR(IF(C57=C55,0,IF(E57=E56,0,IF(C57=$R$4,HLOOKUP($R$4,Ingreso!$AW$10:$BC$260,VLOOKUP(A57,Ingreso!AL:AM,2,FALSE),FALSE)/24,""))),""))</f>
        <v/>
      </c>
      <c r="P57" s="90"/>
      <c r="T57" t="s">
        <v>1428</v>
      </c>
      <c r="U57" t="s">
        <v>4</v>
      </c>
      <c r="V57" t="s">
        <v>1403</v>
      </c>
      <c r="W57" s="82">
        <v>64</v>
      </c>
      <c r="X57" s="71">
        <v>0.3125</v>
      </c>
      <c r="Y57" s="101">
        <v>0.93552083333333336</v>
      </c>
      <c r="Z57" s="101">
        <v>0</v>
      </c>
      <c r="AA57" s="101">
        <v>6.4479166666666643E-2</v>
      </c>
      <c r="AB57" s="101">
        <v>-0.24802083333333336</v>
      </c>
      <c r="AC57" s="105">
        <v>0</v>
      </c>
      <c r="AD57" s="105">
        <v>0</v>
      </c>
      <c r="AE57" s="93">
        <v>0</v>
      </c>
      <c r="AF57" s="93">
        <v>0</v>
      </c>
      <c r="AG57" s="93">
        <v>0</v>
      </c>
    </row>
    <row r="58" spans="1:33">
      <c r="A58" s="65" t="str">
        <f>IFERROR(VLOOKUP('Informe Kelly'!A51,Base!A:B,2,FALSE),"")</f>
        <v>07.481.602-9</v>
      </c>
      <c r="B58" s="65" t="str">
        <f>IFERROR(VLOOKUP('Informe Kelly'!A51,Base!A:G,7,FALSE),"")</f>
        <v>NARVAI RIVERA JORGE PATRICIO</v>
      </c>
      <c r="C58" s="69" t="str">
        <f>IF(G58=$C$4,IF('Informe Kelly'!H51='Control informe Kelly'!$A$2,TEXT(((LEFT('Informe Kelly'!E51,2)*1)+1),"dd")&amp;"."&amp;MID('Informe Kelly'!E51,4,2)&amp;"."&amp;RIGHT('Informe Kelly'!E51,4),'Informe Kelly'!E51),'Informe Kelly'!E51)</f>
        <v>11.04.2011</v>
      </c>
      <c r="D58" s="69" t="str">
        <f>IF('Informe Kelly'!E51="","",'Informe Kelly'!E51)</f>
        <v>11.04.2011</v>
      </c>
      <c r="E58" s="72">
        <f t="shared" si="0"/>
        <v>25</v>
      </c>
      <c r="F58" s="72" t="str">
        <f>IFERROR(HLOOKUP(C58,Ingreso!$Q$8:$AD$9,2,FALSE),"v")</f>
        <v>Lunes</v>
      </c>
      <c r="G58" s="65" t="str">
        <f>IFERROR(VLOOKUP(A58,Ingreso!K:P,6,FALSE),"no esta ingresado")</f>
        <v>Turno B</v>
      </c>
      <c r="H58" s="65">
        <f>IFERROR(IF('Informe Kelly'!H51=$A$2,'Informe Kelly'!F51,""),0)</f>
        <v>0.60835648148148147</v>
      </c>
      <c r="I58" s="65" t="str">
        <f>IFERROR(IF('Informe Kelly'!H51=$A$3,'Informe Kelly'!F51,""),0)</f>
        <v/>
      </c>
      <c r="J58" s="65" t="str">
        <f>IF(IFERROR(IF(E58=E57,0,(HLOOKUP(D58,Ingreso!$AN$10:$AT$260,VLOOKUP(A58,Ingreso!$AL$11:$AM$260,2,FALSE)))/24),0)=0,"",IFERROR(IF(E58=E57,0,(HLOOKUP(D58,Ingreso!$AN$10:$AT$260,VLOOKUP(A58,Ingreso!$AL$11:$AM$260,2,FALSE)))/24),0))</f>
        <v/>
      </c>
      <c r="K58" s="65" t="str">
        <f>IF(IFERROR(IF(E58=E57,0,(HLOOKUP(C58,Ingreso!$AW$10:$BC$260,VLOOKUP(A58,Ingreso!$AL$11:$AM$260,2,FALSE)))/24),0)=0,"",IFERROR(IF(E58=E57,0,(HLOOKUP(C58,Ingreso!$AW$10:$BC$260,VLOOKUP(A58,Ingreso!$AL$11:$AM$260,2,FALSE)))/24),0))</f>
        <v/>
      </c>
      <c r="L58" s="63">
        <f t="shared" si="1"/>
        <v>0</v>
      </c>
      <c r="M58" s="63" t="str">
        <f>IF(IFERROR(IF(C58=C56,0,IF(E58=E57,0,IF(C58=$R$2,HLOOKUP($R$2,Ingreso!$AW$10:$BC$260,VLOOKUP(A58,Ingreso!AL:AM,2,FALSE),FALSE)/24,""))),"")=0,"",IFERROR(IF(C58=C56,0,IF(E58=E57,0,IF(C58=$R$2,HLOOKUP($R$2,Ingreso!$AW$10:$BC$260,VLOOKUP(A58,Ingreso!AL:AM,2,FALSE),FALSE)/24,""))),""))</f>
        <v/>
      </c>
      <c r="N58" s="95" t="str">
        <f>IF(IFERROR(IF(C58=C56,0,IF(E58=E57,0,IF(C58=$R$3,HLOOKUP($R$3,Ingreso!$AW$10:$BC$260,VLOOKUP(A58,Ingreso!AL:AM,2,FALSE),FALSE)/24,""))),"")=0,"",IFERROR(IF(C58=C56,0,IF(E58=E57,0,IF(C58=$R$3,HLOOKUP($R$3,Ingreso!$AW$10:$BC$260,VLOOKUP(A58,Ingreso!AL:AM,2,FALSE),FALSE)/24,""))),""))</f>
        <v/>
      </c>
      <c r="O58" s="95" t="str">
        <f>IF(IFERROR(IF(C58=C56,0,IF(E58=E57,0,IF(C58=$R$4,HLOOKUP($R$4,Ingreso!$AW$10:$BC$260,VLOOKUP(A58,Ingreso!AL:AM,2,FALSE),FALSE)/24,""))),"")=0,"",IFERROR(IF(C58=C56,0,IF(E58=E57,0,IF(C58=$R$4,HLOOKUP($R$4,Ingreso!$AW$10:$BC$260,VLOOKUP(A58,Ingreso!AL:AM,2,FALSE),FALSE)/24,""))),""))</f>
        <v/>
      </c>
      <c r="P58" s="90"/>
      <c r="R58" t="s">
        <v>933</v>
      </c>
      <c r="S58" t="s">
        <v>936</v>
      </c>
      <c r="T58" t="s">
        <v>1420</v>
      </c>
      <c r="U58" t="s">
        <v>1338</v>
      </c>
      <c r="V58" t="s">
        <v>1397</v>
      </c>
      <c r="W58" s="82">
        <v>65</v>
      </c>
      <c r="X58" s="71">
        <v>0.41666666666666669</v>
      </c>
      <c r="Y58" s="101">
        <v>0</v>
      </c>
      <c r="Z58" s="101">
        <v>0.33585648148148151</v>
      </c>
      <c r="AA58" s="101">
        <v>0.33585648148148151</v>
      </c>
      <c r="AB58" s="101">
        <v>-8.0810185185185179E-2</v>
      </c>
      <c r="AC58" s="105">
        <v>0</v>
      </c>
      <c r="AD58" s="105">
        <v>0.3125</v>
      </c>
      <c r="AE58" s="93">
        <v>0.3125</v>
      </c>
      <c r="AF58" s="93">
        <v>0</v>
      </c>
      <c r="AG58" s="93">
        <v>0</v>
      </c>
    </row>
    <row r="59" spans="1:33">
      <c r="A59" s="65" t="str">
        <f>IFERROR(VLOOKUP('Informe Kelly'!A52,Base!A:B,2,FALSE),"")</f>
        <v>07.481.602-9</v>
      </c>
      <c r="B59" s="65" t="str">
        <f>IFERROR(VLOOKUP('Informe Kelly'!A52,Base!A:G,7,FALSE),"")</f>
        <v>NARVAI RIVERA JORGE PATRICIO</v>
      </c>
      <c r="C59" s="69" t="str">
        <f>IF(G59=$C$4,IF('Informe Kelly'!H52='Control informe Kelly'!$A$2,TEXT(((LEFT('Informe Kelly'!E52,2)*1)+1),"dd")&amp;"."&amp;MID('Informe Kelly'!E52,4,2)&amp;"."&amp;RIGHT('Informe Kelly'!E52,4),'Informe Kelly'!E52),'Informe Kelly'!E52)</f>
        <v>12.04.2011</v>
      </c>
      <c r="D59" s="69" t="str">
        <f>IF('Informe Kelly'!E52="","",'Informe Kelly'!E52)</f>
        <v>12.04.2011</v>
      </c>
      <c r="E59" s="72">
        <f t="shared" si="0"/>
        <v>26</v>
      </c>
      <c r="F59" s="72" t="str">
        <f>IFERROR(HLOOKUP(C59,Ingreso!$Q$8:$AD$9,2,FALSE),"v")</f>
        <v>Martes</v>
      </c>
      <c r="G59" s="65" t="str">
        <f>IFERROR(VLOOKUP(A59,Ingreso!K:P,6,FALSE),"no esta ingresado")</f>
        <v>Turno B</v>
      </c>
      <c r="H59" s="65" t="str">
        <f>IFERROR(IF('Informe Kelly'!H52=$A$2,'Informe Kelly'!F52,""),0)</f>
        <v/>
      </c>
      <c r="I59" s="65">
        <f>IFERROR(IF('Informe Kelly'!H52=$A$3,'Informe Kelly'!F52,""),0)</f>
        <v>0.9443287037037037</v>
      </c>
      <c r="J59" s="65" t="str">
        <f>IF(IFERROR(IF(E59=E58,0,(HLOOKUP(D59,Ingreso!$AN$10:$AT$260,VLOOKUP(A59,Ingreso!$AL$11:$AM$260,2,FALSE)))/24),0)=0,"",IFERROR(IF(E59=E58,0,(HLOOKUP(D59,Ingreso!$AN$10:$AT$260,VLOOKUP(A59,Ingreso!$AL$11:$AM$260,2,FALSE)))/24),0))</f>
        <v/>
      </c>
      <c r="K59" s="65" t="str">
        <f>IF(IFERROR(IF(E59=E58,0,(HLOOKUP(C59,Ingreso!$AW$10:$BC$260,VLOOKUP(A59,Ingreso!$AL$11:$AM$260,2,FALSE)))/24),0)=0,"",IFERROR(IF(E59=E58,0,(HLOOKUP(C59,Ingreso!$AW$10:$BC$260,VLOOKUP(A59,Ingreso!$AL$11:$AM$260,2,FALSE)))/24),0))</f>
        <v/>
      </c>
      <c r="L59" s="63">
        <f t="shared" si="1"/>
        <v>0.3125</v>
      </c>
      <c r="M59" s="63" t="str">
        <f>IF(IFERROR(IF(C59=C57,0,IF(E59=E58,0,IF(C59=$R$2,HLOOKUP($R$2,Ingreso!$AW$10:$BC$260,VLOOKUP(A59,Ingreso!AL:AM,2,FALSE),FALSE)/24,""))),"")=0,"",IFERROR(IF(C59=C57,0,IF(E59=E58,0,IF(C59=$R$2,HLOOKUP($R$2,Ingreso!$AW$10:$BC$260,VLOOKUP(A59,Ingreso!AL:AM,2,FALSE),FALSE)/24,""))),""))</f>
        <v/>
      </c>
      <c r="N59" s="95" t="str">
        <f>IF(IFERROR(IF(C59=C57,0,IF(E59=E58,0,IF(C59=$R$3,HLOOKUP($R$3,Ingreso!$AW$10:$BC$260,VLOOKUP(A59,Ingreso!AL:AM,2,FALSE),FALSE)/24,""))),"")=0,"",IFERROR(IF(C59=C57,0,IF(E59=E58,0,IF(C59=$R$3,HLOOKUP($R$3,Ingreso!$AW$10:$BC$260,VLOOKUP(A59,Ingreso!AL:AM,2,FALSE),FALSE)/24,""))),""))</f>
        <v/>
      </c>
      <c r="O59" s="95" t="str">
        <f>IF(IFERROR(IF(C59=C57,0,IF(E59=E58,0,IF(C59=$R$4,HLOOKUP($R$4,Ingreso!$AW$10:$BC$260,VLOOKUP(A59,Ingreso!AL:AM,2,FALSE),FALSE)/24,""))),"")=0,"",IFERROR(IF(C59=C57,0,IF(E59=E58,0,IF(C59=$R$4,HLOOKUP($R$4,Ingreso!$AW$10:$BC$260,VLOOKUP(A59,Ingreso!AL:AM,2,FALSE),FALSE)/24,""))),""))</f>
        <v/>
      </c>
      <c r="P59" s="90"/>
      <c r="T59" t="s">
        <v>1423</v>
      </c>
      <c r="U59" t="s">
        <v>1338</v>
      </c>
      <c r="V59" t="s">
        <v>1398</v>
      </c>
      <c r="W59" s="82">
        <v>66</v>
      </c>
      <c r="X59" s="71">
        <v>0.41666666666666669</v>
      </c>
      <c r="Y59" s="101">
        <v>0.30225694444444445</v>
      </c>
      <c r="Z59" s="101">
        <v>0.77986111111111101</v>
      </c>
      <c r="AA59" s="101">
        <v>0.47760416666666655</v>
      </c>
      <c r="AB59" s="101">
        <v>6.0937499999999867E-2</v>
      </c>
      <c r="AC59" s="105">
        <v>0</v>
      </c>
      <c r="AD59" s="105">
        <v>0</v>
      </c>
      <c r="AE59" s="93">
        <v>0</v>
      </c>
      <c r="AF59" s="93">
        <v>0</v>
      </c>
      <c r="AG59" s="93">
        <v>0</v>
      </c>
    </row>
    <row r="60" spans="1:33">
      <c r="A60" s="65" t="str">
        <f>IFERROR(VLOOKUP('Informe Kelly'!A53,Base!A:B,2,FALSE),"")</f>
        <v>07.481.602-9</v>
      </c>
      <c r="B60" s="65" t="str">
        <f>IFERROR(VLOOKUP('Informe Kelly'!A53,Base!A:G,7,FALSE),"")</f>
        <v>NARVAI RIVERA JORGE PATRICIO</v>
      </c>
      <c r="C60" s="69" t="str">
        <f>IF(G60=$C$4,IF('Informe Kelly'!H53='Control informe Kelly'!$A$2,TEXT(((LEFT('Informe Kelly'!E53,2)*1)+1),"dd")&amp;"."&amp;MID('Informe Kelly'!E53,4,2)&amp;"."&amp;RIGHT('Informe Kelly'!E53,4),'Informe Kelly'!E53),'Informe Kelly'!E53)</f>
        <v>12.04.2011</v>
      </c>
      <c r="D60" s="69" t="str">
        <f>IF('Informe Kelly'!E53="","",'Informe Kelly'!E53)</f>
        <v>12.04.2011</v>
      </c>
      <c r="E60" s="72">
        <f t="shared" si="0"/>
        <v>26</v>
      </c>
      <c r="F60" s="72" t="str">
        <f>IFERROR(HLOOKUP(C60,Ingreso!$Q$8:$AD$9,2,FALSE),"v")</f>
        <v>Martes</v>
      </c>
      <c r="G60" s="65" t="str">
        <f>IFERROR(VLOOKUP(A60,Ingreso!K:P,6,FALSE),"no esta ingresado")</f>
        <v>Turno B</v>
      </c>
      <c r="H60" s="65">
        <f>IFERROR(IF('Informe Kelly'!H53=$A$2,'Informe Kelly'!F53,""),0)</f>
        <v>0.60817129629629629</v>
      </c>
      <c r="I60" s="65" t="str">
        <f>IFERROR(IF('Informe Kelly'!H53=$A$3,'Informe Kelly'!F53,""),0)</f>
        <v/>
      </c>
      <c r="J60" s="65" t="str">
        <f>IF(IFERROR(IF(E60=E59,0,(HLOOKUP(D60,Ingreso!$AN$10:$AT$260,VLOOKUP(A60,Ingreso!$AL$11:$AM$260,2,FALSE)))/24),0)=0,"",IFERROR(IF(E60=E59,0,(HLOOKUP(D60,Ingreso!$AN$10:$AT$260,VLOOKUP(A60,Ingreso!$AL$11:$AM$260,2,FALSE)))/24),0))</f>
        <v/>
      </c>
      <c r="K60" s="65" t="str">
        <f>IF(IFERROR(IF(E60=E59,0,(HLOOKUP(C60,Ingreso!$AW$10:$BC$260,VLOOKUP(A60,Ingreso!$AL$11:$AM$260,2,FALSE)))/24),0)=0,"",IFERROR(IF(E60=E59,0,(HLOOKUP(C60,Ingreso!$AW$10:$BC$260,VLOOKUP(A60,Ingreso!$AL$11:$AM$260,2,FALSE)))/24),0))</f>
        <v/>
      </c>
      <c r="L60" s="63">
        <f t="shared" si="1"/>
        <v>0</v>
      </c>
      <c r="M60" s="63" t="str">
        <f>IF(IFERROR(IF(C60=C58,0,IF(E60=E59,0,IF(C60=$R$2,HLOOKUP($R$2,Ingreso!$AW$10:$BC$260,VLOOKUP(A60,Ingreso!AL:AM,2,FALSE),FALSE)/24,""))),"")=0,"",IFERROR(IF(C60=C58,0,IF(E60=E59,0,IF(C60=$R$2,HLOOKUP($R$2,Ingreso!$AW$10:$BC$260,VLOOKUP(A60,Ingreso!AL:AM,2,FALSE),FALSE)/24,""))),""))</f>
        <v/>
      </c>
      <c r="N60" s="95" t="str">
        <f>IF(IFERROR(IF(C60=C58,0,IF(E60=E59,0,IF(C60=$R$3,HLOOKUP($R$3,Ingreso!$AW$10:$BC$260,VLOOKUP(A60,Ingreso!AL:AM,2,FALSE),FALSE)/24,""))),"")=0,"",IFERROR(IF(C60=C58,0,IF(E60=E59,0,IF(C60=$R$3,HLOOKUP($R$3,Ingreso!$AW$10:$BC$260,VLOOKUP(A60,Ingreso!AL:AM,2,FALSE),FALSE)/24,""))),""))</f>
        <v/>
      </c>
      <c r="O60" s="95" t="str">
        <f>IF(IFERROR(IF(C60=C58,0,IF(E60=E59,0,IF(C60=$R$4,HLOOKUP($R$4,Ingreso!$AW$10:$BC$260,VLOOKUP(A60,Ingreso!AL:AM,2,FALSE),FALSE)/24,""))),"")=0,"",IFERROR(IF(C60=C58,0,IF(E60=E59,0,IF(C60=$R$4,HLOOKUP($R$4,Ingreso!$AW$10:$BC$260,VLOOKUP(A60,Ingreso!AL:AM,2,FALSE),FALSE)/24,""))),""))</f>
        <v/>
      </c>
      <c r="P60" s="90"/>
      <c r="T60" t="s">
        <v>1424</v>
      </c>
      <c r="U60" t="s">
        <v>1338</v>
      </c>
      <c r="V60" t="s">
        <v>1399</v>
      </c>
      <c r="W60" s="82">
        <v>67</v>
      </c>
      <c r="X60" s="71">
        <v>0.41666666666666669</v>
      </c>
      <c r="Y60" s="101">
        <v>0.30361111111111111</v>
      </c>
      <c r="Z60" s="101">
        <v>0.78331018518518514</v>
      </c>
      <c r="AA60" s="101">
        <v>0.47969907407407403</v>
      </c>
      <c r="AB60" s="101">
        <v>6.3032407407407343E-2</v>
      </c>
      <c r="AC60" s="105">
        <v>0</v>
      </c>
      <c r="AD60" s="105">
        <v>0</v>
      </c>
      <c r="AE60" s="93">
        <v>0</v>
      </c>
      <c r="AF60" s="93">
        <v>0</v>
      </c>
      <c r="AG60" s="93">
        <v>0</v>
      </c>
    </row>
    <row r="61" spans="1:33">
      <c r="A61" s="65" t="str">
        <f>IFERROR(VLOOKUP('Informe Kelly'!A54,Base!A:B,2,FALSE),"")</f>
        <v>07.481.602-9</v>
      </c>
      <c r="B61" s="65" t="str">
        <f>IFERROR(VLOOKUP('Informe Kelly'!A54,Base!A:G,7,FALSE),"")</f>
        <v>NARVAI RIVERA JORGE PATRICIO</v>
      </c>
      <c r="C61" s="69" t="str">
        <f>IF(G61=$C$4,IF('Informe Kelly'!H54='Control informe Kelly'!$A$2,TEXT(((LEFT('Informe Kelly'!E54,2)*1)+1),"dd")&amp;"."&amp;MID('Informe Kelly'!E54,4,2)&amp;"."&amp;RIGHT('Informe Kelly'!E54,4),'Informe Kelly'!E54),'Informe Kelly'!E54)</f>
        <v>13.04.2011</v>
      </c>
      <c r="D61" s="69" t="str">
        <f>IF('Informe Kelly'!E54="","",'Informe Kelly'!E54)</f>
        <v>13.04.2011</v>
      </c>
      <c r="E61" s="72">
        <f t="shared" si="0"/>
        <v>27</v>
      </c>
      <c r="F61" s="72" t="str">
        <f>IFERROR(HLOOKUP(C61,Ingreso!$Q$8:$AD$9,2,FALSE),"v")</f>
        <v>Miércoles</v>
      </c>
      <c r="G61" s="65" t="str">
        <f>IFERROR(VLOOKUP(A61,Ingreso!K:P,6,FALSE),"no esta ingresado")</f>
        <v>Turno B</v>
      </c>
      <c r="H61" s="65" t="str">
        <f>IFERROR(IF('Informe Kelly'!H54=$A$2,'Informe Kelly'!F54,""),0)</f>
        <v/>
      </c>
      <c r="I61" s="65">
        <f>IFERROR(IF('Informe Kelly'!H54=$A$3,'Informe Kelly'!F54,""),0)</f>
        <v>0.94033564814814818</v>
      </c>
      <c r="J61" s="65" t="str">
        <f>IF(IFERROR(IF(E61=E60,0,(HLOOKUP(D61,Ingreso!$AN$10:$AT$260,VLOOKUP(A61,Ingreso!$AL$11:$AM$260,2,FALSE)))/24),0)=0,"",IFERROR(IF(E61=E60,0,(HLOOKUP(D61,Ingreso!$AN$10:$AT$260,VLOOKUP(A61,Ingreso!$AL$11:$AM$260,2,FALSE)))/24),0))</f>
        <v/>
      </c>
      <c r="K61" s="65" t="str">
        <f>IF(IFERROR(IF(E61=E60,0,(HLOOKUP(C61,Ingreso!$AW$10:$BC$260,VLOOKUP(A61,Ingreso!$AL$11:$AM$260,2,FALSE)))/24),0)=0,"",IFERROR(IF(E61=E60,0,(HLOOKUP(C61,Ingreso!$AW$10:$BC$260,VLOOKUP(A61,Ingreso!$AL$11:$AM$260,2,FALSE)))/24),0))</f>
        <v/>
      </c>
      <c r="L61" s="63">
        <f t="shared" si="1"/>
        <v>0.3125</v>
      </c>
      <c r="M61" s="63" t="str">
        <f>IF(IFERROR(IF(C61=C59,0,IF(E61=E60,0,IF(C61=$R$2,HLOOKUP($R$2,Ingreso!$AW$10:$BC$260,VLOOKUP(A61,Ingreso!AL:AM,2,FALSE),FALSE)/24,""))),"")=0,"",IFERROR(IF(C61=C59,0,IF(E61=E60,0,IF(C61=$R$2,HLOOKUP($R$2,Ingreso!$AW$10:$BC$260,VLOOKUP(A61,Ingreso!AL:AM,2,FALSE),FALSE)/24,""))),""))</f>
        <v/>
      </c>
      <c r="N61" s="95" t="str">
        <f>IF(IFERROR(IF(C61=C59,0,IF(E61=E60,0,IF(C61=$R$3,HLOOKUP($R$3,Ingreso!$AW$10:$BC$260,VLOOKUP(A61,Ingreso!AL:AM,2,FALSE),FALSE)/24,""))),"")=0,"",IFERROR(IF(C61=C59,0,IF(E61=E60,0,IF(C61=$R$3,HLOOKUP($R$3,Ingreso!$AW$10:$BC$260,VLOOKUP(A61,Ingreso!AL:AM,2,FALSE),FALSE)/24,""))),""))</f>
        <v/>
      </c>
      <c r="O61" s="95" t="str">
        <f>IF(IFERROR(IF(C61=C59,0,IF(E61=E60,0,IF(C61=$R$4,HLOOKUP($R$4,Ingreso!$AW$10:$BC$260,VLOOKUP(A61,Ingreso!AL:AM,2,FALSE),FALSE)/24,""))),"")=0,"",IFERROR(IF(C61=C59,0,IF(E61=E60,0,IF(C61=$R$4,HLOOKUP($R$4,Ingreso!$AW$10:$BC$260,VLOOKUP(A61,Ingreso!AL:AM,2,FALSE),FALSE)/24,""))),""))</f>
        <v/>
      </c>
      <c r="P61" s="90"/>
      <c r="T61" t="s">
        <v>1425</v>
      </c>
      <c r="U61" t="s">
        <v>1338</v>
      </c>
      <c r="V61" t="s">
        <v>1400</v>
      </c>
      <c r="W61" s="82">
        <v>68</v>
      </c>
      <c r="X61" s="71">
        <v>0.41666666666666669</v>
      </c>
      <c r="Y61" s="101">
        <v>0.34700231481481486</v>
      </c>
      <c r="Z61" s="101">
        <v>0.77961805555555552</v>
      </c>
      <c r="AA61" s="101">
        <v>0.43261574074074066</v>
      </c>
      <c r="AB61" s="101">
        <v>1.5949074074073977E-2</v>
      </c>
      <c r="AC61" s="105">
        <v>0</v>
      </c>
      <c r="AD61" s="105">
        <v>0</v>
      </c>
      <c r="AE61" s="93">
        <v>0</v>
      </c>
      <c r="AF61" s="93">
        <v>0</v>
      </c>
      <c r="AG61" s="93">
        <v>0</v>
      </c>
    </row>
    <row r="62" spans="1:33">
      <c r="A62" s="65" t="str">
        <f>IFERROR(VLOOKUP('Informe Kelly'!A55,Base!A:B,2,FALSE),"")</f>
        <v>07.481.602-9</v>
      </c>
      <c r="B62" s="65" t="str">
        <f>IFERROR(VLOOKUP('Informe Kelly'!A55,Base!A:G,7,FALSE),"")</f>
        <v>NARVAI RIVERA JORGE PATRICIO</v>
      </c>
      <c r="C62" s="69" t="str">
        <f>IF(G62=$C$4,IF('Informe Kelly'!H55='Control informe Kelly'!$A$2,TEXT(((LEFT('Informe Kelly'!E55,2)*1)+1),"dd")&amp;"."&amp;MID('Informe Kelly'!E55,4,2)&amp;"."&amp;RIGHT('Informe Kelly'!E55,4),'Informe Kelly'!E55),'Informe Kelly'!E55)</f>
        <v>13.04.2011</v>
      </c>
      <c r="D62" s="69" t="str">
        <f>IF('Informe Kelly'!E55="","",'Informe Kelly'!E55)</f>
        <v>13.04.2011</v>
      </c>
      <c r="E62" s="72">
        <f t="shared" si="0"/>
        <v>27</v>
      </c>
      <c r="F62" s="72" t="str">
        <f>IFERROR(HLOOKUP(C62,Ingreso!$Q$8:$AD$9,2,FALSE),"v")</f>
        <v>Miércoles</v>
      </c>
      <c r="G62" s="65" t="str">
        <f>IFERROR(VLOOKUP(A62,Ingreso!K:P,6,FALSE),"no esta ingresado")</f>
        <v>Turno B</v>
      </c>
      <c r="H62" s="65">
        <f>IFERROR(IF('Informe Kelly'!H55=$A$2,'Informe Kelly'!F55,""),0)</f>
        <v>0.60945601851851849</v>
      </c>
      <c r="I62" s="65" t="str">
        <f>IFERROR(IF('Informe Kelly'!H55=$A$3,'Informe Kelly'!F55,""),0)</f>
        <v/>
      </c>
      <c r="J62" s="65" t="str">
        <f>IF(IFERROR(IF(E62=E61,0,(HLOOKUP(D62,Ingreso!$AN$10:$AT$260,VLOOKUP(A62,Ingreso!$AL$11:$AM$260,2,FALSE)))/24),0)=0,"",IFERROR(IF(E62=E61,0,(HLOOKUP(D62,Ingreso!$AN$10:$AT$260,VLOOKUP(A62,Ingreso!$AL$11:$AM$260,2,FALSE)))/24),0))</f>
        <v/>
      </c>
      <c r="K62" s="65" t="str">
        <f>IF(IFERROR(IF(E62=E61,0,(HLOOKUP(C62,Ingreso!$AW$10:$BC$260,VLOOKUP(A62,Ingreso!$AL$11:$AM$260,2,FALSE)))/24),0)=0,"",IFERROR(IF(E62=E61,0,(HLOOKUP(C62,Ingreso!$AW$10:$BC$260,VLOOKUP(A62,Ingreso!$AL$11:$AM$260,2,FALSE)))/24),0))</f>
        <v/>
      </c>
      <c r="L62" s="63">
        <f t="shared" si="1"/>
        <v>0</v>
      </c>
      <c r="M62" s="63" t="str">
        <f>IF(IFERROR(IF(C62=C60,0,IF(E62=E61,0,IF(C62=$R$2,HLOOKUP($R$2,Ingreso!$AW$10:$BC$260,VLOOKUP(A62,Ingreso!AL:AM,2,FALSE),FALSE)/24,""))),"")=0,"",IFERROR(IF(C62=C60,0,IF(E62=E61,0,IF(C62=$R$2,HLOOKUP($R$2,Ingreso!$AW$10:$BC$260,VLOOKUP(A62,Ingreso!AL:AM,2,FALSE),FALSE)/24,""))),""))</f>
        <v/>
      </c>
      <c r="N62" s="95" t="str">
        <f>IF(IFERROR(IF(C62=C60,0,IF(E62=E61,0,IF(C62=$R$3,HLOOKUP($R$3,Ingreso!$AW$10:$BC$260,VLOOKUP(A62,Ingreso!AL:AM,2,FALSE),FALSE)/24,""))),"")=0,"",IFERROR(IF(C62=C60,0,IF(E62=E61,0,IF(C62=$R$3,HLOOKUP($R$3,Ingreso!$AW$10:$BC$260,VLOOKUP(A62,Ingreso!AL:AM,2,FALSE),FALSE)/24,""))),""))</f>
        <v/>
      </c>
      <c r="O62" s="95" t="str">
        <f>IF(IFERROR(IF(C62=C60,0,IF(E62=E61,0,IF(C62=$R$4,HLOOKUP($R$4,Ingreso!$AW$10:$BC$260,VLOOKUP(A62,Ingreso!AL:AM,2,FALSE),FALSE)/24,""))),"")=0,"",IFERROR(IF(C62=C60,0,IF(E62=E61,0,IF(C62=$R$4,HLOOKUP($R$4,Ingreso!$AW$10:$BC$260,VLOOKUP(A62,Ingreso!AL:AM,2,FALSE),FALSE)/24,""))),""))</f>
        <v/>
      </c>
      <c r="P62" s="90"/>
      <c r="T62" t="s">
        <v>1426</v>
      </c>
      <c r="U62" t="s">
        <v>1338</v>
      </c>
      <c r="V62" t="s">
        <v>1401</v>
      </c>
      <c r="W62" s="82">
        <v>69</v>
      </c>
      <c r="X62" s="71">
        <v>0.41666666666666669</v>
      </c>
      <c r="Y62" s="101">
        <v>0.30442129629629627</v>
      </c>
      <c r="Z62" s="101">
        <v>0.75537037037037036</v>
      </c>
      <c r="AA62" s="101">
        <v>0.45094907407407409</v>
      </c>
      <c r="AB62" s="101">
        <v>3.42824074074074E-2</v>
      </c>
      <c r="AC62" s="105">
        <v>0</v>
      </c>
      <c r="AD62" s="105">
        <v>0</v>
      </c>
      <c r="AE62" s="93">
        <v>0</v>
      </c>
      <c r="AF62" s="93">
        <v>0</v>
      </c>
      <c r="AG62" s="93">
        <v>0</v>
      </c>
    </row>
    <row r="63" spans="1:33">
      <c r="A63" s="65" t="str">
        <f>IFERROR(VLOOKUP('Informe Kelly'!A56,Base!A:B,2,FALSE),"")</f>
        <v>07.481.602-9</v>
      </c>
      <c r="B63" s="65" t="str">
        <f>IFERROR(VLOOKUP('Informe Kelly'!A56,Base!A:G,7,FALSE),"")</f>
        <v>NARVAI RIVERA JORGE PATRICIO</v>
      </c>
      <c r="C63" s="69" t="str">
        <f>IF(G63=$C$4,IF('Informe Kelly'!H56='Control informe Kelly'!$A$2,TEXT(((LEFT('Informe Kelly'!E56,2)*1)+1),"dd")&amp;"."&amp;MID('Informe Kelly'!E56,4,2)&amp;"."&amp;RIGHT('Informe Kelly'!E56,4),'Informe Kelly'!E56),'Informe Kelly'!E56)</f>
        <v>14.04.2011</v>
      </c>
      <c r="D63" s="69" t="str">
        <f>IF('Informe Kelly'!E56="","",'Informe Kelly'!E56)</f>
        <v>14.04.2011</v>
      </c>
      <c r="E63" s="72">
        <f t="shared" si="0"/>
        <v>28</v>
      </c>
      <c r="F63" s="72" t="str">
        <f>IFERROR(HLOOKUP(C63,Ingreso!$Q$8:$AD$9,2,FALSE),"v")</f>
        <v>Jueves</v>
      </c>
      <c r="G63" s="65" t="str">
        <f>IFERROR(VLOOKUP(A63,Ingreso!K:P,6,FALSE),"no esta ingresado")</f>
        <v>Turno B</v>
      </c>
      <c r="H63" s="65" t="str">
        <f>IFERROR(IF('Informe Kelly'!H56=$A$2,'Informe Kelly'!F56,""),0)</f>
        <v/>
      </c>
      <c r="I63" s="65">
        <f>IFERROR(IF('Informe Kelly'!H56=$A$3,'Informe Kelly'!F56,""),0)</f>
        <v>0.94390046296296293</v>
      </c>
      <c r="J63" s="65" t="str">
        <f>IF(IFERROR(IF(E63=E62,0,(HLOOKUP(D63,Ingreso!$AN$10:$AT$260,VLOOKUP(A63,Ingreso!$AL$11:$AM$260,2,FALSE)))/24),0)=0,"",IFERROR(IF(E63=E62,0,(HLOOKUP(D63,Ingreso!$AN$10:$AT$260,VLOOKUP(A63,Ingreso!$AL$11:$AM$260,2,FALSE)))/24),0))</f>
        <v/>
      </c>
      <c r="K63" s="65" t="str">
        <f>IF(IFERROR(IF(E63=E62,0,(HLOOKUP(C63,Ingreso!$AW$10:$BC$260,VLOOKUP(A63,Ingreso!$AL$11:$AM$260,2,FALSE)))/24),0)=0,"",IFERROR(IF(E63=E62,0,(HLOOKUP(C63,Ingreso!$AW$10:$BC$260,VLOOKUP(A63,Ingreso!$AL$11:$AM$260,2,FALSE)))/24),0))</f>
        <v/>
      </c>
      <c r="L63" s="63">
        <f t="shared" si="1"/>
        <v>0.3125</v>
      </c>
      <c r="M63" s="63" t="str">
        <f>IF(IFERROR(IF(C63=C61,0,IF(E63=E62,0,IF(C63=$R$2,HLOOKUP($R$2,Ingreso!$AW$10:$BC$260,VLOOKUP(A63,Ingreso!AL:AM,2,FALSE),FALSE)/24,""))),"")=0,"",IFERROR(IF(C63=C61,0,IF(E63=E62,0,IF(C63=$R$2,HLOOKUP($R$2,Ingreso!$AW$10:$BC$260,VLOOKUP(A63,Ingreso!AL:AM,2,FALSE),FALSE)/24,""))),""))</f>
        <v/>
      </c>
      <c r="N63" s="95" t="str">
        <f>IF(IFERROR(IF(C63=C61,0,IF(E63=E62,0,IF(C63=$R$3,HLOOKUP($R$3,Ingreso!$AW$10:$BC$260,VLOOKUP(A63,Ingreso!AL:AM,2,FALSE),FALSE)/24,""))),"")=0,"",IFERROR(IF(C63=C61,0,IF(E63=E62,0,IF(C63=$R$3,HLOOKUP($R$3,Ingreso!$AW$10:$BC$260,VLOOKUP(A63,Ingreso!AL:AM,2,FALSE),FALSE)/24,""))),""))</f>
        <v/>
      </c>
      <c r="O63" s="95" t="str">
        <f>IF(IFERROR(IF(C63=C61,0,IF(E63=E62,0,IF(C63=$R$4,HLOOKUP($R$4,Ingreso!$AW$10:$BC$260,VLOOKUP(A63,Ingreso!AL:AM,2,FALSE),FALSE)/24,""))),"")=0,"",IFERROR(IF(C63=C61,0,IF(E63=E62,0,IF(C63=$R$4,HLOOKUP($R$4,Ingreso!$AW$10:$BC$260,VLOOKUP(A63,Ingreso!AL:AM,2,FALSE),FALSE)/24,""))),""))</f>
        <v/>
      </c>
      <c r="P63" s="90"/>
      <c r="T63" t="s">
        <v>1428</v>
      </c>
      <c r="U63" t="s">
        <v>1338</v>
      </c>
      <c r="V63" t="s">
        <v>1403</v>
      </c>
      <c r="W63" s="82">
        <v>70</v>
      </c>
      <c r="X63" s="71">
        <v>0.41666666666666669</v>
      </c>
      <c r="Y63" s="101">
        <v>0.99990740740740736</v>
      </c>
      <c r="Z63" s="101">
        <v>0</v>
      </c>
      <c r="AA63" s="101">
        <v>9.2592592592644074E-5</v>
      </c>
      <c r="AB63" s="101">
        <v>-0.41657407407407404</v>
      </c>
      <c r="AC63" s="105">
        <v>0</v>
      </c>
      <c r="AD63" s="105">
        <v>0</v>
      </c>
      <c r="AE63" s="93">
        <v>0</v>
      </c>
      <c r="AF63" s="93">
        <v>0</v>
      </c>
      <c r="AG63" s="93">
        <v>0</v>
      </c>
    </row>
    <row r="64" spans="1:33">
      <c r="A64" s="65" t="str">
        <f>IFERROR(VLOOKUP('Informe Kelly'!A57,Base!A:B,2,FALSE),"")</f>
        <v>07.481.602-9</v>
      </c>
      <c r="B64" s="65" t="str">
        <f>IFERROR(VLOOKUP('Informe Kelly'!A57,Base!A:G,7,FALSE),"")</f>
        <v>NARVAI RIVERA JORGE PATRICIO</v>
      </c>
      <c r="C64" s="69" t="str">
        <f>IF(G64=$C$4,IF('Informe Kelly'!H57='Control informe Kelly'!$A$2,TEXT(((LEFT('Informe Kelly'!E57,2)*1)+1),"dd")&amp;"."&amp;MID('Informe Kelly'!E57,4,2)&amp;"."&amp;RIGHT('Informe Kelly'!E57,4),'Informe Kelly'!E57),'Informe Kelly'!E57)</f>
        <v>14.04.2011</v>
      </c>
      <c r="D64" s="69" t="str">
        <f>IF('Informe Kelly'!E57="","",'Informe Kelly'!E57)</f>
        <v>14.04.2011</v>
      </c>
      <c r="E64" s="72">
        <f t="shared" si="0"/>
        <v>28</v>
      </c>
      <c r="F64" s="72" t="str">
        <f>IFERROR(HLOOKUP(C64,Ingreso!$Q$8:$AD$9,2,FALSE),"v")</f>
        <v>Jueves</v>
      </c>
      <c r="G64" s="65" t="str">
        <f>IFERROR(VLOOKUP(A64,Ingreso!K:P,6,FALSE),"no esta ingresado")</f>
        <v>Turno B</v>
      </c>
      <c r="H64" s="65">
        <f>IFERROR(IF('Informe Kelly'!H57=$A$2,'Informe Kelly'!F57,""),0)</f>
        <v>0.61252314814814812</v>
      </c>
      <c r="I64" s="65" t="str">
        <f>IFERROR(IF('Informe Kelly'!H57=$A$3,'Informe Kelly'!F57,""),0)</f>
        <v/>
      </c>
      <c r="J64" s="65" t="str">
        <f>IF(IFERROR(IF(E64=E63,0,(HLOOKUP(D64,Ingreso!$AN$10:$AT$260,VLOOKUP(A64,Ingreso!$AL$11:$AM$260,2,FALSE)))/24),0)=0,"",IFERROR(IF(E64=E63,0,(HLOOKUP(D64,Ingreso!$AN$10:$AT$260,VLOOKUP(A64,Ingreso!$AL$11:$AM$260,2,FALSE)))/24),0))</f>
        <v/>
      </c>
      <c r="K64" s="65" t="str">
        <f>IF(IFERROR(IF(E64=E63,0,(HLOOKUP(C64,Ingreso!$AW$10:$BC$260,VLOOKUP(A64,Ingreso!$AL$11:$AM$260,2,FALSE)))/24),0)=0,"",IFERROR(IF(E64=E63,0,(HLOOKUP(C64,Ingreso!$AW$10:$BC$260,VLOOKUP(A64,Ingreso!$AL$11:$AM$260,2,FALSE)))/24),0))</f>
        <v/>
      </c>
      <c r="L64" s="63">
        <f t="shared" si="1"/>
        <v>0</v>
      </c>
      <c r="M64" s="63" t="str">
        <f>IF(IFERROR(IF(C64=C62,0,IF(E64=E63,0,IF(C64=$R$2,HLOOKUP($R$2,Ingreso!$AW$10:$BC$260,VLOOKUP(A64,Ingreso!AL:AM,2,FALSE),FALSE)/24,""))),"")=0,"",IFERROR(IF(C64=C62,0,IF(E64=E63,0,IF(C64=$R$2,HLOOKUP($R$2,Ingreso!$AW$10:$BC$260,VLOOKUP(A64,Ingreso!AL:AM,2,FALSE),FALSE)/24,""))),""))</f>
        <v/>
      </c>
      <c r="N64" s="95" t="str">
        <f>IF(IFERROR(IF(C64=C62,0,IF(E64=E63,0,IF(C64=$R$3,HLOOKUP($R$3,Ingreso!$AW$10:$BC$260,VLOOKUP(A64,Ingreso!AL:AM,2,FALSE),FALSE)/24,""))),"")=0,"",IFERROR(IF(C64=C62,0,IF(E64=E63,0,IF(C64=$R$3,HLOOKUP($R$3,Ingreso!$AW$10:$BC$260,VLOOKUP(A64,Ingreso!AL:AM,2,FALSE),FALSE)/24,""))),""))</f>
        <v/>
      </c>
      <c r="O64" s="95" t="str">
        <f>IF(IFERROR(IF(C64=C62,0,IF(E64=E63,0,IF(C64=$R$4,HLOOKUP($R$4,Ingreso!$AW$10:$BC$260,VLOOKUP(A64,Ingreso!AL:AM,2,FALSE),FALSE)/24,""))),"")=0,"",IFERROR(IF(C64=C62,0,IF(E64=E63,0,IF(C64=$R$4,HLOOKUP($R$4,Ingreso!$AW$10:$BC$260,VLOOKUP(A64,Ingreso!AL:AM,2,FALSE),FALSE)/24,""))),""))</f>
        <v/>
      </c>
      <c r="P64" s="90"/>
      <c r="R64" t="s">
        <v>307</v>
      </c>
      <c r="S64" t="s">
        <v>311</v>
      </c>
      <c r="T64" t="s">
        <v>1420</v>
      </c>
      <c r="U64" t="s">
        <v>4</v>
      </c>
      <c r="V64" t="s">
        <v>1397</v>
      </c>
      <c r="W64" s="82">
        <v>71</v>
      </c>
      <c r="X64" s="71">
        <v>0.3125</v>
      </c>
      <c r="Y64" s="101">
        <v>0.29501157407407408</v>
      </c>
      <c r="Z64" s="101">
        <v>0.62804398148148144</v>
      </c>
      <c r="AA64" s="101">
        <v>0.33303240740740736</v>
      </c>
      <c r="AB64" s="101">
        <v>2.053240740740736E-2</v>
      </c>
      <c r="AC64" s="105">
        <v>0</v>
      </c>
      <c r="AD64" s="105">
        <v>0</v>
      </c>
      <c r="AE64" s="93">
        <v>0</v>
      </c>
      <c r="AF64" s="93">
        <v>0</v>
      </c>
      <c r="AG64" s="93">
        <v>0</v>
      </c>
    </row>
    <row r="65" spans="1:33">
      <c r="A65" s="65" t="str">
        <f>IFERROR(VLOOKUP('Informe Kelly'!A58,Base!A:B,2,FALSE),"")</f>
        <v>07.481.602-9</v>
      </c>
      <c r="B65" s="65" t="str">
        <f>IFERROR(VLOOKUP('Informe Kelly'!A58,Base!A:G,7,FALSE),"")</f>
        <v>NARVAI RIVERA JORGE PATRICIO</v>
      </c>
      <c r="C65" s="69" t="str">
        <f>IF(G65=$C$4,IF('Informe Kelly'!H58='Control informe Kelly'!$A$2,TEXT(((LEFT('Informe Kelly'!E58,2)*1)+1),"dd")&amp;"."&amp;MID('Informe Kelly'!E58,4,2)&amp;"."&amp;RIGHT('Informe Kelly'!E58,4),'Informe Kelly'!E58),'Informe Kelly'!E58)</f>
        <v>15.04.2011</v>
      </c>
      <c r="D65" s="69" t="str">
        <f>IF('Informe Kelly'!E58="","",'Informe Kelly'!E58)</f>
        <v>15.04.2011</v>
      </c>
      <c r="E65" s="72">
        <f t="shared" si="0"/>
        <v>29</v>
      </c>
      <c r="F65" s="72" t="str">
        <f>IFERROR(HLOOKUP(C65,Ingreso!$Q$8:$AD$9,2,FALSE),"v")</f>
        <v>Viernes</v>
      </c>
      <c r="G65" s="65" t="str">
        <f>IFERROR(VLOOKUP(A65,Ingreso!K:P,6,FALSE),"no esta ingresado")</f>
        <v>Turno B</v>
      </c>
      <c r="H65" s="65" t="str">
        <f>IFERROR(IF('Informe Kelly'!H58=$A$2,'Informe Kelly'!F58,""),0)</f>
        <v/>
      </c>
      <c r="I65" s="65">
        <f>IFERROR(IF('Informe Kelly'!H58=$A$3,'Informe Kelly'!F58,""),0)</f>
        <v>0.9437037037037036</v>
      </c>
      <c r="J65" s="65" t="str">
        <f>IF(IFERROR(IF(E65=E64,0,(HLOOKUP(D65,Ingreso!$AN$10:$AT$260,VLOOKUP(A65,Ingreso!$AL$11:$AM$260,2,FALSE)))/24),0)=0,"",IFERROR(IF(E65=E64,0,(HLOOKUP(D65,Ingreso!$AN$10:$AT$260,VLOOKUP(A65,Ingreso!$AL$11:$AM$260,2,FALSE)))/24),0))</f>
        <v/>
      </c>
      <c r="K65" s="65" t="str">
        <f>IF(IFERROR(IF(E65=E64,0,(HLOOKUP(C65,Ingreso!$AW$10:$BC$260,VLOOKUP(A65,Ingreso!$AL$11:$AM$260,2,FALSE)))/24),0)=0,"",IFERROR(IF(E65=E64,0,(HLOOKUP(C65,Ingreso!$AW$10:$BC$260,VLOOKUP(A65,Ingreso!$AL$11:$AM$260,2,FALSE)))/24),0))</f>
        <v/>
      </c>
      <c r="L65" s="63">
        <f t="shared" si="1"/>
        <v>0.3125</v>
      </c>
      <c r="M65" s="63" t="str">
        <f>IF(IFERROR(IF(C65=C63,0,IF(E65=E64,0,IF(C65=$R$2,HLOOKUP($R$2,Ingreso!$AW$10:$BC$260,VLOOKUP(A65,Ingreso!AL:AM,2,FALSE),FALSE)/24,""))),"")=0,"",IFERROR(IF(C65=C63,0,IF(E65=E64,0,IF(C65=$R$2,HLOOKUP($R$2,Ingreso!$AW$10:$BC$260,VLOOKUP(A65,Ingreso!AL:AM,2,FALSE),FALSE)/24,""))),""))</f>
        <v/>
      </c>
      <c r="N65" s="95" t="str">
        <f>IF(IFERROR(IF(C65=C63,0,IF(E65=E64,0,IF(C65=$R$3,HLOOKUP($R$3,Ingreso!$AW$10:$BC$260,VLOOKUP(A65,Ingreso!AL:AM,2,FALSE),FALSE)/24,""))),"")=0,"",IFERROR(IF(C65=C63,0,IF(E65=E64,0,IF(C65=$R$3,HLOOKUP($R$3,Ingreso!$AW$10:$BC$260,VLOOKUP(A65,Ingreso!AL:AM,2,FALSE),FALSE)/24,""))),""))</f>
        <v/>
      </c>
      <c r="O65" s="95" t="str">
        <f>IF(IFERROR(IF(C65=C63,0,IF(E65=E64,0,IF(C65=$R$4,HLOOKUP($R$4,Ingreso!$AW$10:$BC$260,VLOOKUP(A65,Ingreso!AL:AM,2,FALSE),FALSE)/24,""))),"")=0,"",IFERROR(IF(C65=C63,0,IF(E65=E64,0,IF(C65=$R$4,HLOOKUP($R$4,Ingreso!$AW$10:$BC$260,VLOOKUP(A65,Ingreso!AL:AM,2,FALSE),FALSE)/24,""))),""))</f>
        <v/>
      </c>
      <c r="P65" s="90"/>
      <c r="T65" t="s">
        <v>1423</v>
      </c>
      <c r="U65" t="s">
        <v>4</v>
      </c>
      <c r="V65" t="s">
        <v>1398</v>
      </c>
      <c r="W65" s="82">
        <v>72</v>
      </c>
      <c r="X65" s="71">
        <v>0.3125</v>
      </c>
      <c r="Y65" s="101">
        <v>0.29583333333333334</v>
      </c>
      <c r="Z65" s="101">
        <v>0.62975694444444441</v>
      </c>
      <c r="AA65" s="101">
        <v>0.33392361111111107</v>
      </c>
      <c r="AB65" s="101">
        <v>2.1423611111111074E-2</v>
      </c>
      <c r="AC65" s="105">
        <v>0</v>
      </c>
      <c r="AD65" s="105">
        <v>0</v>
      </c>
      <c r="AE65" s="93">
        <v>0</v>
      </c>
      <c r="AF65" s="93">
        <v>0</v>
      </c>
      <c r="AG65" s="93">
        <v>0</v>
      </c>
    </row>
    <row r="66" spans="1:33">
      <c r="A66" s="65" t="str">
        <f>IFERROR(VLOOKUP('Informe Kelly'!A59,Base!A:B,2,FALSE),"")</f>
        <v>07.481.602-9</v>
      </c>
      <c r="B66" s="65" t="str">
        <f>IFERROR(VLOOKUP('Informe Kelly'!A59,Base!A:G,7,FALSE),"")</f>
        <v>NARVAI RIVERA JORGE PATRICIO</v>
      </c>
      <c r="C66" s="69" t="str">
        <f>IF(G66=$C$4,IF('Informe Kelly'!H59='Control informe Kelly'!$A$2,TEXT(((LEFT('Informe Kelly'!E59,2)*1)+1),"dd")&amp;"."&amp;MID('Informe Kelly'!E59,4,2)&amp;"."&amp;RIGHT('Informe Kelly'!E59,4),'Informe Kelly'!E59),'Informe Kelly'!E59)</f>
        <v>15.04.2011</v>
      </c>
      <c r="D66" s="69" t="str">
        <f>IF('Informe Kelly'!E59="","",'Informe Kelly'!E59)</f>
        <v>15.04.2011</v>
      </c>
      <c r="E66" s="72">
        <f t="shared" si="0"/>
        <v>29</v>
      </c>
      <c r="F66" s="72" t="str">
        <f>IFERROR(HLOOKUP(C66,Ingreso!$Q$8:$AD$9,2,FALSE),"v")</f>
        <v>Viernes</v>
      </c>
      <c r="G66" s="65" t="str">
        <f>IFERROR(VLOOKUP(A66,Ingreso!K:P,6,FALSE),"no esta ingresado")</f>
        <v>Turno B</v>
      </c>
      <c r="H66" s="65">
        <f>IFERROR(IF('Informe Kelly'!H59=$A$2,'Informe Kelly'!F59,""),0)</f>
        <v>0.61799768518518516</v>
      </c>
      <c r="I66" s="65" t="str">
        <f>IFERROR(IF('Informe Kelly'!H59=$A$3,'Informe Kelly'!F59,""),0)</f>
        <v/>
      </c>
      <c r="J66" s="65" t="str">
        <f>IF(IFERROR(IF(E66=E65,0,(HLOOKUP(D66,Ingreso!$AN$10:$AT$260,VLOOKUP(A66,Ingreso!$AL$11:$AM$260,2,FALSE)))/24),0)=0,"",IFERROR(IF(E66=E65,0,(HLOOKUP(D66,Ingreso!$AN$10:$AT$260,VLOOKUP(A66,Ingreso!$AL$11:$AM$260,2,FALSE)))/24),0))</f>
        <v/>
      </c>
      <c r="K66" s="65" t="str">
        <f>IF(IFERROR(IF(E66=E65,0,(HLOOKUP(C66,Ingreso!$AW$10:$BC$260,VLOOKUP(A66,Ingreso!$AL$11:$AM$260,2,FALSE)))/24),0)=0,"",IFERROR(IF(E66=E65,0,(HLOOKUP(C66,Ingreso!$AW$10:$BC$260,VLOOKUP(A66,Ingreso!$AL$11:$AM$260,2,FALSE)))/24),0))</f>
        <v/>
      </c>
      <c r="L66" s="63">
        <f t="shared" si="1"/>
        <v>0</v>
      </c>
      <c r="M66" s="63" t="str">
        <f>IF(IFERROR(IF(C66=C64,0,IF(E66=E65,0,IF(C66=$R$2,HLOOKUP($R$2,Ingreso!$AW$10:$BC$260,VLOOKUP(A66,Ingreso!AL:AM,2,FALSE),FALSE)/24,""))),"")=0,"",IFERROR(IF(C66=C64,0,IF(E66=E65,0,IF(C66=$R$2,HLOOKUP($R$2,Ingreso!$AW$10:$BC$260,VLOOKUP(A66,Ingreso!AL:AM,2,FALSE),FALSE)/24,""))),""))</f>
        <v/>
      </c>
      <c r="N66" s="95" t="str">
        <f>IF(IFERROR(IF(C66=C64,0,IF(E66=E65,0,IF(C66=$R$3,HLOOKUP($R$3,Ingreso!$AW$10:$BC$260,VLOOKUP(A66,Ingreso!AL:AM,2,FALSE),FALSE)/24,""))),"")=0,"",IFERROR(IF(C66=C64,0,IF(E66=E65,0,IF(C66=$R$3,HLOOKUP($R$3,Ingreso!$AW$10:$BC$260,VLOOKUP(A66,Ingreso!AL:AM,2,FALSE),FALSE)/24,""))),""))</f>
        <v/>
      </c>
      <c r="O66" s="95" t="str">
        <f>IF(IFERROR(IF(C66=C64,0,IF(E66=E65,0,IF(C66=$R$4,HLOOKUP($R$4,Ingreso!$AW$10:$BC$260,VLOOKUP(A66,Ingreso!AL:AM,2,FALSE),FALSE)/24,""))),"")=0,"",IFERROR(IF(C66=C64,0,IF(E66=E65,0,IF(C66=$R$4,HLOOKUP($R$4,Ingreso!$AW$10:$BC$260,VLOOKUP(A66,Ingreso!AL:AM,2,FALSE),FALSE)/24,""))),""))</f>
        <v/>
      </c>
      <c r="P66" s="90"/>
      <c r="T66" t="s">
        <v>1424</v>
      </c>
      <c r="U66" t="s">
        <v>4</v>
      </c>
      <c r="V66" t="s">
        <v>1399</v>
      </c>
      <c r="W66" s="82">
        <v>73</v>
      </c>
      <c r="X66" s="71">
        <v>0.3125</v>
      </c>
      <c r="Y66" s="101">
        <v>0.29552083333333334</v>
      </c>
      <c r="Z66" s="101">
        <v>0.62912037037037039</v>
      </c>
      <c r="AA66" s="101">
        <v>0.33359953703703704</v>
      </c>
      <c r="AB66" s="101">
        <v>2.1099537037037042E-2</v>
      </c>
      <c r="AC66" s="105">
        <v>0</v>
      </c>
      <c r="AD66" s="105">
        <v>0</v>
      </c>
      <c r="AE66" s="93">
        <v>0</v>
      </c>
      <c r="AF66" s="93">
        <v>0</v>
      </c>
      <c r="AG66" s="93">
        <v>0</v>
      </c>
    </row>
    <row r="67" spans="1:33">
      <c r="A67" s="65" t="str">
        <f>IFERROR(VLOOKUP('Informe Kelly'!A60,Base!A:B,2,FALSE),"")</f>
        <v>07.481.602-9</v>
      </c>
      <c r="B67" s="65" t="str">
        <f>IFERROR(VLOOKUP('Informe Kelly'!A60,Base!A:G,7,FALSE),"")</f>
        <v>NARVAI RIVERA JORGE PATRICIO</v>
      </c>
      <c r="C67" s="69" t="str">
        <f>IF(G67=$C$4,IF('Informe Kelly'!H60='Control informe Kelly'!$A$2,TEXT(((LEFT('Informe Kelly'!E60,2)*1)+1),"dd")&amp;"."&amp;MID('Informe Kelly'!E60,4,2)&amp;"."&amp;RIGHT('Informe Kelly'!E60,4),'Informe Kelly'!E60),'Informe Kelly'!E60)</f>
        <v>16.04.2011</v>
      </c>
      <c r="D67" s="69" t="str">
        <f>IF('Informe Kelly'!E60="","",'Informe Kelly'!E60)</f>
        <v>16.04.2011</v>
      </c>
      <c r="E67" s="72">
        <f t="shared" si="0"/>
        <v>30</v>
      </c>
      <c r="F67" s="72" t="str">
        <f>IFERROR(HLOOKUP(C67,Ingreso!$Q$8:$AD$9,2,FALSE),"v")</f>
        <v>Sábado</v>
      </c>
      <c r="G67" s="65" t="str">
        <f>IFERROR(VLOOKUP(A67,Ingreso!K:P,6,FALSE),"no esta ingresado")</f>
        <v>Turno B</v>
      </c>
      <c r="H67" s="65" t="str">
        <f>IFERROR(IF('Informe Kelly'!H60=$A$2,'Informe Kelly'!F60,""),0)</f>
        <v/>
      </c>
      <c r="I67" s="65">
        <f>IFERROR(IF('Informe Kelly'!H60=$A$3,'Informe Kelly'!F60,""),0)</f>
        <v>0.72829861111111116</v>
      </c>
      <c r="J67" s="65" t="str">
        <f>IF(IFERROR(IF(E67=E66,0,(HLOOKUP(D67,Ingreso!$AN$10:$AT$260,VLOOKUP(A67,Ingreso!$AL$11:$AM$260,2,FALSE)))/24),0)=0,"",IFERROR(IF(E67=E66,0,(HLOOKUP(D67,Ingreso!$AN$10:$AT$260,VLOOKUP(A67,Ingreso!$AL$11:$AM$260,2,FALSE)))/24),0))</f>
        <v/>
      </c>
      <c r="K67" s="65" t="str">
        <f>IF(IFERROR(IF(E67=E66,0,(HLOOKUP(C67,Ingreso!$AW$10:$BC$260,VLOOKUP(A67,Ingreso!$AL$11:$AM$260,2,FALSE)))/24),0)=0,"",IFERROR(IF(E67=E66,0,(HLOOKUP(C67,Ingreso!$AW$10:$BC$260,VLOOKUP(A67,Ingreso!$AL$11:$AM$260,2,FALSE)))/24),0))</f>
        <v/>
      </c>
      <c r="L67" s="63">
        <f t="shared" si="1"/>
        <v>0.3125</v>
      </c>
      <c r="M67" s="63" t="str">
        <f>IF(IFERROR(IF(C67=C65,0,IF(E67=E66,0,IF(C67=$R$2,HLOOKUP($R$2,Ingreso!$AW$10:$BC$260,VLOOKUP(A67,Ingreso!AL:AM,2,FALSE),FALSE)/24,""))),"")=0,"",IFERROR(IF(C67=C65,0,IF(E67=E66,0,IF(C67=$R$2,HLOOKUP($R$2,Ingreso!$AW$10:$BC$260,VLOOKUP(A67,Ingreso!AL:AM,2,FALSE),FALSE)/24,""))),""))</f>
        <v/>
      </c>
      <c r="N67" s="95" t="str">
        <f>IF(IFERROR(IF(C67=C65,0,IF(E67=E66,0,IF(C67=$R$3,HLOOKUP($R$3,Ingreso!$AW$10:$BC$260,VLOOKUP(A67,Ingreso!AL:AM,2,FALSE),FALSE)/24,""))),"")=0,"",IFERROR(IF(C67=C65,0,IF(E67=E66,0,IF(C67=$R$3,HLOOKUP($R$3,Ingreso!$AW$10:$BC$260,VLOOKUP(A67,Ingreso!AL:AM,2,FALSE),FALSE)/24,""))),""))</f>
        <v/>
      </c>
      <c r="O67" s="95" t="str">
        <f>IF(IFERROR(IF(C67=C65,0,IF(E67=E66,0,IF(C67=$R$4,HLOOKUP($R$4,Ingreso!$AW$10:$BC$260,VLOOKUP(A67,Ingreso!AL:AM,2,FALSE),FALSE)/24,""))),"")=0,"",IFERROR(IF(C67=C65,0,IF(E67=E66,0,IF(C67=$R$4,HLOOKUP($R$4,Ingreso!$AW$10:$BC$260,VLOOKUP(A67,Ingreso!AL:AM,2,FALSE),FALSE)/24,""))),""))</f>
        <v/>
      </c>
      <c r="P67" s="90"/>
      <c r="T67" t="s">
        <v>1425</v>
      </c>
      <c r="U67" t="s">
        <v>4</v>
      </c>
      <c r="V67" t="s">
        <v>1400</v>
      </c>
      <c r="W67" s="82">
        <v>74</v>
      </c>
      <c r="X67" s="71">
        <v>0.3125</v>
      </c>
      <c r="Y67" s="101">
        <v>0.29440972222222223</v>
      </c>
      <c r="Z67" s="101">
        <v>0.62755787037037036</v>
      </c>
      <c r="AA67" s="101">
        <v>0.33314814814814814</v>
      </c>
      <c r="AB67" s="101">
        <v>2.0648148148148138E-2</v>
      </c>
      <c r="AC67" s="105">
        <v>0</v>
      </c>
      <c r="AD67" s="105">
        <v>0</v>
      </c>
      <c r="AE67" s="93">
        <v>0</v>
      </c>
      <c r="AF67" s="93">
        <v>0</v>
      </c>
      <c r="AG67" s="93">
        <v>0</v>
      </c>
    </row>
    <row r="68" spans="1:33">
      <c r="A68" s="65" t="str">
        <f>IFERROR(VLOOKUP('Informe Kelly'!A61,Base!A:B,2,FALSE),"")</f>
        <v>07.481.602-9</v>
      </c>
      <c r="B68" s="65" t="str">
        <f>IFERROR(VLOOKUP('Informe Kelly'!A61,Base!A:G,7,FALSE),"")</f>
        <v>NARVAI RIVERA JORGE PATRICIO</v>
      </c>
      <c r="C68" s="69" t="str">
        <f>IF(G68=$C$4,IF('Informe Kelly'!H61='Control informe Kelly'!$A$2,TEXT(((LEFT('Informe Kelly'!E61,2)*1)+1),"dd")&amp;"."&amp;MID('Informe Kelly'!E61,4,2)&amp;"."&amp;RIGHT('Informe Kelly'!E61,4),'Informe Kelly'!E61),'Informe Kelly'!E61)</f>
        <v>16.04.2011</v>
      </c>
      <c r="D68" s="69" t="str">
        <f>IF('Informe Kelly'!E61="","",'Informe Kelly'!E61)</f>
        <v>16.04.2011</v>
      </c>
      <c r="E68" s="72">
        <f t="shared" si="0"/>
        <v>30</v>
      </c>
      <c r="F68" s="72" t="str">
        <f>IFERROR(HLOOKUP(C68,Ingreso!$Q$8:$AD$9,2,FALSE),"v")</f>
        <v>Sábado</v>
      </c>
      <c r="G68" s="65" t="str">
        <f>IFERROR(VLOOKUP(A68,Ingreso!K:P,6,FALSE),"no esta ingresado")</f>
        <v>Turno B</v>
      </c>
      <c r="H68" s="65">
        <f>IFERROR(IF('Informe Kelly'!H61=$A$2,'Informe Kelly'!F61,""),0)</f>
        <v>0.42921296296296302</v>
      </c>
      <c r="I68" s="65" t="str">
        <f>IFERROR(IF('Informe Kelly'!H61=$A$3,'Informe Kelly'!F61,""),0)</f>
        <v/>
      </c>
      <c r="J68" s="65" t="str">
        <f>IF(IFERROR(IF(E68=E67,0,(HLOOKUP(D68,Ingreso!$AN$10:$AT$260,VLOOKUP(A68,Ingreso!$AL$11:$AM$260,2,FALSE)))/24),0)=0,"",IFERROR(IF(E68=E67,0,(HLOOKUP(D68,Ingreso!$AN$10:$AT$260,VLOOKUP(A68,Ingreso!$AL$11:$AM$260,2,FALSE)))/24),0))</f>
        <v/>
      </c>
      <c r="K68" s="65" t="str">
        <f>IF(IFERROR(IF(E68=E67,0,(HLOOKUP(C68,Ingreso!$AW$10:$BC$260,VLOOKUP(A68,Ingreso!$AL$11:$AM$260,2,FALSE)))/24),0)=0,"",IFERROR(IF(E68=E67,0,(HLOOKUP(C68,Ingreso!$AW$10:$BC$260,VLOOKUP(A68,Ingreso!$AL$11:$AM$260,2,FALSE)))/24),0))</f>
        <v/>
      </c>
      <c r="L68" s="63">
        <f t="shared" si="1"/>
        <v>0</v>
      </c>
      <c r="M68" s="63" t="str">
        <f>IF(IFERROR(IF(C68=C66,0,IF(E68=E67,0,IF(C68=$R$2,HLOOKUP($R$2,Ingreso!$AW$10:$BC$260,VLOOKUP(A68,Ingreso!AL:AM,2,FALSE),FALSE)/24,""))),"")=0,"",IFERROR(IF(C68=C66,0,IF(E68=E67,0,IF(C68=$R$2,HLOOKUP($R$2,Ingreso!$AW$10:$BC$260,VLOOKUP(A68,Ingreso!AL:AM,2,FALSE),FALSE)/24,""))),""))</f>
        <v/>
      </c>
      <c r="N68" s="95" t="str">
        <f>IF(IFERROR(IF(C68=C66,0,IF(E68=E67,0,IF(C68=$R$3,HLOOKUP($R$3,Ingreso!$AW$10:$BC$260,VLOOKUP(A68,Ingreso!AL:AM,2,FALSE),FALSE)/24,""))),"")=0,"",IFERROR(IF(C68=C66,0,IF(E68=E67,0,IF(C68=$R$3,HLOOKUP($R$3,Ingreso!$AW$10:$BC$260,VLOOKUP(A68,Ingreso!AL:AM,2,FALSE),FALSE)/24,""))),""))</f>
        <v/>
      </c>
      <c r="O68" s="95" t="str">
        <f>IF(IFERROR(IF(C68=C66,0,IF(E68=E67,0,IF(C68=$R$4,HLOOKUP($R$4,Ingreso!$AW$10:$BC$260,VLOOKUP(A68,Ingreso!AL:AM,2,FALSE),FALSE)/24,""))),"")=0,"",IFERROR(IF(C68=C66,0,IF(E68=E67,0,IF(C68=$R$4,HLOOKUP($R$4,Ingreso!$AW$10:$BC$260,VLOOKUP(A68,Ingreso!AL:AM,2,FALSE),FALSE)/24,""))),""))</f>
        <v/>
      </c>
      <c r="P68" s="90"/>
      <c r="T68" t="s">
        <v>1426</v>
      </c>
      <c r="U68" t="s">
        <v>4</v>
      </c>
      <c r="V68" t="s">
        <v>1401</v>
      </c>
      <c r="W68" s="82">
        <v>75</v>
      </c>
      <c r="X68" s="71">
        <v>0.3125</v>
      </c>
      <c r="Y68" s="101">
        <v>0.29479166666666667</v>
      </c>
      <c r="Z68" s="101">
        <v>0.63104166666666661</v>
      </c>
      <c r="AA68" s="101">
        <v>0.33624999999999994</v>
      </c>
      <c r="AB68" s="101">
        <v>2.3749999999999938E-2</v>
      </c>
      <c r="AC68" s="105">
        <v>0</v>
      </c>
      <c r="AD68" s="105">
        <v>0</v>
      </c>
      <c r="AE68" s="93">
        <v>0</v>
      </c>
      <c r="AF68" s="93">
        <v>0</v>
      </c>
      <c r="AG68" s="93">
        <v>0</v>
      </c>
    </row>
    <row r="69" spans="1:33">
      <c r="A69" s="65" t="str">
        <f>IFERROR(VLOOKUP('Informe Kelly'!A62,Base!A:B,2,FALSE),"")</f>
        <v>07.721.223-K</v>
      </c>
      <c r="B69" s="65" t="str">
        <f>IFERROR(VLOOKUP('Informe Kelly'!A62,Base!A:G,7,FALSE),"")</f>
        <v xml:space="preserve">QUIROZ VENEGAS JOSE MANUEL </v>
      </c>
      <c r="C69" s="69" t="str">
        <f>IF(G69=$C$4,IF('Informe Kelly'!H62='Control informe Kelly'!$A$2,TEXT(((LEFT('Informe Kelly'!E62,2)*1)+1),"dd")&amp;"."&amp;MID('Informe Kelly'!E62,4,2)&amp;"."&amp;RIGHT('Informe Kelly'!E62,4),'Informe Kelly'!E62),'Informe Kelly'!E62)</f>
        <v>12.04.2011</v>
      </c>
      <c r="D69" s="69" t="str">
        <f>IF('Informe Kelly'!E62="","",'Informe Kelly'!E62)</f>
        <v>11.04.2011</v>
      </c>
      <c r="E69" s="72">
        <f t="shared" si="0"/>
        <v>31</v>
      </c>
      <c r="F69" s="72" t="str">
        <f>IFERROR(HLOOKUP(C69,Ingreso!$Q$8:$AD$9,2,FALSE),"v")</f>
        <v>Martes</v>
      </c>
      <c r="G69" s="65" t="str">
        <f>IFERROR(VLOOKUP(A69,Ingreso!K:P,6,FALSE),"no esta ingresado")</f>
        <v>Turno C</v>
      </c>
      <c r="H69" s="65">
        <f>IFERROR(IF('Informe Kelly'!H62=$A$2,'Informe Kelly'!F62,""),0)</f>
        <v>0.91929398148148145</v>
      </c>
      <c r="I69" s="65" t="str">
        <f>IFERROR(IF('Informe Kelly'!H62=$A$3,'Informe Kelly'!F62,""),0)</f>
        <v/>
      </c>
      <c r="J69" s="65" t="str">
        <f>IF(IFERROR(IF(E69=E68,0,(HLOOKUP(D69,Ingreso!$AN$10:$AT$260,VLOOKUP(A69,Ingreso!$AL$11:$AM$260,2,FALSE)))/24),0)=0,"",IFERROR(IF(E69=E68,0,(HLOOKUP(D69,Ingreso!$AN$10:$AT$260,VLOOKUP(A69,Ingreso!$AL$11:$AM$260,2,FALSE)))/24),0))</f>
        <v/>
      </c>
      <c r="K69" s="65" t="str">
        <f>IF(IFERROR(IF(E69=E68,0,(HLOOKUP(C69,Ingreso!$AW$10:$BC$260,VLOOKUP(A69,Ingreso!$AL$11:$AM$260,2,FALSE)))/24),0)=0,"",IFERROR(IF(E69=E68,0,(HLOOKUP(C69,Ingreso!$AW$10:$BC$260,VLOOKUP(A69,Ingreso!$AL$11:$AM$260,2,FALSE)))/24),0))</f>
        <v/>
      </c>
      <c r="L69" s="63">
        <f t="shared" si="1"/>
        <v>0.375</v>
      </c>
      <c r="M69" s="63" t="str">
        <f>IF(IFERROR(IF(C69=C67,0,IF(E69=E68,0,IF(C69=$R$2,HLOOKUP($R$2,Ingreso!$AW$10:$BC$260,VLOOKUP(A69,Ingreso!AL:AM,2,FALSE),FALSE)/24,""))),"")=0,"",IFERROR(IF(C69=C67,0,IF(E69=E68,0,IF(C69=$R$2,HLOOKUP($R$2,Ingreso!$AW$10:$BC$260,VLOOKUP(A69,Ingreso!AL:AM,2,FALSE),FALSE)/24,""))),""))</f>
        <v/>
      </c>
      <c r="N69" s="95" t="str">
        <f>IF(IFERROR(IF(C69=C67,0,IF(E69=E68,0,IF(C69=$R$3,HLOOKUP($R$3,Ingreso!$AW$10:$BC$260,VLOOKUP(A69,Ingreso!AL:AM,2,FALSE),FALSE)/24,""))),"")=0,"",IFERROR(IF(C69=C67,0,IF(E69=E68,0,IF(C69=$R$3,HLOOKUP($R$3,Ingreso!$AW$10:$BC$260,VLOOKUP(A69,Ingreso!AL:AM,2,FALSE),FALSE)/24,""))),""))</f>
        <v/>
      </c>
      <c r="O69" s="95" t="str">
        <f>IF(IFERROR(IF(C69=C67,0,IF(E69=E68,0,IF(C69=$R$4,HLOOKUP($R$4,Ingreso!$AW$10:$BC$260,VLOOKUP(A69,Ingreso!AL:AM,2,FALSE),FALSE)/24,""))),"")=0,"",IFERROR(IF(C69=C67,0,IF(E69=E68,0,IF(C69=$R$4,HLOOKUP($R$4,Ingreso!$AW$10:$BC$260,VLOOKUP(A69,Ingreso!AL:AM,2,FALSE),FALSE)/24,""))),""))</f>
        <v/>
      </c>
      <c r="P69" s="90"/>
      <c r="T69" t="s">
        <v>1427</v>
      </c>
      <c r="U69" t="s">
        <v>4</v>
      </c>
      <c r="V69" t="s">
        <v>1402</v>
      </c>
      <c r="W69" s="82">
        <v>76</v>
      </c>
      <c r="X69" s="71">
        <v>0.3125</v>
      </c>
      <c r="Y69" s="101">
        <v>0.29418981481481482</v>
      </c>
      <c r="Z69" s="101">
        <v>0.62605324074074076</v>
      </c>
      <c r="AA69" s="101">
        <v>0.33186342592592594</v>
      </c>
      <c r="AB69" s="101">
        <v>1.9363425925925937E-2</v>
      </c>
      <c r="AC69" s="105">
        <v>0</v>
      </c>
      <c r="AD69" s="105">
        <v>0</v>
      </c>
      <c r="AE69" s="93">
        <v>0</v>
      </c>
      <c r="AF69" s="93">
        <v>0</v>
      </c>
      <c r="AG69" s="93">
        <v>0</v>
      </c>
    </row>
    <row r="70" spans="1:33">
      <c r="A70" s="65" t="str">
        <f>IFERROR(VLOOKUP('Informe Kelly'!A63,Base!A:B,2,FALSE),"")</f>
        <v>07.721.223-K</v>
      </c>
      <c r="B70" s="65" t="str">
        <f>IFERROR(VLOOKUP('Informe Kelly'!A63,Base!A:G,7,FALSE),"")</f>
        <v xml:space="preserve">QUIROZ VENEGAS JOSE MANUEL </v>
      </c>
      <c r="C70" s="69" t="str">
        <f>IF(G70=$C$4,IF('Informe Kelly'!H63='Control informe Kelly'!$A$2,TEXT(((LEFT('Informe Kelly'!E63,2)*1)+1),"dd")&amp;"."&amp;MID('Informe Kelly'!E63,4,2)&amp;"."&amp;RIGHT('Informe Kelly'!E63,4),'Informe Kelly'!E63),'Informe Kelly'!E63)</f>
        <v>12.04.2011</v>
      </c>
      <c r="D70" s="69" t="str">
        <f>IF('Informe Kelly'!E63="","",'Informe Kelly'!E63)</f>
        <v>12.04.2011</v>
      </c>
      <c r="E70" s="72">
        <f t="shared" si="0"/>
        <v>31</v>
      </c>
      <c r="F70" s="72" t="str">
        <f>IFERROR(HLOOKUP(C70,Ingreso!$Q$8:$AD$9,2,FALSE),"v")</f>
        <v>Martes</v>
      </c>
      <c r="G70" s="65" t="str">
        <f>IFERROR(VLOOKUP(A70,Ingreso!K:P,6,FALSE),"no esta ingresado")</f>
        <v>Turno C</v>
      </c>
      <c r="H70" s="65" t="str">
        <f>IFERROR(IF('Informe Kelly'!H63=$A$2,'Informe Kelly'!F63,""),0)</f>
        <v/>
      </c>
      <c r="I70" s="65">
        <f>IFERROR(IF('Informe Kelly'!H63=$A$3,'Informe Kelly'!F63,""),0)</f>
        <v>0.31740740740740742</v>
      </c>
      <c r="J70" s="65" t="str">
        <f>IF(IFERROR(IF(E70=E69,0,(HLOOKUP(D70,Ingreso!$AN$10:$AT$260,VLOOKUP(A70,Ingreso!$AL$11:$AM$260,2,FALSE)))/24),0)=0,"",IFERROR(IF(E70=E69,0,(HLOOKUP(D70,Ingreso!$AN$10:$AT$260,VLOOKUP(A70,Ingreso!$AL$11:$AM$260,2,FALSE)))/24),0))</f>
        <v/>
      </c>
      <c r="K70" s="65" t="str">
        <f>IF(IFERROR(IF(E70=E69,0,(HLOOKUP(C70,Ingreso!$AW$10:$BC$260,VLOOKUP(A70,Ingreso!$AL$11:$AM$260,2,FALSE)))/24),0)=0,"",IFERROR(IF(E70=E69,0,(HLOOKUP(C70,Ingreso!$AW$10:$BC$260,VLOOKUP(A70,Ingreso!$AL$11:$AM$260,2,FALSE)))/24),0))</f>
        <v/>
      </c>
      <c r="L70" s="63">
        <f t="shared" si="1"/>
        <v>0</v>
      </c>
      <c r="M70" s="63" t="str">
        <f>IF(IFERROR(IF(C70=C68,0,IF(E70=E69,0,IF(C70=$R$2,HLOOKUP($R$2,Ingreso!$AW$10:$BC$260,VLOOKUP(A70,Ingreso!AL:AM,2,FALSE),FALSE)/24,""))),"")=0,"",IFERROR(IF(C70=C68,0,IF(E70=E69,0,IF(C70=$R$2,HLOOKUP($R$2,Ingreso!$AW$10:$BC$260,VLOOKUP(A70,Ingreso!AL:AM,2,FALSE),FALSE)/24,""))),""))</f>
        <v/>
      </c>
      <c r="N70" s="95" t="str">
        <f>IF(IFERROR(IF(C70=C68,0,IF(E70=E69,0,IF(C70=$R$3,HLOOKUP($R$3,Ingreso!$AW$10:$BC$260,VLOOKUP(A70,Ingreso!AL:AM,2,FALSE),FALSE)/24,""))),"")=0,"",IFERROR(IF(C70=C68,0,IF(E70=E69,0,IF(C70=$R$3,HLOOKUP($R$3,Ingreso!$AW$10:$BC$260,VLOOKUP(A70,Ingreso!AL:AM,2,FALSE),FALSE)/24,""))),""))</f>
        <v/>
      </c>
      <c r="O70" s="95" t="str">
        <f>IF(IFERROR(IF(C70=C68,0,IF(E70=E69,0,IF(C70=$R$4,HLOOKUP($R$4,Ingreso!$AW$10:$BC$260,VLOOKUP(A70,Ingreso!AL:AM,2,FALSE),FALSE)/24,""))),"")=0,"",IFERROR(IF(C70=C68,0,IF(E70=E69,0,IF(C70=$R$4,HLOOKUP($R$4,Ingreso!$AW$10:$BC$260,VLOOKUP(A70,Ingreso!AL:AM,2,FALSE),FALSE)/24,""))),""))</f>
        <v/>
      </c>
      <c r="P70" s="90"/>
      <c r="R70" t="s">
        <v>960</v>
      </c>
      <c r="S70" t="s">
        <v>963</v>
      </c>
      <c r="T70" t="s">
        <v>1420</v>
      </c>
      <c r="U70" t="s">
        <v>4</v>
      </c>
      <c r="V70" t="s">
        <v>1397</v>
      </c>
      <c r="W70" s="82">
        <v>77</v>
      </c>
      <c r="X70" s="71">
        <v>0.3125</v>
      </c>
      <c r="Y70" s="101">
        <v>0.29496527777777776</v>
      </c>
      <c r="Z70" s="101">
        <v>0.63892361111111107</v>
      </c>
      <c r="AA70" s="101">
        <v>0.34395833333333331</v>
      </c>
      <c r="AB70" s="101">
        <v>3.145833333333331E-2</v>
      </c>
      <c r="AC70" s="105">
        <v>0</v>
      </c>
      <c r="AD70" s="105">
        <v>0</v>
      </c>
      <c r="AE70" s="93">
        <v>0</v>
      </c>
      <c r="AF70" s="93">
        <v>0</v>
      </c>
      <c r="AG70" s="93">
        <v>0</v>
      </c>
    </row>
    <row r="71" spans="1:33">
      <c r="A71" s="65" t="str">
        <f>IFERROR(VLOOKUP('Informe Kelly'!A64,Base!A:B,2,FALSE),"")</f>
        <v>07.721.223-K</v>
      </c>
      <c r="B71" s="65" t="str">
        <f>IFERROR(VLOOKUP('Informe Kelly'!A64,Base!A:G,7,FALSE),"")</f>
        <v xml:space="preserve">QUIROZ VENEGAS JOSE MANUEL </v>
      </c>
      <c r="C71" s="69" t="str">
        <f>IF(G71=$C$4,IF('Informe Kelly'!H64='Control informe Kelly'!$A$2,TEXT(((LEFT('Informe Kelly'!E64,2)*1)+1),"dd")&amp;"."&amp;MID('Informe Kelly'!E64,4,2)&amp;"."&amp;RIGHT('Informe Kelly'!E64,4),'Informe Kelly'!E64),'Informe Kelly'!E64)</f>
        <v>13.04.2011</v>
      </c>
      <c r="D71" s="69" t="str">
        <f>IF('Informe Kelly'!E64="","",'Informe Kelly'!E64)</f>
        <v>12.04.2011</v>
      </c>
      <c r="E71" s="72">
        <f t="shared" si="0"/>
        <v>32</v>
      </c>
      <c r="F71" s="72" t="str">
        <f>IFERROR(HLOOKUP(C71,Ingreso!$Q$8:$AD$9,2,FALSE),"v")</f>
        <v>Miércoles</v>
      </c>
      <c r="G71" s="65" t="str">
        <f>IFERROR(VLOOKUP(A71,Ingreso!K:P,6,FALSE),"no esta ingresado")</f>
        <v>Turno C</v>
      </c>
      <c r="H71" s="65">
        <f>IFERROR(IF('Informe Kelly'!H64=$A$2,'Informe Kelly'!F64,""),0)</f>
        <v>0.91819444444444442</v>
      </c>
      <c r="I71" s="65" t="str">
        <f>IFERROR(IF('Informe Kelly'!H64=$A$3,'Informe Kelly'!F64,""),0)</f>
        <v/>
      </c>
      <c r="J71" s="65" t="str">
        <f>IF(IFERROR(IF(E71=E70,0,(HLOOKUP(D71,Ingreso!$AN$10:$AT$260,VLOOKUP(A71,Ingreso!$AL$11:$AM$260,2,FALSE)))/24),0)=0,"",IFERROR(IF(E71=E70,0,(HLOOKUP(D71,Ingreso!$AN$10:$AT$260,VLOOKUP(A71,Ingreso!$AL$11:$AM$260,2,FALSE)))/24),0))</f>
        <v/>
      </c>
      <c r="K71" s="65" t="str">
        <f>IF(IFERROR(IF(E71=E70,0,(HLOOKUP(C71,Ingreso!$AW$10:$BC$260,VLOOKUP(A71,Ingreso!$AL$11:$AM$260,2,FALSE)))/24),0)=0,"",IFERROR(IF(E71=E70,0,(HLOOKUP(C71,Ingreso!$AW$10:$BC$260,VLOOKUP(A71,Ingreso!$AL$11:$AM$260,2,FALSE)))/24),0))</f>
        <v/>
      </c>
      <c r="L71" s="63">
        <f t="shared" si="1"/>
        <v>0.375</v>
      </c>
      <c r="M71" s="63" t="str">
        <f>IF(IFERROR(IF(C71=C69,0,IF(E71=E70,0,IF(C71=$R$2,HLOOKUP($R$2,Ingreso!$AW$10:$BC$260,VLOOKUP(A71,Ingreso!AL:AM,2,FALSE),FALSE)/24,""))),"")=0,"",IFERROR(IF(C71=C69,0,IF(E71=E70,0,IF(C71=$R$2,HLOOKUP($R$2,Ingreso!$AW$10:$BC$260,VLOOKUP(A71,Ingreso!AL:AM,2,FALSE),FALSE)/24,""))),""))</f>
        <v/>
      </c>
      <c r="N71" s="95" t="str">
        <f>IF(IFERROR(IF(C71=C69,0,IF(E71=E70,0,IF(C71=$R$3,HLOOKUP($R$3,Ingreso!$AW$10:$BC$260,VLOOKUP(A71,Ingreso!AL:AM,2,FALSE),FALSE)/24,""))),"")=0,"",IFERROR(IF(C71=C69,0,IF(E71=E70,0,IF(C71=$R$3,HLOOKUP($R$3,Ingreso!$AW$10:$BC$260,VLOOKUP(A71,Ingreso!AL:AM,2,FALSE),FALSE)/24,""))),""))</f>
        <v/>
      </c>
      <c r="O71" s="95" t="str">
        <f>IF(IFERROR(IF(C71=C69,0,IF(E71=E70,0,IF(C71=$R$4,HLOOKUP($R$4,Ingreso!$AW$10:$BC$260,VLOOKUP(A71,Ingreso!AL:AM,2,FALSE),FALSE)/24,""))),"")=0,"",IFERROR(IF(C71=C69,0,IF(E71=E70,0,IF(C71=$R$4,HLOOKUP($R$4,Ingreso!$AW$10:$BC$260,VLOOKUP(A71,Ingreso!AL:AM,2,FALSE),FALSE)/24,""))),""))</f>
        <v/>
      </c>
      <c r="P71" s="90"/>
      <c r="T71" t="s">
        <v>1423</v>
      </c>
      <c r="U71" t="s">
        <v>4</v>
      </c>
      <c r="V71" t="s">
        <v>1398</v>
      </c>
      <c r="W71" s="82">
        <v>78</v>
      </c>
      <c r="X71" s="71">
        <v>0.3125</v>
      </c>
      <c r="Y71" s="101">
        <v>0.29468749999999999</v>
      </c>
      <c r="Z71" s="101">
        <v>0.63606481481481481</v>
      </c>
      <c r="AA71" s="101">
        <v>0.34137731481481481</v>
      </c>
      <c r="AB71" s="101">
        <v>2.8877314814814814E-2</v>
      </c>
      <c r="AC71" s="105">
        <v>0</v>
      </c>
      <c r="AD71" s="105">
        <v>0</v>
      </c>
      <c r="AE71" s="93">
        <v>0</v>
      </c>
      <c r="AF71" s="93">
        <v>0</v>
      </c>
      <c r="AG71" s="93">
        <v>0</v>
      </c>
    </row>
    <row r="72" spans="1:33">
      <c r="A72" s="65" t="str">
        <f>IFERROR(VLOOKUP('Informe Kelly'!A65,Base!A:B,2,FALSE),"")</f>
        <v>07.721.223-K</v>
      </c>
      <c r="B72" s="65" t="str">
        <f>IFERROR(VLOOKUP('Informe Kelly'!A65,Base!A:G,7,FALSE),"")</f>
        <v xml:space="preserve">QUIROZ VENEGAS JOSE MANUEL </v>
      </c>
      <c r="C72" s="69" t="str">
        <f>IF(G72=$C$4,IF('Informe Kelly'!H65='Control informe Kelly'!$A$2,TEXT(((LEFT('Informe Kelly'!E65,2)*1)+1),"dd")&amp;"."&amp;MID('Informe Kelly'!E65,4,2)&amp;"."&amp;RIGHT('Informe Kelly'!E65,4),'Informe Kelly'!E65),'Informe Kelly'!E65)</f>
        <v>13.04.2011</v>
      </c>
      <c r="D72" s="69" t="str">
        <f>IF('Informe Kelly'!E65="","",'Informe Kelly'!E65)</f>
        <v>13.04.2011</v>
      </c>
      <c r="E72" s="72">
        <f t="shared" si="0"/>
        <v>32</v>
      </c>
      <c r="F72" s="72" t="str">
        <f>IFERROR(HLOOKUP(C72,Ingreso!$Q$8:$AD$9,2,FALSE),"v")</f>
        <v>Miércoles</v>
      </c>
      <c r="G72" s="65" t="str">
        <f>IFERROR(VLOOKUP(A72,Ingreso!K:P,6,FALSE),"no esta ingresado")</f>
        <v>Turno C</v>
      </c>
      <c r="H72" s="65" t="str">
        <f>IFERROR(IF('Informe Kelly'!H65=$A$2,'Informe Kelly'!F65,""),0)</f>
        <v/>
      </c>
      <c r="I72" s="65">
        <f>IFERROR(IF('Informe Kelly'!H65=$A$3,'Informe Kelly'!F65,""),0)</f>
        <v>0.31697916666666665</v>
      </c>
      <c r="J72" s="65" t="str">
        <f>IF(IFERROR(IF(E72=E71,0,(HLOOKUP(D72,Ingreso!$AN$10:$AT$260,VLOOKUP(A72,Ingreso!$AL$11:$AM$260,2,FALSE)))/24),0)=0,"",IFERROR(IF(E72=E71,0,(HLOOKUP(D72,Ingreso!$AN$10:$AT$260,VLOOKUP(A72,Ingreso!$AL$11:$AM$260,2,FALSE)))/24),0))</f>
        <v/>
      </c>
      <c r="K72" s="65" t="str">
        <f>IF(IFERROR(IF(E72=E71,0,(HLOOKUP(C72,Ingreso!$AW$10:$BC$260,VLOOKUP(A72,Ingreso!$AL$11:$AM$260,2,FALSE)))/24),0)=0,"",IFERROR(IF(E72=E71,0,(HLOOKUP(C72,Ingreso!$AW$10:$BC$260,VLOOKUP(A72,Ingreso!$AL$11:$AM$260,2,FALSE)))/24),0))</f>
        <v/>
      </c>
      <c r="L72" s="63">
        <f t="shared" si="1"/>
        <v>0</v>
      </c>
      <c r="M72" s="63" t="str">
        <f>IF(IFERROR(IF(C72=C70,0,IF(E72=E71,0,IF(C72=$R$2,HLOOKUP($R$2,Ingreso!$AW$10:$BC$260,VLOOKUP(A72,Ingreso!AL:AM,2,FALSE),FALSE)/24,""))),"")=0,"",IFERROR(IF(C72=C70,0,IF(E72=E71,0,IF(C72=$R$2,HLOOKUP($R$2,Ingreso!$AW$10:$BC$260,VLOOKUP(A72,Ingreso!AL:AM,2,FALSE),FALSE)/24,""))),""))</f>
        <v/>
      </c>
      <c r="N72" s="95" t="str">
        <f>IF(IFERROR(IF(C72=C70,0,IF(E72=E71,0,IF(C72=$R$3,HLOOKUP($R$3,Ingreso!$AW$10:$BC$260,VLOOKUP(A72,Ingreso!AL:AM,2,FALSE),FALSE)/24,""))),"")=0,"",IFERROR(IF(C72=C70,0,IF(E72=E71,0,IF(C72=$R$3,HLOOKUP($R$3,Ingreso!$AW$10:$BC$260,VLOOKUP(A72,Ingreso!AL:AM,2,FALSE),FALSE)/24,""))),""))</f>
        <v/>
      </c>
      <c r="O72" s="95" t="str">
        <f>IF(IFERROR(IF(C72=C70,0,IF(E72=E71,0,IF(C72=$R$4,HLOOKUP($R$4,Ingreso!$AW$10:$BC$260,VLOOKUP(A72,Ingreso!AL:AM,2,FALSE),FALSE)/24,""))),"")=0,"",IFERROR(IF(C72=C70,0,IF(E72=E71,0,IF(C72=$R$4,HLOOKUP($R$4,Ingreso!$AW$10:$BC$260,VLOOKUP(A72,Ingreso!AL:AM,2,FALSE),FALSE)/24,""))),""))</f>
        <v/>
      </c>
      <c r="P72" s="90"/>
      <c r="T72" t="s">
        <v>1424</v>
      </c>
      <c r="U72" t="s">
        <v>4</v>
      </c>
      <c r="V72" t="s">
        <v>1399</v>
      </c>
      <c r="W72" s="82">
        <v>79</v>
      </c>
      <c r="X72" s="71">
        <v>0.3125</v>
      </c>
      <c r="Y72" s="101">
        <v>0.29421296296296295</v>
      </c>
      <c r="Z72" s="101">
        <v>0.65966435185185179</v>
      </c>
      <c r="AA72" s="101">
        <v>0.36545138888888884</v>
      </c>
      <c r="AB72" s="101">
        <v>5.295138888888884E-2</v>
      </c>
      <c r="AC72" s="105">
        <v>0</v>
      </c>
      <c r="AD72" s="105">
        <v>0</v>
      </c>
      <c r="AE72" s="93">
        <v>0</v>
      </c>
      <c r="AF72" s="93">
        <v>0</v>
      </c>
      <c r="AG72" s="93">
        <v>0</v>
      </c>
    </row>
    <row r="73" spans="1:33">
      <c r="A73" s="65" t="str">
        <f>IFERROR(VLOOKUP('Informe Kelly'!A66,Base!A:B,2,FALSE),"")</f>
        <v>07.721.223-K</v>
      </c>
      <c r="B73" s="65" t="str">
        <f>IFERROR(VLOOKUP('Informe Kelly'!A66,Base!A:G,7,FALSE),"")</f>
        <v xml:space="preserve">QUIROZ VENEGAS JOSE MANUEL </v>
      </c>
      <c r="C73" s="69" t="str">
        <f>IF(G73=$C$4,IF('Informe Kelly'!H66='Control informe Kelly'!$A$2,TEXT(((LEFT('Informe Kelly'!E66,2)*1)+1),"dd")&amp;"."&amp;MID('Informe Kelly'!E66,4,2)&amp;"."&amp;RIGHT('Informe Kelly'!E66,4),'Informe Kelly'!E66),'Informe Kelly'!E66)</f>
        <v>14.04.2011</v>
      </c>
      <c r="D73" s="69" t="str">
        <f>IF('Informe Kelly'!E66="","",'Informe Kelly'!E66)</f>
        <v>13.04.2011</v>
      </c>
      <c r="E73" s="72">
        <f t="shared" si="0"/>
        <v>33</v>
      </c>
      <c r="F73" s="72" t="str">
        <f>IFERROR(HLOOKUP(C73,Ingreso!$Q$8:$AD$9,2,FALSE),"v")</f>
        <v>Jueves</v>
      </c>
      <c r="G73" s="65" t="str">
        <f>IFERROR(VLOOKUP(A73,Ingreso!K:P,6,FALSE),"no esta ingresado")</f>
        <v>Turno C</v>
      </c>
      <c r="H73" s="65">
        <f>IFERROR(IF('Informe Kelly'!H66=$A$2,'Informe Kelly'!F66,""),0)</f>
        <v>0.91810185185185178</v>
      </c>
      <c r="I73" s="65" t="str">
        <f>IFERROR(IF('Informe Kelly'!H66=$A$3,'Informe Kelly'!F66,""),0)</f>
        <v/>
      </c>
      <c r="J73" s="65" t="str">
        <f>IF(IFERROR(IF(E73=E72,0,(HLOOKUP(D73,Ingreso!$AN$10:$AT$260,VLOOKUP(A73,Ingreso!$AL$11:$AM$260,2,FALSE)))/24),0)=0,"",IFERROR(IF(E73=E72,0,(HLOOKUP(D73,Ingreso!$AN$10:$AT$260,VLOOKUP(A73,Ingreso!$AL$11:$AM$260,2,FALSE)))/24),0))</f>
        <v/>
      </c>
      <c r="K73" s="65" t="str">
        <f>IF(IFERROR(IF(E73=E72,0,(HLOOKUP(C73,Ingreso!$AW$10:$BC$260,VLOOKUP(A73,Ingreso!$AL$11:$AM$260,2,FALSE)))/24),0)=0,"",IFERROR(IF(E73=E72,0,(HLOOKUP(C73,Ingreso!$AW$10:$BC$260,VLOOKUP(A73,Ingreso!$AL$11:$AM$260,2,FALSE)))/24),0))</f>
        <v/>
      </c>
      <c r="L73" s="63">
        <f t="shared" ref="L73:L136" si="2">IFERROR(IF(C73=C71,0,IF(E73=E72,0,(VLOOKUP(G73,$C$2:$D$5,2,FALSE)))),"")</f>
        <v>0.375</v>
      </c>
      <c r="M73" s="63" t="str">
        <f>IF(IFERROR(IF(C73=C71,0,IF(E73=E72,0,IF(C73=$R$2,HLOOKUP($R$2,Ingreso!$AW$10:$BC$260,VLOOKUP(A73,Ingreso!AL:AM,2,FALSE),FALSE)/24,""))),"")=0,"",IFERROR(IF(C73=C71,0,IF(E73=E72,0,IF(C73=$R$2,HLOOKUP($R$2,Ingreso!$AW$10:$BC$260,VLOOKUP(A73,Ingreso!AL:AM,2,FALSE),FALSE)/24,""))),""))</f>
        <v/>
      </c>
      <c r="N73" s="95" t="str">
        <f>IF(IFERROR(IF(C73=C71,0,IF(E73=E72,0,IF(C73=$R$3,HLOOKUP($R$3,Ingreso!$AW$10:$BC$260,VLOOKUP(A73,Ingreso!AL:AM,2,FALSE),FALSE)/24,""))),"")=0,"",IFERROR(IF(C73=C71,0,IF(E73=E72,0,IF(C73=$R$3,HLOOKUP($R$3,Ingreso!$AW$10:$BC$260,VLOOKUP(A73,Ingreso!AL:AM,2,FALSE),FALSE)/24,""))),""))</f>
        <v/>
      </c>
      <c r="O73" s="95" t="str">
        <f>IF(IFERROR(IF(C73=C71,0,IF(E73=E72,0,IF(C73=$R$4,HLOOKUP($R$4,Ingreso!$AW$10:$BC$260,VLOOKUP(A73,Ingreso!AL:AM,2,FALSE),FALSE)/24,""))),"")=0,"",IFERROR(IF(C73=C71,0,IF(E73=E72,0,IF(C73=$R$4,HLOOKUP($R$4,Ingreso!$AW$10:$BC$260,VLOOKUP(A73,Ingreso!AL:AM,2,FALSE),FALSE)/24,""))),""))</f>
        <v/>
      </c>
      <c r="P73" s="90"/>
      <c r="T73" t="s">
        <v>1425</v>
      </c>
      <c r="U73" t="s">
        <v>4</v>
      </c>
      <c r="V73" t="s">
        <v>1400</v>
      </c>
      <c r="W73" s="82">
        <v>80</v>
      </c>
      <c r="X73" s="71">
        <v>0.3125</v>
      </c>
      <c r="Y73" s="101">
        <v>0.29366898148148152</v>
      </c>
      <c r="Z73" s="101">
        <v>0.63605324074074077</v>
      </c>
      <c r="AA73" s="101">
        <v>0.34238425925925925</v>
      </c>
      <c r="AB73" s="101">
        <v>2.9884259259259249E-2</v>
      </c>
      <c r="AC73" s="105">
        <v>0</v>
      </c>
      <c r="AD73" s="105">
        <v>0</v>
      </c>
      <c r="AE73" s="93">
        <v>0</v>
      </c>
      <c r="AF73" s="93">
        <v>0</v>
      </c>
      <c r="AG73" s="93">
        <v>0</v>
      </c>
    </row>
    <row r="74" spans="1:33">
      <c r="A74" s="65" t="str">
        <f>IFERROR(VLOOKUP('Informe Kelly'!A67,Base!A:B,2,FALSE),"")</f>
        <v>07.721.223-K</v>
      </c>
      <c r="B74" s="65" t="str">
        <f>IFERROR(VLOOKUP('Informe Kelly'!A67,Base!A:G,7,FALSE),"")</f>
        <v xml:space="preserve">QUIROZ VENEGAS JOSE MANUEL </v>
      </c>
      <c r="C74" s="69" t="str">
        <f>IF(G74=$C$4,IF('Informe Kelly'!H67='Control informe Kelly'!$A$2,TEXT(((LEFT('Informe Kelly'!E67,2)*1)+1),"dd")&amp;"."&amp;MID('Informe Kelly'!E67,4,2)&amp;"."&amp;RIGHT('Informe Kelly'!E67,4),'Informe Kelly'!E67),'Informe Kelly'!E67)</f>
        <v>14.04.2011</v>
      </c>
      <c r="D74" s="69" t="str">
        <f>IF('Informe Kelly'!E67="","",'Informe Kelly'!E67)</f>
        <v>14.04.2011</v>
      </c>
      <c r="E74" s="72">
        <f t="shared" ref="E74:E137" si="3">IF(C73=C74,IF(C74=C71,E73,IF(C74=C72,E73+1,E73)),E73+1)</f>
        <v>33</v>
      </c>
      <c r="F74" s="72" t="str">
        <f>IFERROR(HLOOKUP(C74,Ingreso!$Q$8:$AD$9,2,FALSE),"v")</f>
        <v>Jueves</v>
      </c>
      <c r="G74" s="65" t="str">
        <f>IFERROR(VLOOKUP(A74,Ingreso!K:P,6,FALSE),"no esta ingresado")</f>
        <v>Turno C</v>
      </c>
      <c r="H74" s="65" t="str">
        <f>IFERROR(IF('Informe Kelly'!H67=$A$2,'Informe Kelly'!F67,""),0)</f>
        <v/>
      </c>
      <c r="I74" s="65">
        <f>IFERROR(IF('Informe Kelly'!H67=$A$3,'Informe Kelly'!F67,""),0)</f>
        <v>0.32002314814814814</v>
      </c>
      <c r="J74" s="65" t="str">
        <f>IF(IFERROR(IF(E74=E73,0,(HLOOKUP(D74,Ingreso!$AN$10:$AT$260,VLOOKUP(A74,Ingreso!$AL$11:$AM$260,2,FALSE)))/24),0)=0,"",IFERROR(IF(E74=E73,0,(HLOOKUP(D74,Ingreso!$AN$10:$AT$260,VLOOKUP(A74,Ingreso!$AL$11:$AM$260,2,FALSE)))/24),0))</f>
        <v/>
      </c>
      <c r="K74" s="65" t="str">
        <f>IF(IFERROR(IF(E74=E73,0,(HLOOKUP(C74,Ingreso!$AW$10:$BC$260,VLOOKUP(A74,Ingreso!$AL$11:$AM$260,2,FALSE)))/24),0)=0,"",IFERROR(IF(E74=E73,0,(HLOOKUP(C74,Ingreso!$AW$10:$BC$260,VLOOKUP(A74,Ingreso!$AL$11:$AM$260,2,FALSE)))/24),0))</f>
        <v/>
      </c>
      <c r="L74" s="63">
        <f t="shared" si="2"/>
        <v>0</v>
      </c>
      <c r="M74" s="63" t="str">
        <f>IF(IFERROR(IF(C74=C72,0,IF(E74=E73,0,IF(C74=$R$2,HLOOKUP($R$2,Ingreso!$AW$10:$BC$260,VLOOKUP(A74,Ingreso!AL:AM,2,FALSE),FALSE)/24,""))),"")=0,"",IFERROR(IF(C74=C72,0,IF(E74=E73,0,IF(C74=$R$2,HLOOKUP($R$2,Ingreso!$AW$10:$BC$260,VLOOKUP(A74,Ingreso!AL:AM,2,FALSE),FALSE)/24,""))),""))</f>
        <v/>
      </c>
      <c r="N74" s="95" t="str">
        <f>IF(IFERROR(IF(C74=C72,0,IF(E74=E73,0,IF(C74=$R$3,HLOOKUP($R$3,Ingreso!$AW$10:$BC$260,VLOOKUP(A74,Ingreso!AL:AM,2,FALSE),FALSE)/24,""))),"")=0,"",IFERROR(IF(C74=C72,0,IF(E74=E73,0,IF(C74=$R$3,HLOOKUP($R$3,Ingreso!$AW$10:$BC$260,VLOOKUP(A74,Ingreso!AL:AM,2,FALSE),FALSE)/24,""))),""))</f>
        <v/>
      </c>
      <c r="O74" s="95" t="str">
        <f>IF(IFERROR(IF(C74=C72,0,IF(E74=E73,0,IF(C74=$R$4,HLOOKUP($R$4,Ingreso!$AW$10:$BC$260,VLOOKUP(A74,Ingreso!AL:AM,2,FALSE),FALSE)/24,""))),"")=0,"",IFERROR(IF(C74=C72,0,IF(E74=E73,0,IF(C74=$R$4,HLOOKUP($R$4,Ingreso!$AW$10:$BC$260,VLOOKUP(A74,Ingreso!AL:AM,2,FALSE),FALSE)/24,""))),""))</f>
        <v/>
      </c>
      <c r="P74" s="90"/>
      <c r="T74" t="s">
        <v>1426</v>
      </c>
      <c r="U74" t="s">
        <v>4</v>
      </c>
      <c r="V74" t="s">
        <v>1401</v>
      </c>
      <c r="W74" s="82">
        <v>81</v>
      </c>
      <c r="X74" s="71">
        <v>0.3125</v>
      </c>
      <c r="Y74" s="101">
        <v>0.29487268518518517</v>
      </c>
      <c r="Z74" s="101">
        <v>0.63863425925925921</v>
      </c>
      <c r="AA74" s="101">
        <v>0.34376157407407404</v>
      </c>
      <c r="AB74" s="101">
        <v>3.1261574074074039E-2</v>
      </c>
      <c r="AC74" s="105">
        <v>0</v>
      </c>
      <c r="AD74" s="105">
        <v>0</v>
      </c>
      <c r="AE74" s="93">
        <v>0</v>
      </c>
      <c r="AF74" s="93">
        <v>0</v>
      </c>
      <c r="AG74" s="93">
        <v>0</v>
      </c>
    </row>
    <row r="75" spans="1:33" ht="12.75" customHeight="1">
      <c r="A75" s="65" t="str">
        <f>IFERROR(VLOOKUP('Informe Kelly'!A68,Base!A:B,2,FALSE),"")</f>
        <v>07.721.223-K</v>
      </c>
      <c r="B75" s="65" t="str">
        <f>IFERROR(VLOOKUP('Informe Kelly'!A68,Base!A:G,7,FALSE),"")</f>
        <v xml:space="preserve">QUIROZ VENEGAS JOSE MANUEL </v>
      </c>
      <c r="C75" s="69" t="str">
        <f>IF(G75=$C$4,IF('Informe Kelly'!H68='Control informe Kelly'!$A$2,TEXT(((LEFT('Informe Kelly'!E68,2)*1)+1),"dd")&amp;"."&amp;MID('Informe Kelly'!E68,4,2)&amp;"."&amp;RIGHT('Informe Kelly'!E68,4),'Informe Kelly'!E68),'Informe Kelly'!E68)</f>
        <v>15.04.2011</v>
      </c>
      <c r="D75" s="69" t="str">
        <f>IF('Informe Kelly'!E68="","",'Informe Kelly'!E68)</f>
        <v>14.04.2011</v>
      </c>
      <c r="E75" s="72">
        <f t="shared" si="3"/>
        <v>34</v>
      </c>
      <c r="F75" s="72" t="str">
        <f>IFERROR(HLOOKUP(C75,Ingreso!$Q$8:$AD$9,2,FALSE),"v")</f>
        <v>Viernes</v>
      </c>
      <c r="G75" s="65" t="str">
        <f>IFERROR(VLOOKUP(A75,Ingreso!K:P,6,FALSE),"no esta ingresado")</f>
        <v>Turno C</v>
      </c>
      <c r="H75" s="65">
        <f>IFERROR(IF('Informe Kelly'!H68=$A$2,'Informe Kelly'!F68,""),0)</f>
        <v>0.91947916666666663</v>
      </c>
      <c r="I75" s="65" t="str">
        <f>IFERROR(IF('Informe Kelly'!H68=$A$3,'Informe Kelly'!F68,""),0)</f>
        <v/>
      </c>
      <c r="J75" s="65" t="str">
        <f>IF(IFERROR(IF(E75=E74,0,(HLOOKUP(D75,Ingreso!$AN$10:$AT$260,VLOOKUP(A75,Ingreso!$AL$11:$AM$260,2,FALSE)))/24),0)=0,"",IFERROR(IF(E75=E74,0,(HLOOKUP(D75,Ingreso!$AN$10:$AT$260,VLOOKUP(A75,Ingreso!$AL$11:$AM$260,2,FALSE)))/24),0))</f>
        <v/>
      </c>
      <c r="K75" s="65" t="str">
        <f>IF(IFERROR(IF(E75=E74,0,(HLOOKUP(C75,Ingreso!$AW$10:$BC$260,VLOOKUP(A75,Ingreso!$AL$11:$AM$260,2,FALSE)))/24),0)=0,"",IFERROR(IF(E75=E74,0,(HLOOKUP(C75,Ingreso!$AW$10:$BC$260,VLOOKUP(A75,Ingreso!$AL$11:$AM$260,2,FALSE)))/24),0))</f>
        <v/>
      </c>
      <c r="L75" s="63">
        <f t="shared" si="2"/>
        <v>0.375</v>
      </c>
      <c r="M75" s="63" t="str">
        <f>IF(IFERROR(IF(C75=C73,0,IF(E75=E74,0,IF(C75=$R$2,HLOOKUP($R$2,Ingreso!$AW$10:$BC$260,VLOOKUP(A75,Ingreso!AL:AM,2,FALSE),FALSE)/24,""))),"")=0,"",IFERROR(IF(C75=C73,0,IF(E75=E74,0,IF(C75=$R$2,HLOOKUP($R$2,Ingreso!$AW$10:$BC$260,VLOOKUP(A75,Ingreso!AL:AM,2,FALSE),FALSE)/24,""))),""))</f>
        <v/>
      </c>
      <c r="N75" s="95" t="str">
        <f>IF(IFERROR(IF(C75=C73,0,IF(E75=E74,0,IF(C75=$R$3,HLOOKUP($R$3,Ingreso!$AW$10:$BC$260,VLOOKUP(A75,Ingreso!AL:AM,2,FALSE),FALSE)/24,""))),"")=0,"",IFERROR(IF(C75=C73,0,IF(E75=E74,0,IF(C75=$R$3,HLOOKUP($R$3,Ingreso!$AW$10:$BC$260,VLOOKUP(A75,Ingreso!AL:AM,2,FALSE),FALSE)/24,""))),""))</f>
        <v/>
      </c>
      <c r="O75" s="95" t="str">
        <f>IF(IFERROR(IF(C75=C73,0,IF(E75=E74,0,IF(C75=$R$4,HLOOKUP($R$4,Ingreso!$AW$10:$BC$260,VLOOKUP(A75,Ingreso!AL:AM,2,FALSE),FALSE)/24,""))),"")=0,"",IFERROR(IF(C75=C73,0,IF(E75=E74,0,IF(C75=$R$4,HLOOKUP($R$4,Ingreso!$AW$10:$BC$260,VLOOKUP(A75,Ingreso!AL:AM,2,FALSE),FALSE)/24,""))),""))</f>
        <v/>
      </c>
      <c r="P75" s="90"/>
      <c r="T75" t="s">
        <v>1427</v>
      </c>
      <c r="U75" t="s">
        <v>4</v>
      </c>
      <c r="V75" t="s">
        <v>1402</v>
      </c>
      <c r="W75" s="82">
        <v>82</v>
      </c>
      <c r="X75" s="71">
        <v>0.3125</v>
      </c>
      <c r="Y75" s="101">
        <v>0.29378472222222224</v>
      </c>
      <c r="Z75" s="101">
        <v>0.65144675925925932</v>
      </c>
      <c r="AA75" s="101">
        <v>0.35766203703703708</v>
      </c>
      <c r="AB75" s="101">
        <v>4.5162037037037084E-2</v>
      </c>
      <c r="AC75" s="105">
        <v>0</v>
      </c>
      <c r="AD75" s="105">
        <v>0</v>
      </c>
      <c r="AE75" s="93">
        <v>0</v>
      </c>
      <c r="AF75" s="93">
        <v>0</v>
      </c>
      <c r="AG75" s="93">
        <v>0</v>
      </c>
    </row>
    <row r="76" spans="1:33">
      <c r="A76" s="65" t="str">
        <f>IFERROR(VLOOKUP('Informe Kelly'!A69,Base!A:B,2,FALSE),"")</f>
        <v>07.721.223-K</v>
      </c>
      <c r="B76" s="65" t="str">
        <f>IFERROR(VLOOKUP('Informe Kelly'!A69,Base!A:G,7,FALSE),"")</f>
        <v xml:space="preserve">QUIROZ VENEGAS JOSE MANUEL </v>
      </c>
      <c r="C76" s="69" t="str">
        <f>IF(G76=$C$4,IF('Informe Kelly'!H69='Control informe Kelly'!$A$2,TEXT(((LEFT('Informe Kelly'!E69,2)*1)+1),"dd")&amp;"."&amp;MID('Informe Kelly'!E69,4,2)&amp;"."&amp;RIGHT('Informe Kelly'!E69,4),'Informe Kelly'!E69),'Informe Kelly'!E69)</f>
        <v>15.04.2011</v>
      </c>
      <c r="D76" s="69" t="str">
        <f>IF('Informe Kelly'!E69="","",'Informe Kelly'!E69)</f>
        <v>15.04.2011</v>
      </c>
      <c r="E76" s="72">
        <f t="shared" si="3"/>
        <v>34</v>
      </c>
      <c r="F76" s="72" t="str">
        <f>IFERROR(HLOOKUP(C76,Ingreso!$Q$8:$AD$9,2,FALSE),"v")</f>
        <v>Viernes</v>
      </c>
      <c r="G76" s="65" t="str">
        <f>IFERROR(VLOOKUP(A76,Ingreso!K:P,6,FALSE),"no esta ingresado")</f>
        <v>Turno C</v>
      </c>
      <c r="H76" s="65" t="str">
        <f>IFERROR(IF('Informe Kelly'!H69=$A$2,'Informe Kelly'!F69,""),0)</f>
        <v/>
      </c>
      <c r="I76" s="65">
        <f>IFERROR(IF('Informe Kelly'!H69=$A$3,'Informe Kelly'!F69,""),0)</f>
        <v>0.31730324074074073</v>
      </c>
      <c r="J76" s="65" t="str">
        <f>IF(IFERROR(IF(E76=E75,0,(HLOOKUP(D76,Ingreso!$AN$10:$AT$260,VLOOKUP(A76,Ingreso!$AL$11:$AM$260,2,FALSE)))/24),0)=0,"",IFERROR(IF(E76=E75,0,(HLOOKUP(D76,Ingreso!$AN$10:$AT$260,VLOOKUP(A76,Ingreso!$AL$11:$AM$260,2,FALSE)))/24),0))</f>
        <v/>
      </c>
      <c r="K76" s="65" t="str">
        <f>IF(IFERROR(IF(E76=E75,0,(HLOOKUP(C76,Ingreso!$AW$10:$BC$260,VLOOKUP(A76,Ingreso!$AL$11:$AM$260,2,FALSE)))/24),0)=0,"",IFERROR(IF(E76=E75,0,(HLOOKUP(C76,Ingreso!$AW$10:$BC$260,VLOOKUP(A76,Ingreso!$AL$11:$AM$260,2,FALSE)))/24),0))</f>
        <v/>
      </c>
      <c r="L76" s="63">
        <f t="shared" si="2"/>
        <v>0</v>
      </c>
      <c r="M76" s="63" t="str">
        <f>IF(IFERROR(IF(C76=C74,0,IF(E76=E75,0,IF(C76=$R$2,HLOOKUP($R$2,Ingreso!$AW$10:$BC$260,VLOOKUP(A76,Ingreso!AL:AM,2,FALSE),FALSE)/24,""))),"")=0,"",IFERROR(IF(C76=C74,0,IF(E76=E75,0,IF(C76=$R$2,HLOOKUP($R$2,Ingreso!$AW$10:$BC$260,VLOOKUP(A76,Ingreso!AL:AM,2,FALSE),FALSE)/24,""))),""))</f>
        <v/>
      </c>
      <c r="N76" s="95" t="str">
        <f>IF(IFERROR(IF(C76=C74,0,IF(E76=E75,0,IF(C76=$R$3,HLOOKUP($R$3,Ingreso!$AW$10:$BC$260,VLOOKUP(A76,Ingreso!AL:AM,2,FALSE),FALSE)/24,""))),"")=0,"",IFERROR(IF(C76=C74,0,IF(E76=E75,0,IF(C76=$R$3,HLOOKUP($R$3,Ingreso!$AW$10:$BC$260,VLOOKUP(A76,Ingreso!AL:AM,2,FALSE),FALSE)/24,""))),""))</f>
        <v/>
      </c>
      <c r="O76" s="95" t="str">
        <f>IF(IFERROR(IF(C76=C74,0,IF(E76=E75,0,IF(C76=$R$4,HLOOKUP($R$4,Ingreso!$AW$10:$BC$260,VLOOKUP(A76,Ingreso!AL:AM,2,FALSE),FALSE)/24,""))),"")=0,"",IFERROR(IF(C76=C74,0,IF(E76=E75,0,IF(C76=$R$4,HLOOKUP($R$4,Ingreso!$AW$10:$BC$260,VLOOKUP(A76,Ingreso!AL:AM,2,FALSE),FALSE)/24,""))),""))</f>
        <v/>
      </c>
      <c r="P76" s="90"/>
      <c r="T76" t="s">
        <v>1428</v>
      </c>
      <c r="U76" t="s">
        <v>4</v>
      </c>
      <c r="V76" t="s">
        <v>1403</v>
      </c>
      <c r="W76" s="82">
        <v>83</v>
      </c>
      <c r="X76" s="71">
        <v>0.3125</v>
      </c>
      <c r="Y76" s="101">
        <v>0.99206018518518524</v>
      </c>
      <c r="Z76" s="101">
        <v>0</v>
      </c>
      <c r="AA76" s="101">
        <v>7.9398148148147607E-3</v>
      </c>
      <c r="AB76" s="101">
        <v>-0.30456018518518524</v>
      </c>
      <c r="AC76" s="105">
        <v>0</v>
      </c>
      <c r="AD76" s="105">
        <v>0</v>
      </c>
      <c r="AE76" s="93">
        <v>0</v>
      </c>
      <c r="AF76" s="93">
        <v>0</v>
      </c>
      <c r="AG76" s="93">
        <v>0</v>
      </c>
    </row>
    <row r="77" spans="1:33">
      <c r="A77" s="65" t="str">
        <f>IFERROR(VLOOKUP('Informe Kelly'!A70,Base!A:B,2,FALSE),"")</f>
        <v>07.721.223-K</v>
      </c>
      <c r="B77" s="65" t="str">
        <f>IFERROR(VLOOKUP('Informe Kelly'!A70,Base!A:G,7,FALSE),"")</f>
        <v xml:space="preserve">QUIROZ VENEGAS JOSE MANUEL </v>
      </c>
      <c r="C77" s="69" t="str">
        <f>IF(G77=$C$4,IF('Informe Kelly'!H70='Control informe Kelly'!$A$2,TEXT(((LEFT('Informe Kelly'!E70,2)*1)+1),"dd")&amp;"."&amp;MID('Informe Kelly'!E70,4,2)&amp;"."&amp;RIGHT('Informe Kelly'!E70,4),'Informe Kelly'!E70),'Informe Kelly'!E70)</f>
        <v>16.04.2011</v>
      </c>
      <c r="D77" s="69" t="str">
        <f>IF('Informe Kelly'!E70="","",'Informe Kelly'!E70)</f>
        <v>15.04.2011</v>
      </c>
      <c r="E77" s="72">
        <f t="shared" si="3"/>
        <v>35</v>
      </c>
      <c r="F77" s="72" t="str">
        <f>IFERROR(HLOOKUP(C77,Ingreso!$Q$8:$AD$9,2,FALSE),"v")</f>
        <v>Sábado</v>
      </c>
      <c r="G77" s="65" t="str">
        <f>IFERROR(VLOOKUP(A77,Ingreso!K:P,6,FALSE),"no esta ingresado")</f>
        <v>Turno C</v>
      </c>
      <c r="H77" s="65">
        <f>IFERROR(IF('Informe Kelly'!H70=$A$2,'Informe Kelly'!F70,""),0)</f>
        <v>0.92180555555555566</v>
      </c>
      <c r="I77" s="65" t="str">
        <f>IFERROR(IF('Informe Kelly'!H70=$A$3,'Informe Kelly'!F70,""),0)</f>
        <v/>
      </c>
      <c r="J77" s="65" t="str">
        <f>IF(IFERROR(IF(E77=E76,0,(HLOOKUP(D77,Ingreso!$AN$10:$AT$260,VLOOKUP(A77,Ingreso!$AL$11:$AM$260,2,FALSE)))/24),0)=0,"",IFERROR(IF(E77=E76,0,(HLOOKUP(D77,Ingreso!$AN$10:$AT$260,VLOOKUP(A77,Ingreso!$AL$11:$AM$260,2,FALSE)))/24),0))</f>
        <v/>
      </c>
      <c r="K77" s="65" t="str">
        <f>IF(IFERROR(IF(E77=E76,0,(HLOOKUP(C77,Ingreso!$AW$10:$BC$260,VLOOKUP(A77,Ingreso!$AL$11:$AM$260,2,FALSE)))/24),0)=0,"",IFERROR(IF(E77=E76,0,(HLOOKUP(C77,Ingreso!$AW$10:$BC$260,VLOOKUP(A77,Ingreso!$AL$11:$AM$260,2,FALSE)))/24),0))</f>
        <v/>
      </c>
      <c r="L77" s="63">
        <f t="shared" si="2"/>
        <v>0.375</v>
      </c>
      <c r="M77" s="63" t="str">
        <f>IF(IFERROR(IF(C77=C75,0,IF(E77=E76,0,IF(C77=$R$2,HLOOKUP($R$2,Ingreso!$AW$10:$BC$260,VLOOKUP(A77,Ingreso!AL:AM,2,FALSE),FALSE)/24,""))),"")=0,"",IFERROR(IF(C77=C75,0,IF(E77=E76,0,IF(C77=$R$2,HLOOKUP($R$2,Ingreso!$AW$10:$BC$260,VLOOKUP(A77,Ingreso!AL:AM,2,FALSE),FALSE)/24,""))),""))</f>
        <v/>
      </c>
      <c r="N77" s="95" t="str">
        <f>IF(IFERROR(IF(C77=C75,0,IF(E77=E76,0,IF(C77=$R$3,HLOOKUP($R$3,Ingreso!$AW$10:$BC$260,VLOOKUP(A77,Ingreso!AL:AM,2,FALSE),FALSE)/24,""))),"")=0,"",IFERROR(IF(C77=C75,0,IF(E77=E76,0,IF(C77=$R$3,HLOOKUP($R$3,Ingreso!$AW$10:$BC$260,VLOOKUP(A77,Ingreso!AL:AM,2,FALSE),FALSE)/24,""))),""))</f>
        <v/>
      </c>
      <c r="O77" s="95" t="str">
        <f>IF(IFERROR(IF(C77=C75,0,IF(E77=E76,0,IF(C77=$R$4,HLOOKUP($R$4,Ingreso!$AW$10:$BC$260,VLOOKUP(A77,Ingreso!AL:AM,2,FALSE),FALSE)/24,""))),"")=0,"",IFERROR(IF(C77=C75,0,IF(E77=E76,0,IF(C77=$R$4,HLOOKUP($R$4,Ingreso!$AW$10:$BC$260,VLOOKUP(A77,Ingreso!AL:AM,2,FALSE),FALSE)/24,""))),""))</f>
        <v/>
      </c>
      <c r="P77" s="90"/>
      <c r="R77" t="s">
        <v>101</v>
      </c>
      <c r="S77" t="s">
        <v>105</v>
      </c>
      <c r="T77" t="s">
        <v>1420</v>
      </c>
      <c r="U77" t="s">
        <v>4</v>
      </c>
      <c r="V77" t="s">
        <v>1397</v>
      </c>
      <c r="W77" s="82">
        <v>84</v>
      </c>
      <c r="X77" s="71">
        <v>0.3125</v>
      </c>
      <c r="Y77" s="101">
        <v>0.29282407407407407</v>
      </c>
      <c r="Z77" s="101">
        <v>0.63289351851851849</v>
      </c>
      <c r="AA77" s="101">
        <v>0.34006944444444442</v>
      </c>
      <c r="AB77" s="101">
        <v>2.7569444444444424E-2</v>
      </c>
      <c r="AC77" s="105">
        <v>0</v>
      </c>
      <c r="AD77" s="105">
        <v>0</v>
      </c>
      <c r="AE77" s="93">
        <v>0</v>
      </c>
      <c r="AF77" s="93">
        <v>0</v>
      </c>
      <c r="AG77" s="93">
        <v>0</v>
      </c>
    </row>
    <row r="78" spans="1:33">
      <c r="A78" s="65" t="str">
        <f>IFERROR(VLOOKUP('Informe Kelly'!A71,Base!A:B,2,FALSE),"")</f>
        <v>07.721.223-K</v>
      </c>
      <c r="B78" s="65" t="str">
        <f>IFERROR(VLOOKUP('Informe Kelly'!A71,Base!A:G,7,FALSE),"")</f>
        <v xml:space="preserve">QUIROZ VENEGAS JOSE MANUEL </v>
      </c>
      <c r="C78" s="69" t="str">
        <f>IF(G78=$C$4,IF('Informe Kelly'!H71='Control informe Kelly'!$A$2,TEXT(((LEFT('Informe Kelly'!E71,2)*1)+1),"dd")&amp;"."&amp;MID('Informe Kelly'!E71,4,2)&amp;"."&amp;RIGHT('Informe Kelly'!E71,4),'Informe Kelly'!E71),'Informe Kelly'!E71)</f>
        <v>16.04.2011</v>
      </c>
      <c r="D78" s="69" t="str">
        <f>IF('Informe Kelly'!E71="","",'Informe Kelly'!E71)</f>
        <v>16.04.2011</v>
      </c>
      <c r="E78" s="72">
        <f t="shared" si="3"/>
        <v>35</v>
      </c>
      <c r="F78" s="72" t="str">
        <f>IFERROR(HLOOKUP(C78,Ingreso!$Q$8:$AD$9,2,FALSE),"v")</f>
        <v>Sábado</v>
      </c>
      <c r="G78" s="65" t="str">
        <f>IFERROR(VLOOKUP(A78,Ingreso!K:P,6,FALSE),"no esta ingresado")</f>
        <v>Turno C</v>
      </c>
      <c r="H78" s="65" t="str">
        <f>IFERROR(IF('Informe Kelly'!H71=$A$2,'Informe Kelly'!F71,""),0)</f>
        <v/>
      </c>
      <c r="I78" s="65">
        <f>IFERROR(IF('Informe Kelly'!H71=$A$3,'Informe Kelly'!F71,""),0)</f>
        <v>0.31568287037037041</v>
      </c>
      <c r="J78" s="65" t="str">
        <f>IF(IFERROR(IF(E78=E77,0,(HLOOKUP(D78,Ingreso!$AN$10:$AT$260,VLOOKUP(A78,Ingreso!$AL$11:$AM$260,2,FALSE)))/24),0)=0,"",IFERROR(IF(E78=E77,0,(HLOOKUP(D78,Ingreso!$AN$10:$AT$260,VLOOKUP(A78,Ingreso!$AL$11:$AM$260,2,FALSE)))/24),0))</f>
        <v/>
      </c>
      <c r="K78" s="65" t="str">
        <f>IF(IFERROR(IF(E78=E77,0,(HLOOKUP(C78,Ingreso!$AW$10:$BC$260,VLOOKUP(A78,Ingreso!$AL$11:$AM$260,2,FALSE)))/24),0)=0,"",IFERROR(IF(E78=E77,0,(HLOOKUP(C78,Ingreso!$AW$10:$BC$260,VLOOKUP(A78,Ingreso!$AL$11:$AM$260,2,FALSE)))/24),0))</f>
        <v/>
      </c>
      <c r="L78" s="63">
        <f t="shared" si="2"/>
        <v>0</v>
      </c>
      <c r="M78" s="63" t="str">
        <f>IF(IFERROR(IF(C78=C76,0,IF(E78=E77,0,IF(C78=$R$2,HLOOKUP($R$2,Ingreso!$AW$10:$BC$260,VLOOKUP(A78,Ingreso!AL:AM,2,FALSE),FALSE)/24,""))),"")=0,"",IFERROR(IF(C78=C76,0,IF(E78=E77,0,IF(C78=$R$2,HLOOKUP($R$2,Ingreso!$AW$10:$BC$260,VLOOKUP(A78,Ingreso!AL:AM,2,FALSE),FALSE)/24,""))),""))</f>
        <v/>
      </c>
      <c r="N78" s="95" t="str">
        <f>IF(IFERROR(IF(C78=C76,0,IF(E78=E77,0,IF(C78=$R$3,HLOOKUP($R$3,Ingreso!$AW$10:$BC$260,VLOOKUP(A78,Ingreso!AL:AM,2,FALSE),FALSE)/24,""))),"")=0,"",IFERROR(IF(C78=C76,0,IF(E78=E77,0,IF(C78=$R$3,HLOOKUP($R$3,Ingreso!$AW$10:$BC$260,VLOOKUP(A78,Ingreso!AL:AM,2,FALSE),FALSE)/24,""))),""))</f>
        <v/>
      </c>
      <c r="O78" s="95" t="str">
        <f>IF(IFERROR(IF(C78=C76,0,IF(E78=E77,0,IF(C78=$R$4,HLOOKUP($R$4,Ingreso!$AW$10:$BC$260,VLOOKUP(A78,Ingreso!AL:AM,2,FALSE),FALSE)/24,""))),"")=0,"",IFERROR(IF(C78=C76,0,IF(E78=E77,0,IF(C78=$R$4,HLOOKUP($R$4,Ingreso!$AW$10:$BC$260,VLOOKUP(A78,Ingreso!AL:AM,2,FALSE),FALSE)/24,""))),""))</f>
        <v/>
      </c>
      <c r="P78" s="90"/>
      <c r="T78" t="s">
        <v>1423</v>
      </c>
      <c r="U78" t="s">
        <v>4</v>
      </c>
      <c r="V78" t="s">
        <v>1398</v>
      </c>
      <c r="W78" s="82">
        <v>85</v>
      </c>
      <c r="X78" s="71">
        <v>0.3125</v>
      </c>
      <c r="Y78" s="101">
        <v>0.29243055555555558</v>
      </c>
      <c r="Z78" s="101">
        <v>0.72296296296296303</v>
      </c>
      <c r="AA78" s="101">
        <v>0.43053240740740745</v>
      </c>
      <c r="AB78" s="101">
        <v>0.11803240740740745</v>
      </c>
      <c r="AC78" s="105">
        <v>8.3333333333333329E-2</v>
      </c>
      <c r="AD78" s="105">
        <v>0</v>
      </c>
      <c r="AE78" s="93">
        <v>0</v>
      </c>
      <c r="AF78" s="93">
        <v>0</v>
      </c>
      <c r="AG78" s="93">
        <v>0</v>
      </c>
    </row>
    <row r="79" spans="1:33">
      <c r="A79" s="65" t="str">
        <f>IFERROR(VLOOKUP('Informe Kelly'!A72,Base!A:B,2,FALSE),"")</f>
        <v>07.760.886-9</v>
      </c>
      <c r="B79" s="65" t="str">
        <f>IFERROR(VLOOKUP('Informe Kelly'!A72,Base!A:G,7,FALSE),"")</f>
        <v>ALBORNOZ ROA OSCAR ALFREDO</v>
      </c>
      <c r="C79" s="69" t="str">
        <f>IF(G79=$C$4,IF('Informe Kelly'!H72='Control informe Kelly'!$A$2,TEXT(((LEFT('Informe Kelly'!E72,2)*1)+1),"dd")&amp;"."&amp;MID('Informe Kelly'!E72,4,2)&amp;"."&amp;RIGHT('Informe Kelly'!E72,4),'Informe Kelly'!E72),'Informe Kelly'!E72)</f>
        <v>11.04.2011</v>
      </c>
      <c r="D79" s="69" t="str">
        <f>IF('Informe Kelly'!E72="","",'Informe Kelly'!E72)</f>
        <v>11.04.2011</v>
      </c>
      <c r="E79" s="72">
        <f t="shared" si="3"/>
        <v>36</v>
      </c>
      <c r="F79" s="72" t="str">
        <f>IFERROR(HLOOKUP(C79,Ingreso!$Q$8:$AD$9,2,FALSE),"v")</f>
        <v>Lunes</v>
      </c>
      <c r="G79" s="65" t="str">
        <f>IFERROR(VLOOKUP(A79,Ingreso!K:P,6,FALSE),"no esta ingresado")</f>
        <v>Turno A</v>
      </c>
      <c r="H79" s="65" t="str">
        <f>IFERROR(IF('Informe Kelly'!H72=$A$2,'Informe Kelly'!F72,""),0)</f>
        <v/>
      </c>
      <c r="I79" s="65">
        <f>IFERROR(IF('Informe Kelly'!H72=$A$3,'Informe Kelly'!F72,""),0)</f>
        <v>0.81153935185185189</v>
      </c>
      <c r="J79" s="65">
        <f>IF(IFERROR(IF(E79=E78,0,(HLOOKUP(D79,Ingreso!$AN$10:$AT$260,VLOOKUP(A79,Ingreso!$AL$11:$AM$260,2,FALSE)))/24),0)=0,"",IFERROR(IF(E79=E78,0,(HLOOKUP(D79,Ingreso!$AN$10:$AT$260,VLOOKUP(A79,Ingreso!$AL$11:$AM$260,2,FALSE)))/24),0))</f>
        <v>8.3333333333333329E-2</v>
      </c>
      <c r="K79" s="65" t="str">
        <f>IF(IFERROR(IF(E79=E78,0,(HLOOKUP(C79,Ingreso!$AW$10:$BC$260,VLOOKUP(A79,Ingreso!$AL$11:$AM$260,2,FALSE)))/24),0)=0,"",IFERROR(IF(E79=E78,0,(HLOOKUP(C79,Ingreso!$AW$10:$BC$260,VLOOKUP(A79,Ingreso!$AL$11:$AM$260,2,FALSE)))/24),0))</f>
        <v/>
      </c>
      <c r="L79" s="63">
        <f t="shared" si="2"/>
        <v>0.3125</v>
      </c>
      <c r="M79" s="63" t="str">
        <f>IF(IFERROR(IF(C79=C77,0,IF(E79=E78,0,IF(C79=$R$2,HLOOKUP($R$2,Ingreso!$AW$10:$BC$260,VLOOKUP(A79,Ingreso!AL:AM,2,FALSE),FALSE)/24,""))),"")=0,"",IFERROR(IF(C79=C77,0,IF(E79=E78,0,IF(C79=$R$2,HLOOKUP($R$2,Ingreso!$AW$10:$BC$260,VLOOKUP(A79,Ingreso!AL:AM,2,FALSE),FALSE)/24,""))),""))</f>
        <v/>
      </c>
      <c r="N79" s="95" t="str">
        <f>IF(IFERROR(IF(C79=C77,0,IF(E79=E78,0,IF(C79=$R$3,HLOOKUP($R$3,Ingreso!$AW$10:$BC$260,VLOOKUP(A79,Ingreso!AL:AM,2,FALSE),FALSE)/24,""))),"")=0,"",IFERROR(IF(C79=C77,0,IF(E79=E78,0,IF(C79=$R$3,HLOOKUP($R$3,Ingreso!$AW$10:$BC$260,VLOOKUP(A79,Ingreso!AL:AM,2,FALSE),FALSE)/24,""))),""))</f>
        <v/>
      </c>
      <c r="O79" s="95" t="str">
        <f>IF(IFERROR(IF(C79=C77,0,IF(E79=E78,0,IF(C79=$R$4,HLOOKUP($R$4,Ingreso!$AW$10:$BC$260,VLOOKUP(A79,Ingreso!AL:AM,2,FALSE),FALSE)/24,""))),"")=0,"",IFERROR(IF(C79=C77,0,IF(E79=E78,0,IF(C79=$R$4,HLOOKUP($R$4,Ingreso!$AW$10:$BC$260,VLOOKUP(A79,Ingreso!AL:AM,2,FALSE),FALSE)/24,""))),""))</f>
        <v/>
      </c>
      <c r="P79" s="90"/>
      <c r="T79" t="s">
        <v>1424</v>
      </c>
      <c r="U79" t="s">
        <v>4</v>
      </c>
      <c r="V79" t="s">
        <v>1399</v>
      </c>
      <c r="W79" s="82">
        <v>86</v>
      </c>
      <c r="X79" s="71">
        <v>0.3125</v>
      </c>
      <c r="Y79" s="101">
        <v>0.30400462962962965</v>
      </c>
      <c r="Z79" s="101">
        <v>0.73630787037037038</v>
      </c>
      <c r="AA79" s="101">
        <v>0.43230324074074072</v>
      </c>
      <c r="AB79" s="101">
        <v>0.11980324074074072</v>
      </c>
      <c r="AC79" s="105">
        <v>8.3333333333333329E-2</v>
      </c>
      <c r="AD79" s="105">
        <v>0</v>
      </c>
      <c r="AE79" s="93">
        <v>0</v>
      </c>
      <c r="AF79" s="93">
        <v>0</v>
      </c>
      <c r="AG79" s="93">
        <v>0</v>
      </c>
    </row>
    <row r="80" spans="1:33">
      <c r="A80" s="65" t="str">
        <f>IFERROR(VLOOKUP('Informe Kelly'!A73,Base!A:B,2,FALSE),"")</f>
        <v>07.760.886-9</v>
      </c>
      <c r="B80" s="65" t="str">
        <f>IFERROR(VLOOKUP('Informe Kelly'!A73,Base!A:G,7,FALSE),"")</f>
        <v>ALBORNOZ ROA OSCAR ALFREDO</v>
      </c>
      <c r="C80" s="69" t="str">
        <f>IF(G80=$C$4,IF('Informe Kelly'!H73='Control informe Kelly'!$A$2,TEXT(((LEFT('Informe Kelly'!E73,2)*1)+1),"dd")&amp;"."&amp;MID('Informe Kelly'!E73,4,2)&amp;"."&amp;RIGHT('Informe Kelly'!E73,4),'Informe Kelly'!E73),'Informe Kelly'!E73)</f>
        <v>11.04.2011</v>
      </c>
      <c r="D80" s="69" t="str">
        <f>IF('Informe Kelly'!E73="","",'Informe Kelly'!E73)</f>
        <v>11.04.2011</v>
      </c>
      <c r="E80" s="72">
        <f t="shared" si="3"/>
        <v>36</v>
      </c>
      <c r="F80" s="72" t="str">
        <f>IFERROR(HLOOKUP(C80,Ingreso!$Q$8:$AD$9,2,FALSE),"v")</f>
        <v>Lunes</v>
      </c>
      <c r="G80" s="65" t="str">
        <f>IFERROR(VLOOKUP(A80,Ingreso!K:P,6,FALSE),"no esta ingresado")</f>
        <v>Turno A</v>
      </c>
      <c r="H80" s="65">
        <f>IFERROR(IF('Informe Kelly'!H73=$A$2,'Informe Kelly'!F73,""),0)</f>
        <v>0.30967592592592591</v>
      </c>
      <c r="I80" s="65" t="str">
        <f>IFERROR(IF('Informe Kelly'!H73=$A$3,'Informe Kelly'!F73,""),0)</f>
        <v/>
      </c>
      <c r="J80" s="65" t="str">
        <f>IF(IFERROR(IF(E80=E79,0,(HLOOKUP(D80,Ingreso!$AN$10:$AT$260,VLOOKUP(A80,Ingreso!$AL$11:$AM$260,2,FALSE)))/24),0)=0,"",IFERROR(IF(E80=E79,0,(HLOOKUP(D80,Ingreso!$AN$10:$AT$260,VLOOKUP(A80,Ingreso!$AL$11:$AM$260,2,FALSE)))/24),0))</f>
        <v/>
      </c>
      <c r="K80" s="65" t="str">
        <f>IF(IFERROR(IF(E80=E79,0,(HLOOKUP(C80,Ingreso!$AW$10:$BC$260,VLOOKUP(A80,Ingreso!$AL$11:$AM$260,2,FALSE)))/24),0)=0,"",IFERROR(IF(E80=E79,0,(HLOOKUP(C80,Ingreso!$AW$10:$BC$260,VLOOKUP(A80,Ingreso!$AL$11:$AM$260,2,FALSE)))/24),0))</f>
        <v/>
      </c>
      <c r="L80" s="63">
        <f t="shared" si="2"/>
        <v>0</v>
      </c>
      <c r="M80" s="63" t="str">
        <f>IF(IFERROR(IF(C80=C78,0,IF(E80=E79,0,IF(C80=$R$2,HLOOKUP($R$2,Ingreso!$AW$10:$BC$260,VLOOKUP(A80,Ingreso!AL:AM,2,FALSE),FALSE)/24,""))),"")=0,"",IFERROR(IF(C80=C78,0,IF(E80=E79,0,IF(C80=$R$2,HLOOKUP($R$2,Ingreso!$AW$10:$BC$260,VLOOKUP(A80,Ingreso!AL:AM,2,FALSE),FALSE)/24,""))),""))</f>
        <v/>
      </c>
      <c r="N80" s="95" t="str">
        <f>IF(IFERROR(IF(C80=C78,0,IF(E80=E79,0,IF(C80=$R$3,HLOOKUP($R$3,Ingreso!$AW$10:$BC$260,VLOOKUP(A80,Ingreso!AL:AM,2,FALSE),FALSE)/24,""))),"")=0,"",IFERROR(IF(C80=C78,0,IF(E80=E79,0,IF(C80=$R$3,HLOOKUP($R$3,Ingreso!$AW$10:$BC$260,VLOOKUP(A80,Ingreso!AL:AM,2,FALSE),FALSE)/24,""))),""))</f>
        <v/>
      </c>
      <c r="O80" s="95" t="str">
        <f>IF(IFERROR(IF(C80=C78,0,IF(E80=E79,0,IF(C80=$R$4,HLOOKUP($R$4,Ingreso!$AW$10:$BC$260,VLOOKUP(A80,Ingreso!AL:AM,2,FALSE),FALSE)/24,""))),"")=0,"",IFERROR(IF(C80=C78,0,IF(E80=E79,0,IF(C80=$R$4,HLOOKUP($R$4,Ingreso!$AW$10:$BC$260,VLOOKUP(A80,Ingreso!AL:AM,2,FALSE),FALSE)/24,""))),""))</f>
        <v/>
      </c>
      <c r="P80" s="90"/>
      <c r="T80" t="s">
        <v>1425</v>
      </c>
      <c r="U80" t="s">
        <v>4</v>
      </c>
      <c r="V80" t="s">
        <v>1400</v>
      </c>
      <c r="W80" s="82">
        <v>87</v>
      </c>
      <c r="X80" s="71">
        <v>0.3125</v>
      </c>
      <c r="Y80" s="101">
        <v>0.30226851851851849</v>
      </c>
      <c r="Z80" s="101">
        <v>0.73649305555555555</v>
      </c>
      <c r="AA80" s="101">
        <v>0.43422453703703706</v>
      </c>
      <c r="AB80" s="101">
        <v>0.12172453703703706</v>
      </c>
      <c r="AC80" s="105">
        <v>8.3333333333333329E-2</v>
      </c>
      <c r="AD80" s="105">
        <v>0</v>
      </c>
      <c r="AE80" s="93">
        <v>0</v>
      </c>
      <c r="AF80" s="93">
        <v>0</v>
      </c>
      <c r="AG80" s="93">
        <v>0</v>
      </c>
    </row>
    <row r="81" spans="1:33" ht="12.75" customHeight="1">
      <c r="A81" s="65" t="str">
        <f>IFERROR(VLOOKUP('Informe Kelly'!A74,Base!A:B,2,FALSE),"")</f>
        <v>07.760.886-9</v>
      </c>
      <c r="B81" s="65" t="str">
        <f>IFERROR(VLOOKUP('Informe Kelly'!A74,Base!A:G,7,FALSE),"")</f>
        <v>ALBORNOZ ROA OSCAR ALFREDO</v>
      </c>
      <c r="C81" s="69" t="str">
        <f>IF(G81=$C$4,IF('Informe Kelly'!H74='Control informe Kelly'!$A$2,TEXT(((LEFT('Informe Kelly'!E74,2)*1)+1),"dd")&amp;"."&amp;MID('Informe Kelly'!E74,4,2)&amp;"."&amp;RIGHT('Informe Kelly'!E74,4),'Informe Kelly'!E74),'Informe Kelly'!E74)</f>
        <v>12.04.2011</v>
      </c>
      <c r="D81" s="69" t="str">
        <f>IF('Informe Kelly'!E74="","",'Informe Kelly'!E74)</f>
        <v>12.04.2011</v>
      </c>
      <c r="E81" s="72">
        <f t="shared" si="3"/>
        <v>37</v>
      </c>
      <c r="F81" s="72" t="str">
        <f>IFERROR(HLOOKUP(C81,Ingreso!$Q$8:$AD$9,2,FALSE),"v")</f>
        <v>Martes</v>
      </c>
      <c r="G81" s="65" t="str">
        <f>IFERROR(VLOOKUP(A81,Ingreso!K:P,6,FALSE),"no esta ingresado")</f>
        <v>Turno A</v>
      </c>
      <c r="H81" s="65" t="str">
        <f>IFERROR(IF('Informe Kelly'!H74=$A$2,'Informe Kelly'!F74,""),0)</f>
        <v/>
      </c>
      <c r="I81" s="65">
        <f>IFERROR(IF('Informe Kelly'!H74=$A$3,'Informe Kelly'!F74,""),0)</f>
        <v>0.8143287037037038</v>
      </c>
      <c r="J81" s="65">
        <f>IF(IFERROR(IF(E81=E80,0,(HLOOKUP(D81,Ingreso!$AN$10:$AT$260,VLOOKUP(A81,Ingreso!$AL$11:$AM$260,2,FALSE)))/24),0)=0,"",IFERROR(IF(E81=E80,0,(HLOOKUP(D81,Ingreso!$AN$10:$AT$260,VLOOKUP(A81,Ingreso!$AL$11:$AM$260,2,FALSE)))/24),0))</f>
        <v>8.3333333333333329E-2</v>
      </c>
      <c r="K81" s="65" t="str">
        <f>IF(IFERROR(IF(E81=E80,0,(HLOOKUP(C81,Ingreso!$AW$10:$BC$260,VLOOKUP(A81,Ingreso!$AL$11:$AM$260,2,FALSE)))/24),0)=0,"",IFERROR(IF(E81=E80,0,(HLOOKUP(C81,Ingreso!$AW$10:$BC$260,VLOOKUP(A81,Ingreso!$AL$11:$AM$260,2,FALSE)))/24),0))</f>
        <v/>
      </c>
      <c r="L81" s="63">
        <f t="shared" si="2"/>
        <v>0.3125</v>
      </c>
      <c r="M81" s="63" t="str">
        <f>IF(IFERROR(IF(C81=C79,0,IF(E81=E80,0,IF(C81=$R$2,HLOOKUP($R$2,Ingreso!$AW$10:$BC$260,VLOOKUP(A81,Ingreso!AL:AM,2,FALSE),FALSE)/24,""))),"")=0,"",IFERROR(IF(C81=C79,0,IF(E81=E80,0,IF(C81=$R$2,HLOOKUP($R$2,Ingreso!$AW$10:$BC$260,VLOOKUP(A81,Ingreso!AL:AM,2,FALSE),FALSE)/24,""))),""))</f>
        <v/>
      </c>
      <c r="N81" s="95" t="str">
        <f>IF(IFERROR(IF(C81=C79,0,IF(E81=E80,0,IF(C81=$R$3,HLOOKUP($R$3,Ingreso!$AW$10:$BC$260,VLOOKUP(A81,Ingreso!AL:AM,2,FALSE),FALSE)/24,""))),"")=0,"",IFERROR(IF(C81=C79,0,IF(E81=E80,0,IF(C81=$R$3,HLOOKUP($R$3,Ingreso!$AW$10:$BC$260,VLOOKUP(A81,Ingreso!AL:AM,2,FALSE),FALSE)/24,""))),""))</f>
        <v/>
      </c>
      <c r="O81" s="95" t="str">
        <f>IF(IFERROR(IF(C81=C79,0,IF(E81=E80,0,IF(C81=$R$4,HLOOKUP($R$4,Ingreso!$AW$10:$BC$260,VLOOKUP(A81,Ingreso!AL:AM,2,FALSE),FALSE)/24,""))),"")=0,"",IFERROR(IF(C81=C79,0,IF(E81=E80,0,IF(C81=$R$4,HLOOKUP($R$4,Ingreso!$AW$10:$BC$260,VLOOKUP(A81,Ingreso!AL:AM,2,FALSE),FALSE)/24,""))),""))</f>
        <v/>
      </c>
      <c r="P81" s="90"/>
      <c r="T81" t="s">
        <v>1426</v>
      </c>
      <c r="U81" t="s">
        <v>4</v>
      </c>
      <c r="V81" t="s">
        <v>1401</v>
      </c>
      <c r="W81" s="82">
        <v>88</v>
      </c>
      <c r="X81" s="71">
        <v>0.3125</v>
      </c>
      <c r="Y81" s="101">
        <v>0.29395833333333332</v>
      </c>
      <c r="Z81" s="101">
        <v>0.72584490740740737</v>
      </c>
      <c r="AA81" s="101">
        <v>0.43188657407407405</v>
      </c>
      <c r="AB81" s="101">
        <v>0.11938657407407405</v>
      </c>
      <c r="AC81" s="105">
        <v>8.3333333333333329E-2</v>
      </c>
      <c r="AD81" s="105">
        <v>0</v>
      </c>
      <c r="AE81" s="93">
        <v>0</v>
      </c>
      <c r="AF81" s="93">
        <v>0</v>
      </c>
      <c r="AG81" s="93">
        <v>0</v>
      </c>
    </row>
    <row r="82" spans="1:33">
      <c r="A82" s="65" t="str">
        <f>IFERROR(VLOOKUP('Informe Kelly'!A75,Base!A:B,2,FALSE),"")</f>
        <v>07.760.886-9</v>
      </c>
      <c r="B82" s="65" t="str">
        <f>IFERROR(VLOOKUP('Informe Kelly'!A75,Base!A:G,7,FALSE),"")</f>
        <v>ALBORNOZ ROA OSCAR ALFREDO</v>
      </c>
      <c r="C82" s="69" t="str">
        <f>IF(G82=$C$4,IF('Informe Kelly'!H75='Control informe Kelly'!$A$2,TEXT(((LEFT('Informe Kelly'!E75,2)*1)+1),"dd")&amp;"."&amp;MID('Informe Kelly'!E75,4,2)&amp;"."&amp;RIGHT('Informe Kelly'!E75,4),'Informe Kelly'!E75),'Informe Kelly'!E75)</f>
        <v>12.04.2011</v>
      </c>
      <c r="D82" s="69" t="str">
        <f>IF('Informe Kelly'!E75="","",'Informe Kelly'!E75)</f>
        <v>12.04.2011</v>
      </c>
      <c r="E82" s="72">
        <f t="shared" si="3"/>
        <v>37</v>
      </c>
      <c r="F82" s="72" t="str">
        <f>IFERROR(HLOOKUP(C82,Ingreso!$Q$8:$AD$9,2,FALSE),"v")</f>
        <v>Martes</v>
      </c>
      <c r="G82" s="65" t="str">
        <f>IFERROR(VLOOKUP(A82,Ingreso!K:P,6,FALSE),"no esta ingresado")</f>
        <v>Turno A</v>
      </c>
      <c r="H82" s="65">
        <f>IFERROR(IF('Informe Kelly'!H75=$A$2,'Informe Kelly'!F75,""),0)</f>
        <v>0.31056712962962962</v>
      </c>
      <c r="I82" s="65" t="str">
        <f>IFERROR(IF('Informe Kelly'!H75=$A$3,'Informe Kelly'!F75,""),0)</f>
        <v/>
      </c>
      <c r="J82" s="65" t="str">
        <f>IF(IFERROR(IF(E82=E81,0,(HLOOKUP(D82,Ingreso!$AN$10:$AT$260,VLOOKUP(A82,Ingreso!$AL$11:$AM$260,2,FALSE)))/24),0)=0,"",IFERROR(IF(E82=E81,0,(HLOOKUP(D82,Ingreso!$AN$10:$AT$260,VLOOKUP(A82,Ingreso!$AL$11:$AM$260,2,FALSE)))/24),0))</f>
        <v/>
      </c>
      <c r="K82" s="65" t="str">
        <f>IF(IFERROR(IF(E82=E81,0,(HLOOKUP(C82,Ingreso!$AW$10:$BC$260,VLOOKUP(A82,Ingreso!$AL$11:$AM$260,2,FALSE)))/24),0)=0,"",IFERROR(IF(E82=E81,0,(HLOOKUP(C82,Ingreso!$AW$10:$BC$260,VLOOKUP(A82,Ingreso!$AL$11:$AM$260,2,FALSE)))/24),0))</f>
        <v/>
      </c>
      <c r="L82" s="63">
        <f t="shared" si="2"/>
        <v>0</v>
      </c>
      <c r="M82" s="63" t="str">
        <f>IF(IFERROR(IF(C82=C80,0,IF(E82=E81,0,IF(C82=$R$2,HLOOKUP($R$2,Ingreso!$AW$10:$BC$260,VLOOKUP(A82,Ingreso!AL:AM,2,FALSE),FALSE)/24,""))),"")=0,"",IFERROR(IF(C82=C80,0,IF(E82=E81,0,IF(C82=$R$2,HLOOKUP($R$2,Ingreso!$AW$10:$BC$260,VLOOKUP(A82,Ingreso!AL:AM,2,FALSE),FALSE)/24,""))),""))</f>
        <v/>
      </c>
      <c r="N82" s="95" t="str">
        <f>IF(IFERROR(IF(C82=C80,0,IF(E82=E81,0,IF(C82=$R$3,HLOOKUP($R$3,Ingreso!$AW$10:$BC$260,VLOOKUP(A82,Ingreso!AL:AM,2,FALSE),FALSE)/24,""))),"")=0,"",IFERROR(IF(C82=C80,0,IF(E82=E81,0,IF(C82=$R$3,HLOOKUP($R$3,Ingreso!$AW$10:$BC$260,VLOOKUP(A82,Ingreso!AL:AM,2,FALSE),FALSE)/24,""))),""))</f>
        <v/>
      </c>
      <c r="O82" s="95" t="str">
        <f>IF(IFERROR(IF(C82=C80,0,IF(E82=E81,0,IF(C82=$R$4,HLOOKUP($R$4,Ingreso!$AW$10:$BC$260,VLOOKUP(A82,Ingreso!AL:AM,2,FALSE),FALSE)/24,""))),"")=0,"",IFERROR(IF(C82=C80,0,IF(E82=E81,0,IF(C82=$R$4,HLOOKUP($R$4,Ingreso!$AW$10:$BC$260,VLOOKUP(A82,Ingreso!AL:AM,2,FALSE),FALSE)/24,""))),""))</f>
        <v/>
      </c>
      <c r="P82" s="90"/>
      <c r="T82" t="s">
        <v>1427</v>
      </c>
      <c r="U82" t="s">
        <v>4</v>
      </c>
      <c r="V82" t="s">
        <v>1402</v>
      </c>
      <c r="W82" s="82">
        <v>89</v>
      </c>
      <c r="X82" s="71">
        <v>0.3125</v>
      </c>
      <c r="Y82" s="101">
        <v>0.29325231481481479</v>
      </c>
      <c r="Z82" s="101">
        <v>0.63160879629629629</v>
      </c>
      <c r="AA82" s="101">
        <v>0.33835648148148151</v>
      </c>
      <c r="AB82" s="101">
        <v>2.5856481481481508E-2</v>
      </c>
      <c r="AC82" s="105">
        <v>0</v>
      </c>
      <c r="AD82" s="105">
        <v>0</v>
      </c>
      <c r="AE82" s="93">
        <v>0</v>
      </c>
      <c r="AF82" s="93">
        <v>0</v>
      </c>
      <c r="AG82" s="93">
        <v>0</v>
      </c>
    </row>
    <row r="83" spans="1:33">
      <c r="A83" s="65" t="str">
        <f>IFERROR(VLOOKUP('Informe Kelly'!A76,Base!A:B,2,FALSE),"")</f>
        <v>07.760.886-9</v>
      </c>
      <c r="B83" s="65" t="str">
        <f>IFERROR(VLOOKUP('Informe Kelly'!A76,Base!A:G,7,FALSE),"")</f>
        <v>ALBORNOZ ROA OSCAR ALFREDO</v>
      </c>
      <c r="C83" s="69" t="str">
        <f>IF(G83=$C$4,IF('Informe Kelly'!H76='Control informe Kelly'!$A$2,TEXT(((LEFT('Informe Kelly'!E76,2)*1)+1),"dd")&amp;"."&amp;MID('Informe Kelly'!E76,4,2)&amp;"."&amp;RIGHT('Informe Kelly'!E76,4),'Informe Kelly'!E76),'Informe Kelly'!E76)</f>
        <v>13.04.2011</v>
      </c>
      <c r="D83" s="69" t="str">
        <f>IF('Informe Kelly'!E76="","",'Informe Kelly'!E76)</f>
        <v>13.04.2011</v>
      </c>
      <c r="E83" s="72">
        <f t="shared" si="3"/>
        <v>38</v>
      </c>
      <c r="F83" s="72" t="str">
        <f>IFERROR(HLOOKUP(C83,Ingreso!$Q$8:$AD$9,2,FALSE),"v")</f>
        <v>Miércoles</v>
      </c>
      <c r="G83" s="65" t="str">
        <f>IFERROR(VLOOKUP(A83,Ingreso!K:P,6,FALSE),"no esta ingresado")</f>
        <v>Turno A</v>
      </c>
      <c r="H83" s="65" t="str">
        <f>IFERROR(IF('Informe Kelly'!H76=$A$2,'Informe Kelly'!F76,""),0)</f>
        <v/>
      </c>
      <c r="I83" s="65">
        <f>IFERROR(IF('Informe Kelly'!H76=$A$3,'Informe Kelly'!F76,""),0)</f>
        <v>0.80843750000000003</v>
      </c>
      <c r="J83" s="65">
        <f>IF(IFERROR(IF(E83=E82,0,(HLOOKUP(D83,Ingreso!$AN$10:$AT$260,VLOOKUP(A83,Ingreso!$AL$11:$AM$260,2,FALSE)))/24),0)=0,"",IFERROR(IF(E83=E82,0,(HLOOKUP(D83,Ingreso!$AN$10:$AT$260,VLOOKUP(A83,Ingreso!$AL$11:$AM$260,2,FALSE)))/24),0))</f>
        <v>8.3333333333333329E-2</v>
      </c>
      <c r="K83" s="65" t="str">
        <f>IF(IFERROR(IF(E83=E82,0,(HLOOKUP(C83,Ingreso!$AW$10:$BC$260,VLOOKUP(A83,Ingreso!$AL$11:$AM$260,2,FALSE)))/24),0)=0,"",IFERROR(IF(E83=E82,0,(HLOOKUP(C83,Ingreso!$AW$10:$BC$260,VLOOKUP(A83,Ingreso!$AL$11:$AM$260,2,FALSE)))/24),0))</f>
        <v/>
      </c>
      <c r="L83" s="63">
        <f t="shared" si="2"/>
        <v>0.3125</v>
      </c>
      <c r="M83" s="63" t="str">
        <f>IF(IFERROR(IF(C83=C81,0,IF(E83=E82,0,IF(C83=$R$2,HLOOKUP($R$2,Ingreso!$AW$10:$BC$260,VLOOKUP(A83,Ingreso!AL:AM,2,FALSE),FALSE)/24,""))),"")=0,"",IFERROR(IF(C83=C81,0,IF(E83=E82,0,IF(C83=$R$2,HLOOKUP($R$2,Ingreso!$AW$10:$BC$260,VLOOKUP(A83,Ingreso!AL:AM,2,FALSE),FALSE)/24,""))),""))</f>
        <v/>
      </c>
      <c r="N83" s="95" t="str">
        <f>IF(IFERROR(IF(C83=C81,0,IF(E83=E82,0,IF(C83=$R$3,HLOOKUP($R$3,Ingreso!$AW$10:$BC$260,VLOOKUP(A83,Ingreso!AL:AM,2,FALSE),FALSE)/24,""))),"")=0,"",IFERROR(IF(C83=C81,0,IF(E83=E82,0,IF(C83=$R$3,HLOOKUP($R$3,Ingreso!$AW$10:$BC$260,VLOOKUP(A83,Ingreso!AL:AM,2,FALSE),FALSE)/24,""))),""))</f>
        <v/>
      </c>
      <c r="O83" s="95" t="str">
        <f>IF(IFERROR(IF(C83=C81,0,IF(E83=E82,0,IF(C83=$R$4,HLOOKUP($R$4,Ingreso!$AW$10:$BC$260,VLOOKUP(A83,Ingreso!AL:AM,2,FALSE),FALSE)/24,""))),"")=0,"",IFERROR(IF(C83=C81,0,IF(E83=E82,0,IF(C83=$R$4,HLOOKUP($R$4,Ingreso!$AW$10:$BC$260,VLOOKUP(A83,Ingreso!AL:AM,2,FALSE),FALSE)/24,""))),""))</f>
        <v/>
      </c>
      <c r="P83" s="90"/>
      <c r="R83" t="s">
        <v>201</v>
      </c>
      <c r="S83" t="s">
        <v>205</v>
      </c>
      <c r="T83" t="s">
        <v>1420</v>
      </c>
      <c r="U83" t="s">
        <v>1322</v>
      </c>
      <c r="V83" t="s">
        <v>1397</v>
      </c>
      <c r="W83" s="82">
        <v>90</v>
      </c>
      <c r="X83" s="71">
        <v>0.3125</v>
      </c>
      <c r="Y83" s="101">
        <v>0.60760416666666661</v>
      </c>
      <c r="Z83" s="101">
        <v>0.94693287037037033</v>
      </c>
      <c r="AA83" s="101">
        <v>0.33932870370370372</v>
      </c>
      <c r="AB83" s="101">
        <v>2.6828703703703716E-2</v>
      </c>
      <c r="AC83" s="105">
        <v>0</v>
      </c>
      <c r="AD83" s="105">
        <v>0</v>
      </c>
      <c r="AE83" s="93">
        <v>0</v>
      </c>
      <c r="AF83" s="93">
        <v>0</v>
      </c>
      <c r="AG83" s="93">
        <v>0</v>
      </c>
    </row>
    <row r="84" spans="1:33">
      <c r="A84" s="65" t="str">
        <f>IFERROR(VLOOKUP('Informe Kelly'!A77,Base!A:B,2,FALSE),"")</f>
        <v>07.760.886-9</v>
      </c>
      <c r="B84" s="65" t="str">
        <f>IFERROR(VLOOKUP('Informe Kelly'!A77,Base!A:G,7,FALSE),"")</f>
        <v>ALBORNOZ ROA OSCAR ALFREDO</v>
      </c>
      <c r="C84" s="69" t="str">
        <f>IF(G84=$C$4,IF('Informe Kelly'!H77='Control informe Kelly'!$A$2,TEXT(((LEFT('Informe Kelly'!E77,2)*1)+1),"dd")&amp;"."&amp;MID('Informe Kelly'!E77,4,2)&amp;"."&amp;RIGHT('Informe Kelly'!E77,4),'Informe Kelly'!E77),'Informe Kelly'!E77)</f>
        <v>13.04.2011</v>
      </c>
      <c r="D84" s="69" t="str">
        <f>IF('Informe Kelly'!E77="","",'Informe Kelly'!E77)</f>
        <v>13.04.2011</v>
      </c>
      <c r="E84" s="72">
        <f t="shared" si="3"/>
        <v>38</v>
      </c>
      <c r="F84" s="72" t="str">
        <f>IFERROR(HLOOKUP(C84,Ingreso!$Q$8:$AD$9,2,FALSE),"v")</f>
        <v>Miércoles</v>
      </c>
      <c r="G84" s="65" t="str">
        <f>IFERROR(VLOOKUP(A84,Ingreso!K:P,6,FALSE),"no esta ingresado")</f>
        <v>Turno A</v>
      </c>
      <c r="H84" s="65">
        <f>IFERROR(IF('Informe Kelly'!H77=$A$2,'Informe Kelly'!F77,""),0)</f>
        <v>0.30584490740740738</v>
      </c>
      <c r="I84" s="65" t="str">
        <f>IFERROR(IF('Informe Kelly'!H77=$A$3,'Informe Kelly'!F77,""),0)</f>
        <v/>
      </c>
      <c r="J84" s="65" t="str">
        <f>IF(IFERROR(IF(E84=E83,0,(HLOOKUP(D84,Ingreso!$AN$10:$AT$260,VLOOKUP(A84,Ingreso!$AL$11:$AM$260,2,FALSE)))/24),0)=0,"",IFERROR(IF(E84=E83,0,(HLOOKUP(D84,Ingreso!$AN$10:$AT$260,VLOOKUP(A84,Ingreso!$AL$11:$AM$260,2,FALSE)))/24),0))</f>
        <v/>
      </c>
      <c r="K84" s="65" t="str">
        <f>IF(IFERROR(IF(E84=E83,0,(HLOOKUP(C84,Ingreso!$AW$10:$BC$260,VLOOKUP(A84,Ingreso!$AL$11:$AM$260,2,FALSE)))/24),0)=0,"",IFERROR(IF(E84=E83,0,(HLOOKUP(C84,Ingreso!$AW$10:$BC$260,VLOOKUP(A84,Ingreso!$AL$11:$AM$260,2,FALSE)))/24),0))</f>
        <v/>
      </c>
      <c r="L84" s="63">
        <f t="shared" si="2"/>
        <v>0</v>
      </c>
      <c r="M84" s="63" t="str">
        <f>IF(IFERROR(IF(C84=C82,0,IF(E84=E83,0,IF(C84=$R$2,HLOOKUP($R$2,Ingreso!$AW$10:$BC$260,VLOOKUP(A84,Ingreso!AL:AM,2,FALSE),FALSE)/24,""))),"")=0,"",IFERROR(IF(C84=C82,0,IF(E84=E83,0,IF(C84=$R$2,HLOOKUP($R$2,Ingreso!$AW$10:$BC$260,VLOOKUP(A84,Ingreso!AL:AM,2,FALSE),FALSE)/24,""))),""))</f>
        <v/>
      </c>
      <c r="N84" s="95" t="str">
        <f>IF(IFERROR(IF(C84=C82,0,IF(E84=E83,0,IF(C84=$R$3,HLOOKUP($R$3,Ingreso!$AW$10:$BC$260,VLOOKUP(A84,Ingreso!AL:AM,2,FALSE),FALSE)/24,""))),"")=0,"",IFERROR(IF(C84=C82,0,IF(E84=E83,0,IF(C84=$R$3,HLOOKUP($R$3,Ingreso!$AW$10:$BC$260,VLOOKUP(A84,Ingreso!AL:AM,2,FALSE),FALSE)/24,""))),""))</f>
        <v/>
      </c>
      <c r="O84" s="95" t="str">
        <f>IF(IFERROR(IF(C84=C82,0,IF(E84=E83,0,IF(C84=$R$4,HLOOKUP($R$4,Ingreso!$AW$10:$BC$260,VLOOKUP(A84,Ingreso!AL:AM,2,FALSE),FALSE)/24,""))),"")=0,"",IFERROR(IF(C84=C82,0,IF(E84=E83,0,IF(C84=$R$4,HLOOKUP($R$4,Ingreso!$AW$10:$BC$260,VLOOKUP(A84,Ingreso!AL:AM,2,FALSE),FALSE)/24,""))),""))</f>
        <v/>
      </c>
      <c r="P84" s="90"/>
      <c r="T84" t="s">
        <v>1423</v>
      </c>
      <c r="U84" t="s">
        <v>1322</v>
      </c>
      <c r="V84" t="s">
        <v>1398</v>
      </c>
      <c r="W84" s="82">
        <v>91</v>
      </c>
      <c r="X84" s="71">
        <v>0.3125</v>
      </c>
      <c r="Y84" s="101">
        <v>0.60501157407407413</v>
      </c>
      <c r="Z84" s="101">
        <v>0.94596064814814806</v>
      </c>
      <c r="AA84" s="101">
        <v>0.34094907407407393</v>
      </c>
      <c r="AB84" s="101">
        <v>2.8449074074073932E-2</v>
      </c>
      <c r="AC84" s="105">
        <v>0</v>
      </c>
      <c r="AD84" s="105">
        <v>0</v>
      </c>
      <c r="AE84" s="93">
        <v>0</v>
      </c>
      <c r="AF84" s="93">
        <v>0</v>
      </c>
      <c r="AG84" s="93">
        <v>0</v>
      </c>
    </row>
    <row r="85" spans="1:33">
      <c r="A85" s="65" t="str">
        <f>IFERROR(VLOOKUP('Informe Kelly'!A78,Base!A:B,2,FALSE),"")</f>
        <v>07.760.886-9</v>
      </c>
      <c r="B85" s="65" t="str">
        <f>IFERROR(VLOOKUP('Informe Kelly'!A78,Base!A:G,7,FALSE),"")</f>
        <v>ALBORNOZ ROA OSCAR ALFREDO</v>
      </c>
      <c r="C85" s="69" t="str">
        <f>IF(G85=$C$4,IF('Informe Kelly'!H78='Control informe Kelly'!$A$2,TEXT(((LEFT('Informe Kelly'!E78,2)*1)+1),"dd")&amp;"."&amp;MID('Informe Kelly'!E78,4,2)&amp;"."&amp;RIGHT('Informe Kelly'!E78,4),'Informe Kelly'!E78),'Informe Kelly'!E78)</f>
        <v>14.04.2011</v>
      </c>
      <c r="D85" s="69" t="str">
        <f>IF('Informe Kelly'!E78="","",'Informe Kelly'!E78)</f>
        <v>14.04.2011</v>
      </c>
      <c r="E85" s="72">
        <f t="shared" si="3"/>
        <v>39</v>
      </c>
      <c r="F85" s="72" t="str">
        <f>IFERROR(HLOOKUP(C85,Ingreso!$Q$8:$AD$9,2,FALSE),"v")</f>
        <v>Jueves</v>
      </c>
      <c r="G85" s="65" t="str">
        <f>IFERROR(VLOOKUP(A85,Ingreso!K:P,6,FALSE),"no esta ingresado")</f>
        <v>Turno A</v>
      </c>
      <c r="H85" s="65" t="str">
        <f>IFERROR(IF('Informe Kelly'!H78=$A$2,'Informe Kelly'!F78,""),0)</f>
        <v/>
      </c>
      <c r="I85" s="65">
        <f>IFERROR(IF('Informe Kelly'!H78=$A$3,'Informe Kelly'!F78,""),0)</f>
        <v>0.81135416666666671</v>
      </c>
      <c r="J85" s="65">
        <f>IF(IFERROR(IF(E85=E84,0,(HLOOKUP(D85,Ingreso!$AN$10:$AT$260,VLOOKUP(A85,Ingreso!$AL$11:$AM$260,2,FALSE)))/24),0)=0,"",IFERROR(IF(E85=E84,0,(HLOOKUP(D85,Ingreso!$AN$10:$AT$260,VLOOKUP(A85,Ingreso!$AL$11:$AM$260,2,FALSE)))/24),0))</f>
        <v>8.3333333333333329E-2</v>
      </c>
      <c r="K85" s="65" t="str">
        <f>IF(IFERROR(IF(E85=E84,0,(HLOOKUP(C85,Ingreso!$AW$10:$BC$260,VLOOKUP(A85,Ingreso!$AL$11:$AM$260,2,FALSE)))/24),0)=0,"",IFERROR(IF(E85=E84,0,(HLOOKUP(C85,Ingreso!$AW$10:$BC$260,VLOOKUP(A85,Ingreso!$AL$11:$AM$260,2,FALSE)))/24),0))</f>
        <v/>
      </c>
      <c r="L85" s="63">
        <f t="shared" si="2"/>
        <v>0.3125</v>
      </c>
      <c r="M85" s="63" t="str">
        <f>IF(IFERROR(IF(C85=C83,0,IF(E85=E84,0,IF(C85=$R$2,HLOOKUP($R$2,Ingreso!$AW$10:$BC$260,VLOOKUP(A85,Ingreso!AL:AM,2,FALSE),FALSE)/24,""))),"")=0,"",IFERROR(IF(C85=C83,0,IF(E85=E84,0,IF(C85=$R$2,HLOOKUP($R$2,Ingreso!$AW$10:$BC$260,VLOOKUP(A85,Ingreso!AL:AM,2,FALSE),FALSE)/24,""))),""))</f>
        <v/>
      </c>
      <c r="N85" s="95" t="str">
        <f>IF(IFERROR(IF(C85=C83,0,IF(E85=E84,0,IF(C85=$R$3,HLOOKUP($R$3,Ingreso!$AW$10:$BC$260,VLOOKUP(A85,Ingreso!AL:AM,2,FALSE),FALSE)/24,""))),"")=0,"",IFERROR(IF(C85=C83,0,IF(E85=E84,0,IF(C85=$R$3,HLOOKUP($R$3,Ingreso!$AW$10:$BC$260,VLOOKUP(A85,Ingreso!AL:AM,2,FALSE),FALSE)/24,""))),""))</f>
        <v/>
      </c>
      <c r="O85" s="95" t="str">
        <f>IF(IFERROR(IF(C85=C83,0,IF(E85=E84,0,IF(C85=$R$4,HLOOKUP($R$4,Ingreso!$AW$10:$BC$260,VLOOKUP(A85,Ingreso!AL:AM,2,FALSE),FALSE)/24,""))),"")=0,"",IFERROR(IF(C85=C83,0,IF(E85=E84,0,IF(C85=$R$4,HLOOKUP($R$4,Ingreso!$AW$10:$BC$260,VLOOKUP(A85,Ingreso!AL:AM,2,FALSE),FALSE)/24,""))),""))</f>
        <v/>
      </c>
      <c r="P85" s="90"/>
      <c r="T85" t="s">
        <v>1424</v>
      </c>
      <c r="U85" t="s">
        <v>1322</v>
      </c>
      <c r="V85" t="s">
        <v>1399</v>
      </c>
      <c r="W85" s="82">
        <v>92</v>
      </c>
      <c r="X85" s="71">
        <v>0.3125</v>
      </c>
      <c r="Y85" s="101">
        <v>0.60697916666666674</v>
      </c>
      <c r="Z85" s="101">
        <v>0.94532407407407415</v>
      </c>
      <c r="AA85" s="101">
        <v>0.33834490740740741</v>
      </c>
      <c r="AB85" s="101">
        <v>2.5844907407407414E-2</v>
      </c>
      <c r="AC85" s="105">
        <v>0</v>
      </c>
      <c r="AD85" s="105">
        <v>0</v>
      </c>
      <c r="AE85" s="93">
        <v>0</v>
      </c>
      <c r="AF85" s="93">
        <v>0</v>
      </c>
      <c r="AG85" s="93">
        <v>0</v>
      </c>
    </row>
    <row r="86" spans="1:33">
      <c r="A86" s="65" t="str">
        <f>IFERROR(VLOOKUP('Informe Kelly'!A79,Base!A:B,2,FALSE),"")</f>
        <v>07.760.886-9</v>
      </c>
      <c r="B86" s="65" t="str">
        <f>IFERROR(VLOOKUP('Informe Kelly'!A79,Base!A:G,7,FALSE),"")</f>
        <v>ALBORNOZ ROA OSCAR ALFREDO</v>
      </c>
      <c r="C86" s="69" t="str">
        <f>IF(G86=$C$4,IF('Informe Kelly'!H79='Control informe Kelly'!$A$2,TEXT(((LEFT('Informe Kelly'!E79,2)*1)+1),"dd")&amp;"."&amp;MID('Informe Kelly'!E79,4,2)&amp;"."&amp;RIGHT('Informe Kelly'!E79,4),'Informe Kelly'!E79),'Informe Kelly'!E79)</f>
        <v>14.04.2011</v>
      </c>
      <c r="D86" s="69" t="str">
        <f>IF('Informe Kelly'!E79="","",'Informe Kelly'!E79)</f>
        <v>14.04.2011</v>
      </c>
      <c r="E86" s="72">
        <f t="shared" si="3"/>
        <v>39</v>
      </c>
      <c r="F86" s="72" t="str">
        <f>IFERROR(HLOOKUP(C86,Ingreso!$Q$8:$AD$9,2,FALSE),"v")</f>
        <v>Jueves</v>
      </c>
      <c r="G86" s="65" t="str">
        <f>IFERROR(VLOOKUP(A86,Ingreso!K:P,6,FALSE),"no esta ingresado")</f>
        <v>Turno A</v>
      </c>
      <c r="H86" s="65">
        <f>IFERROR(IF('Informe Kelly'!H79=$A$2,'Informe Kelly'!F79,""),0)</f>
        <v>0.30701388888888886</v>
      </c>
      <c r="I86" s="65" t="str">
        <f>IFERROR(IF('Informe Kelly'!H79=$A$3,'Informe Kelly'!F79,""),0)</f>
        <v/>
      </c>
      <c r="J86" s="65" t="str">
        <f>IF(IFERROR(IF(E86=E85,0,(HLOOKUP(D86,Ingreso!$AN$10:$AT$260,VLOOKUP(A86,Ingreso!$AL$11:$AM$260,2,FALSE)))/24),0)=0,"",IFERROR(IF(E86=E85,0,(HLOOKUP(D86,Ingreso!$AN$10:$AT$260,VLOOKUP(A86,Ingreso!$AL$11:$AM$260,2,FALSE)))/24),0))</f>
        <v/>
      </c>
      <c r="K86" s="65" t="str">
        <f>IF(IFERROR(IF(E86=E85,0,(HLOOKUP(C86,Ingreso!$AW$10:$BC$260,VLOOKUP(A86,Ingreso!$AL$11:$AM$260,2,FALSE)))/24),0)=0,"",IFERROR(IF(E86=E85,0,(HLOOKUP(C86,Ingreso!$AW$10:$BC$260,VLOOKUP(A86,Ingreso!$AL$11:$AM$260,2,FALSE)))/24),0))</f>
        <v/>
      </c>
      <c r="L86" s="63">
        <f t="shared" si="2"/>
        <v>0</v>
      </c>
      <c r="M86" s="63" t="str">
        <f>IF(IFERROR(IF(C86=C84,0,IF(E86=E85,0,IF(C86=$R$2,HLOOKUP($R$2,Ingreso!$AW$10:$BC$260,VLOOKUP(A86,Ingreso!AL:AM,2,FALSE),FALSE)/24,""))),"")=0,"",IFERROR(IF(C86=C84,0,IF(E86=E85,0,IF(C86=$R$2,HLOOKUP($R$2,Ingreso!$AW$10:$BC$260,VLOOKUP(A86,Ingreso!AL:AM,2,FALSE),FALSE)/24,""))),""))</f>
        <v/>
      </c>
      <c r="N86" s="95" t="str">
        <f>IF(IFERROR(IF(C86=C84,0,IF(E86=E85,0,IF(C86=$R$3,HLOOKUP($R$3,Ingreso!$AW$10:$BC$260,VLOOKUP(A86,Ingreso!AL:AM,2,FALSE),FALSE)/24,""))),"")=0,"",IFERROR(IF(C86=C84,0,IF(E86=E85,0,IF(C86=$R$3,HLOOKUP($R$3,Ingreso!$AW$10:$BC$260,VLOOKUP(A86,Ingreso!AL:AM,2,FALSE),FALSE)/24,""))),""))</f>
        <v/>
      </c>
      <c r="O86" s="95" t="str">
        <f>IF(IFERROR(IF(C86=C84,0,IF(E86=E85,0,IF(C86=$R$4,HLOOKUP($R$4,Ingreso!$AW$10:$BC$260,VLOOKUP(A86,Ingreso!AL:AM,2,FALSE),FALSE)/24,""))),"")=0,"",IFERROR(IF(C86=C84,0,IF(E86=E85,0,IF(C86=$R$4,HLOOKUP($R$4,Ingreso!$AW$10:$BC$260,VLOOKUP(A86,Ingreso!AL:AM,2,FALSE),FALSE)/24,""))),""))</f>
        <v/>
      </c>
      <c r="P86" s="90"/>
      <c r="T86" t="s">
        <v>1425</v>
      </c>
      <c r="U86" t="s">
        <v>1322</v>
      </c>
      <c r="V86" t="s">
        <v>1400</v>
      </c>
      <c r="W86" s="82">
        <v>93</v>
      </c>
      <c r="X86" s="71">
        <v>0.3125</v>
      </c>
      <c r="Y86" s="101">
        <v>0.6069444444444444</v>
      </c>
      <c r="Z86" s="101">
        <v>0.94960648148148152</v>
      </c>
      <c r="AA86" s="101">
        <v>0.34266203703703713</v>
      </c>
      <c r="AB86" s="101">
        <v>3.0162037037037126E-2</v>
      </c>
      <c r="AC86" s="105">
        <v>0</v>
      </c>
      <c r="AD86" s="105">
        <v>0</v>
      </c>
      <c r="AE86" s="93">
        <v>0</v>
      </c>
      <c r="AF86" s="93">
        <v>0</v>
      </c>
      <c r="AG86" s="93">
        <v>0</v>
      </c>
    </row>
    <row r="87" spans="1:33">
      <c r="A87" s="65" t="str">
        <f>IFERROR(VLOOKUP('Informe Kelly'!A80,Base!A:B,2,FALSE),"")</f>
        <v>07.760.886-9</v>
      </c>
      <c r="B87" s="65" t="str">
        <f>IFERROR(VLOOKUP('Informe Kelly'!A80,Base!A:G,7,FALSE),"")</f>
        <v>ALBORNOZ ROA OSCAR ALFREDO</v>
      </c>
      <c r="C87" s="69" t="str">
        <f>IF(G87=$C$4,IF('Informe Kelly'!H80='Control informe Kelly'!$A$2,TEXT(((LEFT('Informe Kelly'!E80,2)*1)+1),"dd")&amp;"."&amp;MID('Informe Kelly'!E80,4,2)&amp;"."&amp;RIGHT('Informe Kelly'!E80,4),'Informe Kelly'!E80),'Informe Kelly'!E80)</f>
        <v>15.04.2011</v>
      </c>
      <c r="D87" s="69" t="str">
        <f>IF('Informe Kelly'!E80="","",'Informe Kelly'!E80)</f>
        <v>15.04.2011</v>
      </c>
      <c r="E87" s="72">
        <f t="shared" si="3"/>
        <v>40</v>
      </c>
      <c r="F87" s="72" t="str">
        <f>IFERROR(HLOOKUP(C87,Ingreso!$Q$8:$AD$9,2,FALSE),"v")</f>
        <v>Viernes</v>
      </c>
      <c r="G87" s="65" t="str">
        <f>IFERROR(VLOOKUP(A87,Ingreso!K:P,6,FALSE),"no esta ingresado")</f>
        <v>Turno A</v>
      </c>
      <c r="H87" s="65" t="str">
        <f>IFERROR(IF('Informe Kelly'!H80=$A$2,'Informe Kelly'!F80,""),0)</f>
        <v/>
      </c>
      <c r="I87" s="65">
        <f>IFERROR(IF('Informe Kelly'!H80=$A$3,'Informe Kelly'!F80,""),0)</f>
        <v>0.81001157407407398</v>
      </c>
      <c r="J87" s="65">
        <f>IF(IFERROR(IF(E87=E86,0,(HLOOKUP(D87,Ingreso!$AN$10:$AT$260,VLOOKUP(A87,Ingreso!$AL$11:$AM$260,2,FALSE)))/24),0)=0,"",IFERROR(IF(E87=E86,0,(HLOOKUP(D87,Ingreso!$AN$10:$AT$260,VLOOKUP(A87,Ingreso!$AL$11:$AM$260,2,FALSE)))/24),0))</f>
        <v>8.3333333333333329E-2</v>
      </c>
      <c r="K87" s="65" t="str">
        <f>IF(IFERROR(IF(E87=E86,0,(HLOOKUP(C87,Ingreso!$AW$10:$BC$260,VLOOKUP(A87,Ingreso!$AL$11:$AM$260,2,FALSE)))/24),0)=0,"",IFERROR(IF(E87=E86,0,(HLOOKUP(C87,Ingreso!$AW$10:$BC$260,VLOOKUP(A87,Ingreso!$AL$11:$AM$260,2,FALSE)))/24),0))</f>
        <v/>
      </c>
      <c r="L87" s="63">
        <f t="shared" si="2"/>
        <v>0.3125</v>
      </c>
      <c r="M87" s="63" t="str">
        <f>IF(IFERROR(IF(C87=C85,0,IF(E87=E86,0,IF(C87=$R$2,HLOOKUP($R$2,Ingreso!$AW$10:$BC$260,VLOOKUP(A87,Ingreso!AL:AM,2,FALSE),FALSE)/24,""))),"")=0,"",IFERROR(IF(C87=C85,0,IF(E87=E86,0,IF(C87=$R$2,HLOOKUP($R$2,Ingreso!$AW$10:$BC$260,VLOOKUP(A87,Ingreso!AL:AM,2,FALSE),FALSE)/24,""))),""))</f>
        <v/>
      </c>
      <c r="N87" s="95" t="str">
        <f>IF(IFERROR(IF(C87=C85,0,IF(E87=E86,0,IF(C87=$R$3,HLOOKUP($R$3,Ingreso!$AW$10:$BC$260,VLOOKUP(A87,Ingreso!AL:AM,2,FALSE),FALSE)/24,""))),"")=0,"",IFERROR(IF(C87=C85,0,IF(E87=E86,0,IF(C87=$R$3,HLOOKUP($R$3,Ingreso!$AW$10:$BC$260,VLOOKUP(A87,Ingreso!AL:AM,2,FALSE),FALSE)/24,""))),""))</f>
        <v/>
      </c>
      <c r="O87" s="95" t="str">
        <f>IF(IFERROR(IF(C87=C85,0,IF(E87=E86,0,IF(C87=$R$4,HLOOKUP($R$4,Ingreso!$AW$10:$BC$260,VLOOKUP(A87,Ingreso!AL:AM,2,FALSE),FALSE)/24,""))),"")=0,"",IFERROR(IF(C87=C85,0,IF(E87=E86,0,IF(C87=$R$4,HLOOKUP($R$4,Ingreso!$AW$10:$BC$260,VLOOKUP(A87,Ingreso!AL:AM,2,FALSE),FALSE)/24,""))),""))</f>
        <v/>
      </c>
      <c r="P87" s="90"/>
      <c r="T87" t="s">
        <v>1426</v>
      </c>
      <c r="U87" t="s">
        <v>1322</v>
      </c>
      <c r="V87" t="s">
        <v>1401</v>
      </c>
      <c r="W87" s="82">
        <v>94</v>
      </c>
      <c r="X87" s="71">
        <v>0.3125</v>
      </c>
      <c r="Y87" s="101">
        <v>0.6065625</v>
      </c>
      <c r="Z87" s="101">
        <v>0.94833333333333336</v>
      </c>
      <c r="AA87" s="101">
        <v>0.34177083333333336</v>
      </c>
      <c r="AB87" s="101">
        <v>2.9270833333333357E-2</v>
      </c>
      <c r="AC87" s="105">
        <v>0</v>
      </c>
      <c r="AD87" s="105">
        <v>0</v>
      </c>
      <c r="AE87" s="93">
        <v>0</v>
      </c>
      <c r="AF87" s="93">
        <v>0</v>
      </c>
      <c r="AG87" s="93">
        <v>0</v>
      </c>
    </row>
    <row r="88" spans="1:33">
      <c r="A88" s="65" t="str">
        <f>IFERROR(VLOOKUP('Informe Kelly'!A81,Base!A:B,2,FALSE),"")</f>
        <v>07.760.886-9</v>
      </c>
      <c r="B88" s="65" t="str">
        <f>IFERROR(VLOOKUP('Informe Kelly'!A81,Base!A:G,7,FALSE),"")</f>
        <v>ALBORNOZ ROA OSCAR ALFREDO</v>
      </c>
      <c r="C88" s="69" t="str">
        <f>IF(G88=$C$4,IF('Informe Kelly'!H81='Control informe Kelly'!$A$2,TEXT(((LEFT('Informe Kelly'!E81,2)*1)+1),"dd")&amp;"."&amp;MID('Informe Kelly'!E81,4,2)&amp;"."&amp;RIGHT('Informe Kelly'!E81,4),'Informe Kelly'!E81),'Informe Kelly'!E81)</f>
        <v>15.04.2011</v>
      </c>
      <c r="D88" s="69" t="str">
        <f>IF('Informe Kelly'!E81="","",'Informe Kelly'!E81)</f>
        <v>15.04.2011</v>
      </c>
      <c r="E88" s="72">
        <f t="shared" si="3"/>
        <v>40</v>
      </c>
      <c r="F88" s="72" t="str">
        <f>IFERROR(HLOOKUP(C88,Ingreso!$Q$8:$AD$9,2,FALSE),"v")</f>
        <v>Viernes</v>
      </c>
      <c r="G88" s="65" t="str">
        <f>IFERROR(VLOOKUP(A88,Ingreso!K:P,6,FALSE),"no esta ingresado")</f>
        <v>Turno A</v>
      </c>
      <c r="H88" s="65">
        <f>IFERROR(IF('Informe Kelly'!H81=$A$2,'Informe Kelly'!F81,""),0)</f>
        <v>0.30303240740740739</v>
      </c>
      <c r="I88" s="65" t="str">
        <f>IFERROR(IF('Informe Kelly'!H81=$A$3,'Informe Kelly'!F81,""),0)</f>
        <v/>
      </c>
      <c r="J88" s="65" t="str">
        <f>IF(IFERROR(IF(E88=E87,0,(HLOOKUP(D88,Ingreso!$AN$10:$AT$260,VLOOKUP(A88,Ingreso!$AL$11:$AM$260,2,FALSE)))/24),0)=0,"",IFERROR(IF(E88=E87,0,(HLOOKUP(D88,Ingreso!$AN$10:$AT$260,VLOOKUP(A88,Ingreso!$AL$11:$AM$260,2,FALSE)))/24),0))</f>
        <v/>
      </c>
      <c r="K88" s="65" t="str">
        <f>IF(IFERROR(IF(E88=E87,0,(HLOOKUP(C88,Ingreso!$AW$10:$BC$260,VLOOKUP(A88,Ingreso!$AL$11:$AM$260,2,FALSE)))/24),0)=0,"",IFERROR(IF(E88=E87,0,(HLOOKUP(C88,Ingreso!$AW$10:$BC$260,VLOOKUP(A88,Ingreso!$AL$11:$AM$260,2,FALSE)))/24),0))</f>
        <v/>
      </c>
      <c r="L88" s="63">
        <f t="shared" si="2"/>
        <v>0</v>
      </c>
      <c r="M88" s="63" t="str">
        <f>IF(IFERROR(IF(C88=C86,0,IF(E88=E87,0,IF(C88=$R$2,HLOOKUP($R$2,Ingreso!$AW$10:$BC$260,VLOOKUP(A88,Ingreso!AL:AM,2,FALSE),FALSE)/24,""))),"")=0,"",IFERROR(IF(C88=C86,0,IF(E88=E87,0,IF(C88=$R$2,HLOOKUP($R$2,Ingreso!$AW$10:$BC$260,VLOOKUP(A88,Ingreso!AL:AM,2,FALSE),FALSE)/24,""))),""))</f>
        <v/>
      </c>
      <c r="N88" s="95" t="str">
        <f>IF(IFERROR(IF(C88=C86,0,IF(E88=E87,0,IF(C88=$R$3,HLOOKUP($R$3,Ingreso!$AW$10:$BC$260,VLOOKUP(A88,Ingreso!AL:AM,2,FALSE),FALSE)/24,""))),"")=0,"",IFERROR(IF(C88=C86,0,IF(E88=E87,0,IF(C88=$R$3,HLOOKUP($R$3,Ingreso!$AW$10:$BC$260,VLOOKUP(A88,Ingreso!AL:AM,2,FALSE),FALSE)/24,""))),""))</f>
        <v/>
      </c>
      <c r="O88" s="95" t="str">
        <f>IF(IFERROR(IF(C88=C86,0,IF(E88=E87,0,IF(C88=$R$4,HLOOKUP($R$4,Ingreso!$AW$10:$BC$260,VLOOKUP(A88,Ingreso!AL:AM,2,FALSE),FALSE)/24,""))),"")=0,"",IFERROR(IF(C88=C86,0,IF(E88=E87,0,IF(C88=$R$4,HLOOKUP($R$4,Ingreso!$AW$10:$BC$260,VLOOKUP(A88,Ingreso!AL:AM,2,FALSE),FALSE)/24,""))),""))</f>
        <v/>
      </c>
      <c r="P88" s="90"/>
      <c r="T88" t="s">
        <v>1427</v>
      </c>
      <c r="U88" t="s">
        <v>1322</v>
      </c>
      <c r="V88" t="s">
        <v>1402</v>
      </c>
      <c r="W88" s="82">
        <v>95</v>
      </c>
      <c r="X88" s="71">
        <v>0.3125</v>
      </c>
      <c r="Y88" s="101">
        <v>0.61266203703703703</v>
      </c>
      <c r="Z88" s="101">
        <v>0.95027777777777767</v>
      </c>
      <c r="AA88" s="101">
        <v>0.33761574074074063</v>
      </c>
      <c r="AB88" s="101">
        <v>2.5115740740740633E-2</v>
      </c>
      <c r="AC88" s="105">
        <v>0</v>
      </c>
      <c r="AD88" s="105">
        <v>0</v>
      </c>
      <c r="AE88" s="93">
        <v>0</v>
      </c>
      <c r="AF88" s="93">
        <v>0</v>
      </c>
      <c r="AG88" s="93">
        <v>0</v>
      </c>
    </row>
    <row r="89" spans="1:33">
      <c r="A89" s="65" t="str">
        <f>IFERROR(VLOOKUP('Informe Kelly'!A82,Base!A:B,2,FALSE),"")</f>
        <v>07.815.607-4</v>
      </c>
      <c r="B89" s="65" t="str">
        <f>IFERROR(VLOOKUP('Informe Kelly'!A82,Base!A:G,7,FALSE),"")</f>
        <v>CUEVAS ORDENES PATRICIO HERNAN</v>
      </c>
      <c r="C89" s="69" t="str">
        <f>IF(G89=$C$4,IF('Informe Kelly'!H82='Control informe Kelly'!$A$2,TEXT(((LEFT('Informe Kelly'!E82,2)*1)+1),"dd")&amp;"."&amp;MID('Informe Kelly'!E82,4,2)&amp;"."&amp;RIGHT('Informe Kelly'!E82,4),'Informe Kelly'!E82),'Informe Kelly'!E82)</f>
        <v>11.04.2011</v>
      </c>
      <c r="D89" s="69" t="str">
        <f>IF('Informe Kelly'!E82="","",'Informe Kelly'!E82)</f>
        <v>11.04.2011</v>
      </c>
      <c r="E89" s="72">
        <f t="shared" si="3"/>
        <v>41</v>
      </c>
      <c r="F89" s="72" t="str">
        <f>IFERROR(HLOOKUP(C89,Ingreso!$Q$8:$AD$9,2,FALSE),"v")</f>
        <v>Lunes</v>
      </c>
      <c r="G89" s="65" t="str">
        <f>IFERROR(VLOOKUP(A89,Ingreso!K:P,6,FALSE),"no esta ingresado")</f>
        <v>Turno B</v>
      </c>
      <c r="H89" s="65" t="str">
        <f>IFERROR(IF('Informe Kelly'!H82=$A$2,'Informe Kelly'!F82,""),0)</f>
        <v/>
      </c>
      <c r="I89" s="65">
        <f>IFERROR(IF('Informe Kelly'!H82=$A$3,'Informe Kelly'!F82,""),0)</f>
        <v>0.63031249999999994</v>
      </c>
      <c r="J89" s="65" t="str">
        <f>IF(IFERROR(IF(E89=E88,0,(HLOOKUP(D89,Ingreso!$AN$10:$AT$260,VLOOKUP(A89,Ingreso!$AL$11:$AM$260,2,FALSE)))/24),0)=0,"",IFERROR(IF(E89=E88,0,(HLOOKUP(D89,Ingreso!$AN$10:$AT$260,VLOOKUP(A89,Ingreso!$AL$11:$AM$260,2,FALSE)))/24),0))</f>
        <v/>
      </c>
      <c r="K89" s="65" t="str">
        <f>IF(IFERROR(IF(E89=E88,0,(HLOOKUP(C89,Ingreso!$AW$10:$BC$260,VLOOKUP(A89,Ingreso!$AL$11:$AM$260,2,FALSE)))/24),0)=0,"",IFERROR(IF(E89=E88,0,(HLOOKUP(C89,Ingreso!$AW$10:$BC$260,VLOOKUP(A89,Ingreso!$AL$11:$AM$260,2,FALSE)))/24),0))</f>
        <v/>
      </c>
      <c r="L89" s="63">
        <f t="shared" si="2"/>
        <v>0.3125</v>
      </c>
      <c r="M89" s="63" t="str">
        <f>IF(IFERROR(IF(C89=C87,0,IF(E89=E88,0,IF(C89=$R$2,HLOOKUP($R$2,Ingreso!$AW$10:$BC$260,VLOOKUP(A89,Ingreso!AL:AM,2,FALSE),FALSE)/24,""))),"")=0,"",IFERROR(IF(C89=C87,0,IF(E89=E88,0,IF(C89=$R$2,HLOOKUP($R$2,Ingreso!$AW$10:$BC$260,VLOOKUP(A89,Ingreso!AL:AM,2,FALSE),FALSE)/24,""))),""))</f>
        <v/>
      </c>
      <c r="N89" s="95" t="str">
        <f>IF(IFERROR(IF(C89=C87,0,IF(E89=E88,0,IF(C89=$R$3,HLOOKUP($R$3,Ingreso!$AW$10:$BC$260,VLOOKUP(A89,Ingreso!AL:AM,2,FALSE),FALSE)/24,""))),"")=0,"",IFERROR(IF(C89=C87,0,IF(E89=E88,0,IF(C89=$R$3,HLOOKUP($R$3,Ingreso!$AW$10:$BC$260,VLOOKUP(A89,Ingreso!AL:AM,2,FALSE),FALSE)/24,""))),""))</f>
        <v/>
      </c>
      <c r="O89" s="95" t="str">
        <f>IF(IFERROR(IF(C89=C87,0,IF(E89=E88,0,IF(C89=$R$4,HLOOKUP($R$4,Ingreso!$AW$10:$BC$260,VLOOKUP(A89,Ingreso!AL:AM,2,FALSE),FALSE)/24,""))),"")=0,"",IFERROR(IF(C89=C87,0,IF(E89=E88,0,IF(C89=$R$4,HLOOKUP($R$4,Ingreso!$AW$10:$BC$260,VLOOKUP(A89,Ingreso!AL:AM,2,FALSE),FALSE)/24,""))),""))</f>
        <v/>
      </c>
      <c r="P89" s="90"/>
      <c r="R89" t="s">
        <v>230</v>
      </c>
      <c r="S89" t="s">
        <v>235</v>
      </c>
      <c r="T89" t="s">
        <v>1420</v>
      </c>
      <c r="U89" t="s">
        <v>1324</v>
      </c>
      <c r="V89" t="s">
        <v>1397</v>
      </c>
      <c r="W89" s="82">
        <v>96</v>
      </c>
      <c r="X89" s="71">
        <v>0.375</v>
      </c>
      <c r="Y89" s="101">
        <v>0</v>
      </c>
      <c r="Z89" s="101">
        <v>0.3216087962962963</v>
      </c>
      <c r="AA89" s="101">
        <v>0.3216087962962963</v>
      </c>
      <c r="AB89" s="101">
        <v>-5.3391203703703705E-2</v>
      </c>
      <c r="AC89" s="105">
        <v>0</v>
      </c>
      <c r="AD89" s="105">
        <v>0.3125</v>
      </c>
      <c r="AE89" s="93">
        <v>0.3125</v>
      </c>
      <c r="AF89" s="93">
        <v>0</v>
      </c>
      <c r="AG89" s="93">
        <v>0</v>
      </c>
    </row>
    <row r="90" spans="1:33">
      <c r="A90" s="65" t="str">
        <f>IFERROR(VLOOKUP('Informe Kelly'!A83,Base!A:B,2,FALSE),"")</f>
        <v>07.815.607-4</v>
      </c>
      <c r="B90" s="65" t="str">
        <f>IFERROR(VLOOKUP('Informe Kelly'!A83,Base!A:G,7,FALSE),"")</f>
        <v>CUEVAS ORDENES PATRICIO HERNAN</v>
      </c>
      <c r="C90" s="69" t="str">
        <f>IF(G90=$C$4,IF('Informe Kelly'!H83='Control informe Kelly'!$A$2,TEXT(((LEFT('Informe Kelly'!E83,2)*1)+1),"dd")&amp;"."&amp;MID('Informe Kelly'!E83,4,2)&amp;"."&amp;RIGHT('Informe Kelly'!E83,4),'Informe Kelly'!E83),'Informe Kelly'!E83)</f>
        <v>11.04.2011</v>
      </c>
      <c r="D90" s="69" t="str">
        <f>IF('Informe Kelly'!E83="","",'Informe Kelly'!E83)</f>
        <v>11.04.2011</v>
      </c>
      <c r="E90" s="72">
        <f t="shared" si="3"/>
        <v>41</v>
      </c>
      <c r="F90" s="72" t="str">
        <f>IFERROR(HLOOKUP(C90,Ingreso!$Q$8:$AD$9,2,FALSE),"v")</f>
        <v>Lunes</v>
      </c>
      <c r="G90" s="65" t="str">
        <f>IFERROR(VLOOKUP(A90,Ingreso!K:P,6,FALSE),"no esta ingresado")</f>
        <v>Turno B</v>
      </c>
      <c r="H90" s="65">
        <f>IFERROR(IF('Informe Kelly'!H83=$A$2,'Informe Kelly'!F83,""),0)</f>
        <v>0.28010416666666665</v>
      </c>
      <c r="I90" s="65" t="str">
        <f>IFERROR(IF('Informe Kelly'!H83=$A$3,'Informe Kelly'!F83,""),0)</f>
        <v/>
      </c>
      <c r="J90" s="65" t="str">
        <f>IF(IFERROR(IF(E90=E89,0,(HLOOKUP(D90,Ingreso!$AN$10:$AT$260,VLOOKUP(A90,Ingreso!$AL$11:$AM$260,2,FALSE)))/24),0)=0,"",IFERROR(IF(E90=E89,0,(HLOOKUP(D90,Ingreso!$AN$10:$AT$260,VLOOKUP(A90,Ingreso!$AL$11:$AM$260,2,FALSE)))/24),0))</f>
        <v/>
      </c>
      <c r="K90" s="65" t="str">
        <f>IF(IFERROR(IF(E90=E89,0,(HLOOKUP(C90,Ingreso!$AW$10:$BC$260,VLOOKUP(A90,Ingreso!$AL$11:$AM$260,2,FALSE)))/24),0)=0,"",IFERROR(IF(E90=E89,0,(HLOOKUP(C90,Ingreso!$AW$10:$BC$260,VLOOKUP(A90,Ingreso!$AL$11:$AM$260,2,FALSE)))/24),0))</f>
        <v/>
      </c>
      <c r="L90" s="63">
        <f t="shared" si="2"/>
        <v>0</v>
      </c>
      <c r="M90" s="63" t="str">
        <f>IF(IFERROR(IF(C90=C88,0,IF(E90=E89,0,IF(C90=$R$2,HLOOKUP($R$2,Ingreso!$AW$10:$BC$260,VLOOKUP(A90,Ingreso!AL:AM,2,FALSE),FALSE)/24,""))),"")=0,"",IFERROR(IF(C90=C88,0,IF(E90=E89,0,IF(C90=$R$2,HLOOKUP($R$2,Ingreso!$AW$10:$BC$260,VLOOKUP(A90,Ingreso!AL:AM,2,FALSE),FALSE)/24,""))),""))</f>
        <v/>
      </c>
      <c r="N90" s="95" t="str">
        <f>IF(IFERROR(IF(C90=C88,0,IF(E90=E89,0,IF(C90=$R$3,HLOOKUP($R$3,Ingreso!$AW$10:$BC$260,VLOOKUP(A90,Ingreso!AL:AM,2,FALSE),FALSE)/24,""))),"")=0,"",IFERROR(IF(C90=C88,0,IF(E90=E89,0,IF(C90=$R$3,HLOOKUP($R$3,Ingreso!$AW$10:$BC$260,VLOOKUP(A90,Ingreso!AL:AM,2,FALSE),FALSE)/24,""))),""))</f>
        <v/>
      </c>
      <c r="O90" s="95" t="str">
        <f>IF(IFERROR(IF(C90=C88,0,IF(E90=E89,0,IF(C90=$R$4,HLOOKUP($R$4,Ingreso!$AW$10:$BC$260,VLOOKUP(A90,Ingreso!AL:AM,2,FALSE),FALSE)/24,""))),"")=0,"",IFERROR(IF(C90=C88,0,IF(E90=E89,0,IF(C90=$R$4,HLOOKUP($R$4,Ingreso!$AW$10:$BC$260,VLOOKUP(A90,Ingreso!AL:AM,2,FALSE),FALSE)/24,""))),""))</f>
        <v/>
      </c>
      <c r="P90" s="90"/>
      <c r="T90" t="s">
        <v>1423</v>
      </c>
      <c r="U90" t="s">
        <v>1324</v>
      </c>
      <c r="V90" t="s">
        <v>1398</v>
      </c>
      <c r="W90" s="82">
        <v>97</v>
      </c>
      <c r="X90" s="71">
        <v>0.375</v>
      </c>
      <c r="Y90" s="101">
        <v>0.92025462962962967</v>
      </c>
      <c r="Z90" s="101">
        <v>0.32262731481481483</v>
      </c>
      <c r="AA90" s="101">
        <v>0.40237268518518521</v>
      </c>
      <c r="AB90" s="101">
        <v>2.7372685185185208E-2</v>
      </c>
      <c r="AC90" s="105">
        <v>0</v>
      </c>
      <c r="AD90" s="105">
        <v>0</v>
      </c>
      <c r="AE90" s="93">
        <v>0</v>
      </c>
      <c r="AF90" s="93">
        <v>0</v>
      </c>
      <c r="AG90" s="93">
        <v>0</v>
      </c>
    </row>
    <row r="91" spans="1:33">
      <c r="A91" s="65" t="str">
        <f>IFERROR(VLOOKUP('Informe Kelly'!A84,Base!A:B,2,FALSE),"")</f>
        <v>07.815.607-4</v>
      </c>
      <c r="B91" s="65" t="str">
        <f>IFERROR(VLOOKUP('Informe Kelly'!A84,Base!A:G,7,FALSE),"")</f>
        <v>CUEVAS ORDENES PATRICIO HERNAN</v>
      </c>
      <c r="C91" s="69" t="str">
        <f>IF(G91=$C$4,IF('Informe Kelly'!H84='Control informe Kelly'!$A$2,TEXT(((LEFT('Informe Kelly'!E84,2)*1)+1),"dd")&amp;"."&amp;MID('Informe Kelly'!E84,4,2)&amp;"."&amp;RIGHT('Informe Kelly'!E84,4),'Informe Kelly'!E84),'Informe Kelly'!E84)</f>
        <v>12.04.2011</v>
      </c>
      <c r="D91" s="69" t="str">
        <f>IF('Informe Kelly'!E84="","",'Informe Kelly'!E84)</f>
        <v>12.04.2011</v>
      </c>
      <c r="E91" s="72">
        <f t="shared" si="3"/>
        <v>42</v>
      </c>
      <c r="F91" s="72" t="str">
        <f>IFERROR(HLOOKUP(C91,Ingreso!$Q$8:$AD$9,2,FALSE),"v")</f>
        <v>Martes</v>
      </c>
      <c r="G91" s="65" t="str">
        <f>IFERROR(VLOOKUP(A91,Ingreso!K:P,6,FALSE),"no esta ingresado")</f>
        <v>Turno B</v>
      </c>
      <c r="H91" s="65" t="str">
        <f>IFERROR(IF('Informe Kelly'!H84=$A$2,'Informe Kelly'!F84,""),0)</f>
        <v/>
      </c>
      <c r="I91" s="65">
        <f>IFERROR(IF('Informe Kelly'!H84=$A$3,'Informe Kelly'!F84,""),0)</f>
        <v>0.63261574074074078</v>
      </c>
      <c r="J91" s="65" t="str">
        <f>IF(IFERROR(IF(E91=E90,0,(HLOOKUP(D91,Ingreso!$AN$10:$AT$260,VLOOKUP(A91,Ingreso!$AL$11:$AM$260,2,FALSE)))/24),0)=0,"",IFERROR(IF(E91=E90,0,(HLOOKUP(D91,Ingreso!$AN$10:$AT$260,VLOOKUP(A91,Ingreso!$AL$11:$AM$260,2,FALSE)))/24),0))</f>
        <v/>
      </c>
      <c r="K91" s="65" t="str">
        <f>IF(IFERROR(IF(E91=E90,0,(HLOOKUP(C91,Ingreso!$AW$10:$BC$260,VLOOKUP(A91,Ingreso!$AL$11:$AM$260,2,FALSE)))/24),0)=0,"",IFERROR(IF(E91=E90,0,(HLOOKUP(C91,Ingreso!$AW$10:$BC$260,VLOOKUP(A91,Ingreso!$AL$11:$AM$260,2,FALSE)))/24),0))</f>
        <v/>
      </c>
      <c r="L91" s="63">
        <f t="shared" si="2"/>
        <v>0.3125</v>
      </c>
      <c r="M91" s="63" t="str">
        <f>IF(IFERROR(IF(C91=C89,0,IF(E91=E90,0,IF(C91=$R$2,HLOOKUP($R$2,Ingreso!$AW$10:$BC$260,VLOOKUP(A91,Ingreso!AL:AM,2,FALSE),FALSE)/24,""))),"")=0,"",IFERROR(IF(C91=C89,0,IF(E91=E90,0,IF(C91=$R$2,HLOOKUP($R$2,Ingreso!$AW$10:$BC$260,VLOOKUP(A91,Ingreso!AL:AM,2,FALSE),FALSE)/24,""))),""))</f>
        <v/>
      </c>
      <c r="N91" s="95" t="str">
        <f>IF(IFERROR(IF(C91=C89,0,IF(E91=E90,0,IF(C91=$R$3,HLOOKUP($R$3,Ingreso!$AW$10:$BC$260,VLOOKUP(A91,Ingreso!AL:AM,2,FALSE),FALSE)/24,""))),"")=0,"",IFERROR(IF(C91=C89,0,IF(E91=E90,0,IF(C91=$R$3,HLOOKUP($R$3,Ingreso!$AW$10:$BC$260,VLOOKUP(A91,Ingreso!AL:AM,2,FALSE),FALSE)/24,""))),""))</f>
        <v/>
      </c>
      <c r="O91" s="95" t="str">
        <f>IF(IFERROR(IF(C91=C89,0,IF(E91=E90,0,IF(C91=$R$4,HLOOKUP($R$4,Ingreso!$AW$10:$BC$260,VLOOKUP(A91,Ingreso!AL:AM,2,FALSE),FALSE)/24,""))),"")=0,"",IFERROR(IF(C91=C89,0,IF(E91=E90,0,IF(C91=$R$4,HLOOKUP($R$4,Ingreso!$AW$10:$BC$260,VLOOKUP(A91,Ingreso!AL:AM,2,FALSE),FALSE)/24,""))),""))</f>
        <v/>
      </c>
      <c r="P91" s="90"/>
      <c r="T91" t="s">
        <v>1424</v>
      </c>
      <c r="U91" t="s">
        <v>1324</v>
      </c>
      <c r="V91" t="s">
        <v>1399</v>
      </c>
      <c r="W91" s="82">
        <v>98</v>
      </c>
      <c r="X91" s="71">
        <v>0.375</v>
      </c>
      <c r="Y91" s="101">
        <v>0.91833333333333333</v>
      </c>
      <c r="Z91" s="101">
        <v>0.32026620370370368</v>
      </c>
      <c r="AA91" s="101">
        <v>0.40193287037037029</v>
      </c>
      <c r="AB91" s="101">
        <v>2.6932870370370288E-2</v>
      </c>
      <c r="AC91" s="105">
        <v>0</v>
      </c>
      <c r="AD91" s="105">
        <v>0</v>
      </c>
      <c r="AE91" s="93">
        <v>0</v>
      </c>
      <c r="AF91" s="93">
        <v>0</v>
      </c>
      <c r="AG91" s="93">
        <v>0</v>
      </c>
    </row>
    <row r="92" spans="1:33">
      <c r="A92" s="65" t="str">
        <f>IFERROR(VLOOKUP('Informe Kelly'!A85,Base!A:B,2,FALSE),"")</f>
        <v>07.815.607-4</v>
      </c>
      <c r="B92" s="65" t="str">
        <f>IFERROR(VLOOKUP('Informe Kelly'!A85,Base!A:G,7,FALSE),"")</f>
        <v>CUEVAS ORDENES PATRICIO HERNAN</v>
      </c>
      <c r="C92" s="69" t="str">
        <f>IF(G92=$C$4,IF('Informe Kelly'!H85='Control informe Kelly'!$A$2,TEXT(((LEFT('Informe Kelly'!E85,2)*1)+1),"dd")&amp;"."&amp;MID('Informe Kelly'!E85,4,2)&amp;"."&amp;RIGHT('Informe Kelly'!E85,4),'Informe Kelly'!E85),'Informe Kelly'!E85)</f>
        <v>12.04.2011</v>
      </c>
      <c r="D92" s="69" t="str">
        <f>IF('Informe Kelly'!E85="","",'Informe Kelly'!E85)</f>
        <v>12.04.2011</v>
      </c>
      <c r="E92" s="72">
        <f t="shared" si="3"/>
        <v>42</v>
      </c>
      <c r="F92" s="72" t="str">
        <f>IFERROR(HLOOKUP(C92,Ingreso!$Q$8:$AD$9,2,FALSE),"v")</f>
        <v>Martes</v>
      </c>
      <c r="G92" s="65" t="str">
        <f>IFERROR(VLOOKUP(A92,Ingreso!K:P,6,FALSE),"no esta ingresado")</f>
        <v>Turno B</v>
      </c>
      <c r="H92" s="65">
        <f>IFERROR(IF('Informe Kelly'!H85=$A$2,'Informe Kelly'!F85,""),0)</f>
        <v>0.28938657407407409</v>
      </c>
      <c r="I92" s="65" t="str">
        <f>IFERROR(IF('Informe Kelly'!H85=$A$3,'Informe Kelly'!F85,""),0)</f>
        <v/>
      </c>
      <c r="J92" s="65" t="str">
        <f>IF(IFERROR(IF(E92=E91,0,(HLOOKUP(D92,Ingreso!$AN$10:$AT$260,VLOOKUP(A92,Ingreso!$AL$11:$AM$260,2,FALSE)))/24),0)=0,"",IFERROR(IF(E92=E91,0,(HLOOKUP(D92,Ingreso!$AN$10:$AT$260,VLOOKUP(A92,Ingreso!$AL$11:$AM$260,2,FALSE)))/24),0))</f>
        <v/>
      </c>
      <c r="K92" s="65" t="str">
        <f>IF(IFERROR(IF(E92=E91,0,(HLOOKUP(C92,Ingreso!$AW$10:$BC$260,VLOOKUP(A92,Ingreso!$AL$11:$AM$260,2,FALSE)))/24),0)=0,"",IFERROR(IF(E92=E91,0,(HLOOKUP(C92,Ingreso!$AW$10:$BC$260,VLOOKUP(A92,Ingreso!$AL$11:$AM$260,2,FALSE)))/24),0))</f>
        <v/>
      </c>
      <c r="L92" s="63">
        <f t="shared" si="2"/>
        <v>0</v>
      </c>
      <c r="M92" s="63" t="str">
        <f>IF(IFERROR(IF(C92=C90,0,IF(E92=E91,0,IF(C92=$R$2,HLOOKUP($R$2,Ingreso!$AW$10:$BC$260,VLOOKUP(A92,Ingreso!AL:AM,2,FALSE),FALSE)/24,""))),"")=0,"",IFERROR(IF(C92=C90,0,IF(E92=E91,0,IF(C92=$R$2,HLOOKUP($R$2,Ingreso!$AW$10:$BC$260,VLOOKUP(A92,Ingreso!AL:AM,2,FALSE),FALSE)/24,""))),""))</f>
        <v/>
      </c>
      <c r="N92" s="95" t="str">
        <f>IF(IFERROR(IF(C92=C90,0,IF(E92=E91,0,IF(C92=$R$3,HLOOKUP($R$3,Ingreso!$AW$10:$BC$260,VLOOKUP(A92,Ingreso!AL:AM,2,FALSE),FALSE)/24,""))),"")=0,"",IFERROR(IF(C92=C90,0,IF(E92=E91,0,IF(C92=$R$3,HLOOKUP($R$3,Ingreso!$AW$10:$BC$260,VLOOKUP(A92,Ingreso!AL:AM,2,FALSE),FALSE)/24,""))),""))</f>
        <v/>
      </c>
      <c r="O92" s="95" t="str">
        <f>IF(IFERROR(IF(C92=C90,0,IF(E92=E91,0,IF(C92=$R$4,HLOOKUP($R$4,Ingreso!$AW$10:$BC$260,VLOOKUP(A92,Ingreso!AL:AM,2,FALSE),FALSE)/24,""))),"")=0,"",IFERROR(IF(C92=C90,0,IF(E92=E91,0,IF(C92=$R$4,HLOOKUP($R$4,Ingreso!$AW$10:$BC$260,VLOOKUP(A92,Ingreso!AL:AM,2,FALSE),FALSE)/24,""))),""))</f>
        <v/>
      </c>
      <c r="P92" s="90"/>
      <c r="T92" t="s">
        <v>1425</v>
      </c>
      <c r="U92" t="s">
        <v>1324</v>
      </c>
      <c r="V92" t="s">
        <v>1400</v>
      </c>
      <c r="W92" s="82">
        <v>99</v>
      </c>
      <c r="X92" s="71">
        <v>0.375</v>
      </c>
      <c r="Y92" s="101">
        <v>0.92464120370370362</v>
      </c>
      <c r="Z92" s="101">
        <v>0.32255787037037037</v>
      </c>
      <c r="AA92" s="101">
        <v>0.39791666666666681</v>
      </c>
      <c r="AB92" s="101">
        <v>2.2916666666666807E-2</v>
      </c>
      <c r="AC92" s="105">
        <v>0</v>
      </c>
      <c r="AD92" s="105">
        <v>0</v>
      </c>
      <c r="AE92" s="93">
        <v>0</v>
      </c>
      <c r="AF92" s="93">
        <v>0</v>
      </c>
      <c r="AG92" s="93">
        <v>0</v>
      </c>
    </row>
    <row r="93" spans="1:33">
      <c r="A93" s="65" t="str">
        <f>IFERROR(VLOOKUP('Informe Kelly'!A86,Base!A:B,2,FALSE),"")</f>
        <v>07.815.607-4</v>
      </c>
      <c r="B93" s="65" t="str">
        <f>IFERROR(VLOOKUP('Informe Kelly'!A86,Base!A:G,7,FALSE),"")</f>
        <v>CUEVAS ORDENES PATRICIO HERNAN</v>
      </c>
      <c r="C93" s="69" t="str">
        <f>IF(G93=$C$4,IF('Informe Kelly'!H86='Control informe Kelly'!$A$2,TEXT(((LEFT('Informe Kelly'!E86,2)*1)+1),"dd")&amp;"."&amp;MID('Informe Kelly'!E86,4,2)&amp;"."&amp;RIGHT('Informe Kelly'!E86,4),'Informe Kelly'!E86),'Informe Kelly'!E86)</f>
        <v>13.04.2011</v>
      </c>
      <c r="D93" s="69" t="str">
        <f>IF('Informe Kelly'!E86="","",'Informe Kelly'!E86)</f>
        <v>13.04.2011</v>
      </c>
      <c r="E93" s="72">
        <f t="shared" si="3"/>
        <v>43</v>
      </c>
      <c r="F93" s="72" t="str">
        <f>IFERROR(HLOOKUP(C93,Ingreso!$Q$8:$AD$9,2,FALSE),"v")</f>
        <v>Miércoles</v>
      </c>
      <c r="G93" s="65" t="str">
        <f>IFERROR(VLOOKUP(A93,Ingreso!K:P,6,FALSE),"no esta ingresado")</f>
        <v>Turno B</v>
      </c>
      <c r="H93" s="65" t="str">
        <f>IFERROR(IF('Informe Kelly'!H86=$A$2,'Informe Kelly'!F86,""),0)</f>
        <v/>
      </c>
      <c r="I93" s="65">
        <f>IFERROR(IF('Informe Kelly'!H86=$A$3,'Informe Kelly'!F86,""),0)</f>
        <v>0.63570601851851849</v>
      </c>
      <c r="J93" s="65" t="str">
        <f>IF(IFERROR(IF(E93=E92,0,(HLOOKUP(D93,Ingreso!$AN$10:$AT$260,VLOOKUP(A93,Ingreso!$AL$11:$AM$260,2,FALSE)))/24),0)=0,"",IFERROR(IF(E93=E92,0,(HLOOKUP(D93,Ingreso!$AN$10:$AT$260,VLOOKUP(A93,Ingreso!$AL$11:$AM$260,2,FALSE)))/24),0))</f>
        <v/>
      </c>
      <c r="K93" s="65" t="str">
        <f>IF(IFERROR(IF(E93=E92,0,(HLOOKUP(C93,Ingreso!$AW$10:$BC$260,VLOOKUP(A93,Ingreso!$AL$11:$AM$260,2,FALSE)))/24),0)=0,"",IFERROR(IF(E93=E92,0,(HLOOKUP(C93,Ingreso!$AW$10:$BC$260,VLOOKUP(A93,Ingreso!$AL$11:$AM$260,2,FALSE)))/24),0))</f>
        <v/>
      </c>
      <c r="L93" s="63">
        <f t="shared" si="2"/>
        <v>0.3125</v>
      </c>
      <c r="M93" s="63" t="str">
        <f>IF(IFERROR(IF(C93=C91,0,IF(E93=E92,0,IF(C93=$R$2,HLOOKUP($R$2,Ingreso!$AW$10:$BC$260,VLOOKUP(A93,Ingreso!AL:AM,2,FALSE),FALSE)/24,""))),"")=0,"",IFERROR(IF(C93=C91,0,IF(E93=E92,0,IF(C93=$R$2,HLOOKUP($R$2,Ingreso!$AW$10:$BC$260,VLOOKUP(A93,Ingreso!AL:AM,2,FALSE),FALSE)/24,""))),""))</f>
        <v/>
      </c>
      <c r="N93" s="95" t="str">
        <f>IF(IFERROR(IF(C93=C91,0,IF(E93=E92,0,IF(C93=$R$3,HLOOKUP($R$3,Ingreso!$AW$10:$BC$260,VLOOKUP(A93,Ingreso!AL:AM,2,FALSE),FALSE)/24,""))),"")=0,"",IFERROR(IF(C93=C91,0,IF(E93=E92,0,IF(C93=$R$3,HLOOKUP($R$3,Ingreso!$AW$10:$BC$260,VLOOKUP(A93,Ingreso!AL:AM,2,FALSE),FALSE)/24,""))),""))</f>
        <v/>
      </c>
      <c r="O93" s="95" t="str">
        <f>IF(IFERROR(IF(C93=C91,0,IF(E93=E92,0,IF(C93=$R$4,HLOOKUP($R$4,Ingreso!$AW$10:$BC$260,VLOOKUP(A93,Ingreso!AL:AM,2,FALSE),FALSE)/24,""))),"")=0,"",IFERROR(IF(C93=C91,0,IF(E93=E92,0,IF(C93=$R$4,HLOOKUP($R$4,Ingreso!$AW$10:$BC$260,VLOOKUP(A93,Ingreso!AL:AM,2,FALSE),FALSE)/24,""))),""))</f>
        <v/>
      </c>
      <c r="P93" s="90"/>
      <c r="T93" t="s">
        <v>1426</v>
      </c>
      <c r="U93" t="s">
        <v>1324</v>
      </c>
      <c r="V93" t="s">
        <v>1401</v>
      </c>
      <c r="W93" s="82">
        <v>100</v>
      </c>
      <c r="X93" s="71">
        <v>0.375</v>
      </c>
      <c r="Y93" s="101">
        <v>0.91953703703703704</v>
      </c>
      <c r="Z93" s="101">
        <v>0.32449074074074075</v>
      </c>
      <c r="AA93" s="101">
        <v>0.40495370370370365</v>
      </c>
      <c r="AB93" s="101">
        <v>2.9953703703703649E-2</v>
      </c>
      <c r="AC93" s="105">
        <v>0</v>
      </c>
      <c r="AD93" s="105">
        <v>0</v>
      </c>
      <c r="AE93" s="93">
        <v>0</v>
      </c>
      <c r="AF93" s="93">
        <v>0</v>
      </c>
      <c r="AG93" s="93">
        <v>0</v>
      </c>
    </row>
    <row r="94" spans="1:33">
      <c r="A94" s="65" t="str">
        <f>IFERROR(VLOOKUP('Informe Kelly'!A87,Base!A:B,2,FALSE),"")</f>
        <v>07.815.607-4</v>
      </c>
      <c r="B94" s="65" t="str">
        <f>IFERROR(VLOOKUP('Informe Kelly'!A87,Base!A:G,7,FALSE),"")</f>
        <v>CUEVAS ORDENES PATRICIO HERNAN</v>
      </c>
      <c r="C94" s="69" t="str">
        <f>IF(G94=$C$4,IF('Informe Kelly'!H87='Control informe Kelly'!$A$2,TEXT(((LEFT('Informe Kelly'!E87,2)*1)+1),"dd")&amp;"."&amp;MID('Informe Kelly'!E87,4,2)&amp;"."&amp;RIGHT('Informe Kelly'!E87,4),'Informe Kelly'!E87),'Informe Kelly'!E87)</f>
        <v>13.04.2011</v>
      </c>
      <c r="D94" s="69" t="str">
        <f>IF('Informe Kelly'!E87="","",'Informe Kelly'!E87)</f>
        <v>13.04.2011</v>
      </c>
      <c r="E94" s="72">
        <f t="shared" si="3"/>
        <v>43</v>
      </c>
      <c r="F94" s="72" t="str">
        <f>IFERROR(HLOOKUP(C94,Ingreso!$Q$8:$AD$9,2,FALSE),"v")</f>
        <v>Miércoles</v>
      </c>
      <c r="G94" s="65" t="str">
        <f>IFERROR(VLOOKUP(A94,Ingreso!K:P,6,FALSE),"no esta ingresado")</f>
        <v>Turno B</v>
      </c>
      <c r="H94" s="65">
        <f>IFERROR(IF('Informe Kelly'!H87=$A$2,'Informe Kelly'!F87,""),0)</f>
        <v>0.27717592592592594</v>
      </c>
      <c r="I94" s="65" t="str">
        <f>IFERROR(IF('Informe Kelly'!H87=$A$3,'Informe Kelly'!F87,""),0)</f>
        <v/>
      </c>
      <c r="J94" s="65" t="str">
        <f>IF(IFERROR(IF(E94=E93,0,(HLOOKUP(D94,Ingreso!$AN$10:$AT$260,VLOOKUP(A94,Ingreso!$AL$11:$AM$260,2,FALSE)))/24),0)=0,"",IFERROR(IF(E94=E93,0,(HLOOKUP(D94,Ingreso!$AN$10:$AT$260,VLOOKUP(A94,Ingreso!$AL$11:$AM$260,2,FALSE)))/24),0))</f>
        <v/>
      </c>
      <c r="K94" s="65" t="str">
        <f>IF(IFERROR(IF(E94=E93,0,(HLOOKUP(C94,Ingreso!$AW$10:$BC$260,VLOOKUP(A94,Ingreso!$AL$11:$AM$260,2,FALSE)))/24),0)=0,"",IFERROR(IF(E94=E93,0,(HLOOKUP(C94,Ingreso!$AW$10:$BC$260,VLOOKUP(A94,Ingreso!$AL$11:$AM$260,2,FALSE)))/24),0))</f>
        <v/>
      </c>
      <c r="L94" s="63">
        <f t="shared" si="2"/>
        <v>0</v>
      </c>
      <c r="M94" s="63" t="str">
        <f>IF(IFERROR(IF(C94=C92,0,IF(E94=E93,0,IF(C94=$R$2,HLOOKUP($R$2,Ingreso!$AW$10:$BC$260,VLOOKUP(A94,Ingreso!AL:AM,2,FALSE),FALSE)/24,""))),"")=0,"",IFERROR(IF(C94=C92,0,IF(E94=E93,0,IF(C94=$R$2,HLOOKUP($R$2,Ingreso!$AW$10:$BC$260,VLOOKUP(A94,Ingreso!AL:AM,2,FALSE),FALSE)/24,""))),""))</f>
        <v/>
      </c>
      <c r="N94" s="95" t="str">
        <f>IF(IFERROR(IF(C94=C92,0,IF(E94=E93,0,IF(C94=$R$3,HLOOKUP($R$3,Ingreso!$AW$10:$BC$260,VLOOKUP(A94,Ingreso!AL:AM,2,FALSE),FALSE)/24,""))),"")=0,"",IFERROR(IF(C94=C92,0,IF(E94=E93,0,IF(C94=$R$3,HLOOKUP($R$3,Ingreso!$AW$10:$BC$260,VLOOKUP(A94,Ingreso!AL:AM,2,FALSE),FALSE)/24,""))),""))</f>
        <v/>
      </c>
      <c r="O94" s="95" t="str">
        <f>IF(IFERROR(IF(C94=C92,0,IF(E94=E93,0,IF(C94=$R$4,HLOOKUP($R$4,Ingreso!$AW$10:$BC$260,VLOOKUP(A94,Ingreso!AL:AM,2,FALSE),FALSE)/24,""))),"")=0,"",IFERROR(IF(C94=C92,0,IF(E94=E93,0,IF(C94=$R$4,HLOOKUP($R$4,Ingreso!$AW$10:$BC$260,VLOOKUP(A94,Ingreso!AL:AM,2,FALSE),FALSE)/24,""))),""))</f>
        <v/>
      </c>
      <c r="P94" s="90"/>
      <c r="T94" t="s">
        <v>1427</v>
      </c>
      <c r="U94" t="s">
        <v>1324</v>
      </c>
      <c r="V94" t="s">
        <v>1402</v>
      </c>
      <c r="W94" s="82">
        <v>101</v>
      </c>
      <c r="X94" s="71">
        <v>0.375</v>
      </c>
      <c r="Y94" s="101">
        <v>0.919988425925926</v>
      </c>
      <c r="Z94" s="101">
        <v>0.32495370370370369</v>
      </c>
      <c r="AA94" s="101">
        <v>0.40496527777777769</v>
      </c>
      <c r="AB94" s="101">
        <v>2.9965277777777688E-2</v>
      </c>
      <c r="AC94" s="105">
        <v>0</v>
      </c>
      <c r="AD94" s="105">
        <v>0</v>
      </c>
      <c r="AE94" s="93">
        <v>0</v>
      </c>
      <c r="AF94" s="93">
        <v>0</v>
      </c>
      <c r="AG94" s="93">
        <v>0</v>
      </c>
    </row>
    <row r="95" spans="1:33">
      <c r="A95" s="65" t="str">
        <f>IFERROR(VLOOKUP('Informe Kelly'!A88,Base!A:B,2,FALSE),"")</f>
        <v>07.815.607-4</v>
      </c>
      <c r="B95" s="65" t="str">
        <f>IFERROR(VLOOKUP('Informe Kelly'!A88,Base!A:G,7,FALSE),"")</f>
        <v>CUEVAS ORDENES PATRICIO HERNAN</v>
      </c>
      <c r="C95" s="69" t="str">
        <f>IF(G95=$C$4,IF('Informe Kelly'!H88='Control informe Kelly'!$A$2,TEXT(((LEFT('Informe Kelly'!E88,2)*1)+1),"dd")&amp;"."&amp;MID('Informe Kelly'!E88,4,2)&amp;"."&amp;RIGHT('Informe Kelly'!E88,4),'Informe Kelly'!E88),'Informe Kelly'!E88)</f>
        <v>14.04.2011</v>
      </c>
      <c r="D95" s="69" t="str">
        <f>IF('Informe Kelly'!E88="","",'Informe Kelly'!E88)</f>
        <v>14.04.2011</v>
      </c>
      <c r="E95" s="72">
        <f t="shared" si="3"/>
        <v>44</v>
      </c>
      <c r="F95" s="72" t="str">
        <f>IFERROR(HLOOKUP(C95,Ingreso!$Q$8:$AD$9,2,FALSE),"v")</f>
        <v>Jueves</v>
      </c>
      <c r="G95" s="65" t="str">
        <f>IFERROR(VLOOKUP(A95,Ingreso!K:P,6,FALSE),"no esta ingresado")</f>
        <v>Turno B</v>
      </c>
      <c r="H95" s="65" t="str">
        <f>IFERROR(IF('Informe Kelly'!H88=$A$2,'Informe Kelly'!F88,""),0)</f>
        <v/>
      </c>
      <c r="I95" s="65">
        <f>IFERROR(IF('Informe Kelly'!H88=$A$3,'Informe Kelly'!F88,""),0)</f>
        <v>0.63596064814814812</v>
      </c>
      <c r="J95" s="65" t="str">
        <f>IF(IFERROR(IF(E95=E94,0,(HLOOKUP(D95,Ingreso!$AN$10:$AT$260,VLOOKUP(A95,Ingreso!$AL$11:$AM$260,2,FALSE)))/24),0)=0,"",IFERROR(IF(E95=E94,0,(HLOOKUP(D95,Ingreso!$AN$10:$AT$260,VLOOKUP(A95,Ingreso!$AL$11:$AM$260,2,FALSE)))/24),0))</f>
        <v/>
      </c>
      <c r="K95" s="65" t="str">
        <f>IF(IFERROR(IF(E95=E94,0,(HLOOKUP(C95,Ingreso!$AW$10:$BC$260,VLOOKUP(A95,Ingreso!$AL$11:$AM$260,2,FALSE)))/24),0)=0,"",IFERROR(IF(E95=E94,0,(HLOOKUP(C95,Ingreso!$AW$10:$BC$260,VLOOKUP(A95,Ingreso!$AL$11:$AM$260,2,FALSE)))/24),0))</f>
        <v/>
      </c>
      <c r="L95" s="63">
        <f t="shared" si="2"/>
        <v>0.3125</v>
      </c>
      <c r="M95" s="63" t="str">
        <f>IF(IFERROR(IF(C95=C93,0,IF(E95=E94,0,IF(C95=$R$2,HLOOKUP($R$2,Ingreso!$AW$10:$BC$260,VLOOKUP(A95,Ingreso!AL:AM,2,FALSE),FALSE)/24,""))),"")=0,"",IFERROR(IF(C95=C93,0,IF(E95=E94,0,IF(C95=$R$2,HLOOKUP($R$2,Ingreso!$AW$10:$BC$260,VLOOKUP(A95,Ingreso!AL:AM,2,FALSE),FALSE)/24,""))),""))</f>
        <v/>
      </c>
      <c r="N95" s="95" t="str">
        <f>IF(IFERROR(IF(C95=C93,0,IF(E95=E94,0,IF(C95=$R$3,HLOOKUP($R$3,Ingreso!$AW$10:$BC$260,VLOOKUP(A95,Ingreso!AL:AM,2,FALSE),FALSE)/24,""))),"")=0,"",IFERROR(IF(C95=C93,0,IF(E95=E94,0,IF(C95=$R$3,HLOOKUP($R$3,Ingreso!$AW$10:$BC$260,VLOOKUP(A95,Ingreso!AL:AM,2,FALSE),FALSE)/24,""))),""))</f>
        <v/>
      </c>
      <c r="O95" s="95" t="str">
        <f>IF(IFERROR(IF(C95=C93,0,IF(E95=E94,0,IF(C95=$R$4,HLOOKUP($R$4,Ingreso!$AW$10:$BC$260,VLOOKUP(A95,Ingreso!AL:AM,2,FALSE),FALSE)/24,""))),"")=0,"",IFERROR(IF(C95=C93,0,IF(E95=E94,0,IF(C95=$R$4,HLOOKUP($R$4,Ingreso!$AW$10:$BC$260,VLOOKUP(A95,Ingreso!AL:AM,2,FALSE),FALSE)/24,""))),""))</f>
        <v/>
      </c>
      <c r="P95" s="90"/>
      <c r="R95" t="s">
        <v>987</v>
      </c>
      <c r="S95" t="s">
        <v>990</v>
      </c>
      <c r="T95" t="s">
        <v>1420</v>
      </c>
      <c r="U95" t="s">
        <v>1322</v>
      </c>
      <c r="V95" t="s">
        <v>1397</v>
      </c>
      <c r="W95" s="82">
        <v>102</v>
      </c>
      <c r="X95" s="71">
        <v>0.3125</v>
      </c>
      <c r="Y95" s="101">
        <v>0.61591435185185184</v>
      </c>
      <c r="Z95" s="101">
        <v>0.94337962962962962</v>
      </c>
      <c r="AA95" s="101">
        <v>0.32746527777777779</v>
      </c>
      <c r="AB95" s="101">
        <v>1.4965277777777786E-2</v>
      </c>
      <c r="AC95" s="105">
        <v>0</v>
      </c>
      <c r="AD95" s="105">
        <v>0</v>
      </c>
      <c r="AE95" s="93">
        <v>0</v>
      </c>
      <c r="AF95" s="93">
        <v>0</v>
      </c>
      <c r="AG95" s="93">
        <v>0</v>
      </c>
    </row>
    <row r="96" spans="1:33">
      <c r="A96" s="65" t="str">
        <f>IFERROR(VLOOKUP('Informe Kelly'!A89,Base!A:B,2,FALSE),"")</f>
        <v>07.815.607-4</v>
      </c>
      <c r="B96" s="65" t="str">
        <f>IFERROR(VLOOKUP('Informe Kelly'!A89,Base!A:G,7,FALSE),"")</f>
        <v>CUEVAS ORDENES PATRICIO HERNAN</v>
      </c>
      <c r="C96" s="69" t="str">
        <f>IF(G96=$C$4,IF('Informe Kelly'!H89='Control informe Kelly'!$A$2,TEXT(((LEFT('Informe Kelly'!E89,2)*1)+1),"dd")&amp;"."&amp;MID('Informe Kelly'!E89,4,2)&amp;"."&amp;RIGHT('Informe Kelly'!E89,4),'Informe Kelly'!E89),'Informe Kelly'!E89)</f>
        <v>14.04.2011</v>
      </c>
      <c r="D96" s="69" t="str">
        <f>IF('Informe Kelly'!E89="","",'Informe Kelly'!E89)</f>
        <v>14.04.2011</v>
      </c>
      <c r="E96" s="72">
        <f t="shared" si="3"/>
        <v>44</v>
      </c>
      <c r="F96" s="72" t="str">
        <f>IFERROR(HLOOKUP(C96,Ingreso!$Q$8:$AD$9,2,FALSE),"v")</f>
        <v>Jueves</v>
      </c>
      <c r="G96" s="65" t="str">
        <f>IFERROR(VLOOKUP(A96,Ingreso!K:P,6,FALSE),"no esta ingresado")</f>
        <v>Turno B</v>
      </c>
      <c r="H96" s="65">
        <f>IFERROR(IF('Informe Kelly'!H89=$A$2,'Informe Kelly'!F89,""),0)</f>
        <v>0.27717592592592594</v>
      </c>
      <c r="I96" s="65" t="str">
        <f>IFERROR(IF('Informe Kelly'!H89=$A$3,'Informe Kelly'!F89,""),0)</f>
        <v/>
      </c>
      <c r="J96" s="65" t="str">
        <f>IF(IFERROR(IF(E96=E95,0,(HLOOKUP(D96,Ingreso!$AN$10:$AT$260,VLOOKUP(A96,Ingreso!$AL$11:$AM$260,2,FALSE)))/24),0)=0,"",IFERROR(IF(E96=E95,0,(HLOOKUP(D96,Ingreso!$AN$10:$AT$260,VLOOKUP(A96,Ingreso!$AL$11:$AM$260,2,FALSE)))/24),0))</f>
        <v/>
      </c>
      <c r="K96" s="65" t="str">
        <f>IF(IFERROR(IF(E96=E95,0,(HLOOKUP(C96,Ingreso!$AW$10:$BC$260,VLOOKUP(A96,Ingreso!$AL$11:$AM$260,2,FALSE)))/24),0)=0,"",IFERROR(IF(E96=E95,0,(HLOOKUP(C96,Ingreso!$AW$10:$BC$260,VLOOKUP(A96,Ingreso!$AL$11:$AM$260,2,FALSE)))/24),0))</f>
        <v/>
      </c>
      <c r="L96" s="63">
        <f t="shared" si="2"/>
        <v>0</v>
      </c>
      <c r="M96" s="63" t="str">
        <f>IF(IFERROR(IF(C96=C94,0,IF(E96=E95,0,IF(C96=$R$2,HLOOKUP($R$2,Ingreso!$AW$10:$BC$260,VLOOKUP(A96,Ingreso!AL:AM,2,FALSE),FALSE)/24,""))),"")=0,"",IFERROR(IF(C96=C94,0,IF(E96=E95,0,IF(C96=$R$2,HLOOKUP($R$2,Ingreso!$AW$10:$BC$260,VLOOKUP(A96,Ingreso!AL:AM,2,FALSE),FALSE)/24,""))),""))</f>
        <v/>
      </c>
      <c r="N96" s="95" t="str">
        <f>IF(IFERROR(IF(C96=C94,0,IF(E96=E95,0,IF(C96=$R$3,HLOOKUP($R$3,Ingreso!$AW$10:$BC$260,VLOOKUP(A96,Ingreso!AL:AM,2,FALSE),FALSE)/24,""))),"")=0,"",IFERROR(IF(C96=C94,0,IF(E96=E95,0,IF(C96=$R$3,HLOOKUP($R$3,Ingreso!$AW$10:$BC$260,VLOOKUP(A96,Ingreso!AL:AM,2,FALSE),FALSE)/24,""))),""))</f>
        <v/>
      </c>
      <c r="O96" s="95" t="str">
        <f>IF(IFERROR(IF(C96=C94,0,IF(E96=E95,0,IF(C96=$R$4,HLOOKUP($R$4,Ingreso!$AW$10:$BC$260,VLOOKUP(A96,Ingreso!AL:AM,2,FALSE),FALSE)/24,""))),"")=0,"",IFERROR(IF(C96=C94,0,IF(E96=E95,0,IF(C96=$R$4,HLOOKUP($R$4,Ingreso!$AW$10:$BC$260,VLOOKUP(A96,Ingreso!AL:AM,2,FALSE),FALSE)/24,""))),""))</f>
        <v/>
      </c>
      <c r="P96" s="90"/>
      <c r="T96" t="s">
        <v>1423</v>
      </c>
      <c r="U96" t="s">
        <v>1322</v>
      </c>
      <c r="V96" t="s">
        <v>1398</v>
      </c>
      <c r="W96" s="82">
        <v>103</v>
      </c>
      <c r="X96" s="71">
        <v>0.3125</v>
      </c>
      <c r="Y96" s="101">
        <v>0.61721064814814819</v>
      </c>
      <c r="Z96" s="101">
        <v>0.94120370370370365</v>
      </c>
      <c r="AA96" s="101">
        <v>0.32399305555555546</v>
      </c>
      <c r="AB96" s="101">
        <v>1.1493055555555465E-2</v>
      </c>
      <c r="AC96" s="105">
        <v>0</v>
      </c>
      <c r="AD96" s="105">
        <v>0</v>
      </c>
      <c r="AE96" s="93">
        <v>0</v>
      </c>
      <c r="AF96" s="93">
        <v>0</v>
      </c>
      <c r="AG96" s="93">
        <v>0</v>
      </c>
    </row>
    <row r="97" spans="1:33">
      <c r="A97" s="65" t="str">
        <f>IFERROR(VLOOKUP('Informe Kelly'!A90,Base!A:B,2,FALSE),"")</f>
        <v>07.815.607-4</v>
      </c>
      <c r="B97" s="65" t="str">
        <f>IFERROR(VLOOKUP('Informe Kelly'!A90,Base!A:G,7,FALSE),"")</f>
        <v>CUEVAS ORDENES PATRICIO HERNAN</v>
      </c>
      <c r="C97" s="69" t="str">
        <f>IF(G97=$C$4,IF('Informe Kelly'!H90='Control informe Kelly'!$A$2,TEXT(((LEFT('Informe Kelly'!E90,2)*1)+1),"dd")&amp;"."&amp;MID('Informe Kelly'!E90,4,2)&amp;"."&amp;RIGHT('Informe Kelly'!E90,4),'Informe Kelly'!E90),'Informe Kelly'!E90)</f>
        <v>15.04.2011</v>
      </c>
      <c r="D97" s="69" t="str">
        <f>IF('Informe Kelly'!E90="","",'Informe Kelly'!E90)</f>
        <v>15.04.2011</v>
      </c>
      <c r="E97" s="72">
        <f t="shared" si="3"/>
        <v>45</v>
      </c>
      <c r="F97" s="72" t="str">
        <f>IFERROR(HLOOKUP(C97,Ingreso!$Q$8:$AD$9,2,FALSE),"v")</f>
        <v>Viernes</v>
      </c>
      <c r="G97" s="65" t="str">
        <f>IFERROR(VLOOKUP(A97,Ingreso!K:P,6,FALSE),"no esta ingresado")</f>
        <v>Turno B</v>
      </c>
      <c r="H97" s="65" t="str">
        <f>IFERROR(IF('Informe Kelly'!H90=$A$2,'Informe Kelly'!F90,""),0)</f>
        <v/>
      </c>
      <c r="I97" s="65">
        <f>IFERROR(IF('Informe Kelly'!H90=$A$3,'Informe Kelly'!F90,""),0)</f>
        <v>0.63589120370370367</v>
      </c>
      <c r="J97" s="65" t="str">
        <f>IF(IFERROR(IF(E97=E96,0,(HLOOKUP(D97,Ingreso!$AN$10:$AT$260,VLOOKUP(A97,Ingreso!$AL$11:$AM$260,2,FALSE)))/24),0)=0,"",IFERROR(IF(E97=E96,0,(HLOOKUP(D97,Ingreso!$AN$10:$AT$260,VLOOKUP(A97,Ingreso!$AL$11:$AM$260,2,FALSE)))/24),0))</f>
        <v/>
      </c>
      <c r="K97" s="65" t="str">
        <f>IF(IFERROR(IF(E97=E96,0,(HLOOKUP(C97,Ingreso!$AW$10:$BC$260,VLOOKUP(A97,Ingreso!$AL$11:$AM$260,2,FALSE)))/24),0)=0,"",IFERROR(IF(E97=E96,0,(HLOOKUP(C97,Ingreso!$AW$10:$BC$260,VLOOKUP(A97,Ingreso!$AL$11:$AM$260,2,FALSE)))/24),0))</f>
        <v/>
      </c>
      <c r="L97" s="63">
        <f t="shared" si="2"/>
        <v>0.3125</v>
      </c>
      <c r="M97" s="63" t="str">
        <f>IF(IFERROR(IF(C97=C95,0,IF(E97=E96,0,IF(C97=$R$2,HLOOKUP($R$2,Ingreso!$AW$10:$BC$260,VLOOKUP(A97,Ingreso!AL:AM,2,FALSE),FALSE)/24,""))),"")=0,"",IFERROR(IF(C97=C95,0,IF(E97=E96,0,IF(C97=$R$2,HLOOKUP($R$2,Ingreso!$AW$10:$BC$260,VLOOKUP(A97,Ingreso!AL:AM,2,FALSE),FALSE)/24,""))),""))</f>
        <v/>
      </c>
      <c r="N97" s="95" t="str">
        <f>IF(IFERROR(IF(C97=C95,0,IF(E97=E96,0,IF(C97=$R$3,HLOOKUP($R$3,Ingreso!$AW$10:$BC$260,VLOOKUP(A97,Ingreso!AL:AM,2,FALSE),FALSE)/24,""))),"")=0,"",IFERROR(IF(C97=C95,0,IF(E97=E96,0,IF(C97=$R$3,HLOOKUP($R$3,Ingreso!$AW$10:$BC$260,VLOOKUP(A97,Ingreso!AL:AM,2,FALSE),FALSE)/24,""))),""))</f>
        <v/>
      </c>
      <c r="O97" s="95" t="str">
        <f>IF(IFERROR(IF(C97=C95,0,IF(E97=E96,0,IF(C97=$R$4,HLOOKUP($R$4,Ingreso!$AW$10:$BC$260,VLOOKUP(A97,Ingreso!AL:AM,2,FALSE),FALSE)/24,""))),"")=0,"",IFERROR(IF(C97=C95,0,IF(E97=E96,0,IF(C97=$R$4,HLOOKUP($R$4,Ingreso!$AW$10:$BC$260,VLOOKUP(A97,Ingreso!AL:AM,2,FALSE),FALSE)/24,""))),""))</f>
        <v/>
      </c>
      <c r="P97" s="90"/>
      <c r="T97" t="s">
        <v>1424</v>
      </c>
      <c r="U97" t="s">
        <v>1322</v>
      </c>
      <c r="V97" t="s">
        <v>1399</v>
      </c>
      <c r="W97" s="82">
        <v>104</v>
      </c>
      <c r="X97" s="71">
        <v>0.3125</v>
      </c>
      <c r="Y97" s="101">
        <v>0.61971064814814814</v>
      </c>
      <c r="Z97" s="101">
        <v>0.9325</v>
      </c>
      <c r="AA97" s="101">
        <v>0.31278935185185186</v>
      </c>
      <c r="AB97" s="101">
        <v>2.8935185185186008E-4</v>
      </c>
      <c r="AC97" s="105">
        <v>0</v>
      </c>
      <c r="AD97" s="105">
        <v>0</v>
      </c>
      <c r="AE97" s="93">
        <v>0</v>
      </c>
      <c r="AF97" s="93">
        <v>0</v>
      </c>
      <c r="AG97" s="93">
        <v>0</v>
      </c>
    </row>
    <row r="98" spans="1:33">
      <c r="A98" s="65" t="str">
        <f>IFERROR(VLOOKUP('Informe Kelly'!A91,Base!A:B,2,FALSE),"")</f>
        <v>07.815.607-4</v>
      </c>
      <c r="B98" s="65" t="str">
        <f>IFERROR(VLOOKUP('Informe Kelly'!A91,Base!A:G,7,FALSE),"")</f>
        <v>CUEVAS ORDENES PATRICIO HERNAN</v>
      </c>
      <c r="C98" s="69" t="str">
        <f>IF(G98=$C$4,IF('Informe Kelly'!H91='Control informe Kelly'!$A$2,TEXT(((LEFT('Informe Kelly'!E91,2)*1)+1),"dd")&amp;"."&amp;MID('Informe Kelly'!E91,4,2)&amp;"."&amp;RIGHT('Informe Kelly'!E91,4),'Informe Kelly'!E91),'Informe Kelly'!E91)</f>
        <v>15.04.2011</v>
      </c>
      <c r="D98" s="69" t="str">
        <f>IF('Informe Kelly'!E91="","",'Informe Kelly'!E91)</f>
        <v>15.04.2011</v>
      </c>
      <c r="E98" s="72">
        <f t="shared" si="3"/>
        <v>45</v>
      </c>
      <c r="F98" s="72" t="str">
        <f>IFERROR(HLOOKUP(C98,Ingreso!$Q$8:$AD$9,2,FALSE),"v")</f>
        <v>Viernes</v>
      </c>
      <c r="G98" s="65" t="str">
        <f>IFERROR(VLOOKUP(A98,Ingreso!K:P,6,FALSE),"no esta ingresado")</f>
        <v>Turno B</v>
      </c>
      <c r="H98" s="65">
        <f>IFERROR(IF('Informe Kelly'!H91=$A$2,'Informe Kelly'!F91,""),0)</f>
        <v>0.28449074074074071</v>
      </c>
      <c r="I98" s="65" t="str">
        <f>IFERROR(IF('Informe Kelly'!H91=$A$3,'Informe Kelly'!F91,""),0)</f>
        <v/>
      </c>
      <c r="J98" s="65" t="str">
        <f>IF(IFERROR(IF(E98=E97,0,(HLOOKUP(D98,Ingreso!$AN$10:$AT$260,VLOOKUP(A98,Ingreso!$AL$11:$AM$260,2,FALSE)))/24),0)=0,"",IFERROR(IF(E98=E97,0,(HLOOKUP(D98,Ingreso!$AN$10:$AT$260,VLOOKUP(A98,Ingreso!$AL$11:$AM$260,2,FALSE)))/24),0))</f>
        <v/>
      </c>
      <c r="K98" s="65" t="str">
        <f>IF(IFERROR(IF(E98=E97,0,(HLOOKUP(C98,Ingreso!$AW$10:$BC$260,VLOOKUP(A98,Ingreso!$AL$11:$AM$260,2,FALSE)))/24),0)=0,"",IFERROR(IF(E98=E97,0,(HLOOKUP(C98,Ingreso!$AW$10:$BC$260,VLOOKUP(A98,Ingreso!$AL$11:$AM$260,2,FALSE)))/24),0))</f>
        <v/>
      </c>
      <c r="L98" s="63">
        <f t="shared" si="2"/>
        <v>0</v>
      </c>
      <c r="M98" s="63" t="str">
        <f>IF(IFERROR(IF(C98=C96,0,IF(E98=E97,0,IF(C98=$R$2,HLOOKUP($R$2,Ingreso!$AW$10:$BC$260,VLOOKUP(A98,Ingreso!AL:AM,2,FALSE),FALSE)/24,""))),"")=0,"",IFERROR(IF(C98=C96,0,IF(E98=E97,0,IF(C98=$R$2,HLOOKUP($R$2,Ingreso!$AW$10:$BC$260,VLOOKUP(A98,Ingreso!AL:AM,2,FALSE),FALSE)/24,""))),""))</f>
        <v/>
      </c>
      <c r="N98" s="95" t="str">
        <f>IF(IFERROR(IF(C98=C96,0,IF(E98=E97,0,IF(C98=$R$3,HLOOKUP($R$3,Ingreso!$AW$10:$BC$260,VLOOKUP(A98,Ingreso!AL:AM,2,FALSE),FALSE)/24,""))),"")=0,"",IFERROR(IF(C98=C96,0,IF(E98=E97,0,IF(C98=$R$3,HLOOKUP($R$3,Ingreso!$AW$10:$BC$260,VLOOKUP(A98,Ingreso!AL:AM,2,FALSE),FALSE)/24,""))),""))</f>
        <v/>
      </c>
      <c r="O98" s="95" t="str">
        <f>IF(IFERROR(IF(C98=C96,0,IF(E98=E97,0,IF(C98=$R$4,HLOOKUP($R$4,Ingreso!$AW$10:$BC$260,VLOOKUP(A98,Ingreso!AL:AM,2,FALSE),FALSE)/24,""))),"")=0,"",IFERROR(IF(C98=C96,0,IF(E98=E97,0,IF(C98=$R$4,HLOOKUP($R$4,Ingreso!$AW$10:$BC$260,VLOOKUP(A98,Ingreso!AL:AM,2,FALSE),FALSE)/24,""))),""))</f>
        <v/>
      </c>
      <c r="P98" s="90"/>
      <c r="T98" t="s">
        <v>1425</v>
      </c>
      <c r="U98" t="s">
        <v>1322</v>
      </c>
      <c r="V98" t="s">
        <v>1400</v>
      </c>
      <c r="W98" s="82">
        <v>105</v>
      </c>
      <c r="X98" s="71">
        <v>0.3125</v>
      </c>
      <c r="Y98" s="101">
        <v>0.6187731481481481</v>
      </c>
      <c r="Z98" s="101">
        <v>0.94478009259259255</v>
      </c>
      <c r="AA98" s="101">
        <v>0.32600694444444445</v>
      </c>
      <c r="AB98" s="101">
        <v>1.3506944444444446E-2</v>
      </c>
      <c r="AC98" s="105">
        <v>0</v>
      </c>
      <c r="AD98" s="105">
        <v>0</v>
      </c>
      <c r="AE98" s="93">
        <v>0</v>
      </c>
      <c r="AF98" s="93">
        <v>0</v>
      </c>
      <c r="AG98" s="93">
        <v>0</v>
      </c>
    </row>
    <row r="99" spans="1:33" ht="12.75" customHeight="1">
      <c r="A99" s="65" t="str">
        <f>IFERROR(VLOOKUP('Informe Kelly'!A92,Base!A:B,2,FALSE),"")</f>
        <v>07.815.607-4</v>
      </c>
      <c r="B99" s="65" t="str">
        <f>IFERROR(VLOOKUP('Informe Kelly'!A92,Base!A:G,7,FALSE),"")</f>
        <v>CUEVAS ORDENES PATRICIO HERNAN</v>
      </c>
      <c r="C99" s="69" t="str">
        <f>IF(G99=$C$4,IF('Informe Kelly'!H92='Control informe Kelly'!$A$2,TEXT(((LEFT('Informe Kelly'!E92,2)*1)+1),"dd")&amp;"."&amp;MID('Informe Kelly'!E92,4,2)&amp;"."&amp;RIGHT('Informe Kelly'!E92,4),'Informe Kelly'!E92),'Informe Kelly'!E92)</f>
        <v>16.04.2011</v>
      </c>
      <c r="D99" s="69" t="str">
        <f>IF('Informe Kelly'!E92="","",'Informe Kelly'!E92)</f>
        <v>16.04.2011</v>
      </c>
      <c r="E99" s="72">
        <f t="shared" si="3"/>
        <v>46</v>
      </c>
      <c r="F99" s="72" t="str">
        <f>IFERROR(HLOOKUP(C99,Ingreso!$Q$8:$AD$9,2,FALSE),"v")</f>
        <v>Sábado</v>
      </c>
      <c r="G99" s="65" t="str">
        <f>IFERROR(VLOOKUP(A99,Ingreso!K:P,6,FALSE),"no esta ingresado")</f>
        <v>Turno B</v>
      </c>
      <c r="H99" s="65" t="str">
        <f>IFERROR(IF('Informe Kelly'!H92=$A$2,'Informe Kelly'!F92,""),0)</f>
        <v/>
      </c>
      <c r="I99" s="65">
        <f>IFERROR(IF('Informe Kelly'!H92=$A$3,'Informe Kelly'!F92,""),0)</f>
        <v>0.93822916666666656</v>
      </c>
      <c r="J99" s="65" t="str">
        <f>IF(IFERROR(IF(E99=E98,0,(HLOOKUP(D99,Ingreso!$AN$10:$AT$260,VLOOKUP(A99,Ingreso!$AL$11:$AM$260,2,FALSE)))/24),0)=0,"",IFERROR(IF(E99=E98,0,(HLOOKUP(D99,Ingreso!$AN$10:$AT$260,VLOOKUP(A99,Ingreso!$AL$11:$AM$260,2,FALSE)))/24),0))</f>
        <v/>
      </c>
      <c r="K99" s="65" t="str">
        <f>IF(IFERROR(IF(E99=E98,0,(HLOOKUP(C99,Ingreso!$AW$10:$BC$260,VLOOKUP(A99,Ingreso!$AL$11:$AM$260,2,FALSE)))/24),0)=0,"",IFERROR(IF(E99=E98,0,(HLOOKUP(C99,Ingreso!$AW$10:$BC$260,VLOOKUP(A99,Ingreso!$AL$11:$AM$260,2,FALSE)))/24),0))</f>
        <v/>
      </c>
      <c r="L99" s="63">
        <f t="shared" si="2"/>
        <v>0.3125</v>
      </c>
      <c r="M99" s="63" t="str">
        <f>IF(IFERROR(IF(C99=C97,0,IF(E99=E98,0,IF(C99=$R$2,HLOOKUP($R$2,Ingreso!$AW$10:$BC$260,VLOOKUP(A99,Ingreso!AL:AM,2,FALSE),FALSE)/24,""))),"")=0,"",IFERROR(IF(C99=C97,0,IF(E99=E98,0,IF(C99=$R$2,HLOOKUP($R$2,Ingreso!$AW$10:$BC$260,VLOOKUP(A99,Ingreso!AL:AM,2,FALSE),FALSE)/24,""))),""))</f>
        <v/>
      </c>
      <c r="N99" s="95" t="str">
        <f>IF(IFERROR(IF(C99=C97,0,IF(E99=E98,0,IF(C99=$R$3,HLOOKUP($R$3,Ingreso!$AW$10:$BC$260,VLOOKUP(A99,Ingreso!AL:AM,2,FALSE),FALSE)/24,""))),"")=0,"",IFERROR(IF(C99=C97,0,IF(E99=E98,0,IF(C99=$R$3,HLOOKUP($R$3,Ingreso!$AW$10:$BC$260,VLOOKUP(A99,Ingreso!AL:AM,2,FALSE),FALSE)/24,""))),""))</f>
        <v/>
      </c>
      <c r="O99" s="95" t="str">
        <f>IF(IFERROR(IF(C99=C97,0,IF(E99=E98,0,IF(C99=$R$4,HLOOKUP($R$4,Ingreso!$AW$10:$BC$260,VLOOKUP(A99,Ingreso!AL:AM,2,FALSE),FALSE)/24,""))),"")=0,"",IFERROR(IF(C99=C97,0,IF(E99=E98,0,IF(C99=$R$4,HLOOKUP($R$4,Ingreso!$AW$10:$BC$260,VLOOKUP(A99,Ingreso!AL:AM,2,FALSE),FALSE)/24,""))),""))</f>
        <v/>
      </c>
      <c r="P99" s="90"/>
      <c r="T99" t="s">
        <v>1426</v>
      </c>
      <c r="U99" t="s">
        <v>1322</v>
      </c>
      <c r="V99" t="s">
        <v>1401</v>
      </c>
      <c r="W99" s="82">
        <v>106</v>
      </c>
      <c r="X99" s="71">
        <v>0.3125</v>
      </c>
      <c r="Y99" s="101">
        <v>0.61697916666666663</v>
      </c>
      <c r="Z99" s="101">
        <v>0.94469907407407405</v>
      </c>
      <c r="AA99" s="101">
        <v>0.32771990740740742</v>
      </c>
      <c r="AB99" s="101">
        <v>1.5219907407407418E-2</v>
      </c>
      <c r="AC99" s="105">
        <v>0</v>
      </c>
      <c r="AD99" s="105">
        <v>0</v>
      </c>
      <c r="AE99" s="93">
        <v>0</v>
      </c>
      <c r="AF99" s="93">
        <v>0</v>
      </c>
      <c r="AG99" s="93">
        <v>0</v>
      </c>
    </row>
    <row r="100" spans="1:33">
      <c r="A100" s="65" t="str">
        <f>IFERROR(VLOOKUP('Informe Kelly'!A93,Base!A:B,2,FALSE),"")</f>
        <v>07.815.607-4</v>
      </c>
      <c r="B100" s="65" t="str">
        <f>IFERROR(VLOOKUP('Informe Kelly'!A93,Base!A:G,7,FALSE),"")</f>
        <v>CUEVAS ORDENES PATRICIO HERNAN</v>
      </c>
      <c r="C100" s="69" t="str">
        <f>IF(G100=$C$4,IF('Informe Kelly'!H93='Control informe Kelly'!$A$2,TEXT(((LEFT('Informe Kelly'!E93,2)*1)+1),"dd")&amp;"."&amp;MID('Informe Kelly'!E93,4,2)&amp;"."&amp;RIGHT('Informe Kelly'!E93,4),'Informe Kelly'!E93),'Informe Kelly'!E93)</f>
        <v>16.04.2011</v>
      </c>
      <c r="D100" s="69" t="str">
        <f>IF('Informe Kelly'!E93="","",'Informe Kelly'!E93)</f>
        <v>16.04.2011</v>
      </c>
      <c r="E100" s="72">
        <f t="shared" si="3"/>
        <v>46</v>
      </c>
      <c r="F100" s="72" t="str">
        <f>IFERROR(HLOOKUP(C100,Ingreso!$Q$8:$AD$9,2,FALSE),"v")</f>
        <v>Sábado</v>
      </c>
      <c r="G100" s="65" t="str">
        <f>IFERROR(VLOOKUP(A100,Ingreso!K:P,6,FALSE),"no esta ingresado")</f>
        <v>Turno B</v>
      </c>
      <c r="H100" s="65">
        <f>IFERROR(IF('Informe Kelly'!H93=$A$2,'Informe Kelly'!F93,""),0)</f>
        <v>0.60362268518518525</v>
      </c>
      <c r="I100" s="65" t="str">
        <f>IFERROR(IF('Informe Kelly'!H93=$A$3,'Informe Kelly'!F93,""),0)</f>
        <v/>
      </c>
      <c r="J100" s="65" t="str">
        <f>IF(IFERROR(IF(E100=E99,0,(HLOOKUP(D100,Ingreso!$AN$10:$AT$260,VLOOKUP(A100,Ingreso!$AL$11:$AM$260,2,FALSE)))/24),0)=0,"",IFERROR(IF(E100=E99,0,(HLOOKUP(D100,Ingreso!$AN$10:$AT$260,VLOOKUP(A100,Ingreso!$AL$11:$AM$260,2,FALSE)))/24),0))</f>
        <v/>
      </c>
      <c r="K100" s="65" t="str">
        <f>IF(IFERROR(IF(E100=E99,0,(HLOOKUP(C100,Ingreso!$AW$10:$BC$260,VLOOKUP(A100,Ingreso!$AL$11:$AM$260,2,FALSE)))/24),0)=0,"",IFERROR(IF(E100=E99,0,(HLOOKUP(C100,Ingreso!$AW$10:$BC$260,VLOOKUP(A100,Ingreso!$AL$11:$AM$260,2,FALSE)))/24),0))</f>
        <v/>
      </c>
      <c r="L100" s="63">
        <f t="shared" si="2"/>
        <v>0</v>
      </c>
      <c r="M100" s="63" t="str">
        <f>IF(IFERROR(IF(C100=C98,0,IF(E100=E99,0,IF(C100=$R$2,HLOOKUP($R$2,Ingreso!$AW$10:$BC$260,VLOOKUP(A100,Ingreso!AL:AM,2,FALSE),FALSE)/24,""))),"")=0,"",IFERROR(IF(C100=C98,0,IF(E100=E99,0,IF(C100=$R$2,HLOOKUP($R$2,Ingreso!$AW$10:$BC$260,VLOOKUP(A100,Ingreso!AL:AM,2,FALSE),FALSE)/24,""))),""))</f>
        <v/>
      </c>
      <c r="N100" s="95" t="str">
        <f>IF(IFERROR(IF(C100=C98,0,IF(E100=E99,0,IF(C100=$R$3,HLOOKUP($R$3,Ingreso!$AW$10:$BC$260,VLOOKUP(A100,Ingreso!AL:AM,2,FALSE),FALSE)/24,""))),"")=0,"",IFERROR(IF(C100=C98,0,IF(E100=E99,0,IF(C100=$R$3,HLOOKUP($R$3,Ingreso!$AW$10:$BC$260,VLOOKUP(A100,Ingreso!AL:AM,2,FALSE),FALSE)/24,""))),""))</f>
        <v/>
      </c>
      <c r="O100" s="95" t="str">
        <f>IF(IFERROR(IF(C100=C98,0,IF(E100=E99,0,IF(C100=$R$4,HLOOKUP($R$4,Ingreso!$AW$10:$BC$260,VLOOKUP(A100,Ingreso!AL:AM,2,FALSE),FALSE)/24,""))),"")=0,"",IFERROR(IF(C100=C98,0,IF(E100=E99,0,IF(C100=$R$4,HLOOKUP($R$4,Ingreso!$AW$10:$BC$260,VLOOKUP(A100,Ingreso!AL:AM,2,FALSE),FALSE)/24,""))),""))</f>
        <v/>
      </c>
      <c r="P100" s="90"/>
      <c r="T100" t="s">
        <v>1427</v>
      </c>
      <c r="U100" t="s">
        <v>1322</v>
      </c>
      <c r="V100" t="s">
        <v>1402</v>
      </c>
      <c r="W100" s="82">
        <v>107</v>
      </c>
      <c r="X100" s="71">
        <v>0.3125</v>
      </c>
      <c r="Y100" s="101">
        <v>0.61782407407407403</v>
      </c>
      <c r="Z100" s="101">
        <v>0.93184027777777778</v>
      </c>
      <c r="AA100" s="101">
        <v>0.31401620370370376</v>
      </c>
      <c r="AB100" s="101">
        <v>1.5162037037037557E-3</v>
      </c>
      <c r="AC100" s="105">
        <v>0</v>
      </c>
      <c r="AD100" s="105">
        <v>0</v>
      </c>
      <c r="AE100" s="93">
        <v>0</v>
      </c>
      <c r="AF100" s="93">
        <v>0</v>
      </c>
      <c r="AG100" s="93">
        <v>0</v>
      </c>
    </row>
    <row r="101" spans="1:33">
      <c r="A101" s="65" t="str">
        <f>IFERROR(VLOOKUP('Informe Kelly'!A94,Base!A:B,2,FALSE),"")</f>
        <v>07.816.535-9</v>
      </c>
      <c r="B101" s="65" t="str">
        <f>IFERROR(VLOOKUP('Informe Kelly'!A94,Base!A:G,7,FALSE),"")</f>
        <v>CERONI  PIZARRO,CARLOS</v>
      </c>
      <c r="C101" s="69" t="str">
        <f>IF(G101=$C$4,IF('Informe Kelly'!H94='Control informe Kelly'!$A$2,TEXT(((LEFT('Informe Kelly'!E94,2)*1)+1),"dd")&amp;"."&amp;MID('Informe Kelly'!E94,4,2)&amp;"."&amp;RIGHT('Informe Kelly'!E94,4),'Informe Kelly'!E94),'Informe Kelly'!E94)</f>
        <v>11.04.2011</v>
      </c>
      <c r="D101" s="69" t="str">
        <f>IF('Informe Kelly'!E94="","",'Informe Kelly'!E94)</f>
        <v>11.04.2011</v>
      </c>
      <c r="E101" s="72">
        <f t="shared" si="3"/>
        <v>47</v>
      </c>
      <c r="F101" s="72" t="str">
        <f>IFERROR(HLOOKUP(C101,Ingreso!$Q$8:$AD$9,2,FALSE),"v")</f>
        <v>Lunes</v>
      </c>
      <c r="G101" s="65" t="str">
        <f>IFERROR(VLOOKUP(A101,Ingreso!K:P,6,FALSE),"no esta ingresado")</f>
        <v>no esta ingresado</v>
      </c>
      <c r="H101" s="65" t="str">
        <f>IFERROR(IF('Informe Kelly'!H94=$A$2,'Informe Kelly'!F94,""),0)</f>
        <v/>
      </c>
      <c r="I101" s="65">
        <f>IFERROR(IF('Informe Kelly'!H94=$A$3,'Informe Kelly'!F94,""),0)</f>
        <v>0.62540509259259258</v>
      </c>
      <c r="J101" s="65" t="str">
        <f>IF(IFERROR(IF(E101=E100,0,(HLOOKUP(D101,Ingreso!$AN$10:$AT$260,VLOOKUP(A101,Ingreso!$AL$11:$AM$260,2,FALSE)))/24),0)=0,"",IFERROR(IF(E101=E100,0,(HLOOKUP(D101,Ingreso!$AN$10:$AT$260,VLOOKUP(A101,Ingreso!$AL$11:$AM$260,2,FALSE)))/24),0))</f>
        <v/>
      </c>
      <c r="K101" s="65" t="str">
        <f>IF(IFERROR(IF(E101=E100,0,(HLOOKUP(C101,Ingreso!$AW$10:$BC$260,VLOOKUP(A101,Ingreso!$AL$11:$AM$260,2,FALSE)))/24),0)=0,"",IFERROR(IF(E101=E100,0,(HLOOKUP(C101,Ingreso!$AW$10:$BC$260,VLOOKUP(A101,Ingreso!$AL$11:$AM$260,2,FALSE)))/24),0))</f>
        <v/>
      </c>
      <c r="L101" s="63" t="str">
        <f t="shared" si="2"/>
        <v/>
      </c>
      <c r="M101" s="63" t="str">
        <f>IF(IFERROR(IF(C101=C99,0,IF(E101=E100,0,IF(C101=$R$2,HLOOKUP($R$2,Ingreso!$AW$10:$BC$260,VLOOKUP(A101,Ingreso!AL:AM,2,FALSE),FALSE)/24,""))),"")=0,"",IFERROR(IF(C101=C99,0,IF(E101=E100,0,IF(C101=$R$2,HLOOKUP($R$2,Ingreso!$AW$10:$BC$260,VLOOKUP(A101,Ingreso!AL:AM,2,FALSE),FALSE)/24,""))),""))</f>
        <v/>
      </c>
      <c r="N101" s="95" t="str">
        <f>IF(IFERROR(IF(C101=C99,0,IF(E101=E100,0,IF(C101=$R$3,HLOOKUP($R$3,Ingreso!$AW$10:$BC$260,VLOOKUP(A101,Ingreso!AL:AM,2,FALSE),FALSE)/24,""))),"")=0,"",IFERROR(IF(C101=C99,0,IF(E101=E100,0,IF(C101=$R$3,HLOOKUP($R$3,Ingreso!$AW$10:$BC$260,VLOOKUP(A101,Ingreso!AL:AM,2,FALSE),FALSE)/24,""))),""))</f>
        <v/>
      </c>
      <c r="O101" s="95" t="str">
        <f>IF(IFERROR(IF(C101=C99,0,IF(E101=E100,0,IF(C101=$R$4,HLOOKUP($R$4,Ingreso!$AW$10:$BC$260,VLOOKUP(A101,Ingreso!AL:AM,2,FALSE),FALSE)/24,""))),"")=0,"",IFERROR(IF(C101=C99,0,IF(E101=E100,0,IF(C101=$R$4,HLOOKUP($R$4,Ingreso!$AW$10:$BC$260,VLOOKUP(A101,Ingreso!AL:AM,2,FALSE),FALSE)/24,""))),""))</f>
        <v/>
      </c>
      <c r="P101" s="90"/>
      <c r="R101" t="s">
        <v>454</v>
      </c>
      <c r="S101" t="s">
        <v>458</v>
      </c>
      <c r="T101" t="s">
        <v>1420</v>
      </c>
      <c r="U101" t="s">
        <v>4</v>
      </c>
      <c r="V101" t="s">
        <v>1397</v>
      </c>
      <c r="W101" s="82">
        <v>114</v>
      </c>
      <c r="X101" s="71">
        <v>0.3125</v>
      </c>
      <c r="Y101" s="101">
        <v>0.29636574074074074</v>
      </c>
      <c r="Z101" s="101">
        <v>0.62843749999999998</v>
      </c>
      <c r="AA101" s="101">
        <v>0.33207175925925925</v>
      </c>
      <c r="AB101" s="101">
        <v>1.9571759259259247E-2</v>
      </c>
      <c r="AC101" s="105">
        <v>0</v>
      </c>
      <c r="AD101" s="105">
        <v>0</v>
      </c>
      <c r="AE101" s="93">
        <v>0</v>
      </c>
      <c r="AF101" s="93">
        <v>0</v>
      </c>
      <c r="AG101" s="93">
        <v>0</v>
      </c>
    </row>
    <row r="102" spans="1:33">
      <c r="A102" s="65" t="str">
        <f>IFERROR(VLOOKUP('Informe Kelly'!A95,Base!A:B,2,FALSE),"")</f>
        <v>07.816.535-9</v>
      </c>
      <c r="B102" s="65" t="str">
        <f>IFERROR(VLOOKUP('Informe Kelly'!A95,Base!A:G,7,FALSE),"")</f>
        <v>CERONI  PIZARRO,CARLOS</v>
      </c>
      <c r="C102" s="69" t="str">
        <f>IF(G102=$C$4,IF('Informe Kelly'!H95='Control informe Kelly'!$A$2,TEXT(((LEFT('Informe Kelly'!E95,2)*1)+1),"dd")&amp;"."&amp;MID('Informe Kelly'!E95,4,2)&amp;"."&amp;RIGHT('Informe Kelly'!E95,4),'Informe Kelly'!E95),'Informe Kelly'!E95)</f>
        <v>11.04.2011</v>
      </c>
      <c r="D102" s="69" t="str">
        <f>IF('Informe Kelly'!E95="","",'Informe Kelly'!E95)</f>
        <v>11.04.2011</v>
      </c>
      <c r="E102" s="72">
        <f t="shared" si="3"/>
        <v>47</v>
      </c>
      <c r="F102" s="72" t="str">
        <f>IFERROR(HLOOKUP(C102,Ingreso!$Q$8:$AD$9,2,FALSE),"v")</f>
        <v>Lunes</v>
      </c>
      <c r="G102" s="65" t="str">
        <f>IFERROR(VLOOKUP(A102,Ingreso!K:P,6,FALSE),"no esta ingresado")</f>
        <v>no esta ingresado</v>
      </c>
      <c r="H102" s="65">
        <f>IFERROR(IF('Informe Kelly'!H95=$A$2,'Informe Kelly'!F95,""),0)</f>
        <v>0.30810185185185185</v>
      </c>
      <c r="I102" s="65" t="str">
        <f>IFERROR(IF('Informe Kelly'!H95=$A$3,'Informe Kelly'!F95,""),0)</f>
        <v/>
      </c>
      <c r="J102" s="65" t="str">
        <f>IF(IFERROR(IF(E102=E101,0,(HLOOKUP(D102,Ingreso!$AN$10:$AT$260,VLOOKUP(A102,Ingreso!$AL$11:$AM$260,2,FALSE)))/24),0)=0,"",IFERROR(IF(E102=E101,0,(HLOOKUP(D102,Ingreso!$AN$10:$AT$260,VLOOKUP(A102,Ingreso!$AL$11:$AM$260,2,FALSE)))/24),0))</f>
        <v/>
      </c>
      <c r="K102" s="65" t="str">
        <f>IF(IFERROR(IF(E102=E101,0,(HLOOKUP(C102,Ingreso!$AW$10:$BC$260,VLOOKUP(A102,Ingreso!$AL$11:$AM$260,2,FALSE)))/24),0)=0,"",IFERROR(IF(E102=E101,0,(HLOOKUP(C102,Ingreso!$AW$10:$BC$260,VLOOKUP(A102,Ingreso!$AL$11:$AM$260,2,FALSE)))/24),0))</f>
        <v/>
      </c>
      <c r="L102" s="63">
        <f t="shared" si="2"/>
        <v>0</v>
      </c>
      <c r="M102" s="63" t="str">
        <f>IF(IFERROR(IF(C102=C100,0,IF(E102=E101,0,IF(C102=$R$2,HLOOKUP($R$2,Ingreso!$AW$10:$BC$260,VLOOKUP(A102,Ingreso!AL:AM,2,FALSE),FALSE)/24,""))),"")=0,"",IFERROR(IF(C102=C100,0,IF(E102=E101,0,IF(C102=$R$2,HLOOKUP($R$2,Ingreso!$AW$10:$BC$260,VLOOKUP(A102,Ingreso!AL:AM,2,FALSE),FALSE)/24,""))),""))</f>
        <v/>
      </c>
      <c r="N102" s="95" t="str">
        <f>IF(IFERROR(IF(C102=C100,0,IF(E102=E101,0,IF(C102=$R$3,HLOOKUP($R$3,Ingreso!$AW$10:$BC$260,VLOOKUP(A102,Ingreso!AL:AM,2,FALSE),FALSE)/24,""))),"")=0,"",IFERROR(IF(C102=C100,0,IF(E102=E101,0,IF(C102=$R$3,HLOOKUP($R$3,Ingreso!$AW$10:$BC$260,VLOOKUP(A102,Ingreso!AL:AM,2,FALSE),FALSE)/24,""))),""))</f>
        <v/>
      </c>
      <c r="O102" s="95" t="str">
        <f>IF(IFERROR(IF(C102=C100,0,IF(E102=E101,0,IF(C102=$R$4,HLOOKUP($R$4,Ingreso!$AW$10:$BC$260,VLOOKUP(A102,Ingreso!AL:AM,2,FALSE),FALSE)/24,""))),"")=0,"",IFERROR(IF(C102=C100,0,IF(E102=E101,0,IF(C102=$R$4,HLOOKUP($R$4,Ingreso!$AW$10:$BC$260,VLOOKUP(A102,Ingreso!AL:AM,2,FALSE),FALSE)/24,""))),""))</f>
        <v/>
      </c>
      <c r="P102" s="90"/>
      <c r="T102" t="s">
        <v>1423</v>
      </c>
      <c r="U102" t="s">
        <v>4</v>
      </c>
      <c r="V102" t="s">
        <v>1398</v>
      </c>
      <c r="W102" s="82">
        <v>115</v>
      </c>
      <c r="X102" s="71">
        <v>0.3125</v>
      </c>
      <c r="Y102" s="101">
        <v>0.29531250000000003</v>
      </c>
      <c r="Z102" s="101">
        <v>0.62665509259259256</v>
      </c>
      <c r="AA102" s="101">
        <v>0.33134259259259252</v>
      </c>
      <c r="AB102" s="101">
        <v>1.8842592592592522E-2</v>
      </c>
      <c r="AC102" s="105">
        <v>0</v>
      </c>
      <c r="AD102" s="105">
        <v>0</v>
      </c>
      <c r="AE102" s="93">
        <v>0</v>
      </c>
      <c r="AF102" s="93">
        <v>0</v>
      </c>
      <c r="AG102" s="93">
        <v>0</v>
      </c>
    </row>
    <row r="103" spans="1:33">
      <c r="A103" s="65" t="str">
        <f>IFERROR(VLOOKUP('Informe Kelly'!A96,Base!A:B,2,FALSE),"")</f>
        <v>07.816.535-9</v>
      </c>
      <c r="B103" s="65" t="str">
        <f>IFERROR(VLOOKUP('Informe Kelly'!A96,Base!A:G,7,FALSE),"")</f>
        <v>CERONI  PIZARRO,CARLOS</v>
      </c>
      <c r="C103" s="69" t="str">
        <f>IF(G103=$C$4,IF('Informe Kelly'!H96='Control informe Kelly'!$A$2,TEXT(((LEFT('Informe Kelly'!E96,2)*1)+1),"dd")&amp;"."&amp;MID('Informe Kelly'!E96,4,2)&amp;"."&amp;RIGHT('Informe Kelly'!E96,4),'Informe Kelly'!E96),'Informe Kelly'!E96)</f>
        <v>13.04.2011</v>
      </c>
      <c r="D103" s="69" t="str">
        <f>IF('Informe Kelly'!E96="","",'Informe Kelly'!E96)</f>
        <v>13.04.2011</v>
      </c>
      <c r="E103" s="72">
        <f t="shared" si="3"/>
        <v>48</v>
      </c>
      <c r="F103" s="72" t="str">
        <f>IFERROR(HLOOKUP(C103,Ingreso!$Q$8:$AD$9,2,FALSE),"v")</f>
        <v>Miércoles</v>
      </c>
      <c r="G103" s="65" t="str">
        <f>IFERROR(VLOOKUP(A103,Ingreso!K:P,6,FALSE),"no esta ingresado")</f>
        <v>no esta ingresado</v>
      </c>
      <c r="H103" s="65" t="str">
        <f>IFERROR(IF('Informe Kelly'!H96=$A$2,'Informe Kelly'!F96,""),0)</f>
        <v/>
      </c>
      <c r="I103" s="65">
        <f>IFERROR(IF('Informe Kelly'!H96=$A$3,'Informe Kelly'!F96,""),0)</f>
        <v>0.62967592592592592</v>
      </c>
      <c r="J103" s="65" t="str">
        <f>IF(IFERROR(IF(E103=E102,0,(HLOOKUP(D103,Ingreso!$AN$10:$AT$260,VLOOKUP(A103,Ingreso!$AL$11:$AM$260,2,FALSE)))/24),0)=0,"",IFERROR(IF(E103=E102,0,(HLOOKUP(D103,Ingreso!$AN$10:$AT$260,VLOOKUP(A103,Ingreso!$AL$11:$AM$260,2,FALSE)))/24),0))</f>
        <v/>
      </c>
      <c r="K103" s="65" t="str">
        <f>IF(IFERROR(IF(E103=E102,0,(HLOOKUP(C103,Ingreso!$AW$10:$BC$260,VLOOKUP(A103,Ingreso!$AL$11:$AM$260,2,FALSE)))/24),0)=0,"",IFERROR(IF(E103=E102,0,(HLOOKUP(C103,Ingreso!$AW$10:$BC$260,VLOOKUP(A103,Ingreso!$AL$11:$AM$260,2,FALSE)))/24),0))</f>
        <v/>
      </c>
      <c r="L103" s="63" t="str">
        <f t="shared" si="2"/>
        <v/>
      </c>
      <c r="M103" s="63" t="str">
        <f>IF(IFERROR(IF(C103=C101,0,IF(E103=E102,0,IF(C103=$R$2,HLOOKUP($R$2,Ingreso!$AW$10:$BC$260,VLOOKUP(A103,Ingreso!AL:AM,2,FALSE),FALSE)/24,""))),"")=0,"",IFERROR(IF(C103=C101,0,IF(E103=E102,0,IF(C103=$R$2,HLOOKUP($R$2,Ingreso!$AW$10:$BC$260,VLOOKUP(A103,Ingreso!AL:AM,2,FALSE),FALSE)/24,""))),""))</f>
        <v/>
      </c>
      <c r="N103" s="95" t="str">
        <f>IF(IFERROR(IF(C103=C101,0,IF(E103=E102,0,IF(C103=$R$3,HLOOKUP($R$3,Ingreso!$AW$10:$BC$260,VLOOKUP(A103,Ingreso!AL:AM,2,FALSE),FALSE)/24,""))),"")=0,"",IFERROR(IF(C103=C101,0,IF(E103=E102,0,IF(C103=$R$3,HLOOKUP($R$3,Ingreso!$AW$10:$BC$260,VLOOKUP(A103,Ingreso!AL:AM,2,FALSE),FALSE)/24,""))),""))</f>
        <v/>
      </c>
      <c r="O103" s="95" t="str">
        <f>IF(IFERROR(IF(C103=C101,0,IF(E103=E102,0,IF(C103=$R$4,HLOOKUP($R$4,Ingreso!$AW$10:$BC$260,VLOOKUP(A103,Ingreso!AL:AM,2,FALSE),FALSE)/24,""))),"")=0,"",IFERROR(IF(C103=C101,0,IF(E103=E102,0,IF(C103=$R$4,HLOOKUP($R$4,Ingreso!$AW$10:$BC$260,VLOOKUP(A103,Ingreso!AL:AM,2,FALSE),FALSE)/24,""))),""))</f>
        <v/>
      </c>
      <c r="P103" s="90"/>
      <c r="T103" t="s">
        <v>1424</v>
      </c>
      <c r="U103" t="s">
        <v>4</v>
      </c>
      <c r="V103" t="s">
        <v>1399</v>
      </c>
      <c r="W103" s="82">
        <v>116</v>
      </c>
      <c r="X103" s="71">
        <v>0.3125</v>
      </c>
      <c r="Y103" s="101">
        <v>0.29517361111111112</v>
      </c>
      <c r="Z103" s="101">
        <v>0.63958333333333328</v>
      </c>
      <c r="AA103" s="101">
        <v>0.34440972222222216</v>
      </c>
      <c r="AB103" s="101">
        <v>3.1909722222222159E-2</v>
      </c>
      <c r="AC103" s="105">
        <v>0</v>
      </c>
      <c r="AD103" s="105">
        <v>0</v>
      </c>
      <c r="AE103" s="93">
        <v>0</v>
      </c>
      <c r="AF103" s="93">
        <v>0</v>
      </c>
      <c r="AG103" s="93">
        <v>0</v>
      </c>
    </row>
    <row r="104" spans="1:33">
      <c r="A104" s="65" t="str">
        <f>IFERROR(VLOOKUP('Informe Kelly'!A97,Base!A:B,2,FALSE),"")</f>
        <v>07.816.535-9</v>
      </c>
      <c r="B104" s="65" t="str">
        <f>IFERROR(VLOOKUP('Informe Kelly'!A97,Base!A:G,7,FALSE),"")</f>
        <v>CERONI  PIZARRO,CARLOS</v>
      </c>
      <c r="C104" s="69" t="str">
        <f>IF(G104=$C$4,IF('Informe Kelly'!H97='Control informe Kelly'!$A$2,TEXT(((LEFT('Informe Kelly'!E97,2)*1)+1),"dd")&amp;"."&amp;MID('Informe Kelly'!E97,4,2)&amp;"."&amp;RIGHT('Informe Kelly'!E97,4),'Informe Kelly'!E97),'Informe Kelly'!E97)</f>
        <v>13.04.2011</v>
      </c>
      <c r="D104" s="69" t="str">
        <f>IF('Informe Kelly'!E97="","",'Informe Kelly'!E97)</f>
        <v>13.04.2011</v>
      </c>
      <c r="E104" s="72">
        <f t="shared" si="3"/>
        <v>48</v>
      </c>
      <c r="F104" s="72" t="str">
        <f>IFERROR(HLOOKUP(C104,Ingreso!$Q$8:$AD$9,2,FALSE),"v")</f>
        <v>Miércoles</v>
      </c>
      <c r="G104" s="65" t="str">
        <f>IFERROR(VLOOKUP(A104,Ingreso!K:P,6,FALSE),"no esta ingresado")</f>
        <v>no esta ingresado</v>
      </c>
      <c r="H104" s="65">
        <f>IFERROR(IF('Informe Kelly'!H97=$A$2,'Informe Kelly'!F97,""),0)</f>
        <v>0.30520833333333336</v>
      </c>
      <c r="I104" s="65" t="str">
        <f>IFERROR(IF('Informe Kelly'!H97=$A$3,'Informe Kelly'!F97,""),0)</f>
        <v/>
      </c>
      <c r="J104" s="65" t="str">
        <f>IF(IFERROR(IF(E104=E103,0,(HLOOKUP(D104,Ingreso!$AN$10:$AT$260,VLOOKUP(A104,Ingreso!$AL$11:$AM$260,2,FALSE)))/24),0)=0,"",IFERROR(IF(E104=E103,0,(HLOOKUP(D104,Ingreso!$AN$10:$AT$260,VLOOKUP(A104,Ingreso!$AL$11:$AM$260,2,FALSE)))/24),0))</f>
        <v/>
      </c>
      <c r="K104" s="65" t="str">
        <f>IF(IFERROR(IF(E104=E103,0,(HLOOKUP(C104,Ingreso!$AW$10:$BC$260,VLOOKUP(A104,Ingreso!$AL$11:$AM$260,2,FALSE)))/24),0)=0,"",IFERROR(IF(E104=E103,0,(HLOOKUP(C104,Ingreso!$AW$10:$BC$260,VLOOKUP(A104,Ingreso!$AL$11:$AM$260,2,FALSE)))/24),0))</f>
        <v/>
      </c>
      <c r="L104" s="63">
        <f t="shared" si="2"/>
        <v>0</v>
      </c>
      <c r="M104" s="63" t="str">
        <f>IF(IFERROR(IF(C104=C102,0,IF(E104=E103,0,IF(C104=$R$2,HLOOKUP($R$2,Ingreso!$AW$10:$BC$260,VLOOKUP(A104,Ingreso!AL:AM,2,FALSE),FALSE)/24,""))),"")=0,"",IFERROR(IF(C104=C102,0,IF(E104=E103,0,IF(C104=$R$2,HLOOKUP($R$2,Ingreso!$AW$10:$BC$260,VLOOKUP(A104,Ingreso!AL:AM,2,FALSE),FALSE)/24,""))),""))</f>
        <v/>
      </c>
      <c r="N104" s="95" t="str">
        <f>IF(IFERROR(IF(C104=C102,0,IF(E104=E103,0,IF(C104=$R$3,HLOOKUP($R$3,Ingreso!$AW$10:$BC$260,VLOOKUP(A104,Ingreso!AL:AM,2,FALSE),FALSE)/24,""))),"")=0,"",IFERROR(IF(C104=C102,0,IF(E104=E103,0,IF(C104=$R$3,HLOOKUP($R$3,Ingreso!$AW$10:$BC$260,VLOOKUP(A104,Ingreso!AL:AM,2,FALSE),FALSE)/24,""))),""))</f>
        <v/>
      </c>
      <c r="O104" s="95" t="str">
        <f>IF(IFERROR(IF(C104=C102,0,IF(E104=E103,0,IF(C104=$R$4,HLOOKUP($R$4,Ingreso!$AW$10:$BC$260,VLOOKUP(A104,Ingreso!AL:AM,2,FALSE),FALSE)/24,""))),"")=0,"",IFERROR(IF(C104=C102,0,IF(E104=E103,0,IF(C104=$R$4,HLOOKUP($R$4,Ingreso!$AW$10:$BC$260,VLOOKUP(A104,Ingreso!AL:AM,2,FALSE),FALSE)/24,""))),""))</f>
        <v/>
      </c>
      <c r="P104" s="90"/>
      <c r="T104" t="s">
        <v>1425</v>
      </c>
      <c r="U104" t="s">
        <v>4</v>
      </c>
      <c r="V104" t="s">
        <v>1400</v>
      </c>
      <c r="W104" s="82">
        <v>117</v>
      </c>
      <c r="X104" s="71">
        <v>0.3125</v>
      </c>
      <c r="Y104" s="101">
        <v>0.29456018518518517</v>
      </c>
      <c r="Z104" s="101">
        <v>0.63179398148148147</v>
      </c>
      <c r="AA104" s="101">
        <v>0.3372337962962963</v>
      </c>
      <c r="AB104" s="101">
        <v>2.4733796296296295E-2</v>
      </c>
      <c r="AC104" s="105">
        <v>0</v>
      </c>
      <c r="AD104" s="105">
        <v>0</v>
      </c>
      <c r="AE104" s="93">
        <v>0</v>
      </c>
      <c r="AF104" s="93">
        <v>0</v>
      </c>
      <c r="AG104" s="93">
        <v>0</v>
      </c>
    </row>
    <row r="105" spans="1:33">
      <c r="A105" s="65" t="str">
        <f>IFERROR(VLOOKUP('Informe Kelly'!A98,Base!A:B,2,FALSE),"")</f>
        <v>07.816.535-9</v>
      </c>
      <c r="B105" s="65" t="str">
        <f>IFERROR(VLOOKUP('Informe Kelly'!A98,Base!A:G,7,FALSE),"")</f>
        <v>CERONI  PIZARRO,CARLOS</v>
      </c>
      <c r="C105" s="69" t="str">
        <f>IF(G105=$C$4,IF('Informe Kelly'!H98='Control informe Kelly'!$A$2,TEXT(((LEFT('Informe Kelly'!E98,2)*1)+1),"dd")&amp;"."&amp;MID('Informe Kelly'!E98,4,2)&amp;"."&amp;RIGHT('Informe Kelly'!E98,4),'Informe Kelly'!E98),'Informe Kelly'!E98)</f>
        <v>14.04.2011</v>
      </c>
      <c r="D105" s="69" t="str">
        <f>IF('Informe Kelly'!E98="","",'Informe Kelly'!E98)</f>
        <v>14.04.2011</v>
      </c>
      <c r="E105" s="72">
        <f t="shared" si="3"/>
        <v>49</v>
      </c>
      <c r="F105" s="72" t="str">
        <f>IFERROR(HLOOKUP(C105,Ingreso!$Q$8:$AD$9,2,FALSE),"v")</f>
        <v>Jueves</v>
      </c>
      <c r="G105" s="65" t="str">
        <f>IFERROR(VLOOKUP(A105,Ingreso!K:P,6,FALSE),"no esta ingresado")</f>
        <v>no esta ingresado</v>
      </c>
      <c r="H105" s="65" t="str">
        <f>IFERROR(IF('Informe Kelly'!H98=$A$2,'Informe Kelly'!F98,""),0)</f>
        <v/>
      </c>
      <c r="I105" s="65">
        <f>IFERROR(IF('Informe Kelly'!H98=$A$3,'Informe Kelly'!F98,""),0)</f>
        <v>0.62870370370370365</v>
      </c>
      <c r="J105" s="65" t="str">
        <f>IF(IFERROR(IF(E105=E104,0,(HLOOKUP(D105,Ingreso!$AN$10:$AT$260,VLOOKUP(A105,Ingreso!$AL$11:$AM$260,2,FALSE)))/24),0)=0,"",IFERROR(IF(E105=E104,0,(HLOOKUP(D105,Ingreso!$AN$10:$AT$260,VLOOKUP(A105,Ingreso!$AL$11:$AM$260,2,FALSE)))/24),0))</f>
        <v/>
      </c>
      <c r="K105" s="65" t="str">
        <f>IF(IFERROR(IF(E105=E104,0,(HLOOKUP(C105,Ingreso!$AW$10:$BC$260,VLOOKUP(A105,Ingreso!$AL$11:$AM$260,2,FALSE)))/24),0)=0,"",IFERROR(IF(E105=E104,0,(HLOOKUP(C105,Ingreso!$AW$10:$BC$260,VLOOKUP(A105,Ingreso!$AL$11:$AM$260,2,FALSE)))/24),0))</f>
        <v/>
      </c>
      <c r="L105" s="63" t="str">
        <f t="shared" si="2"/>
        <v/>
      </c>
      <c r="M105" s="63" t="str">
        <f>IF(IFERROR(IF(C105=C103,0,IF(E105=E104,0,IF(C105=$R$2,HLOOKUP($R$2,Ingreso!$AW$10:$BC$260,VLOOKUP(A105,Ingreso!AL:AM,2,FALSE),FALSE)/24,""))),"")=0,"",IFERROR(IF(C105=C103,0,IF(E105=E104,0,IF(C105=$R$2,HLOOKUP($R$2,Ingreso!$AW$10:$BC$260,VLOOKUP(A105,Ingreso!AL:AM,2,FALSE),FALSE)/24,""))),""))</f>
        <v/>
      </c>
      <c r="N105" s="95" t="str">
        <f>IF(IFERROR(IF(C105=C103,0,IF(E105=E104,0,IF(C105=$R$3,HLOOKUP($R$3,Ingreso!$AW$10:$BC$260,VLOOKUP(A105,Ingreso!AL:AM,2,FALSE),FALSE)/24,""))),"")=0,"",IFERROR(IF(C105=C103,0,IF(E105=E104,0,IF(C105=$R$3,HLOOKUP($R$3,Ingreso!$AW$10:$BC$260,VLOOKUP(A105,Ingreso!AL:AM,2,FALSE),FALSE)/24,""))),""))</f>
        <v/>
      </c>
      <c r="O105" s="95" t="str">
        <f>IF(IFERROR(IF(C105=C103,0,IF(E105=E104,0,IF(C105=$R$4,HLOOKUP($R$4,Ingreso!$AW$10:$BC$260,VLOOKUP(A105,Ingreso!AL:AM,2,FALSE),FALSE)/24,""))),"")=0,"",IFERROR(IF(C105=C103,0,IF(E105=E104,0,IF(C105=$R$4,HLOOKUP($R$4,Ingreso!$AW$10:$BC$260,VLOOKUP(A105,Ingreso!AL:AM,2,FALSE),FALSE)/24,""))),""))</f>
        <v/>
      </c>
      <c r="P105" s="90"/>
      <c r="T105" t="s">
        <v>1426</v>
      </c>
      <c r="U105" t="s">
        <v>4</v>
      </c>
      <c r="V105" t="s">
        <v>1401</v>
      </c>
      <c r="W105" s="82">
        <v>118</v>
      </c>
      <c r="X105" s="71">
        <v>0.3125</v>
      </c>
      <c r="Y105" s="101">
        <v>0.29552083333333334</v>
      </c>
      <c r="Z105" s="101">
        <v>0.63097222222222216</v>
      </c>
      <c r="AA105" s="101">
        <v>0.33545138888888881</v>
      </c>
      <c r="AB105" s="101">
        <v>2.2951388888888813E-2</v>
      </c>
      <c r="AC105" s="105">
        <v>0</v>
      </c>
      <c r="AD105" s="105">
        <v>0</v>
      </c>
      <c r="AE105" s="93">
        <v>0</v>
      </c>
      <c r="AF105" s="93">
        <v>0</v>
      </c>
      <c r="AG105" s="93">
        <v>0</v>
      </c>
    </row>
    <row r="106" spans="1:33">
      <c r="A106" s="65" t="str">
        <f>IFERROR(VLOOKUP('Informe Kelly'!A99,Base!A:B,2,FALSE),"")</f>
        <v>07.816.535-9</v>
      </c>
      <c r="B106" s="65" t="str">
        <f>IFERROR(VLOOKUP('Informe Kelly'!A99,Base!A:G,7,FALSE),"")</f>
        <v>CERONI  PIZARRO,CARLOS</v>
      </c>
      <c r="C106" s="69" t="str">
        <f>IF(G106=$C$4,IF('Informe Kelly'!H99='Control informe Kelly'!$A$2,TEXT(((LEFT('Informe Kelly'!E99,2)*1)+1),"dd")&amp;"."&amp;MID('Informe Kelly'!E99,4,2)&amp;"."&amp;RIGHT('Informe Kelly'!E99,4),'Informe Kelly'!E99),'Informe Kelly'!E99)</f>
        <v>14.04.2011</v>
      </c>
      <c r="D106" s="69" t="str">
        <f>IF('Informe Kelly'!E99="","",'Informe Kelly'!E99)</f>
        <v>14.04.2011</v>
      </c>
      <c r="E106" s="72">
        <f t="shared" si="3"/>
        <v>49</v>
      </c>
      <c r="F106" s="72" t="str">
        <f>IFERROR(HLOOKUP(C106,Ingreso!$Q$8:$AD$9,2,FALSE),"v")</f>
        <v>Jueves</v>
      </c>
      <c r="G106" s="65" t="str">
        <f>IFERROR(VLOOKUP(A106,Ingreso!K:P,6,FALSE),"no esta ingresado")</f>
        <v>no esta ingresado</v>
      </c>
      <c r="H106" s="65">
        <f>IFERROR(IF('Informe Kelly'!H99=$A$2,'Informe Kelly'!F99,""),0)</f>
        <v>0.30486111111111108</v>
      </c>
      <c r="I106" s="65" t="str">
        <f>IFERROR(IF('Informe Kelly'!H99=$A$3,'Informe Kelly'!F99,""),0)</f>
        <v/>
      </c>
      <c r="J106" s="65" t="str">
        <f>IF(IFERROR(IF(E106=E105,0,(HLOOKUP(D106,Ingreso!$AN$10:$AT$260,VLOOKUP(A106,Ingreso!$AL$11:$AM$260,2,FALSE)))/24),0)=0,"",IFERROR(IF(E106=E105,0,(HLOOKUP(D106,Ingreso!$AN$10:$AT$260,VLOOKUP(A106,Ingreso!$AL$11:$AM$260,2,FALSE)))/24),0))</f>
        <v/>
      </c>
      <c r="K106" s="65" t="str">
        <f>IF(IFERROR(IF(E106=E105,0,(HLOOKUP(C106,Ingreso!$AW$10:$BC$260,VLOOKUP(A106,Ingreso!$AL$11:$AM$260,2,FALSE)))/24),0)=0,"",IFERROR(IF(E106=E105,0,(HLOOKUP(C106,Ingreso!$AW$10:$BC$260,VLOOKUP(A106,Ingreso!$AL$11:$AM$260,2,FALSE)))/24),0))</f>
        <v/>
      </c>
      <c r="L106" s="63">
        <f t="shared" si="2"/>
        <v>0</v>
      </c>
      <c r="M106" s="63" t="str">
        <f>IF(IFERROR(IF(C106=C104,0,IF(E106=E105,0,IF(C106=$R$2,HLOOKUP($R$2,Ingreso!$AW$10:$BC$260,VLOOKUP(A106,Ingreso!AL:AM,2,FALSE),FALSE)/24,""))),"")=0,"",IFERROR(IF(C106=C104,0,IF(E106=E105,0,IF(C106=$R$2,HLOOKUP($R$2,Ingreso!$AW$10:$BC$260,VLOOKUP(A106,Ingreso!AL:AM,2,FALSE),FALSE)/24,""))),""))</f>
        <v/>
      </c>
      <c r="N106" s="95" t="str">
        <f>IF(IFERROR(IF(C106=C104,0,IF(E106=E105,0,IF(C106=$R$3,HLOOKUP($R$3,Ingreso!$AW$10:$BC$260,VLOOKUP(A106,Ingreso!AL:AM,2,FALSE),FALSE)/24,""))),"")=0,"",IFERROR(IF(C106=C104,0,IF(E106=E105,0,IF(C106=$R$3,HLOOKUP($R$3,Ingreso!$AW$10:$BC$260,VLOOKUP(A106,Ingreso!AL:AM,2,FALSE),FALSE)/24,""))),""))</f>
        <v/>
      </c>
      <c r="O106" s="95" t="str">
        <f>IF(IFERROR(IF(C106=C104,0,IF(E106=E105,0,IF(C106=$R$4,HLOOKUP($R$4,Ingreso!$AW$10:$BC$260,VLOOKUP(A106,Ingreso!AL:AM,2,FALSE),FALSE)/24,""))),"")=0,"",IFERROR(IF(C106=C104,0,IF(E106=E105,0,IF(C106=$R$4,HLOOKUP($R$4,Ingreso!$AW$10:$BC$260,VLOOKUP(A106,Ingreso!AL:AM,2,FALSE),FALSE)/24,""))),""))</f>
        <v/>
      </c>
      <c r="P106" s="90"/>
      <c r="T106" t="s">
        <v>1427</v>
      </c>
      <c r="U106" t="s">
        <v>4</v>
      </c>
      <c r="V106" t="s">
        <v>1402</v>
      </c>
      <c r="W106" s="82">
        <v>119</v>
      </c>
      <c r="X106" s="71">
        <v>0.3125</v>
      </c>
      <c r="Y106" s="101">
        <v>0.29408564814814814</v>
      </c>
      <c r="Z106" s="101">
        <v>0.6263657407407407</v>
      </c>
      <c r="AA106" s="101">
        <v>0.33228009259259256</v>
      </c>
      <c r="AB106" s="101">
        <v>1.9780092592592557E-2</v>
      </c>
      <c r="AC106" s="105">
        <v>0</v>
      </c>
      <c r="AD106" s="105">
        <v>0</v>
      </c>
      <c r="AE106" s="93">
        <v>0</v>
      </c>
      <c r="AF106" s="93">
        <v>0</v>
      </c>
      <c r="AG106" s="93">
        <v>0</v>
      </c>
    </row>
    <row r="107" spans="1:33">
      <c r="A107" s="65" t="str">
        <f>IFERROR(VLOOKUP('Informe Kelly'!A100,Base!A:B,2,FALSE),"")</f>
        <v>07.816.535-9</v>
      </c>
      <c r="B107" s="65" t="str">
        <f>IFERROR(VLOOKUP('Informe Kelly'!A100,Base!A:G,7,FALSE),"")</f>
        <v>CERONI  PIZARRO,CARLOS</v>
      </c>
      <c r="C107" s="69" t="str">
        <f>IF(G107=$C$4,IF('Informe Kelly'!H100='Control informe Kelly'!$A$2,TEXT(((LEFT('Informe Kelly'!E100,2)*1)+1),"dd")&amp;"."&amp;MID('Informe Kelly'!E100,4,2)&amp;"."&amp;RIGHT('Informe Kelly'!E100,4),'Informe Kelly'!E100),'Informe Kelly'!E100)</f>
        <v>15.04.2011</v>
      </c>
      <c r="D107" s="69" t="str">
        <f>IF('Informe Kelly'!E100="","",'Informe Kelly'!E100)</f>
        <v>15.04.2011</v>
      </c>
      <c r="E107" s="72">
        <f t="shared" si="3"/>
        <v>50</v>
      </c>
      <c r="F107" s="72" t="str">
        <f>IFERROR(HLOOKUP(C107,Ingreso!$Q$8:$AD$9,2,FALSE),"v")</f>
        <v>Viernes</v>
      </c>
      <c r="G107" s="65" t="str">
        <f>IFERROR(VLOOKUP(A107,Ingreso!K:P,6,FALSE),"no esta ingresado")</f>
        <v>no esta ingresado</v>
      </c>
      <c r="H107" s="65" t="str">
        <f>IFERROR(IF('Informe Kelly'!H100=$A$2,'Informe Kelly'!F100,""),0)</f>
        <v/>
      </c>
      <c r="I107" s="65">
        <f>IFERROR(IF('Informe Kelly'!H100=$A$3,'Informe Kelly'!F100,""),0)</f>
        <v>0.62864583333333335</v>
      </c>
      <c r="J107" s="65" t="str">
        <f>IF(IFERROR(IF(E107=E106,0,(HLOOKUP(D107,Ingreso!$AN$10:$AT$260,VLOOKUP(A107,Ingreso!$AL$11:$AM$260,2,FALSE)))/24),0)=0,"",IFERROR(IF(E107=E106,0,(HLOOKUP(D107,Ingreso!$AN$10:$AT$260,VLOOKUP(A107,Ingreso!$AL$11:$AM$260,2,FALSE)))/24),0))</f>
        <v/>
      </c>
      <c r="K107" s="65" t="str">
        <f>IF(IFERROR(IF(E107=E106,0,(HLOOKUP(C107,Ingreso!$AW$10:$BC$260,VLOOKUP(A107,Ingreso!$AL$11:$AM$260,2,FALSE)))/24),0)=0,"",IFERROR(IF(E107=E106,0,(HLOOKUP(C107,Ingreso!$AW$10:$BC$260,VLOOKUP(A107,Ingreso!$AL$11:$AM$260,2,FALSE)))/24),0))</f>
        <v/>
      </c>
      <c r="L107" s="63" t="str">
        <f t="shared" si="2"/>
        <v/>
      </c>
      <c r="M107" s="63" t="str">
        <f>IF(IFERROR(IF(C107=C105,0,IF(E107=E106,0,IF(C107=$R$2,HLOOKUP($R$2,Ingreso!$AW$10:$BC$260,VLOOKUP(A107,Ingreso!AL:AM,2,FALSE),FALSE)/24,""))),"")=0,"",IFERROR(IF(C107=C105,0,IF(E107=E106,0,IF(C107=$R$2,HLOOKUP($R$2,Ingreso!$AW$10:$BC$260,VLOOKUP(A107,Ingreso!AL:AM,2,FALSE),FALSE)/24,""))),""))</f>
        <v/>
      </c>
      <c r="N107" s="95" t="str">
        <f>IF(IFERROR(IF(C107=C105,0,IF(E107=E106,0,IF(C107=$R$3,HLOOKUP($R$3,Ingreso!$AW$10:$BC$260,VLOOKUP(A107,Ingreso!AL:AM,2,FALSE),FALSE)/24,""))),"")=0,"",IFERROR(IF(C107=C105,0,IF(E107=E106,0,IF(C107=$R$3,HLOOKUP($R$3,Ingreso!$AW$10:$BC$260,VLOOKUP(A107,Ingreso!AL:AM,2,FALSE),FALSE)/24,""))),""))</f>
        <v/>
      </c>
      <c r="O107" s="95" t="str">
        <f>IF(IFERROR(IF(C107=C105,0,IF(E107=E106,0,IF(C107=$R$4,HLOOKUP($R$4,Ingreso!$AW$10:$BC$260,VLOOKUP(A107,Ingreso!AL:AM,2,FALSE),FALSE)/24,""))),"")=0,"",IFERROR(IF(C107=C105,0,IF(E107=E106,0,IF(C107=$R$4,HLOOKUP($R$4,Ingreso!$AW$10:$BC$260,VLOOKUP(A107,Ingreso!AL:AM,2,FALSE),FALSE)/24,""))),""))</f>
        <v/>
      </c>
      <c r="P107" s="90"/>
      <c r="R107" t="s">
        <v>136</v>
      </c>
      <c r="S107" t="s">
        <v>140</v>
      </c>
      <c r="T107" t="s">
        <v>1420</v>
      </c>
      <c r="U107" t="s">
        <v>1322</v>
      </c>
      <c r="V107" t="s">
        <v>1397</v>
      </c>
      <c r="W107" s="82">
        <v>120</v>
      </c>
      <c r="X107" s="71">
        <v>0.3125</v>
      </c>
      <c r="Y107" s="101">
        <v>0.608912037037037</v>
      </c>
      <c r="Z107" s="101">
        <v>0.94082175925925926</v>
      </c>
      <c r="AA107" s="101">
        <v>0.33190972222222226</v>
      </c>
      <c r="AB107" s="101">
        <v>1.9409722222222259E-2</v>
      </c>
      <c r="AC107" s="105">
        <v>0</v>
      </c>
      <c r="AD107" s="105">
        <v>0</v>
      </c>
      <c r="AE107" s="93">
        <v>0</v>
      </c>
      <c r="AF107" s="93">
        <v>0</v>
      </c>
      <c r="AG107" s="93">
        <v>0</v>
      </c>
    </row>
    <row r="108" spans="1:33">
      <c r="A108" s="65" t="str">
        <f>IFERROR(VLOOKUP('Informe Kelly'!A101,Base!A:B,2,FALSE),"")</f>
        <v>07.816.535-9</v>
      </c>
      <c r="B108" s="65" t="str">
        <f>IFERROR(VLOOKUP('Informe Kelly'!A101,Base!A:G,7,FALSE),"")</f>
        <v>CERONI  PIZARRO,CARLOS</v>
      </c>
      <c r="C108" s="69" t="str">
        <f>IF(G108=$C$4,IF('Informe Kelly'!H101='Control informe Kelly'!$A$2,TEXT(((LEFT('Informe Kelly'!E101,2)*1)+1),"dd")&amp;"."&amp;MID('Informe Kelly'!E101,4,2)&amp;"."&amp;RIGHT('Informe Kelly'!E101,4),'Informe Kelly'!E101),'Informe Kelly'!E101)</f>
        <v>15.04.2011</v>
      </c>
      <c r="D108" s="69" t="str">
        <f>IF('Informe Kelly'!E101="","",'Informe Kelly'!E101)</f>
        <v>15.04.2011</v>
      </c>
      <c r="E108" s="72">
        <f t="shared" si="3"/>
        <v>50</v>
      </c>
      <c r="F108" s="72" t="str">
        <f>IFERROR(HLOOKUP(C108,Ingreso!$Q$8:$AD$9,2,FALSE),"v")</f>
        <v>Viernes</v>
      </c>
      <c r="G108" s="65" t="str">
        <f>IFERROR(VLOOKUP(A108,Ingreso!K:P,6,FALSE),"no esta ingresado")</f>
        <v>no esta ingresado</v>
      </c>
      <c r="H108" s="65">
        <f>IFERROR(IF('Informe Kelly'!H101=$A$2,'Informe Kelly'!F101,""),0)</f>
        <v>0.31010416666666668</v>
      </c>
      <c r="I108" s="65" t="str">
        <f>IFERROR(IF('Informe Kelly'!H101=$A$3,'Informe Kelly'!F101,""),0)</f>
        <v/>
      </c>
      <c r="J108" s="65" t="str">
        <f>IF(IFERROR(IF(E108=E107,0,(HLOOKUP(D108,Ingreso!$AN$10:$AT$260,VLOOKUP(A108,Ingreso!$AL$11:$AM$260,2,FALSE)))/24),0)=0,"",IFERROR(IF(E108=E107,0,(HLOOKUP(D108,Ingreso!$AN$10:$AT$260,VLOOKUP(A108,Ingreso!$AL$11:$AM$260,2,FALSE)))/24),0))</f>
        <v/>
      </c>
      <c r="K108" s="65" t="str">
        <f>IF(IFERROR(IF(E108=E107,0,(HLOOKUP(C108,Ingreso!$AW$10:$BC$260,VLOOKUP(A108,Ingreso!$AL$11:$AM$260,2,FALSE)))/24),0)=0,"",IFERROR(IF(E108=E107,0,(HLOOKUP(C108,Ingreso!$AW$10:$BC$260,VLOOKUP(A108,Ingreso!$AL$11:$AM$260,2,FALSE)))/24),0))</f>
        <v/>
      </c>
      <c r="L108" s="63">
        <f t="shared" si="2"/>
        <v>0</v>
      </c>
      <c r="M108" s="63" t="str">
        <f>IF(IFERROR(IF(C108=C106,0,IF(E108=E107,0,IF(C108=$R$2,HLOOKUP($R$2,Ingreso!$AW$10:$BC$260,VLOOKUP(A108,Ingreso!AL:AM,2,FALSE),FALSE)/24,""))),"")=0,"",IFERROR(IF(C108=C106,0,IF(E108=E107,0,IF(C108=$R$2,HLOOKUP($R$2,Ingreso!$AW$10:$BC$260,VLOOKUP(A108,Ingreso!AL:AM,2,FALSE),FALSE)/24,""))),""))</f>
        <v/>
      </c>
      <c r="N108" s="95" t="str">
        <f>IF(IFERROR(IF(C108=C106,0,IF(E108=E107,0,IF(C108=$R$3,HLOOKUP($R$3,Ingreso!$AW$10:$BC$260,VLOOKUP(A108,Ingreso!AL:AM,2,FALSE),FALSE)/24,""))),"")=0,"",IFERROR(IF(C108=C106,0,IF(E108=E107,0,IF(C108=$R$3,HLOOKUP($R$3,Ingreso!$AW$10:$BC$260,VLOOKUP(A108,Ingreso!AL:AM,2,FALSE),FALSE)/24,""))),""))</f>
        <v/>
      </c>
      <c r="O108" s="95" t="str">
        <f>IF(IFERROR(IF(C108=C106,0,IF(E108=E107,0,IF(C108=$R$4,HLOOKUP($R$4,Ingreso!$AW$10:$BC$260,VLOOKUP(A108,Ingreso!AL:AM,2,FALSE),FALSE)/24,""))),"")=0,"",IFERROR(IF(C108=C106,0,IF(E108=E107,0,IF(C108=$R$4,HLOOKUP($R$4,Ingreso!$AW$10:$BC$260,VLOOKUP(A108,Ingreso!AL:AM,2,FALSE),FALSE)/24,""))),""))</f>
        <v/>
      </c>
      <c r="P108" s="90"/>
      <c r="T108" t="s">
        <v>1423</v>
      </c>
      <c r="U108" t="s">
        <v>1322</v>
      </c>
      <c r="V108" t="s">
        <v>1398</v>
      </c>
      <c r="W108" s="82">
        <v>121</v>
      </c>
      <c r="X108" s="71">
        <v>0.3125</v>
      </c>
      <c r="Y108" s="101">
        <v>0.60494212962962968</v>
      </c>
      <c r="Z108" s="101">
        <v>0.93564814814814812</v>
      </c>
      <c r="AA108" s="101">
        <v>0.33070601851851844</v>
      </c>
      <c r="AB108" s="101">
        <v>1.8206018518518441E-2</v>
      </c>
      <c r="AC108" s="105">
        <v>0</v>
      </c>
      <c r="AD108" s="105">
        <v>0</v>
      </c>
      <c r="AE108" s="93">
        <v>0</v>
      </c>
      <c r="AF108" s="93">
        <v>0</v>
      </c>
      <c r="AG108" s="93">
        <v>0</v>
      </c>
    </row>
    <row r="109" spans="1:33">
      <c r="A109" s="65" t="str">
        <f>IFERROR(VLOOKUP('Informe Kelly'!A102,Base!A:B,2,FALSE),"")</f>
        <v>07.816.535-9</v>
      </c>
      <c r="B109" s="65" t="str">
        <f>IFERROR(VLOOKUP('Informe Kelly'!A102,Base!A:G,7,FALSE),"")</f>
        <v>CERONI  PIZARRO,CARLOS</v>
      </c>
      <c r="C109" s="69" t="str">
        <f>IF(G109=$C$4,IF('Informe Kelly'!H102='Control informe Kelly'!$A$2,TEXT(((LEFT('Informe Kelly'!E102,2)*1)+1),"dd")&amp;"."&amp;MID('Informe Kelly'!E102,4,2)&amp;"."&amp;RIGHT('Informe Kelly'!E102,4),'Informe Kelly'!E102),'Informe Kelly'!E102)</f>
        <v>16.04.2011</v>
      </c>
      <c r="D109" s="69" t="str">
        <f>IF('Informe Kelly'!E102="","",'Informe Kelly'!E102)</f>
        <v>16.04.2011</v>
      </c>
      <c r="E109" s="72">
        <f t="shared" si="3"/>
        <v>51</v>
      </c>
      <c r="F109" s="72" t="str">
        <f>IFERROR(HLOOKUP(C109,Ingreso!$Q$8:$AD$9,2,FALSE),"v")</f>
        <v>Sábado</v>
      </c>
      <c r="G109" s="65" t="str">
        <f>IFERROR(VLOOKUP(A109,Ingreso!K:P,6,FALSE),"no esta ingresado")</f>
        <v>no esta ingresado</v>
      </c>
      <c r="H109" s="65" t="str">
        <f>IFERROR(IF('Informe Kelly'!H102=$A$2,'Informe Kelly'!F102,""),0)</f>
        <v/>
      </c>
      <c r="I109" s="65">
        <f>IFERROR(IF('Informe Kelly'!H102=$A$3,'Informe Kelly'!F102,""),0)</f>
        <v>0.62888888888888894</v>
      </c>
      <c r="J109" s="65" t="str">
        <f>IF(IFERROR(IF(E109=E108,0,(HLOOKUP(D109,Ingreso!$AN$10:$AT$260,VLOOKUP(A109,Ingreso!$AL$11:$AM$260,2,FALSE)))/24),0)=0,"",IFERROR(IF(E109=E108,0,(HLOOKUP(D109,Ingreso!$AN$10:$AT$260,VLOOKUP(A109,Ingreso!$AL$11:$AM$260,2,FALSE)))/24),0))</f>
        <v/>
      </c>
      <c r="K109" s="65" t="str">
        <f>IF(IFERROR(IF(E109=E108,0,(HLOOKUP(C109,Ingreso!$AW$10:$BC$260,VLOOKUP(A109,Ingreso!$AL$11:$AM$260,2,FALSE)))/24),0)=0,"",IFERROR(IF(E109=E108,0,(HLOOKUP(C109,Ingreso!$AW$10:$BC$260,VLOOKUP(A109,Ingreso!$AL$11:$AM$260,2,FALSE)))/24),0))</f>
        <v/>
      </c>
      <c r="L109" s="63" t="str">
        <f t="shared" si="2"/>
        <v/>
      </c>
      <c r="M109" s="63" t="str">
        <f>IF(IFERROR(IF(C109=C107,0,IF(E109=E108,0,IF(C109=$R$2,HLOOKUP($R$2,Ingreso!$AW$10:$BC$260,VLOOKUP(A109,Ingreso!AL:AM,2,FALSE),FALSE)/24,""))),"")=0,"",IFERROR(IF(C109=C107,0,IF(E109=E108,0,IF(C109=$R$2,HLOOKUP($R$2,Ingreso!$AW$10:$BC$260,VLOOKUP(A109,Ingreso!AL:AM,2,FALSE),FALSE)/24,""))),""))</f>
        <v/>
      </c>
      <c r="N109" s="95" t="str">
        <f>IF(IFERROR(IF(C109=C107,0,IF(E109=E108,0,IF(C109=$R$3,HLOOKUP($R$3,Ingreso!$AW$10:$BC$260,VLOOKUP(A109,Ingreso!AL:AM,2,FALSE),FALSE)/24,""))),"")=0,"",IFERROR(IF(C109=C107,0,IF(E109=E108,0,IF(C109=$R$3,HLOOKUP($R$3,Ingreso!$AW$10:$BC$260,VLOOKUP(A109,Ingreso!AL:AM,2,FALSE),FALSE)/24,""))),""))</f>
        <v/>
      </c>
      <c r="O109" s="95" t="str">
        <f>IF(IFERROR(IF(C109=C107,0,IF(E109=E108,0,IF(C109=$R$4,HLOOKUP($R$4,Ingreso!$AW$10:$BC$260,VLOOKUP(A109,Ingreso!AL:AM,2,FALSE),FALSE)/24,""))),"")=0,"",IFERROR(IF(C109=C107,0,IF(E109=E108,0,IF(C109=$R$4,HLOOKUP($R$4,Ingreso!$AW$10:$BC$260,VLOOKUP(A109,Ingreso!AL:AM,2,FALSE),FALSE)/24,""))),""))</f>
        <v/>
      </c>
      <c r="P109" s="90"/>
      <c r="T109" t="s">
        <v>1424</v>
      </c>
      <c r="U109" t="s">
        <v>1322</v>
      </c>
      <c r="V109" t="s">
        <v>1399</v>
      </c>
      <c r="W109" s="82">
        <v>122</v>
      </c>
      <c r="X109" s="71">
        <v>0.3125</v>
      </c>
      <c r="Y109" s="101">
        <v>0.60703703703703704</v>
      </c>
      <c r="Z109" s="101">
        <v>0.93839120370370377</v>
      </c>
      <c r="AA109" s="101">
        <v>0.33135416666666673</v>
      </c>
      <c r="AB109" s="101">
        <v>1.8854166666666727E-2</v>
      </c>
      <c r="AC109" s="105">
        <v>0</v>
      </c>
      <c r="AD109" s="105">
        <v>0</v>
      </c>
      <c r="AE109" s="93">
        <v>0</v>
      </c>
      <c r="AF109" s="93">
        <v>0</v>
      </c>
      <c r="AG109" s="93">
        <v>0</v>
      </c>
    </row>
    <row r="110" spans="1:33">
      <c r="A110" s="65" t="str">
        <f>IFERROR(VLOOKUP('Informe Kelly'!A103,Base!A:B,2,FALSE),"")</f>
        <v>07.816.535-9</v>
      </c>
      <c r="B110" s="65" t="str">
        <f>IFERROR(VLOOKUP('Informe Kelly'!A103,Base!A:G,7,FALSE),"")</f>
        <v>CERONI  PIZARRO,CARLOS</v>
      </c>
      <c r="C110" s="69" t="str">
        <f>IF(G110=$C$4,IF('Informe Kelly'!H103='Control informe Kelly'!$A$2,TEXT(((LEFT('Informe Kelly'!E103,2)*1)+1),"dd")&amp;"."&amp;MID('Informe Kelly'!E103,4,2)&amp;"."&amp;RIGHT('Informe Kelly'!E103,4),'Informe Kelly'!E103),'Informe Kelly'!E103)</f>
        <v>16.04.2011</v>
      </c>
      <c r="D110" s="69" t="str">
        <f>IF('Informe Kelly'!E103="","",'Informe Kelly'!E103)</f>
        <v>16.04.2011</v>
      </c>
      <c r="E110" s="72">
        <f t="shared" si="3"/>
        <v>51</v>
      </c>
      <c r="F110" s="72" t="str">
        <f>IFERROR(HLOOKUP(C110,Ingreso!$Q$8:$AD$9,2,FALSE),"v")</f>
        <v>Sábado</v>
      </c>
      <c r="G110" s="65" t="str">
        <f>IFERROR(VLOOKUP(A110,Ingreso!K:P,6,FALSE),"no esta ingresado")</f>
        <v>no esta ingresado</v>
      </c>
      <c r="H110" s="65">
        <f>IFERROR(IF('Informe Kelly'!H103=$A$2,'Informe Kelly'!F103,""),0)</f>
        <v>0.30591435185185184</v>
      </c>
      <c r="I110" s="65" t="str">
        <f>IFERROR(IF('Informe Kelly'!H103=$A$3,'Informe Kelly'!F103,""),0)</f>
        <v/>
      </c>
      <c r="J110" s="65" t="str">
        <f>IF(IFERROR(IF(E110=E109,0,(HLOOKUP(D110,Ingreso!$AN$10:$AT$260,VLOOKUP(A110,Ingreso!$AL$11:$AM$260,2,FALSE)))/24),0)=0,"",IFERROR(IF(E110=E109,0,(HLOOKUP(D110,Ingreso!$AN$10:$AT$260,VLOOKUP(A110,Ingreso!$AL$11:$AM$260,2,FALSE)))/24),0))</f>
        <v/>
      </c>
      <c r="K110" s="65" t="str">
        <f>IF(IFERROR(IF(E110=E109,0,(HLOOKUP(C110,Ingreso!$AW$10:$BC$260,VLOOKUP(A110,Ingreso!$AL$11:$AM$260,2,FALSE)))/24),0)=0,"",IFERROR(IF(E110=E109,0,(HLOOKUP(C110,Ingreso!$AW$10:$BC$260,VLOOKUP(A110,Ingreso!$AL$11:$AM$260,2,FALSE)))/24),0))</f>
        <v/>
      </c>
      <c r="L110" s="63">
        <f t="shared" si="2"/>
        <v>0</v>
      </c>
      <c r="M110" s="63" t="str">
        <f>IF(IFERROR(IF(C110=C108,0,IF(E110=E109,0,IF(C110=$R$2,HLOOKUP($R$2,Ingreso!$AW$10:$BC$260,VLOOKUP(A110,Ingreso!AL:AM,2,FALSE),FALSE)/24,""))),"")=0,"",IFERROR(IF(C110=C108,0,IF(E110=E109,0,IF(C110=$R$2,HLOOKUP($R$2,Ingreso!$AW$10:$BC$260,VLOOKUP(A110,Ingreso!AL:AM,2,FALSE),FALSE)/24,""))),""))</f>
        <v/>
      </c>
      <c r="N110" s="95" t="str">
        <f>IF(IFERROR(IF(C110=C108,0,IF(E110=E109,0,IF(C110=$R$3,HLOOKUP($R$3,Ingreso!$AW$10:$BC$260,VLOOKUP(A110,Ingreso!AL:AM,2,FALSE),FALSE)/24,""))),"")=0,"",IFERROR(IF(C110=C108,0,IF(E110=E109,0,IF(C110=$R$3,HLOOKUP($R$3,Ingreso!$AW$10:$BC$260,VLOOKUP(A110,Ingreso!AL:AM,2,FALSE),FALSE)/24,""))),""))</f>
        <v/>
      </c>
      <c r="O110" s="95" t="str">
        <f>IF(IFERROR(IF(C110=C108,0,IF(E110=E109,0,IF(C110=$R$4,HLOOKUP($R$4,Ingreso!$AW$10:$BC$260,VLOOKUP(A110,Ingreso!AL:AM,2,FALSE),FALSE)/24,""))),"")=0,"",IFERROR(IF(C110=C108,0,IF(E110=E109,0,IF(C110=$R$4,HLOOKUP($R$4,Ingreso!$AW$10:$BC$260,VLOOKUP(A110,Ingreso!AL:AM,2,FALSE),FALSE)/24,""))),""))</f>
        <v/>
      </c>
      <c r="P110" s="90"/>
      <c r="T110" t="s">
        <v>1425</v>
      </c>
      <c r="U110" t="s">
        <v>1322</v>
      </c>
      <c r="V110" t="s">
        <v>1400</v>
      </c>
      <c r="W110" s="82">
        <v>123</v>
      </c>
      <c r="X110" s="71">
        <v>0.3125</v>
      </c>
      <c r="Y110" s="101">
        <v>0.60685185185185186</v>
      </c>
      <c r="Z110" s="101">
        <v>0.94194444444444436</v>
      </c>
      <c r="AA110" s="101">
        <v>0.3350925925925925</v>
      </c>
      <c r="AB110" s="101">
        <v>2.2592592592592498E-2</v>
      </c>
      <c r="AC110" s="105">
        <v>0</v>
      </c>
      <c r="AD110" s="105">
        <v>0</v>
      </c>
      <c r="AE110" s="93">
        <v>0</v>
      </c>
      <c r="AF110" s="93">
        <v>0</v>
      </c>
      <c r="AG110" s="93">
        <v>0</v>
      </c>
    </row>
    <row r="111" spans="1:33" ht="12.75" customHeight="1">
      <c r="A111" s="65" t="str">
        <f>IFERROR(VLOOKUP('Informe Kelly'!A104,Base!A:B,2,FALSE),"")</f>
        <v>07.816.805-6</v>
      </c>
      <c r="B111" s="65" t="str">
        <f>IFERROR(VLOOKUP('Informe Kelly'!A104,Base!A:G,7,FALSE),"")</f>
        <v>PINTO  FLORES,JULIO CESAR</v>
      </c>
      <c r="C111" s="69" t="str">
        <f>IF(G111=$C$4,IF('Informe Kelly'!H104='Control informe Kelly'!$A$2,TEXT(((LEFT('Informe Kelly'!E104,2)*1)+1),"dd")&amp;"."&amp;MID('Informe Kelly'!E104,4,2)&amp;"."&amp;RIGHT('Informe Kelly'!E104,4),'Informe Kelly'!E104),'Informe Kelly'!E104)</f>
        <v>11.04.2011</v>
      </c>
      <c r="D111" s="69" t="str">
        <f>IF('Informe Kelly'!E104="","",'Informe Kelly'!E104)</f>
        <v>11.04.2011</v>
      </c>
      <c r="E111" s="72">
        <f t="shared" si="3"/>
        <v>52</v>
      </c>
      <c r="F111" s="72" t="str">
        <f>IFERROR(HLOOKUP(C111,Ingreso!$Q$8:$AD$9,2,FALSE),"v")</f>
        <v>Lunes</v>
      </c>
      <c r="G111" s="65" t="str">
        <f>IFERROR(VLOOKUP(A111,Ingreso!K:P,6,FALSE),"no esta ingresado")</f>
        <v>no esta ingresado</v>
      </c>
      <c r="H111" s="65">
        <f>IFERROR(IF('Informe Kelly'!H104=$A$2,'Informe Kelly'!F104,""),0)</f>
        <v>0.91631944444444446</v>
      </c>
      <c r="I111" s="65" t="str">
        <f>IFERROR(IF('Informe Kelly'!H104=$A$3,'Informe Kelly'!F104,""),0)</f>
        <v/>
      </c>
      <c r="J111" s="65" t="str">
        <f>IF(IFERROR(IF(E111=E110,0,(HLOOKUP(D111,Ingreso!$AN$10:$AT$260,VLOOKUP(A111,Ingreso!$AL$11:$AM$260,2,FALSE)))/24),0)=0,"",IFERROR(IF(E111=E110,0,(HLOOKUP(D111,Ingreso!$AN$10:$AT$260,VLOOKUP(A111,Ingreso!$AL$11:$AM$260,2,FALSE)))/24),0))</f>
        <v/>
      </c>
      <c r="K111" s="65" t="str">
        <f>IF(IFERROR(IF(E111=E110,0,(HLOOKUP(C111,Ingreso!$AW$10:$BC$260,VLOOKUP(A111,Ingreso!$AL$11:$AM$260,2,FALSE)))/24),0)=0,"",IFERROR(IF(E111=E110,0,(HLOOKUP(C111,Ingreso!$AW$10:$BC$260,VLOOKUP(A111,Ingreso!$AL$11:$AM$260,2,FALSE)))/24),0))</f>
        <v/>
      </c>
      <c r="L111" s="63" t="str">
        <f t="shared" si="2"/>
        <v/>
      </c>
      <c r="M111" s="63" t="str">
        <f>IF(IFERROR(IF(C111=C109,0,IF(E111=E110,0,IF(C111=$R$2,HLOOKUP($R$2,Ingreso!$AW$10:$BC$260,VLOOKUP(A111,Ingreso!AL:AM,2,FALSE),FALSE)/24,""))),"")=0,"",IFERROR(IF(C111=C109,0,IF(E111=E110,0,IF(C111=$R$2,HLOOKUP($R$2,Ingreso!$AW$10:$BC$260,VLOOKUP(A111,Ingreso!AL:AM,2,FALSE),FALSE)/24,""))),""))</f>
        <v/>
      </c>
      <c r="N111" s="95" t="str">
        <f>IF(IFERROR(IF(C111=C109,0,IF(E111=E110,0,IF(C111=$R$3,HLOOKUP($R$3,Ingreso!$AW$10:$BC$260,VLOOKUP(A111,Ingreso!AL:AM,2,FALSE),FALSE)/24,""))),"")=0,"",IFERROR(IF(C111=C109,0,IF(E111=E110,0,IF(C111=$R$3,HLOOKUP($R$3,Ingreso!$AW$10:$BC$260,VLOOKUP(A111,Ingreso!AL:AM,2,FALSE),FALSE)/24,""))),""))</f>
        <v/>
      </c>
      <c r="O111" s="95" t="str">
        <f>IF(IFERROR(IF(C111=C109,0,IF(E111=E110,0,IF(C111=$R$4,HLOOKUP($R$4,Ingreso!$AW$10:$BC$260,VLOOKUP(A111,Ingreso!AL:AM,2,FALSE),FALSE)/24,""))),"")=0,"",IFERROR(IF(C111=C109,0,IF(E111=E110,0,IF(C111=$R$4,HLOOKUP($R$4,Ingreso!$AW$10:$BC$260,VLOOKUP(A111,Ingreso!AL:AM,2,FALSE),FALSE)/24,""))),""))</f>
        <v/>
      </c>
      <c r="P111" s="90"/>
      <c r="T111" t="s">
        <v>1426</v>
      </c>
      <c r="U111" t="s">
        <v>1322</v>
      </c>
      <c r="V111" t="s">
        <v>1401</v>
      </c>
      <c r="W111" s="82">
        <v>124</v>
      </c>
      <c r="X111" s="71">
        <v>0.3125</v>
      </c>
      <c r="Y111" s="101">
        <v>0.60576388888888888</v>
      </c>
      <c r="Z111" s="101">
        <v>0.94081018518518522</v>
      </c>
      <c r="AA111" s="101">
        <v>0.33504629629629634</v>
      </c>
      <c r="AB111" s="101">
        <v>2.2546296296296342E-2</v>
      </c>
      <c r="AC111" s="105">
        <v>0</v>
      </c>
      <c r="AD111" s="105">
        <v>0</v>
      </c>
      <c r="AE111" s="93">
        <v>0</v>
      </c>
      <c r="AF111" s="93">
        <v>0</v>
      </c>
      <c r="AG111" s="93">
        <v>0</v>
      </c>
    </row>
    <row r="112" spans="1:33">
      <c r="A112" s="65" t="str">
        <f>IFERROR(VLOOKUP('Informe Kelly'!A105,Base!A:B,2,FALSE),"")</f>
        <v>07.816.805-6</v>
      </c>
      <c r="B112" s="65" t="str">
        <f>IFERROR(VLOOKUP('Informe Kelly'!A105,Base!A:G,7,FALSE),"")</f>
        <v>PINTO  FLORES,JULIO CESAR</v>
      </c>
      <c r="C112" s="69" t="str">
        <f>IF(G112=$C$4,IF('Informe Kelly'!H105='Control informe Kelly'!$A$2,TEXT(((LEFT('Informe Kelly'!E105,2)*1)+1),"dd")&amp;"."&amp;MID('Informe Kelly'!E105,4,2)&amp;"."&amp;RIGHT('Informe Kelly'!E105,4),'Informe Kelly'!E105),'Informe Kelly'!E105)</f>
        <v>12.04.2011</v>
      </c>
      <c r="D112" s="69" t="str">
        <f>IF('Informe Kelly'!E105="","",'Informe Kelly'!E105)</f>
        <v>12.04.2011</v>
      </c>
      <c r="E112" s="72">
        <f t="shared" si="3"/>
        <v>53</v>
      </c>
      <c r="F112" s="72" t="str">
        <f>IFERROR(HLOOKUP(C112,Ingreso!$Q$8:$AD$9,2,FALSE),"v")</f>
        <v>Martes</v>
      </c>
      <c r="G112" s="65" t="str">
        <f>IFERROR(VLOOKUP(A112,Ingreso!K:P,6,FALSE),"no esta ingresado")</f>
        <v>no esta ingresado</v>
      </c>
      <c r="H112" s="65" t="str">
        <f>IFERROR(IF('Informe Kelly'!H105=$A$2,'Informe Kelly'!F105,""),0)</f>
        <v/>
      </c>
      <c r="I112" s="65">
        <f>IFERROR(IF('Informe Kelly'!H105=$A$3,'Informe Kelly'!F105,""),0)</f>
        <v>0.32431712962962961</v>
      </c>
      <c r="J112" s="65" t="str">
        <f>IF(IFERROR(IF(E112=E111,0,(HLOOKUP(D112,Ingreso!$AN$10:$AT$260,VLOOKUP(A112,Ingreso!$AL$11:$AM$260,2,FALSE)))/24),0)=0,"",IFERROR(IF(E112=E111,0,(HLOOKUP(D112,Ingreso!$AN$10:$AT$260,VLOOKUP(A112,Ingreso!$AL$11:$AM$260,2,FALSE)))/24),0))</f>
        <v/>
      </c>
      <c r="K112" s="65" t="str">
        <f>IF(IFERROR(IF(E112=E111,0,(HLOOKUP(C112,Ingreso!$AW$10:$BC$260,VLOOKUP(A112,Ingreso!$AL$11:$AM$260,2,FALSE)))/24),0)=0,"",IFERROR(IF(E112=E111,0,(HLOOKUP(C112,Ingreso!$AW$10:$BC$260,VLOOKUP(A112,Ingreso!$AL$11:$AM$260,2,FALSE)))/24),0))</f>
        <v/>
      </c>
      <c r="L112" s="63" t="str">
        <f t="shared" si="2"/>
        <v/>
      </c>
      <c r="M112" s="63" t="str">
        <f>IF(IFERROR(IF(C112=C110,0,IF(E112=E111,0,IF(C112=$R$2,HLOOKUP($R$2,Ingreso!$AW$10:$BC$260,VLOOKUP(A112,Ingreso!AL:AM,2,FALSE),FALSE)/24,""))),"")=0,"",IFERROR(IF(C112=C110,0,IF(E112=E111,0,IF(C112=$R$2,HLOOKUP($R$2,Ingreso!$AW$10:$BC$260,VLOOKUP(A112,Ingreso!AL:AM,2,FALSE),FALSE)/24,""))),""))</f>
        <v/>
      </c>
      <c r="N112" s="95" t="str">
        <f>IF(IFERROR(IF(C112=C110,0,IF(E112=E111,0,IF(C112=$R$3,HLOOKUP($R$3,Ingreso!$AW$10:$BC$260,VLOOKUP(A112,Ingreso!AL:AM,2,FALSE),FALSE)/24,""))),"")=0,"",IFERROR(IF(C112=C110,0,IF(E112=E111,0,IF(C112=$R$3,HLOOKUP($R$3,Ingreso!$AW$10:$BC$260,VLOOKUP(A112,Ingreso!AL:AM,2,FALSE),FALSE)/24,""))),""))</f>
        <v/>
      </c>
      <c r="O112" s="95" t="str">
        <f>IF(IFERROR(IF(C112=C110,0,IF(E112=E111,0,IF(C112=$R$4,HLOOKUP($R$4,Ingreso!$AW$10:$BC$260,VLOOKUP(A112,Ingreso!AL:AM,2,FALSE),FALSE)/24,""))),"")=0,"",IFERROR(IF(C112=C110,0,IF(E112=E111,0,IF(C112=$R$4,HLOOKUP($R$4,Ingreso!$AW$10:$BC$260,VLOOKUP(A112,Ingreso!AL:AM,2,FALSE),FALSE)/24,""))),""))</f>
        <v/>
      </c>
      <c r="P112" s="90"/>
      <c r="T112" t="s">
        <v>1427</v>
      </c>
      <c r="U112" t="s">
        <v>1322</v>
      </c>
      <c r="V112" t="s">
        <v>1402</v>
      </c>
      <c r="W112" s="82">
        <v>125</v>
      </c>
      <c r="X112" s="71">
        <v>0.3125</v>
      </c>
      <c r="Y112" s="101">
        <v>0.6127083333333333</v>
      </c>
      <c r="Z112" s="101">
        <v>0.94087962962962957</v>
      </c>
      <c r="AA112" s="101">
        <v>0.32817129629629627</v>
      </c>
      <c r="AB112" s="101">
        <v>1.5671296296296267E-2</v>
      </c>
      <c r="AC112" s="105">
        <v>0</v>
      </c>
      <c r="AD112" s="105">
        <v>0</v>
      </c>
      <c r="AE112" s="93">
        <v>0</v>
      </c>
      <c r="AF112" s="93">
        <v>0</v>
      </c>
      <c r="AG112" s="93">
        <v>0</v>
      </c>
    </row>
    <row r="113" spans="1:33">
      <c r="A113" s="65" t="str">
        <f>IFERROR(VLOOKUP('Informe Kelly'!A106,Base!A:B,2,FALSE),"")</f>
        <v>07.816.805-6</v>
      </c>
      <c r="B113" s="65" t="str">
        <f>IFERROR(VLOOKUP('Informe Kelly'!A106,Base!A:G,7,FALSE),"")</f>
        <v>PINTO  FLORES,JULIO CESAR</v>
      </c>
      <c r="C113" s="69" t="str">
        <f>IF(G113=$C$4,IF('Informe Kelly'!H106='Control informe Kelly'!$A$2,TEXT(((LEFT('Informe Kelly'!E106,2)*1)+1),"dd")&amp;"."&amp;MID('Informe Kelly'!E106,4,2)&amp;"."&amp;RIGHT('Informe Kelly'!E106,4),'Informe Kelly'!E106),'Informe Kelly'!E106)</f>
        <v>12.04.2011</v>
      </c>
      <c r="D113" s="69" t="str">
        <f>IF('Informe Kelly'!E106="","",'Informe Kelly'!E106)</f>
        <v>12.04.2011</v>
      </c>
      <c r="E113" s="72">
        <f t="shared" si="3"/>
        <v>53</v>
      </c>
      <c r="F113" s="72" t="str">
        <f>IFERROR(HLOOKUP(C113,Ingreso!$Q$8:$AD$9,2,FALSE),"v")</f>
        <v>Martes</v>
      </c>
      <c r="G113" s="65" t="str">
        <f>IFERROR(VLOOKUP(A113,Ingreso!K:P,6,FALSE),"no esta ingresado")</f>
        <v>no esta ingresado</v>
      </c>
      <c r="H113" s="65">
        <f>IFERROR(IF('Informe Kelly'!H106=$A$2,'Informe Kelly'!F106,""),0)</f>
        <v>0.91430555555555559</v>
      </c>
      <c r="I113" s="65" t="str">
        <f>IFERROR(IF('Informe Kelly'!H106=$A$3,'Informe Kelly'!F106,""),0)</f>
        <v/>
      </c>
      <c r="J113" s="65" t="str">
        <f>IF(IFERROR(IF(E113=E112,0,(HLOOKUP(D113,Ingreso!$AN$10:$AT$260,VLOOKUP(A113,Ingreso!$AL$11:$AM$260,2,FALSE)))/24),0)=0,"",IFERROR(IF(E113=E112,0,(HLOOKUP(D113,Ingreso!$AN$10:$AT$260,VLOOKUP(A113,Ingreso!$AL$11:$AM$260,2,FALSE)))/24),0))</f>
        <v/>
      </c>
      <c r="K113" s="65" t="str">
        <f>IF(IFERROR(IF(E113=E112,0,(HLOOKUP(C113,Ingreso!$AW$10:$BC$260,VLOOKUP(A113,Ingreso!$AL$11:$AM$260,2,FALSE)))/24),0)=0,"",IFERROR(IF(E113=E112,0,(HLOOKUP(C113,Ingreso!$AW$10:$BC$260,VLOOKUP(A113,Ingreso!$AL$11:$AM$260,2,FALSE)))/24),0))</f>
        <v/>
      </c>
      <c r="L113" s="63">
        <f t="shared" si="2"/>
        <v>0</v>
      </c>
      <c r="M113" s="63" t="str">
        <f>IF(IFERROR(IF(C113=C111,0,IF(E113=E112,0,IF(C113=$R$2,HLOOKUP($R$2,Ingreso!$AW$10:$BC$260,VLOOKUP(A113,Ingreso!AL:AM,2,FALSE),FALSE)/24,""))),"")=0,"",IFERROR(IF(C113=C111,0,IF(E113=E112,0,IF(C113=$R$2,HLOOKUP($R$2,Ingreso!$AW$10:$BC$260,VLOOKUP(A113,Ingreso!AL:AM,2,FALSE),FALSE)/24,""))),""))</f>
        <v/>
      </c>
      <c r="N113" s="95" t="str">
        <f>IF(IFERROR(IF(C113=C111,0,IF(E113=E112,0,IF(C113=$R$3,HLOOKUP($R$3,Ingreso!$AW$10:$BC$260,VLOOKUP(A113,Ingreso!AL:AM,2,FALSE),FALSE)/24,""))),"")=0,"",IFERROR(IF(C113=C111,0,IF(E113=E112,0,IF(C113=$R$3,HLOOKUP($R$3,Ingreso!$AW$10:$BC$260,VLOOKUP(A113,Ingreso!AL:AM,2,FALSE),FALSE)/24,""))),""))</f>
        <v/>
      </c>
      <c r="O113" s="95" t="str">
        <f>IF(IFERROR(IF(C113=C111,0,IF(E113=E112,0,IF(C113=$R$4,HLOOKUP($R$4,Ingreso!$AW$10:$BC$260,VLOOKUP(A113,Ingreso!AL:AM,2,FALSE),FALSE)/24,""))),"")=0,"",IFERROR(IF(C113=C111,0,IF(E113=E112,0,IF(C113=$R$4,HLOOKUP($R$4,Ingreso!$AW$10:$BC$260,VLOOKUP(A113,Ingreso!AL:AM,2,FALSE),FALSE)/24,""))),""))</f>
        <v/>
      </c>
      <c r="P113" s="90"/>
      <c r="R113" t="s">
        <v>418</v>
      </c>
      <c r="S113" t="s">
        <v>422</v>
      </c>
      <c r="T113" t="s">
        <v>1420</v>
      </c>
      <c r="U113" t="s">
        <v>4</v>
      </c>
      <c r="V113" t="s">
        <v>1397</v>
      </c>
      <c r="W113" s="82">
        <v>126</v>
      </c>
      <c r="X113" s="71">
        <v>0.3125</v>
      </c>
      <c r="Y113" s="101">
        <v>0.30920138888888887</v>
      </c>
      <c r="Z113" s="101">
        <v>0.64166666666666672</v>
      </c>
      <c r="AA113" s="101">
        <v>0.33246527777777785</v>
      </c>
      <c r="AB113" s="101">
        <v>1.9965277777777846E-2</v>
      </c>
      <c r="AC113" s="105">
        <v>0</v>
      </c>
      <c r="AD113" s="105">
        <v>0</v>
      </c>
      <c r="AE113" s="93">
        <v>0</v>
      </c>
      <c r="AF113" s="93">
        <v>0</v>
      </c>
      <c r="AG113" s="93">
        <v>0</v>
      </c>
    </row>
    <row r="114" spans="1:33">
      <c r="A114" s="65" t="str">
        <f>IFERROR(VLOOKUP('Informe Kelly'!A107,Base!A:B,2,FALSE),"")</f>
        <v>07.816.805-6</v>
      </c>
      <c r="B114" s="65" t="str">
        <f>IFERROR(VLOOKUP('Informe Kelly'!A107,Base!A:G,7,FALSE),"")</f>
        <v>PINTO  FLORES,JULIO CESAR</v>
      </c>
      <c r="C114" s="69" t="str">
        <f>IF(G114=$C$4,IF('Informe Kelly'!H107='Control informe Kelly'!$A$2,TEXT(((LEFT('Informe Kelly'!E107,2)*1)+1),"dd")&amp;"."&amp;MID('Informe Kelly'!E107,4,2)&amp;"."&amp;RIGHT('Informe Kelly'!E107,4),'Informe Kelly'!E107),'Informe Kelly'!E107)</f>
        <v>13.04.2011</v>
      </c>
      <c r="D114" s="69" t="str">
        <f>IF('Informe Kelly'!E107="","",'Informe Kelly'!E107)</f>
        <v>13.04.2011</v>
      </c>
      <c r="E114" s="72">
        <f t="shared" si="3"/>
        <v>54</v>
      </c>
      <c r="F114" s="72" t="str">
        <f>IFERROR(HLOOKUP(C114,Ingreso!$Q$8:$AD$9,2,FALSE),"v")</f>
        <v>Miércoles</v>
      </c>
      <c r="G114" s="65" t="str">
        <f>IFERROR(VLOOKUP(A114,Ingreso!K:P,6,FALSE),"no esta ingresado")</f>
        <v>no esta ingresado</v>
      </c>
      <c r="H114" s="65" t="str">
        <f>IFERROR(IF('Informe Kelly'!H107=$A$2,'Informe Kelly'!F107,""),0)</f>
        <v/>
      </c>
      <c r="I114" s="65">
        <f>IFERROR(IF('Informe Kelly'!H107=$A$3,'Informe Kelly'!F107,""),0)</f>
        <v>0.32171296296296298</v>
      </c>
      <c r="J114" s="65" t="str">
        <f>IF(IFERROR(IF(E114=E113,0,(HLOOKUP(D114,Ingreso!$AN$10:$AT$260,VLOOKUP(A114,Ingreso!$AL$11:$AM$260,2,FALSE)))/24),0)=0,"",IFERROR(IF(E114=E113,0,(HLOOKUP(D114,Ingreso!$AN$10:$AT$260,VLOOKUP(A114,Ingreso!$AL$11:$AM$260,2,FALSE)))/24),0))</f>
        <v/>
      </c>
      <c r="K114" s="65" t="str">
        <f>IF(IFERROR(IF(E114=E113,0,(HLOOKUP(C114,Ingreso!$AW$10:$BC$260,VLOOKUP(A114,Ingreso!$AL$11:$AM$260,2,FALSE)))/24),0)=0,"",IFERROR(IF(E114=E113,0,(HLOOKUP(C114,Ingreso!$AW$10:$BC$260,VLOOKUP(A114,Ingreso!$AL$11:$AM$260,2,FALSE)))/24),0))</f>
        <v/>
      </c>
      <c r="L114" s="63" t="str">
        <f t="shared" si="2"/>
        <v/>
      </c>
      <c r="M114" s="63" t="str">
        <f>IF(IFERROR(IF(C114=C112,0,IF(E114=E113,0,IF(C114=$R$2,HLOOKUP($R$2,Ingreso!$AW$10:$BC$260,VLOOKUP(A114,Ingreso!AL:AM,2,FALSE),FALSE)/24,""))),"")=0,"",IFERROR(IF(C114=C112,0,IF(E114=E113,0,IF(C114=$R$2,HLOOKUP($R$2,Ingreso!$AW$10:$BC$260,VLOOKUP(A114,Ingreso!AL:AM,2,FALSE),FALSE)/24,""))),""))</f>
        <v/>
      </c>
      <c r="N114" s="95" t="str">
        <f>IF(IFERROR(IF(C114=C112,0,IF(E114=E113,0,IF(C114=$R$3,HLOOKUP($R$3,Ingreso!$AW$10:$BC$260,VLOOKUP(A114,Ingreso!AL:AM,2,FALSE),FALSE)/24,""))),"")=0,"",IFERROR(IF(C114=C112,0,IF(E114=E113,0,IF(C114=$R$3,HLOOKUP($R$3,Ingreso!$AW$10:$BC$260,VLOOKUP(A114,Ingreso!AL:AM,2,FALSE),FALSE)/24,""))),""))</f>
        <v/>
      </c>
      <c r="O114" s="95" t="str">
        <f>IF(IFERROR(IF(C114=C112,0,IF(E114=E113,0,IF(C114=$R$4,HLOOKUP($R$4,Ingreso!$AW$10:$BC$260,VLOOKUP(A114,Ingreso!AL:AM,2,FALSE),FALSE)/24,""))),"")=0,"",IFERROR(IF(C114=C112,0,IF(E114=E113,0,IF(C114=$R$4,HLOOKUP($R$4,Ingreso!$AW$10:$BC$260,VLOOKUP(A114,Ingreso!AL:AM,2,FALSE),FALSE)/24,""))),""))</f>
        <v/>
      </c>
      <c r="P114" s="90"/>
      <c r="T114" t="s">
        <v>1423</v>
      </c>
      <c r="U114" t="s">
        <v>4</v>
      </c>
      <c r="V114" t="s">
        <v>1398</v>
      </c>
      <c r="W114" s="82">
        <v>127</v>
      </c>
      <c r="X114" s="71">
        <v>0.3125</v>
      </c>
      <c r="Y114" s="101">
        <v>0.29864583333333333</v>
      </c>
      <c r="Z114" s="101">
        <v>0.64071759259259264</v>
      </c>
      <c r="AA114" s="101">
        <v>0.34207175925925931</v>
      </c>
      <c r="AB114" s="101">
        <v>2.9571759259259311E-2</v>
      </c>
      <c r="AC114" s="105">
        <v>0</v>
      </c>
      <c r="AD114" s="105">
        <v>0</v>
      </c>
      <c r="AE114" s="93">
        <v>0</v>
      </c>
      <c r="AF114" s="93">
        <v>0</v>
      </c>
      <c r="AG114" s="93">
        <v>0</v>
      </c>
    </row>
    <row r="115" spans="1:33">
      <c r="A115" s="65" t="str">
        <f>IFERROR(VLOOKUP('Informe Kelly'!A108,Base!A:B,2,FALSE),"")</f>
        <v>07.816.805-6</v>
      </c>
      <c r="B115" s="65" t="str">
        <f>IFERROR(VLOOKUP('Informe Kelly'!A108,Base!A:G,7,FALSE),"")</f>
        <v>PINTO  FLORES,JULIO CESAR</v>
      </c>
      <c r="C115" s="69" t="str">
        <f>IF(G115=$C$4,IF('Informe Kelly'!H108='Control informe Kelly'!$A$2,TEXT(((LEFT('Informe Kelly'!E108,2)*1)+1),"dd")&amp;"."&amp;MID('Informe Kelly'!E108,4,2)&amp;"."&amp;RIGHT('Informe Kelly'!E108,4),'Informe Kelly'!E108),'Informe Kelly'!E108)</f>
        <v>13.04.2011</v>
      </c>
      <c r="D115" s="69" t="str">
        <f>IF('Informe Kelly'!E108="","",'Informe Kelly'!E108)</f>
        <v>13.04.2011</v>
      </c>
      <c r="E115" s="72">
        <f t="shared" si="3"/>
        <v>54</v>
      </c>
      <c r="F115" s="72" t="str">
        <f>IFERROR(HLOOKUP(C115,Ingreso!$Q$8:$AD$9,2,FALSE),"v")</f>
        <v>Miércoles</v>
      </c>
      <c r="G115" s="65" t="str">
        <f>IFERROR(VLOOKUP(A115,Ingreso!K:P,6,FALSE),"no esta ingresado")</f>
        <v>no esta ingresado</v>
      </c>
      <c r="H115" s="65">
        <f>IFERROR(IF('Informe Kelly'!H108=$A$2,'Informe Kelly'!F108,""),0)</f>
        <v>0.91396990740740736</v>
      </c>
      <c r="I115" s="65" t="str">
        <f>IFERROR(IF('Informe Kelly'!H108=$A$3,'Informe Kelly'!F108,""),0)</f>
        <v/>
      </c>
      <c r="J115" s="65" t="str">
        <f>IF(IFERROR(IF(E115=E114,0,(HLOOKUP(D115,Ingreso!$AN$10:$AT$260,VLOOKUP(A115,Ingreso!$AL$11:$AM$260,2,FALSE)))/24),0)=0,"",IFERROR(IF(E115=E114,0,(HLOOKUP(D115,Ingreso!$AN$10:$AT$260,VLOOKUP(A115,Ingreso!$AL$11:$AM$260,2,FALSE)))/24),0))</f>
        <v/>
      </c>
      <c r="K115" s="65" t="str">
        <f>IF(IFERROR(IF(E115=E114,0,(HLOOKUP(C115,Ingreso!$AW$10:$BC$260,VLOOKUP(A115,Ingreso!$AL$11:$AM$260,2,FALSE)))/24),0)=0,"",IFERROR(IF(E115=E114,0,(HLOOKUP(C115,Ingreso!$AW$10:$BC$260,VLOOKUP(A115,Ingreso!$AL$11:$AM$260,2,FALSE)))/24),0))</f>
        <v/>
      </c>
      <c r="L115" s="63">
        <f t="shared" si="2"/>
        <v>0</v>
      </c>
      <c r="M115" s="63" t="str">
        <f>IF(IFERROR(IF(C115=C113,0,IF(E115=E114,0,IF(C115=$R$2,HLOOKUP($R$2,Ingreso!$AW$10:$BC$260,VLOOKUP(A115,Ingreso!AL:AM,2,FALSE),FALSE)/24,""))),"")=0,"",IFERROR(IF(C115=C113,0,IF(E115=E114,0,IF(C115=$R$2,HLOOKUP($R$2,Ingreso!$AW$10:$BC$260,VLOOKUP(A115,Ingreso!AL:AM,2,FALSE),FALSE)/24,""))),""))</f>
        <v/>
      </c>
      <c r="N115" s="95" t="str">
        <f>IF(IFERROR(IF(C115=C113,0,IF(E115=E114,0,IF(C115=$R$3,HLOOKUP($R$3,Ingreso!$AW$10:$BC$260,VLOOKUP(A115,Ingreso!AL:AM,2,FALSE),FALSE)/24,""))),"")=0,"",IFERROR(IF(C115=C113,0,IF(E115=E114,0,IF(C115=$R$3,HLOOKUP($R$3,Ingreso!$AW$10:$BC$260,VLOOKUP(A115,Ingreso!AL:AM,2,FALSE),FALSE)/24,""))),""))</f>
        <v/>
      </c>
      <c r="O115" s="95" t="str">
        <f>IF(IFERROR(IF(C115=C113,0,IF(E115=E114,0,IF(C115=$R$4,HLOOKUP($R$4,Ingreso!$AW$10:$BC$260,VLOOKUP(A115,Ingreso!AL:AM,2,FALSE),FALSE)/24,""))),"")=0,"",IFERROR(IF(C115=C113,0,IF(E115=E114,0,IF(C115=$R$4,HLOOKUP($R$4,Ingreso!$AW$10:$BC$260,VLOOKUP(A115,Ingreso!AL:AM,2,FALSE),FALSE)/24,""))),""))</f>
        <v/>
      </c>
      <c r="P115" s="90"/>
      <c r="T115" t="s">
        <v>1424</v>
      </c>
      <c r="U115" t="s">
        <v>4</v>
      </c>
      <c r="V115" t="s">
        <v>1399</v>
      </c>
      <c r="W115" s="82">
        <v>128</v>
      </c>
      <c r="X115" s="71">
        <v>0.3125</v>
      </c>
      <c r="Y115" s="101">
        <v>0.30380787037037038</v>
      </c>
      <c r="Z115" s="101">
        <v>0.64167824074074076</v>
      </c>
      <c r="AA115" s="101">
        <v>0.33787037037037038</v>
      </c>
      <c r="AB115" s="101">
        <v>2.5370370370370376E-2</v>
      </c>
      <c r="AC115" s="105">
        <v>0</v>
      </c>
      <c r="AD115" s="105">
        <v>0</v>
      </c>
      <c r="AE115" s="93">
        <v>0</v>
      </c>
      <c r="AF115" s="93">
        <v>0</v>
      </c>
      <c r="AG115" s="93">
        <v>0</v>
      </c>
    </row>
    <row r="116" spans="1:33">
      <c r="A116" s="65" t="str">
        <f>IFERROR(VLOOKUP('Informe Kelly'!A109,Base!A:B,2,FALSE),"")</f>
        <v>07.816.805-6</v>
      </c>
      <c r="B116" s="65" t="str">
        <f>IFERROR(VLOOKUP('Informe Kelly'!A109,Base!A:G,7,FALSE),"")</f>
        <v>PINTO  FLORES,JULIO CESAR</v>
      </c>
      <c r="C116" s="69" t="str">
        <f>IF(G116=$C$4,IF('Informe Kelly'!H109='Control informe Kelly'!$A$2,TEXT(((LEFT('Informe Kelly'!E109,2)*1)+1),"dd")&amp;"."&amp;MID('Informe Kelly'!E109,4,2)&amp;"."&amp;RIGHT('Informe Kelly'!E109,4),'Informe Kelly'!E109),'Informe Kelly'!E109)</f>
        <v>14.04.2011</v>
      </c>
      <c r="D116" s="69" t="str">
        <f>IF('Informe Kelly'!E109="","",'Informe Kelly'!E109)</f>
        <v>14.04.2011</v>
      </c>
      <c r="E116" s="72">
        <f t="shared" si="3"/>
        <v>55</v>
      </c>
      <c r="F116" s="72" t="str">
        <f>IFERROR(HLOOKUP(C116,Ingreso!$Q$8:$AD$9,2,FALSE),"v")</f>
        <v>Jueves</v>
      </c>
      <c r="G116" s="65" t="str">
        <f>IFERROR(VLOOKUP(A116,Ingreso!K:P,6,FALSE),"no esta ingresado")</f>
        <v>no esta ingresado</v>
      </c>
      <c r="H116" s="65" t="str">
        <f>IFERROR(IF('Informe Kelly'!H109=$A$2,'Informe Kelly'!F109,""),0)</f>
        <v/>
      </c>
      <c r="I116" s="65">
        <f>IFERROR(IF('Informe Kelly'!H109=$A$3,'Informe Kelly'!F109,""),0)</f>
        <v>0.32314814814814813</v>
      </c>
      <c r="J116" s="65" t="str">
        <f>IF(IFERROR(IF(E116=E115,0,(HLOOKUP(D116,Ingreso!$AN$10:$AT$260,VLOOKUP(A116,Ingreso!$AL$11:$AM$260,2,FALSE)))/24),0)=0,"",IFERROR(IF(E116=E115,0,(HLOOKUP(D116,Ingreso!$AN$10:$AT$260,VLOOKUP(A116,Ingreso!$AL$11:$AM$260,2,FALSE)))/24),0))</f>
        <v/>
      </c>
      <c r="K116" s="65" t="str">
        <f>IF(IFERROR(IF(E116=E115,0,(HLOOKUP(C116,Ingreso!$AW$10:$BC$260,VLOOKUP(A116,Ingreso!$AL$11:$AM$260,2,FALSE)))/24),0)=0,"",IFERROR(IF(E116=E115,0,(HLOOKUP(C116,Ingreso!$AW$10:$BC$260,VLOOKUP(A116,Ingreso!$AL$11:$AM$260,2,FALSE)))/24),0))</f>
        <v/>
      </c>
      <c r="L116" s="63" t="str">
        <f t="shared" si="2"/>
        <v/>
      </c>
      <c r="M116" s="63" t="str">
        <f>IF(IFERROR(IF(C116=C114,0,IF(E116=E115,0,IF(C116=$R$2,HLOOKUP($R$2,Ingreso!$AW$10:$BC$260,VLOOKUP(A116,Ingreso!AL:AM,2,FALSE),FALSE)/24,""))),"")=0,"",IFERROR(IF(C116=C114,0,IF(E116=E115,0,IF(C116=$R$2,HLOOKUP($R$2,Ingreso!$AW$10:$BC$260,VLOOKUP(A116,Ingreso!AL:AM,2,FALSE),FALSE)/24,""))),""))</f>
        <v/>
      </c>
      <c r="N116" s="95" t="str">
        <f>IF(IFERROR(IF(C116=C114,0,IF(E116=E115,0,IF(C116=$R$3,HLOOKUP($R$3,Ingreso!$AW$10:$BC$260,VLOOKUP(A116,Ingreso!AL:AM,2,FALSE),FALSE)/24,""))),"")=0,"",IFERROR(IF(C116=C114,0,IF(E116=E115,0,IF(C116=$R$3,HLOOKUP($R$3,Ingreso!$AW$10:$BC$260,VLOOKUP(A116,Ingreso!AL:AM,2,FALSE),FALSE)/24,""))),""))</f>
        <v/>
      </c>
      <c r="O116" s="95" t="str">
        <f>IF(IFERROR(IF(C116=C114,0,IF(E116=E115,0,IF(C116=$R$4,HLOOKUP($R$4,Ingreso!$AW$10:$BC$260,VLOOKUP(A116,Ingreso!AL:AM,2,FALSE),FALSE)/24,""))),"")=0,"",IFERROR(IF(C116=C114,0,IF(E116=E115,0,IF(C116=$R$4,HLOOKUP($R$4,Ingreso!$AW$10:$BC$260,VLOOKUP(A116,Ingreso!AL:AM,2,FALSE),FALSE)/24,""))),""))</f>
        <v/>
      </c>
      <c r="P116" s="90"/>
      <c r="T116" t="s">
        <v>1425</v>
      </c>
      <c r="U116" t="s">
        <v>4</v>
      </c>
      <c r="V116" t="s">
        <v>1400</v>
      </c>
      <c r="W116" s="82">
        <v>129</v>
      </c>
      <c r="X116" s="71">
        <v>0.3125</v>
      </c>
      <c r="Y116" s="101">
        <v>0.31605324074074076</v>
      </c>
      <c r="Z116" s="101">
        <v>0.63834490740740735</v>
      </c>
      <c r="AA116" s="101">
        <v>0.32229166666666659</v>
      </c>
      <c r="AB116" s="101">
        <v>9.7916666666665875E-3</v>
      </c>
      <c r="AC116" s="105">
        <v>0</v>
      </c>
      <c r="AD116" s="105">
        <v>0</v>
      </c>
      <c r="AE116" s="93">
        <v>0</v>
      </c>
      <c r="AF116" s="93">
        <v>0</v>
      </c>
      <c r="AG116" s="93">
        <v>0</v>
      </c>
    </row>
    <row r="117" spans="1:33" ht="12.75" customHeight="1">
      <c r="A117" s="65" t="str">
        <f>IFERROR(VLOOKUP('Informe Kelly'!A110,Base!A:B,2,FALSE),"")</f>
        <v>07.816.805-6</v>
      </c>
      <c r="B117" s="65" t="str">
        <f>IFERROR(VLOOKUP('Informe Kelly'!A110,Base!A:G,7,FALSE),"")</f>
        <v>PINTO  FLORES,JULIO CESAR</v>
      </c>
      <c r="C117" s="69" t="str">
        <f>IF(G117=$C$4,IF('Informe Kelly'!H110='Control informe Kelly'!$A$2,TEXT(((LEFT('Informe Kelly'!E110,2)*1)+1),"dd")&amp;"."&amp;MID('Informe Kelly'!E110,4,2)&amp;"."&amp;RIGHT('Informe Kelly'!E110,4),'Informe Kelly'!E110),'Informe Kelly'!E110)</f>
        <v>14.04.2011</v>
      </c>
      <c r="D117" s="69" t="str">
        <f>IF('Informe Kelly'!E110="","",'Informe Kelly'!E110)</f>
        <v>14.04.2011</v>
      </c>
      <c r="E117" s="72">
        <f t="shared" si="3"/>
        <v>55</v>
      </c>
      <c r="F117" s="72" t="str">
        <f>IFERROR(HLOOKUP(C117,Ingreso!$Q$8:$AD$9,2,FALSE),"v")</f>
        <v>Jueves</v>
      </c>
      <c r="G117" s="65" t="str">
        <f>IFERROR(VLOOKUP(A117,Ingreso!K:P,6,FALSE),"no esta ingresado")</f>
        <v>no esta ingresado</v>
      </c>
      <c r="H117" s="65">
        <f>IFERROR(IF('Informe Kelly'!H110=$A$2,'Informe Kelly'!F110,""),0)</f>
        <v>0.91577546296296297</v>
      </c>
      <c r="I117" s="65" t="str">
        <f>IFERROR(IF('Informe Kelly'!H110=$A$3,'Informe Kelly'!F110,""),0)</f>
        <v/>
      </c>
      <c r="J117" s="65" t="str">
        <f>IF(IFERROR(IF(E117=E116,0,(HLOOKUP(D117,Ingreso!$AN$10:$AT$260,VLOOKUP(A117,Ingreso!$AL$11:$AM$260,2,FALSE)))/24),0)=0,"",IFERROR(IF(E117=E116,0,(HLOOKUP(D117,Ingreso!$AN$10:$AT$260,VLOOKUP(A117,Ingreso!$AL$11:$AM$260,2,FALSE)))/24),0))</f>
        <v/>
      </c>
      <c r="K117" s="65" t="str">
        <f>IF(IFERROR(IF(E117=E116,0,(HLOOKUP(C117,Ingreso!$AW$10:$BC$260,VLOOKUP(A117,Ingreso!$AL$11:$AM$260,2,FALSE)))/24),0)=0,"",IFERROR(IF(E117=E116,0,(HLOOKUP(C117,Ingreso!$AW$10:$BC$260,VLOOKUP(A117,Ingreso!$AL$11:$AM$260,2,FALSE)))/24),0))</f>
        <v/>
      </c>
      <c r="L117" s="63">
        <f t="shared" si="2"/>
        <v>0</v>
      </c>
      <c r="M117" s="63" t="str">
        <f>IF(IFERROR(IF(C117=C115,0,IF(E117=E116,0,IF(C117=$R$2,HLOOKUP($R$2,Ingreso!$AW$10:$BC$260,VLOOKUP(A117,Ingreso!AL:AM,2,FALSE),FALSE)/24,""))),"")=0,"",IFERROR(IF(C117=C115,0,IF(E117=E116,0,IF(C117=$R$2,HLOOKUP($R$2,Ingreso!$AW$10:$BC$260,VLOOKUP(A117,Ingreso!AL:AM,2,FALSE),FALSE)/24,""))),""))</f>
        <v/>
      </c>
      <c r="N117" s="95" t="str">
        <f>IF(IFERROR(IF(C117=C115,0,IF(E117=E116,0,IF(C117=$R$3,HLOOKUP($R$3,Ingreso!$AW$10:$BC$260,VLOOKUP(A117,Ingreso!AL:AM,2,FALSE),FALSE)/24,""))),"")=0,"",IFERROR(IF(C117=C115,0,IF(E117=E116,0,IF(C117=$R$3,HLOOKUP($R$3,Ingreso!$AW$10:$BC$260,VLOOKUP(A117,Ingreso!AL:AM,2,FALSE),FALSE)/24,""))),""))</f>
        <v/>
      </c>
      <c r="O117" s="95" t="str">
        <f>IF(IFERROR(IF(C117=C115,0,IF(E117=E116,0,IF(C117=$R$4,HLOOKUP($R$4,Ingreso!$AW$10:$BC$260,VLOOKUP(A117,Ingreso!AL:AM,2,FALSE),FALSE)/24,""))),"")=0,"",IFERROR(IF(C117=C115,0,IF(E117=E116,0,IF(C117=$R$4,HLOOKUP($R$4,Ingreso!$AW$10:$BC$260,VLOOKUP(A117,Ingreso!AL:AM,2,FALSE),FALSE)/24,""))),""))</f>
        <v/>
      </c>
      <c r="P117" s="90"/>
      <c r="T117" t="s">
        <v>1426</v>
      </c>
      <c r="U117" t="s">
        <v>4</v>
      </c>
      <c r="V117" t="s">
        <v>1401</v>
      </c>
      <c r="W117" s="82">
        <v>130</v>
      </c>
      <c r="X117" s="71">
        <v>0.3125</v>
      </c>
      <c r="Y117" s="101">
        <v>0.30523148148148149</v>
      </c>
      <c r="Z117" s="101">
        <v>0.64248842592592592</v>
      </c>
      <c r="AA117" s="101">
        <v>0.33725694444444443</v>
      </c>
      <c r="AB117" s="101">
        <v>2.4756944444444429E-2</v>
      </c>
      <c r="AC117" s="105">
        <v>0</v>
      </c>
      <c r="AD117" s="105">
        <v>0</v>
      </c>
      <c r="AE117" s="93">
        <v>0</v>
      </c>
      <c r="AF117" s="93">
        <v>0</v>
      </c>
      <c r="AG117" s="93">
        <v>0</v>
      </c>
    </row>
    <row r="118" spans="1:33">
      <c r="A118" s="65" t="str">
        <f>IFERROR(VLOOKUP('Informe Kelly'!A111,Base!A:B,2,FALSE),"")</f>
        <v>07.816.805-6</v>
      </c>
      <c r="B118" s="65" t="str">
        <f>IFERROR(VLOOKUP('Informe Kelly'!A111,Base!A:G,7,FALSE),"")</f>
        <v>PINTO  FLORES,JULIO CESAR</v>
      </c>
      <c r="C118" s="69" t="str">
        <f>IF(G118=$C$4,IF('Informe Kelly'!H111='Control informe Kelly'!$A$2,TEXT(((LEFT('Informe Kelly'!E111,2)*1)+1),"dd")&amp;"."&amp;MID('Informe Kelly'!E111,4,2)&amp;"."&amp;RIGHT('Informe Kelly'!E111,4),'Informe Kelly'!E111),'Informe Kelly'!E111)</f>
        <v>15.04.2011</v>
      </c>
      <c r="D118" s="69" t="str">
        <f>IF('Informe Kelly'!E111="","",'Informe Kelly'!E111)</f>
        <v>15.04.2011</v>
      </c>
      <c r="E118" s="72">
        <f t="shared" si="3"/>
        <v>56</v>
      </c>
      <c r="F118" s="72" t="str">
        <f>IFERROR(HLOOKUP(C118,Ingreso!$Q$8:$AD$9,2,FALSE),"v")</f>
        <v>Viernes</v>
      </c>
      <c r="G118" s="65" t="str">
        <f>IFERROR(VLOOKUP(A118,Ingreso!K:P,6,FALSE),"no esta ingresado")</f>
        <v>no esta ingresado</v>
      </c>
      <c r="H118" s="65" t="str">
        <f>IFERROR(IF('Informe Kelly'!H111=$A$2,'Informe Kelly'!F111,""),0)</f>
        <v/>
      </c>
      <c r="I118" s="65">
        <f>IFERROR(IF('Informe Kelly'!H111=$A$3,'Informe Kelly'!F111,""),0)</f>
        <v>0.32246527777777778</v>
      </c>
      <c r="J118" s="65" t="str">
        <f>IF(IFERROR(IF(E118=E117,0,(HLOOKUP(D118,Ingreso!$AN$10:$AT$260,VLOOKUP(A118,Ingreso!$AL$11:$AM$260,2,FALSE)))/24),0)=0,"",IFERROR(IF(E118=E117,0,(HLOOKUP(D118,Ingreso!$AN$10:$AT$260,VLOOKUP(A118,Ingreso!$AL$11:$AM$260,2,FALSE)))/24),0))</f>
        <v/>
      </c>
      <c r="K118" s="65" t="str">
        <f>IF(IFERROR(IF(E118=E117,0,(HLOOKUP(C118,Ingreso!$AW$10:$BC$260,VLOOKUP(A118,Ingreso!$AL$11:$AM$260,2,FALSE)))/24),0)=0,"",IFERROR(IF(E118=E117,0,(HLOOKUP(C118,Ingreso!$AW$10:$BC$260,VLOOKUP(A118,Ingreso!$AL$11:$AM$260,2,FALSE)))/24),0))</f>
        <v/>
      </c>
      <c r="L118" s="63" t="str">
        <f t="shared" si="2"/>
        <v/>
      </c>
      <c r="M118" s="63" t="str">
        <f>IF(IFERROR(IF(C118=C116,0,IF(E118=E117,0,IF(C118=$R$2,HLOOKUP($R$2,Ingreso!$AW$10:$BC$260,VLOOKUP(A118,Ingreso!AL:AM,2,FALSE),FALSE)/24,""))),"")=0,"",IFERROR(IF(C118=C116,0,IF(E118=E117,0,IF(C118=$R$2,HLOOKUP($R$2,Ingreso!$AW$10:$BC$260,VLOOKUP(A118,Ingreso!AL:AM,2,FALSE),FALSE)/24,""))),""))</f>
        <v/>
      </c>
      <c r="N118" s="95" t="str">
        <f>IF(IFERROR(IF(C118=C116,0,IF(E118=E117,0,IF(C118=$R$3,HLOOKUP($R$3,Ingreso!$AW$10:$BC$260,VLOOKUP(A118,Ingreso!AL:AM,2,FALSE),FALSE)/24,""))),"")=0,"",IFERROR(IF(C118=C116,0,IF(E118=E117,0,IF(C118=$R$3,HLOOKUP($R$3,Ingreso!$AW$10:$BC$260,VLOOKUP(A118,Ingreso!AL:AM,2,FALSE),FALSE)/24,""))),""))</f>
        <v/>
      </c>
      <c r="O118" s="95" t="str">
        <f>IF(IFERROR(IF(C118=C116,0,IF(E118=E117,0,IF(C118=$R$4,HLOOKUP($R$4,Ingreso!$AW$10:$BC$260,VLOOKUP(A118,Ingreso!AL:AM,2,FALSE),FALSE)/24,""))),"")=0,"",IFERROR(IF(C118=C116,0,IF(E118=E117,0,IF(C118=$R$4,HLOOKUP($R$4,Ingreso!$AW$10:$BC$260,VLOOKUP(A118,Ingreso!AL:AM,2,FALSE),FALSE)/24,""))),""))</f>
        <v/>
      </c>
      <c r="P118" s="90"/>
      <c r="T118" t="s">
        <v>1427</v>
      </c>
      <c r="U118" t="s">
        <v>4</v>
      </c>
      <c r="V118" t="s">
        <v>1402</v>
      </c>
      <c r="W118" s="82">
        <v>131</v>
      </c>
      <c r="X118" s="71">
        <v>0.3125</v>
      </c>
      <c r="Y118" s="101">
        <v>0.35094907407407411</v>
      </c>
      <c r="Z118" s="101">
        <v>0.64826388888888886</v>
      </c>
      <c r="AA118" s="101">
        <v>0.29731481481481475</v>
      </c>
      <c r="AB118" s="101">
        <v>-1.5185185185185246E-2</v>
      </c>
      <c r="AC118" s="105">
        <v>0</v>
      </c>
      <c r="AD118" s="105">
        <v>0</v>
      </c>
      <c r="AE118" s="93">
        <v>0</v>
      </c>
      <c r="AF118" s="93">
        <v>0</v>
      </c>
      <c r="AG118" s="93">
        <v>0</v>
      </c>
    </row>
    <row r="119" spans="1:33">
      <c r="A119" s="65" t="str">
        <f>IFERROR(VLOOKUP('Informe Kelly'!A112,Base!A:B,2,FALSE),"")</f>
        <v>07.816.805-6</v>
      </c>
      <c r="B119" s="65" t="str">
        <f>IFERROR(VLOOKUP('Informe Kelly'!A112,Base!A:G,7,FALSE),"")</f>
        <v>PINTO  FLORES,JULIO CESAR</v>
      </c>
      <c r="C119" s="69" t="str">
        <f>IF(G119=$C$4,IF('Informe Kelly'!H112='Control informe Kelly'!$A$2,TEXT(((LEFT('Informe Kelly'!E112,2)*1)+1),"dd")&amp;"."&amp;MID('Informe Kelly'!E112,4,2)&amp;"."&amp;RIGHT('Informe Kelly'!E112,4),'Informe Kelly'!E112),'Informe Kelly'!E112)</f>
        <v>15.04.2011</v>
      </c>
      <c r="D119" s="69" t="str">
        <f>IF('Informe Kelly'!E112="","",'Informe Kelly'!E112)</f>
        <v>15.04.2011</v>
      </c>
      <c r="E119" s="72">
        <f t="shared" si="3"/>
        <v>56</v>
      </c>
      <c r="F119" s="72" t="str">
        <f>IFERROR(HLOOKUP(C119,Ingreso!$Q$8:$AD$9,2,FALSE),"v")</f>
        <v>Viernes</v>
      </c>
      <c r="G119" s="65" t="str">
        <f>IFERROR(VLOOKUP(A119,Ingreso!K:P,6,FALSE),"no esta ingresado")</f>
        <v>no esta ingresado</v>
      </c>
      <c r="H119" s="65">
        <f>IFERROR(IF('Informe Kelly'!H112=$A$2,'Informe Kelly'!F112,""),0)</f>
        <v>0.91442129629629632</v>
      </c>
      <c r="I119" s="65" t="str">
        <f>IFERROR(IF('Informe Kelly'!H112=$A$3,'Informe Kelly'!F112,""),0)</f>
        <v/>
      </c>
      <c r="J119" s="65" t="str">
        <f>IF(IFERROR(IF(E119=E118,0,(HLOOKUP(D119,Ingreso!$AN$10:$AT$260,VLOOKUP(A119,Ingreso!$AL$11:$AM$260,2,FALSE)))/24),0)=0,"",IFERROR(IF(E119=E118,0,(HLOOKUP(D119,Ingreso!$AN$10:$AT$260,VLOOKUP(A119,Ingreso!$AL$11:$AM$260,2,FALSE)))/24),0))</f>
        <v/>
      </c>
      <c r="K119" s="65" t="str">
        <f>IF(IFERROR(IF(E119=E118,0,(HLOOKUP(C119,Ingreso!$AW$10:$BC$260,VLOOKUP(A119,Ingreso!$AL$11:$AM$260,2,FALSE)))/24),0)=0,"",IFERROR(IF(E119=E118,0,(HLOOKUP(C119,Ingreso!$AW$10:$BC$260,VLOOKUP(A119,Ingreso!$AL$11:$AM$260,2,FALSE)))/24),0))</f>
        <v/>
      </c>
      <c r="L119" s="63">
        <f t="shared" si="2"/>
        <v>0</v>
      </c>
      <c r="M119" s="63" t="str">
        <f>IF(IFERROR(IF(C119=C117,0,IF(E119=E118,0,IF(C119=$R$2,HLOOKUP($R$2,Ingreso!$AW$10:$BC$260,VLOOKUP(A119,Ingreso!AL:AM,2,FALSE),FALSE)/24,""))),"")=0,"",IFERROR(IF(C119=C117,0,IF(E119=E118,0,IF(C119=$R$2,HLOOKUP($R$2,Ingreso!$AW$10:$BC$260,VLOOKUP(A119,Ingreso!AL:AM,2,FALSE),FALSE)/24,""))),""))</f>
        <v/>
      </c>
      <c r="N119" s="95" t="str">
        <f>IF(IFERROR(IF(C119=C117,0,IF(E119=E118,0,IF(C119=$R$3,HLOOKUP($R$3,Ingreso!$AW$10:$BC$260,VLOOKUP(A119,Ingreso!AL:AM,2,FALSE),FALSE)/24,""))),"")=0,"",IFERROR(IF(C119=C117,0,IF(E119=E118,0,IF(C119=$R$3,HLOOKUP($R$3,Ingreso!$AW$10:$BC$260,VLOOKUP(A119,Ingreso!AL:AM,2,FALSE),FALSE)/24,""))),""))</f>
        <v/>
      </c>
      <c r="O119" s="95" t="str">
        <f>IF(IFERROR(IF(C119=C117,0,IF(E119=E118,0,IF(C119=$R$4,HLOOKUP($R$4,Ingreso!$AW$10:$BC$260,VLOOKUP(A119,Ingreso!AL:AM,2,FALSE),FALSE)/24,""))),"")=0,"",IFERROR(IF(C119=C117,0,IF(E119=E118,0,IF(C119=$R$4,HLOOKUP($R$4,Ingreso!$AW$10:$BC$260,VLOOKUP(A119,Ingreso!AL:AM,2,FALSE),FALSE)/24,""))),""))</f>
        <v/>
      </c>
      <c r="P119" s="90"/>
      <c r="R119" t="s">
        <v>856</v>
      </c>
      <c r="S119" t="s">
        <v>861</v>
      </c>
      <c r="T119" t="s">
        <v>1420</v>
      </c>
      <c r="U119" t="s">
        <v>4</v>
      </c>
      <c r="V119" t="s">
        <v>1397</v>
      </c>
      <c r="W119" s="82">
        <v>132</v>
      </c>
      <c r="X119" s="71">
        <v>0.3125</v>
      </c>
      <c r="Y119" s="101">
        <v>0.31662037037037033</v>
      </c>
      <c r="Z119" s="101">
        <v>0.63622685185185179</v>
      </c>
      <c r="AA119" s="101">
        <v>0.31960648148148146</v>
      </c>
      <c r="AB119" s="101">
        <v>7.1064814814814636E-3</v>
      </c>
      <c r="AC119" s="105">
        <v>0</v>
      </c>
      <c r="AD119" s="105">
        <v>0</v>
      </c>
      <c r="AE119" s="93">
        <v>0</v>
      </c>
      <c r="AF119" s="93">
        <v>0</v>
      </c>
      <c r="AG119" s="93">
        <v>0</v>
      </c>
    </row>
    <row r="120" spans="1:33">
      <c r="A120" s="65" t="str">
        <f>IFERROR(VLOOKUP('Informe Kelly'!A113,Base!A:B,2,FALSE),"")</f>
        <v>07.816.805-6</v>
      </c>
      <c r="B120" s="65" t="str">
        <f>IFERROR(VLOOKUP('Informe Kelly'!A113,Base!A:G,7,FALSE),"")</f>
        <v>PINTO  FLORES,JULIO CESAR</v>
      </c>
      <c r="C120" s="69" t="str">
        <f>IF(G120=$C$4,IF('Informe Kelly'!H113='Control informe Kelly'!$A$2,TEXT(((LEFT('Informe Kelly'!E113,2)*1)+1),"dd")&amp;"."&amp;MID('Informe Kelly'!E113,4,2)&amp;"."&amp;RIGHT('Informe Kelly'!E113,4),'Informe Kelly'!E113),'Informe Kelly'!E113)</f>
        <v>16.04.2011</v>
      </c>
      <c r="D120" s="69" t="str">
        <f>IF('Informe Kelly'!E113="","",'Informe Kelly'!E113)</f>
        <v>16.04.2011</v>
      </c>
      <c r="E120" s="72">
        <f t="shared" si="3"/>
        <v>57</v>
      </c>
      <c r="F120" s="72" t="str">
        <f>IFERROR(HLOOKUP(C120,Ingreso!$Q$8:$AD$9,2,FALSE),"v")</f>
        <v>Sábado</v>
      </c>
      <c r="G120" s="65" t="str">
        <f>IFERROR(VLOOKUP(A120,Ingreso!K:P,6,FALSE),"no esta ingresado")</f>
        <v>no esta ingresado</v>
      </c>
      <c r="H120" s="65" t="str">
        <f>IFERROR(IF('Informe Kelly'!H113=$A$2,'Informe Kelly'!F113,""),0)</f>
        <v/>
      </c>
      <c r="I120" s="65">
        <f>IFERROR(IF('Informe Kelly'!H113=$A$3,'Informe Kelly'!F113,""),0)</f>
        <v>0.32394675925925925</v>
      </c>
      <c r="J120" s="65" t="str">
        <f>IF(IFERROR(IF(E120=E119,0,(HLOOKUP(D120,Ingreso!$AN$10:$AT$260,VLOOKUP(A120,Ingreso!$AL$11:$AM$260,2,FALSE)))/24),0)=0,"",IFERROR(IF(E120=E119,0,(HLOOKUP(D120,Ingreso!$AN$10:$AT$260,VLOOKUP(A120,Ingreso!$AL$11:$AM$260,2,FALSE)))/24),0))</f>
        <v/>
      </c>
      <c r="K120" s="65" t="str">
        <f>IF(IFERROR(IF(E120=E119,0,(HLOOKUP(C120,Ingreso!$AW$10:$BC$260,VLOOKUP(A120,Ingreso!$AL$11:$AM$260,2,FALSE)))/24),0)=0,"",IFERROR(IF(E120=E119,0,(HLOOKUP(C120,Ingreso!$AW$10:$BC$260,VLOOKUP(A120,Ingreso!$AL$11:$AM$260,2,FALSE)))/24),0))</f>
        <v/>
      </c>
      <c r="L120" s="63" t="str">
        <f t="shared" si="2"/>
        <v/>
      </c>
      <c r="M120" s="63" t="str">
        <f>IF(IFERROR(IF(C120=C118,0,IF(E120=E119,0,IF(C120=$R$2,HLOOKUP($R$2,Ingreso!$AW$10:$BC$260,VLOOKUP(A120,Ingreso!AL:AM,2,FALSE),FALSE)/24,""))),"")=0,"",IFERROR(IF(C120=C118,0,IF(E120=E119,0,IF(C120=$R$2,HLOOKUP($R$2,Ingreso!$AW$10:$BC$260,VLOOKUP(A120,Ingreso!AL:AM,2,FALSE),FALSE)/24,""))),""))</f>
        <v/>
      </c>
      <c r="N120" s="95" t="str">
        <f>IF(IFERROR(IF(C120=C118,0,IF(E120=E119,0,IF(C120=$R$3,HLOOKUP($R$3,Ingreso!$AW$10:$BC$260,VLOOKUP(A120,Ingreso!AL:AM,2,FALSE),FALSE)/24,""))),"")=0,"",IFERROR(IF(C120=C118,0,IF(E120=E119,0,IF(C120=$R$3,HLOOKUP($R$3,Ingreso!$AW$10:$BC$260,VLOOKUP(A120,Ingreso!AL:AM,2,FALSE),FALSE)/24,""))),""))</f>
        <v/>
      </c>
      <c r="O120" s="95" t="str">
        <f>IF(IFERROR(IF(C120=C118,0,IF(E120=E119,0,IF(C120=$R$4,HLOOKUP($R$4,Ingreso!$AW$10:$BC$260,VLOOKUP(A120,Ingreso!AL:AM,2,FALSE),FALSE)/24,""))),"")=0,"",IFERROR(IF(C120=C118,0,IF(E120=E119,0,IF(C120=$R$4,HLOOKUP($R$4,Ingreso!$AW$10:$BC$260,VLOOKUP(A120,Ingreso!AL:AM,2,FALSE),FALSE)/24,""))),""))</f>
        <v/>
      </c>
      <c r="P120" s="90"/>
      <c r="T120" t="s">
        <v>1423</v>
      </c>
      <c r="U120" t="s">
        <v>4</v>
      </c>
      <c r="V120" t="s">
        <v>1398</v>
      </c>
      <c r="W120" s="82">
        <v>133</v>
      </c>
      <c r="X120" s="71">
        <v>0.3125</v>
      </c>
      <c r="Y120" s="101">
        <v>0.30831018518518521</v>
      </c>
      <c r="Z120" s="101">
        <v>0.63436342592592598</v>
      </c>
      <c r="AA120" s="101">
        <v>0.32605324074074077</v>
      </c>
      <c r="AB120" s="101">
        <v>1.3553240740740768E-2</v>
      </c>
      <c r="AC120" s="105">
        <v>0</v>
      </c>
      <c r="AD120" s="105">
        <v>0</v>
      </c>
      <c r="AE120" s="93">
        <v>0</v>
      </c>
      <c r="AF120" s="93">
        <v>0</v>
      </c>
      <c r="AG120" s="93">
        <v>0</v>
      </c>
    </row>
    <row r="121" spans="1:33">
      <c r="A121" s="65" t="str">
        <f>IFERROR(VLOOKUP('Informe Kelly'!A114,Base!A:B,2,FALSE),"")</f>
        <v>07.913.597-6</v>
      </c>
      <c r="B121" s="65" t="str">
        <f>IFERROR(VLOOKUP('Informe Kelly'!A114,Base!A:G,7,FALSE),"")</f>
        <v>RAMIREZ ROJAS JOSE</v>
      </c>
      <c r="C121" s="69" t="str">
        <f>IF(G121=$C$4,IF('Informe Kelly'!H114='Control informe Kelly'!$A$2,TEXT(((LEFT('Informe Kelly'!E114,2)*1)+1),"dd")&amp;"."&amp;MID('Informe Kelly'!E114,4,2)&amp;"."&amp;RIGHT('Informe Kelly'!E114,4),'Informe Kelly'!E114),'Informe Kelly'!E114)</f>
        <v>11.04.2011</v>
      </c>
      <c r="D121" s="69" t="str">
        <f>IF('Informe Kelly'!E114="","",'Informe Kelly'!E114)</f>
        <v>11.04.2011</v>
      </c>
      <c r="E121" s="72">
        <f t="shared" si="3"/>
        <v>58</v>
      </c>
      <c r="F121" s="72" t="str">
        <f>IFERROR(HLOOKUP(C121,Ingreso!$Q$8:$AD$9,2,FALSE),"v")</f>
        <v>Lunes</v>
      </c>
      <c r="G121" s="65" t="str">
        <f>IFERROR(VLOOKUP(A121,Ingreso!K:P,6,FALSE),"no esta ingresado")</f>
        <v>Turno A</v>
      </c>
      <c r="H121" s="65" t="str">
        <f>IFERROR(IF('Informe Kelly'!H114=$A$2,'Informe Kelly'!F114,""),0)</f>
        <v/>
      </c>
      <c r="I121" s="65">
        <f>IFERROR(IF('Informe Kelly'!H114=$A$3,'Informe Kelly'!F114,""),0)</f>
        <v>0.63399305555555552</v>
      </c>
      <c r="J121" s="65" t="str">
        <f>IF(IFERROR(IF(E121=E120,0,(HLOOKUP(D121,Ingreso!$AN$10:$AT$260,VLOOKUP(A121,Ingreso!$AL$11:$AM$260,2,FALSE)))/24),0)=0,"",IFERROR(IF(E121=E120,0,(HLOOKUP(D121,Ingreso!$AN$10:$AT$260,VLOOKUP(A121,Ingreso!$AL$11:$AM$260,2,FALSE)))/24),0))</f>
        <v/>
      </c>
      <c r="K121" s="65" t="str">
        <f>IF(IFERROR(IF(E121=E120,0,(HLOOKUP(C121,Ingreso!$AW$10:$BC$260,VLOOKUP(A121,Ingreso!$AL$11:$AM$260,2,FALSE)))/24),0)=0,"",IFERROR(IF(E121=E120,0,(HLOOKUP(C121,Ingreso!$AW$10:$BC$260,VLOOKUP(A121,Ingreso!$AL$11:$AM$260,2,FALSE)))/24),0))</f>
        <v/>
      </c>
      <c r="L121" s="63">
        <f t="shared" si="2"/>
        <v>0.3125</v>
      </c>
      <c r="M121" s="63" t="str">
        <f>IF(IFERROR(IF(C121=C119,0,IF(E121=E120,0,IF(C121=$R$2,HLOOKUP($R$2,Ingreso!$AW$10:$BC$260,VLOOKUP(A121,Ingreso!AL:AM,2,FALSE),FALSE)/24,""))),"")=0,"",IFERROR(IF(C121=C119,0,IF(E121=E120,0,IF(C121=$R$2,HLOOKUP($R$2,Ingreso!$AW$10:$BC$260,VLOOKUP(A121,Ingreso!AL:AM,2,FALSE),FALSE)/24,""))),""))</f>
        <v/>
      </c>
      <c r="N121" s="95" t="str">
        <f>IF(IFERROR(IF(C121=C119,0,IF(E121=E120,0,IF(C121=$R$3,HLOOKUP($R$3,Ingreso!$AW$10:$BC$260,VLOOKUP(A121,Ingreso!AL:AM,2,FALSE),FALSE)/24,""))),"")=0,"",IFERROR(IF(C121=C119,0,IF(E121=E120,0,IF(C121=$R$3,HLOOKUP($R$3,Ingreso!$AW$10:$BC$260,VLOOKUP(A121,Ingreso!AL:AM,2,FALSE),FALSE)/24,""))),""))</f>
        <v/>
      </c>
      <c r="O121" s="95" t="str">
        <f>IF(IFERROR(IF(C121=C119,0,IF(E121=E120,0,IF(C121=$R$4,HLOOKUP($R$4,Ingreso!$AW$10:$BC$260,VLOOKUP(A121,Ingreso!AL:AM,2,FALSE),FALSE)/24,""))),"")=0,"",IFERROR(IF(C121=C119,0,IF(E121=E120,0,IF(C121=$R$4,HLOOKUP($R$4,Ingreso!$AW$10:$BC$260,VLOOKUP(A121,Ingreso!AL:AM,2,FALSE),FALSE)/24,""))),""))</f>
        <v/>
      </c>
      <c r="P121" s="90"/>
      <c r="T121" t="s">
        <v>1424</v>
      </c>
      <c r="U121" t="s">
        <v>4</v>
      </c>
      <c r="V121" t="s">
        <v>1399</v>
      </c>
      <c r="W121" s="82">
        <v>134</v>
      </c>
      <c r="X121" s="71">
        <v>0.3125</v>
      </c>
      <c r="Y121" s="101">
        <v>0.29449074074074072</v>
      </c>
      <c r="Z121" s="101">
        <v>0.63489583333333333</v>
      </c>
      <c r="AA121" s="101">
        <v>0.34040509259259261</v>
      </c>
      <c r="AB121" s="101">
        <v>2.7905092592592606E-2</v>
      </c>
      <c r="AC121" s="105">
        <v>0</v>
      </c>
      <c r="AD121" s="105">
        <v>0</v>
      </c>
      <c r="AE121" s="93">
        <v>0</v>
      </c>
      <c r="AF121" s="93">
        <v>0</v>
      </c>
      <c r="AG121" s="93">
        <v>0</v>
      </c>
    </row>
    <row r="122" spans="1:33">
      <c r="A122" s="65" t="str">
        <f>IFERROR(VLOOKUP('Informe Kelly'!A115,Base!A:B,2,FALSE),"")</f>
        <v>07.913.597-6</v>
      </c>
      <c r="B122" s="65" t="str">
        <f>IFERROR(VLOOKUP('Informe Kelly'!A115,Base!A:G,7,FALSE),"")</f>
        <v>RAMIREZ ROJAS JOSE</v>
      </c>
      <c r="C122" s="69" t="str">
        <f>IF(G122=$C$4,IF('Informe Kelly'!H115='Control informe Kelly'!$A$2,TEXT(((LEFT('Informe Kelly'!E115,2)*1)+1),"dd")&amp;"."&amp;MID('Informe Kelly'!E115,4,2)&amp;"."&amp;RIGHT('Informe Kelly'!E115,4),'Informe Kelly'!E115),'Informe Kelly'!E115)</f>
        <v>11.04.2011</v>
      </c>
      <c r="D122" s="69" t="str">
        <f>IF('Informe Kelly'!E115="","",'Informe Kelly'!E115)</f>
        <v>11.04.2011</v>
      </c>
      <c r="E122" s="72">
        <f t="shared" si="3"/>
        <v>58</v>
      </c>
      <c r="F122" s="72" t="str">
        <f>IFERROR(HLOOKUP(C122,Ingreso!$Q$8:$AD$9,2,FALSE),"v")</f>
        <v>Lunes</v>
      </c>
      <c r="G122" s="65" t="str">
        <f>IFERROR(VLOOKUP(A122,Ingreso!K:P,6,FALSE),"no esta ingresado")</f>
        <v>Turno A</v>
      </c>
      <c r="H122" s="65">
        <f>IFERROR(IF('Informe Kelly'!H115=$A$2,'Informe Kelly'!F115,""),0)</f>
        <v>0.29050925925925924</v>
      </c>
      <c r="I122" s="65" t="str">
        <f>IFERROR(IF('Informe Kelly'!H115=$A$3,'Informe Kelly'!F115,""),0)</f>
        <v/>
      </c>
      <c r="J122" s="65" t="str">
        <f>IF(IFERROR(IF(E122=E121,0,(HLOOKUP(D122,Ingreso!$AN$10:$AT$260,VLOOKUP(A122,Ingreso!$AL$11:$AM$260,2,FALSE)))/24),0)=0,"",IFERROR(IF(E122=E121,0,(HLOOKUP(D122,Ingreso!$AN$10:$AT$260,VLOOKUP(A122,Ingreso!$AL$11:$AM$260,2,FALSE)))/24),0))</f>
        <v/>
      </c>
      <c r="K122" s="65" t="str">
        <f>IF(IFERROR(IF(E122=E121,0,(HLOOKUP(C122,Ingreso!$AW$10:$BC$260,VLOOKUP(A122,Ingreso!$AL$11:$AM$260,2,FALSE)))/24),0)=0,"",IFERROR(IF(E122=E121,0,(HLOOKUP(C122,Ingreso!$AW$10:$BC$260,VLOOKUP(A122,Ingreso!$AL$11:$AM$260,2,FALSE)))/24),0))</f>
        <v/>
      </c>
      <c r="L122" s="63">
        <f t="shared" si="2"/>
        <v>0</v>
      </c>
      <c r="M122" s="63" t="str">
        <f>IF(IFERROR(IF(C122=C120,0,IF(E122=E121,0,IF(C122=$R$2,HLOOKUP($R$2,Ingreso!$AW$10:$BC$260,VLOOKUP(A122,Ingreso!AL:AM,2,FALSE),FALSE)/24,""))),"")=0,"",IFERROR(IF(C122=C120,0,IF(E122=E121,0,IF(C122=$R$2,HLOOKUP($R$2,Ingreso!$AW$10:$BC$260,VLOOKUP(A122,Ingreso!AL:AM,2,FALSE),FALSE)/24,""))),""))</f>
        <v/>
      </c>
      <c r="N122" s="95" t="str">
        <f>IF(IFERROR(IF(C122=C120,0,IF(E122=E121,0,IF(C122=$R$3,HLOOKUP($R$3,Ingreso!$AW$10:$BC$260,VLOOKUP(A122,Ingreso!AL:AM,2,FALSE),FALSE)/24,""))),"")=0,"",IFERROR(IF(C122=C120,0,IF(E122=E121,0,IF(C122=$R$3,HLOOKUP($R$3,Ingreso!$AW$10:$BC$260,VLOOKUP(A122,Ingreso!AL:AM,2,FALSE),FALSE)/24,""))),""))</f>
        <v/>
      </c>
      <c r="O122" s="95" t="str">
        <f>IF(IFERROR(IF(C122=C120,0,IF(E122=E121,0,IF(C122=$R$4,HLOOKUP($R$4,Ingreso!$AW$10:$BC$260,VLOOKUP(A122,Ingreso!AL:AM,2,FALSE),FALSE)/24,""))),"")=0,"",IFERROR(IF(C122=C120,0,IF(E122=E121,0,IF(C122=$R$4,HLOOKUP($R$4,Ingreso!$AW$10:$BC$260,VLOOKUP(A122,Ingreso!AL:AM,2,FALSE),FALSE)/24,""))),""))</f>
        <v/>
      </c>
      <c r="P122" s="90"/>
      <c r="T122" t="s">
        <v>1425</v>
      </c>
      <c r="U122" t="s">
        <v>4</v>
      </c>
      <c r="V122" t="s">
        <v>1400</v>
      </c>
      <c r="W122" s="82">
        <v>135</v>
      </c>
      <c r="X122" s="71">
        <v>0.3125</v>
      </c>
      <c r="Y122" s="101">
        <v>0.61239583333333336</v>
      </c>
      <c r="Z122" s="101">
        <v>0.9431018518518518</v>
      </c>
      <c r="AA122" s="101">
        <v>0.33070601851851844</v>
      </c>
      <c r="AB122" s="101">
        <v>1.8206018518518441E-2</v>
      </c>
      <c r="AC122" s="105">
        <v>0</v>
      </c>
      <c r="AD122" s="105">
        <v>0</v>
      </c>
      <c r="AE122" s="93">
        <v>0</v>
      </c>
      <c r="AF122" s="93">
        <v>0</v>
      </c>
      <c r="AG122" s="93">
        <v>0</v>
      </c>
    </row>
    <row r="123" spans="1:33" ht="12.75" customHeight="1">
      <c r="A123" s="65" t="str">
        <f>IFERROR(VLOOKUP('Informe Kelly'!A116,Base!A:B,2,FALSE),"")</f>
        <v>07.913.597-6</v>
      </c>
      <c r="B123" s="65" t="str">
        <f>IFERROR(VLOOKUP('Informe Kelly'!A116,Base!A:G,7,FALSE),"")</f>
        <v>RAMIREZ ROJAS JOSE</v>
      </c>
      <c r="C123" s="69" t="str">
        <f>IF(G123=$C$4,IF('Informe Kelly'!H116='Control informe Kelly'!$A$2,TEXT(((LEFT('Informe Kelly'!E116,2)*1)+1),"dd")&amp;"."&amp;MID('Informe Kelly'!E116,4,2)&amp;"."&amp;RIGHT('Informe Kelly'!E116,4),'Informe Kelly'!E116),'Informe Kelly'!E116)</f>
        <v>12.04.2011</v>
      </c>
      <c r="D123" s="69" t="str">
        <f>IF('Informe Kelly'!E116="","",'Informe Kelly'!E116)</f>
        <v>12.04.2011</v>
      </c>
      <c r="E123" s="72">
        <f t="shared" si="3"/>
        <v>59</v>
      </c>
      <c r="F123" s="72" t="str">
        <f>IFERROR(HLOOKUP(C123,Ingreso!$Q$8:$AD$9,2,FALSE),"v")</f>
        <v>Martes</v>
      </c>
      <c r="G123" s="65" t="str">
        <f>IFERROR(VLOOKUP(A123,Ingreso!K:P,6,FALSE),"no esta ingresado")</f>
        <v>Turno A</v>
      </c>
      <c r="H123" s="65" t="str">
        <f>IFERROR(IF('Informe Kelly'!H116=$A$2,'Informe Kelly'!F116,""),0)</f>
        <v/>
      </c>
      <c r="I123" s="65">
        <f>IFERROR(IF('Informe Kelly'!H116=$A$3,'Informe Kelly'!F116,""),0)</f>
        <v>0.70780092592592592</v>
      </c>
      <c r="J123" s="65">
        <f>IF(IFERROR(IF(E123=E122,0,(HLOOKUP(D123,Ingreso!$AN$10:$AT$260,VLOOKUP(A123,Ingreso!$AL$11:$AM$260,2,FALSE)))/24),0)=0,"",IFERROR(IF(E123=E122,0,(HLOOKUP(D123,Ingreso!$AN$10:$AT$260,VLOOKUP(A123,Ingreso!$AL$11:$AM$260,2,FALSE)))/24),0))</f>
        <v>8.3333333333333329E-2</v>
      </c>
      <c r="K123" s="65" t="str">
        <f>IF(IFERROR(IF(E123=E122,0,(HLOOKUP(C123,Ingreso!$AW$10:$BC$260,VLOOKUP(A123,Ingreso!$AL$11:$AM$260,2,FALSE)))/24),0)=0,"",IFERROR(IF(E123=E122,0,(HLOOKUP(C123,Ingreso!$AW$10:$BC$260,VLOOKUP(A123,Ingreso!$AL$11:$AM$260,2,FALSE)))/24),0))</f>
        <v/>
      </c>
      <c r="L123" s="63">
        <f t="shared" si="2"/>
        <v>0.3125</v>
      </c>
      <c r="M123" s="63" t="str">
        <f>IF(IFERROR(IF(C123=C121,0,IF(E123=E122,0,IF(C123=$R$2,HLOOKUP($R$2,Ingreso!$AW$10:$BC$260,VLOOKUP(A123,Ingreso!AL:AM,2,FALSE),FALSE)/24,""))),"")=0,"",IFERROR(IF(C123=C121,0,IF(E123=E122,0,IF(C123=$R$2,HLOOKUP($R$2,Ingreso!$AW$10:$BC$260,VLOOKUP(A123,Ingreso!AL:AM,2,FALSE),FALSE)/24,""))),""))</f>
        <v/>
      </c>
      <c r="N123" s="95" t="str">
        <f>IF(IFERROR(IF(C123=C121,0,IF(E123=E122,0,IF(C123=$R$3,HLOOKUP($R$3,Ingreso!$AW$10:$BC$260,VLOOKUP(A123,Ingreso!AL:AM,2,FALSE),FALSE)/24,""))),"")=0,"",IFERROR(IF(C123=C121,0,IF(E123=E122,0,IF(C123=$R$3,HLOOKUP($R$3,Ingreso!$AW$10:$BC$260,VLOOKUP(A123,Ingreso!AL:AM,2,FALSE),FALSE)/24,""))),""))</f>
        <v/>
      </c>
      <c r="O123" s="95" t="str">
        <f>IF(IFERROR(IF(C123=C121,0,IF(E123=E122,0,IF(C123=$R$4,HLOOKUP($R$4,Ingreso!$AW$10:$BC$260,VLOOKUP(A123,Ingreso!AL:AM,2,FALSE),FALSE)/24,""))),"")=0,"",IFERROR(IF(C123=C121,0,IF(E123=E122,0,IF(C123=$R$4,HLOOKUP($R$4,Ingreso!$AW$10:$BC$260,VLOOKUP(A123,Ingreso!AL:AM,2,FALSE),FALSE)/24,""))),""))</f>
        <v/>
      </c>
      <c r="P123" s="90"/>
      <c r="T123" t="s">
        <v>1426</v>
      </c>
      <c r="U123" t="s">
        <v>4</v>
      </c>
      <c r="V123" t="s">
        <v>1401</v>
      </c>
      <c r="W123" s="82">
        <v>136</v>
      </c>
      <c r="X123" s="71">
        <v>0.3125</v>
      </c>
      <c r="Y123" s="101">
        <v>0.29501157407407408</v>
      </c>
      <c r="Z123" s="101">
        <v>0.62958333333333327</v>
      </c>
      <c r="AA123" s="101">
        <v>0.33457175925925919</v>
      </c>
      <c r="AB123" s="101">
        <v>2.2071759259259194E-2</v>
      </c>
      <c r="AC123" s="105">
        <v>0</v>
      </c>
      <c r="AD123" s="105">
        <v>0</v>
      </c>
      <c r="AE123" s="93">
        <v>0</v>
      </c>
      <c r="AF123" s="93">
        <v>0</v>
      </c>
      <c r="AG123" s="93">
        <v>0</v>
      </c>
    </row>
    <row r="124" spans="1:33">
      <c r="A124" s="65" t="str">
        <f>IFERROR(VLOOKUP('Informe Kelly'!A117,Base!A:B,2,FALSE),"")</f>
        <v>07.913.597-6</v>
      </c>
      <c r="B124" s="65" t="str">
        <f>IFERROR(VLOOKUP('Informe Kelly'!A117,Base!A:G,7,FALSE),"")</f>
        <v>RAMIREZ ROJAS JOSE</v>
      </c>
      <c r="C124" s="69" t="str">
        <f>IF(G124=$C$4,IF('Informe Kelly'!H117='Control informe Kelly'!$A$2,TEXT(((LEFT('Informe Kelly'!E117,2)*1)+1),"dd")&amp;"."&amp;MID('Informe Kelly'!E117,4,2)&amp;"."&amp;RIGHT('Informe Kelly'!E117,4),'Informe Kelly'!E117),'Informe Kelly'!E117)</f>
        <v>12.04.2011</v>
      </c>
      <c r="D124" s="69" t="str">
        <f>IF('Informe Kelly'!E117="","",'Informe Kelly'!E117)</f>
        <v>12.04.2011</v>
      </c>
      <c r="E124" s="72">
        <f t="shared" si="3"/>
        <v>59</v>
      </c>
      <c r="F124" s="72" t="str">
        <f>IFERROR(HLOOKUP(C124,Ingreso!$Q$8:$AD$9,2,FALSE),"v")</f>
        <v>Martes</v>
      </c>
      <c r="G124" s="65" t="str">
        <f>IFERROR(VLOOKUP(A124,Ingreso!K:P,6,FALSE),"no esta ingresado")</f>
        <v>Turno A</v>
      </c>
      <c r="H124" s="65">
        <f>IFERROR(IF('Informe Kelly'!H117=$A$2,'Informe Kelly'!F117,""),0)</f>
        <v>0.29032407407407407</v>
      </c>
      <c r="I124" s="65" t="str">
        <f>IFERROR(IF('Informe Kelly'!H117=$A$3,'Informe Kelly'!F117,""),0)</f>
        <v/>
      </c>
      <c r="J124" s="65" t="str">
        <f>IF(IFERROR(IF(E124=E123,0,(HLOOKUP(D124,Ingreso!$AN$10:$AT$260,VLOOKUP(A124,Ingreso!$AL$11:$AM$260,2,FALSE)))/24),0)=0,"",IFERROR(IF(E124=E123,0,(HLOOKUP(D124,Ingreso!$AN$10:$AT$260,VLOOKUP(A124,Ingreso!$AL$11:$AM$260,2,FALSE)))/24),0))</f>
        <v/>
      </c>
      <c r="K124" s="65" t="str">
        <f>IF(IFERROR(IF(E124=E123,0,(HLOOKUP(C124,Ingreso!$AW$10:$BC$260,VLOOKUP(A124,Ingreso!$AL$11:$AM$260,2,FALSE)))/24),0)=0,"",IFERROR(IF(E124=E123,0,(HLOOKUP(C124,Ingreso!$AW$10:$BC$260,VLOOKUP(A124,Ingreso!$AL$11:$AM$260,2,FALSE)))/24),0))</f>
        <v/>
      </c>
      <c r="L124" s="63">
        <f t="shared" si="2"/>
        <v>0</v>
      </c>
      <c r="M124" s="63" t="str">
        <f>IF(IFERROR(IF(C124=C122,0,IF(E124=E123,0,IF(C124=$R$2,HLOOKUP($R$2,Ingreso!$AW$10:$BC$260,VLOOKUP(A124,Ingreso!AL:AM,2,FALSE),FALSE)/24,""))),"")=0,"",IFERROR(IF(C124=C122,0,IF(E124=E123,0,IF(C124=$R$2,HLOOKUP($R$2,Ingreso!$AW$10:$BC$260,VLOOKUP(A124,Ingreso!AL:AM,2,FALSE),FALSE)/24,""))),""))</f>
        <v/>
      </c>
      <c r="N124" s="95" t="str">
        <f>IF(IFERROR(IF(C124=C122,0,IF(E124=E123,0,IF(C124=$R$3,HLOOKUP($R$3,Ingreso!$AW$10:$BC$260,VLOOKUP(A124,Ingreso!AL:AM,2,FALSE),FALSE)/24,""))),"")=0,"",IFERROR(IF(C124=C122,0,IF(E124=E123,0,IF(C124=$R$3,HLOOKUP($R$3,Ingreso!$AW$10:$BC$260,VLOOKUP(A124,Ingreso!AL:AM,2,FALSE),FALSE)/24,""))),""))</f>
        <v/>
      </c>
      <c r="O124" s="95" t="str">
        <f>IF(IFERROR(IF(C124=C122,0,IF(E124=E123,0,IF(C124=$R$4,HLOOKUP($R$4,Ingreso!$AW$10:$BC$260,VLOOKUP(A124,Ingreso!AL:AM,2,FALSE),FALSE)/24,""))),"")=0,"",IFERROR(IF(C124=C122,0,IF(E124=E123,0,IF(C124=$R$4,HLOOKUP($R$4,Ingreso!$AW$10:$BC$260,VLOOKUP(A124,Ingreso!AL:AM,2,FALSE),FALSE)/24,""))),""))</f>
        <v/>
      </c>
      <c r="P124" s="90"/>
      <c r="R124" t="s">
        <v>474</v>
      </c>
      <c r="S124" t="s">
        <v>477</v>
      </c>
      <c r="T124" t="s">
        <v>1420</v>
      </c>
      <c r="U124" t="s">
        <v>1322</v>
      </c>
      <c r="V124" t="s">
        <v>1397</v>
      </c>
      <c r="W124" s="82">
        <v>137</v>
      </c>
      <c r="X124" s="71">
        <v>0.3125</v>
      </c>
      <c r="Y124" s="101">
        <v>0.61104166666666659</v>
      </c>
      <c r="Z124" s="101">
        <v>0.94395833333333334</v>
      </c>
      <c r="AA124" s="101">
        <v>0.33291666666666675</v>
      </c>
      <c r="AB124" s="101">
        <v>2.041666666666675E-2</v>
      </c>
      <c r="AC124" s="105">
        <v>0</v>
      </c>
      <c r="AD124" s="105">
        <v>0</v>
      </c>
      <c r="AE124" s="93">
        <v>0</v>
      </c>
      <c r="AF124" s="93">
        <v>0</v>
      </c>
      <c r="AG124" s="93">
        <v>0</v>
      </c>
    </row>
    <row r="125" spans="1:33">
      <c r="A125" s="65" t="str">
        <f>IFERROR(VLOOKUP('Informe Kelly'!A118,Base!A:B,2,FALSE),"")</f>
        <v>07.913.597-6</v>
      </c>
      <c r="B125" s="65" t="str">
        <f>IFERROR(VLOOKUP('Informe Kelly'!A118,Base!A:G,7,FALSE),"")</f>
        <v>RAMIREZ ROJAS JOSE</v>
      </c>
      <c r="C125" s="69" t="str">
        <f>IF(G125=$C$4,IF('Informe Kelly'!H118='Control informe Kelly'!$A$2,TEXT(((LEFT('Informe Kelly'!E118,2)*1)+1),"dd")&amp;"."&amp;MID('Informe Kelly'!E118,4,2)&amp;"."&amp;RIGHT('Informe Kelly'!E118,4),'Informe Kelly'!E118),'Informe Kelly'!E118)</f>
        <v>13.04.2011</v>
      </c>
      <c r="D125" s="69" t="str">
        <f>IF('Informe Kelly'!E118="","",'Informe Kelly'!E118)</f>
        <v>13.04.2011</v>
      </c>
      <c r="E125" s="72">
        <f t="shared" si="3"/>
        <v>60</v>
      </c>
      <c r="F125" s="72" t="str">
        <f>IFERROR(HLOOKUP(C125,Ingreso!$Q$8:$AD$9,2,FALSE),"v")</f>
        <v>Miércoles</v>
      </c>
      <c r="G125" s="65" t="str">
        <f>IFERROR(VLOOKUP(A125,Ingreso!K:P,6,FALSE),"no esta ingresado")</f>
        <v>Turno A</v>
      </c>
      <c r="H125" s="65" t="str">
        <f>IFERROR(IF('Informe Kelly'!H118=$A$2,'Informe Kelly'!F118,""),0)</f>
        <v/>
      </c>
      <c r="I125" s="65">
        <f>IFERROR(IF('Informe Kelly'!H118=$A$3,'Informe Kelly'!F118,""),0)</f>
        <v>0.68293981481481481</v>
      </c>
      <c r="J125" s="65">
        <f>IF(IFERROR(IF(E125=E124,0,(HLOOKUP(D125,Ingreso!$AN$10:$AT$260,VLOOKUP(A125,Ingreso!$AL$11:$AM$260,2,FALSE)))/24),0)=0,"",IFERROR(IF(E125=E124,0,(HLOOKUP(D125,Ingreso!$AN$10:$AT$260,VLOOKUP(A125,Ingreso!$AL$11:$AM$260,2,FALSE)))/24),0))</f>
        <v>8.3333333333333329E-2</v>
      </c>
      <c r="K125" s="65" t="str">
        <f>IF(IFERROR(IF(E125=E124,0,(HLOOKUP(C125,Ingreso!$AW$10:$BC$260,VLOOKUP(A125,Ingreso!$AL$11:$AM$260,2,FALSE)))/24),0)=0,"",IFERROR(IF(E125=E124,0,(HLOOKUP(C125,Ingreso!$AW$10:$BC$260,VLOOKUP(A125,Ingreso!$AL$11:$AM$260,2,FALSE)))/24),0))</f>
        <v/>
      </c>
      <c r="L125" s="63">
        <f t="shared" si="2"/>
        <v>0.3125</v>
      </c>
      <c r="M125" s="63" t="str">
        <f>IF(IFERROR(IF(C125=C123,0,IF(E125=E124,0,IF(C125=$R$2,HLOOKUP($R$2,Ingreso!$AW$10:$BC$260,VLOOKUP(A125,Ingreso!AL:AM,2,FALSE),FALSE)/24,""))),"")=0,"",IFERROR(IF(C125=C123,0,IF(E125=E124,0,IF(C125=$R$2,HLOOKUP($R$2,Ingreso!$AW$10:$BC$260,VLOOKUP(A125,Ingreso!AL:AM,2,FALSE),FALSE)/24,""))),""))</f>
        <v/>
      </c>
      <c r="N125" s="95" t="str">
        <f>IF(IFERROR(IF(C125=C123,0,IF(E125=E124,0,IF(C125=$R$3,HLOOKUP($R$3,Ingreso!$AW$10:$BC$260,VLOOKUP(A125,Ingreso!AL:AM,2,FALSE),FALSE)/24,""))),"")=0,"",IFERROR(IF(C125=C123,0,IF(E125=E124,0,IF(C125=$R$3,HLOOKUP($R$3,Ingreso!$AW$10:$BC$260,VLOOKUP(A125,Ingreso!AL:AM,2,FALSE),FALSE)/24,""))),""))</f>
        <v/>
      </c>
      <c r="O125" s="95" t="str">
        <f>IF(IFERROR(IF(C125=C123,0,IF(E125=E124,0,IF(C125=$R$4,HLOOKUP($R$4,Ingreso!$AW$10:$BC$260,VLOOKUP(A125,Ingreso!AL:AM,2,FALSE),FALSE)/24,""))),"")=0,"",IFERROR(IF(C125=C123,0,IF(E125=E124,0,IF(C125=$R$4,HLOOKUP($R$4,Ingreso!$AW$10:$BC$260,VLOOKUP(A125,Ingreso!AL:AM,2,FALSE),FALSE)/24,""))),""))</f>
        <v/>
      </c>
      <c r="P125" s="90"/>
      <c r="T125" t="s">
        <v>1423</v>
      </c>
      <c r="U125" t="s">
        <v>1322</v>
      </c>
      <c r="V125" t="s">
        <v>1398</v>
      </c>
      <c r="W125" s="82">
        <v>138</v>
      </c>
      <c r="X125" s="71">
        <v>0.3125</v>
      </c>
      <c r="Y125" s="101">
        <v>0.32155092592592593</v>
      </c>
      <c r="Z125" s="101">
        <v>0.63393518518518521</v>
      </c>
      <c r="AA125" s="101">
        <v>0.31238425925925928</v>
      </c>
      <c r="AB125" s="101">
        <v>-1.1574074074072183E-4</v>
      </c>
      <c r="AC125" s="105">
        <v>0</v>
      </c>
      <c r="AD125" s="105">
        <v>0</v>
      </c>
      <c r="AE125" s="93">
        <v>0</v>
      </c>
      <c r="AF125" s="93">
        <v>0</v>
      </c>
      <c r="AG125" s="93">
        <v>0</v>
      </c>
    </row>
    <row r="126" spans="1:33">
      <c r="A126" s="65" t="str">
        <f>IFERROR(VLOOKUP('Informe Kelly'!A119,Base!A:B,2,FALSE),"")</f>
        <v>07.913.597-6</v>
      </c>
      <c r="B126" s="65" t="str">
        <f>IFERROR(VLOOKUP('Informe Kelly'!A119,Base!A:G,7,FALSE),"")</f>
        <v>RAMIREZ ROJAS JOSE</v>
      </c>
      <c r="C126" s="69" t="str">
        <f>IF(G126=$C$4,IF('Informe Kelly'!H119='Control informe Kelly'!$A$2,TEXT(((LEFT('Informe Kelly'!E119,2)*1)+1),"dd")&amp;"."&amp;MID('Informe Kelly'!E119,4,2)&amp;"."&amp;RIGHT('Informe Kelly'!E119,4),'Informe Kelly'!E119),'Informe Kelly'!E119)</f>
        <v>13.04.2011</v>
      </c>
      <c r="D126" s="69" t="str">
        <f>IF('Informe Kelly'!E119="","",'Informe Kelly'!E119)</f>
        <v>13.04.2011</v>
      </c>
      <c r="E126" s="72">
        <f t="shared" si="3"/>
        <v>60</v>
      </c>
      <c r="F126" s="72" t="str">
        <f>IFERROR(HLOOKUP(C126,Ingreso!$Q$8:$AD$9,2,FALSE),"v")</f>
        <v>Miércoles</v>
      </c>
      <c r="G126" s="65" t="str">
        <f>IFERROR(VLOOKUP(A126,Ingreso!K:P,6,FALSE),"no esta ingresado")</f>
        <v>Turno A</v>
      </c>
      <c r="H126" s="65">
        <f>IFERROR(IF('Informe Kelly'!H119=$A$2,'Informe Kelly'!F119,""),0)</f>
        <v>0.28899305555555554</v>
      </c>
      <c r="I126" s="65" t="str">
        <f>IFERROR(IF('Informe Kelly'!H119=$A$3,'Informe Kelly'!F119,""),0)</f>
        <v/>
      </c>
      <c r="J126" s="65" t="str">
        <f>IF(IFERROR(IF(E126=E125,0,(HLOOKUP(D126,Ingreso!$AN$10:$AT$260,VLOOKUP(A126,Ingreso!$AL$11:$AM$260,2,FALSE)))/24),0)=0,"",IFERROR(IF(E126=E125,0,(HLOOKUP(D126,Ingreso!$AN$10:$AT$260,VLOOKUP(A126,Ingreso!$AL$11:$AM$260,2,FALSE)))/24),0))</f>
        <v/>
      </c>
      <c r="K126" s="65" t="str">
        <f>IF(IFERROR(IF(E126=E125,0,(HLOOKUP(C126,Ingreso!$AW$10:$BC$260,VLOOKUP(A126,Ingreso!$AL$11:$AM$260,2,FALSE)))/24),0)=0,"",IFERROR(IF(E126=E125,0,(HLOOKUP(C126,Ingreso!$AW$10:$BC$260,VLOOKUP(A126,Ingreso!$AL$11:$AM$260,2,FALSE)))/24),0))</f>
        <v/>
      </c>
      <c r="L126" s="63">
        <f t="shared" si="2"/>
        <v>0</v>
      </c>
      <c r="M126" s="63" t="str">
        <f>IF(IFERROR(IF(C126=C124,0,IF(E126=E125,0,IF(C126=$R$2,HLOOKUP($R$2,Ingreso!$AW$10:$BC$260,VLOOKUP(A126,Ingreso!AL:AM,2,FALSE),FALSE)/24,""))),"")=0,"",IFERROR(IF(C126=C124,0,IF(E126=E125,0,IF(C126=$R$2,HLOOKUP($R$2,Ingreso!$AW$10:$BC$260,VLOOKUP(A126,Ingreso!AL:AM,2,FALSE),FALSE)/24,""))),""))</f>
        <v/>
      </c>
      <c r="N126" s="95" t="str">
        <f>IF(IFERROR(IF(C126=C124,0,IF(E126=E125,0,IF(C126=$R$3,HLOOKUP($R$3,Ingreso!$AW$10:$BC$260,VLOOKUP(A126,Ingreso!AL:AM,2,FALSE),FALSE)/24,""))),"")=0,"",IFERROR(IF(C126=C124,0,IF(E126=E125,0,IF(C126=$R$3,HLOOKUP($R$3,Ingreso!$AW$10:$BC$260,VLOOKUP(A126,Ingreso!AL:AM,2,FALSE),FALSE)/24,""))),""))</f>
        <v/>
      </c>
      <c r="O126" s="95" t="str">
        <f>IF(IFERROR(IF(C126=C124,0,IF(E126=E125,0,IF(C126=$R$4,HLOOKUP($R$4,Ingreso!$AW$10:$BC$260,VLOOKUP(A126,Ingreso!AL:AM,2,FALSE),FALSE)/24,""))),"")=0,"",IFERROR(IF(C126=C124,0,IF(E126=E125,0,IF(C126=$R$4,HLOOKUP($R$4,Ingreso!$AW$10:$BC$260,VLOOKUP(A126,Ingreso!AL:AM,2,FALSE),FALSE)/24,""))),""))</f>
        <v/>
      </c>
      <c r="P126" s="90"/>
      <c r="T126" t="s">
        <v>1424</v>
      </c>
      <c r="U126" t="s">
        <v>1322</v>
      </c>
      <c r="V126" t="s">
        <v>1399</v>
      </c>
      <c r="W126" s="82">
        <v>139</v>
      </c>
      <c r="X126" s="71">
        <v>0.3125</v>
      </c>
      <c r="Y126" s="101">
        <v>0.62535879629629632</v>
      </c>
      <c r="Z126" s="101">
        <v>0.9421180555555555</v>
      </c>
      <c r="AA126" s="101">
        <v>0.31675925925925918</v>
      </c>
      <c r="AB126" s="101">
        <v>4.2592592592591849E-3</v>
      </c>
      <c r="AC126" s="105">
        <v>0</v>
      </c>
      <c r="AD126" s="105">
        <v>0</v>
      </c>
      <c r="AE126" s="93">
        <v>0</v>
      </c>
      <c r="AF126" s="93">
        <v>0</v>
      </c>
      <c r="AG126" s="93">
        <v>0</v>
      </c>
    </row>
    <row r="127" spans="1:33">
      <c r="A127" s="65" t="str">
        <f>IFERROR(VLOOKUP('Informe Kelly'!A120,Base!A:B,2,FALSE),"")</f>
        <v>07.913.597-6</v>
      </c>
      <c r="B127" s="65" t="str">
        <f>IFERROR(VLOOKUP('Informe Kelly'!A120,Base!A:G,7,FALSE),"")</f>
        <v>RAMIREZ ROJAS JOSE</v>
      </c>
      <c r="C127" s="69" t="str">
        <f>IF(G127=$C$4,IF('Informe Kelly'!H120='Control informe Kelly'!$A$2,TEXT(((LEFT('Informe Kelly'!E120,2)*1)+1),"dd")&amp;"."&amp;MID('Informe Kelly'!E120,4,2)&amp;"."&amp;RIGHT('Informe Kelly'!E120,4),'Informe Kelly'!E120),'Informe Kelly'!E120)</f>
        <v>14.04.2011</v>
      </c>
      <c r="D127" s="69" t="str">
        <f>IF('Informe Kelly'!E120="","",'Informe Kelly'!E120)</f>
        <v>14.04.2011</v>
      </c>
      <c r="E127" s="72">
        <f t="shared" si="3"/>
        <v>61</v>
      </c>
      <c r="F127" s="72" t="str">
        <f>IFERROR(HLOOKUP(C127,Ingreso!$Q$8:$AD$9,2,FALSE),"v")</f>
        <v>Jueves</v>
      </c>
      <c r="G127" s="65" t="str">
        <f>IFERROR(VLOOKUP(A127,Ingreso!K:P,6,FALSE),"no esta ingresado")</f>
        <v>Turno A</v>
      </c>
      <c r="H127" s="65" t="str">
        <f>IFERROR(IF('Informe Kelly'!H120=$A$2,'Informe Kelly'!F120,""),0)</f>
        <v/>
      </c>
      <c r="I127" s="65">
        <f>IFERROR(IF('Informe Kelly'!H120=$A$3,'Informe Kelly'!F120,""),0)</f>
        <v>0.63590277777777782</v>
      </c>
      <c r="J127" s="65" t="str">
        <f>IF(IFERROR(IF(E127=E126,0,(HLOOKUP(D127,Ingreso!$AN$10:$AT$260,VLOOKUP(A127,Ingreso!$AL$11:$AM$260,2,FALSE)))/24),0)=0,"",IFERROR(IF(E127=E126,0,(HLOOKUP(D127,Ingreso!$AN$10:$AT$260,VLOOKUP(A127,Ingreso!$AL$11:$AM$260,2,FALSE)))/24),0))</f>
        <v/>
      </c>
      <c r="K127" s="65" t="str">
        <f>IF(IFERROR(IF(E127=E126,0,(HLOOKUP(C127,Ingreso!$AW$10:$BC$260,VLOOKUP(A127,Ingreso!$AL$11:$AM$260,2,FALSE)))/24),0)=0,"",IFERROR(IF(E127=E126,0,(HLOOKUP(C127,Ingreso!$AW$10:$BC$260,VLOOKUP(A127,Ingreso!$AL$11:$AM$260,2,FALSE)))/24),0))</f>
        <v/>
      </c>
      <c r="L127" s="63">
        <f t="shared" si="2"/>
        <v>0.3125</v>
      </c>
      <c r="M127" s="63" t="str">
        <f>IF(IFERROR(IF(C127=C125,0,IF(E127=E126,0,IF(C127=$R$2,HLOOKUP($R$2,Ingreso!$AW$10:$BC$260,VLOOKUP(A127,Ingreso!AL:AM,2,FALSE),FALSE)/24,""))),"")=0,"",IFERROR(IF(C127=C125,0,IF(E127=E126,0,IF(C127=$R$2,HLOOKUP($R$2,Ingreso!$AW$10:$BC$260,VLOOKUP(A127,Ingreso!AL:AM,2,FALSE),FALSE)/24,""))),""))</f>
        <v/>
      </c>
      <c r="N127" s="95" t="str">
        <f>IF(IFERROR(IF(C127=C125,0,IF(E127=E126,0,IF(C127=$R$3,HLOOKUP($R$3,Ingreso!$AW$10:$BC$260,VLOOKUP(A127,Ingreso!AL:AM,2,FALSE),FALSE)/24,""))),"")=0,"",IFERROR(IF(C127=C125,0,IF(E127=E126,0,IF(C127=$R$3,HLOOKUP($R$3,Ingreso!$AW$10:$BC$260,VLOOKUP(A127,Ingreso!AL:AM,2,FALSE),FALSE)/24,""))),""))</f>
        <v/>
      </c>
      <c r="O127" s="95" t="str">
        <f>IF(IFERROR(IF(C127=C125,0,IF(E127=E126,0,IF(C127=$R$4,HLOOKUP($R$4,Ingreso!$AW$10:$BC$260,VLOOKUP(A127,Ingreso!AL:AM,2,FALSE),FALSE)/24,""))),"")=0,"",IFERROR(IF(C127=C125,0,IF(E127=E126,0,IF(C127=$R$4,HLOOKUP($R$4,Ingreso!$AW$10:$BC$260,VLOOKUP(A127,Ingreso!AL:AM,2,FALSE),FALSE)/24,""))),""))</f>
        <v/>
      </c>
      <c r="P127" s="90"/>
      <c r="T127" t="s">
        <v>1425</v>
      </c>
      <c r="U127" t="s">
        <v>1322</v>
      </c>
      <c r="V127" t="s">
        <v>1400</v>
      </c>
      <c r="W127" s="82">
        <v>140</v>
      </c>
      <c r="X127" s="71">
        <v>0.3125</v>
      </c>
      <c r="Y127" s="101">
        <v>0.60252314814814811</v>
      </c>
      <c r="Z127" s="101">
        <v>0.94524305555555566</v>
      </c>
      <c r="AA127" s="101">
        <v>0.34271990740740754</v>
      </c>
      <c r="AB127" s="101">
        <v>3.0219907407407542E-2</v>
      </c>
      <c r="AC127" s="105">
        <v>0</v>
      </c>
      <c r="AD127" s="105">
        <v>0</v>
      </c>
      <c r="AE127" s="93">
        <v>0</v>
      </c>
      <c r="AF127" s="93">
        <v>0</v>
      </c>
      <c r="AG127" s="93">
        <v>0</v>
      </c>
    </row>
    <row r="128" spans="1:33">
      <c r="A128" s="65" t="str">
        <f>IFERROR(VLOOKUP('Informe Kelly'!A121,Base!A:B,2,FALSE),"")</f>
        <v>07.913.597-6</v>
      </c>
      <c r="B128" s="65" t="str">
        <f>IFERROR(VLOOKUP('Informe Kelly'!A121,Base!A:G,7,FALSE),"")</f>
        <v>RAMIREZ ROJAS JOSE</v>
      </c>
      <c r="C128" s="69" t="str">
        <f>IF(G128=$C$4,IF('Informe Kelly'!H121='Control informe Kelly'!$A$2,TEXT(((LEFT('Informe Kelly'!E121,2)*1)+1),"dd")&amp;"."&amp;MID('Informe Kelly'!E121,4,2)&amp;"."&amp;RIGHT('Informe Kelly'!E121,4),'Informe Kelly'!E121),'Informe Kelly'!E121)</f>
        <v>14.04.2011</v>
      </c>
      <c r="D128" s="69" t="str">
        <f>IF('Informe Kelly'!E121="","",'Informe Kelly'!E121)</f>
        <v>14.04.2011</v>
      </c>
      <c r="E128" s="72">
        <f t="shared" si="3"/>
        <v>61</v>
      </c>
      <c r="F128" s="72" t="str">
        <f>IFERROR(HLOOKUP(C128,Ingreso!$Q$8:$AD$9,2,FALSE),"v")</f>
        <v>Jueves</v>
      </c>
      <c r="G128" s="65" t="str">
        <f>IFERROR(VLOOKUP(A128,Ingreso!K:P,6,FALSE),"no esta ingresado")</f>
        <v>Turno A</v>
      </c>
      <c r="H128" s="65">
        <f>IFERROR(IF('Informe Kelly'!H121=$A$2,'Informe Kelly'!F121,""),0)</f>
        <v>0.29623842592592592</v>
      </c>
      <c r="I128" s="65" t="str">
        <f>IFERROR(IF('Informe Kelly'!H121=$A$3,'Informe Kelly'!F121,""),0)</f>
        <v/>
      </c>
      <c r="J128" s="65" t="str">
        <f>IF(IFERROR(IF(E128=E127,0,(HLOOKUP(D128,Ingreso!$AN$10:$AT$260,VLOOKUP(A128,Ingreso!$AL$11:$AM$260,2,FALSE)))/24),0)=0,"",IFERROR(IF(E128=E127,0,(HLOOKUP(D128,Ingreso!$AN$10:$AT$260,VLOOKUP(A128,Ingreso!$AL$11:$AM$260,2,FALSE)))/24),0))</f>
        <v/>
      </c>
      <c r="K128" s="65" t="str">
        <f>IF(IFERROR(IF(E128=E127,0,(HLOOKUP(C128,Ingreso!$AW$10:$BC$260,VLOOKUP(A128,Ingreso!$AL$11:$AM$260,2,FALSE)))/24),0)=0,"",IFERROR(IF(E128=E127,0,(HLOOKUP(C128,Ingreso!$AW$10:$BC$260,VLOOKUP(A128,Ingreso!$AL$11:$AM$260,2,FALSE)))/24),0))</f>
        <v/>
      </c>
      <c r="L128" s="63">
        <f t="shared" si="2"/>
        <v>0</v>
      </c>
      <c r="M128" s="63" t="str">
        <f>IF(IFERROR(IF(C128=C126,0,IF(E128=E127,0,IF(C128=$R$2,HLOOKUP($R$2,Ingreso!$AW$10:$BC$260,VLOOKUP(A128,Ingreso!AL:AM,2,FALSE),FALSE)/24,""))),"")=0,"",IFERROR(IF(C128=C126,0,IF(E128=E127,0,IF(C128=$R$2,HLOOKUP($R$2,Ingreso!$AW$10:$BC$260,VLOOKUP(A128,Ingreso!AL:AM,2,FALSE),FALSE)/24,""))),""))</f>
        <v/>
      </c>
      <c r="N128" s="95" t="str">
        <f>IF(IFERROR(IF(C128=C126,0,IF(E128=E127,0,IF(C128=$R$3,HLOOKUP($R$3,Ingreso!$AW$10:$BC$260,VLOOKUP(A128,Ingreso!AL:AM,2,FALSE),FALSE)/24,""))),"")=0,"",IFERROR(IF(C128=C126,0,IF(E128=E127,0,IF(C128=$R$3,HLOOKUP($R$3,Ingreso!$AW$10:$BC$260,VLOOKUP(A128,Ingreso!AL:AM,2,FALSE),FALSE)/24,""))),""))</f>
        <v/>
      </c>
      <c r="O128" s="95" t="str">
        <f>IF(IFERROR(IF(C128=C126,0,IF(E128=E127,0,IF(C128=$R$4,HLOOKUP($R$4,Ingreso!$AW$10:$BC$260,VLOOKUP(A128,Ingreso!AL:AM,2,FALSE),FALSE)/24,""))),"")=0,"",IFERROR(IF(C128=C126,0,IF(E128=E127,0,IF(C128=$R$4,HLOOKUP($R$4,Ingreso!$AW$10:$BC$260,VLOOKUP(A128,Ingreso!AL:AM,2,FALSE),FALSE)/24,""))),""))</f>
        <v/>
      </c>
      <c r="P128" s="90"/>
      <c r="T128" t="s">
        <v>1426</v>
      </c>
      <c r="U128" t="s">
        <v>1322</v>
      </c>
      <c r="V128" t="s">
        <v>1401</v>
      </c>
      <c r="W128" s="82">
        <v>141</v>
      </c>
      <c r="X128" s="71">
        <v>0.3125</v>
      </c>
      <c r="Y128" s="101">
        <v>0.32216435185185183</v>
      </c>
      <c r="Z128" s="101">
        <v>0.63962962962962966</v>
      </c>
      <c r="AA128" s="101">
        <v>0.31746527777777783</v>
      </c>
      <c r="AB128" s="101">
        <v>4.9652777777778323E-3</v>
      </c>
      <c r="AC128" s="105">
        <v>0</v>
      </c>
      <c r="AD128" s="105">
        <v>0</v>
      </c>
      <c r="AE128" s="93">
        <v>0</v>
      </c>
      <c r="AF128" s="93">
        <v>0</v>
      </c>
      <c r="AG128" s="93">
        <v>0</v>
      </c>
    </row>
    <row r="129" spans="1:33">
      <c r="A129" s="65" t="str">
        <f>IFERROR(VLOOKUP('Informe Kelly'!A122,Base!A:B,2,FALSE),"")</f>
        <v>07.913.597-6</v>
      </c>
      <c r="B129" s="65" t="str">
        <f>IFERROR(VLOOKUP('Informe Kelly'!A122,Base!A:G,7,FALSE),"")</f>
        <v>RAMIREZ ROJAS JOSE</v>
      </c>
      <c r="C129" s="69" t="str">
        <f>IF(G129=$C$4,IF('Informe Kelly'!H122='Control informe Kelly'!$A$2,TEXT(((LEFT('Informe Kelly'!E122,2)*1)+1),"dd")&amp;"."&amp;MID('Informe Kelly'!E122,4,2)&amp;"."&amp;RIGHT('Informe Kelly'!E122,4),'Informe Kelly'!E122),'Informe Kelly'!E122)</f>
        <v>15.04.2011</v>
      </c>
      <c r="D129" s="69" t="str">
        <f>IF('Informe Kelly'!E122="","",'Informe Kelly'!E122)</f>
        <v>15.04.2011</v>
      </c>
      <c r="E129" s="72">
        <f t="shared" si="3"/>
        <v>62</v>
      </c>
      <c r="F129" s="72" t="str">
        <f>IFERROR(HLOOKUP(C129,Ingreso!$Q$8:$AD$9,2,FALSE),"v")</f>
        <v>Viernes</v>
      </c>
      <c r="G129" s="65" t="str">
        <f>IFERROR(VLOOKUP(A129,Ingreso!K:P,6,FALSE),"no esta ingresado")</f>
        <v>Turno A</v>
      </c>
      <c r="H129" s="65" t="str">
        <f>IFERROR(IF('Informe Kelly'!H122=$A$2,'Informe Kelly'!F122,""),0)</f>
        <v/>
      </c>
      <c r="I129" s="65">
        <f>IFERROR(IF('Informe Kelly'!H122=$A$3,'Informe Kelly'!F122,""),0)</f>
        <v>0.6366087962962963</v>
      </c>
      <c r="J129" s="65" t="str">
        <f>IF(IFERROR(IF(E129=E128,0,(HLOOKUP(D129,Ingreso!$AN$10:$AT$260,VLOOKUP(A129,Ingreso!$AL$11:$AM$260,2,FALSE)))/24),0)=0,"",IFERROR(IF(E129=E128,0,(HLOOKUP(D129,Ingreso!$AN$10:$AT$260,VLOOKUP(A129,Ingreso!$AL$11:$AM$260,2,FALSE)))/24),0))</f>
        <v/>
      </c>
      <c r="K129" s="65" t="str">
        <f>IF(IFERROR(IF(E129=E128,0,(HLOOKUP(C129,Ingreso!$AW$10:$BC$260,VLOOKUP(A129,Ingreso!$AL$11:$AM$260,2,FALSE)))/24),0)=0,"",IFERROR(IF(E129=E128,0,(HLOOKUP(C129,Ingreso!$AW$10:$BC$260,VLOOKUP(A129,Ingreso!$AL$11:$AM$260,2,FALSE)))/24),0))</f>
        <v/>
      </c>
      <c r="L129" s="63">
        <f t="shared" si="2"/>
        <v>0.3125</v>
      </c>
      <c r="M129" s="63" t="str">
        <f>IF(IFERROR(IF(C129=C127,0,IF(E129=E128,0,IF(C129=$R$2,HLOOKUP($R$2,Ingreso!$AW$10:$BC$260,VLOOKUP(A129,Ingreso!AL:AM,2,FALSE),FALSE)/24,""))),"")=0,"",IFERROR(IF(C129=C127,0,IF(E129=E128,0,IF(C129=$R$2,HLOOKUP($R$2,Ingreso!$AW$10:$BC$260,VLOOKUP(A129,Ingreso!AL:AM,2,FALSE),FALSE)/24,""))),""))</f>
        <v/>
      </c>
      <c r="N129" s="95" t="str">
        <f>IF(IFERROR(IF(C129=C127,0,IF(E129=E128,0,IF(C129=$R$3,HLOOKUP($R$3,Ingreso!$AW$10:$BC$260,VLOOKUP(A129,Ingreso!AL:AM,2,FALSE),FALSE)/24,""))),"")=0,"",IFERROR(IF(C129=C127,0,IF(E129=E128,0,IF(C129=$R$3,HLOOKUP($R$3,Ingreso!$AW$10:$BC$260,VLOOKUP(A129,Ingreso!AL:AM,2,FALSE),FALSE)/24,""))),""))</f>
        <v/>
      </c>
      <c r="O129" s="95" t="str">
        <f>IF(IFERROR(IF(C129=C127,0,IF(E129=E128,0,IF(C129=$R$4,HLOOKUP($R$4,Ingreso!$AW$10:$BC$260,VLOOKUP(A129,Ingreso!AL:AM,2,FALSE),FALSE)/24,""))),"")=0,"",IFERROR(IF(C129=C127,0,IF(E129=E128,0,IF(C129=$R$4,HLOOKUP($R$4,Ingreso!$AW$10:$BC$260,VLOOKUP(A129,Ingreso!AL:AM,2,FALSE),FALSE)/24,""))),""))</f>
        <v/>
      </c>
      <c r="P129" s="90"/>
      <c r="T129" t="s">
        <v>1427</v>
      </c>
      <c r="U129" t="s">
        <v>1322</v>
      </c>
      <c r="V129" t="s">
        <v>1402</v>
      </c>
      <c r="W129" s="82">
        <v>142</v>
      </c>
      <c r="X129" s="71">
        <v>0.3125</v>
      </c>
      <c r="Y129" s="101">
        <v>0.64457175925925925</v>
      </c>
      <c r="Z129" s="101">
        <v>0.93753472222222223</v>
      </c>
      <c r="AA129" s="101">
        <v>0.29296296296296298</v>
      </c>
      <c r="AB129" s="101">
        <v>-1.9537037037037019E-2</v>
      </c>
      <c r="AC129" s="105">
        <v>0</v>
      </c>
      <c r="AD129" s="105">
        <v>0</v>
      </c>
      <c r="AE129" s="93">
        <v>0</v>
      </c>
      <c r="AF129" s="93">
        <v>0</v>
      </c>
      <c r="AG129" s="93">
        <v>0</v>
      </c>
    </row>
    <row r="130" spans="1:33">
      <c r="A130" s="65" t="str">
        <f>IFERROR(VLOOKUP('Informe Kelly'!A123,Base!A:B,2,FALSE),"")</f>
        <v>07.913.597-6</v>
      </c>
      <c r="B130" s="65" t="str">
        <f>IFERROR(VLOOKUP('Informe Kelly'!A123,Base!A:G,7,FALSE),"")</f>
        <v>RAMIREZ ROJAS JOSE</v>
      </c>
      <c r="C130" s="69" t="str">
        <f>IF(G130=$C$4,IF('Informe Kelly'!H123='Control informe Kelly'!$A$2,TEXT(((LEFT('Informe Kelly'!E123,2)*1)+1),"dd")&amp;"."&amp;MID('Informe Kelly'!E123,4,2)&amp;"."&amp;RIGHT('Informe Kelly'!E123,4),'Informe Kelly'!E123),'Informe Kelly'!E123)</f>
        <v>15.04.2011</v>
      </c>
      <c r="D130" s="69" t="str">
        <f>IF('Informe Kelly'!E123="","",'Informe Kelly'!E123)</f>
        <v>15.04.2011</v>
      </c>
      <c r="E130" s="72">
        <f t="shared" si="3"/>
        <v>62</v>
      </c>
      <c r="F130" s="72" t="str">
        <f>IFERROR(HLOOKUP(C130,Ingreso!$Q$8:$AD$9,2,FALSE),"v")</f>
        <v>Viernes</v>
      </c>
      <c r="G130" s="65" t="str">
        <f>IFERROR(VLOOKUP(A130,Ingreso!K:P,6,FALSE),"no esta ingresado")</f>
        <v>Turno A</v>
      </c>
      <c r="H130" s="65">
        <f>IFERROR(IF('Informe Kelly'!H123=$A$2,'Informe Kelly'!F123,""),0)</f>
        <v>0.29631944444444441</v>
      </c>
      <c r="I130" s="65" t="str">
        <f>IFERROR(IF('Informe Kelly'!H123=$A$3,'Informe Kelly'!F123,""),0)</f>
        <v/>
      </c>
      <c r="J130" s="65" t="str">
        <f>IF(IFERROR(IF(E130=E129,0,(HLOOKUP(D130,Ingreso!$AN$10:$AT$260,VLOOKUP(A130,Ingreso!$AL$11:$AM$260,2,FALSE)))/24),0)=0,"",IFERROR(IF(E130=E129,0,(HLOOKUP(D130,Ingreso!$AN$10:$AT$260,VLOOKUP(A130,Ingreso!$AL$11:$AM$260,2,FALSE)))/24),0))</f>
        <v/>
      </c>
      <c r="K130" s="65" t="str">
        <f>IF(IFERROR(IF(E130=E129,0,(HLOOKUP(C130,Ingreso!$AW$10:$BC$260,VLOOKUP(A130,Ingreso!$AL$11:$AM$260,2,FALSE)))/24),0)=0,"",IFERROR(IF(E130=E129,0,(HLOOKUP(C130,Ingreso!$AW$10:$BC$260,VLOOKUP(A130,Ingreso!$AL$11:$AM$260,2,FALSE)))/24),0))</f>
        <v/>
      </c>
      <c r="L130" s="63">
        <f t="shared" si="2"/>
        <v>0</v>
      </c>
      <c r="M130" s="63" t="str">
        <f>IF(IFERROR(IF(C130=C128,0,IF(E130=E129,0,IF(C130=$R$2,HLOOKUP($R$2,Ingreso!$AW$10:$BC$260,VLOOKUP(A130,Ingreso!AL:AM,2,FALSE),FALSE)/24,""))),"")=0,"",IFERROR(IF(C130=C128,0,IF(E130=E129,0,IF(C130=$R$2,HLOOKUP($R$2,Ingreso!$AW$10:$BC$260,VLOOKUP(A130,Ingreso!AL:AM,2,FALSE),FALSE)/24,""))),""))</f>
        <v/>
      </c>
      <c r="N130" s="95" t="str">
        <f>IF(IFERROR(IF(C130=C128,0,IF(E130=E129,0,IF(C130=$R$3,HLOOKUP($R$3,Ingreso!$AW$10:$BC$260,VLOOKUP(A130,Ingreso!AL:AM,2,FALSE),FALSE)/24,""))),"")=0,"",IFERROR(IF(C130=C128,0,IF(E130=E129,0,IF(C130=$R$3,HLOOKUP($R$3,Ingreso!$AW$10:$BC$260,VLOOKUP(A130,Ingreso!AL:AM,2,FALSE),FALSE)/24,""))),""))</f>
        <v/>
      </c>
      <c r="O130" s="95" t="str">
        <f>IF(IFERROR(IF(C130=C128,0,IF(E130=E129,0,IF(C130=$R$4,HLOOKUP($R$4,Ingreso!$AW$10:$BC$260,VLOOKUP(A130,Ingreso!AL:AM,2,FALSE),FALSE)/24,""))),"")=0,"",IFERROR(IF(C130=C128,0,IF(E130=E129,0,IF(C130=$R$4,HLOOKUP($R$4,Ingreso!$AW$10:$BC$260,VLOOKUP(A130,Ingreso!AL:AM,2,FALSE),FALSE)/24,""))),""))</f>
        <v/>
      </c>
      <c r="P130" s="90"/>
      <c r="R130" t="s">
        <v>1125</v>
      </c>
      <c r="S130" t="s">
        <v>1127</v>
      </c>
      <c r="T130" t="s">
        <v>1420</v>
      </c>
      <c r="U130" t="s">
        <v>1322</v>
      </c>
      <c r="V130" t="s">
        <v>1397</v>
      </c>
      <c r="W130" s="82">
        <v>143</v>
      </c>
      <c r="X130" s="71">
        <v>0.3125</v>
      </c>
      <c r="Y130" s="101">
        <v>0</v>
      </c>
      <c r="Z130" s="101">
        <v>1.2738541666666667</v>
      </c>
      <c r="AA130" s="101">
        <v>1.2738541666666667</v>
      </c>
      <c r="AB130" s="101">
        <v>0.96135416666666673</v>
      </c>
      <c r="AC130" s="105">
        <v>0</v>
      </c>
      <c r="AD130" s="105">
        <v>0.3125</v>
      </c>
      <c r="AE130" s="93">
        <v>0.3125</v>
      </c>
      <c r="AF130" s="93">
        <v>0</v>
      </c>
      <c r="AG130" s="93">
        <v>0</v>
      </c>
    </row>
    <row r="131" spans="1:33">
      <c r="A131" s="65" t="str">
        <f>IFERROR(VLOOKUP('Informe Kelly'!A124,Base!A:B,2,FALSE),"")</f>
        <v>07.913.597-6</v>
      </c>
      <c r="B131" s="65" t="str">
        <f>IFERROR(VLOOKUP('Informe Kelly'!A124,Base!A:G,7,FALSE),"")</f>
        <v>RAMIREZ ROJAS JOSE</v>
      </c>
      <c r="C131" s="69" t="str">
        <f>IF(G131=$C$4,IF('Informe Kelly'!H124='Control informe Kelly'!$A$2,TEXT(((LEFT('Informe Kelly'!E124,2)*1)+1),"dd")&amp;"."&amp;MID('Informe Kelly'!E124,4,2)&amp;"."&amp;RIGHT('Informe Kelly'!E124,4),'Informe Kelly'!E124),'Informe Kelly'!E124)</f>
        <v>16.04.2011</v>
      </c>
      <c r="D131" s="69" t="str">
        <f>IF('Informe Kelly'!E124="","",'Informe Kelly'!E124)</f>
        <v>16.04.2011</v>
      </c>
      <c r="E131" s="72">
        <f t="shared" si="3"/>
        <v>63</v>
      </c>
      <c r="F131" s="72" t="str">
        <f>IFERROR(HLOOKUP(C131,Ingreso!$Q$8:$AD$9,2,FALSE),"v")</f>
        <v>Sábado</v>
      </c>
      <c r="G131" s="65" t="str">
        <f>IFERROR(VLOOKUP(A131,Ingreso!K:P,6,FALSE),"no esta ingresado")</f>
        <v>Turno A</v>
      </c>
      <c r="H131" s="65" t="str">
        <f>IFERROR(IF('Informe Kelly'!H124=$A$2,'Informe Kelly'!F124,""),0)</f>
        <v/>
      </c>
      <c r="I131" s="65">
        <f>IFERROR(IF('Informe Kelly'!H124=$A$3,'Informe Kelly'!F124,""),0)</f>
        <v>0.63445601851851852</v>
      </c>
      <c r="J131" s="65" t="str">
        <f>IF(IFERROR(IF(E131=E130,0,(HLOOKUP(D131,Ingreso!$AN$10:$AT$260,VLOOKUP(A131,Ingreso!$AL$11:$AM$260,2,FALSE)))/24),0)=0,"",IFERROR(IF(E131=E130,0,(HLOOKUP(D131,Ingreso!$AN$10:$AT$260,VLOOKUP(A131,Ingreso!$AL$11:$AM$260,2,FALSE)))/24),0))</f>
        <v/>
      </c>
      <c r="K131" s="65" t="str">
        <f>IF(IFERROR(IF(E131=E130,0,(HLOOKUP(C131,Ingreso!$AW$10:$BC$260,VLOOKUP(A131,Ingreso!$AL$11:$AM$260,2,FALSE)))/24),0)=0,"",IFERROR(IF(E131=E130,0,(HLOOKUP(C131,Ingreso!$AW$10:$BC$260,VLOOKUP(A131,Ingreso!$AL$11:$AM$260,2,FALSE)))/24),0))</f>
        <v/>
      </c>
      <c r="L131" s="63">
        <f t="shared" si="2"/>
        <v>0.3125</v>
      </c>
      <c r="M131" s="63" t="str">
        <f>IF(IFERROR(IF(C131=C129,0,IF(E131=E130,0,IF(C131=$R$2,HLOOKUP($R$2,Ingreso!$AW$10:$BC$260,VLOOKUP(A131,Ingreso!AL:AM,2,FALSE),FALSE)/24,""))),"")=0,"",IFERROR(IF(C131=C129,0,IF(E131=E130,0,IF(C131=$R$2,HLOOKUP($R$2,Ingreso!$AW$10:$BC$260,VLOOKUP(A131,Ingreso!AL:AM,2,FALSE),FALSE)/24,""))),""))</f>
        <v/>
      </c>
      <c r="N131" s="95" t="str">
        <f>IF(IFERROR(IF(C131=C129,0,IF(E131=E130,0,IF(C131=$R$3,HLOOKUP($R$3,Ingreso!$AW$10:$BC$260,VLOOKUP(A131,Ingreso!AL:AM,2,FALSE),FALSE)/24,""))),"")=0,"",IFERROR(IF(C131=C129,0,IF(E131=E130,0,IF(C131=$R$3,HLOOKUP($R$3,Ingreso!$AW$10:$BC$260,VLOOKUP(A131,Ingreso!AL:AM,2,FALSE),FALSE)/24,""))),""))</f>
        <v/>
      </c>
      <c r="O131" s="95" t="str">
        <f>IF(IFERROR(IF(C131=C129,0,IF(E131=E130,0,IF(C131=$R$4,HLOOKUP($R$4,Ingreso!$AW$10:$BC$260,VLOOKUP(A131,Ingreso!AL:AM,2,FALSE),FALSE)/24,""))),"")=0,"",IFERROR(IF(C131=C129,0,IF(E131=E130,0,IF(C131=$R$4,HLOOKUP($R$4,Ingreso!$AW$10:$BC$260,VLOOKUP(A131,Ingreso!AL:AM,2,FALSE),FALSE)/24,""))),""))</f>
        <v/>
      </c>
      <c r="P131" s="90"/>
      <c r="V131"/>
      <c r="W131" s="82">
        <v>144</v>
      </c>
      <c r="X131" s="71">
        <v>0</v>
      </c>
      <c r="Y131" s="101">
        <v>0.62762731481481482</v>
      </c>
      <c r="Z131" s="101">
        <v>0</v>
      </c>
      <c r="AA131" s="101">
        <v>0.37237268518518518</v>
      </c>
      <c r="AB131" s="101">
        <v>0.37237268518518518</v>
      </c>
      <c r="AC131" s="105">
        <v>0</v>
      </c>
      <c r="AD131" s="105">
        <v>0.3125</v>
      </c>
      <c r="AE131" s="93">
        <v>0</v>
      </c>
      <c r="AF131" s="93">
        <v>0</v>
      </c>
      <c r="AG131" s="93">
        <v>0</v>
      </c>
    </row>
    <row r="132" spans="1:33">
      <c r="A132" s="65" t="str">
        <f>IFERROR(VLOOKUP('Informe Kelly'!A125,Base!A:B,2,FALSE),"")</f>
        <v>07.913.597-6</v>
      </c>
      <c r="B132" s="65" t="str">
        <f>IFERROR(VLOOKUP('Informe Kelly'!A125,Base!A:G,7,FALSE),"")</f>
        <v>RAMIREZ ROJAS JOSE</v>
      </c>
      <c r="C132" s="69" t="str">
        <f>IF(G132=$C$4,IF('Informe Kelly'!H125='Control informe Kelly'!$A$2,TEXT(((LEFT('Informe Kelly'!E125,2)*1)+1),"dd")&amp;"."&amp;MID('Informe Kelly'!E125,4,2)&amp;"."&amp;RIGHT('Informe Kelly'!E125,4),'Informe Kelly'!E125),'Informe Kelly'!E125)</f>
        <v>16.04.2011</v>
      </c>
      <c r="D132" s="69" t="str">
        <f>IF('Informe Kelly'!E125="","",'Informe Kelly'!E125)</f>
        <v>16.04.2011</v>
      </c>
      <c r="E132" s="72">
        <f t="shared" si="3"/>
        <v>63</v>
      </c>
      <c r="F132" s="72" t="str">
        <f>IFERROR(HLOOKUP(C132,Ingreso!$Q$8:$AD$9,2,FALSE),"v")</f>
        <v>Sábado</v>
      </c>
      <c r="G132" s="65" t="str">
        <f>IFERROR(VLOOKUP(A132,Ingreso!K:P,6,FALSE),"no esta ingresado")</f>
        <v>Turno A</v>
      </c>
      <c r="H132" s="65">
        <f>IFERROR(IF('Informe Kelly'!H125=$A$2,'Informe Kelly'!F125,""),0)</f>
        <v>0.29158564814814814</v>
      </c>
      <c r="I132" s="65" t="str">
        <f>IFERROR(IF('Informe Kelly'!H125=$A$3,'Informe Kelly'!F125,""),0)</f>
        <v/>
      </c>
      <c r="J132" s="65" t="str">
        <f>IF(IFERROR(IF(E132=E131,0,(HLOOKUP(D132,Ingreso!$AN$10:$AT$260,VLOOKUP(A132,Ingreso!$AL$11:$AM$260,2,FALSE)))/24),0)=0,"",IFERROR(IF(E132=E131,0,(HLOOKUP(D132,Ingreso!$AN$10:$AT$260,VLOOKUP(A132,Ingreso!$AL$11:$AM$260,2,FALSE)))/24),0))</f>
        <v/>
      </c>
      <c r="K132" s="65" t="str">
        <f>IF(IFERROR(IF(E132=E131,0,(HLOOKUP(C132,Ingreso!$AW$10:$BC$260,VLOOKUP(A132,Ingreso!$AL$11:$AM$260,2,FALSE)))/24),0)=0,"",IFERROR(IF(E132=E131,0,(HLOOKUP(C132,Ingreso!$AW$10:$BC$260,VLOOKUP(A132,Ingreso!$AL$11:$AM$260,2,FALSE)))/24),0))</f>
        <v/>
      </c>
      <c r="L132" s="63">
        <f t="shared" si="2"/>
        <v>0</v>
      </c>
      <c r="M132" s="63" t="str">
        <f>IF(IFERROR(IF(C132=C130,0,IF(E132=E131,0,IF(C132=$R$2,HLOOKUP($R$2,Ingreso!$AW$10:$BC$260,VLOOKUP(A132,Ingreso!AL:AM,2,FALSE),FALSE)/24,""))),"")=0,"",IFERROR(IF(C132=C130,0,IF(E132=E131,0,IF(C132=$R$2,HLOOKUP($R$2,Ingreso!$AW$10:$BC$260,VLOOKUP(A132,Ingreso!AL:AM,2,FALSE),FALSE)/24,""))),""))</f>
        <v/>
      </c>
      <c r="N132" s="95" t="str">
        <f>IF(IFERROR(IF(C132=C130,0,IF(E132=E131,0,IF(C132=$R$3,HLOOKUP($R$3,Ingreso!$AW$10:$BC$260,VLOOKUP(A132,Ingreso!AL:AM,2,FALSE),FALSE)/24,""))),"")=0,"",IFERROR(IF(C132=C130,0,IF(E132=E131,0,IF(C132=$R$3,HLOOKUP($R$3,Ingreso!$AW$10:$BC$260,VLOOKUP(A132,Ingreso!AL:AM,2,FALSE),FALSE)/24,""))),""))</f>
        <v/>
      </c>
      <c r="O132" s="95" t="str">
        <f>IF(IFERROR(IF(C132=C130,0,IF(E132=E131,0,IF(C132=$R$4,HLOOKUP($R$4,Ingreso!$AW$10:$BC$260,VLOOKUP(A132,Ingreso!AL:AM,2,FALSE),FALSE)/24,""))),"")=0,"",IFERROR(IF(C132=C130,0,IF(E132=E131,0,IF(C132=$R$4,HLOOKUP($R$4,Ingreso!$AW$10:$BC$260,VLOOKUP(A132,Ingreso!AL:AM,2,FALSE),FALSE)/24,""))),""))</f>
        <v/>
      </c>
      <c r="P132" s="90"/>
      <c r="T132" t="s">
        <v>1423</v>
      </c>
      <c r="U132" t="s">
        <v>1322</v>
      </c>
      <c r="V132" t="s">
        <v>1398</v>
      </c>
      <c r="W132" s="82">
        <v>145</v>
      </c>
      <c r="X132" s="71">
        <v>0.3125</v>
      </c>
      <c r="Y132" s="101">
        <v>0.6055208333333334</v>
      </c>
      <c r="Z132" s="101">
        <v>0.94282407407407398</v>
      </c>
      <c r="AA132" s="101">
        <v>0.33730324074074058</v>
      </c>
      <c r="AB132" s="101">
        <v>2.4803240740740584E-2</v>
      </c>
      <c r="AC132" s="105">
        <v>0</v>
      </c>
      <c r="AD132" s="105">
        <v>0</v>
      </c>
      <c r="AE132" s="93">
        <v>0</v>
      </c>
      <c r="AF132" s="93">
        <v>0</v>
      </c>
      <c r="AG132" s="93">
        <v>0</v>
      </c>
    </row>
    <row r="133" spans="1:33">
      <c r="A133" s="65" t="str">
        <f>IFERROR(VLOOKUP('Informe Kelly'!A126,Base!A:B,2,FALSE),"")</f>
        <v>07.913.597-6</v>
      </c>
      <c r="B133" s="65" t="str">
        <f>IFERROR(VLOOKUP('Informe Kelly'!A126,Base!A:G,7,FALSE),"")</f>
        <v>RAMIREZ ROJAS JOSE</v>
      </c>
      <c r="C133" s="69" t="str">
        <f>IF(G133=$C$4,IF('Informe Kelly'!H126='Control informe Kelly'!$A$2,TEXT(((LEFT('Informe Kelly'!E126,2)*1)+1),"dd")&amp;"."&amp;MID('Informe Kelly'!E126,4,2)&amp;"."&amp;RIGHT('Informe Kelly'!E126,4),'Informe Kelly'!E126),'Informe Kelly'!E126)</f>
        <v>17.04.2011</v>
      </c>
      <c r="D133" s="69" t="str">
        <f>IF('Informe Kelly'!E126="","",'Informe Kelly'!E126)</f>
        <v>17.04.2011</v>
      </c>
      <c r="E133" s="72">
        <f t="shared" si="3"/>
        <v>64</v>
      </c>
      <c r="F133" s="72" t="str">
        <f>IFERROR(HLOOKUP(C133,Ingreso!$Q$8:$AD$9,2,FALSE),"v")</f>
        <v>Domingo</v>
      </c>
      <c r="G133" s="65" t="str">
        <f>IFERROR(VLOOKUP(A133,Ingreso!K:P,6,FALSE),"no esta ingresado")</f>
        <v>Turno A</v>
      </c>
      <c r="H133" s="65">
        <f>IFERROR(IF('Informe Kelly'!H126=$A$2,'Informe Kelly'!F126,""),0)</f>
        <v>0.93552083333333336</v>
      </c>
      <c r="I133" s="65" t="str">
        <f>IFERROR(IF('Informe Kelly'!H126=$A$3,'Informe Kelly'!F126,""),0)</f>
        <v/>
      </c>
      <c r="J133" s="65" t="str">
        <f>IF(IFERROR(IF(E133=E132,0,(HLOOKUP(D133,Ingreso!$AN$10:$AT$260,VLOOKUP(A133,Ingreso!$AL$11:$AM$260,2,FALSE)))/24),0)=0,"",IFERROR(IF(E133=E132,0,(HLOOKUP(D133,Ingreso!$AN$10:$AT$260,VLOOKUP(A133,Ingreso!$AL$11:$AM$260,2,FALSE)))/24),0))</f>
        <v/>
      </c>
      <c r="K133" s="65" t="str">
        <f>IF(IFERROR(IF(E133=E132,0,(HLOOKUP(C133,Ingreso!$AW$10:$BC$260,VLOOKUP(A133,Ingreso!$AL$11:$AM$260,2,FALSE)))/24),0)=0,"",IFERROR(IF(E133=E132,0,(HLOOKUP(C133,Ingreso!$AW$10:$BC$260,VLOOKUP(A133,Ingreso!$AL$11:$AM$260,2,FALSE)))/24),0))</f>
        <v/>
      </c>
      <c r="L133" s="63">
        <f t="shared" si="2"/>
        <v>0.3125</v>
      </c>
      <c r="M133" s="63" t="str">
        <f>IF(IFERROR(IF(C133=C131,0,IF(E133=E132,0,IF(C133=$R$2,HLOOKUP($R$2,Ingreso!$AW$10:$BC$260,VLOOKUP(A133,Ingreso!AL:AM,2,FALSE),FALSE)/24,""))),"")=0,"",IFERROR(IF(C133=C131,0,IF(E133=E132,0,IF(C133=$R$2,HLOOKUP($R$2,Ingreso!$AW$10:$BC$260,VLOOKUP(A133,Ingreso!AL:AM,2,FALSE),FALSE)/24,""))),""))</f>
        <v/>
      </c>
      <c r="N133" s="95" t="str">
        <f>IF(IFERROR(IF(C133=C131,0,IF(E133=E132,0,IF(C133=$R$3,HLOOKUP($R$3,Ingreso!$AW$10:$BC$260,VLOOKUP(A133,Ingreso!AL:AM,2,FALSE),FALSE)/24,""))),"")=0,"",IFERROR(IF(C133=C131,0,IF(E133=E132,0,IF(C133=$R$3,HLOOKUP($R$3,Ingreso!$AW$10:$BC$260,VLOOKUP(A133,Ingreso!AL:AM,2,FALSE),FALSE)/24,""))),""))</f>
        <v/>
      </c>
      <c r="O133" s="95" t="str">
        <f>IF(IFERROR(IF(C133=C131,0,IF(E133=E132,0,IF(C133=$R$4,HLOOKUP($R$4,Ingreso!$AW$10:$BC$260,VLOOKUP(A133,Ingreso!AL:AM,2,FALSE),FALSE)/24,""))),"")=0,"",IFERROR(IF(C133=C131,0,IF(E133=E132,0,IF(C133=$R$4,HLOOKUP($R$4,Ingreso!$AW$10:$BC$260,VLOOKUP(A133,Ingreso!AL:AM,2,FALSE),FALSE)/24,""))),""))</f>
        <v/>
      </c>
      <c r="P133" s="90"/>
      <c r="T133" t="s">
        <v>1424</v>
      </c>
      <c r="U133" t="s">
        <v>1322</v>
      </c>
      <c r="V133" t="s">
        <v>1399</v>
      </c>
      <c r="W133" s="82">
        <v>146</v>
      </c>
      <c r="X133" s="71">
        <v>0.3125</v>
      </c>
      <c r="Y133" s="101">
        <v>0.60834490740740743</v>
      </c>
      <c r="Z133" s="101">
        <v>0.94327546296296294</v>
      </c>
      <c r="AA133" s="101">
        <v>0.33493055555555551</v>
      </c>
      <c r="AB133" s="101">
        <v>2.2430555555555509E-2</v>
      </c>
      <c r="AC133" s="105">
        <v>0</v>
      </c>
      <c r="AD133" s="105">
        <v>0</v>
      </c>
      <c r="AE133" s="93">
        <v>0</v>
      </c>
      <c r="AF133" s="93">
        <v>0</v>
      </c>
      <c r="AG133" s="93">
        <v>0</v>
      </c>
    </row>
    <row r="134" spans="1:33">
      <c r="A134" s="65" t="str">
        <f>IFERROR(VLOOKUP('Informe Kelly'!A127,Base!A:B,2,FALSE),"")</f>
        <v>07.916.907-2</v>
      </c>
      <c r="B134" s="65" t="str">
        <f>IFERROR(VLOOKUP('Informe Kelly'!A127,Base!A:G,7,FALSE),"")</f>
        <v>RUBIO CASTRO MARCOS</v>
      </c>
      <c r="C134" s="69" t="str">
        <f>IF(G134=$C$4,IF('Informe Kelly'!H127='Control informe Kelly'!$A$2,TEXT(((LEFT('Informe Kelly'!E127,2)*1)+1),"dd")&amp;"."&amp;MID('Informe Kelly'!E127,4,2)&amp;"."&amp;RIGHT('Informe Kelly'!E127,4),'Informe Kelly'!E127),'Informe Kelly'!E127)</f>
        <v>11.04.2011</v>
      </c>
      <c r="D134" s="69" t="str">
        <f>IF('Informe Kelly'!E127="","",'Informe Kelly'!E127)</f>
        <v>11.04.2011</v>
      </c>
      <c r="E134" s="72">
        <f t="shared" si="3"/>
        <v>65</v>
      </c>
      <c r="F134" s="72" t="str">
        <f>IFERROR(HLOOKUP(C134,Ingreso!$Q$8:$AD$9,2,FALSE),"v")</f>
        <v>Lunes</v>
      </c>
      <c r="G134" s="65" t="str">
        <f>IFERROR(VLOOKUP(A134,Ingreso!K:P,6,FALSE),"no esta ingresado")</f>
        <v>Admin</v>
      </c>
      <c r="H134" s="65" t="str">
        <f>IFERROR(IF('Informe Kelly'!H127=$A$2,'Informe Kelly'!F127,""),0)</f>
        <v/>
      </c>
      <c r="I134" s="65">
        <f>IFERROR(IF('Informe Kelly'!H127=$A$3,'Informe Kelly'!F127,""),0)</f>
        <v>0.33585648148148151</v>
      </c>
      <c r="J134" s="65" t="str">
        <f>IF(IFERROR(IF(E134=E133,0,(HLOOKUP(D134,Ingreso!$AN$10:$AT$260,VLOOKUP(A134,Ingreso!$AL$11:$AM$260,2,FALSE)))/24),0)=0,"",IFERROR(IF(E134=E133,0,(HLOOKUP(D134,Ingreso!$AN$10:$AT$260,VLOOKUP(A134,Ingreso!$AL$11:$AM$260,2,FALSE)))/24),0))</f>
        <v/>
      </c>
      <c r="K134" s="65">
        <f>IF(IFERROR(IF(E134=E133,0,(HLOOKUP(C134,Ingreso!$AW$10:$BC$260,VLOOKUP(A134,Ingreso!$AL$11:$AM$260,2,FALSE)))/24),0)=0,"",IFERROR(IF(E134=E133,0,(HLOOKUP(C134,Ingreso!$AW$10:$BC$260,VLOOKUP(A134,Ingreso!$AL$11:$AM$260,2,FALSE)))/24),0))</f>
        <v>0.3125</v>
      </c>
      <c r="L134" s="63">
        <f t="shared" si="2"/>
        <v>0.41666666666666669</v>
      </c>
      <c r="M134" s="63">
        <f>IF(IFERROR(IF(C134=C132,0,IF(E134=E133,0,IF(C134=$R$2,HLOOKUP($R$2,Ingreso!$AW$10:$BC$260,VLOOKUP(A134,Ingreso!AL:AM,2,FALSE),FALSE)/24,""))),"")=0,"",IFERROR(IF(C134=C132,0,IF(E134=E133,0,IF(C134=$R$2,HLOOKUP($R$2,Ingreso!$AW$10:$BC$260,VLOOKUP(A134,Ingreso!AL:AM,2,FALSE),FALSE)/24,""))),""))</f>
        <v>0.3125</v>
      </c>
      <c r="N134" s="95" t="str">
        <f>IF(IFERROR(IF(C134=C132,0,IF(E134=E133,0,IF(C134=$R$3,HLOOKUP($R$3,Ingreso!$AW$10:$BC$260,VLOOKUP(A134,Ingreso!AL:AM,2,FALSE),FALSE)/24,""))),"")=0,"",IFERROR(IF(C134=C132,0,IF(E134=E133,0,IF(C134=$R$3,HLOOKUP($R$3,Ingreso!$AW$10:$BC$260,VLOOKUP(A134,Ingreso!AL:AM,2,FALSE),FALSE)/24,""))),""))</f>
        <v/>
      </c>
      <c r="O134" s="95" t="str">
        <f>IF(IFERROR(IF(C134=C132,0,IF(E134=E133,0,IF(C134=$R$4,HLOOKUP($R$4,Ingreso!$AW$10:$BC$260,VLOOKUP(A134,Ingreso!AL:AM,2,FALSE),FALSE)/24,""))),"")=0,"",IFERROR(IF(C134=C132,0,IF(E134=E133,0,IF(C134=$R$4,HLOOKUP($R$4,Ingreso!$AW$10:$BC$260,VLOOKUP(A134,Ingreso!AL:AM,2,FALSE),FALSE)/24,""))),""))</f>
        <v/>
      </c>
      <c r="P134" s="90"/>
      <c r="T134" t="s">
        <v>1425</v>
      </c>
      <c r="U134" t="s">
        <v>1322</v>
      </c>
      <c r="V134" t="s">
        <v>1400</v>
      </c>
      <c r="W134" s="82">
        <v>147</v>
      </c>
      <c r="X134" s="71">
        <v>0.3125</v>
      </c>
      <c r="Y134" s="101">
        <v>0.60700231481481481</v>
      </c>
      <c r="Z134" s="101">
        <v>0.9456134259259259</v>
      </c>
      <c r="AA134" s="101">
        <v>0.33861111111111108</v>
      </c>
      <c r="AB134" s="101">
        <v>2.6111111111111085E-2</v>
      </c>
      <c r="AC134" s="105">
        <v>0</v>
      </c>
      <c r="AD134" s="105">
        <v>0</v>
      </c>
      <c r="AE134" s="93">
        <v>0</v>
      </c>
      <c r="AF134" s="93">
        <v>0</v>
      </c>
      <c r="AG134" s="93">
        <v>0</v>
      </c>
    </row>
    <row r="135" spans="1:33" ht="12.75" customHeight="1">
      <c r="A135" s="65" t="str">
        <f>IFERROR(VLOOKUP('Informe Kelly'!A128,Base!A:B,2,FALSE),"")</f>
        <v>07.916.907-2</v>
      </c>
      <c r="B135" s="65" t="str">
        <f>IFERROR(VLOOKUP('Informe Kelly'!A128,Base!A:G,7,FALSE),"")</f>
        <v>RUBIO CASTRO MARCOS</v>
      </c>
      <c r="C135" s="69" t="str">
        <f>IF(G135=$C$4,IF('Informe Kelly'!H128='Control informe Kelly'!$A$2,TEXT(((LEFT('Informe Kelly'!E128,2)*1)+1),"dd")&amp;"."&amp;MID('Informe Kelly'!E128,4,2)&amp;"."&amp;RIGHT('Informe Kelly'!E128,4),'Informe Kelly'!E128),'Informe Kelly'!E128)</f>
        <v>12.04.2011</v>
      </c>
      <c r="D135" s="69" t="str">
        <f>IF('Informe Kelly'!E128="","",'Informe Kelly'!E128)</f>
        <v>12.04.2011</v>
      </c>
      <c r="E135" s="72">
        <f t="shared" si="3"/>
        <v>66</v>
      </c>
      <c r="F135" s="72" t="str">
        <f>IFERROR(HLOOKUP(C135,Ingreso!$Q$8:$AD$9,2,FALSE),"v")</f>
        <v>Martes</v>
      </c>
      <c r="G135" s="65" t="str">
        <f>IFERROR(VLOOKUP(A135,Ingreso!K:P,6,FALSE),"no esta ingresado")</f>
        <v>Admin</v>
      </c>
      <c r="H135" s="65" t="str">
        <f>IFERROR(IF('Informe Kelly'!H128=$A$2,'Informe Kelly'!F128,""),0)</f>
        <v/>
      </c>
      <c r="I135" s="65">
        <f>IFERROR(IF('Informe Kelly'!H128=$A$3,'Informe Kelly'!F128,""),0)</f>
        <v>0.77986111111111101</v>
      </c>
      <c r="J135" s="65" t="str">
        <f>IF(IFERROR(IF(E135=E134,0,(HLOOKUP(D135,Ingreso!$AN$10:$AT$260,VLOOKUP(A135,Ingreso!$AL$11:$AM$260,2,FALSE)))/24),0)=0,"",IFERROR(IF(E135=E134,0,(HLOOKUP(D135,Ingreso!$AN$10:$AT$260,VLOOKUP(A135,Ingreso!$AL$11:$AM$260,2,FALSE)))/24),0))</f>
        <v/>
      </c>
      <c r="K135" s="65" t="str">
        <f>IF(IFERROR(IF(E135=E134,0,(HLOOKUP(C135,Ingreso!$AW$10:$BC$260,VLOOKUP(A135,Ingreso!$AL$11:$AM$260,2,FALSE)))/24),0)=0,"",IFERROR(IF(E135=E134,0,(HLOOKUP(C135,Ingreso!$AW$10:$BC$260,VLOOKUP(A135,Ingreso!$AL$11:$AM$260,2,FALSE)))/24),0))</f>
        <v/>
      </c>
      <c r="L135" s="63">
        <f t="shared" si="2"/>
        <v>0.41666666666666669</v>
      </c>
      <c r="M135" s="63" t="str">
        <f>IF(IFERROR(IF(C135=C133,0,IF(E135=E134,0,IF(C135=$R$2,HLOOKUP($R$2,Ingreso!$AW$10:$BC$260,VLOOKUP(A135,Ingreso!AL:AM,2,FALSE),FALSE)/24,""))),"")=0,"",IFERROR(IF(C135=C133,0,IF(E135=E134,0,IF(C135=$R$2,HLOOKUP($R$2,Ingreso!$AW$10:$BC$260,VLOOKUP(A135,Ingreso!AL:AM,2,FALSE),FALSE)/24,""))),""))</f>
        <v/>
      </c>
      <c r="N135" s="95" t="str">
        <f>IF(IFERROR(IF(C135=C133,0,IF(E135=E134,0,IF(C135=$R$3,HLOOKUP($R$3,Ingreso!$AW$10:$BC$260,VLOOKUP(A135,Ingreso!AL:AM,2,FALSE),FALSE)/24,""))),"")=0,"",IFERROR(IF(C135=C133,0,IF(E135=E134,0,IF(C135=$R$3,HLOOKUP($R$3,Ingreso!$AW$10:$BC$260,VLOOKUP(A135,Ingreso!AL:AM,2,FALSE),FALSE)/24,""))),""))</f>
        <v/>
      </c>
      <c r="O135" s="95" t="str">
        <f>IF(IFERROR(IF(C135=C133,0,IF(E135=E134,0,IF(C135=$R$4,HLOOKUP($R$4,Ingreso!$AW$10:$BC$260,VLOOKUP(A135,Ingreso!AL:AM,2,FALSE),FALSE)/24,""))),"")=0,"",IFERROR(IF(C135=C133,0,IF(E135=E134,0,IF(C135=$R$4,HLOOKUP($R$4,Ingreso!$AW$10:$BC$260,VLOOKUP(A135,Ingreso!AL:AM,2,FALSE),FALSE)/24,""))),""))</f>
        <v/>
      </c>
      <c r="P135" s="90"/>
      <c r="T135" t="s">
        <v>1426</v>
      </c>
      <c r="U135" t="s">
        <v>1322</v>
      </c>
      <c r="V135" t="s">
        <v>1401</v>
      </c>
      <c r="W135" s="82">
        <v>148</v>
      </c>
      <c r="X135" s="71">
        <v>0.3125</v>
      </c>
      <c r="Y135" s="101">
        <v>0.60651620370370374</v>
      </c>
      <c r="Z135" s="101">
        <v>0.94822916666666668</v>
      </c>
      <c r="AA135" s="101">
        <v>0.34171296296296294</v>
      </c>
      <c r="AB135" s="101">
        <v>2.9212962962962941E-2</v>
      </c>
      <c r="AC135" s="105">
        <v>0</v>
      </c>
      <c r="AD135" s="105">
        <v>0</v>
      </c>
      <c r="AE135" s="93">
        <v>0</v>
      </c>
      <c r="AF135" s="93">
        <v>0</v>
      </c>
      <c r="AG135" s="93">
        <v>0</v>
      </c>
    </row>
    <row r="136" spans="1:33">
      <c r="A136" s="65" t="str">
        <f>IFERROR(VLOOKUP('Informe Kelly'!A129,Base!A:B,2,FALSE),"")</f>
        <v>07.916.907-2</v>
      </c>
      <c r="B136" s="65" t="str">
        <f>IFERROR(VLOOKUP('Informe Kelly'!A129,Base!A:G,7,FALSE),"")</f>
        <v>RUBIO CASTRO MARCOS</v>
      </c>
      <c r="C136" s="69" t="str">
        <f>IF(G136=$C$4,IF('Informe Kelly'!H129='Control informe Kelly'!$A$2,TEXT(((LEFT('Informe Kelly'!E129,2)*1)+1),"dd")&amp;"."&amp;MID('Informe Kelly'!E129,4,2)&amp;"."&amp;RIGHT('Informe Kelly'!E129,4),'Informe Kelly'!E129),'Informe Kelly'!E129)</f>
        <v>12.04.2011</v>
      </c>
      <c r="D136" s="69" t="str">
        <f>IF('Informe Kelly'!E129="","",'Informe Kelly'!E129)</f>
        <v>12.04.2011</v>
      </c>
      <c r="E136" s="72">
        <f t="shared" si="3"/>
        <v>66</v>
      </c>
      <c r="F136" s="72" t="str">
        <f>IFERROR(HLOOKUP(C136,Ingreso!$Q$8:$AD$9,2,FALSE),"v")</f>
        <v>Martes</v>
      </c>
      <c r="G136" s="65" t="str">
        <f>IFERROR(VLOOKUP(A136,Ingreso!K:P,6,FALSE),"no esta ingresado")</f>
        <v>Admin</v>
      </c>
      <c r="H136" s="65">
        <f>IFERROR(IF('Informe Kelly'!H129=$A$2,'Informe Kelly'!F129,""),0)</f>
        <v>0.30225694444444445</v>
      </c>
      <c r="I136" s="65" t="str">
        <f>IFERROR(IF('Informe Kelly'!H129=$A$3,'Informe Kelly'!F129,""),0)</f>
        <v/>
      </c>
      <c r="J136" s="65" t="str">
        <f>IF(IFERROR(IF(E136=E135,0,(HLOOKUP(D136,Ingreso!$AN$10:$AT$260,VLOOKUP(A136,Ingreso!$AL$11:$AM$260,2,FALSE)))/24),0)=0,"",IFERROR(IF(E136=E135,0,(HLOOKUP(D136,Ingreso!$AN$10:$AT$260,VLOOKUP(A136,Ingreso!$AL$11:$AM$260,2,FALSE)))/24),0))</f>
        <v/>
      </c>
      <c r="K136" s="65" t="str">
        <f>IF(IFERROR(IF(E136=E135,0,(HLOOKUP(C136,Ingreso!$AW$10:$BC$260,VLOOKUP(A136,Ingreso!$AL$11:$AM$260,2,FALSE)))/24),0)=0,"",IFERROR(IF(E136=E135,0,(HLOOKUP(C136,Ingreso!$AW$10:$BC$260,VLOOKUP(A136,Ingreso!$AL$11:$AM$260,2,FALSE)))/24),0))</f>
        <v/>
      </c>
      <c r="L136" s="63">
        <f t="shared" si="2"/>
        <v>0</v>
      </c>
      <c r="M136" s="63" t="str">
        <f>IF(IFERROR(IF(C136=C134,0,IF(E136=E135,0,IF(C136=$R$2,HLOOKUP($R$2,Ingreso!$AW$10:$BC$260,VLOOKUP(A136,Ingreso!AL:AM,2,FALSE),FALSE)/24,""))),"")=0,"",IFERROR(IF(C136=C134,0,IF(E136=E135,0,IF(C136=$R$2,HLOOKUP($R$2,Ingreso!$AW$10:$BC$260,VLOOKUP(A136,Ingreso!AL:AM,2,FALSE),FALSE)/24,""))),""))</f>
        <v/>
      </c>
      <c r="N136" s="95" t="str">
        <f>IF(IFERROR(IF(C136=C134,0,IF(E136=E135,0,IF(C136=$R$3,HLOOKUP($R$3,Ingreso!$AW$10:$BC$260,VLOOKUP(A136,Ingreso!AL:AM,2,FALSE),FALSE)/24,""))),"")=0,"",IFERROR(IF(C136=C134,0,IF(E136=E135,0,IF(C136=$R$3,HLOOKUP($R$3,Ingreso!$AW$10:$BC$260,VLOOKUP(A136,Ingreso!AL:AM,2,FALSE),FALSE)/24,""))),""))</f>
        <v/>
      </c>
      <c r="O136" s="95" t="str">
        <f>IF(IFERROR(IF(C136=C134,0,IF(E136=E135,0,IF(C136=$R$4,HLOOKUP($R$4,Ingreso!$AW$10:$BC$260,VLOOKUP(A136,Ingreso!AL:AM,2,FALSE),FALSE)/24,""))),"")=0,"",IFERROR(IF(C136=C134,0,IF(E136=E135,0,IF(C136=$R$4,HLOOKUP($R$4,Ingreso!$AW$10:$BC$260,VLOOKUP(A136,Ingreso!AL:AM,2,FALSE),FALSE)/24,""))),""))</f>
        <v/>
      </c>
      <c r="P136" s="90"/>
      <c r="T136" t="s">
        <v>1427</v>
      </c>
      <c r="U136" t="s">
        <v>1322</v>
      </c>
      <c r="V136" t="s">
        <v>1402</v>
      </c>
      <c r="W136" s="82">
        <v>149</v>
      </c>
      <c r="X136" s="71">
        <v>0.3125</v>
      </c>
      <c r="Y136" s="101">
        <v>0.60760416666666661</v>
      </c>
      <c r="Z136" s="101">
        <v>0.65806712962962965</v>
      </c>
      <c r="AA136" s="101">
        <v>5.0462962962963043E-2</v>
      </c>
      <c r="AB136" s="101">
        <v>-0.26203703703703696</v>
      </c>
      <c r="AC136" s="105">
        <v>0</v>
      </c>
      <c r="AD136" s="105">
        <v>0</v>
      </c>
      <c r="AE136" s="93">
        <v>0</v>
      </c>
      <c r="AF136" s="93">
        <v>0</v>
      </c>
      <c r="AG136" s="93">
        <v>0</v>
      </c>
    </row>
    <row r="137" spans="1:33">
      <c r="A137" s="65" t="str">
        <f>IFERROR(VLOOKUP('Informe Kelly'!A130,Base!A:B,2,FALSE),"")</f>
        <v>07.916.907-2</v>
      </c>
      <c r="B137" s="65" t="str">
        <f>IFERROR(VLOOKUP('Informe Kelly'!A130,Base!A:G,7,FALSE),"")</f>
        <v>RUBIO CASTRO MARCOS</v>
      </c>
      <c r="C137" s="69" t="str">
        <f>IF(G137=$C$4,IF('Informe Kelly'!H130='Control informe Kelly'!$A$2,TEXT(((LEFT('Informe Kelly'!E130,2)*1)+1),"dd")&amp;"."&amp;MID('Informe Kelly'!E130,4,2)&amp;"."&amp;RIGHT('Informe Kelly'!E130,4),'Informe Kelly'!E130),'Informe Kelly'!E130)</f>
        <v>13.04.2011</v>
      </c>
      <c r="D137" s="69" t="str">
        <f>IF('Informe Kelly'!E130="","",'Informe Kelly'!E130)</f>
        <v>13.04.2011</v>
      </c>
      <c r="E137" s="72">
        <f t="shared" si="3"/>
        <v>67</v>
      </c>
      <c r="F137" s="72" t="str">
        <f>IFERROR(HLOOKUP(C137,Ingreso!$Q$8:$AD$9,2,FALSE),"v")</f>
        <v>Miércoles</v>
      </c>
      <c r="G137" s="65" t="str">
        <f>IFERROR(VLOOKUP(A137,Ingreso!K:P,6,FALSE),"no esta ingresado")</f>
        <v>Admin</v>
      </c>
      <c r="H137" s="65" t="str">
        <f>IFERROR(IF('Informe Kelly'!H130=$A$2,'Informe Kelly'!F130,""),0)</f>
        <v/>
      </c>
      <c r="I137" s="65">
        <f>IFERROR(IF('Informe Kelly'!H130=$A$3,'Informe Kelly'!F130,""),0)</f>
        <v>0.78331018518518514</v>
      </c>
      <c r="J137" s="65" t="str">
        <f>IF(IFERROR(IF(E137=E136,0,(HLOOKUP(D137,Ingreso!$AN$10:$AT$260,VLOOKUP(A137,Ingreso!$AL$11:$AM$260,2,FALSE)))/24),0)=0,"",IFERROR(IF(E137=E136,0,(HLOOKUP(D137,Ingreso!$AN$10:$AT$260,VLOOKUP(A137,Ingreso!$AL$11:$AM$260,2,FALSE)))/24),0))</f>
        <v/>
      </c>
      <c r="K137" s="65" t="str">
        <f>IF(IFERROR(IF(E137=E136,0,(HLOOKUP(C137,Ingreso!$AW$10:$BC$260,VLOOKUP(A137,Ingreso!$AL$11:$AM$260,2,FALSE)))/24),0)=0,"",IFERROR(IF(E137=E136,0,(HLOOKUP(C137,Ingreso!$AW$10:$BC$260,VLOOKUP(A137,Ingreso!$AL$11:$AM$260,2,FALSE)))/24),0))</f>
        <v/>
      </c>
      <c r="L137" s="63">
        <f t="shared" ref="L137:L200" si="4">IFERROR(IF(C137=C135,0,IF(E137=E136,0,(VLOOKUP(G137,$C$2:$D$5,2,FALSE)))),"")</f>
        <v>0.41666666666666669</v>
      </c>
      <c r="M137" s="63" t="str">
        <f>IF(IFERROR(IF(C137=C135,0,IF(E137=E136,0,IF(C137=$R$2,HLOOKUP($R$2,Ingreso!$AW$10:$BC$260,VLOOKUP(A137,Ingreso!AL:AM,2,FALSE),FALSE)/24,""))),"")=0,"",IFERROR(IF(C137=C135,0,IF(E137=E136,0,IF(C137=$R$2,HLOOKUP($R$2,Ingreso!$AW$10:$BC$260,VLOOKUP(A137,Ingreso!AL:AM,2,FALSE),FALSE)/24,""))),""))</f>
        <v/>
      </c>
      <c r="N137" s="95" t="str">
        <f>IF(IFERROR(IF(C137=C135,0,IF(E137=E136,0,IF(C137=$R$3,HLOOKUP($R$3,Ingreso!$AW$10:$BC$260,VLOOKUP(A137,Ingreso!AL:AM,2,FALSE),FALSE)/24,""))),"")=0,"",IFERROR(IF(C137=C135,0,IF(E137=E136,0,IF(C137=$R$3,HLOOKUP($R$3,Ingreso!$AW$10:$BC$260,VLOOKUP(A137,Ingreso!AL:AM,2,FALSE),FALSE)/24,""))),""))</f>
        <v/>
      </c>
      <c r="O137" s="95" t="str">
        <f>IF(IFERROR(IF(C137=C135,0,IF(E137=E136,0,IF(C137=$R$4,HLOOKUP($R$4,Ingreso!$AW$10:$BC$260,VLOOKUP(A137,Ingreso!AL:AM,2,FALSE),FALSE)/24,""))),"")=0,"",IFERROR(IF(C137=C135,0,IF(E137=E136,0,IF(C137=$R$4,HLOOKUP($R$4,Ingreso!$AW$10:$BC$260,VLOOKUP(A137,Ingreso!AL:AM,2,FALSE),FALSE)/24,""))),""))</f>
        <v/>
      </c>
      <c r="P137" s="90"/>
      <c r="R137" t="s">
        <v>206</v>
      </c>
      <c r="S137" t="s">
        <v>211</v>
      </c>
      <c r="T137" t="s">
        <v>1420</v>
      </c>
      <c r="U137" t="s">
        <v>4</v>
      </c>
      <c r="V137" t="s">
        <v>1397</v>
      </c>
      <c r="W137" s="82">
        <v>150</v>
      </c>
      <c r="X137" s="71">
        <v>0.3125</v>
      </c>
      <c r="Y137" s="101">
        <v>0.30015046296296294</v>
      </c>
      <c r="Z137" s="101">
        <v>0.72745370370370377</v>
      </c>
      <c r="AA137" s="101">
        <v>0.42730324074074083</v>
      </c>
      <c r="AB137" s="101">
        <v>0.11480324074074083</v>
      </c>
      <c r="AC137" s="105">
        <v>0</v>
      </c>
      <c r="AD137" s="105">
        <v>0</v>
      </c>
      <c r="AE137" s="93">
        <v>0</v>
      </c>
      <c r="AF137" s="93">
        <v>0</v>
      </c>
      <c r="AG137" s="93">
        <v>0</v>
      </c>
    </row>
    <row r="138" spans="1:33">
      <c r="A138" s="65" t="str">
        <f>IFERROR(VLOOKUP('Informe Kelly'!A131,Base!A:B,2,FALSE),"")</f>
        <v>07.916.907-2</v>
      </c>
      <c r="B138" s="65" t="str">
        <f>IFERROR(VLOOKUP('Informe Kelly'!A131,Base!A:G,7,FALSE),"")</f>
        <v>RUBIO CASTRO MARCOS</v>
      </c>
      <c r="C138" s="69" t="str">
        <f>IF(G138=$C$4,IF('Informe Kelly'!H131='Control informe Kelly'!$A$2,TEXT(((LEFT('Informe Kelly'!E131,2)*1)+1),"dd")&amp;"."&amp;MID('Informe Kelly'!E131,4,2)&amp;"."&amp;RIGHT('Informe Kelly'!E131,4),'Informe Kelly'!E131),'Informe Kelly'!E131)</f>
        <v>13.04.2011</v>
      </c>
      <c r="D138" s="69" t="str">
        <f>IF('Informe Kelly'!E131="","",'Informe Kelly'!E131)</f>
        <v>13.04.2011</v>
      </c>
      <c r="E138" s="72">
        <f t="shared" ref="E138:E201" si="5">IF(C137=C138,IF(C138=C135,E137,IF(C138=C136,E137+1,E137)),E137+1)</f>
        <v>67</v>
      </c>
      <c r="F138" s="72" t="str">
        <f>IFERROR(HLOOKUP(C138,Ingreso!$Q$8:$AD$9,2,FALSE),"v")</f>
        <v>Miércoles</v>
      </c>
      <c r="G138" s="65" t="str">
        <f>IFERROR(VLOOKUP(A138,Ingreso!K:P,6,FALSE),"no esta ingresado")</f>
        <v>Admin</v>
      </c>
      <c r="H138" s="65">
        <f>IFERROR(IF('Informe Kelly'!H131=$A$2,'Informe Kelly'!F131,""),0)</f>
        <v>0.30361111111111111</v>
      </c>
      <c r="I138" s="65" t="str">
        <f>IFERROR(IF('Informe Kelly'!H131=$A$3,'Informe Kelly'!F131,""),0)</f>
        <v/>
      </c>
      <c r="J138" s="65" t="str">
        <f>IF(IFERROR(IF(E138=E137,0,(HLOOKUP(D138,Ingreso!$AN$10:$AT$260,VLOOKUP(A138,Ingreso!$AL$11:$AM$260,2,FALSE)))/24),0)=0,"",IFERROR(IF(E138=E137,0,(HLOOKUP(D138,Ingreso!$AN$10:$AT$260,VLOOKUP(A138,Ingreso!$AL$11:$AM$260,2,FALSE)))/24),0))</f>
        <v/>
      </c>
      <c r="K138" s="65" t="str">
        <f>IF(IFERROR(IF(E138=E137,0,(HLOOKUP(C138,Ingreso!$AW$10:$BC$260,VLOOKUP(A138,Ingreso!$AL$11:$AM$260,2,FALSE)))/24),0)=0,"",IFERROR(IF(E138=E137,0,(HLOOKUP(C138,Ingreso!$AW$10:$BC$260,VLOOKUP(A138,Ingreso!$AL$11:$AM$260,2,FALSE)))/24),0))</f>
        <v/>
      </c>
      <c r="L138" s="63">
        <f t="shared" si="4"/>
        <v>0</v>
      </c>
      <c r="M138" s="63" t="str">
        <f>IF(IFERROR(IF(C138=C136,0,IF(E138=E137,0,IF(C138=$R$2,HLOOKUP($R$2,Ingreso!$AW$10:$BC$260,VLOOKUP(A138,Ingreso!AL:AM,2,FALSE),FALSE)/24,""))),"")=0,"",IFERROR(IF(C138=C136,0,IF(E138=E137,0,IF(C138=$R$2,HLOOKUP($R$2,Ingreso!$AW$10:$BC$260,VLOOKUP(A138,Ingreso!AL:AM,2,FALSE),FALSE)/24,""))),""))</f>
        <v/>
      </c>
      <c r="N138" s="95" t="str">
        <f>IF(IFERROR(IF(C138=C136,0,IF(E138=E137,0,IF(C138=$R$3,HLOOKUP($R$3,Ingreso!$AW$10:$BC$260,VLOOKUP(A138,Ingreso!AL:AM,2,FALSE),FALSE)/24,""))),"")=0,"",IFERROR(IF(C138=C136,0,IF(E138=E137,0,IF(C138=$R$3,HLOOKUP($R$3,Ingreso!$AW$10:$BC$260,VLOOKUP(A138,Ingreso!AL:AM,2,FALSE),FALSE)/24,""))),""))</f>
        <v/>
      </c>
      <c r="O138" s="95" t="str">
        <f>IF(IFERROR(IF(C138=C136,0,IF(E138=E137,0,IF(C138=$R$4,HLOOKUP($R$4,Ingreso!$AW$10:$BC$260,VLOOKUP(A138,Ingreso!AL:AM,2,FALSE),FALSE)/24,""))),"")=0,"",IFERROR(IF(C138=C136,0,IF(E138=E137,0,IF(C138=$R$4,HLOOKUP($R$4,Ingreso!$AW$10:$BC$260,VLOOKUP(A138,Ingreso!AL:AM,2,FALSE),FALSE)/24,""))),""))</f>
        <v/>
      </c>
      <c r="P138" s="90"/>
      <c r="T138" t="s">
        <v>1423</v>
      </c>
      <c r="U138" t="s">
        <v>4</v>
      </c>
      <c r="V138" t="s">
        <v>1398</v>
      </c>
      <c r="W138" s="82">
        <v>151</v>
      </c>
      <c r="X138" s="71">
        <v>0.3125</v>
      </c>
      <c r="Y138" s="101">
        <v>0.30607638888888888</v>
      </c>
      <c r="Z138" s="101">
        <v>0.72630787037037037</v>
      </c>
      <c r="AA138" s="101">
        <v>0.42023148148148148</v>
      </c>
      <c r="AB138" s="101">
        <v>0.10773148148148148</v>
      </c>
      <c r="AC138" s="105">
        <v>0</v>
      </c>
      <c r="AD138" s="105">
        <v>0</v>
      </c>
      <c r="AE138" s="93">
        <v>0</v>
      </c>
      <c r="AF138" s="93">
        <v>0</v>
      </c>
      <c r="AG138" s="93">
        <v>0</v>
      </c>
    </row>
    <row r="139" spans="1:33">
      <c r="A139" s="65" t="str">
        <f>IFERROR(VLOOKUP('Informe Kelly'!A132,Base!A:B,2,FALSE),"")</f>
        <v>07.916.907-2</v>
      </c>
      <c r="B139" s="65" t="str">
        <f>IFERROR(VLOOKUP('Informe Kelly'!A132,Base!A:G,7,FALSE),"")</f>
        <v>RUBIO CASTRO MARCOS</v>
      </c>
      <c r="C139" s="69" t="str">
        <f>IF(G139=$C$4,IF('Informe Kelly'!H132='Control informe Kelly'!$A$2,TEXT(((LEFT('Informe Kelly'!E132,2)*1)+1),"dd")&amp;"."&amp;MID('Informe Kelly'!E132,4,2)&amp;"."&amp;RIGHT('Informe Kelly'!E132,4),'Informe Kelly'!E132),'Informe Kelly'!E132)</f>
        <v>14.04.2011</v>
      </c>
      <c r="D139" s="69" t="str">
        <f>IF('Informe Kelly'!E132="","",'Informe Kelly'!E132)</f>
        <v>14.04.2011</v>
      </c>
      <c r="E139" s="72">
        <f t="shared" si="5"/>
        <v>68</v>
      </c>
      <c r="F139" s="72" t="str">
        <f>IFERROR(HLOOKUP(C139,Ingreso!$Q$8:$AD$9,2,FALSE),"v")</f>
        <v>Jueves</v>
      </c>
      <c r="G139" s="65" t="str">
        <f>IFERROR(VLOOKUP(A139,Ingreso!K:P,6,FALSE),"no esta ingresado")</f>
        <v>Admin</v>
      </c>
      <c r="H139" s="65" t="str">
        <f>IFERROR(IF('Informe Kelly'!H132=$A$2,'Informe Kelly'!F132,""),0)</f>
        <v/>
      </c>
      <c r="I139" s="65">
        <f>IFERROR(IF('Informe Kelly'!H132=$A$3,'Informe Kelly'!F132,""),0)</f>
        <v>0.77961805555555552</v>
      </c>
      <c r="J139" s="65" t="str">
        <f>IF(IFERROR(IF(E139=E138,0,(HLOOKUP(D139,Ingreso!$AN$10:$AT$260,VLOOKUP(A139,Ingreso!$AL$11:$AM$260,2,FALSE)))/24),0)=0,"",IFERROR(IF(E139=E138,0,(HLOOKUP(D139,Ingreso!$AN$10:$AT$260,VLOOKUP(A139,Ingreso!$AL$11:$AM$260,2,FALSE)))/24),0))</f>
        <v/>
      </c>
      <c r="K139" s="65" t="str">
        <f>IF(IFERROR(IF(E139=E138,0,(HLOOKUP(C139,Ingreso!$AW$10:$BC$260,VLOOKUP(A139,Ingreso!$AL$11:$AM$260,2,FALSE)))/24),0)=0,"",IFERROR(IF(E139=E138,0,(HLOOKUP(C139,Ingreso!$AW$10:$BC$260,VLOOKUP(A139,Ingreso!$AL$11:$AM$260,2,FALSE)))/24),0))</f>
        <v/>
      </c>
      <c r="L139" s="63">
        <f t="shared" si="4"/>
        <v>0.41666666666666669</v>
      </c>
      <c r="M139" s="63" t="str">
        <f>IF(IFERROR(IF(C139=C137,0,IF(E139=E138,0,IF(C139=$R$2,HLOOKUP($R$2,Ingreso!$AW$10:$BC$260,VLOOKUP(A139,Ingreso!AL:AM,2,FALSE),FALSE)/24,""))),"")=0,"",IFERROR(IF(C139=C137,0,IF(E139=E138,0,IF(C139=$R$2,HLOOKUP($R$2,Ingreso!$AW$10:$BC$260,VLOOKUP(A139,Ingreso!AL:AM,2,FALSE),FALSE)/24,""))),""))</f>
        <v/>
      </c>
      <c r="N139" s="95" t="str">
        <f>IF(IFERROR(IF(C139=C137,0,IF(E139=E138,0,IF(C139=$R$3,HLOOKUP($R$3,Ingreso!$AW$10:$BC$260,VLOOKUP(A139,Ingreso!AL:AM,2,FALSE),FALSE)/24,""))),"")=0,"",IFERROR(IF(C139=C137,0,IF(E139=E138,0,IF(C139=$R$3,HLOOKUP($R$3,Ingreso!$AW$10:$BC$260,VLOOKUP(A139,Ingreso!AL:AM,2,FALSE),FALSE)/24,""))),""))</f>
        <v/>
      </c>
      <c r="O139" s="95" t="str">
        <f>IF(IFERROR(IF(C139=C137,0,IF(E139=E138,0,IF(C139=$R$4,HLOOKUP($R$4,Ingreso!$AW$10:$BC$260,VLOOKUP(A139,Ingreso!AL:AM,2,FALSE),FALSE)/24,""))),"")=0,"",IFERROR(IF(C139=C137,0,IF(E139=E138,0,IF(C139=$R$4,HLOOKUP($R$4,Ingreso!$AW$10:$BC$260,VLOOKUP(A139,Ingreso!AL:AM,2,FALSE),FALSE)/24,""))),""))</f>
        <v/>
      </c>
      <c r="P139" s="90"/>
      <c r="T139" t="s">
        <v>1424</v>
      </c>
      <c r="U139" t="s">
        <v>4</v>
      </c>
      <c r="V139" t="s">
        <v>1399</v>
      </c>
      <c r="W139" s="82">
        <v>152</v>
      </c>
      <c r="X139" s="71">
        <v>0.3125</v>
      </c>
      <c r="Y139" s="101">
        <v>0.3016550925925926</v>
      </c>
      <c r="Z139" s="101">
        <v>0.73327546296296298</v>
      </c>
      <c r="AA139" s="101">
        <v>0.43162037037037038</v>
      </c>
      <c r="AB139" s="101">
        <v>0.11912037037037038</v>
      </c>
      <c r="AC139" s="105">
        <v>0</v>
      </c>
      <c r="AD139" s="105">
        <v>0</v>
      </c>
      <c r="AE139" s="93">
        <v>0</v>
      </c>
      <c r="AF139" s="93">
        <v>0</v>
      </c>
      <c r="AG139" s="93">
        <v>0</v>
      </c>
    </row>
    <row r="140" spans="1:33">
      <c r="A140" s="65" t="str">
        <f>IFERROR(VLOOKUP('Informe Kelly'!A133,Base!A:B,2,FALSE),"")</f>
        <v>07.916.907-2</v>
      </c>
      <c r="B140" s="65" t="str">
        <f>IFERROR(VLOOKUP('Informe Kelly'!A133,Base!A:G,7,FALSE),"")</f>
        <v>RUBIO CASTRO MARCOS</v>
      </c>
      <c r="C140" s="69" t="str">
        <f>IF(G140=$C$4,IF('Informe Kelly'!H133='Control informe Kelly'!$A$2,TEXT(((LEFT('Informe Kelly'!E133,2)*1)+1),"dd")&amp;"."&amp;MID('Informe Kelly'!E133,4,2)&amp;"."&amp;RIGHT('Informe Kelly'!E133,4),'Informe Kelly'!E133),'Informe Kelly'!E133)</f>
        <v>14.04.2011</v>
      </c>
      <c r="D140" s="69" t="str">
        <f>IF('Informe Kelly'!E133="","",'Informe Kelly'!E133)</f>
        <v>14.04.2011</v>
      </c>
      <c r="E140" s="72">
        <f t="shared" si="5"/>
        <v>68</v>
      </c>
      <c r="F140" s="72" t="str">
        <f>IFERROR(HLOOKUP(C140,Ingreso!$Q$8:$AD$9,2,FALSE),"v")</f>
        <v>Jueves</v>
      </c>
      <c r="G140" s="65" t="str">
        <f>IFERROR(VLOOKUP(A140,Ingreso!K:P,6,FALSE),"no esta ingresado")</f>
        <v>Admin</v>
      </c>
      <c r="H140" s="65">
        <f>IFERROR(IF('Informe Kelly'!H133=$A$2,'Informe Kelly'!F133,""),0)</f>
        <v>0.34700231481481486</v>
      </c>
      <c r="I140" s="65" t="str">
        <f>IFERROR(IF('Informe Kelly'!H133=$A$3,'Informe Kelly'!F133,""),0)</f>
        <v/>
      </c>
      <c r="J140" s="65" t="str">
        <f>IF(IFERROR(IF(E140=E139,0,(HLOOKUP(D140,Ingreso!$AN$10:$AT$260,VLOOKUP(A140,Ingreso!$AL$11:$AM$260,2,FALSE)))/24),0)=0,"",IFERROR(IF(E140=E139,0,(HLOOKUP(D140,Ingreso!$AN$10:$AT$260,VLOOKUP(A140,Ingreso!$AL$11:$AM$260,2,FALSE)))/24),0))</f>
        <v/>
      </c>
      <c r="K140" s="65" t="str">
        <f>IF(IFERROR(IF(E140=E139,0,(HLOOKUP(C140,Ingreso!$AW$10:$BC$260,VLOOKUP(A140,Ingreso!$AL$11:$AM$260,2,FALSE)))/24),0)=0,"",IFERROR(IF(E140=E139,0,(HLOOKUP(C140,Ingreso!$AW$10:$BC$260,VLOOKUP(A140,Ingreso!$AL$11:$AM$260,2,FALSE)))/24),0))</f>
        <v/>
      </c>
      <c r="L140" s="63">
        <f t="shared" si="4"/>
        <v>0</v>
      </c>
      <c r="M140" s="63" t="str">
        <f>IF(IFERROR(IF(C140=C138,0,IF(E140=E139,0,IF(C140=$R$2,HLOOKUP($R$2,Ingreso!$AW$10:$BC$260,VLOOKUP(A140,Ingreso!AL:AM,2,FALSE),FALSE)/24,""))),"")=0,"",IFERROR(IF(C140=C138,0,IF(E140=E139,0,IF(C140=$R$2,HLOOKUP($R$2,Ingreso!$AW$10:$BC$260,VLOOKUP(A140,Ingreso!AL:AM,2,FALSE),FALSE)/24,""))),""))</f>
        <v/>
      </c>
      <c r="N140" s="95" t="str">
        <f>IF(IFERROR(IF(C140=C138,0,IF(E140=E139,0,IF(C140=$R$3,HLOOKUP($R$3,Ingreso!$AW$10:$BC$260,VLOOKUP(A140,Ingreso!AL:AM,2,FALSE),FALSE)/24,""))),"")=0,"",IFERROR(IF(C140=C138,0,IF(E140=E139,0,IF(C140=$R$3,HLOOKUP($R$3,Ingreso!$AW$10:$BC$260,VLOOKUP(A140,Ingreso!AL:AM,2,FALSE),FALSE)/24,""))),""))</f>
        <v/>
      </c>
      <c r="O140" s="95" t="str">
        <f>IF(IFERROR(IF(C140=C138,0,IF(E140=E139,0,IF(C140=$R$4,HLOOKUP($R$4,Ingreso!$AW$10:$BC$260,VLOOKUP(A140,Ingreso!AL:AM,2,FALSE),FALSE)/24,""))),"")=0,"",IFERROR(IF(C140=C138,0,IF(E140=E139,0,IF(C140=$R$4,HLOOKUP($R$4,Ingreso!$AW$10:$BC$260,VLOOKUP(A140,Ingreso!AL:AM,2,FALSE),FALSE)/24,""))),""))</f>
        <v/>
      </c>
      <c r="P140" s="90"/>
      <c r="T140" t="s">
        <v>1425</v>
      </c>
      <c r="U140" t="s">
        <v>4</v>
      </c>
      <c r="V140" t="s">
        <v>1400</v>
      </c>
      <c r="W140" s="82">
        <v>153</v>
      </c>
      <c r="X140" s="71">
        <v>0.3125</v>
      </c>
      <c r="Y140" s="101">
        <v>0.30163194444444447</v>
      </c>
      <c r="Z140" s="101">
        <v>0.76453703703703713</v>
      </c>
      <c r="AA140" s="101">
        <v>0.46290509259259266</v>
      </c>
      <c r="AB140" s="101">
        <v>0.15040509259259266</v>
      </c>
      <c r="AC140" s="105">
        <v>0</v>
      </c>
      <c r="AD140" s="105">
        <v>0</v>
      </c>
      <c r="AE140" s="93">
        <v>0</v>
      </c>
      <c r="AF140" s="93">
        <v>0</v>
      </c>
      <c r="AG140" s="93">
        <v>0</v>
      </c>
    </row>
    <row r="141" spans="1:33" ht="12.75" customHeight="1">
      <c r="A141" s="65" t="str">
        <f>IFERROR(VLOOKUP('Informe Kelly'!A134,Base!A:B,2,FALSE),"")</f>
        <v>07.916.907-2</v>
      </c>
      <c r="B141" s="65" t="str">
        <f>IFERROR(VLOOKUP('Informe Kelly'!A134,Base!A:G,7,FALSE),"")</f>
        <v>RUBIO CASTRO MARCOS</v>
      </c>
      <c r="C141" s="69" t="str">
        <f>IF(G141=$C$4,IF('Informe Kelly'!H134='Control informe Kelly'!$A$2,TEXT(((LEFT('Informe Kelly'!E134,2)*1)+1),"dd")&amp;"."&amp;MID('Informe Kelly'!E134,4,2)&amp;"."&amp;RIGHT('Informe Kelly'!E134,4),'Informe Kelly'!E134),'Informe Kelly'!E134)</f>
        <v>15.04.2011</v>
      </c>
      <c r="D141" s="69" t="str">
        <f>IF('Informe Kelly'!E134="","",'Informe Kelly'!E134)</f>
        <v>15.04.2011</v>
      </c>
      <c r="E141" s="72">
        <f t="shared" si="5"/>
        <v>69</v>
      </c>
      <c r="F141" s="72" t="str">
        <f>IFERROR(HLOOKUP(C141,Ingreso!$Q$8:$AD$9,2,FALSE),"v")</f>
        <v>Viernes</v>
      </c>
      <c r="G141" s="65" t="str">
        <f>IFERROR(VLOOKUP(A141,Ingreso!K:P,6,FALSE),"no esta ingresado")</f>
        <v>Admin</v>
      </c>
      <c r="H141" s="65" t="str">
        <f>IFERROR(IF('Informe Kelly'!H134=$A$2,'Informe Kelly'!F134,""),0)</f>
        <v/>
      </c>
      <c r="I141" s="65">
        <f>IFERROR(IF('Informe Kelly'!H134=$A$3,'Informe Kelly'!F134,""),0)</f>
        <v>0.75537037037037036</v>
      </c>
      <c r="J141" s="65" t="str">
        <f>IF(IFERROR(IF(E141=E140,0,(HLOOKUP(D141,Ingreso!$AN$10:$AT$260,VLOOKUP(A141,Ingreso!$AL$11:$AM$260,2,FALSE)))/24),0)=0,"",IFERROR(IF(E141=E140,0,(HLOOKUP(D141,Ingreso!$AN$10:$AT$260,VLOOKUP(A141,Ingreso!$AL$11:$AM$260,2,FALSE)))/24),0))</f>
        <v/>
      </c>
      <c r="K141" s="65" t="str">
        <f>IF(IFERROR(IF(E141=E140,0,(HLOOKUP(C141,Ingreso!$AW$10:$BC$260,VLOOKUP(A141,Ingreso!$AL$11:$AM$260,2,FALSE)))/24),0)=0,"",IFERROR(IF(E141=E140,0,(HLOOKUP(C141,Ingreso!$AW$10:$BC$260,VLOOKUP(A141,Ingreso!$AL$11:$AM$260,2,FALSE)))/24),0))</f>
        <v/>
      </c>
      <c r="L141" s="63">
        <f t="shared" si="4"/>
        <v>0.41666666666666669</v>
      </c>
      <c r="M141" s="63" t="str">
        <f>IF(IFERROR(IF(C141=C139,0,IF(E141=E140,0,IF(C141=$R$2,HLOOKUP($R$2,Ingreso!$AW$10:$BC$260,VLOOKUP(A141,Ingreso!AL:AM,2,FALSE),FALSE)/24,""))),"")=0,"",IFERROR(IF(C141=C139,0,IF(E141=E140,0,IF(C141=$R$2,HLOOKUP($R$2,Ingreso!$AW$10:$BC$260,VLOOKUP(A141,Ingreso!AL:AM,2,FALSE),FALSE)/24,""))),""))</f>
        <v/>
      </c>
      <c r="N141" s="95" t="str">
        <f>IF(IFERROR(IF(C141=C139,0,IF(E141=E140,0,IF(C141=$R$3,HLOOKUP($R$3,Ingreso!$AW$10:$BC$260,VLOOKUP(A141,Ingreso!AL:AM,2,FALSE),FALSE)/24,""))),"")=0,"",IFERROR(IF(C141=C139,0,IF(E141=E140,0,IF(C141=$R$3,HLOOKUP($R$3,Ingreso!$AW$10:$BC$260,VLOOKUP(A141,Ingreso!AL:AM,2,FALSE),FALSE)/24,""))),""))</f>
        <v/>
      </c>
      <c r="O141" s="95" t="str">
        <f>IF(IFERROR(IF(C141=C139,0,IF(E141=E140,0,IF(C141=$R$4,HLOOKUP($R$4,Ingreso!$AW$10:$BC$260,VLOOKUP(A141,Ingreso!AL:AM,2,FALSE),FALSE)/24,""))),"")=0,"",IFERROR(IF(C141=C139,0,IF(E141=E140,0,IF(C141=$R$4,HLOOKUP($R$4,Ingreso!$AW$10:$BC$260,VLOOKUP(A141,Ingreso!AL:AM,2,FALSE),FALSE)/24,""))),""))</f>
        <v/>
      </c>
      <c r="P141" s="90"/>
      <c r="T141" t="s">
        <v>1426</v>
      </c>
      <c r="U141" t="s">
        <v>4</v>
      </c>
      <c r="V141" t="s">
        <v>1401</v>
      </c>
      <c r="W141" s="82">
        <v>154</v>
      </c>
      <c r="X141" s="71">
        <v>0.3125</v>
      </c>
      <c r="Y141" s="101">
        <v>0.30671296296296297</v>
      </c>
      <c r="Z141" s="101">
        <v>0.72233796296296304</v>
      </c>
      <c r="AA141" s="101">
        <v>0.41562500000000008</v>
      </c>
      <c r="AB141" s="101">
        <v>0.10312500000000008</v>
      </c>
      <c r="AC141" s="105">
        <v>0</v>
      </c>
      <c r="AD141" s="105">
        <v>0</v>
      </c>
      <c r="AE141" s="93">
        <v>0</v>
      </c>
      <c r="AF141" s="93">
        <v>0</v>
      </c>
      <c r="AG141" s="93">
        <v>0</v>
      </c>
    </row>
    <row r="142" spans="1:33">
      <c r="A142" s="65" t="str">
        <f>IFERROR(VLOOKUP('Informe Kelly'!A135,Base!A:B,2,FALSE),"")</f>
        <v>07.916.907-2</v>
      </c>
      <c r="B142" s="65" t="str">
        <f>IFERROR(VLOOKUP('Informe Kelly'!A135,Base!A:G,7,FALSE),"")</f>
        <v>RUBIO CASTRO MARCOS</v>
      </c>
      <c r="C142" s="69" t="str">
        <f>IF(G142=$C$4,IF('Informe Kelly'!H135='Control informe Kelly'!$A$2,TEXT(((LEFT('Informe Kelly'!E135,2)*1)+1),"dd")&amp;"."&amp;MID('Informe Kelly'!E135,4,2)&amp;"."&amp;RIGHT('Informe Kelly'!E135,4),'Informe Kelly'!E135),'Informe Kelly'!E135)</f>
        <v>15.04.2011</v>
      </c>
      <c r="D142" s="69" t="str">
        <f>IF('Informe Kelly'!E135="","",'Informe Kelly'!E135)</f>
        <v>15.04.2011</v>
      </c>
      <c r="E142" s="72">
        <f t="shared" si="5"/>
        <v>69</v>
      </c>
      <c r="F142" s="72" t="str">
        <f>IFERROR(HLOOKUP(C142,Ingreso!$Q$8:$AD$9,2,FALSE),"v")</f>
        <v>Viernes</v>
      </c>
      <c r="G142" s="65" t="str">
        <f>IFERROR(VLOOKUP(A142,Ingreso!K:P,6,FALSE),"no esta ingresado")</f>
        <v>Admin</v>
      </c>
      <c r="H142" s="65">
        <f>IFERROR(IF('Informe Kelly'!H135=$A$2,'Informe Kelly'!F135,""),0)</f>
        <v>0.30442129629629627</v>
      </c>
      <c r="I142" s="65" t="str">
        <f>IFERROR(IF('Informe Kelly'!H135=$A$3,'Informe Kelly'!F135,""),0)</f>
        <v/>
      </c>
      <c r="J142" s="65" t="str">
        <f>IF(IFERROR(IF(E142=E141,0,(HLOOKUP(D142,Ingreso!$AN$10:$AT$260,VLOOKUP(A142,Ingreso!$AL$11:$AM$260,2,FALSE)))/24),0)=0,"",IFERROR(IF(E142=E141,0,(HLOOKUP(D142,Ingreso!$AN$10:$AT$260,VLOOKUP(A142,Ingreso!$AL$11:$AM$260,2,FALSE)))/24),0))</f>
        <v/>
      </c>
      <c r="K142" s="65" t="str">
        <f>IF(IFERROR(IF(E142=E141,0,(HLOOKUP(C142,Ingreso!$AW$10:$BC$260,VLOOKUP(A142,Ingreso!$AL$11:$AM$260,2,FALSE)))/24),0)=0,"",IFERROR(IF(E142=E141,0,(HLOOKUP(C142,Ingreso!$AW$10:$BC$260,VLOOKUP(A142,Ingreso!$AL$11:$AM$260,2,FALSE)))/24),0))</f>
        <v/>
      </c>
      <c r="L142" s="63">
        <f t="shared" si="4"/>
        <v>0</v>
      </c>
      <c r="M142" s="63" t="str">
        <f>IF(IFERROR(IF(C142=C140,0,IF(E142=E141,0,IF(C142=$R$2,HLOOKUP($R$2,Ingreso!$AW$10:$BC$260,VLOOKUP(A142,Ingreso!AL:AM,2,FALSE),FALSE)/24,""))),"")=0,"",IFERROR(IF(C142=C140,0,IF(E142=E141,0,IF(C142=$R$2,HLOOKUP($R$2,Ingreso!$AW$10:$BC$260,VLOOKUP(A142,Ingreso!AL:AM,2,FALSE),FALSE)/24,""))),""))</f>
        <v/>
      </c>
      <c r="N142" s="95" t="str">
        <f>IF(IFERROR(IF(C142=C140,0,IF(E142=E141,0,IF(C142=$R$3,HLOOKUP($R$3,Ingreso!$AW$10:$BC$260,VLOOKUP(A142,Ingreso!AL:AM,2,FALSE),FALSE)/24,""))),"")=0,"",IFERROR(IF(C142=C140,0,IF(E142=E141,0,IF(C142=$R$3,HLOOKUP($R$3,Ingreso!$AW$10:$BC$260,VLOOKUP(A142,Ingreso!AL:AM,2,FALSE),FALSE)/24,""))),""))</f>
        <v/>
      </c>
      <c r="O142" s="95" t="str">
        <f>IF(IFERROR(IF(C142=C140,0,IF(E142=E141,0,IF(C142=$R$4,HLOOKUP($R$4,Ingreso!$AW$10:$BC$260,VLOOKUP(A142,Ingreso!AL:AM,2,FALSE),FALSE)/24,""))),"")=0,"",IFERROR(IF(C142=C140,0,IF(E142=E141,0,IF(C142=$R$4,HLOOKUP($R$4,Ingreso!$AW$10:$BC$260,VLOOKUP(A142,Ingreso!AL:AM,2,FALSE),FALSE)/24,""))),""))</f>
        <v/>
      </c>
      <c r="P142" s="90"/>
      <c r="R142" t="s">
        <v>478</v>
      </c>
      <c r="S142" t="s">
        <v>483</v>
      </c>
      <c r="T142" t="s">
        <v>1420</v>
      </c>
      <c r="U142" t="s">
        <v>4</v>
      </c>
      <c r="V142" t="s">
        <v>1397</v>
      </c>
      <c r="W142" s="82">
        <v>155</v>
      </c>
      <c r="X142" s="71">
        <v>0.3125</v>
      </c>
      <c r="Y142" s="101">
        <v>0.30681712962962965</v>
      </c>
      <c r="Z142" s="101">
        <v>0.63119212962962956</v>
      </c>
      <c r="AA142" s="101">
        <v>0.32437499999999991</v>
      </c>
      <c r="AB142" s="101">
        <v>1.1874999999999913E-2</v>
      </c>
      <c r="AC142" s="105">
        <v>0</v>
      </c>
      <c r="AD142" s="105">
        <v>0</v>
      </c>
      <c r="AE142" s="93">
        <v>0</v>
      </c>
      <c r="AF142" s="93">
        <v>0</v>
      </c>
      <c r="AG142" s="93">
        <v>0</v>
      </c>
    </row>
    <row r="143" spans="1:33">
      <c r="A143" s="65" t="str">
        <f>IFERROR(VLOOKUP('Informe Kelly'!A136,Base!A:B,2,FALSE),"")</f>
        <v>07.916.907-2</v>
      </c>
      <c r="B143" s="65" t="str">
        <f>IFERROR(VLOOKUP('Informe Kelly'!A136,Base!A:G,7,FALSE),"")</f>
        <v>RUBIO CASTRO MARCOS</v>
      </c>
      <c r="C143" s="69" t="str">
        <f>IF(G143=$C$4,IF('Informe Kelly'!H136='Control informe Kelly'!$A$2,TEXT(((LEFT('Informe Kelly'!E136,2)*1)+1),"dd")&amp;"."&amp;MID('Informe Kelly'!E136,4,2)&amp;"."&amp;RIGHT('Informe Kelly'!E136,4),'Informe Kelly'!E136),'Informe Kelly'!E136)</f>
        <v>17.04.2011</v>
      </c>
      <c r="D143" s="69" t="str">
        <f>IF('Informe Kelly'!E136="","",'Informe Kelly'!E136)</f>
        <v>17.04.2011</v>
      </c>
      <c r="E143" s="72">
        <f t="shared" si="5"/>
        <v>70</v>
      </c>
      <c r="F143" s="72" t="str">
        <f>IFERROR(HLOOKUP(C143,Ingreso!$Q$8:$AD$9,2,FALSE),"v")</f>
        <v>Domingo</v>
      </c>
      <c r="G143" s="65" t="str">
        <f>IFERROR(VLOOKUP(A143,Ingreso!K:P,6,FALSE),"no esta ingresado")</f>
        <v>Admin</v>
      </c>
      <c r="H143" s="65">
        <f>IFERROR(IF('Informe Kelly'!H136=$A$2,'Informe Kelly'!F136,""),0)</f>
        <v>0.99990740740740736</v>
      </c>
      <c r="I143" s="65" t="str">
        <f>IFERROR(IF('Informe Kelly'!H136=$A$3,'Informe Kelly'!F136,""),0)</f>
        <v/>
      </c>
      <c r="J143" s="65" t="str">
        <f>IF(IFERROR(IF(E143=E142,0,(HLOOKUP(D143,Ingreso!$AN$10:$AT$260,VLOOKUP(A143,Ingreso!$AL$11:$AM$260,2,FALSE)))/24),0)=0,"",IFERROR(IF(E143=E142,0,(HLOOKUP(D143,Ingreso!$AN$10:$AT$260,VLOOKUP(A143,Ingreso!$AL$11:$AM$260,2,FALSE)))/24),0))</f>
        <v/>
      </c>
      <c r="K143" s="65" t="str">
        <f>IF(IFERROR(IF(E143=E142,0,(HLOOKUP(C143,Ingreso!$AW$10:$BC$260,VLOOKUP(A143,Ingreso!$AL$11:$AM$260,2,FALSE)))/24),0)=0,"",IFERROR(IF(E143=E142,0,(HLOOKUP(C143,Ingreso!$AW$10:$BC$260,VLOOKUP(A143,Ingreso!$AL$11:$AM$260,2,FALSE)))/24),0))</f>
        <v/>
      </c>
      <c r="L143" s="63">
        <f t="shared" si="4"/>
        <v>0.41666666666666669</v>
      </c>
      <c r="M143" s="63" t="str">
        <f>IF(IFERROR(IF(C143=C141,0,IF(E143=E142,0,IF(C143=$R$2,HLOOKUP($R$2,Ingreso!$AW$10:$BC$260,VLOOKUP(A143,Ingreso!AL:AM,2,FALSE),FALSE)/24,""))),"")=0,"",IFERROR(IF(C143=C141,0,IF(E143=E142,0,IF(C143=$R$2,HLOOKUP($R$2,Ingreso!$AW$10:$BC$260,VLOOKUP(A143,Ingreso!AL:AM,2,FALSE),FALSE)/24,""))),""))</f>
        <v/>
      </c>
      <c r="N143" s="95" t="str">
        <f>IF(IFERROR(IF(C143=C141,0,IF(E143=E142,0,IF(C143=$R$3,HLOOKUP($R$3,Ingreso!$AW$10:$BC$260,VLOOKUP(A143,Ingreso!AL:AM,2,FALSE),FALSE)/24,""))),"")=0,"",IFERROR(IF(C143=C141,0,IF(E143=E142,0,IF(C143=$R$3,HLOOKUP($R$3,Ingreso!$AW$10:$BC$260,VLOOKUP(A143,Ingreso!AL:AM,2,FALSE),FALSE)/24,""))),""))</f>
        <v/>
      </c>
      <c r="O143" s="95" t="str">
        <f>IF(IFERROR(IF(C143=C141,0,IF(E143=E142,0,IF(C143=$R$4,HLOOKUP($R$4,Ingreso!$AW$10:$BC$260,VLOOKUP(A143,Ingreso!AL:AM,2,FALSE),FALSE)/24,""))),"")=0,"",IFERROR(IF(C143=C141,0,IF(E143=E142,0,IF(C143=$R$4,HLOOKUP($R$4,Ingreso!$AW$10:$BC$260,VLOOKUP(A143,Ingreso!AL:AM,2,FALSE),FALSE)/24,""))),""))</f>
        <v/>
      </c>
      <c r="P143" s="90"/>
      <c r="T143" t="s">
        <v>1423</v>
      </c>
      <c r="U143" t="s">
        <v>4</v>
      </c>
      <c r="V143" t="s">
        <v>1398</v>
      </c>
      <c r="W143" s="82">
        <v>156</v>
      </c>
      <c r="X143" s="71">
        <v>0.3125</v>
      </c>
      <c r="Y143" s="101">
        <v>0.29706018518518518</v>
      </c>
      <c r="Z143" s="101">
        <v>0.63511574074074073</v>
      </c>
      <c r="AA143" s="101">
        <v>0.33805555555555555</v>
      </c>
      <c r="AB143" s="101">
        <v>2.5555555555555554E-2</v>
      </c>
      <c r="AC143" s="105">
        <v>0</v>
      </c>
      <c r="AD143" s="105">
        <v>0</v>
      </c>
      <c r="AE143" s="93">
        <v>0</v>
      </c>
      <c r="AF143" s="93">
        <v>0</v>
      </c>
      <c r="AG143" s="93">
        <v>0</v>
      </c>
    </row>
    <row r="144" spans="1:33">
      <c r="A144" s="65" t="str">
        <f>IFERROR(VLOOKUP('Informe Kelly'!A137,Base!A:B,2,FALSE),"")</f>
        <v>07.944.613-0</v>
      </c>
      <c r="B144" s="65" t="str">
        <f>IFERROR(VLOOKUP('Informe Kelly'!A137,Base!A:G,7,FALSE),"")</f>
        <v>DIAZ CASTRO MIGUEL ANGEL</v>
      </c>
      <c r="C144" s="69" t="str">
        <f>IF(G144=$C$4,IF('Informe Kelly'!H137='Control informe Kelly'!$A$2,TEXT(((LEFT('Informe Kelly'!E137,2)*1)+1),"dd")&amp;"."&amp;MID('Informe Kelly'!E137,4,2)&amp;"."&amp;RIGHT('Informe Kelly'!E137,4),'Informe Kelly'!E137),'Informe Kelly'!E137)</f>
        <v>11.04.2011</v>
      </c>
      <c r="D144" s="69" t="str">
        <f>IF('Informe Kelly'!E137="","",'Informe Kelly'!E137)</f>
        <v>11.04.2011</v>
      </c>
      <c r="E144" s="72">
        <f t="shared" si="5"/>
        <v>71</v>
      </c>
      <c r="F144" s="72" t="str">
        <f>IFERROR(HLOOKUP(C144,Ingreso!$Q$8:$AD$9,2,FALSE),"v")</f>
        <v>Lunes</v>
      </c>
      <c r="G144" s="65" t="str">
        <f>IFERROR(VLOOKUP(A144,Ingreso!K:P,6,FALSE),"no esta ingresado")</f>
        <v>Turno A</v>
      </c>
      <c r="H144" s="65" t="str">
        <f>IFERROR(IF('Informe Kelly'!H137=$A$2,'Informe Kelly'!F137,""),0)</f>
        <v/>
      </c>
      <c r="I144" s="65">
        <f>IFERROR(IF('Informe Kelly'!H137=$A$3,'Informe Kelly'!F137,""),0)</f>
        <v>0.62804398148148144</v>
      </c>
      <c r="J144" s="65" t="str">
        <f>IF(IFERROR(IF(E144=E143,0,(HLOOKUP(D144,Ingreso!$AN$10:$AT$260,VLOOKUP(A144,Ingreso!$AL$11:$AM$260,2,FALSE)))/24),0)=0,"",IFERROR(IF(E144=E143,0,(HLOOKUP(D144,Ingreso!$AN$10:$AT$260,VLOOKUP(A144,Ingreso!$AL$11:$AM$260,2,FALSE)))/24),0))</f>
        <v/>
      </c>
      <c r="K144" s="65" t="str">
        <f>IF(IFERROR(IF(E144=E143,0,(HLOOKUP(C144,Ingreso!$AW$10:$BC$260,VLOOKUP(A144,Ingreso!$AL$11:$AM$260,2,FALSE)))/24),0)=0,"",IFERROR(IF(E144=E143,0,(HLOOKUP(C144,Ingreso!$AW$10:$BC$260,VLOOKUP(A144,Ingreso!$AL$11:$AM$260,2,FALSE)))/24),0))</f>
        <v/>
      </c>
      <c r="L144" s="63">
        <f t="shared" si="4"/>
        <v>0.3125</v>
      </c>
      <c r="M144" s="63" t="str">
        <f>IF(IFERROR(IF(C144=C142,0,IF(E144=E143,0,IF(C144=$R$2,HLOOKUP($R$2,Ingreso!$AW$10:$BC$260,VLOOKUP(A144,Ingreso!AL:AM,2,FALSE),FALSE)/24,""))),"")=0,"",IFERROR(IF(C144=C142,0,IF(E144=E143,0,IF(C144=$R$2,HLOOKUP($R$2,Ingreso!$AW$10:$BC$260,VLOOKUP(A144,Ingreso!AL:AM,2,FALSE),FALSE)/24,""))),""))</f>
        <v/>
      </c>
      <c r="N144" s="95" t="str">
        <f>IF(IFERROR(IF(C144=C142,0,IF(E144=E143,0,IF(C144=$R$3,HLOOKUP($R$3,Ingreso!$AW$10:$BC$260,VLOOKUP(A144,Ingreso!AL:AM,2,FALSE),FALSE)/24,""))),"")=0,"",IFERROR(IF(C144=C142,0,IF(E144=E143,0,IF(C144=$R$3,HLOOKUP($R$3,Ingreso!$AW$10:$BC$260,VLOOKUP(A144,Ingreso!AL:AM,2,FALSE),FALSE)/24,""))),""))</f>
        <v/>
      </c>
      <c r="O144" s="95" t="str">
        <f>IF(IFERROR(IF(C144=C142,0,IF(E144=E143,0,IF(C144=$R$4,HLOOKUP($R$4,Ingreso!$AW$10:$BC$260,VLOOKUP(A144,Ingreso!AL:AM,2,FALSE),FALSE)/24,""))),"")=0,"",IFERROR(IF(C144=C142,0,IF(E144=E143,0,IF(C144=$R$4,HLOOKUP($R$4,Ingreso!$AW$10:$BC$260,VLOOKUP(A144,Ingreso!AL:AM,2,FALSE),FALSE)/24,""))),""))</f>
        <v/>
      </c>
      <c r="P144" s="90"/>
      <c r="T144" t="s">
        <v>1424</v>
      </c>
      <c r="U144" t="s">
        <v>4</v>
      </c>
      <c r="V144" t="s">
        <v>1399</v>
      </c>
      <c r="W144" s="82">
        <v>157</v>
      </c>
      <c r="X144" s="71">
        <v>0.3125</v>
      </c>
      <c r="Y144" s="101">
        <v>0.29555555555555557</v>
      </c>
      <c r="Z144" s="101">
        <v>0.63464120370370369</v>
      </c>
      <c r="AA144" s="101">
        <v>0.33908564814814812</v>
      </c>
      <c r="AB144" s="101">
        <v>2.6585648148148122E-2</v>
      </c>
      <c r="AC144" s="105">
        <v>0</v>
      </c>
      <c r="AD144" s="105">
        <v>0</v>
      </c>
      <c r="AE144" s="93">
        <v>0</v>
      </c>
      <c r="AF144" s="93">
        <v>0</v>
      </c>
      <c r="AG144" s="93">
        <v>0</v>
      </c>
    </row>
    <row r="145" spans="1:33">
      <c r="A145" s="65" t="str">
        <f>IFERROR(VLOOKUP('Informe Kelly'!A138,Base!A:B,2,FALSE),"")</f>
        <v>07.944.613-0</v>
      </c>
      <c r="B145" s="65" t="str">
        <f>IFERROR(VLOOKUP('Informe Kelly'!A138,Base!A:G,7,FALSE),"")</f>
        <v>DIAZ CASTRO MIGUEL ANGEL</v>
      </c>
      <c r="C145" s="69" t="str">
        <f>IF(G145=$C$4,IF('Informe Kelly'!H138='Control informe Kelly'!$A$2,TEXT(((LEFT('Informe Kelly'!E138,2)*1)+1),"dd")&amp;"."&amp;MID('Informe Kelly'!E138,4,2)&amp;"."&amp;RIGHT('Informe Kelly'!E138,4),'Informe Kelly'!E138),'Informe Kelly'!E138)</f>
        <v>11.04.2011</v>
      </c>
      <c r="D145" s="69" t="str">
        <f>IF('Informe Kelly'!E138="","",'Informe Kelly'!E138)</f>
        <v>11.04.2011</v>
      </c>
      <c r="E145" s="72">
        <f t="shared" si="5"/>
        <v>71</v>
      </c>
      <c r="F145" s="72" t="str">
        <f>IFERROR(HLOOKUP(C145,Ingreso!$Q$8:$AD$9,2,FALSE),"v")</f>
        <v>Lunes</v>
      </c>
      <c r="G145" s="65" t="str">
        <f>IFERROR(VLOOKUP(A145,Ingreso!K:P,6,FALSE),"no esta ingresado")</f>
        <v>Turno A</v>
      </c>
      <c r="H145" s="65">
        <f>IFERROR(IF('Informe Kelly'!H138=$A$2,'Informe Kelly'!F138,""),0)</f>
        <v>0.29501157407407408</v>
      </c>
      <c r="I145" s="65" t="str">
        <f>IFERROR(IF('Informe Kelly'!H138=$A$3,'Informe Kelly'!F138,""),0)</f>
        <v/>
      </c>
      <c r="J145" s="65" t="str">
        <f>IF(IFERROR(IF(E145=E144,0,(HLOOKUP(D145,Ingreso!$AN$10:$AT$260,VLOOKUP(A145,Ingreso!$AL$11:$AM$260,2,FALSE)))/24),0)=0,"",IFERROR(IF(E145=E144,0,(HLOOKUP(D145,Ingreso!$AN$10:$AT$260,VLOOKUP(A145,Ingreso!$AL$11:$AM$260,2,FALSE)))/24),0))</f>
        <v/>
      </c>
      <c r="K145" s="65" t="str">
        <f>IF(IFERROR(IF(E145=E144,0,(HLOOKUP(C145,Ingreso!$AW$10:$BC$260,VLOOKUP(A145,Ingreso!$AL$11:$AM$260,2,FALSE)))/24),0)=0,"",IFERROR(IF(E145=E144,0,(HLOOKUP(C145,Ingreso!$AW$10:$BC$260,VLOOKUP(A145,Ingreso!$AL$11:$AM$260,2,FALSE)))/24),0))</f>
        <v/>
      </c>
      <c r="L145" s="63">
        <f t="shared" si="4"/>
        <v>0</v>
      </c>
      <c r="M145" s="63" t="str">
        <f>IF(IFERROR(IF(C145=C143,0,IF(E145=E144,0,IF(C145=$R$2,HLOOKUP($R$2,Ingreso!$AW$10:$BC$260,VLOOKUP(A145,Ingreso!AL:AM,2,FALSE),FALSE)/24,""))),"")=0,"",IFERROR(IF(C145=C143,0,IF(E145=E144,0,IF(C145=$R$2,HLOOKUP($R$2,Ingreso!$AW$10:$BC$260,VLOOKUP(A145,Ingreso!AL:AM,2,FALSE),FALSE)/24,""))),""))</f>
        <v/>
      </c>
      <c r="N145" s="95" t="str">
        <f>IF(IFERROR(IF(C145=C143,0,IF(E145=E144,0,IF(C145=$R$3,HLOOKUP($R$3,Ingreso!$AW$10:$BC$260,VLOOKUP(A145,Ingreso!AL:AM,2,FALSE),FALSE)/24,""))),"")=0,"",IFERROR(IF(C145=C143,0,IF(E145=E144,0,IF(C145=$R$3,HLOOKUP($R$3,Ingreso!$AW$10:$BC$260,VLOOKUP(A145,Ingreso!AL:AM,2,FALSE),FALSE)/24,""))),""))</f>
        <v/>
      </c>
      <c r="O145" s="95" t="str">
        <f>IF(IFERROR(IF(C145=C143,0,IF(E145=E144,0,IF(C145=$R$4,HLOOKUP($R$4,Ingreso!$AW$10:$BC$260,VLOOKUP(A145,Ingreso!AL:AM,2,FALSE),FALSE)/24,""))),"")=0,"",IFERROR(IF(C145=C143,0,IF(E145=E144,0,IF(C145=$R$4,HLOOKUP($R$4,Ingreso!$AW$10:$BC$260,VLOOKUP(A145,Ingreso!AL:AM,2,FALSE),FALSE)/24,""))),""))</f>
        <v/>
      </c>
      <c r="P145" s="90"/>
      <c r="T145" t="s">
        <v>1425</v>
      </c>
      <c r="U145" t="s">
        <v>4</v>
      </c>
      <c r="V145" t="s">
        <v>1400</v>
      </c>
      <c r="W145" s="82">
        <v>158</v>
      </c>
      <c r="X145" s="71">
        <v>0.3125</v>
      </c>
      <c r="Y145" s="101">
        <v>0.2898263888888889</v>
      </c>
      <c r="Z145" s="101">
        <v>0.62958333333333327</v>
      </c>
      <c r="AA145" s="101">
        <v>0.33975694444444438</v>
      </c>
      <c r="AB145" s="101">
        <v>2.7256944444444375E-2</v>
      </c>
      <c r="AC145" s="105">
        <v>0</v>
      </c>
      <c r="AD145" s="105">
        <v>0</v>
      </c>
      <c r="AE145" s="93">
        <v>0</v>
      </c>
      <c r="AF145" s="93">
        <v>0</v>
      </c>
      <c r="AG145" s="93">
        <v>0</v>
      </c>
    </row>
    <row r="146" spans="1:33">
      <c r="A146" s="65" t="str">
        <f>IFERROR(VLOOKUP('Informe Kelly'!A139,Base!A:B,2,FALSE),"")</f>
        <v>07.944.613-0</v>
      </c>
      <c r="B146" s="65" t="str">
        <f>IFERROR(VLOOKUP('Informe Kelly'!A139,Base!A:G,7,FALSE),"")</f>
        <v>DIAZ CASTRO MIGUEL ANGEL</v>
      </c>
      <c r="C146" s="69" t="str">
        <f>IF(G146=$C$4,IF('Informe Kelly'!H139='Control informe Kelly'!$A$2,TEXT(((LEFT('Informe Kelly'!E139,2)*1)+1),"dd")&amp;"."&amp;MID('Informe Kelly'!E139,4,2)&amp;"."&amp;RIGHT('Informe Kelly'!E139,4),'Informe Kelly'!E139),'Informe Kelly'!E139)</f>
        <v>12.04.2011</v>
      </c>
      <c r="D146" s="69" t="str">
        <f>IF('Informe Kelly'!E139="","",'Informe Kelly'!E139)</f>
        <v>12.04.2011</v>
      </c>
      <c r="E146" s="72">
        <f t="shared" si="5"/>
        <v>72</v>
      </c>
      <c r="F146" s="72" t="str">
        <f>IFERROR(HLOOKUP(C146,Ingreso!$Q$8:$AD$9,2,FALSE),"v")</f>
        <v>Martes</v>
      </c>
      <c r="G146" s="65" t="str">
        <f>IFERROR(VLOOKUP(A146,Ingreso!K:P,6,FALSE),"no esta ingresado")</f>
        <v>Turno A</v>
      </c>
      <c r="H146" s="65" t="str">
        <f>IFERROR(IF('Informe Kelly'!H139=$A$2,'Informe Kelly'!F139,""),0)</f>
        <v/>
      </c>
      <c r="I146" s="65">
        <f>IFERROR(IF('Informe Kelly'!H139=$A$3,'Informe Kelly'!F139,""),0)</f>
        <v>0.62975694444444441</v>
      </c>
      <c r="J146" s="65" t="str">
        <f>IF(IFERROR(IF(E146=E145,0,(HLOOKUP(D146,Ingreso!$AN$10:$AT$260,VLOOKUP(A146,Ingreso!$AL$11:$AM$260,2,FALSE)))/24),0)=0,"",IFERROR(IF(E146=E145,0,(HLOOKUP(D146,Ingreso!$AN$10:$AT$260,VLOOKUP(A146,Ingreso!$AL$11:$AM$260,2,FALSE)))/24),0))</f>
        <v/>
      </c>
      <c r="K146" s="65" t="str">
        <f>IF(IFERROR(IF(E146=E145,0,(HLOOKUP(C146,Ingreso!$AW$10:$BC$260,VLOOKUP(A146,Ingreso!$AL$11:$AM$260,2,FALSE)))/24),0)=0,"",IFERROR(IF(E146=E145,0,(HLOOKUP(C146,Ingreso!$AW$10:$BC$260,VLOOKUP(A146,Ingreso!$AL$11:$AM$260,2,FALSE)))/24),0))</f>
        <v/>
      </c>
      <c r="L146" s="63">
        <f t="shared" si="4"/>
        <v>0.3125</v>
      </c>
      <c r="M146" s="63" t="str">
        <f>IF(IFERROR(IF(C146=C144,0,IF(E146=E145,0,IF(C146=$R$2,HLOOKUP($R$2,Ingreso!$AW$10:$BC$260,VLOOKUP(A146,Ingreso!AL:AM,2,FALSE),FALSE)/24,""))),"")=0,"",IFERROR(IF(C146=C144,0,IF(E146=E145,0,IF(C146=$R$2,HLOOKUP($R$2,Ingreso!$AW$10:$BC$260,VLOOKUP(A146,Ingreso!AL:AM,2,FALSE),FALSE)/24,""))),""))</f>
        <v/>
      </c>
      <c r="N146" s="95" t="str">
        <f>IF(IFERROR(IF(C146=C144,0,IF(E146=E145,0,IF(C146=$R$3,HLOOKUP($R$3,Ingreso!$AW$10:$BC$260,VLOOKUP(A146,Ingreso!AL:AM,2,FALSE),FALSE)/24,""))),"")=0,"",IFERROR(IF(C146=C144,0,IF(E146=E145,0,IF(C146=$R$3,HLOOKUP($R$3,Ingreso!$AW$10:$BC$260,VLOOKUP(A146,Ingreso!AL:AM,2,FALSE),FALSE)/24,""))),""))</f>
        <v/>
      </c>
      <c r="O146" s="95" t="str">
        <f>IF(IFERROR(IF(C146=C144,0,IF(E146=E145,0,IF(C146=$R$4,HLOOKUP($R$4,Ingreso!$AW$10:$BC$260,VLOOKUP(A146,Ingreso!AL:AM,2,FALSE),FALSE)/24,""))),"")=0,"",IFERROR(IF(C146=C144,0,IF(E146=E145,0,IF(C146=$R$4,HLOOKUP($R$4,Ingreso!$AW$10:$BC$260,VLOOKUP(A146,Ingreso!AL:AM,2,FALSE),FALSE)/24,""))),""))</f>
        <v/>
      </c>
      <c r="P146" s="90"/>
      <c r="T146" t="s">
        <v>1426</v>
      </c>
      <c r="U146" t="s">
        <v>4</v>
      </c>
      <c r="V146" t="s">
        <v>1401</v>
      </c>
      <c r="W146" s="82">
        <v>159</v>
      </c>
      <c r="X146" s="71">
        <v>0.3125</v>
      </c>
      <c r="Y146" s="101">
        <v>0.29567129629629629</v>
      </c>
      <c r="Z146" s="101">
        <v>0.63896990740740744</v>
      </c>
      <c r="AA146" s="101">
        <v>0.34329861111111115</v>
      </c>
      <c r="AB146" s="101">
        <v>3.0798611111111152E-2</v>
      </c>
      <c r="AC146" s="105">
        <v>0</v>
      </c>
      <c r="AD146" s="105">
        <v>0</v>
      </c>
      <c r="AE146" s="93">
        <v>0</v>
      </c>
      <c r="AF146" s="93">
        <v>0</v>
      </c>
      <c r="AG146" s="93">
        <v>0</v>
      </c>
    </row>
    <row r="147" spans="1:33">
      <c r="A147" s="65" t="str">
        <f>IFERROR(VLOOKUP('Informe Kelly'!A140,Base!A:B,2,FALSE),"")</f>
        <v>07.944.613-0</v>
      </c>
      <c r="B147" s="65" t="str">
        <f>IFERROR(VLOOKUP('Informe Kelly'!A140,Base!A:G,7,FALSE),"")</f>
        <v>DIAZ CASTRO MIGUEL ANGEL</v>
      </c>
      <c r="C147" s="69" t="str">
        <f>IF(G147=$C$4,IF('Informe Kelly'!H140='Control informe Kelly'!$A$2,TEXT(((LEFT('Informe Kelly'!E140,2)*1)+1),"dd")&amp;"."&amp;MID('Informe Kelly'!E140,4,2)&amp;"."&amp;RIGHT('Informe Kelly'!E140,4),'Informe Kelly'!E140),'Informe Kelly'!E140)</f>
        <v>12.04.2011</v>
      </c>
      <c r="D147" s="69" t="str">
        <f>IF('Informe Kelly'!E140="","",'Informe Kelly'!E140)</f>
        <v>12.04.2011</v>
      </c>
      <c r="E147" s="72">
        <f t="shared" si="5"/>
        <v>72</v>
      </c>
      <c r="F147" s="72" t="str">
        <f>IFERROR(HLOOKUP(C147,Ingreso!$Q$8:$AD$9,2,FALSE),"v")</f>
        <v>Martes</v>
      </c>
      <c r="G147" s="65" t="str">
        <f>IFERROR(VLOOKUP(A147,Ingreso!K:P,6,FALSE),"no esta ingresado")</f>
        <v>Turno A</v>
      </c>
      <c r="H147" s="65">
        <f>IFERROR(IF('Informe Kelly'!H140=$A$2,'Informe Kelly'!F140,""),0)</f>
        <v>0.29583333333333334</v>
      </c>
      <c r="I147" s="65" t="str">
        <f>IFERROR(IF('Informe Kelly'!H140=$A$3,'Informe Kelly'!F140,""),0)</f>
        <v/>
      </c>
      <c r="J147" s="65" t="str">
        <f>IF(IFERROR(IF(E147=E146,0,(HLOOKUP(D147,Ingreso!$AN$10:$AT$260,VLOOKUP(A147,Ingreso!$AL$11:$AM$260,2,FALSE)))/24),0)=0,"",IFERROR(IF(E147=E146,0,(HLOOKUP(D147,Ingreso!$AN$10:$AT$260,VLOOKUP(A147,Ingreso!$AL$11:$AM$260,2,FALSE)))/24),0))</f>
        <v/>
      </c>
      <c r="K147" s="65" t="str">
        <f>IF(IFERROR(IF(E147=E146,0,(HLOOKUP(C147,Ingreso!$AW$10:$BC$260,VLOOKUP(A147,Ingreso!$AL$11:$AM$260,2,FALSE)))/24),0)=0,"",IFERROR(IF(E147=E146,0,(HLOOKUP(C147,Ingreso!$AW$10:$BC$260,VLOOKUP(A147,Ingreso!$AL$11:$AM$260,2,FALSE)))/24),0))</f>
        <v/>
      </c>
      <c r="L147" s="63">
        <f t="shared" si="4"/>
        <v>0</v>
      </c>
      <c r="M147" s="63" t="str">
        <f>IF(IFERROR(IF(C147=C145,0,IF(E147=E146,0,IF(C147=$R$2,HLOOKUP($R$2,Ingreso!$AW$10:$BC$260,VLOOKUP(A147,Ingreso!AL:AM,2,FALSE),FALSE)/24,""))),"")=0,"",IFERROR(IF(C147=C145,0,IF(E147=E146,0,IF(C147=$R$2,HLOOKUP($R$2,Ingreso!$AW$10:$BC$260,VLOOKUP(A147,Ingreso!AL:AM,2,FALSE),FALSE)/24,""))),""))</f>
        <v/>
      </c>
      <c r="N147" s="95" t="str">
        <f>IF(IFERROR(IF(C147=C145,0,IF(E147=E146,0,IF(C147=$R$3,HLOOKUP($R$3,Ingreso!$AW$10:$BC$260,VLOOKUP(A147,Ingreso!AL:AM,2,FALSE),FALSE)/24,""))),"")=0,"",IFERROR(IF(C147=C145,0,IF(E147=E146,0,IF(C147=$R$3,HLOOKUP($R$3,Ingreso!$AW$10:$BC$260,VLOOKUP(A147,Ingreso!AL:AM,2,FALSE),FALSE)/24,""))),""))</f>
        <v/>
      </c>
      <c r="O147" s="95" t="str">
        <f>IF(IFERROR(IF(C147=C145,0,IF(E147=E146,0,IF(C147=$R$4,HLOOKUP($R$4,Ingreso!$AW$10:$BC$260,VLOOKUP(A147,Ingreso!AL:AM,2,FALSE),FALSE)/24,""))),"")=0,"",IFERROR(IF(C147=C145,0,IF(E147=E146,0,IF(C147=$R$4,HLOOKUP($R$4,Ingreso!$AW$10:$BC$260,VLOOKUP(A147,Ingreso!AL:AM,2,FALSE),FALSE)/24,""))),""))</f>
        <v/>
      </c>
      <c r="P147" s="90"/>
      <c r="T147" t="s">
        <v>1427</v>
      </c>
      <c r="U147" t="s">
        <v>4</v>
      </c>
      <c r="V147" t="s">
        <v>1402</v>
      </c>
      <c r="W147" s="82">
        <v>160</v>
      </c>
      <c r="X147" s="71">
        <v>0.3125</v>
      </c>
      <c r="Y147" s="101">
        <v>0.30928240740740742</v>
      </c>
      <c r="Z147" s="101">
        <v>0.6348611111111111</v>
      </c>
      <c r="AA147" s="101">
        <v>0.32557870370370368</v>
      </c>
      <c r="AB147" s="101">
        <v>1.3078703703703676E-2</v>
      </c>
      <c r="AC147" s="105">
        <v>0</v>
      </c>
      <c r="AD147" s="105">
        <v>0</v>
      </c>
      <c r="AE147" s="93">
        <v>0</v>
      </c>
      <c r="AF147" s="93">
        <v>0</v>
      </c>
      <c r="AG147" s="93">
        <v>0</v>
      </c>
    </row>
    <row r="148" spans="1:33">
      <c r="A148" s="65" t="str">
        <f>IFERROR(VLOOKUP('Informe Kelly'!A141,Base!A:B,2,FALSE),"")</f>
        <v>07.944.613-0</v>
      </c>
      <c r="B148" s="65" t="str">
        <f>IFERROR(VLOOKUP('Informe Kelly'!A141,Base!A:G,7,FALSE),"")</f>
        <v>DIAZ CASTRO MIGUEL ANGEL</v>
      </c>
      <c r="C148" s="69" t="str">
        <f>IF(G148=$C$4,IF('Informe Kelly'!H141='Control informe Kelly'!$A$2,TEXT(((LEFT('Informe Kelly'!E141,2)*1)+1),"dd")&amp;"."&amp;MID('Informe Kelly'!E141,4,2)&amp;"."&amp;RIGHT('Informe Kelly'!E141,4),'Informe Kelly'!E141),'Informe Kelly'!E141)</f>
        <v>13.04.2011</v>
      </c>
      <c r="D148" s="69" t="str">
        <f>IF('Informe Kelly'!E141="","",'Informe Kelly'!E141)</f>
        <v>13.04.2011</v>
      </c>
      <c r="E148" s="72">
        <f t="shared" si="5"/>
        <v>73</v>
      </c>
      <c r="F148" s="72" t="str">
        <f>IFERROR(HLOOKUP(C148,Ingreso!$Q$8:$AD$9,2,FALSE),"v")</f>
        <v>Miércoles</v>
      </c>
      <c r="G148" s="65" t="str">
        <f>IFERROR(VLOOKUP(A148,Ingreso!K:P,6,FALSE),"no esta ingresado")</f>
        <v>Turno A</v>
      </c>
      <c r="H148" s="65" t="str">
        <f>IFERROR(IF('Informe Kelly'!H141=$A$2,'Informe Kelly'!F141,""),0)</f>
        <v/>
      </c>
      <c r="I148" s="65">
        <f>IFERROR(IF('Informe Kelly'!H141=$A$3,'Informe Kelly'!F141,""),0)</f>
        <v>0.62912037037037039</v>
      </c>
      <c r="J148" s="65" t="str">
        <f>IF(IFERROR(IF(E148=E147,0,(HLOOKUP(D148,Ingreso!$AN$10:$AT$260,VLOOKUP(A148,Ingreso!$AL$11:$AM$260,2,FALSE)))/24),0)=0,"",IFERROR(IF(E148=E147,0,(HLOOKUP(D148,Ingreso!$AN$10:$AT$260,VLOOKUP(A148,Ingreso!$AL$11:$AM$260,2,FALSE)))/24),0))</f>
        <v/>
      </c>
      <c r="K148" s="65" t="str">
        <f>IF(IFERROR(IF(E148=E147,0,(HLOOKUP(C148,Ingreso!$AW$10:$BC$260,VLOOKUP(A148,Ingreso!$AL$11:$AM$260,2,FALSE)))/24),0)=0,"",IFERROR(IF(E148=E147,0,(HLOOKUP(C148,Ingreso!$AW$10:$BC$260,VLOOKUP(A148,Ingreso!$AL$11:$AM$260,2,FALSE)))/24),0))</f>
        <v/>
      </c>
      <c r="L148" s="63">
        <f t="shared" si="4"/>
        <v>0.3125</v>
      </c>
      <c r="M148" s="63" t="str">
        <f>IF(IFERROR(IF(C148=C146,0,IF(E148=E147,0,IF(C148=$R$2,HLOOKUP($R$2,Ingreso!$AW$10:$BC$260,VLOOKUP(A148,Ingreso!AL:AM,2,FALSE),FALSE)/24,""))),"")=0,"",IFERROR(IF(C148=C146,0,IF(E148=E147,0,IF(C148=$R$2,HLOOKUP($R$2,Ingreso!$AW$10:$BC$260,VLOOKUP(A148,Ingreso!AL:AM,2,FALSE),FALSE)/24,""))),""))</f>
        <v/>
      </c>
      <c r="N148" s="95" t="str">
        <f>IF(IFERROR(IF(C148=C146,0,IF(E148=E147,0,IF(C148=$R$3,HLOOKUP($R$3,Ingreso!$AW$10:$BC$260,VLOOKUP(A148,Ingreso!AL:AM,2,FALSE),FALSE)/24,""))),"")=0,"",IFERROR(IF(C148=C146,0,IF(E148=E147,0,IF(C148=$R$3,HLOOKUP($R$3,Ingreso!$AW$10:$BC$260,VLOOKUP(A148,Ingreso!AL:AM,2,FALSE),FALSE)/24,""))),""))</f>
        <v/>
      </c>
      <c r="O148" s="95" t="str">
        <f>IF(IFERROR(IF(C148=C146,0,IF(E148=E147,0,IF(C148=$R$4,HLOOKUP($R$4,Ingreso!$AW$10:$BC$260,VLOOKUP(A148,Ingreso!AL:AM,2,FALSE),FALSE)/24,""))),"")=0,"",IFERROR(IF(C148=C146,0,IF(E148=E147,0,IF(C148=$R$4,HLOOKUP($R$4,Ingreso!$AW$10:$BC$260,VLOOKUP(A148,Ingreso!AL:AM,2,FALSE),FALSE)/24,""))),""))</f>
        <v/>
      </c>
      <c r="P148" s="90"/>
      <c r="R148" t="s">
        <v>172</v>
      </c>
      <c r="S148" t="s">
        <v>176</v>
      </c>
      <c r="T148" t="s">
        <v>1420</v>
      </c>
      <c r="U148" t="s">
        <v>4</v>
      </c>
      <c r="V148" t="s">
        <v>1397</v>
      </c>
      <c r="W148" s="82">
        <v>167</v>
      </c>
      <c r="X148" s="71">
        <v>0.3125</v>
      </c>
      <c r="Y148" s="101">
        <v>0.29061342592592593</v>
      </c>
      <c r="Z148" s="101">
        <v>0.63207175925925929</v>
      </c>
      <c r="AA148" s="101">
        <v>0.34145833333333336</v>
      </c>
      <c r="AB148" s="101">
        <v>2.8958333333333364E-2</v>
      </c>
      <c r="AC148" s="105">
        <v>0</v>
      </c>
      <c r="AD148" s="105">
        <v>0</v>
      </c>
      <c r="AE148" s="93">
        <v>0</v>
      </c>
      <c r="AF148" s="93">
        <v>0</v>
      </c>
      <c r="AG148" s="93">
        <v>0</v>
      </c>
    </row>
    <row r="149" spans="1:33">
      <c r="A149" s="65" t="str">
        <f>IFERROR(VLOOKUP('Informe Kelly'!A142,Base!A:B,2,FALSE),"")</f>
        <v>07.944.613-0</v>
      </c>
      <c r="B149" s="65" t="str">
        <f>IFERROR(VLOOKUP('Informe Kelly'!A142,Base!A:G,7,FALSE),"")</f>
        <v>DIAZ CASTRO MIGUEL ANGEL</v>
      </c>
      <c r="C149" s="69" t="str">
        <f>IF(G149=$C$4,IF('Informe Kelly'!H142='Control informe Kelly'!$A$2,TEXT(((LEFT('Informe Kelly'!E142,2)*1)+1),"dd")&amp;"."&amp;MID('Informe Kelly'!E142,4,2)&amp;"."&amp;RIGHT('Informe Kelly'!E142,4),'Informe Kelly'!E142),'Informe Kelly'!E142)</f>
        <v>13.04.2011</v>
      </c>
      <c r="D149" s="69" t="str">
        <f>IF('Informe Kelly'!E142="","",'Informe Kelly'!E142)</f>
        <v>13.04.2011</v>
      </c>
      <c r="E149" s="72">
        <f t="shared" si="5"/>
        <v>73</v>
      </c>
      <c r="F149" s="72" t="str">
        <f>IFERROR(HLOOKUP(C149,Ingreso!$Q$8:$AD$9,2,FALSE),"v")</f>
        <v>Miércoles</v>
      </c>
      <c r="G149" s="65" t="str">
        <f>IFERROR(VLOOKUP(A149,Ingreso!K:P,6,FALSE),"no esta ingresado")</f>
        <v>Turno A</v>
      </c>
      <c r="H149" s="65">
        <f>IFERROR(IF('Informe Kelly'!H142=$A$2,'Informe Kelly'!F142,""),0)</f>
        <v>0.29552083333333334</v>
      </c>
      <c r="I149" s="65" t="str">
        <f>IFERROR(IF('Informe Kelly'!H142=$A$3,'Informe Kelly'!F142,""),0)</f>
        <v/>
      </c>
      <c r="J149" s="65" t="str">
        <f>IF(IFERROR(IF(E149=E148,0,(HLOOKUP(D149,Ingreso!$AN$10:$AT$260,VLOOKUP(A149,Ingreso!$AL$11:$AM$260,2,FALSE)))/24),0)=0,"",IFERROR(IF(E149=E148,0,(HLOOKUP(D149,Ingreso!$AN$10:$AT$260,VLOOKUP(A149,Ingreso!$AL$11:$AM$260,2,FALSE)))/24),0))</f>
        <v/>
      </c>
      <c r="K149" s="65" t="str">
        <f>IF(IFERROR(IF(E149=E148,0,(HLOOKUP(C149,Ingreso!$AW$10:$BC$260,VLOOKUP(A149,Ingreso!$AL$11:$AM$260,2,FALSE)))/24),0)=0,"",IFERROR(IF(E149=E148,0,(HLOOKUP(C149,Ingreso!$AW$10:$BC$260,VLOOKUP(A149,Ingreso!$AL$11:$AM$260,2,FALSE)))/24),0))</f>
        <v/>
      </c>
      <c r="L149" s="63">
        <f t="shared" si="4"/>
        <v>0</v>
      </c>
      <c r="M149" s="63" t="str">
        <f>IF(IFERROR(IF(C149=C147,0,IF(E149=E148,0,IF(C149=$R$2,HLOOKUP($R$2,Ingreso!$AW$10:$BC$260,VLOOKUP(A149,Ingreso!AL:AM,2,FALSE),FALSE)/24,""))),"")=0,"",IFERROR(IF(C149=C147,0,IF(E149=E148,0,IF(C149=$R$2,HLOOKUP($R$2,Ingreso!$AW$10:$BC$260,VLOOKUP(A149,Ingreso!AL:AM,2,FALSE),FALSE)/24,""))),""))</f>
        <v/>
      </c>
      <c r="N149" s="95" t="str">
        <f>IF(IFERROR(IF(C149=C147,0,IF(E149=E148,0,IF(C149=$R$3,HLOOKUP($R$3,Ingreso!$AW$10:$BC$260,VLOOKUP(A149,Ingreso!AL:AM,2,FALSE),FALSE)/24,""))),"")=0,"",IFERROR(IF(C149=C147,0,IF(E149=E148,0,IF(C149=$R$3,HLOOKUP($R$3,Ingreso!$AW$10:$BC$260,VLOOKUP(A149,Ingreso!AL:AM,2,FALSE),FALSE)/24,""))),""))</f>
        <v/>
      </c>
      <c r="O149" s="95" t="str">
        <f>IF(IFERROR(IF(C149=C147,0,IF(E149=E148,0,IF(C149=$R$4,HLOOKUP($R$4,Ingreso!$AW$10:$BC$260,VLOOKUP(A149,Ingreso!AL:AM,2,FALSE),FALSE)/24,""))),"")=0,"",IFERROR(IF(C149=C147,0,IF(E149=E148,0,IF(C149=$R$4,HLOOKUP($R$4,Ingreso!$AW$10:$BC$260,VLOOKUP(A149,Ingreso!AL:AM,2,FALSE),FALSE)/24,""))),""))</f>
        <v/>
      </c>
      <c r="P149" s="90"/>
      <c r="T149" t="s">
        <v>1423</v>
      </c>
      <c r="U149" t="s">
        <v>4</v>
      </c>
      <c r="V149" t="s">
        <v>1398</v>
      </c>
      <c r="W149" s="82">
        <v>168</v>
      </c>
      <c r="X149" s="71">
        <v>0.3125</v>
      </c>
      <c r="Y149" s="101">
        <v>0.29063657407407406</v>
      </c>
      <c r="Z149" s="101">
        <v>0.6341782407407407</v>
      </c>
      <c r="AA149" s="101">
        <v>0.34354166666666663</v>
      </c>
      <c r="AB149" s="101">
        <v>3.1041666666666634E-2</v>
      </c>
      <c r="AC149" s="105">
        <v>0</v>
      </c>
      <c r="AD149" s="105">
        <v>0</v>
      </c>
      <c r="AE149" s="93">
        <v>0</v>
      </c>
      <c r="AF149" s="93">
        <v>0</v>
      </c>
      <c r="AG149" s="93">
        <v>0</v>
      </c>
    </row>
    <row r="150" spans="1:33">
      <c r="A150" s="65" t="str">
        <f>IFERROR(VLOOKUP('Informe Kelly'!A143,Base!A:B,2,FALSE),"")</f>
        <v>07.944.613-0</v>
      </c>
      <c r="B150" s="65" t="str">
        <f>IFERROR(VLOOKUP('Informe Kelly'!A143,Base!A:G,7,FALSE),"")</f>
        <v>DIAZ CASTRO MIGUEL ANGEL</v>
      </c>
      <c r="C150" s="69" t="str">
        <f>IF(G150=$C$4,IF('Informe Kelly'!H143='Control informe Kelly'!$A$2,TEXT(((LEFT('Informe Kelly'!E143,2)*1)+1),"dd")&amp;"."&amp;MID('Informe Kelly'!E143,4,2)&amp;"."&amp;RIGHT('Informe Kelly'!E143,4),'Informe Kelly'!E143),'Informe Kelly'!E143)</f>
        <v>14.04.2011</v>
      </c>
      <c r="D150" s="69" t="str">
        <f>IF('Informe Kelly'!E143="","",'Informe Kelly'!E143)</f>
        <v>14.04.2011</v>
      </c>
      <c r="E150" s="72">
        <f t="shared" si="5"/>
        <v>74</v>
      </c>
      <c r="F150" s="72" t="str">
        <f>IFERROR(HLOOKUP(C150,Ingreso!$Q$8:$AD$9,2,FALSE),"v")</f>
        <v>Jueves</v>
      </c>
      <c r="G150" s="65" t="str">
        <f>IFERROR(VLOOKUP(A150,Ingreso!K:P,6,FALSE),"no esta ingresado")</f>
        <v>Turno A</v>
      </c>
      <c r="H150" s="65" t="str">
        <f>IFERROR(IF('Informe Kelly'!H143=$A$2,'Informe Kelly'!F143,""),0)</f>
        <v/>
      </c>
      <c r="I150" s="65">
        <f>IFERROR(IF('Informe Kelly'!H143=$A$3,'Informe Kelly'!F143,""),0)</f>
        <v>0.62755787037037036</v>
      </c>
      <c r="J150" s="65" t="str">
        <f>IF(IFERROR(IF(E150=E149,0,(HLOOKUP(D150,Ingreso!$AN$10:$AT$260,VLOOKUP(A150,Ingreso!$AL$11:$AM$260,2,FALSE)))/24),0)=0,"",IFERROR(IF(E150=E149,0,(HLOOKUP(D150,Ingreso!$AN$10:$AT$260,VLOOKUP(A150,Ingreso!$AL$11:$AM$260,2,FALSE)))/24),0))</f>
        <v/>
      </c>
      <c r="K150" s="65" t="str">
        <f>IF(IFERROR(IF(E150=E149,0,(HLOOKUP(C150,Ingreso!$AW$10:$BC$260,VLOOKUP(A150,Ingreso!$AL$11:$AM$260,2,FALSE)))/24),0)=0,"",IFERROR(IF(E150=E149,0,(HLOOKUP(C150,Ingreso!$AW$10:$BC$260,VLOOKUP(A150,Ingreso!$AL$11:$AM$260,2,FALSE)))/24),0))</f>
        <v/>
      </c>
      <c r="L150" s="63">
        <f t="shared" si="4"/>
        <v>0.3125</v>
      </c>
      <c r="M150" s="63" t="str">
        <f>IF(IFERROR(IF(C150=C148,0,IF(E150=E149,0,IF(C150=$R$2,HLOOKUP($R$2,Ingreso!$AW$10:$BC$260,VLOOKUP(A150,Ingreso!AL:AM,2,FALSE),FALSE)/24,""))),"")=0,"",IFERROR(IF(C150=C148,0,IF(E150=E149,0,IF(C150=$R$2,HLOOKUP($R$2,Ingreso!$AW$10:$BC$260,VLOOKUP(A150,Ingreso!AL:AM,2,FALSE),FALSE)/24,""))),""))</f>
        <v/>
      </c>
      <c r="N150" s="95" t="str">
        <f>IF(IFERROR(IF(C150=C148,0,IF(E150=E149,0,IF(C150=$R$3,HLOOKUP($R$3,Ingreso!$AW$10:$BC$260,VLOOKUP(A150,Ingreso!AL:AM,2,FALSE),FALSE)/24,""))),"")=0,"",IFERROR(IF(C150=C148,0,IF(E150=E149,0,IF(C150=$R$3,HLOOKUP($R$3,Ingreso!$AW$10:$BC$260,VLOOKUP(A150,Ingreso!AL:AM,2,FALSE),FALSE)/24,""))),""))</f>
        <v/>
      </c>
      <c r="O150" s="95" t="str">
        <f>IF(IFERROR(IF(C150=C148,0,IF(E150=E149,0,IF(C150=$R$4,HLOOKUP($R$4,Ingreso!$AW$10:$BC$260,VLOOKUP(A150,Ingreso!AL:AM,2,FALSE),FALSE)/24,""))),"")=0,"",IFERROR(IF(C150=C148,0,IF(E150=E149,0,IF(C150=$R$4,HLOOKUP($R$4,Ingreso!$AW$10:$BC$260,VLOOKUP(A150,Ingreso!AL:AM,2,FALSE),FALSE)/24,""))),""))</f>
        <v/>
      </c>
      <c r="P150" s="90"/>
      <c r="T150" t="s">
        <v>1424</v>
      </c>
      <c r="U150" t="s">
        <v>4</v>
      </c>
      <c r="V150" t="s">
        <v>1399</v>
      </c>
      <c r="W150" s="82">
        <v>169</v>
      </c>
      <c r="X150" s="71">
        <v>0.3125</v>
      </c>
      <c r="Y150" s="101">
        <v>0.28903935185185187</v>
      </c>
      <c r="Z150" s="101">
        <v>0.63579861111111113</v>
      </c>
      <c r="AA150" s="101">
        <v>0.34675925925925927</v>
      </c>
      <c r="AB150" s="101">
        <v>3.4259259259259267E-2</v>
      </c>
      <c r="AC150" s="105">
        <v>0</v>
      </c>
      <c r="AD150" s="105">
        <v>0</v>
      </c>
      <c r="AE150" s="93">
        <v>0</v>
      </c>
      <c r="AF150" s="93">
        <v>0</v>
      </c>
      <c r="AG150" s="93">
        <v>0</v>
      </c>
    </row>
    <row r="151" spans="1:33">
      <c r="A151" s="65" t="str">
        <f>IFERROR(VLOOKUP('Informe Kelly'!A144,Base!A:B,2,FALSE),"")</f>
        <v>07.944.613-0</v>
      </c>
      <c r="B151" s="65" t="str">
        <f>IFERROR(VLOOKUP('Informe Kelly'!A144,Base!A:G,7,FALSE),"")</f>
        <v>DIAZ CASTRO MIGUEL ANGEL</v>
      </c>
      <c r="C151" s="69" t="str">
        <f>IF(G151=$C$4,IF('Informe Kelly'!H144='Control informe Kelly'!$A$2,TEXT(((LEFT('Informe Kelly'!E144,2)*1)+1),"dd")&amp;"."&amp;MID('Informe Kelly'!E144,4,2)&amp;"."&amp;RIGHT('Informe Kelly'!E144,4),'Informe Kelly'!E144),'Informe Kelly'!E144)</f>
        <v>14.04.2011</v>
      </c>
      <c r="D151" s="69" t="str">
        <f>IF('Informe Kelly'!E144="","",'Informe Kelly'!E144)</f>
        <v>14.04.2011</v>
      </c>
      <c r="E151" s="72">
        <f t="shared" si="5"/>
        <v>74</v>
      </c>
      <c r="F151" s="72" t="str">
        <f>IFERROR(HLOOKUP(C151,Ingreso!$Q$8:$AD$9,2,FALSE),"v")</f>
        <v>Jueves</v>
      </c>
      <c r="G151" s="65" t="str">
        <f>IFERROR(VLOOKUP(A151,Ingreso!K:P,6,FALSE),"no esta ingresado")</f>
        <v>Turno A</v>
      </c>
      <c r="H151" s="65">
        <f>IFERROR(IF('Informe Kelly'!H144=$A$2,'Informe Kelly'!F144,""),0)</f>
        <v>0.29440972222222223</v>
      </c>
      <c r="I151" s="65" t="str">
        <f>IFERROR(IF('Informe Kelly'!H144=$A$3,'Informe Kelly'!F144,""),0)</f>
        <v/>
      </c>
      <c r="J151" s="65" t="str">
        <f>IF(IFERROR(IF(E151=E150,0,(HLOOKUP(D151,Ingreso!$AN$10:$AT$260,VLOOKUP(A151,Ingreso!$AL$11:$AM$260,2,FALSE)))/24),0)=0,"",IFERROR(IF(E151=E150,0,(HLOOKUP(D151,Ingreso!$AN$10:$AT$260,VLOOKUP(A151,Ingreso!$AL$11:$AM$260,2,FALSE)))/24),0))</f>
        <v/>
      </c>
      <c r="K151" s="65" t="str">
        <f>IF(IFERROR(IF(E151=E150,0,(HLOOKUP(C151,Ingreso!$AW$10:$BC$260,VLOOKUP(A151,Ingreso!$AL$11:$AM$260,2,FALSE)))/24),0)=0,"",IFERROR(IF(E151=E150,0,(HLOOKUP(C151,Ingreso!$AW$10:$BC$260,VLOOKUP(A151,Ingreso!$AL$11:$AM$260,2,FALSE)))/24),0))</f>
        <v/>
      </c>
      <c r="L151" s="63">
        <f t="shared" si="4"/>
        <v>0</v>
      </c>
      <c r="M151" s="63" t="str">
        <f>IF(IFERROR(IF(C151=C149,0,IF(E151=E150,0,IF(C151=$R$2,HLOOKUP($R$2,Ingreso!$AW$10:$BC$260,VLOOKUP(A151,Ingreso!AL:AM,2,FALSE),FALSE)/24,""))),"")=0,"",IFERROR(IF(C151=C149,0,IF(E151=E150,0,IF(C151=$R$2,HLOOKUP($R$2,Ingreso!$AW$10:$BC$260,VLOOKUP(A151,Ingreso!AL:AM,2,FALSE),FALSE)/24,""))),""))</f>
        <v/>
      </c>
      <c r="N151" s="95" t="str">
        <f>IF(IFERROR(IF(C151=C149,0,IF(E151=E150,0,IF(C151=$R$3,HLOOKUP($R$3,Ingreso!$AW$10:$BC$260,VLOOKUP(A151,Ingreso!AL:AM,2,FALSE),FALSE)/24,""))),"")=0,"",IFERROR(IF(C151=C149,0,IF(E151=E150,0,IF(C151=$R$3,HLOOKUP($R$3,Ingreso!$AW$10:$BC$260,VLOOKUP(A151,Ingreso!AL:AM,2,FALSE),FALSE)/24,""))),""))</f>
        <v/>
      </c>
      <c r="O151" s="95" t="str">
        <f>IF(IFERROR(IF(C151=C149,0,IF(E151=E150,0,IF(C151=$R$4,HLOOKUP($R$4,Ingreso!$AW$10:$BC$260,VLOOKUP(A151,Ingreso!AL:AM,2,FALSE),FALSE)/24,""))),"")=0,"",IFERROR(IF(C151=C149,0,IF(E151=E150,0,IF(C151=$R$4,HLOOKUP($R$4,Ingreso!$AW$10:$BC$260,VLOOKUP(A151,Ingreso!AL:AM,2,FALSE),FALSE)/24,""))),""))</f>
        <v/>
      </c>
      <c r="P151" s="90"/>
      <c r="T151" t="s">
        <v>1425</v>
      </c>
      <c r="U151" t="s">
        <v>4</v>
      </c>
      <c r="V151" t="s">
        <v>1400</v>
      </c>
      <c r="W151" s="82">
        <v>170</v>
      </c>
      <c r="X151" s="71">
        <v>0.3125</v>
      </c>
      <c r="Y151" s="101">
        <v>0.29942129629629627</v>
      </c>
      <c r="Z151" s="101">
        <v>0.63277777777777777</v>
      </c>
      <c r="AA151" s="101">
        <v>0.3333564814814815</v>
      </c>
      <c r="AB151" s="101">
        <v>2.0856481481481504E-2</v>
      </c>
      <c r="AC151" s="105">
        <v>0</v>
      </c>
      <c r="AD151" s="105">
        <v>0</v>
      </c>
      <c r="AE151" s="93">
        <v>0</v>
      </c>
      <c r="AF151" s="93">
        <v>0</v>
      </c>
      <c r="AG151" s="93">
        <v>0</v>
      </c>
    </row>
    <row r="152" spans="1:33">
      <c r="A152" s="65" t="str">
        <f>IFERROR(VLOOKUP('Informe Kelly'!A145,Base!A:B,2,FALSE),"")</f>
        <v>07.944.613-0</v>
      </c>
      <c r="B152" s="65" t="str">
        <f>IFERROR(VLOOKUP('Informe Kelly'!A145,Base!A:G,7,FALSE),"")</f>
        <v>DIAZ CASTRO MIGUEL ANGEL</v>
      </c>
      <c r="C152" s="69" t="str">
        <f>IF(G152=$C$4,IF('Informe Kelly'!H145='Control informe Kelly'!$A$2,TEXT(((LEFT('Informe Kelly'!E145,2)*1)+1),"dd")&amp;"."&amp;MID('Informe Kelly'!E145,4,2)&amp;"."&amp;RIGHT('Informe Kelly'!E145,4),'Informe Kelly'!E145),'Informe Kelly'!E145)</f>
        <v>15.04.2011</v>
      </c>
      <c r="D152" s="69" t="str">
        <f>IF('Informe Kelly'!E145="","",'Informe Kelly'!E145)</f>
        <v>15.04.2011</v>
      </c>
      <c r="E152" s="72">
        <f t="shared" si="5"/>
        <v>75</v>
      </c>
      <c r="F152" s="72" t="str">
        <f>IFERROR(HLOOKUP(C152,Ingreso!$Q$8:$AD$9,2,FALSE),"v")</f>
        <v>Viernes</v>
      </c>
      <c r="G152" s="65" t="str">
        <f>IFERROR(VLOOKUP(A152,Ingreso!K:P,6,FALSE),"no esta ingresado")</f>
        <v>Turno A</v>
      </c>
      <c r="H152" s="65" t="str">
        <f>IFERROR(IF('Informe Kelly'!H145=$A$2,'Informe Kelly'!F145,""),0)</f>
        <v/>
      </c>
      <c r="I152" s="65">
        <f>IFERROR(IF('Informe Kelly'!H145=$A$3,'Informe Kelly'!F145,""),0)</f>
        <v>0.63104166666666661</v>
      </c>
      <c r="J152" s="65" t="str">
        <f>IF(IFERROR(IF(E152=E151,0,(HLOOKUP(D152,Ingreso!$AN$10:$AT$260,VLOOKUP(A152,Ingreso!$AL$11:$AM$260,2,FALSE)))/24),0)=0,"",IFERROR(IF(E152=E151,0,(HLOOKUP(D152,Ingreso!$AN$10:$AT$260,VLOOKUP(A152,Ingreso!$AL$11:$AM$260,2,FALSE)))/24),0))</f>
        <v/>
      </c>
      <c r="K152" s="65" t="str">
        <f>IF(IFERROR(IF(E152=E151,0,(HLOOKUP(C152,Ingreso!$AW$10:$BC$260,VLOOKUP(A152,Ingreso!$AL$11:$AM$260,2,FALSE)))/24),0)=0,"",IFERROR(IF(E152=E151,0,(HLOOKUP(C152,Ingreso!$AW$10:$BC$260,VLOOKUP(A152,Ingreso!$AL$11:$AM$260,2,FALSE)))/24),0))</f>
        <v/>
      </c>
      <c r="L152" s="63">
        <f t="shared" si="4"/>
        <v>0.3125</v>
      </c>
      <c r="M152" s="63" t="str">
        <f>IF(IFERROR(IF(C152=C150,0,IF(E152=E151,0,IF(C152=$R$2,HLOOKUP($R$2,Ingreso!$AW$10:$BC$260,VLOOKUP(A152,Ingreso!AL:AM,2,FALSE),FALSE)/24,""))),"")=0,"",IFERROR(IF(C152=C150,0,IF(E152=E151,0,IF(C152=$R$2,HLOOKUP($R$2,Ingreso!$AW$10:$BC$260,VLOOKUP(A152,Ingreso!AL:AM,2,FALSE),FALSE)/24,""))),""))</f>
        <v/>
      </c>
      <c r="N152" s="95" t="str">
        <f>IF(IFERROR(IF(C152=C150,0,IF(E152=E151,0,IF(C152=$R$3,HLOOKUP($R$3,Ingreso!$AW$10:$BC$260,VLOOKUP(A152,Ingreso!AL:AM,2,FALSE),FALSE)/24,""))),"")=0,"",IFERROR(IF(C152=C150,0,IF(E152=E151,0,IF(C152=$R$3,HLOOKUP($R$3,Ingreso!$AW$10:$BC$260,VLOOKUP(A152,Ingreso!AL:AM,2,FALSE),FALSE)/24,""))),""))</f>
        <v/>
      </c>
      <c r="O152" s="95" t="str">
        <f>IF(IFERROR(IF(C152=C150,0,IF(E152=E151,0,IF(C152=$R$4,HLOOKUP($R$4,Ingreso!$AW$10:$BC$260,VLOOKUP(A152,Ingreso!AL:AM,2,FALSE),FALSE)/24,""))),"")=0,"",IFERROR(IF(C152=C150,0,IF(E152=E151,0,IF(C152=$R$4,HLOOKUP($R$4,Ingreso!$AW$10:$BC$260,VLOOKUP(A152,Ingreso!AL:AM,2,FALSE),FALSE)/24,""))),""))</f>
        <v/>
      </c>
      <c r="P152" s="90"/>
      <c r="T152" t="s">
        <v>1426</v>
      </c>
      <c r="U152" t="s">
        <v>4</v>
      </c>
      <c r="V152" t="s">
        <v>1401</v>
      </c>
      <c r="W152" s="82">
        <v>171</v>
      </c>
      <c r="X152" s="71">
        <v>0.3125</v>
      </c>
      <c r="Y152" s="101">
        <v>0.29344907407407406</v>
      </c>
      <c r="Z152" s="101">
        <v>0.63629629629629625</v>
      </c>
      <c r="AA152" s="101">
        <v>0.34284722222222219</v>
      </c>
      <c r="AB152" s="101">
        <v>3.0347222222222192E-2</v>
      </c>
      <c r="AC152" s="105">
        <v>0</v>
      </c>
      <c r="AD152" s="105">
        <v>0</v>
      </c>
      <c r="AE152" s="93">
        <v>0</v>
      </c>
      <c r="AF152" s="93">
        <v>0</v>
      </c>
      <c r="AG152" s="93">
        <v>0</v>
      </c>
    </row>
    <row r="153" spans="1:33">
      <c r="A153" s="65" t="str">
        <f>IFERROR(VLOOKUP('Informe Kelly'!A146,Base!A:B,2,FALSE),"")</f>
        <v>07.944.613-0</v>
      </c>
      <c r="B153" s="65" t="str">
        <f>IFERROR(VLOOKUP('Informe Kelly'!A146,Base!A:G,7,FALSE),"")</f>
        <v>DIAZ CASTRO MIGUEL ANGEL</v>
      </c>
      <c r="C153" s="69" t="str">
        <f>IF(G153=$C$4,IF('Informe Kelly'!H146='Control informe Kelly'!$A$2,TEXT(((LEFT('Informe Kelly'!E146,2)*1)+1),"dd")&amp;"."&amp;MID('Informe Kelly'!E146,4,2)&amp;"."&amp;RIGHT('Informe Kelly'!E146,4),'Informe Kelly'!E146),'Informe Kelly'!E146)</f>
        <v>15.04.2011</v>
      </c>
      <c r="D153" s="69" t="str">
        <f>IF('Informe Kelly'!E146="","",'Informe Kelly'!E146)</f>
        <v>15.04.2011</v>
      </c>
      <c r="E153" s="72">
        <f t="shared" si="5"/>
        <v>75</v>
      </c>
      <c r="F153" s="72" t="str">
        <f>IFERROR(HLOOKUP(C153,Ingreso!$Q$8:$AD$9,2,FALSE),"v")</f>
        <v>Viernes</v>
      </c>
      <c r="G153" s="65" t="str">
        <f>IFERROR(VLOOKUP(A153,Ingreso!K:P,6,FALSE),"no esta ingresado")</f>
        <v>Turno A</v>
      </c>
      <c r="H153" s="65">
        <f>IFERROR(IF('Informe Kelly'!H146=$A$2,'Informe Kelly'!F146,""),0)</f>
        <v>0.29479166666666667</v>
      </c>
      <c r="I153" s="65" t="str">
        <f>IFERROR(IF('Informe Kelly'!H146=$A$3,'Informe Kelly'!F146,""),0)</f>
        <v/>
      </c>
      <c r="J153" s="65" t="str">
        <f>IF(IFERROR(IF(E153=E152,0,(HLOOKUP(D153,Ingreso!$AN$10:$AT$260,VLOOKUP(A153,Ingreso!$AL$11:$AM$260,2,FALSE)))/24),0)=0,"",IFERROR(IF(E153=E152,0,(HLOOKUP(D153,Ingreso!$AN$10:$AT$260,VLOOKUP(A153,Ingreso!$AL$11:$AM$260,2,FALSE)))/24),0))</f>
        <v/>
      </c>
      <c r="K153" s="65" t="str">
        <f>IF(IFERROR(IF(E153=E152,0,(HLOOKUP(C153,Ingreso!$AW$10:$BC$260,VLOOKUP(A153,Ingreso!$AL$11:$AM$260,2,FALSE)))/24),0)=0,"",IFERROR(IF(E153=E152,0,(HLOOKUP(C153,Ingreso!$AW$10:$BC$260,VLOOKUP(A153,Ingreso!$AL$11:$AM$260,2,FALSE)))/24),0))</f>
        <v/>
      </c>
      <c r="L153" s="63">
        <f t="shared" si="4"/>
        <v>0</v>
      </c>
      <c r="M153" s="63" t="str">
        <f>IF(IFERROR(IF(C153=C151,0,IF(E153=E152,0,IF(C153=$R$2,HLOOKUP($R$2,Ingreso!$AW$10:$BC$260,VLOOKUP(A153,Ingreso!AL:AM,2,FALSE),FALSE)/24,""))),"")=0,"",IFERROR(IF(C153=C151,0,IF(E153=E152,0,IF(C153=$R$2,HLOOKUP($R$2,Ingreso!$AW$10:$BC$260,VLOOKUP(A153,Ingreso!AL:AM,2,FALSE),FALSE)/24,""))),""))</f>
        <v/>
      </c>
      <c r="N153" s="95" t="str">
        <f>IF(IFERROR(IF(C153=C151,0,IF(E153=E152,0,IF(C153=$R$3,HLOOKUP($R$3,Ingreso!$AW$10:$BC$260,VLOOKUP(A153,Ingreso!AL:AM,2,FALSE),FALSE)/24,""))),"")=0,"",IFERROR(IF(C153=C151,0,IF(E153=E152,0,IF(C153=$R$3,HLOOKUP($R$3,Ingreso!$AW$10:$BC$260,VLOOKUP(A153,Ingreso!AL:AM,2,FALSE),FALSE)/24,""))),""))</f>
        <v/>
      </c>
      <c r="O153" s="95" t="str">
        <f>IF(IFERROR(IF(C153=C151,0,IF(E153=E152,0,IF(C153=$R$4,HLOOKUP($R$4,Ingreso!$AW$10:$BC$260,VLOOKUP(A153,Ingreso!AL:AM,2,FALSE),FALSE)/24,""))),"")=0,"",IFERROR(IF(C153=C151,0,IF(E153=E152,0,IF(C153=$R$4,HLOOKUP($R$4,Ingreso!$AW$10:$BC$260,VLOOKUP(A153,Ingreso!AL:AM,2,FALSE),FALSE)/24,""))),""))</f>
        <v/>
      </c>
      <c r="P153" s="90"/>
      <c r="T153" t="s">
        <v>1427</v>
      </c>
      <c r="U153" t="s">
        <v>4</v>
      </c>
      <c r="V153" t="s">
        <v>1402</v>
      </c>
      <c r="W153" s="82">
        <v>172</v>
      </c>
      <c r="X153" s="71">
        <v>0.3125</v>
      </c>
      <c r="Y153" s="101">
        <v>0.29163194444444446</v>
      </c>
      <c r="Z153" s="101">
        <v>0.63747685185185188</v>
      </c>
      <c r="AA153" s="101">
        <v>0.34584490740740742</v>
      </c>
      <c r="AB153" s="101">
        <v>3.334490740740742E-2</v>
      </c>
      <c r="AC153" s="105">
        <v>0</v>
      </c>
      <c r="AD153" s="105">
        <v>0</v>
      </c>
      <c r="AE153" s="93">
        <v>0</v>
      </c>
      <c r="AF153" s="93">
        <v>0</v>
      </c>
      <c r="AG153" s="93">
        <v>0</v>
      </c>
    </row>
    <row r="154" spans="1:33">
      <c r="A154" s="65" t="str">
        <f>IFERROR(VLOOKUP('Informe Kelly'!A147,Base!A:B,2,FALSE),"")</f>
        <v>07.944.613-0</v>
      </c>
      <c r="B154" s="65" t="str">
        <f>IFERROR(VLOOKUP('Informe Kelly'!A147,Base!A:G,7,FALSE),"")</f>
        <v>DIAZ CASTRO MIGUEL ANGEL</v>
      </c>
      <c r="C154" s="69" t="str">
        <f>IF(G154=$C$4,IF('Informe Kelly'!H147='Control informe Kelly'!$A$2,TEXT(((LEFT('Informe Kelly'!E147,2)*1)+1),"dd")&amp;"."&amp;MID('Informe Kelly'!E147,4,2)&amp;"."&amp;RIGHT('Informe Kelly'!E147,4),'Informe Kelly'!E147),'Informe Kelly'!E147)</f>
        <v>16.04.2011</v>
      </c>
      <c r="D154" s="69" t="str">
        <f>IF('Informe Kelly'!E147="","",'Informe Kelly'!E147)</f>
        <v>16.04.2011</v>
      </c>
      <c r="E154" s="72">
        <f t="shared" si="5"/>
        <v>76</v>
      </c>
      <c r="F154" s="72" t="str">
        <f>IFERROR(HLOOKUP(C154,Ingreso!$Q$8:$AD$9,2,FALSE),"v")</f>
        <v>Sábado</v>
      </c>
      <c r="G154" s="65" t="str">
        <f>IFERROR(VLOOKUP(A154,Ingreso!K:P,6,FALSE),"no esta ingresado")</f>
        <v>Turno A</v>
      </c>
      <c r="H154" s="65" t="str">
        <f>IFERROR(IF('Informe Kelly'!H147=$A$2,'Informe Kelly'!F147,""),0)</f>
        <v/>
      </c>
      <c r="I154" s="65">
        <f>IFERROR(IF('Informe Kelly'!H147=$A$3,'Informe Kelly'!F147,""),0)</f>
        <v>0.62605324074074076</v>
      </c>
      <c r="J154" s="65" t="str">
        <f>IF(IFERROR(IF(E154=E153,0,(HLOOKUP(D154,Ingreso!$AN$10:$AT$260,VLOOKUP(A154,Ingreso!$AL$11:$AM$260,2,FALSE)))/24),0)=0,"",IFERROR(IF(E154=E153,0,(HLOOKUP(D154,Ingreso!$AN$10:$AT$260,VLOOKUP(A154,Ingreso!$AL$11:$AM$260,2,FALSE)))/24),0))</f>
        <v/>
      </c>
      <c r="K154" s="65" t="str">
        <f>IF(IFERROR(IF(E154=E153,0,(HLOOKUP(C154,Ingreso!$AW$10:$BC$260,VLOOKUP(A154,Ingreso!$AL$11:$AM$260,2,FALSE)))/24),0)=0,"",IFERROR(IF(E154=E153,0,(HLOOKUP(C154,Ingreso!$AW$10:$BC$260,VLOOKUP(A154,Ingreso!$AL$11:$AM$260,2,FALSE)))/24),0))</f>
        <v/>
      </c>
      <c r="L154" s="63">
        <f t="shared" si="4"/>
        <v>0.3125</v>
      </c>
      <c r="M154" s="63" t="str">
        <f>IF(IFERROR(IF(C154=C152,0,IF(E154=E153,0,IF(C154=$R$2,HLOOKUP($R$2,Ingreso!$AW$10:$BC$260,VLOOKUP(A154,Ingreso!AL:AM,2,FALSE),FALSE)/24,""))),"")=0,"",IFERROR(IF(C154=C152,0,IF(E154=E153,0,IF(C154=$R$2,HLOOKUP($R$2,Ingreso!$AW$10:$BC$260,VLOOKUP(A154,Ingreso!AL:AM,2,FALSE),FALSE)/24,""))),""))</f>
        <v/>
      </c>
      <c r="N154" s="95" t="str">
        <f>IF(IFERROR(IF(C154=C152,0,IF(E154=E153,0,IF(C154=$R$3,HLOOKUP($R$3,Ingreso!$AW$10:$BC$260,VLOOKUP(A154,Ingreso!AL:AM,2,FALSE),FALSE)/24,""))),"")=0,"",IFERROR(IF(C154=C152,0,IF(E154=E153,0,IF(C154=$R$3,HLOOKUP($R$3,Ingreso!$AW$10:$BC$260,VLOOKUP(A154,Ingreso!AL:AM,2,FALSE),FALSE)/24,""))),""))</f>
        <v/>
      </c>
      <c r="O154" s="95" t="str">
        <f>IF(IFERROR(IF(C154=C152,0,IF(E154=E153,0,IF(C154=$R$4,HLOOKUP($R$4,Ingreso!$AW$10:$BC$260,VLOOKUP(A154,Ingreso!AL:AM,2,FALSE),FALSE)/24,""))),"")=0,"",IFERROR(IF(C154=C152,0,IF(E154=E153,0,IF(C154=$R$4,HLOOKUP($R$4,Ingreso!$AW$10:$BC$260,VLOOKUP(A154,Ingreso!AL:AM,2,FALSE),FALSE)/24,""))),""))</f>
        <v/>
      </c>
      <c r="P154" s="90"/>
      <c r="R154" t="s">
        <v>852</v>
      </c>
      <c r="S154" t="s">
        <v>855</v>
      </c>
      <c r="T154" t="s">
        <v>1420</v>
      </c>
      <c r="U154" t="s">
        <v>1322</v>
      </c>
      <c r="V154" t="s">
        <v>1397</v>
      </c>
      <c r="W154" s="82">
        <v>173</v>
      </c>
      <c r="X154" s="71">
        <v>0.3125</v>
      </c>
      <c r="Y154" s="101">
        <v>0.60730324074074071</v>
      </c>
      <c r="Z154" s="101">
        <v>0.94569444444444439</v>
      </c>
      <c r="AA154" s="101">
        <v>0.33839120370370368</v>
      </c>
      <c r="AB154" s="101">
        <v>2.589120370370368E-2</v>
      </c>
      <c r="AC154" s="105">
        <v>0</v>
      </c>
      <c r="AD154" s="105">
        <v>0</v>
      </c>
      <c r="AE154" s="93">
        <v>0</v>
      </c>
      <c r="AF154" s="93">
        <v>0</v>
      </c>
      <c r="AG154" s="93">
        <v>0</v>
      </c>
    </row>
    <row r="155" spans="1:33" ht="12.75" customHeight="1">
      <c r="A155" s="65" t="str">
        <f>IFERROR(VLOOKUP('Informe Kelly'!A148,Base!A:B,2,FALSE),"")</f>
        <v>07.944.613-0</v>
      </c>
      <c r="B155" s="65" t="str">
        <f>IFERROR(VLOOKUP('Informe Kelly'!A148,Base!A:G,7,FALSE),"")</f>
        <v>DIAZ CASTRO MIGUEL ANGEL</v>
      </c>
      <c r="C155" s="69" t="str">
        <f>IF(G155=$C$4,IF('Informe Kelly'!H148='Control informe Kelly'!$A$2,TEXT(((LEFT('Informe Kelly'!E148,2)*1)+1),"dd")&amp;"."&amp;MID('Informe Kelly'!E148,4,2)&amp;"."&amp;RIGHT('Informe Kelly'!E148,4),'Informe Kelly'!E148),'Informe Kelly'!E148)</f>
        <v>16.04.2011</v>
      </c>
      <c r="D155" s="69" t="str">
        <f>IF('Informe Kelly'!E148="","",'Informe Kelly'!E148)</f>
        <v>16.04.2011</v>
      </c>
      <c r="E155" s="72">
        <f t="shared" si="5"/>
        <v>76</v>
      </c>
      <c r="F155" s="72" t="str">
        <f>IFERROR(HLOOKUP(C155,Ingreso!$Q$8:$AD$9,2,FALSE),"v")</f>
        <v>Sábado</v>
      </c>
      <c r="G155" s="65" t="str">
        <f>IFERROR(VLOOKUP(A155,Ingreso!K:P,6,FALSE),"no esta ingresado")</f>
        <v>Turno A</v>
      </c>
      <c r="H155" s="65">
        <f>IFERROR(IF('Informe Kelly'!H148=$A$2,'Informe Kelly'!F148,""),0)</f>
        <v>0.29418981481481482</v>
      </c>
      <c r="I155" s="65" t="str">
        <f>IFERROR(IF('Informe Kelly'!H148=$A$3,'Informe Kelly'!F148,""),0)</f>
        <v/>
      </c>
      <c r="J155" s="65" t="str">
        <f>IF(IFERROR(IF(E155=E154,0,(HLOOKUP(D155,Ingreso!$AN$10:$AT$260,VLOOKUP(A155,Ingreso!$AL$11:$AM$260,2,FALSE)))/24),0)=0,"",IFERROR(IF(E155=E154,0,(HLOOKUP(D155,Ingreso!$AN$10:$AT$260,VLOOKUP(A155,Ingreso!$AL$11:$AM$260,2,FALSE)))/24),0))</f>
        <v/>
      </c>
      <c r="K155" s="65" t="str">
        <f>IF(IFERROR(IF(E155=E154,0,(HLOOKUP(C155,Ingreso!$AW$10:$BC$260,VLOOKUP(A155,Ingreso!$AL$11:$AM$260,2,FALSE)))/24),0)=0,"",IFERROR(IF(E155=E154,0,(HLOOKUP(C155,Ingreso!$AW$10:$BC$260,VLOOKUP(A155,Ingreso!$AL$11:$AM$260,2,FALSE)))/24),0))</f>
        <v/>
      </c>
      <c r="L155" s="63">
        <f t="shared" si="4"/>
        <v>0</v>
      </c>
      <c r="M155" s="63" t="str">
        <f>IF(IFERROR(IF(C155=C153,0,IF(E155=E154,0,IF(C155=$R$2,HLOOKUP($R$2,Ingreso!$AW$10:$BC$260,VLOOKUP(A155,Ingreso!AL:AM,2,FALSE),FALSE)/24,""))),"")=0,"",IFERROR(IF(C155=C153,0,IF(E155=E154,0,IF(C155=$R$2,HLOOKUP($R$2,Ingreso!$AW$10:$BC$260,VLOOKUP(A155,Ingreso!AL:AM,2,FALSE),FALSE)/24,""))),""))</f>
        <v/>
      </c>
      <c r="N155" s="95" t="str">
        <f>IF(IFERROR(IF(C155=C153,0,IF(E155=E154,0,IF(C155=$R$3,HLOOKUP($R$3,Ingreso!$AW$10:$BC$260,VLOOKUP(A155,Ingreso!AL:AM,2,FALSE),FALSE)/24,""))),"")=0,"",IFERROR(IF(C155=C153,0,IF(E155=E154,0,IF(C155=$R$3,HLOOKUP($R$3,Ingreso!$AW$10:$BC$260,VLOOKUP(A155,Ingreso!AL:AM,2,FALSE),FALSE)/24,""))),""))</f>
        <v/>
      </c>
      <c r="O155" s="95" t="str">
        <f>IF(IFERROR(IF(C155=C153,0,IF(E155=E154,0,IF(C155=$R$4,HLOOKUP($R$4,Ingreso!$AW$10:$BC$260,VLOOKUP(A155,Ingreso!AL:AM,2,FALSE),FALSE)/24,""))),"")=0,"",IFERROR(IF(C155=C153,0,IF(E155=E154,0,IF(C155=$R$4,HLOOKUP($R$4,Ingreso!$AW$10:$BC$260,VLOOKUP(A155,Ingreso!AL:AM,2,FALSE),FALSE)/24,""))),""))</f>
        <v/>
      </c>
      <c r="P155" s="90"/>
      <c r="T155" t="s">
        <v>1423</v>
      </c>
      <c r="U155" t="s">
        <v>1322</v>
      </c>
      <c r="V155" t="s">
        <v>1398</v>
      </c>
      <c r="W155" s="82">
        <v>174</v>
      </c>
      <c r="X155" s="71">
        <v>0.3125</v>
      </c>
      <c r="Y155" s="101">
        <v>0.60673611111111114</v>
      </c>
      <c r="Z155" s="101">
        <v>0.9471180555555555</v>
      </c>
      <c r="AA155" s="101">
        <v>0.34038194444444436</v>
      </c>
      <c r="AB155" s="101">
        <v>2.7881944444444362E-2</v>
      </c>
      <c r="AC155" s="105">
        <v>0</v>
      </c>
      <c r="AD155" s="105">
        <v>0</v>
      </c>
      <c r="AE155" s="93">
        <v>0</v>
      </c>
      <c r="AF155" s="93">
        <v>0</v>
      </c>
      <c r="AG155" s="93">
        <v>0</v>
      </c>
    </row>
    <row r="156" spans="1:33">
      <c r="A156" s="65" t="str">
        <f>IFERROR(VLOOKUP('Informe Kelly'!A149,Base!A:B,2,FALSE),"")</f>
        <v>08.245.727-5</v>
      </c>
      <c r="B156" s="65" t="str">
        <f>IFERROR(VLOOKUP('Informe Kelly'!A149,Base!A:G,7,FALSE),"")</f>
        <v>SALINAS CUEVAS JUAN</v>
      </c>
      <c r="C156" s="69" t="str">
        <f>IF(G156=$C$4,IF('Informe Kelly'!H149='Control informe Kelly'!$A$2,TEXT(((LEFT('Informe Kelly'!E149,2)*1)+1),"dd")&amp;"."&amp;MID('Informe Kelly'!E149,4,2)&amp;"."&amp;RIGHT('Informe Kelly'!E149,4),'Informe Kelly'!E149),'Informe Kelly'!E149)</f>
        <v>11.04.2011</v>
      </c>
      <c r="D156" s="69" t="str">
        <f>IF('Informe Kelly'!E149="","",'Informe Kelly'!E149)</f>
        <v>11.04.2011</v>
      </c>
      <c r="E156" s="72">
        <f t="shared" si="5"/>
        <v>77</v>
      </c>
      <c r="F156" s="72" t="str">
        <f>IFERROR(HLOOKUP(C156,Ingreso!$Q$8:$AD$9,2,FALSE),"v")</f>
        <v>Lunes</v>
      </c>
      <c r="G156" s="65" t="str">
        <f>IFERROR(VLOOKUP(A156,Ingreso!K:P,6,FALSE),"no esta ingresado")</f>
        <v>Turno A</v>
      </c>
      <c r="H156" s="65" t="str">
        <f>IFERROR(IF('Informe Kelly'!H149=$A$2,'Informe Kelly'!F149,""),0)</f>
        <v/>
      </c>
      <c r="I156" s="65">
        <f>IFERROR(IF('Informe Kelly'!H149=$A$3,'Informe Kelly'!F149,""),0)</f>
        <v>0.63892361111111107</v>
      </c>
      <c r="J156" s="65" t="str">
        <f>IF(IFERROR(IF(E156=E155,0,(HLOOKUP(D156,Ingreso!$AN$10:$AT$260,VLOOKUP(A156,Ingreso!$AL$11:$AM$260,2,FALSE)))/24),0)=0,"",IFERROR(IF(E156=E155,0,(HLOOKUP(D156,Ingreso!$AN$10:$AT$260,VLOOKUP(A156,Ingreso!$AL$11:$AM$260,2,FALSE)))/24),0))</f>
        <v/>
      </c>
      <c r="K156" s="65" t="str">
        <f>IF(IFERROR(IF(E156=E155,0,(HLOOKUP(C156,Ingreso!$AW$10:$BC$260,VLOOKUP(A156,Ingreso!$AL$11:$AM$260,2,FALSE)))/24),0)=0,"",IFERROR(IF(E156=E155,0,(HLOOKUP(C156,Ingreso!$AW$10:$BC$260,VLOOKUP(A156,Ingreso!$AL$11:$AM$260,2,FALSE)))/24),0))</f>
        <v/>
      </c>
      <c r="L156" s="63">
        <f t="shared" si="4"/>
        <v>0.3125</v>
      </c>
      <c r="M156" s="63" t="str">
        <f>IF(IFERROR(IF(C156=C154,0,IF(E156=E155,0,IF(C156=$R$2,HLOOKUP($R$2,Ingreso!$AW$10:$BC$260,VLOOKUP(A156,Ingreso!AL:AM,2,FALSE),FALSE)/24,""))),"")=0,"",IFERROR(IF(C156=C154,0,IF(E156=E155,0,IF(C156=$R$2,HLOOKUP($R$2,Ingreso!$AW$10:$BC$260,VLOOKUP(A156,Ingreso!AL:AM,2,FALSE),FALSE)/24,""))),""))</f>
        <v/>
      </c>
      <c r="N156" s="95" t="str">
        <f>IF(IFERROR(IF(C156=C154,0,IF(E156=E155,0,IF(C156=$R$3,HLOOKUP($R$3,Ingreso!$AW$10:$BC$260,VLOOKUP(A156,Ingreso!AL:AM,2,FALSE),FALSE)/24,""))),"")=0,"",IFERROR(IF(C156=C154,0,IF(E156=E155,0,IF(C156=$R$3,HLOOKUP($R$3,Ingreso!$AW$10:$BC$260,VLOOKUP(A156,Ingreso!AL:AM,2,FALSE),FALSE)/24,""))),""))</f>
        <v/>
      </c>
      <c r="O156" s="95" t="str">
        <f>IF(IFERROR(IF(C156=C154,0,IF(E156=E155,0,IF(C156=$R$4,HLOOKUP($R$4,Ingreso!$AW$10:$BC$260,VLOOKUP(A156,Ingreso!AL:AM,2,FALSE),FALSE)/24,""))),"")=0,"",IFERROR(IF(C156=C154,0,IF(E156=E155,0,IF(C156=$R$4,HLOOKUP($R$4,Ingreso!$AW$10:$BC$260,VLOOKUP(A156,Ingreso!AL:AM,2,FALSE),FALSE)/24,""))),""))</f>
        <v/>
      </c>
      <c r="P156" s="90"/>
      <c r="T156" t="s">
        <v>1424</v>
      </c>
      <c r="U156" t="s">
        <v>1322</v>
      </c>
      <c r="V156" t="s">
        <v>1399</v>
      </c>
      <c r="W156" s="82">
        <v>175</v>
      </c>
      <c r="X156" s="71">
        <v>0.3125</v>
      </c>
      <c r="Y156" s="101">
        <v>0.62677083333333339</v>
      </c>
      <c r="Z156" s="101">
        <v>0.94635416666666661</v>
      </c>
      <c r="AA156" s="101">
        <v>0.31958333333333322</v>
      </c>
      <c r="AB156" s="101">
        <v>7.0833333333332194E-3</v>
      </c>
      <c r="AC156" s="105">
        <v>0</v>
      </c>
      <c r="AD156" s="105">
        <v>0</v>
      </c>
      <c r="AE156" s="93">
        <v>0</v>
      </c>
      <c r="AF156" s="93">
        <v>0</v>
      </c>
      <c r="AG156" s="93">
        <v>0</v>
      </c>
    </row>
    <row r="157" spans="1:33">
      <c r="A157" s="65" t="str">
        <f>IFERROR(VLOOKUP('Informe Kelly'!A150,Base!A:B,2,FALSE),"")</f>
        <v>08.245.727-5</v>
      </c>
      <c r="B157" s="65" t="str">
        <f>IFERROR(VLOOKUP('Informe Kelly'!A150,Base!A:G,7,FALSE),"")</f>
        <v>SALINAS CUEVAS JUAN</v>
      </c>
      <c r="C157" s="69" t="str">
        <f>IF(G157=$C$4,IF('Informe Kelly'!H150='Control informe Kelly'!$A$2,TEXT(((LEFT('Informe Kelly'!E150,2)*1)+1),"dd")&amp;"."&amp;MID('Informe Kelly'!E150,4,2)&amp;"."&amp;RIGHT('Informe Kelly'!E150,4),'Informe Kelly'!E150),'Informe Kelly'!E150)</f>
        <v>11.04.2011</v>
      </c>
      <c r="D157" s="69" t="str">
        <f>IF('Informe Kelly'!E150="","",'Informe Kelly'!E150)</f>
        <v>11.04.2011</v>
      </c>
      <c r="E157" s="72">
        <f t="shared" si="5"/>
        <v>77</v>
      </c>
      <c r="F157" s="72" t="str">
        <f>IFERROR(HLOOKUP(C157,Ingreso!$Q$8:$AD$9,2,FALSE),"v")</f>
        <v>Lunes</v>
      </c>
      <c r="G157" s="65" t="str">
        <f>IFERROR(VLOOKUP(A157,Ingreso!K:P,6,FALSE),"no esta ingresado")</f>
        <v>Turno A</v>
      </c>
      <c r="H157" s="65">
        <f>IFERROR(IF('Informe Kelly'!H150=$A$2,'Informe Kelly'!F150,""),0)</f>
        <v>0.29496527777777776</v>
      </c>
      <c r="I157" s="65" t="str">
        <f>IFERROR(IF('Informe Kelly'!H150=$A$3,'Informe Kelly'!F150,""),0)</f>
        <v/>
      </c>
      <c r="J157" s="65" t="str">
        <f>IF(IFERROR(IF(E157=E156,0,(HLOOKUP(D157,Ingreso!$AN$10:$AT$260,VLOOKUP(A157,Ingreso!$AL$11:$AM$260,2,FALSE)))/24),0)=0,"",IFERROR(IF(E157=E156,0,(HLOOKUP(D157,Ingreso!$AN$10:$AT$260,VLOOKUP(A157,Ingreso!$AL$11:$AM$260,2,FALSE)))/24),0))</f>
        <v/>
      </c>
      <c r="K157" s="65" t="str">
        <f>IF(IFERROR(IF(E157=E156,0,(HLOOKUP(C157,Ingreso!$AW$10:$BC$260,VLOOKUP(A157,Ingreso!$AL$11:$AM$260,2,FALSE)))/24),0)=0,"",IFERROR(IF(E157=E156,0,(HLOOKUP(C157,Ingreso!$AW$10:$BC$260,VLOOKUP(A157,Ingreso!$AL$11:$AM$260,2,FALSE)))/24),0))</f>
        <v/>
      </c>
      <c r="L157" s="63">
        <f t="shared" si="4"/>
        <v>0</v>
      </c>
      <c r="M157" s="63" t="str">
        <f>IF(IFERROR(IF(C157=C155,0,IF(E157=E156,0,IF(C157=$R$2,HLOOKUP($R$2,Ingreso!$AW$10:$BC$260,VLOOKUP(A157,Ingreso!AL:AM,2,FALSE),FALSE)/24,""))),"")=0,"",IFERROR(IF(C157=C155,0,IF(E157=E156,0,IF(C157=$R$2,HLOOKUP($R$2,Ingreso!$AW$10:$BC$260,VLOOKUP(A157,Ingreso!AL:AM,2,FALSE),FALSE)/24,""))),""))</f>
        <v/>
      </c>
      <c r="N157" s="95" t="str">
        <f>IF(IFERROR(IF(C157=C155,0,IF(E157=E156,0,IF(C157=$R$3,HLOOKUP($R$3,Ingreso!$AW$10:$BC$260,VLOOKUP(A157,Ingreso!AL:AM,2,FALSE),FALSE)/24,""))),"")=0,"",IFERROR(IF(C157=C155,0,IF(E157=E156,0,IF(C157=$R$3,HLOOKUP($R$3,Ingreso!$AW$10:$BC$260,VLOOKUP(A157,Ingreso!AL:AM,2,FALSE),FALSE)/24,""))),""))</f>
        <v/>
      </c>
      <c r="O157" s="95" t="str">
        <f>IF(IFERROR(IF(C157=C155,0,IF(E157=E156,0,IF(C157=$R$4,HLOOKUP($R$4,Ingreso!$AW$10:$BC$260,VLOOKUP(A157,Ingreso!AL:AM,2,FALSE),FALSE)/24,""))),"")=0,"",IFERROR(IF(C157=C155,0,IF(E157=E156,0,IF(C157=$R$4,HLOOKUP($R$4,Ingreso!$AW$10:$BC$260,VLOOKUP(A157,Ingreso!AL:AM,2,FALSE),FALSE)/24,""))),""))</f>
        <v/>
      </c>
      <c r="P157" s="90"/>
      <c r="T157" t="s">
        <v>1425</v>
      </c>
      <c r="U157" t="s">
        <v>1322</v>
      </c>
      <c r="V157" t="s">
        <v>1400</v>
      </c>
      <c r="W157" s="82">
        <v>176</v>
      </c>
      <c r="X157" s="71">
        <v>0.3125</v>
      </c>
      <c r="Y157" s="101">
        <v>0.60780092592592594</v>
      </c>
      <c r="Z157" s="101">
        <v>0.95089120370370372</v>
      </c>
      <c r="AA157" s="101">
        <v>0.34309027777777779</v>
      </c>
      <c r="AB157" s="101">
        <v>3.0590277777777786E-2</v>
      </c>
      <c r="AC157" s="105">
        <v>0</v>
      </c>
      <c r="AD157" s="105">
        <v>0</v>
      </c>
      <c r="AE157" s="93">
        <v>0</v>
      </c>
      <c r="AF157" s="93">
        <v>0</v>
      </c>
      <c r="AG157" s="93">
        <v>0</v>
      </c>
    </row>
    <row r="158" spans="1:33">
      <c r="A158" s="65" t="str">
        <f>IFERROR(VLOOKUP('Informe Kelly'!A151,Base!A:B,2,FALSE),"")</f>
        <v>08.245.727-5</v>
      </c>
      <c r="B158" s="65" t="str">
        <f>IFERROR(VLOOKUP('Informe Kelly'!A151,Base!A:G,7,FALSE),"")</f>
        <v>SALINAS CUEVAS JUAN</v>
      </c>
      <c r="C158" s="69" t="str">
        <f>IF(G158=$C$4,IF('Informe Kelly'!H151='Control informe Kelly'!$A$2,TEXT(((LEFT('Informe Kelly'!E151,2)*1)+1),"dd")&amp;"."&amp;MID('Informe Kelly'!E151,4,2)&amp;"."&amp;RIGHT('Informe Kelly'!E151,4),'Informe Kelly'!E151),'Informe Kelly'!E151)</f>
        <v>12.04.2011</v>
      </c>
      <c r="D158" s="69" t="str">
        <f>IF('Informe Kelly'!E151="","",'Informe Kelly'!E151)</f>
        <v>12.04.2011</v>
      </c>
      <c r="E158" s="72">
        <f t="shared" si="5"/>
        <v>78</v>
      </c>
      <c r="F158" s="72" t="str">
        <f>IFERROR(HLOOKUP(C158,Ingreso!$Q$8:$AD$9,2,FALSE),"v")</f>
        <v>Martes</v>
      </c>
      <c r="G158" s="65" t="str">
        <f>IFERROR(VLOOKUP(A158,Ingreso!K:P,6,FALSE),"no esta ingresado")</f>
        <v>Turno A</v>
      </c>
      <c r="H158" s="65" t="str">
        <f>IFERROR(IF('Informe Kelly'!H151=$A$2,'Informe Kelly'!F151,""),0)</f>
        <v/>
      </c>
      <c r="I158" s="65">
        <f>IFERROR(IF('Informe Kelly'!H151=$A$3,'Informe Kelly'!F151,""),0)</f>
        <v>0.63606481481481481</v>
      </c>
      <c r="J158" s="65" t="str">
        <f>IF(IFERROR(IF(E158=E157,0,(HLOOKUP(D158,Ingreso!$AN$10:$AT$260,VLOOKUP(A158,Ingreso!$AL$11:$AM$260,2,FALSE)))/24),0)=0,"",IFERROR(IF(E158=E157,0,(HLOOKUP(D158,Ingreso!$AN$10:$AT$260,VLOOKUP(A158,Ingreso!$AL$11:$AM$260,2,FALSE)))/24),0))</f>
        <v/>
      </c>
      <c r="K158" s="65" t="str">
        <f>IF(IFERROR(IF(E158=E157,0,(HLOOKUP(C158,Ingreso!$AW$10:$BC$260,VLOOKUP(A158,Ingreso!$AL$11:$AM$260,2,FALSE)))/24),0)=0,"",IFERROR(IF(E158=E157,0,(HLOOKUP(C158,Ingreso!$AW$10:$BC$260,VLOOKUP(A158,Ingreso!$AL$11:$AM$260,2,FALSE)))/24),0))</f>
        <v/>
      </c>
      <c r="L158" s="63">
        <f t="shared" si="4"/>
        <v>0.3125</v>
      </c>
      <c r="M158" s="63" t="str">
        <f>IF(IFERROR(IF(C158=C156,0,IF(E158=E157,0,IF(C158=$R$2,HLOOKUP($R$2,Ingreso!$AW$10:$BC$260,VLOOKUP(A158,Ingreso!AL:AM,2,FALSE),FALSE)/24,""))),"")=0,"",IFERROR(IF(C158=C156,0,IF(E158=E157,0,IF(C158=$R$2,HLOOKUP($R$2,Ingreso!$AW$10:$BC$260,VLOOKUP(A158,Ingreso!AL:AM,2,FALSE),FALSE)/24,""))),""))</f>
        <v/>
      </c>
      <c r="N158" s="95" t="str">
        <f>IF(IFERROR(IF(C158=C156,0,IF(E158=E157,0,IF(C158=$R$3,HLOOKUP($R$3,Ingreso!$AW$10:$BC$260,VLOOKUP(A158,Ingreso!AL:AM,2,FALSE),FALSE)/24,""))),"")=0,"",IFERROR(IF(C158=C156,0,IF(E158=E157,0,IF(C158=$R$3,HLOOKUP($R$3,Ingreso!$AW$10:$BC$260,VLOOKUP(A158,Ingreso!AL:AM,2,FALSE),FALSE)/24,""))),""))</f>
        <v/>
      </c>
      <c r="O158" s="95" t="str">
        <f>IF(IFERROR(IF(C158=C156,0,IF(E158=E157,0,IF(C158=$R$4,HLOOKUP($R$4,Ingreso!$AW$10:$BC$260,VLOOKUP(A158,Ingreso!AL:AM,2,FALSE),FALSE)/24,""))),"")=0,"",IFERROR(IF(C158=C156,0,IF(E158=E157,0,IF(C158=$R$4,HLOOKUP($R$4,Ingreso!$AW$10:$BC$260,VLOOKUP(A158,Ingreso!AL:AM,2,FALSE),FALSE)/24,""))),""))</f>
        <v/>
      </c>
      <c r="P158" s="90"/>
      <c r="T158" t="s">
        <v>1426</v>
      </c>
      <c r="U158" t="s">
        <v>1322</v>
      </c>
      <c r="V158" t="s">
        <v>1401</v>
      </c>
      <c r="W158" s="82">
        <v>177</v>
      </c>
      <c r="X158" s="71">
        <v>0.3125</v>
      </c>
      <c r="Y158" s="101">
        <v>0.60913194444444441</v>
      </c>
      <c r="Z158" s="101">
        <v>0.94721064814814815</v>
      </c>
      <c r="AA158" s="101">
        <v>0.33807870370370374</v>
      </c>
      <c r="AB158" s="101">
        <v>2.5578703703703742E-2</v>
      </c>
      <c r="AC158" s="105">
        <v>0</v>
      </c>
      <c r="AD158" s="105">
        <v>0</v>
      </c>
      <c r="AE158" s="93">
        <v>0</v>
      </c>
      <c r="AF158" s="93">
        <v>0</v>
      </c>
      <c r="AG158" s="93">
        <v>0</v>
      </c>
    </row>
    <row r="159" spans="1:33">
      <c r="A159" s="65" t="str">
        <f>IFERROR(VLOOKUP('Informe Kelly'!A152,Base!A:B,2,FALSE),"")</f>
        <v>08.245.727-5</v>
      </c>
      <c r="B159" s="65" t="str">
        <f>IFERROR(VLOOKUP('Informe Kelly'!A152,Base!A:G,7,FALSE),"")</f>
        <v>SALINAS CUEVAS JUAN</v>
      </c>
      <c r="C159" s="69" t="str">
        <f>IF(G159=$C$4,IF('Informe Kelly'!H152='Control informe Kelly'!$A$2,TEXT(((LEFT('Informe Kelly'!E152,2)*1)+1),"dd")&amp;"."&amp;MID('Informe Kelly'!E152,4,2)&amp;"."&amp;RIGHT('Informe Kelly'!E152,4),'Informe Kelly'!E152),'Informe Kelly'!E152)</f>
        <v>12.04.2011</v>
      </c>
      <c r="D159" s="69" t="str">
        <f>IF('Informe Kelly'!E152="","",'Informe Kelly'!E152)</f>
        <v>12.04.2011</v>
      </c>
      <c r="E159" s="72">
        <f t="shared" si="5"/>
        <v>78</v>
      </c>
      <c r="F159" s="72" t="str">
        <f>IFERROR(HLOOKUP(C159,Ingreso!$Q$8:$AD$9,2,FALSE),"v")</f>
        <v>Martes</v>
      </c>
      <c r="G159" s="65" t="str">
        <f>IFERROR(VLOOKUP(A159,Ingreso!K:P,6,FALSE),"no esta ingresado")</f>
        <v>Turno A</v>
      </c>
      <c r="H159" s="65">
        <f>IFERROR(IF('Informe Kelly'!H152=$A$2,'Informe Kelly'!F152,""),0)</f>
        <v>0.29468749999999999</v>
      </c>
      <c r="I159" s="65" t="str">
        <f>IFERROR(IF('Informe Kelly'!H152=$A$3,'Informe Kelly'!F152,""),0)</f>
        <v/>
      </c>
      <c r="J159" s="65" t="str">
        <f>IF(IFERROR(IF(E159=E158,0,(HLOOKUP(D159,Ingreso!$AN$10:$AT$260,VLOOKUP(A159,Ingreso!$AL$11:$AM$260,2,FALSE)))/24),0)=0,"",IFERROR(IF(E159=E158,0,(HLOOKUP(D159,Ingreso!$AN$10:$AT$260,VLOOKUP(A159,Ingreso!$AL$11:$AM$260,2,FALSE)))/24),0))</f>
        <v/>
      </c>
      <c r="K159" s="65" t="str">
        <f>IF(IFERROR(IF(E159=E158,0,(HLOOKUP(C159,Ingreso!$AW$10:$BC$260,VLOOKUP(A159,Ingreso!$AL$11:$AM$260,2,FALSE)))/24),0)=0,"",IFERROR(IF(E159=E158,0,(HLOOKUP(C159,Ingreso!$AW$10:$BC$260,VLOOKUP(A159,Ingreso!$AL$11:$AM$260,2,FALSE)))/24),0))</f>
        <v/>
      </c>
      <c r="L159" s="63">
        <f t="shared" si="4"/>
        <v>0</v>
      </c>
      <c r="M159" s="63" t="str">
        <f>IF(IFERROR(IF(C159=C157,0,IF(E159=E158,0,IF(C159=$R$2,HLOOKUP($R$2,Ingreso!$AW$10:$BC$260,VLOOKUP(A159,Ingreso!AL:AM,2,FALSE),FALSE)/24,""))),"")=0,"",IFERROR(IF(C159=C157,0,IF(E159=E158,0,IF(C159=$R$2,HLOOKUP($R$2,Ingreso!$AW$10:$BC$260,VLOOKUP(A159,Ingreso!AL:AM,2,FALSE),FALSE)/24,""))),""))</f>
        <v/>
      </c>
      <c r="N159" s="95" t="str">
        <f>IF(IFERROR(IF(C159=C157,0,IF(E159=E158,0,IF(C159=$R$3,HLOOKUP($R$3,Ingreso!$AW$10:$BC$260,VLOOKUP(A159,Ingreso!AL:AM,2,FALSE),FALSE)/24,""))),"")=0,"",IFERROR(IF(C159=C157,0,IF(E159=E158,0,IF(C159=$R$3,HLOOKUP($R$3,Ingreso!$AW$10:$BC$260,VLOOKUP(A159,Ingreso!AL:AM,2,FALSE),FALSE)/24,""))),""))</f>
        <v/>
      </c>
      <c r="O159" s="95" t="str">
        <f>IF(IFERROR(IF(C159=C157,0,IF(E159=E158,0,IF(C159=$R$4,HLOOKUP($R$4,Ingreso!$AW$10:$BC$260,VLOOKUP(A159,Ingreso!AL:AM,2,FALSE),FALSE)/24,""))),"")=0,"",IFERROR(IF(C159=C157,0,IF(E159=E158,0,IF(C159=$R$4,HLOOKUP($R$4,Ingreso!$AW$10:$BC$260,VLOOKUP(A159,Ingreso!AL:AM,2,FALSE),FALSE)/24,""))),""))</f>
        <v/>
      </c>
      <c r="P159" s="90"/>
      <c r="R159" t="s">
        <v>124</v>
      </c>
      <c r="S159" t="s">
        <v>129</v>
      </c>
      <c r="T159" t="s">
        <v>1420</v>
      </c>
      <c r="U159" t="s">
        <v>1322</v>
      </c>
      <c r="V159" t="s">
        <v>1397</v>
      </c>
      <c r="W159" s="82">
        <v>178</v>
      </c>
      <c r="X159" s="71">
        <v>0.3125</v>
      </c>
      <c r="Y159" s="101">
        <v>0.614375</v>
      </c>
      <c r="Z159" s="101">
        <v>0.93787037037037047</v>
      </c>
      <c r="AA159" s="101">
        <v>0.32349537037037046</v>
      </c>
      <c r="AB159" s="101">
        <v>1.0995370370370461E-2</v>
      </c>
      <c r="AC159" s="105">
        <v>0</v>
      </c>
      <c r="AD159" s="105">
        <v>0</v>
      </c>
      <c r="AE159" s="93">
        <v>0</v>
      </c>
      <c r="AF159" s="93">
        <v>0</v>
      </c>
      <c r="AG159" s="93">
        <v>0</v>
      </c>
    </row>
    <row r="160" spans="1:33">
      <c r="A160" s="65" t="str">
        <f>IFERROR(VLOOKUP('Informe Kelly'!A153,Base!A:B,2,FALSE),"")</f>
        <v>08.245.727-5</v>
      </c>
      <c r="B160" s="65" t="str">
        <f>IFERROR(VLOOKUP('Informe Kelly'!A153,Base!A:G,7,FALSE),"")</f>
        <v>SALINAS CUEVAS JUAN</v>
      </c>
      <c r="C160" s="69" t="str">
        <f>IF(G160=$C$4,IF('Informe Kelly'!H153='Control informe Kelly'!$A$2,TEXT(((LEFT('Informe Kelly'!E153,2)*1)+1),"dd")&amp;"."&amp;MID('Informe Kelly'!E153,4,2)&amp;"."&amp;RIGHT('Informe Kelly'!E153,4),'Informe Kelly'!E153),'Informe Kelly'!E153)</f>
        <v>13.04.2011</v>
      </c>
      <c r="D160" s="69" t="str">
        <f>IF('Informe Kelly'!E153="","",'Informe Kelly'!E153)</f>
        <v>13.04.2011</v>
      </c>
      <c r="E160" s="72">
        <f t="shared" si="5"/>
        <v>79</v>
      </c>
      <c r="F160" s="72" t="str">
        <f>IFERROR(HLOOKUP(C160,Ingreso!$Q$8:$AD$9,2,FALSE),"v")</f>
        <v>Miércoles</v>
      </c>
      <c r="G160" s="65" t="str">
        <f>IFERROR(VLOOKUP(A160,Ingreso!K:P,6,FALSE),"no esta ingresado")</f>
        <v>Turno A</v>
      </c>
      <c r="H160" s="65" t="str">
        <f>IFERROR(IF('Informe Kelly'!H153=$A$2,'Informe Kelly'!F153,""),0)</f>
        <v/>
      </c>
      <c r="I160" s="65">
        <f>IFERROR(IF('Informe Kelly'!H153=$A$3,'Informe Kelly'!F153,""),0)</f>
        <v>0.65966435185185179</v>
      </c>
      <c r="J160" s="65" t="str">
        <f>IF(IFERROR(IF(E160=E159,0,(HLOOKUP(D160,Ingreso!$AN$10:$AT$260,VLOOKUP(A160,Ingreso!$AL$11:$AM$260,2,FALSE)))/24),0)=0,"",IFERROR(IF(E160=E159,0,(HLOOKUP(D160,Ingreso!$AN$10:$AT$260,VLOOKUP(A160,Ingreso!$AL$11:$AM$260,2,FALSE)))/24),0))</f>
        <v/>
      </c>
      <c r="K160" s="65" t="str">
        <f>IF(IFERROR(IF(E160=E159,0,(HLOOKUP(C160,Ingreso!$AW$10:$BC$260,VLOOKUP(A160,Ingreso!$AL$11:$AM$260,2,FALSE)))/24),0)=0,"",IFERROR(IF(E160=E159,0,(HLOOKUP(C160,Ingreso!$AW$10:$BC$260,VLOOKUP(A160,Ingreso!$AL$11:$AM$260,2,FALSE)))/24),0))</f>
        <v/>
      </c>
      <c r="L160" s="63">
        <f t="shared" si="4"/>
        <v>0.3125</v>
      </c>
      <c r="M160" s="63" t="str">
        <f>IF(IFERROR(IF(C160=C158,0,IF(E160=E159,0,IF(C160=$R$2,HLOOKUP($R$2,Ingreso!$AW$10:$BC$260,VLOOKUP(A160,Ingreso!AL:AM,2,FALSE),FALSE)/24,""))),"")=0,"",IFERROR(IF(C160=C158,0,IF(E160=E159,0,IF(C160=$R$2,HLOOKUP($R$2,Ingreso!$AW$10:$BC$260,VLOOKUP(A160,Ingreso!AL:AM,2,FALSE),FALSE)/24,""))),""))</f>
        <v/>
      </c>
      <c r="N160" s="95" t="str">
        <f>IF(IFERROR(IF(C160=C158,0,IF(E160=E159,0,IF(C160=$R$3,HLOOKUP($R$3,Ingreso!$AW$10:$BC$260,VLOOKUP(A160,Ingreso!AL:AM,2,FALSE),FALSE)/24,""))),"")=0,"",IFERROR(IF(C160=C158,0,IF(E160=E159,0,IF(C160=$R$3,HLOOKUP($R$3,Ingreso!$AW$10:$BC$260,VLOOKUP(A160,Ingreso!AL:AM,2,FALSE),FALSE)/24,""))),""))</f>
        <v/>
      </c>
      <c r="O160" s="95" t="str">
        <f>IF(IFERROR(IF(C160=C158,0,IF(E160=E159,0,IF(C160=$R$4,HLOOKUP($R$4,Ingreso!$AW$10:$BC$260,VLOOKUP(A160,Ingreso!AL:AM,2,FALSE),FALSE)/24,""))),"")=0,"",IFERROR(IF(C160=C158,0,IF(E160=E159,0,IF(C160=$R$4,HLOOKUP($R$4,Ingreso!$AW$10:$BC$260,VLOOKUP(A160,Ingreso!AL:AM,2,FALSE),FALSE)/24,""))),""))</f>
        <v/>
      </c>
      <c r="P160" s="90"/>
      <c r="T160" t="s">
        <v>1423</v>
      </c>
      <c r="U160" t="s">
        <v>1322</v>
      </c>
      <c r="V160" t="s">
        <v>1398</v>
      </c>
      <c r="W160" s="82">
        <v>179</v>
      </c>
      <c r="X160" s="71">
        <v>0.3125</v>
      </c>
      <c r="Y160" s="101">
        <v>0.61709490740740736</v>
      </c>
      <c r="Z160" s="101">
        <v>0.93579861111111118</v>
      </c>
      <c r="AA160" s="101">
        <v>0.31870370370370382</v>
      </c>
      <c r="AB160" s="101">
        <v>6.2037037037038223E-3</v>
      </c>
      <c r="AC160" s="105">
        <v>0</v>
      </c>
      <c r="AD160" s="105">
        <v>0</v>
      </c>
      <c r="AE160" s="93">
        <v>0</v>
      </c>
      <c r="AF160" s="93">
        <v>0</v>
      </c>
      <c r="AG160" s="93">
        <v>0</v>
      </c>
    </row>
    <row r="161" spans="1:33" ht="12.75" customHeight="1">
      <c r="A161" s="65" t="str">
        <f>IFERROR(VLOOKUP('Informe Kelly'!A154,Base!A:B,2,FALSE),"")</f>
        <v>08.245.727-5</v>
      </c>
      <c r="B161" s="65" t="str">
        <f>IFERROR(VLOOKUP('Informe Kelly'!A154,Base!A:G,7,FALSE),"")</f>
        <v>SALINAS CUEVAS JUAN</v>
      </c>
      <c r="C161" s="69" t="str">
        <f>IF(G161=$C$4,IF('Informe Kelly'!H154='Control informe Kelly'!$A$2,TEXT(((LEFT('Informe Kelly'!E154,2)*1)+1),"dd")&amp;"."&amp;MID('Informe Kelly'!E154,4,2)&amp;"."&amp;RIGHT('Informe Kelly'!E154,4),'Informe Kelly'!E154),'Informe Kelly'!E154)</f>
        <v>13.04.2011</v>
      </c>
      <c r="D161" s="69" t="str">
        <f>IF('Informe Kelly'!E154="","",'Informe Kelly'!E154)</f>
        <v>13.04.2011</v>
      </c>
      <c r="E161" s="72">
        <f t="shared" si="5"/>
        <v>79</v>
      </c>
      <c r="F161" s="72" t="str">
        <f>IFERROR(HLOOKUP(C161,Ingreso!$Q$8:$AD$9,2,FALSE),"v")</f>
        <v>Miércoles</v>
      </c>
      <c r="G161" s="65" t="str">
        <f>IFERROR(VLOOKUP(A161,Ingreso!K:P,6,FALSE),"no esta ingresado")</f>
        <v>Turno A</v>
      </c>
      <c r="H161" s="65">
        <f>IFERROR(IF('Informe Kelly'!H154=$A$2,'Informe Kelly'!F154,""),0)</f>
        <v>0.29421296296296295</v>
      </c>
      <c r="I161" s="65" t="str">
        <f>IFERROR(IF('Informe Kelly'!H154=$A$3,'Informe Kelly'!F154,""),0)</f>
        <v/>
      </c>
      <c r="J161" s="65" t="str">
        <f>IF(IFERROR(IF(E161=E160,0,(HLOOKUP(D161,Ingreso!$AN$10:$AT$260,VLOOKUP(A161,Ingreso!$AL$11:$AM$260,2,FALSE)))/24),0)=0,"",IFERROR(IF(E161=E160,0,(HLOOKUP(D161,Ingreso!$AN$10:$AT$260,VLOOKUP(A161,Ingreso!$AL$11:$AM$260,2,FALSE)))/24),0))</f>
        <v/>
      </c>
      <c r="K161" s="65" t="str">
        <f>IF(IFERROR(IF(E161=E160,0,(HLOOKUP(C161,Ingreso!$AW$10:$BC$260,VLOOKUP(A161,Ingreso!$AL$11:$AM$260,2,FALSE)))/24),0)=0,"",IFERROR(IF(E161=E160,0,(HLOOKUP(C161,Ingreso!$AW$10:$BC$260,VLOOKUP(A161,Ingreso!$AL$11:$AM$260,2,FALSE)))/24),0))</f>
        <v/>
      </c>
      <c r="L161" s="63">
        <f t="shared" si="4"/>
        <v>0</v>
      </c>
      <c r="M161" s="63" t="str">
        <f>IF(IFERROR(IF(C161=C159,0,IF(E161=E160,0,IF(C161=$R$2,HLOOKUP($R$2,Ingreso!$AW$10:$BC$260,VLOOKUP(A161,Ingreso!AL:AM,2,FALSE),FALSE)/24,""))),"")=0,"",IFERROR(IF(C161=C159,0,IF(E161=E160,0,IF(C161=$R$2,HLOOKUP($R$2,Ingreso!$AW$10:$BC$260,VLOOKUP(A161,Ingreso!AL:AM,2,FALSE),FALSE)/24,""))),""))</f>
        <v/>
      </c>
      <c r="N161" s="95" t="str">
        <f>IF(IFERROR(IF(C161=C159,0,IF(E161=E160,0,IF(C161=$R$3,HLOOKUP($R$3,Ingreso!$AW$10:$BC$260,VLOOKUP(A161,Ingreso!AL:AM,2,FALSE),FALSE)/24,""))),"")=0,"",IFERROR(IF(C161=C159,0,IF(E161=E160,0,IF(C161=$R$3,HLOOKUP($R$3,Ingreso!$AW$10:$BC$260,VLOOKUP(A161,Ingreso!AL:AM,2,FALSE),FALSE)/24,""))),""))</f>
        <v/>
      </c>
      <c r="O161" s="95" t="str">
        <f>IF(IFERROR(IF(C161=C159,0,IF(E161=E160,0,IF(C161=$R$4,HLOOKUP($R$4,Ingreso!$AW$10:$BC$260,VLOOKUP(A161,Ingreso!AL:AM,2,FALSE),FALSE)/24,""))),"")=0,"",IFERROR(IF(C161=C159,0,IF(E161=E160,0,IF(C161=$R$4,HLOOKUP($R$4,Ingreso!$AW$10:$BC$260,VLOOKUP(A161,Ingreso!AL:AM,2,FALSE),FALSE)/24,""))),""))</f>
        <v/>
      </c>
      <c r="P161" s="90"/>
      <c r="T161" t="s">
        <v>1424</v>
      </c>
      <c r="U161" t="s">
        <v>1322</v>
      </c>
      <c r="V161" t="s">
        <v>1399</v>
      </c>
      <c r="W161" s="82">
        <v>180</v>
      </c>
      <c r="X161" s="71">
        <v>0.3125</v>
      </c>
      <c r="Y161" s="101">
        <v>0.61859953703703707</v>
      </c>
      <c r="Z161" s="101">
        <v>0.93407407407407417</v>
      </c>
      <c r="AA161" s="101">
        <v>0.31547453703703709</v>
      </c>
      <c r="AB161" s="101">
        <v>2.9745370370370949E-3</v>
      </c>
      <c r="AC161" s="105">
        <v>0</v>
      </c>
      <c r="AD161" s="105">
        <v>0</v>
      </c>
      <c r="AE161" s="93">
        <v>0</v>
      </c>
      <c r="AF161" s="93">
        <v>0</v>
      </c>
      <c r="AG161" s="93">
        <v>0</v>
      </c>
    </row>
    <row r="162" spans="1:33">
      <c r="A162" s="65" t="str">
        <f>IFERROR(VLOOKUP('Informe Kelly'!A155,Base!A:B,2,FALSE),"")</f>
        <v>08.245.727-5</v>
      </c>
      <c r="B162" s="65" t="str">
        <f>IFERROR(VLOOKUP('Informe Kelly'!A155,Base!A:G,7,FALSE),"")</f>
        <v>SALINAS CUEVAS JUAN</v>
      </c>
      <c r="C162" s="69" t="str">
        <f>IF(G162=$C$4,IF('Informe Kelly'!H155='Control informe Kelly'!$A$2,TEXT(((LEFT('Informe Kelly'!E155,2)*1)+1),"dd")&amp;"."&amp;MID('Informe Kelly'!E155,4,2)&amp;"."&amp;RIGHT('Informe Kelly'!E155,4),'Informe Kelly'!E155),'Informe Kelly'!E155)</f>
        <v>14.04.2011</v>
      </c>
      <c r="D162" s="69" t="str">
        <f>IF('Informe Kelly'!E155="","",'Informe Kelly'!E155)</f>
        <v>14.04.2011</v>
      </c>
      <c r="E162" s="72">
        <f t="shared" si="5"/>
        <v>80</v>
      </c>
      <c r="F162" s="72" t="str">
        <f>IFERROR(HLOOKUP(C162,Ingreso!$Q$8:$AD$9,2,FALSE),"v")</f>
        <v>Jueves</v>
      </c>
      <c r="G162" s="65" t="str">
        <f>IFERROR(VLOOKUP(A162,Ingreso!K:P,6,FALSE),"no esta ingresado")</f>
        <v>Turno A</v>
      </c>
      <c r="H162" s="65" t="str">
        <f>IFERROR(IF('Informe Kelly'!H155=$A$2,'Informe Kelly'!F155,""),0)</f>
        <v/>
      </c>
      <c r="I162" s="65">
        <f>IFERROR(IF('Informe Kelly'!H155=$A$3,'Informe Kelly'!F155,""),0)</f>
        <v>0.63605324074074077</v>
      </c>
      <c r="J162" s="65" t="str">
        <f>IF(IFERROR(IF(E162=E161,0,(HLOOKUP(D162,Ingreso!$AN$10:$AT$260,VLOOKUP(A162,Ingreso!$AL$11:$AM$260,2,FALSE)))/24),0)=0,"",IFERROR(IF(E162=E161,0,(HLOOKUP(D162,Ingreso!$AN$10:$AT$260,VLOOKUP(A162,Ingreso!$AL$11:$AM$260,2,FALSE)))/24),0))</f>
        <v/>
      </c>
      <c r="K162" s="65" t="str">
        <f>IF(IFERROR(IF(E162=E161,0,(HLOOKUP(C162,Ingreso!$AW$10:$BC$260,VLOOKUP(A162,Ingreso!$AL$11:$AM$260,2,FALSE)))/24),0)=0,"",IFERROR(IF(E162=E161,0,(HLOOKUP(C162,Ingreso!$AW$10:$BC$260,VLOOKUP(A162,Ingreso!$AL$11:$AM$260,2,FALSE)))/24),0))</f>
        <v/>
      </c>
      <c r="L162" s="63">
        <f t="shared" si="4"/>
        <v>0.3125</v>
      </c>
      <c r="M162" s="63" t="str">
        <f>IF(IFERROR(IF(C162=C160,0,IF(E162=E161,0,IF(C162=$R$2,HLOOKUP($R$2,Ingreso!$AW$10:$BC$260,VLOOKUP(A162,Ingreso!AL:AM,2,FALSE),FALSE)/24,""))),"")=0,"",IFERROR(IF(C162=C160,0,IF(E162=E161,0,IF(C162=$R$2,HLOOKUP($R$2,Ingreso!$AW$10:$BC$260,VLOOKUP(A162,Ingreso!AL:AM,2,FALSE),FALSE)/24,""))),""))</f>
        <v/>
      </c>
      <c r="N162" s="95" t="str">
        <f>IF(IFERROR(IF(C162=C160,0,IF(E162=E161,0,IF(C162=$R$3,HLOOKUP($R$3,Ingreso!$AW$10:$BC$260,VLOOKUP(A162,Ingreso!AL:AM,2,FALSE),FALSE)/24,""))),"")=0,"",IFERROR(IF(C162=C160,0,IF(E162=E161,0,IF(C162=$R$3,HLOOKUP($R$3,Ingreso!$AW$10:$BC$260,VLOOKUP(A162,Ingreso!AL:AM,2,FALSE),FALSE)/24,""))),""))</f>
        <v/>
      </c>
      <c r="O162" s="95" t="str">
        <f>IF(IFERROR(IF(C162=C160,0,IF(E162=E161,0,IF(C162=$R$4,HLOOKUP($R$4,Ingreso!$AW$10:$BC$260,VLOOKUP(A162,Ingreso!AL:AM,2,FALSE),FALSE)/24,""))),"")=0,"",IFERROR(IF(C162=C160,0,IF(E162=E161,0,IF(C162=$R$4,HLOOKUP($R$4,Ingreso!$AW$10:$BC$260,VLOOKUP(A162,Ingreso!AL:AM,2,FALSE),FALSE)/24,""))),""))</f>
        <v/>
      </c>
      <c r="P162" s="90"/>
      <c r="T162" t="s">
        <v>1425</v>
      </c>
      <c r="U162" t="s">
        <v>1322</v>
      </c>
      <c r="V162" t="s">
        <v>1400</v>
      </c>
      <c r="W162" s="82">
        <v>181</v>
      </c>
      <c r="X162" s="71">
        <v>0.3125</v>
      </c>
      <c r="Y162" s="101">
        <v>0.61990740740740746</v>
      </c>
      <c r="Z162" s="101">
        <v>0.935613425925926</v>
      </c>
      <c r="AA162" s="101">
        <v>0.31570601851851854</v>
      </c>
      <c r="AB162" s="101">
        <v>3.2060185185185386E-3</v>
      </c>
      <c r="AC162" s="105">
        <v>0</v>
      </c>
      <c r="AD162" s="105">
        <v>0</v>
      </c>
      <c r="AE162" s="93">
        <v>0</v>
      </c>
      <c r="AF162" s="93">
        <v>0</v>
      </c>
      <c r="AG162" s="93">
        <v>0</v>
      </c>
    </row>
    <row r="163" spans="1:33">
      <c r="A163" s="65" t="str">
        <f>IFERROR(VLOOKUP('Informe Kelly'!A156,Base!A:B,2,FALSE),"")</f>
        <v>08.245.727-5</v>
      </c>
      <c r="B163" s="65" t="str">
        <f>IFERROR(VLOOKUP('Informe Kelly'!A156,Base!A:G,7,FALSE),"")</f>
        <v>SALINAS CUEVAS JUAN</v>
      </c>
      <c r="C163" s="69" t="str">
        <f>IF(G163=$C$4,IF('Informe Kelly'!H156='Control informe Kelly'!$A$2,TEXT(((LEFT('Informe Kelly'!E156,2)*1)+1),"dd")&amp;"."&amp;MID('Informe Kelly'!E156,4,2)&amp;"."&amp;RIGHT('Informe Kelly'!E156,4),'Informe Kelly'!E156),'Informe Kelly'!E156)</f>
        <v>14.04.2011</v>
      </c>
      <c r="D163" s="69" t="str">
        <f>IF('Informe Kelly'!E156="","",'Informe Kelly'!E156)</f>
        <v>14.04.2011</v>
      </c>
      <c r="E163" s="72">
        <f t="shared" si="5"/>
        <v>80</v>
      </c>
      <c r="F163" s="72" t="str">
        <f>IFERROR(HLOOKUP(C163,Ingreso!$Q$8:$AD$9,2,FALSE),"v")</f>
        <v>Jueves</v>
      </c>
      <c r="G163" s="65" t="str">
        <f>IFERROR(VLOOKUP(A163,Ingreso!K:P,6,FALSE),"no esta ingresado")</f>
        <v>Turno A</v>
      </c>
      <c r="H163" s="65">
        <f>IFERROR(IF('Informe Kelly'!H156=$A$2,'Informe Kelly'!F156,""),0)</f>
        <v>0.29366898148148152</v>
      </c>
      <c r="I163" s="65" t="str">
        <f>IFERROR(IF('Informe Kelly'!H156=$A$3,'Informe Kelly'!F156,""),0)</f>
        <v/>
      </c>
      <c r="J163" s="65" t="str">
        <f>IF(IFERROR(IF(E163=E162,0,(HLOOKUP(D163,Ingreso!$AN$10:$AT$260,VLOOKUP(A163,Ingreso!$AL$11:$AM$260,2,FALSE)))/24),0)=0,"",IFERROR(IF(E163=E162,0,(HLOOKUP(D163,Ingreso!$AN$10:$AT$260,VLOOKUP(A163,Ingreso!$AL$11:$AM$260,2,FALSE)))/24),0))</f>
        <v/>
      </c>
      <c r="K163" s="65" t="str">
        <f>IF(IFERROR(IF(E163=E162,0,(HLOOKUP(C163,Ingreso!$AW$10:$BC$260,VLOOKUP(A163,Ingreso!$AL$11:$AM$260,2,FALSE)))/24),0)=0,"",IFERROR(IF(E163=E162,0,(HLOOKUP(C163,Ingreso!$AW$10:$BC$260,VLOOKUP(A163,Ingreso!$AL$11:$AM$260,2,FALSE)))/24),0))</f>
        <v/>
      </c>
      <c r="L163" s="63">
        <f t="shared" si="4"/>
        <v>0</v>
      </c>
      <c r="M163" s="63" t="str">
        <f>IF(IFERROR(IF(C163=C161,0,IF(E163=E162,0,IF(C163=$R$2,HLOOKUP($R$2,Ingreso!$AW$10:$BC$260,VLOOKUP(A163,Ingreso!AL:AM,2,FALSE),FALSE)/24,""))),"")=0,"",IFERROR(IF(C163=C161,0,IF(E163=E162,0,IF(C163=$R$2,HLOOKUP($R$2,Ingreso!$AW$10:$BC$260,VLOOKUP(A163,Ingreso!AL:AM,2,FALSE),FALSE)/24,""))),""))</f>
        <v/>
      </c>
      <c r="N163" s="95" t="str">
        <f>IF(IFERROR(IF(C163=C161,0,IF(E163=E162,0,IF(C163=$R$3,HLOOKUP($R$3,Ingreso!$AW$10:$BC$260,VLOOKUP(A163,Ingreso!AL:AM,2,FALSE),FALSE)/24,""))),"")=0,"",IFERROR(IF(C163=C161,0,IF(E163=E162,0,IF(C163=$R$3,HLOOKUP($R$3,Ingreso!$AW$10:$BC$260,VLOOKUP(A163,Ingreso!AL:AM,2,FALSE),FALSE)/24,""))),""))</f>
        <v/>
      </c>
      <c r="O163" s="95" t="str">
        <f>IF(IFERROR(IF(C163=C161,0,IF(E163=E162,0,IF(C163=$R$4,HLOOKUP($R$4,Ingreso!$AW$10:$BC$260,VLOOKUP(A163,Ingreso!AL:AM,2,FALSE),FALSE)/24,""))),"")=0,"",IFERROR(IF(C163=C161,0,IF(E163=E162,0,IF(C163=$R$4,HLOOKUP($R$4,Ingreso!$AW$10:$BC$260,VLOOKUP(A163,Ingreso!AL:AM,2,FALSE),FALSE)/24,""))),""))</f>
        <v/>
      </c>
      <c r="P163" s="90"/>
      <c r="T163" t="s">
        <v>1426</v>
      </c>
      <c r="U163" t="s">
        <v>1322</v>
      </c>
      <c r="V163" t="s">
        <v>1401</v>
      </c>
      <c r="W163" s="82">
        <v>182</v>
      </c>
      <c r="X163" s="71">
        <v>0.3125</v>
      </c>
      <c r="Y163" s="101">
        <v>0.6189351851851852</v>
      </c>
      <c r="Z163" s="101">
        <v>0.93451388888888898</v>
      </c>
      <c r="AA163" s="101">
        <v>0.31557870370370378</v>
      </c>
      <c r="AB163" s="101">
        <v>3.0787037037037779E-3</v>
      </c>
      <c r="AC163" s="105">
        <v>0</v>
      </c>
      <c r="AD163" s="105">
        <v>0</v>
      </c>
      <c r="AE163" s="93">
        <v>0</v>
      </c>
      <c r="AF163" s="93">
        <v>0</v>
      </c>
      <c r="AG163" s="93">
        <v>0</v>
      </c>
    </row>
    <row r="164" spans="1:33">
      <c r="A164" s="65" t="str">
        <f>IFERROR(VLOOKUP('Informe Kelly'!A157,Base!A:B,2,FALSE),"")</f>
        <v>08.245.727-5</v>
      </c>
      <c r="B164" s="65" t="str">
        <f>IFERROR(VLOOKUP('Informe Kelly'!A157,Base!A:G,7,FALSE),"")</f>
        <v>SALINAS CUEVAS JUAN</v>
      </c>
      <c r="C164" s="69" t="str">
        <f>IF(G164=$C$4,IF('Informe Kelly'!H157='Control informe Kelly'!$A$2,TEXT(((LEFT('Informe Kelly'!E157,2)*1)+1),"dd")&amp;"."&amp;MID('Informe Kelly'!E157,4,2)&amp;"."&amp;RIGHT('Informe Kelly'!E157,4),'Informe Kelly'!E157),'Informe Kelly'!E157)</f>
        <v>15.04.2011</v>
      </c>
      <c r="D164" s="69" t="str">
        <f>IF('Informe Kelly'!E157="","",'Informe Kelly'!E157)</f>
        <v>15.04.2011</v>
      </c>
      <c r="E164" s="72">
        <f t="shared" si="5"/>
        <v>81</v>
      </c>
      <c r="F164" s="72" t="str">
        <f>IFERROR(HLOOKUP(C164,Ingreso!$Q$8:$AD$9,2,FALSE),"v")</f>
        <v>Viernes</v>
      </c>
      <c r="G164" s="65" t="str">
        <f>IFERROR(VLOOKUP(A164,Ingreso!K:P,6,FALSE),"no esta ingresado")</f>
        <v>Turno A</v>
      </c>
      <c r="H164" s="65" t="str">
        <f>IFERROR(IF('Informe Kelly'!H157=$A$2,'Informe Kelly'!F157,""),0)</f>
        <v/>
      </c>
      <c r="I164" s="65">
        <f>IFERROR(IF('Informe Kelly'!H157=$A$3,'Informe Kelly'!F157,""),0)</f>
        <v>0.63863425925925921</v>
      </c>
      <c r="J164" s="65" t="str">
        <f>IF(IFERROR(IF(E164=E163,0,(HLOOKUP(D164,Ingreso!$AN$10:$AT$260,VLOOKUP(A164,Ingreso!$AL$11:$AM$260,2,FALSE)))/24),0)=0,"",IFERROR(IF(E164=E163,0,(HLOOKUP(D164,Ingreso!$AN$10:$AT$260,VLOOKUP(A164,Ingreso!$AL$11:$AM$260,2,FALSE)))/24),0))</f>
        <v/>
      </c>
      <c r="K164" s="65" t="str">
        <f>IF(IFERROR(IF(E164=E163,0,(HLOOKUP(C164,Ingreso!$AW$10:$BC$260,VLOOKUP(A164,Ingreso!$AL$11:$AM$260,2,FALSE)))/24),0)=0,"",IFERROR(IF(E164=E163,0,(HLOOKUP(C164,Ingreso!$AW$10:$BC$260,VLOOKUP(A164,Ingreso!$AL$11:$AM$260,2,FALSE)))/24),0))</f>
        <v/>
      </c>
      <c r="L164" s="63">
        <f t="shared" si="4"/>
        <v>0.3125</v>
      </c>
      <c r="M164" s="63" t="str">
        <f>IF(IFERROR(IF(C164=C162,0,IF(E164=E163,0,IF(C164=$R$2,HLOOKUP($R$2,Ingreso!$AW$10:$BC$260,VLOOKUP(A164,Ingreso!AL:AM,2,FALSE),FALSE)/24,""))),"")=0,"",IFERROR(IF(C164=C162,0,IF(E164=E163,0,IF(C164=$R$2,HLOOKUP($R$2,Ingreso!$AW$10:$BC$260,VLOOKUP(A164,Ingreso!AL:AM,2,FALSE),FALSE)/24,""))),""))</f>
        <v/>
      </c>
      <c r="N164" s="95" t="str">
        <f>IF(IFERROR(IF(C164=C162,0,IF(E164=E163,0,IF(C164=$R$3,HLOOKUP($R$3,Ingreso!$AW$10:$BC$260,VLOOKUP(A164,Ingreso!AL:AM,2,FALSE),FALSE)/24,""))),"")=0,"",IFERROR(IF(C164=C162,0,IF(E164=E163,0,IF(C164=$R$3,HLOOKUP($R$3,Ingreso!$AW$10:$BC$260,VLOOKUP(A164,Ingreso!AL:AM,2,FALSE),FALSE)/24,""))),""))</f>
        <v/>
      </c>
      <c r="O164" s="95" t="str">
        <f>IF(IFERROR(IF(C164=C162,0,IF(E164=E163,0,IF(C164=$R$4,HLOOKUP($R$4,Ingreso!$AW$10:$BC$260,VLOOKUP(A164,Ingreso!AL:AM,2,FALSE),FALSE)/24,""))),"")=0,"",IFERROR(IF(C164=C162,0,IF(E164=E163,0,IF(C164=$R$4,HLOOKUP($R$4,Ingreso!$AW$10:$BC$260,VLOOKUP(A164,Ingreso!AL:AM,2,FALSE),FALSE)/24,""))),""))</f>
        <v/>
      </c>
      <c r="P164" s="90"/>
      <c r="T164" t="s">
        <v>1427</v>
      </c>
      <c r="U164" t="s">
        <v>1322</v>
      </c>
      <c r="V164" t="s">
        <v>1402</v>
      </c>
      <c r="W164" s="82">
        <v>183</v>
      </c>
      <c r="X164" s="71">
        <v>0.3125</v>
      </c>
      <c r="Y164" s="101">
        <v>0.6178703703703704</v>
      </c>
      <c r="Z164" s="101">
        <v>0.93439814814814814</v>
      </c>
      <c r="AA164" s="101">
        <v>0.31652777777777774</v>
      </c>
      <c r="AB164" s="101">
        <v>4.0277777777777413E-3</v>
      </c>
      <c r="AC164" s="105">
        <v>0</v>
      </c>
      <c r="AD164" s="105">
        <v>0</v>
      </c>
      <c r="AE164" s="93">
        <v>0</v>
      </c>
      <c r="AF164" s="93">
        <v>0</v>
      </c>
      <c r="AG164" s="93">
        <v>0</v>
      </c>
    </row>
    <row r="165" spans="1:33">
      <c r="A165" s="65" t="str">
        <f>IFERROR(VLOOKUP('Informe Kelly'!A158,Base!A:B,2,FALSE),"")</f>
        <v>08.245.727-5</v>
      </c>
      <c r="B165" s="65" t="str">
        <f>IFERROR(VLOOKUP('Informe Kelly'!A158,Base!A:G,7,FALSE),"")</f>
        <v>SALINAS CUEVAS JUAN</v>
      </c>
      <c r="C165" s="69" t="str">
        <f>IF(G165=$C$4,IF('Informe Kelly'!H158='Control informe Kelly'!$A$2,TEXT(((LEFT('Informe Kelly'!E158,2)*1)+1),"dd")&amp;"."&amp;MID('Informe Kelly'!E158,4,2)&amp;"."&amp;RIGHT('Informe Kelly'!E158,4),'Informe Kelly'!E158),'Informe Kelly'!E158)</f>
        <v>15.04.2011</v>
      </c>
      <c r="D165" s="69" t="str">
        <f>IF('Informe Kelly'!E158="","",'Informe Kelly'!E158)</f>
        <v>15.04.2011</v>
      </c>
      <c r="E165" s="72">
        <f t="shared" si="5"/>
        <v>81</v>
      </c>
      <c r="F165" s="72" t="str">
        <f>IFERROR(HLOOKUP(C165,Ingreso!$Q$8:$AD$9,2,FALSE),"v")</f>
        <v>Viernes</v>
      </c>
      <c r="G165" s="65" t="str">
        <f>IFERROR(VLOOKUP(A165,Ingreso!K:P,6,FALSE),"no esta ingresado")</f>
        <v>Turno A</v>
      </c>
      <c r="H165" s="65">
        <f>IFERROR(IF('Informe Kelly'!H158=$A$2,'Informe Kelly'!F158,""),0)</f>
        <v>0.29487268518518517</v>
      </c>
      <c r="I165" s="65" t="str">
        <f>IFERROR(IF('Informe Kelly'!H158=$A$3,'Informe Kelly'!F158,""),0)</f>
        <v/>
      </c>
      <c r="J165" s="65" t="str">
        <f>IF(IFERROR(IF(E165=E164,0,(HLOOKUP(D165,Ingreso!$AN$10:$AT$260,VLOOKUP(A165,Ingreso!$AL$11:$AM$260,2,FALSE)))/24),0)=0,"",IFERROR(IF(E165=E164,0,(HLOOKUP(D165,Ingreso!$AN$10:$AT$260,VLOOKUP(A165,Ingreso!$AL$11:$AM$260,2,FALSE)))/24),0))</f>
        <v/>
      </c>
      <c r="K165" s="65" t="str">
        <f>IF(IFERROR(IF(E165=E164,0,(HLOOKUP(C165,Ingreso!$AW$10:$BC$260,VLOOKUP(A165,Ingreso!$AL$11:$AM$260,2,FALSE)))/24),0)=0,"",IFERROR(IF(E165=E164,0,(HLOOKUP(C165,Ingreso!$AW$10:$BC$260,VLOOKUP(A165,Ingreso!$AL$11:$AM$260,2,FALSE)))/24),0))</f>
        <v/>
      </c>
      <c r="L165" s="63">
        <f t="shared" si="4"/>
        <v>0</v>
      </c>
      <c r="M165" s="63" t="str">
        <f>IF(IFERROR(IF(C165=C163,0,IF(E165=E164,0,IF(C165=$R$2,HLOOKUP($R$2,Ingreso!$AW$10:$BC$260,VLOOKUP(A165,Ingreso!AL:AM,2,FALSE),FALSE)/24,""))),"")=0,"",IFERROR(IF(C165=C163,0,IF(E165=E164,0,IF(C165=$R$2,HLOOKUP($R$2,Ingreso!$AW$10:$BC$260,VLOOKUP(A165,Ingreso!AL:AM,2,FALSE),FALSE)/24,""))),""))</f>
        <v/>
      </c>
      <c r="N165" s="95" t="str">
        <f>IF(IFERROR(IF(C165=C163,0,IF(E165=E164,0,IF(C165=$R$3,HLOOKUP($R$3,Ingreso!$AW$10:$BC$260,VLOOKUP(A165,Ingreso!AL:AM,2,FALSE),FALSE)/24,""))),"")=0,"",IFERROR(IF(C165=C163,0,IF(E165=E164,0,IF(C165=$R$3,HLOOKUP($R$3,Ingreso!$AW$10:$BC$260,VLOOKUP(A165,Ingreso!AL:AM,2,FALSE),FALSE)/24,""))),""))</f>
        <v/>
      </c>
      <c r="O165" s="95" t="str">
        <f>IF(IFERROR(IF(C165=C163,0,IF(E165=E164,0,IF(C165=$R$4,HLOOKUP($R$4,Ingreso!$AW$10:$BC$260,VLOOKUP(A165,Ingreso!AL:AM,2,FALSE),FALSE)/24,""))),"")=0,"",IFERROR(IF(C165=C163,0,IF(E165=E164,0,IF(C165=$R$4,HLOOKUP($R$4,Ingreso!$AW$10:$BC$260,VLOOKUP(A165,Ingreso!AL:AM,2,FALSE),FALSE)/24,""))),""))</f>
        <v/>
      </c>
      <c r="P165" s="90"/>
      <c r="R165" t="s">
        <v>484</v>
      </c>
      <c r="S165" t="s">
        <v>487</v>
      </c>
      <c r="T165" t="s">
        <v>1423</v>
      </c>
      <c r="U165" t="s">
        <v>1324</v>
      </c>
      <c r="V165" t="s">
        <v>1398</v>
      </c>
      <c r="W165" s="82">
        <v>184</v>
      </c>
      <c r="X165" s="71">
        <v>0.375</v>
      </c>
      <c r="Y165" s="101">
        <v>0.9212731481481482</v>
      </c>
      <c r="Z165" s="101">
        <v>0.32465277777777779</v>
      </c>
      <c r="AA165" s="101">
        <v>0.40337962962962959</v>
      </c>
      <c r="AB165" s="101">
        <v>2.8379629629629588E-2</v>
      </c>
      <c r="AC165" s="105">
        <v>0</v>
      </c>
      <c r="AD165" s="105">
        <v>0</v>
      </c>
      <c r="AE165" s="93">
        <v>0</v>
      </c>
      <c r="AF165" s="93">
        <v>0</v>
      </c>
      <c r="AG165" s="93">
        <v>0</v>
      </c>
    </row>
    <row r="166" spans="1:33">
      <c r="A166" s="65" t="str">
        <f>IFERROR(VLOOKUP('Informe Kelly'!A159,Base!A:B,2,FALSE),"")</f>
        <v>08.245.727-5</v>
      </c>
      <c r="B166" s="65" t="str">
        <f>IFERROR(VLOOKUP('Informe Kelly'!A159,Base!A:G,7,FALSE),"")</f>
        <v>SALINAS CUEVAS JUAN</v>
      </c>
      <c r="C166" s="69" t="str">
        <f>IF(G166=$C$4,IF('Informe Kelly'!H159='Control informe Kelly'!$A$2,TEXT(((LEFT('Informe Kelly'!E159,2)*1)+1),"dd")&amp;"."&amp;MID('Informe Kelly'!E159,4,2)&amp;"."&amp;RIGHT('Informe Kelly'!E159,4),'Informe Kelly'!E159),'Informe Kelly'!E159)</f>
        <v>16.04.2011</v>
      </c>
      <c r="D166" s="69" t="str">
        <f>IF('Informe Kelly'!E159="","",'Informe Kelly'!E159)</f>
        <v>16.04.2011</v>
      </c>
      <c r="E166" s="72">
        <f t="shared" si="5"/>
        <v>82</v>
      </c>
      <c r="F166" s="72" t="str">
        <f>IFERROR(HLOOKUP(C166,Ingreso!$Q$8:$AD$9,2,FALSE),"v")</f>
        <v>Sábado</v>
      </c>
      <c r="G166" s="65" t="str">
        <f>IFERROR(VLOOKUP(A166,Ingreso!K:P,6,FALSE),"no esta ingresado")</f>
        <v>Turno A</v>
      </c>
      <c r="H166" s="65" t="str">
        <f>IFERROR(IF('Informe Kelly'!H159=$A$2,'Informe Kelly'!F159,""),0)</f>
        <v/>
      </c>
      <c r="I166" s="65">
        <f>IFERROR(IF('Informe Kelly'!H159=$A$3,'Informe Kelly'!F159,""),0)</f>
        <v>0.65144675925925932</v>
      </c>
      <c r="J166" s="65" t="str">
        <f>IF(IFERROR(IF(E166=E165,0,(HLOOKUP(D166,Ingreso!$AN$10:$AT$260,VLOOKUP(A166,Ingreso!$AL$11:$AM$260,2,FALSE)))/24),0)=0,"",IFERROR(IF(E166=E165,0,(HLOOKUP(D166,Ingreso!$AN$10:$AT$260,VLOOKUP(A166,Ingreso!$AL$11:$AM$260,2,FALSE)))/24),0))</f>
        <v/>
      </c>
      <c r="K166" s="65" t="str">
        <f>IF(IFERROR(IF(E166=E165,0,(HLOOKUP(C166,Ingreso!$AW$10:$BC$260,VLOOKUP(A166,Ingreso!$AL$11:$AM$260,2,FALSE)))/24),0)=0,"",IFERROR(IF(E166=E165,0,(HLOOKUP(C166,Ingreso!$AW$10:$BC$260,VLOOKUP(A166,Ingreso!$AL$11:$AM$260,2,FALSE)))/24),0))</f>
        <v/>
      </c>
      <c r="L166" s="63">
        <f t="shared" si="4"/>
        <v>0.3125</v>
      </c>
      <c r="M166" s="63" t="str">
        <f>IF(IFERROR(IF(C166=C164,0,IF(E166=E165,0,IF(C166=$R$2,HLOOKUP($R$2,Ingreso!$AW$10:$BC$260,VLOOKUP(A166,Ingreso!AL:AM,2,FALSE),FALSE)/24,""))),"")=0,"",IFERROR(IF(C166=C164,0,IF(E166=E165,0,IF(C166=$R$2,HLOOKUP($R$2,Ingreso!$AW$10:$BC$260,VLOOKUP(A166,Ingreso!AL:AM,2,FALSE),FALSE)/24,""))),""))</f>
        <v/>
      </c>
      <c r="N166" s="95" t="str">
        <f>IF(IFERROR(IF(C166=C164,0,IF(E166=E165,0,IF(C166=$R$3,HLOOKUP($R$3,Ingreso!$AW$10:$BC$260,VLOOKUP(A166,Ingreso!AL:AM,2,FALSE),FALSE)/24,""))),"")=0,"",IFERROR(IF(C166=C164,0,IF(E166=E165,0,IF(C166=$R$3,HLOOKUP($R$3,Ingreso!$AW$10:$BC$260,VLOOKUP(A166,Ingreso!AL:AM,2,FALSE),FALSE)/24,""))),""))</f>
        <v/>
      </c>
      <c r="O166" s="95" t="str">
        <f>IF(IFERROR(IF(C166=C164,0,IF(E166=E165,0,IF(C166=$R$4,HLOOKUP($R$4,Ingreso!$AW$10:$BC$260,VLOOKUP(A166,Ingreso!AL:AM,2,FALSE),FALSE)/24,""))),"")=0,"",IFERROR(IF(C166=C164,0,IF(E166=E165,0,IF(C166=$R$4,HLOOKUP($R$4,Ingreso!$AW$10:$BC$260,VLOOKUP(A166,Ingreso!AL:AM,2,FALSE),FALSE)/24,""))),""))</f>
        <v/>
      </c>
      <c r="P166" s="90"/>
      <c r="T166" t="s">
        <v>1424</v>
      </c>
      <c r="U166" t="s">
        <v>1324</v>
      </c>
      <c r="V166" t="s">
        <v>1399</v>
      </c>
      <c r="W166" s="82">
        <v>185</v>
      </c>
      <c r="X166" s="71">
        <v>0.375</v>
      </c>
      <c r="Y166" s="101">
        <v>0.91899305555555555</v>
      </c>
      <c r="Z166" s="101">
        <v>0.32504629629629628</v>
      </c>
      <c r="AA166" s="101">
        <v>0.40605324074074078</v>
      </c>
      <c r="AB166" s="101">
        <v>3.1053240740740784E-2</v>
      </c>
      <c r="AC166" s="105">
        <v>0</v>
      </c>
      <c r="AD166" s="105">
        <v>0</v>
      </c>
      <c r="AE166" s="93">
        <v>0</v>
      </c>
      <c r="AF166" s="93">
        <v>0</v>
      </c>
      <c r="AG166" s="93">
        <v>0</v>
      </c>
    </row>
    <row r="167" spans="1:33" ht="12.75" customHeight="1">
      <c r="A167" s="65" t="str">
        <f>IFERROR(VLOOKUP('Informe Kelly'!A160,Base!A:B,2,FALSE),"")</f>
        <v>08.245.727-5</v>
      </c>
      <c r="B167" s="65" t="str">
        <f>IFERROR(VLOOKUP('Informe Kelly'!A160,Base!A:G,7,FALSE),"")</f>
        <v>SALINAS CUEVAS JUAN</v>
      </c>
      <c r="C167" s="69" t="str">
        <f>IF(G167=$C$4,IF('Informe Kelly'!H160='Control informe Kelly'!$A$2,TEXT(((LEFT('Informe Kelly'!E160,2)*1)+1),"dd")&amp;"."&amp;MID('Informe Kelly'!E160,4,2)&amp;"."&amp;RIGHT('Informe Kelly'!E160,4),'Informe Kelly'!E160),'Informe Kelly'!E160)</f>
        <v>16.04.2011</v>
      </c>
      <c r="D167" s="69" t="str">
        <f>IF('Informe Kelly'!E160="","",'Informe Kelly'!E160)</f>
        <v>16.04.2011</v>
      </c>
      <c r="E167" s="72">
        <f t="shared" si="5"/>
        <v>82</v>
      </c>
      <c r="F167" s="72" t="str">
        <f>IFERROR(HLOOKUP(C167,Ingreso!$Q$8:$AD$9,2,FALSE),"v")</f>
        <v>Sábado</v>
      </c>
      <c r="G167" s="65" t="str">
        <f>IFERROR(VLOOKUP(A167,Ingreso!K:P,6,FALSE),"no esta ingresado")</f>
        <v>Turno A</v>
      </c>
      <c r="H167" s="65">
        <f>IFERROR(IF('Informe Kelly'!H160=$A$2,'Informe Kelly'!F160,""),0)</f>
        <v>0.29378472222222224</v>
      </c>
      <c r="I167" s="65" t="str">
        <f>IFERROR(IF('Informe Kelly'!H160=$A$3,'Informe Kelly'!F160,""),0)</f>
        <v/>
      </c>
      <c r="J167" s="65" t="str">
        <f>IF(IFERROR(IF(E167=E166,0,(HLOOKUP(D167,Ingreso!$AN$10:$AT$260,VLOOKUP(A167,Ingreso!$AL$11:$AM$260,2,FALSE)))/24),0)=0,"",IFERROR(IF(E167=E166,0,(HLOOKUP(D167,Ingreso!$AN$10:$AT$260,VLOOKUP(A167,Ingreso!$AL$11:$AM$260,2,FALSE)))/24),0))</f>
        <v/>
      </c>
      <c r="K167" s="65" t="str">
        <f>IF(IFERROR(IF(E167=E166,0,(HLOOKUP(C167,Ingreso!$AW$10:$BC$260,VLOOKUP(A167,Ingreso!$AL$11:$AM$260,2,FALSE)))/24),0)=0,"",IFERROR(IF(E167=E166,0,(HLOOKUP(C167,Ingreso!$AW$10:$BC$260,VLOOKUP(A167,Ingreso!$AL$11:$AM$260,2,FALSE)))/24),0))</f>
        <v/>
      </c>
      <c r="L167" s="63">
        <f t="shared" si="4"/>
        <v>0</v>
      </c>
      <c r="M167" s="63" t="str">
        <f>IF(IFERROR(IF(C167=C165,0,IF(E167=E166,0,IF(C167=$R$2,HLOOKUP($R$2,Ingreso!$AW$10:$BC$260,VLOOKUP(A167,Ingreso!AL:AM,2,FALSE),FALSE)/24,""))),"")=0,"",IFERROR(IF(C167=C165,0,IF(E167=E166,0,IF(C167=$R$2,HLOOKUP($R$2,Ingreso!$AW$10:$BC$260,VLOOKUP(A167,Ingreso!AL:AM,2,FALSE),FALSE)/24,""))),""))</f>
        <v/>
      </c>
      <c r="N167" s="95" t="str">
        <f>IF(IFERROR(IF(C167=C165,0,IF(E167=E166,0,IF(C167=$R$3,HLOOKUP($R$3,Ingreso!$AW$10:$BC$260,VLOOKUP(A167,Ingreso!AL:AM,2,FALSE),FALSE)/24,""))),"")=0,"",IFERROR(IF(C167=C165,0,IF(E167=E166,0,IF(C167=$R$3,HLOOKUP($R$3,Ingreso!$AW$10:$BC$260,VLOOKUP(A167,Ingreso!AL:AM,2,FALSE),FALSE)/24,""))),""))</f>
        <v/>
      </c>
      <c r="O167" s="95" t="str">
        <f>IF(IFERROR(IF(C167=C165,0,IF(E167=E166,0,IF(C167=$R$4,HLOOKUP($R$4,Ingreso!$AW$10:$BC$260,VLOOKUP(A167,Ingreso!AL:AM,2,FALSE),FALSE)/24,""))),"")=0,"",IFERROR(IF(C167=C165,0,IF(E167=E166,0,IF(C167=$R$4,HLOOKUP($R$4,Ingreso!$AW$10:$BC$260,VLOOKUP(A167,Ingreso!AL:AM,2,FALSE),FALSE)/24,""))),""))</f>
        <v/>
      </c>
      <c r="P167" s="90"/>
      <c r="T167" t="s">
        <v>1425</v>
      </c>
      <c r="U167" t="s">
        <v>1324</v>
      </c>
      <c r="V167" t="s">
        <v>1400</v>
      </c>
      <c r="W167" s="82">
        <v>186</v>
      </c>
      <c r="X167" s="71">
        <v>0.375</v>
      </c>
      <c r="Y167" s="101">
        <v>0.92133101851851851</v>
      </c>
      <c r="Z167" s="101">
        <v>0.32642361111111112</v>
      </c>
      <c r="AA167" s="101">
        <v>0.40509259259259267</v>
      </c>
      <c r="AB167" s="101">
        <v>3.0092592592592671E-2</v>
      </c>
      <c r="AC167" s="105">
        <v>0</v>
      </c>
      <c r="AD167" s="105">
        <v>0</v>
      </c>
      <c r="AE167" s="93">
        <v>0</v>
      </c>
      <c r="AF167" s="93">
        <v>0</v>
      </c>
      <c r="AG167" s="93">
        <v>0</v>
      </c>
    </row>
    <row r="168" spans="1:33">
      <c r="A168" s="65" t="str">
        <f>IFERROR(VLOOKUP('Informe Kelly'!A161,Base!A:B,2,FALSE),"")</f>
        <v>08.245.727-5</v>
      </c>
      <c r="B168" s="65" t="str">
        <f>IFERROR(VLOOKUP('Informe Kelly'!A161,Base!A:G,7,FALSE),"")</f>
        <v>SALINAS CUEVAS JUAN</v>
      </c>
      <c r="C168" s="69" t="str">
        <f>IF(G168=$C$4,IF('Informe Kelly'!H161='Control informe Kelly'!$A$2,TEXT(((LEFT('Informe Kelly'!E161,2)*1)+1),"dd")&amp;"."&amp;MID('Informe Kelly'!E161,4,2)&amp;"."&amp;RIGHT('Informe Kelly'!E161,4),'Informe Kelly'!E161),'Informe Kelly'!E161)</f>
        <v>17.04.2011</v>
      </c>
      <c r="D168" s="69" t="str">
        <f>IF('Informe Kelly'!E161="","",'Informe Kelly'!E161)</f>
        <v>17.04.2011</v>
      </c>
      <c r="E168" s="72">
        <f t="shared" si="5"/>
        <v>83</v>
      </c>
      <c r="F168" s="72" t="str">
        <f>IFERROR(HLOOKUP(C168,Ingreso!$Q$8:$AD$9,2,FALSE),"v")</f>
        <v>Domingo</v>
      </c>
      <c r="G168" s="65" t="str">
        <f>IFERROR(VLOOKUP(A168,Ingreso!K:P,6,FALSE),"no esta ingresado")</f>
        <v>Turno A</v>
      </c>
      <c r="H168" s="65">
        <f>IFERROR(IF('Informe Kelly'!H161=$A$2,'Informe Kelly'!F161,""),0)</f>
        <v>0.99206018518518524</v>
      </c>
      <c r="I168" s="65" t="str">
        <f>IFERROR(IF('Informe Kelly'!H161=$A$3,'Informe Kelly'!F161,""),0)</f>
        <v/>
      </c>
      <c r="J168" s="65" t="str">
        <f>IF(IFERROR(IF(E168=E167,0,(HLOOKUP(D168,Ingreso!$AN$10:$AT$260,VLOOKUP(A168,Ingreso!$AL$11:$AM$260,2,FALSE)))/24),0)=0,"",IFERROR(IF(E168=E167,0,(HLOOKUP(D168,Ingreso!$AN$10:$AT$260,VLOOKUP(A168,Ingreso!$AL$11:$AM$260,2,FALSE)))/24),0))</f>
        <v/>
      </c>
      <c r="K168" s="65" t="str">
        <f>IF(IFERROR(IF(E168=E167,0,(HLOOKUP(C168,Ingreso!$AW$10:$BC$260,VLOOKUP(A168,Ingreso!$AL$11:$AM$260,2,FALSE)))/24),0)=0,"",IFERROR(IF(E168=E167,0,(HLOOKUP(C168,Ingreso!$AW$10:$BC$260,VLOOKUP(A168,Ingreso!$AL$11:$AM$260,2,FALSE)))/24),0))</f>
        <v/>
      </c>
      <c r="L168" s="63">
        <f t="shared" si="4"/>
        <v>0.3125</v>
      </c>
      <c r="M168" s="63" t="str">
        <f>IF(IFERROR(IF(C168=C166,0,IF(E168=E167,0,IF(C168=$R$2,HLOOKUP($R$2,Ingreso!$AW$10:$BC$260,VLOOKUP(A168,Ingreso!AL:AM,2,FALSE),FALSE)/24,""))),"")=0,"",IFERROR(IF(C168=C166,0,IF(E168=E167,0,IF(C168=$R$2,HLOOKUP($R$2,Ingreso!$AW$10:$BC$260,VLOOKUP(A168,Ingreso!AL:AM,2,FALSE),FALSE)/24,""))),""))</f>
        <v/>
      </c>
      <c r="N168" s="95" t="str">
        <f>IF(IFERROR(IF(C168=C166,0,IF(E168=E167,0,IF(C168=$R$3,HLOOKUP($R$3,Ingreso!$AW$10:$BC$260,VLOOKUP(A168,Ingreso!AL:AM,2,FALSE),FALSE)/24,""))),"")=0,"",IFERROR(IF(C168=C166,0,IF(E168=E167,0,IF(C168=$R$3,HLOOKUP($R$3,Ingreso!$AW$10:$BC$260,VLOOKUP(A168,Ingreso!AL:AM,2,FALSE),FALSE)/24,""))),""))</f>
        <v/>
      </c>
      <c r="O168" s="95" t="str">
        <f>IF(IFERROR(IF(C168=C166,0,IF(E168=E167,0,IF(C168=$R$4,HLOOKUP($R$4,Ingreso!$AW$10:$BC$260,VLOOKUP(A168,Ingreso!AL:AM,2,FALSE),FALSE)/24,""))),"")=0,"",IFERROR(IF(C168=C166,0,IF(E168=E167,0,IF(C168=$R$4,HLOOKUP($R$4,Ingreso!$AW$10:$BC$260,VLOOKUP(A168,Ingreso!AL:AM,2,FALSE),FALSE)/24,""))),""))</f>
        <v/>
      </c>
      <c r="P168" s="90"/>
      <c r="T168" t="s">
        <v>1426</v>
      </c>
      <c r="U168" t="s">
        <v>1324</v>
      </c>
      <c r="V168" t="s">
        <v>1401</v>
      </c>
      <c r="W168" s="82">
        <v>187</v>
      </c>
      <c r="X168" s="71">
        <v>0.375</v>
      </c>
      <c r="Y168" s="101">
        <v>0.92009259259259257</v>
      </c>
      <c r="Z168" s="101">
        <v>0.32622685185185185</v>
      </c>
      <c r="AA168" s="101">
        <v>0.40613425925925928</v>
      </c>
      <c r="AB168" s="101">
        <v>3.1134259259259278E-2</v>
      </c>
      <c r="AC168" s="105">
        <v>0</v>
      </c>
      <c r="AD168" s="105">
        <v>0</v>
      </c>
      <c r="AE168" s="93">
        <v>0</v>
      </c>
      <c r="AF168" s="93">
        <v>0</v>
      </c>
      <c r="AG168" s="93">
        <v>0</v>
      </c>
    </row>
    <row r="169" spans="1:33">
      <c r="A169" s="65" t="str">
        <f>IFERROR(VLOOKUP('Informe Kelly'!A162,Base!A:B,2,FALSE),"")</f>
        <v>08.283.277-7</v>
      </c>
      <c r="B169" s="65" t="str">
        <f>IFERROR(VLOOKUP('Informe Kelly'!A162,Base!A:G,7,FALSE),"")</f>
        <v>ARANCIBIA VILLAROEL LEONALDO ALFREDO</v>
      </c>
      <c r="C169" s="69" t="str">
        <f>IF(G169=$C$4,IF('Informe Kelly'!H162='Control informe Kelly'!$A$2,TEXT(((LEFT('Informe Kelly'!E162,2)*1)+1),"dd")&amp;"."&amp;MID('Informe Kelly'!E162,4,2)&amp;"."&amp;RIGHT('Informe Kelly'!E162,4),'Informe Kelly'!E162),'Informe Kelly'!E162)</f>
        <v>11.04.2011</v>
      </c>
      <c r="D169" s="69" t="str">
        <f>IF('Informe Kelly'!E162="","",'Informe Kelly'!E162)</f>
        <v>11.04.2011</v>
      </c>
      <c r="E169" s="72">
        <f t="shared" si="5"/>
        <v>84</v>
      </c>
      <c r="F169" s="72" t="str">
        <f>IFERROR(HLOOKUP(C169,Ingreso!$Q$8:$AD$9,2,FALSE),"v")</f>
        <v>Lunes</v>
      </c>
      <c r="G169" s="65" t="str">
        <f>IFERROR(VLOOKUP(A169,Ingreso!K:P,6,FALSE),"no esta ingresado")</f>
        <v>Turno A</v>
      </c>
      <c r="H169" s="65" t="str">
        <f>IFERROR(IF('Informe Kelly'!H162=$A$2,'Informe Kelly'!F162,""),0)</f>
        <v/>
      </c>
      <c r="I169" s="65">
        <f>IFERROR(IF('Informe Kelly'!H162=$A$3,'Informe Kelly'!F162,""),0)</f>
        <v>0.63289351851851849</v>
      </c>
      <c r="J169" s="65" t="str">
        <f>IF(IFERROR(IF(E169=E168,0,(HLOOKUP(D169,Ingreso!$AN$10:$AT$260,VLOOKUP(A169,Ingreso!$AL$11:$AM$260,2,FALSE)))/24),0)=0,"",IFERROR(IF(E169=E168,0,(HLOOKUP(D169,Ingreso!$AN$10:$AT$260,VLOOKUP(A169,Ingreso!$AL$11:$AM$260,2,FALSE)))/24),0))</f>
        <v/>
      </c>
      <c r="K169" s="65" t="str">
        <f>IF(IFERROR(IF(E169=E168,0,(HLOOKUP(C169,Ingreso!$AW$10:$BC$260,VLOOKUP(A169,Ingreso!$AL$11:$AM$260,2,FALSE)))/24),0)=0,"",IFERROR(IF(E169=E168,0,(HLOOKUP(C169,Ingreso!$AW$10:$BC$260,VLOOKUP(A169,Ingreso!$AL$11:$AM$260,2,FALSE)))/24),0))</f>
        <v/>
      </c>
      <c r="L169" s="63">
        <f t="shared" si="4"/>
        <v>0.3125</v>
      </c>
      <c r="M169" s="63" t="str">
        <f>IF(IFERROR(IF(C169=C167,0,IF(E169=E168,0,IF(C169=$R$2,HLOOKUP($R$2,Ingreso!$AW$10:$BC$260,VLOOKUP(A169,Ingreso!AL:AM,2,FALSE),FALSE)/24,""))),"")=0,"",IFERROR(IF(C169=C167,0,IF(E169=E168,0,IF(C169=$R$2,HLOOKUP($R$2,Ingreso!$AW$10:$BC$260,VLOOKUP(A169,Ingreso!AL:AM,2,FALSE),FALSE)/24,""))),""))</f>
        <v/>
      </c>
      <c r="N169" s="95" t="str">
        <f>IF(IFERROR(IF(C169=C167,0,IF(E169=E168,0,IF(C169=$R$3,HLOOKUP($R$3,Ingreso!$AW$10:$BC$260,VLOOKUP(A169,Ingreso!AL:AM,2,FALSE),FALSE)/24,""))),"")=0,"",IFERROR(IF(C169=C167,0,IF(E169=E168,0,IF(C169=$R$3,HLOOKUP($R$3,Ingreso!$AW$10:$BC$260,VLOOKUP(A169,Ingreso!AL:AM,2,FALSE),FALSE)/24,""))),""))</f>
        <v/>
      </c>
      <c r="O169" s="95" t="str">
        <f>IF(IFERROR(IF(C169=C167,0,IF(E169=E168,0,IF(C169=$R$4,HLOOKUP($R$4,Ingreso!$AW$10:$BC$260,VLOOKUP(A169,Ingreso!AL:AM,2,FALSE),FALSE)/24,""))),"")=0,"",IFERROR(IF(C169=C167,0,IF(E169=E168,0,IF(C169=$R$4,HLOOKUP($R$4,Ingreso!$AW$10:$BC$260,VLOOKUP(A169,Ingreso!AL:AM,2,FALSE),FALSE)/24,""))),""))</f>
        <v/>
      </c>
      <c r="P169" s="90"/>
      <c r="T169" t="s">
        <v>1427</v>
      </c>
      <c r="U169" t="s">
        <v>1324</v>
      </c>
      <c r="V169" t="s">
        <v>1402</v>
      </c>
      <c r="W169" s="82">
        <v>188</v>
      </c>
      <c r="X169" s="71">
        <v>0.375</v>
      </c>
      <c r="Y169" s="101">
        <v>0.9200694444444445</v>
      </c>
      <c r="Z169" s="101">
        <v>0.32681712962962961</v>
      </c>
      <c r="AA169" s="101">
        <v>0.40674768518518511</v>
      </c>
      <c r="AB169" s="101">
        <v>3.1747685185185115E-2</v>
      </c>
      <c r="AC169" s="105">
        <v>0</v>
      </c>
      <c r="AD169" s="105">
        <v>0</v>
      </c>
      <c r="AE169" s="93">
        <v>0</v>
      </c>
      <c r="AF169" s="93">
        <v>0</v>
      </c>
      <c r="AG169" s="93">
        <v>0</v>
      </c>
    </row>
    <row r="170" spans="1:33">
      <c r="A170" s="65" t="str">
        <f>IFERROR(VLOOKUP('Informe Kelly'!A163,Base!A:B,2,FALSE),"")</f>
        <v>08.283.277-7</v>
      </c>
      <c r="B170" s="65" t="str">
        <f>IFERROR(VLOOKUP('Informe Kelly'!A163,Base!A:G,7,FALSE),"")</f>
        <v>ARANCIBIA VILLAROEL LEONALDO ALFREDO</v>
      </c>
      <c r="C170" s="69" t="str">
        <f>IF(G170=$C$4,IF('Informe Kelly'!H163='Control informe Kelly'!$A$2,TEXT(((LEFT('Informe Kelly'!E163,2)*1)+1),"dd")&amp;"."&amp;MID('Informe Kelly'!E163,4,2)&amp;"."&amp;RIGHT('Informe Kelly'!E163,4),'Informe Kelly'!E163),'Informe Kelly'!E163)</f>
        <v>11.04.2011</v>
      </c>
      <c r="D170" s="69" t="str">
        <f>IF('Informe Kelly'!E163="","",'Informe Kelly'!E163)</f>
        <v>11.04.2011</v>
      </c>
      <c r="E170" s="72">
        <f t="shared" si="5"/>
        <v>84</v>
      </c>
      <c r="F170" s="72" t="str">
        <f>IFERROR(HLOOKUP(C170,Ingreso!$Q$8:$AD$9,2,FALSE),"v")</f>
        <v>Lunes</v>
      </c>
      <c r="G170" s="65" t="str">
        <f>IFERROR(VLOOKUP(A170,Ingreso!K:P,6,FALSE),"no esta ingresado")</f>
        <v>Turno A</v>
      </c>
      <c r="H170" s="65">
        <f>IFERROR(IF('Informe Kelly'!H163=$A$2,'Informe Kelly'!F163,""),0)</f>
        <v>0.29282407407407407</v>
      </c>
      <c r="I170" s="65" t="str">
        <f>IFERROR(IF('Informe Kelly'!H163=$A$3,'Informe Kelly'!F163,""),0)</f>
        <v/>
      </c>
      <c r="J170" s="65" t="str">
        <f>IF(IFERROR(IF(E170=E169,0,(HLOOKUP(D170,Ingreso!$AN$10:$AT$260,VLOOKUP(A170,Ingreso!$AL$11:$AM$260,2,FALSE)))/24),0)=0,"",IFERROR(IF(E170=E169,0,(HLOOKUP(D170,Ingreso!$AN$10:$AT$260,VLOOKUP(A170,Ingreso!$AL$11:$AM$260,2,FALSE)))/24),0))</f>
        <v/>
      </c>
      <c r="K170" s="65" t="str">
        <f>IF(IFERROR(IF(E170=E169,0,(HLOOKUP(C170,Ingreso!$AW$10:$BC$260,VLOOKUP(A170,Ingreso!$AL$11:$AM$260,2,FALSE)))/24),0)=0,"",IFERROR(IF(E170=E169,0,(HLOOKUP(C170,Ingreso!$AW$10:$BC$260,VLOOKUP(A170,Ingreso!$AL$11:$AM$260,2,FALSE)))/24),0))</f>
        <v/>
      </c>
      <c r="L170" s="63">
        <f t="shared" si="4"/>
        <v>0</v>
      </c>
      <c r="M170" s="63" t="str">
        <f>IF(IFERROR(IF(C170=C168,0,IF(E170=E169,0,IF(C170=$R$2,HLOOKUP($R$2,Ingreso!$AW$10:$BC$260,VLOOKUP(A170,Ingreso!AL:AM,2,FALSE),FALSE)/24,""))),"")=0,"",IFERROR(IF(C170=C168,0,IF(E170=E169,0,IF(C170=$R$2,HLOOKUP($R$2,Ingreso!$AW$10:$BC$260,VLOOKUP(A170,Ingreso!AL:AM,2,FALSE),FALSE)/24,""))),""))</f>
        <v/>
      </c>
      <c r="N170" s="95" t="str">
        <f>IF(IFERROR(IF(C170=C168,0,IF(E170=E169,0,IF(C170=$R$3,HLOOKUP($R$3,Ingreso!$AW$10:$BC$260,VLOOKUP(A170,Ingreso!AL:AM,2,FALSE),FALSE)/24,""))),"")=0,"",IFERROR(IF(C170=C168,0,IF(E170=E169,0,IF(C170=$R$3,HLOOKUP($R$3,Ingreso!$AW$10:$BC$260,VLOOKUP(A170,Ingreso!AL:AM,2,FALSE),FALSE)/24,""))),""))</f>
        <v/>
      </c>
      <c r="O170" s="95" t="str">
        <f>IF(IFERROR(IF(C170=C168,0,IF(E170=E169,0,IF(C170=$R$4,HLOOKUP($R$4,Ingreso!$AW$10:$BC$260,VLOOKUP(A170,Ingreso!AL:AM,2,FALSE),FALSE)/24,""))),"")=0,"",IFERROR(IF(C170=C168,0,IF(E170=E169,0,IF(C170=$R$4,HLOOKUP($R$4,Ingreso!$AW$10:$BC$260,VLOOKUP(A170,Ingreso!AL:AM,2,FALSE),FALSE)/24,""))),""))</f>
        <v/>
      </c>
      <c r="P170" s="90"/>
      <c r="R170" t="s">
        <v>628</v>
      </c>
      <c r="S170" t="s">
        <v>632</v>
      </c>
      <c r="T170" t="s">
        <v>1423</v>
      </c>
      <c r="U170" t="s">
        <v>1324</v>
      </c>
      <c r="V170" t="s">
        <v>1398</v>
      </c>
      <c r="W170" s="82">
        <v>195</v>
      </c>
      <c r="X170" s="71">
        <v>0.375</v>
      </c>
      <c r="Y170" s="101">
        <v>0.91611111111111121</v>
      </c>
      <c r="Z170" s="101">
        <v>0.31640046296296293</v>
      </c>
      <c r="AA170" s="101">
        <v>0.40028935185185166</v>
      </c>
      <c r="AB170" s="101">
        <v>2.528935185185166E-2</v>
      </c>
      <c r="AC170" s="105">
        <v>0</v>
      </c>
      <c r="AD170" s="105">
        <v>0</v>
      </c>
      <c r="AE170" s="93">
        <v>0</v>
      </c>
      <c r="AF170" s="93">
        <v>0</v>
      </c>
      <c r="AG170" s="93">
        <v>0</v>
      </c>
    </row>
    <row r="171" spans="1:33">
      <c r="A171" s="65" t="str">
        <f>IFERROR(VLOOKUP('Informe Kelly'!A164,Base!A:B,2,FALSE),"")</f>
        <v>08.283.277-7</v>
      </c>
      <c r="B171" s="65" t="str">
        <f>IFERROR(VLOOKUP('Informe Kelly'!A164,Base!A:G,7,FALSE),"")</f>
        <v>ARANCIBIA VILLAROEL LEONALDO ALFREDO</v>
      </c>
      <c r="C171" s="69" t="str">
        <f>IF(G171=$C$4,IF('Informe Kelly'!H164='Control informe Kelly'!$A$2,TEXT(((LEFT('Informe Kelly'!E164,2)*1)+1),"dd")&amp;"."&amp;MID('Informe Kelly'!E164,4,2)&amp;"."&amp;RIGHT('Informe Kelly'!E164,4),'Informe Kelly'!E164),'Informe Kelly'!E164)</f>
        <v>12.04.2011</v>
      </c>
      <c r="D171" s="69" t="str">
        <f>IF('Informe Kelly'!E164="","",'Informe Kelly'!E164)</f>
        <v>12.04.2011</v>
      </c>
      <c r="E171" s="72">
        <f t="shared" si="5"/>
        <v>85</v>
      </c>
      <c r="F171" s="72" t="str">
        <f>IFERROR(HLOOKUP(C171,Ingreso!$Q$8:$AD$9,2,FALSE),"v")</f>
        <v>Martes</v>
      </c>
      <c r="G171" s="65" t="str">
        <f>IFERROR(VLOOKUP(A171,Ingreso!K:P,6,FALSE),"no esta ingresado")</f>
        <v>Turno A</v>
      </c>
      <c r="H171" s="65" t="str">
        <f>IFERROR(IF('Informe Kelly'!H164=$A$2,'Informe Kelly'!F164,""),0)</f>
        <v/>
      </c>
      <c r="I171" s="65">
        <f>IFERROR(IF('Informe Kelly'!H164=$A$3,'Informe Kelly'!F164,""),0)</f>
        <v>0.72296296296296303</v>
      </c>
      <c r="J171" s="65">
        <f>IF(IFERROR(IF(E171=E170,0,(HLOOKUP(D171,Ingreso!$AN$10:$AT$260,VLOOKUP(A171,Ingreso!$AL$11:$AM$260,2,FALSE)))/24),0)=0,"",IFERROR(IF(E171=E170,0,(HLOOKUP(D171,Ingreso!$AN$10:$AT$260,VLOOKUP(A171,Ingreso!$AL$11:$AM$260,2,FALSE)))/24),0))</f>
        <v>8.3333333333333329E-2</v>
      </c>
      <c r="K171" s="65" t="str">
        <f>IF(IFERROR(IF(E171=E170,0,(HLOOKUP(C171,Ingreso!$AW$10:$BC$260,VLOOKUP(A171,Ingreso!$AL$11:$AM$260,2,FALSE)))/24),0)=0,"",IFERROR(IF(E171=E170,0,(HLOOKUP(C171,Ingreso!$AW$10:$BC$260,VLOOKUP(A171,Ingreso!$AL$11:$AM$260,2,FALSE)))/24),0))</f>
        <v/>
      </c>
      <c r="L171" s="63">
        <f t="shared" si="4"/>
        <v>0.3125</v>
      </c>
      <c r="M171" s="63" t="str">
        <f>IF(IFERROR(IF(C171=C169,0,IF(E171=E170,0,IF(C171=$R$2,HLOOKUP($R$2,Ingreso!$AW$10:$BC$260,VLOOKUP(A171,Ingreso!AL:AM,2,FALSE),FALSE)/24,""))),"")=0,"",IFERROR(IF(C171=C169,0,IF(E171=E170,0,IF(C171=$R$2,HLOOKUP($R$2,Ingreso!$AW$10:$BC$260,VLOOKUP(A171,Ingreso!AL:AM,2,FALSE),FALSE)/24,""))),""))</f>
        <v/>
      </c>
      <c r="N171" s="95" t="str">
        <f>IF(IFERROR(IF(C171=C169,0,IF(E171=E170,0,IF(C171=$R$3,HLOOKUP($R$3,Ingreso!$AW$10:$BC$260,VLOOKUP(A171,Ingreso!AL:AM,2,FALSE),FALSE)/24,""))),"")=0,"",IFERROR(IF(C171=C169,0,IF(E171=E170,0,IF(C171=$R$3,HLOOKUP($R$3,Ingreso!$AW$10:$BC$260,VLOOKUP(A171,Ingreso!AL:AM,2,FALSE),FALSE)/24,""))),""))</f>
        <v/>
      </c>
      <c r="O171" s="95" t="str">
        <f>IF(IFERROR(IF(C171=C169,0,IF(E171=E170,0,IF(C171=$R$4,HLOOKUP($R$4,Ingreso!$AW$10:$BC$260,VLOOKUP(A171,Ingreso!AL:AM,2,FALSE),FALSE)/24,""))),"")=0,"",IFERROR(IF(C171=C169,0,IF(E171=E170,0,IF(C171=$R$4,HLOOKUP($R$4,Ingreso!$AW$10:$BC$260,VLOOKUP(A171,Ingreso!AL:AM,2,FALSE),FALSE)/24,""))),""))</f>
        <v/>
      </c>
      <c r="P171" s="90"/>
      <c r="T171" t="s">
        <v>1424</v>
      </c>
      <c r="U171" t="s">
        <v>1324</v>
      </c>
      <c r="V171" t="s">
        <v>1399</v>
      </c>
      <c r="W171" s="82">
        <v>196</v>
      </c>
      <c r="X171" s="71">
        <v>0.375</v>
      </c>
      <c r="Y171" s="101">
        <v>0.91314814814814815</v>
      </c>
      <c r="Z171" s="101">
        <v>0.31687500000000002</v>
      </c>
      <c r="AA171" s="101">
        <v>0.40372685185185186</v>
      </c>
      <c r="AB171" s="101">
        <v>2.8726851851851865E-2</v>
      </c>
      <c r="AC171" s="105">
        <v>0</v>
      </c>
      <c r="AD171" s="105">
        <v>0</v>
      </c>
      <c r="AE171" s="93">
        <v>0</v>
      </c>
      <c r="AF171" s="93">
        <v>0</v>
      </c>
      <c r="AG171" s="93">
        <v>0</v>
      </c>
    </row>
    <row r="172" spans="1:33">
      <c r="A172" s="65" t="str">
        <f>IFERROR(VLOOKUP('Informe Kelly'!A165,Base!A:B,2,FALSE),"")</f>
        <v>08.283.277-7</v>
      </c>
      <c r="B172" s="65" t="str">
        <f>IFERROR(VLOOKUP('Informe Kelly'!A165,Base!A:G,7,FALSE),"")</f>
        <v>ARANCIBIA VILLAROEL LEONALDO ALFREDO</v>
      </c>
      <c r="C172" s="69" t="str">
        <f>IF(G172=$C$4,IF('Informe Kelly'!H165='Control informe Kelly'!$A$2,TEXT(((LEFT('Informe Kelly'!E165,2)*1)+1),"dd")&amp;"."&amp;MID('Informe Kelly'!E165,4,2)&amp;"."&amp;RIGHT('Informe Kelly'!E165,4),'Informe Kelly'!E165),'Informe Kelly'!E165)</f>
        <v>12.04.2011</v>
      </c>
      <c r="D172" s="69" t="str">
        <f>IF('Informe Kelly'!E165="","",'Informe Kelly'!E165)</f>
        <v>12.04.2011</v>
      </c>
      <c r="E172" s="72">
        <f t="shared" si="5"/>
        <v>85</v>
      </c>
      <c r="F172" s="72" t="str">
        <f>IFERROR(HLOOKUP(C172,Ingreso!$Q$8:$AD$9,2,FALSE),"v")</f>
        <v>Martes</v>
      </c>
      <c r="G172" s="65" t="str">
        <f>IFERROR(VLOOKUP(A172,Ingreso!K:P,6,FALSE),"no esta ingresado")</f>
        <v>Turno A</v>
      </c>
      <c r="H172" s="65">
        <f>IFERROR(IF('Informe Kelly'!H165=$A$2,'Informe Kelly'!F165,""),0)</f>
        <v>0.29243055555555558</v>
      </c>
      <c r="I172" s="65" t="str">
        <f>IFERROR(IF('Informe Kelly'!H165=$A$3,'Informe Kelly'!F165,""),0)</f>
        <v/>
      </c>
      <c r="J172" s="65" t="str">
        <f>IF(IFERROR(IF(E172=E171,0,(HLOOKUP(D172,Ingreso!$AN$10:$AT$260,VLOOKUP(A172,Ingreso!$AL$11:$AM$260,2,FALSE)))/24),0)=0,"",IFERROR(IF(E172=E171,0,(HLOOKUP(D172,Ingreso!$AN$10:$AT$260,VLOOKUP(A172,Ingreso!$AL$11:$AM$260,2,FALSE)))/24),0))</f>
        <v/>
      </c>
      <c r="K172" s="65" t="str">
        <f>IF(IFERROR(IF(E172=E171,0,(HLOOKUP(C172,Ingreso!$AW$10:$BC$260,VLOOKUP(A172,Ingreso!$AL$11:$AM$260,2,FALSE)))/24),0)=0,"",IFERROR(IF(E172=E171,0,(HLOOKUP(C172,Ingreso!$AW$10:$BC$260,VLOOKUP(A172,Ingreso!$AL$11:$AM$260,2,FALSE)))/24),0))</f>
        <v/>
      </c>
      <c r="L172" s="63">
        <f t="shared" si="4"/>
        <v>0</v>
      </c>
      <c r="M172" s="63" t="str">
        <f>IF(IFERROR(IF(C172=C170,0,IF(E172=E171,0,IF(C172=$R$2,HLOOKUP($R$2,Ingreso!$AW$10:$BC$260,VLOOKUP(A172,Ingreso!AL:AM,2,FALSE),FALSE)/24,""))),"")=0,"",IFERROR(IF(C172=C170,0,IF(E172=E171,0,IF(C172=$R$2,HLOOKUP($R$2,Ingreso!$AW$10:$BC$260,VLOOKUP(A172,Ingreso!AL:AM,2,FALSE),FALSE)/24,""))),""))</f>
        <v/>
      </c>
      <c r="N172" s="95" t="str">
        <f>IF(IFERROR(IF(C172=C170,0,IF(E172=E171,0,IF(C172=$R$3,HLOOKUP($R$3,Ingreso!$AW$10:$BC$260,VLOOKUP(A172,Ingreso!AL:AM,2,FALSE),FALSE)/24,""))),"")=0,"",IFERROR(IF(C172=C170,0,IF(E172=E171,0,IF(C172=$R$3,HLOOKUP($R$3,Ingreso!$AW$10:$BC$260,VLOOKUP(A172,Ingreso!AL:AM,2,FALSE),FALSE)/24,""))),""))</f>
        <v/>
      </c>
      <c r="O172" s="95" t="str">
        <f>IF(IFERROR(IF(C172=C170,0,IF(E172=E171,0,IF(C172=$R$4,HLOOKUP($R$4,Ingreso!$AW$10:$BC$260,VLOOKUP(A172,Ingreso!AL:AM,2,FALSE),FALSE)/24,""))),"")=0,"",IFERROR(IF(C172=C170,0,IF(E172=E171,0,IF(C172=$R$4,HLOOKUP($R$4,Ingreso!$AW$10:$BC$260,VLOOKUP(A172,Ingreso!AL:AM,2,FALSE),FALSE)/24,""))),""))</f>
        <v/>
      </c>
      <c r="P172" s="90"/>
      <c r="T172" t="s">
        <v>1425</v>
      </c>
      <c r="U172" t="s">
        <v>1324</v>
      </c>
      <c r="V172" t="s">
        <v>1400</v>
      </c>
      <c r="W172" s="82">
        <v>197</v>
      </c>
      <c r="X172" s="71">
        <v>0.375</v>
      </c>
      <c r="Y172" s="101">
        <v>0.91276620370370365</v>
      </c>
      <c r="Z172" s="101">
        <v>0.32039351851851855</v>
      </c>
      <c r="AA172" s="101">
        <v>0.40762731481481485</v>
      </c>
      <c r="AB172" s="101">
        <v>3.2627314814814845E-2</v>
      </c>
      <c r="AC172" s="105">
        <v>0</v>
      </c>
      <c r="AD172" s="105">
        <v>0</v>
      </c>
      <c r="AE172" s="93">
        <v>0</v>
      </c>
      <c r="AF172" s="93">
        <v>0</v>
      </c>
      <c r="AG172" s="93">
        <v>0</v>
      </c>
    </row>
    <row r="173" spans="1:33" ht="12.75" customHeight="1">
      <c r="A173" s="65" t="str">
        <f>IFERROR(VLOOKUP('Informe Kelly'!A166,Base!A:B,2,FALSE),"")</f>
        <v>08.283.277-7</v>
      </c>
      <c r="B173" s="65" t="str">
        <f>IFERROR(VLOOKUP('Informe Kelly'!A166,Base!A:G,7,FALSE),"")</f>
        <v>ARANCIBIA VILLAROEL LEONALDO ALFREDO</v>
      </c>
      <c r="C173" s="69" t="str">
        <f>IF(G173=$C$4,IF('Informe Kelly'!H166='Control informe Kelly'!$A$2,TEXT(((LEFT('Informe Kelly'!E166,2)*1)+1),"dd")&amp;"."&amp;MID('Informe Kelly'!E166,4,2)&amp;"."&amp;RIGHT('Informe Kelly'!E166,4),'Informe Kelly'!E166),'Informe Kelly'!E166)</f>
        <v>13.04.2011</v>
      </c>
      <c r="D173" s="69" t="str">
        <f>IF('Informe Kelly'!E166="","",'Informe Kelly'!E166)</f>
        <v>13.04.2011</v>
      </c>
      <c r="E173" s="72">
        <f t="shared" si="5"/>
        <v>86</v>
      </c>
      <c r="F173" s="72" t="str">
        <f>IFERROR(HLOOKUP(C173,Ingreso!$Q$8:$AD$9,2,FALSE),"v")</f>
        <v>Miércoles</v>
      </c>
      <c r="G173" s="65" t="str">
        <f>IFERROR(VLOOKUP(A173,Ingreso!K:P,6,FALSE),"no esta ingresado")</f>
        <v>Turno A</v>
      </c>
      <c r="H173" s="65" t="str">
        <f>IFERROR(IF('Informe Kelly'!H166=$A$2,'Informe Kelly'!F166,""),0)</f>
        <v/>
      </c>
      <c r="I173" s="65">
        <f>IFERROR(IF('Informe Kelly'!H166=$A$3,'Informe Kelly'!F166,""),0)</f>
        <v>0.73630787037037038</v>
      </c>
      <c r="J173" s="65">
        <f>IF(IFERROR(IF(E173=E172,0,(HLOOKUP(D173,Ingreso!$AN$10:$AT$260,VLOOKUP(A173,Ingreso!$AL$11:$AM$260,2,FALSE)))/24),0)=0,"",IFERROR(IF(E173=E172,0,(HLOOKUP(D173,Ingreso!$AN$10:$AT$260,VLOOKUP(A173,Ingreso!$AL$11:$AM$260,2,FALSE)))/24),0))</f>
        <v>8.3333333333333329E-2</v>
      </c>
      <c r="K173" s="65" t="str">
        <f>IF(IFERROR(IF(E173=E172,0,(HLOOKUP(C173,Ingreso!$AW$10:$BC$260,VLOOKUP(A173,Ingreso!$AL$11:$AM$260,2,FALSE)))/24),0)=0,"",IFERROR(IF(E173=E172,0,(HLOOKUP(C173,Ingreso!$AW$10:$BC$260,VLOOKUP(A173,Ingreso!$AL$11:$AM$260,2,FALSE)))/24),0))</f>
        <v/>
      </c>
      <c r="L173" s="63">
        <f t="shared" si="4"/>
        <v>0.3125</v>
      </c>
      <c r="M173" s="63" t="str">
        <f>IF(IFERROR(IF(C173=C171,0,IF(E173=E172,0,IF(C173=$R$2,HLOOKUP($R$2,Ingreso!$AW$10:$BC$260,VLOOKUP(A173,Ingreso!AL:AM,2,FALSE),FALSE)/24,""))),"")=0,"",IFERROR(IF(C173=C171,0,IF(E173=E172,0,IF(C173=$R$2,HLOOKUP($R$2,Ingreso!$AW$10:$BC$260,VLOOKUP(A173,Ingreso!AL:AM,2,FALSE),FALSE)/24,""))),""))</f>
        <v/>
      </c>
      <c r="N173" s="95" t="str">
        <f>IF(IFERROR(IF(C173=C171,0,IF(E173=E172,0,IF(C173=$R$3,HLOOKUP($R$3,Ingreso!$AW$10:$BC$260,VLOOKUP(A173,Ingreso!AL:AM,2,FALSE),FALSE)/24,""))),"")=0,"",IFERROR(IF(C173=C171,0,IF(E173=E172,0,IF(C173=$R$3,HLOOKUP($R$3,Ingreso!$AW$10:$BC$260,VLOOKUP(A173,Ingreso!AL:AM,2,FALSE),FALSE)/24,""))),""))</f>
        <v/>
      </c>
      <c r="O173" s="95" t="str">
        <f>IF(IFERROR(IF(C173=C171,0,IF(E173=E172,0,IF(C173=$R$4,HLOOKUP($R$4,Ingreso!$AW$10:$BC$260,VLOOKUP(A173,Ingreso!AL:AM,2,FALSE),FALSE)/24,""))),"")=0,"",IFERROR(IF(C173=C171,0,IF(E173=E172,0,IF(C173=$R$4,HLOOKUP($R$4,Ingreso!$AW$10:$BC$260,VLOOKUP(A173,Ingreso!AL:AM,2,FALSE),FALSE)/24,""))),""))</f>
        <v/>
      </c>
      <c r="P173" s="90"/>
      <c r="T173" t="s">
        <v>1426</v>
      </c>
      <c r="U173" t="s">
        <v>1324</v>
      </c>
      <c r="V173" t="s">
        <v>1401</v>
      </c>
      <c r="W173" s="82">
        <v>198</v>
      </c>
      <c r="X173" s="71">
        <v>0.375</v>
      </c>
      <c r="Y173" s="101">
        <v>0.91437500000000005</v>
      </c>
      <c r="Z173" s="101">
        <v>0.32021990740740741</v>
      </c>
      <c r="AA173" s="101">
        <v>0.40584490740740742</v>
      </c>
      <c r="AB173" s="101">
        <v>3.0844907407407418E-2</v>
      </c>
      <c r="AC173" s="105">
        <v>0</v>
      </c>
      <c r="AD173" s="105">
        <v>0</v>
      </c>
      <c r="AE173" s="93">
        <v>0</v>
      </c>
      <c r="AF173" s="93">
        <v>0</v>
      </c>
      <c r="AG173" s="93">
        <v>0</v>
      </c>
    </row>
    <row r="174" spans="1:33">
      <c r="A174" s="65" t="str">
        <f>IFERROR(VLOOKUP('Informe Kelly'!A167,Base!A:B,2,FALSE),"")</f>
        <v>08.283.277-7</v>
      </c>
      <c r="B174" s="65" t="str">
        <f>IFERROR(VLOOKUP('Informe Kelly'!A167,Base!A:G,7,FALSE),"")</f>
        <v>ARANCIBIA VILLAROEL LEONALDO ALFREDO</v>
      </c>
      <c r="C174" s="69" t="str">
        <f>IF(G174=$C$4,IF('Informe Kelly'!H167='Control informe Kelly'!$A$2,TEXT(((LEFT('Informe Kelly'!E167,2)*1)+1),"dd")&amp;"."&amp;MID('Informe Kelly'!E167,4,2)&amp;"."&amp;RIGHT('Informe Kelly'!E167,4),'Informe Kelly'!E167),'Informe Kelly'!E167)</f>
        <v>13.04.2011</v>
      </c>
      <c r="D174" s="69" t="str">
        <f>IF('Informe Kelly'!E167="","",'Informe Kelly'!E167)</f>
        <v>13.04.2011</v>
      </c>
      <c r="E174" s="72">
        <f t="shared" si="5"/>
        <v>86</v>
      </c>
      <c r="F174" s="72" t="str">
        <f>IFERROR(HLOOKUP(C174,Ingreso!$Q$8:$AD$9,2,FALSE),"v")</f>
        <v>Miércoles</v>
      </c>
      <c r="G174" s="65" t="str">
        <f>IFERROR(VLOOKUP(A174,Ingreso!K:P,6,FALSE),"no esta ingresado")</f>
        <v>Turno A</v>
      </c>
      <c r="H174" s="65">
        <f>IFERROR(IF('Informe Kelly'!H167=$A$2,'Informe Kelly'!F167,""),0)</f>
        <v>0.30400462962962965</v>
      </c>
      <c r="I174" s="65" t="str">
        <f>IFERROR(IF('Informe Kelly'!H167=$A$3,'Informe Kelly'!F167,""),0)</f>
        <v/>
      </c>
      <c r="J174" s="65" t="str">
        <f>IF(IFERROR(IF(E174=E173,0,(HLOOKUP(D174,Ingreso!$AN$10:$AT$260,VLOOKUP(A174,Ingreso!$AL$11:$AM$260,2,FALSE)))/24),0)=0,"",IFERROR(IF(E174=E173,0,(HLOOKUP(D174,Ingreso!$AN$10:$AT$260,VLOOKUP(A174,Ingreso!$AL$11:$AM$260,2,FALSE)))/24),0))</f>
        <v/>
      </c>
      <c r="K174" s="65" t="str">
        <f>IF(IFERROR(IF(E174=E173,0,(HLOOKUP(C174,Ingreso!$AW$10:$BC$260,VLOOKUP(A174,Ingreso!$AL$11:$AM$260,2,FALSE)))/24),0)=0,"",IFERROR(IF(E174=E173,0,(HLOOKUP(C174,Ingreso!$AW$10:$BC$260,VLOOKUP(A174,Ingreso!$AL$11:$AM$260,2,FALSE)))/24),0))</f>
        <v/>
      </c>
      <c r="L174" s="63">
        <f t="shared" si="4"/>
        <v>0</v>
      </c>
      <c r="M174" s="63" t="str">
        <f>IF(IFERROR(IF(C174=C172,0,IF(E174=E173,0,IF(C174=$R$2,HLOOKUP($R$2,Ingreso!$AW$10:$BC$260,VLOOKUP(A174,Ingreso!AL:AM,2,FALSE),FALSE)/24,""))),"")=0,"",IFERROR(IF(C174=C172,0,IF(E174=E173,0,IF(C174=$R$2,HLOOKUP($R$2,Ingreso!$AW$10:$BC$260,VLOOKUP(A174,Ingreso!AL:AM,2,FALSE),FALSE)/24,""))),""))</f>
        <v/>
      </c>
      <c r="N174" s="95" t="str">
        <f>IF(IFERROR(IF(C174=C172,0,IF(E174=E173,0,IF(C174=$R$3,HLOOKUP($R$3,Ingreso!$AW$10:$BC$260,VLOOKUP(A174,Ingreso!AL:AM,2,FALSE),FALSE)/24,""))),"")=0,"",IFERROR(IF(C174=C172,0,IF(E174=E173,0,IF(C174=$R$3,HLOOKUP($R$3,Ingreso!$AW$10:$BC$260,VLOOKUP(A174,Ingreso!AL:AM,2,FALSE),FALSE)/24,""))),""))</f>
        <v/>
      </c>
      <c r="O174" s="95" t="str">
        <f>IF(IFERROR(IF(C174=C172,0,IF(E174=E173,0,IF(C174=$R$4,HLOOKUP($R$4,Ingreso!$AW$10:$BC$260,VLOOKUP(A174,Ingreso!AL:AM,2,FALSE),FALSE)/24,""))),"")=0,"",IFERROR(IF(C174=C172,0,IF(E174=E173,0,IF(C174=$R$4,HLOOKUP($R$4,Ingreso!$AW$10:$BC$260,VLOOKUP(A174,Ingreso!AL:AM,2,FALSE),FALSE)/24,""))),""))</f>
        <v/>
      </c>
      <c r="P174" s="90"/>
      <c r="T174" t="s">
        <v>1427</v>
      </c>
      <c r="U174" t="s">
        <v>1324</v>
      </c>
      <c r="V174" t="s">
        <v>1402</v>
      </c>
      <c r="W174" s="82">
        <v>199</v>
      </c>
      <c r="X174" s="71">
        <v>0.375</v>
      </c>
      <c r="Y174" s="101">
        <v>0.91745370370370372</v>
      </c>
      <c r="Z174" s="101">
        <v>0.3205324074074074</v>
      </c>
      <c r="AA174" s="101">
        <v>0.40307870370370369</v>
      </c>
      <c r="AB174" s="101">
        <v>2.8078703703703689E-2</v>
      </c>
      <c r="AC174" s="105">
        <v>0</v>
      </c>
      <c r="AD174" s="105">
        <v>0</v>
      </c>
      <c r="AE174" s="93">
        <v>0</v>
      </c>
      <c r="AF174" s="93">
        <v>0</v>
      </c>
      <c r="AG174" s="93">
        <v>0</v>
      </c>
    </row>
    <row r="175" spans="1:33">
      <c r="A175" s="65" t="str">
        <f>IFERROR(VLOOKUP('Informe Kelly'!A168,Base!A:B,2,FALSE),"")</f>
        <v>08.283.277-7</v>
      </c>
      <c r="B175" s="65" t="str">
        <f>IFERROR(VLOOKUP('Informe Kelly'!A168,Base!A:G,7,FALSE),"")</f>
        <v>ARANCIBIA VILLAROEL LEONALDO ALFREDO</v>
      </c>
      <c r="C175" s="69" t="str">
        <f>IF(G175=$C$4,IF('Informe Kelly'!H168='Control informe Kelly'!$A$2,TEXT(((LEFT('Informe Kelly'!E168,2)*1)+1),"dd")&amp;"."&amp;MID('Informe Kelly'!E168,4,2)&amp;"."&amp;RIGHT('Informe Kelly'!E168,4),'Informe Kelly'!E168),'Informe Kelly'!E168)</f>
        <v>14.04.2011</v>
      </c>
      <c r="D175" s="69" t="str">
        <f>IF('Informe Kelly'!E168="","",'Informe Kelly'!E168)</f>
        <v>14.04.2011</v>
      </c>
      <c r="E175" s="72">
        <f t="shared" si="5"/>
        <v>87</v>
      </c>
      <c r="F175" s="72" t="str">
        <f>IFERROR(HLOOKUP(C175,Ingreso!$Q$8:$AD$9,2,FALSE),"v")</f>
        <v>Jueves</v>
      </c>
      <c r="G175" s="65" t="str">
        <f>IFERROR(VLOOKUP(A175,Ingreso!K:P,6,FALSE),"no esta ingresado")</f>
        <v>Turno A</v>
      </c>
      <c r="H175" s="65" t="str">
        <f>IFERROR(IF('Informe Kelly'!H168=$A$2,'Informe Kelly'!F168,""),0)</f>
        <v/>
      </c>
      <c r="I175" s="65">
        <f>IFERROR(IF('Informe Kelly'!H168=$A$3,'Informe Kelly'!F168,""),0)</f>
        <v>0.73649305555555555</v>
      </c>
      <c r="J175" s="65">
        <f>IF(IFERROR(IF(E175=E174,0,(HLOOKUP(D175,Ingreso!$AN$10:$AT$260,VLOOKUP(A175,Ingreso!$AL$11:$AM$260,2,FALSE)))/24),0)=0,"",IFERROR(IF(E175=E174,0,(HLOOKUP(D175,Ingreso!$AN$10:$AT$260,VLOOKUP(A175,Ingreso!$AL$11:$AM$260,2,FALSE)))/24),0))</f>
        <v>8.3333333333333329E-2</v>
      </c>
      <c r="K175" s="65" t="str">
        <f>IF(IFERROR(IF(E175=E174,0,(HLOOKUP(C175,Ingreso!$AW$10:$BC$260,VLOOKUP(A175,Ingreso!$AL$11:$AM$260,2,FALSE)))/24),0)=0,"",IFERROR(IF(E175=E174,0,(HLOOKUP(C175,Ingreso!$AW$10:$BC$260,VLOOKUP(A175,Ingreso!$AL$11:$AM$260,2,FALSE)))/24),0))</f>
        <v/>
      </c>
      <c r="L175" s="63">
        <f t="shared" si="4"/>
        <v>0.3125</v>
      </c>
      <c r="M175" s="63" t="str">
        <f>IF(IFERROR(IF(C175=C173,0,IF(E175=E174,0,IF(C175=$R$2,HLOOKUP($R$2,Ingreso!$AW$10:$BC$260,VLOOKUP(A175,Ingreso!AL:AM,2,FALSE),FALSE)/24,""))),"")=0,"",IFERROR(IF(C175=C173,0,IF(E175=E174,0,IF(C175=$R$2,HLOOKUP($R$2,Ingreso!$AW$10:$BC$260,VLOOKUP(A175,Ingreso!AL:AM,2,FALSE),FALSE)/24,""))),""))</f>
        <v/>
      </c>
      <c r="N175" s="95" t="str">
        <f>IF(IFERROR(IF(C175=C173,0,IF(E175=E174,0,IF(C175=$R$3,HLOOKUP($R$3,Ingreso!$AW$10:$BC$260,VLOOKUP(A175,Ingreso!AL:AM,2,FALSE),FALSE)/24,""))),"")=0,"",IFERROR(IF(C175=C173,0,IF(E175=E174,0,IF(C175=$R$3,HLOOKUP($R$3,Ingreso!$AW$10:$BC$260,VLOOKUP(A175,Ingreso!AL:AM,2,FALSE),FALSE)/24,""))),""))</f>
        <v/>
      </c>
      <c r="O175" s="95" t="str">
        <f>IF(IFERROR(IF(C175=C173,0,IF(E175=E174,0,IF(C175=$R$4,HLOOKUP($R$4,Ingreso!$AW$10:$BC$260,VLOOKUP(A175,Ingreso!AL:AM,2,FALSE),FALSE)/24,""))),"")=0,"",IFERROR(IF(C175=C173,0,IF(E175=E174,0,IF(C175=$R$4,HLOOKUP($R$4,Ingreso!$AW$10:$BC$260,VLOOKUP(A175,Ingreso!AL:AM,2,FALSE),FALSE)/24,""))),""))</f>
        <v/>
      </c>
      <c r="P175" s="90"/>
      <c r="R175" t="s">
        <v>1062</v>
      </c>
      <c r="S175" t="s">
        <v>1064</v>
      </c>
      <c r="T175" t="s">
        <v>1420</v>
      </c>
      <c r="U175" t="s">
        <v>1322</v>
      </c>
      <c r="V175" t="s">
        <v>1397</v>
      </c>
      <c r="W175" s="82">
        <v>200</v>
      </c>
      <c r="X175" s="71">
        <v>0.3125</v>
      </c>
      <c r="Y175" s="101">
        <v>0.60702546296296289</v>
      </c>
      <c r="Z175" s="101">
        <v>0.9518402777777778</v>
      </c>
      <c r="AA175" s="101">
        <v>0.34481481481481491</v>
      </c>
      <c r="AB175" s="101">
        <v>3.2314814814814907E-2</v>
      </c>
      <c r="AC175" s="105">
        <v>0</v>
      </c>
      <c r="AD175" s="105">
        <v>0</v>
      </c>
      <c r="AE175" s="93">
        <v>0</v>
      </c>
      <c r="AF175" s="93">
        <v>0</v>
      </c>
      <c r="AG175" s="93">
        <v>0</v>
      </c>
    </row>
    <row r="176" spans="1:33">
      <c r="A176" s="65" t="str">
        <f>IFERROR(VLOOKUP('Informe Kelly'!A169,Base!A:B,2,FALSE),"")</f>
        <v>08.283.277-7</v>
      </c>
      <c r="B176" s="65" t="str">
        <f>IFERROR(VLOOKUP('Informe Kelly'!A169,Base!A:G,7,FALSE),"")</f>
        <v>ARANCIBIA VILLAROEL LEONALDO ALFREDO</v>
      </c>
      <c r="C176" s="69" t="str">
        <f>IF(G176=$C$4,IF('Informe Kelly'!H169='Control informe Kelly'!$A$2,TEXT(((LEFT('Informe Kelly'!E169,2)*1)+1),"dd")&amp;"."&amp;MID('Informe Kelly'!E169,4,2)&amp;"."&amp;RIGHT('Informe Kelly'!E169,4),'Informe Kelly'!E169),'Informe Kelly'!E169)</f>
        <v>14.04.2011</v>
      </c>
      <c r="D176" s="69" t="str">
        <f>IF('Informe Kelly'!E169="","",'Informe Kelly'!E169)</f>
        <v>14.04.2011</v>
      </c>
      <c r="E176" s="72">
        <f t="shared" si="5"/>
        <v>87</v>
      </c>
      <c r="F176" s="72" t="str">
        <f>IFERROR(HLOOKUP(C176,Ingreso!$Q$8:$AD$9,2,FALSE),"v")</f>
        <v>Jueves</v>
      </c>
      <c r="G176" s="65" t="str">
        <f>IFERROR(VLOOKUP(A176,Ingreso!K:P,6,FALSE),"no esta ingresado")</f>
        <v>Turno A</v>
      </c>
      <c r="H176" s="65">
        <f>IFERROR(IF('Informe Kelly'!H169=$A$2,'Informe Kelly'!F169,""),0)</f>
        <v>0.30226851851851849</v>
      </c>
      <c r="I176" s="65" t="str">
        <f>IFERROR(IF('Informe Kelly'!H169=$A$3,'Informe Kelly'!F169,""),0)</f>
        <v/>
      </c>
      <c r="J176" s="65" t="str">
        <f>IF(IFERROR(IF(E176=E175,0,(HLOOKUP(D176,Ingreso!$AN$10:$AT$260,VLOOKUP(A176,Ingreso!$AL$11:$AM$260,2,FALSE)))/24),0)=0,"",IFERROR(IF(E176=E175,0,(HLOOKUP(D176,Ingreso!$AN$10:$AT$260,VLOOKUP(A176,Ingreso!$AL$11:$AM$260,2,FALSE)))/24),0))</f>
        <v/>
      </c>
      <c r="K176" s="65" t="str">
        <f>IF(IFERROR(IF(E176=E175,0,(HLOOKUP(C176,Ingreso!$AW$10:$BC$260,VLOOKUP(A176,Ingreso!$AL$11:$AM$260,2,FALSE)))/24),0)=0,"",IFERROR(IF(E176=E175,0,(HLOOKUP(C176,Ingreso!$AW$10:$BC$260,VLOOKUP(A176,Ingreso!$AL$11:$AM$260,2,FALSE)))/24),0))</f>
        <v/>
      </c>
      <c r="L176" s="63">
        <f t="shared" si="4"/>
        <v>0</v>
      </c>
      <c r="M176" s="63" t="str">
        <f>IF(IFERROR(IF(C176=C174,0,IF(E176=E175,0,IF(C176=$R$2,HLOOKUP($R$2,Ingreso!$AW$10:$BC$260,VLOOKUP(A176,Ingreso!AL:AM,2,FALSE),FALSE)/24,""))),"")=0,"",IFERROR(IF(C176=C174,0,IF(E176=E175,0,IF(C176=$R$2,HLOOKUP($R$2,Ingreso!$AW$10:$BC$260,VLOOKUP(A176,Ingreso!AL:AM,2,FALSE),FALSE)/24,""))),""))</f>
        <v/>
      </c>
      <c r="N176" s="95" t="str">
        <f>IF(IFERROR(IF(C176=C174,0,IF(E176=E175,0,IF(C176=$R$3,HLOOKUP($R$3,Ingreso!$AW$10:$BC$260,VLOOKUP(A176,Ingreso!AL:AM,2,FALSE),FALSE)/24,""))),"")=0,"",IFERROR(IF(C176=C174,0,IF(E176=E175,0,IF(C176=$R$3,HLOOKUP($R$3,Ingreso!$AW$10:$BC$260,VLOOKUP(A176,Ingreso!AL:AM,2,FALSE),FALSE)/24,""))),""))</f>
        <v/>
      </c>
      <c r="O176" s="95" t="str">
        <f>IF(IFERROR(IF(C176=C174,0,IF(E176=E175,0,IF(C176=$R$4,HLOOKUP($R$4,Ingreso!$AW$10:$BC$260,VLOOKUP(A176,Ingreso!AL:AM,2,FALSE),FALSE)/24,""))),"")=0,"",IFERROR(IF(C176=C174,0,IF(E176=E175,0,IF(C176=$R$4,HLOOKUP($R$4,Ingreso!$AW$10:$BC$260,VLOOKUP(A176,Ingreso!AL:AM,2,FALSE),FALSE)/24,""))),""))</f>
        <v/>
      </c>
      <c r="P176" s="90"/>
      <c r="T176" t="s">
        <v>1423</v>
      </c>
      <c r="U176" t="s">
        <v>1322</v>
      </c>
      <c r="V176" t="s">
        <v>1398</v>
      </c>
      <c r="W176" s="82">
        <v>201</v>
      </c>
      <c r="X176" s="71">
        <v>0.3125</v>
      </c>
      <c r="Y176" s="101">
        <v>0.6068634259259259</v>
      </c>
      <c r="Z176" s="101">
        <v>0.9483449074074074</v>
      </c>
      <c r="AA176" s="101">
        <v>0.3414814814814815</v>
      </c>
      <c r="AB176" s="101">
        <v>2.8981481481481497E-2</v>
      </c>
      <c r="AC176" s="105">
        <v>0</v>
      </c>
      <c r="AD176" s="105">
        <v>0</v>
      </c>
      <c r="AE176" s="93">
        <v>0</v>
      </c>
      <c r="AF176" s="93">
        <v>0</v>
      </c>
      <c r="AG176" s="93">
        <v>0</v>
      </c>
    </row>
    <row r="177" spans="1:33">
      <c r="A177" s="65" t="str">
        <f>IFERROR(VLOOKUP('Informe Kelly'!A170,Base!A:B,2,FALSE),"")</f>
        <v>08.283.277-7</v>
      </c>
      <c r="B177" s="65" t="str">
        <f>IFERROR(VLOOKUP('Informe Kelly'!A170,Base!A:G,7,FALSE),"")</f>
        <v>ARANCIBIA VILLAROEL LEONALDO ALFREDO</v>
      </c>
      <c r="C177" s="69" t="str">
        <f>IF(G177=$C$4,IF('Informe Kelly'!H170='Control informe Kelly'!$A$2,TEXT(((LEFT('Informe Kelly'!E170,2)*1)+1),"dd")&amp;"."&amp;MID('Informe Kelly'!E170,4,2)&amp;"."&amp;RIGHT('Informe Kelly'!E170,4),'Informe Kelly'!E170),'Informe Kelly'!E170)</f>
        <v>15.04.2011</v>
      </c>
      <c r="D177" s="69" t="str">
        <f>IF('Informe Kelly'!E170="","",'Informe Kelly'!E170)</f>
        <v>15.04.2011</v>
      </c>
      <c r="E177" s="72">
        <f t="shared" si="5"/>
        <v>88</v>
      </c>
      <c r="F177" s="72" t="str">
        <f>IFERROR(HLOOKUP(C177,Ingreso!$Q$8:$AD$9,2,FALSE),"v")</f>
        <v>Viernes</v>
      </c>
      <c r="G177" s="65" t="str">
        <f>IFERROR(VLOOKUP(A177,Ingreso!K:P,6,FALSE),"no esta ingresado")</f>
        <v>Turno A</v>
      </c>
      <c r="H177" s="65" t="str">
        <f>IFERROR(IF('Informe Kelly'!H170=$A$2,'Informe Kelly'!F170,""),0)</f>
        <v/>
      </c>
      <c r="I177" s="65">
        <f>IFERROR(IF('Informe Kelly'!H170=$A$3,'Informe Kelly'!F170,""),0)</f>
        <v>0.72584490740740737</v>
      </c>
      <c r="J177" s="65">
        <f>IF(IFERROR(IF(E177=E176,0,(HLOOKUP(D177,Ingreso!$AN$10:$AT$260,VLOOKUP(A177,Ingreso!$AL$11:$AM$260,2,FALSE)))/24),0)=0,"",IFERROR(IF(E177=E176,0,(HLOOKUP(D177,Ingreso!$AN$10:$AT$260,VLOOKUP(A177,Ingreso!$AL$11:$AM$260,2,FALSE)))/24),0))</f>
        <v>8.3333333333333329E-2</v>
      </c>
      <c r="K177" s="65" t="str">
        <f>IF(IFERROR(IF(E177=E176,0,(HLOOKUP(C177,Ingreso!$AW$10:$BC$260,VLOOKUP(A177,Ingreso!$AL$11:$AM$260,2,FALSE)))/24),0)=0,"",IFERROR(IF(E177=E176,0,(HLOOKUP(C177,Ingreso!$AW$10:$BC$260,VLOOKUP(A177,Ingreso!$AL$11:$AM$260,2,FALSE)))/24),0))</f>
        <v/>
      </c>
      <c r="L177" s="63">
        <f t="shared" si="4"/>
        <v>0.3125</v>
      </c>
      <c r="M177" s="63" t="str">
        <f>IF(IFERROR(IF(C177=C175,0,IF(E177=E176,0,IF(C177=$R$2,HLOOKUP($R$2,Ingreso!$AW$10:$BC$260,VLOOKUP(A177,Ingreso!AL:AM,2,FALSE),FALSE)/24,""))),"")=0,"",IFERROR(IF(C177=C175,0,IF(E177=E176,0,IF(C177=$R$2,HLOOKUP($R$2,Ingreso!$AW$10:$BC$260,VLOOKUP(A177,Ingreso!AL:AM,2,FALSE),FALSE)/24,""))),""))</f>
        <v/>
      </c>
      <c r="N177" s="95" t="str">
        <f>IF(IFERROR(IF(C177=C175,0,IF(E177=E176,0,IF(C177=$R$3,HLOOKUP($R$3,Ingreso!$AW$10:$BC$260,VLOOKUP(A177,Ingreso!AL:AM,2,FALSE),FALSE)/24,""))),"")=0,"",IFERROR(IF(C177=C175,0,IF(E177=E176,0,IF(C177=$R$3,HLOOKUP($R$3,Ingreso!$AW$10:$BC$260,VLOOKUP(A177,Ingreso!AL:AM,2,FALSE),FALSE)/24,""))),""))</f>
        <v/>
      </c>
      <c r="O177" s="95" t="str">
        <f>IF(IFERROR(IF(C177=C175,0,IF(E177=E176,0,IF(C177=$R$4,HLOOKUP($R$4,Ingreso!$AW$10:$BC$260,VLOOKUP(A177,Ingreso!AL:AM,2,FALSE),FALSE)/24,""))),"")=0,"",IFERROR(IF(C177=C175,0,IF(E177=E176,0,IF(C177=$R$4,HLOOKUP($R$4,Ingreso!$AW$10:$BC$260,VLOOKUP(A177,Ingreso!AL:AM,2,FALSE),FALSE)/24,""))),""))</f>
        <v/>
      </c>
      <c r="P177" s="90"/>
      <c r="T177" t="s">
        <v>1424</v>
      </c>
      <c r="U177" t="s">
        <v>1322</v>
      </c>
      <c r="V177" t="s">
        <v>1399</v>
      </c>
      <c r="W177" s="82">
        <v>202</v>
      </c>
      <c r="X177" s="71">
        <v>0.3125</v>
      </c>
      <c r="Y177" s="101">
        <v>0.60883101851851851</v>
      </c>
      <c r="Z177" s="101">
        <v>0.94733796296296291</v>
      </c>
      <c r="AA177" s="101">
        <v>0.3385069444444444</v>
      </c>
      <c r="AB177" s="101">
        <v>2.6006944444444402E-2</v>
      </c>
      <c r="AC177" s="105">
        <v>0</v>
      </c>
      <c r="AD177" s="105">
        <v>0</v>
      </c>
      <c r="AE177" s="93">
        <v>0</v>
      </c>
      <c r="AF177" s="93">
        <v>0</v>
      </c>
      <c r="AG177" s="93">
        <v>0</v>
      </c>
    </row>
    <row r="178" spans="1:33">
      <c r="A178" s="65" t="str">
        <f>IFERROR(VLOOKUP('Informe Kelly'!A171,Base!A:B,2,FALSE),"")</f>
        <v>08.283.277-7</v>
      </c>
      <c r="B178" s="65" t="str">
        <f>IFERROR(VLOOKUP('Informe Kelly'!A171,Base!A:G,7,FALSE),"")</f>
        <v>ARANCIBIA VILLAROEL LEONALDO ALFREDO</v>
      </c>
      <c r="C178" s="69" t="str">
        <f>IF(G178=$C$4,IF('Informe Kelly'!H171='Control informe Kelly'!$A$2,TEXT(((LEFT('Informe Kelly'!E171,2)*1)+1),"dd")&amp;"."&amp;MID('Informe Kelly'!E171,4,2)&amp;"."&amp;RIGHT('Informe Kelly'!E171,4),'Informe Kelly'!E171),'Informe Kelly'!E171)</f>
        <v>15.04.2011</v>
      </c>
      <c r="D178" s="69" t="str">
        <f>IF('Informe Kelly'!E171="","",'Informe Kelly'!E171)</f>
        <v>15.04.2011</v>
      </c>
      <c r="E178" s="72">
        <f t="shared" si="5"/>
        <v>88</v>
      </c>
      <c r="F178" s="72" t="str">
        <f>IFERROR(HLOOKUP(C178,Ingreso!$Q$8:$AD$9,2,FALSE),"v")</f>
        <v>Viernes</v>
      </c>
      <c r="G178" s="65" t="str">
        <f>IFERROR(VLOOKUP(A178,Ingreso!K:P,6,FALSE),"no esta ingresado")</f>
        <v>Turno A</v>
      </c>
      <c r="H178" s="65">
        <f>IFERROR(IF('Informe Kelly'!H171=$A$2,'Informe Kelly'!F171,""),0)</f>
        <v>0.29395833333333332</v>
      </c>
      <c r="I178" s="65" t="str">
        <f>IFERROR(IF('Informe Kelly'!H171=$A$3,'Informe Kelly'!F171,""),0)</f>
        <v/>
      </c>
      <c r="J178" s="65" t="str">
        <f>IF(IFERROR(IF(E178=E177,0,(HLOOKUP(D178,Ingreso!$AN$10:$AT$260,VLOOKUP(A178,Ingreso!$AL$11:$AM$260,2,FALSE)))/24),0)=0,"",IFERROR(IF(E178=E177,0,(HLOOKUP(D178,Ingreso!$AN$10:$AT$260,VLOOKUP(A178,Ingreso!$AL$11:$AM$260,2,FALSE)))/24),0))</f>
        <v/>
      </c>
      <c r="K178" s="65" t="str">
        <f>IF(IFERROR(IF(E178=E177,0,(HLOOKUP(C178,Ingreso!$AW$10:$BC$260,VLOOKUP(A178,Ingreso!$AL$11:$AM$260,2,FALSE)))/24),0)=0,"",IFERROR(IF(E178=E177,0,(HLOOKUP(C178,Ingreso!$AW$10:$BC$260,VLOOKUP(A178,Ingreso!$AL$11:$AM$260,2,FALSE)))/24),0))</f>
        <v/>
      </c>
      <c r="L178" s="63">
        <f t="shared" si="4"/>
        <v>0</v>
      </c>
      <c r="M178" s="63" t="str">
        <f>IF(IFERROR(IF(C178=C176,0,IF(E178=E177,0,IF(C178=$R$2,HLOOKUP($R$2,Ingreso!$AW$10:$BC$260,VLOOKUP(A178,Ingreso!AL:AM,2,FALSE),FALSE)/24,""))),"")=0,"",IFERROR(IF(C178=C176,0,IF(E178=E177,0,IF(C178=$R$2,HLOOKUP($R$2,Ingreso!$AW$10:$BC$260,VLOOKUP(A178,Ingreso!AL:AM,2,FALSE),FALSE)/24,""))),""))</f>
        <v/>
      </c>
      <c r="N178" s="95" t="str">
        <f>IF(IFERROR(IF(C178=C176,0,IF(E178=E177,0,IF(C178=$R$3,HLOOKUP($R$3,Ingreso!$AW$10:$BC$260,VLOOKUP(A178,Ingreso!AL:AM,2,FALSE),FALSE)/24,""))),"")=0,"",IFERROR(IF(C178=C176,0,IF(E178=E177,0,IF(C178=$R$3,HLOOKUP($R$3,Ingreso!$AW$10:$BC$260,VLOOKUP(A178,Ingreso!AL:AM,2,FALSE),FALSE)/24,""))),""))</f>
        <v/>
      </c>
      <c r="O178" s="95" t="str">
        <f>IF(IFERROR(IF(C178=C176,0,IF(E178=E177,0,IF(C178=$R$4,HLOOKUP($R$4,Ingreso!$AW$10:$BC$260,VLOOKUP(A178,Ingreso!AL:AM,2,FALSE),FALSE)/24,""))),"")=0,"",IFERROR(IF(C178=C176,0,IF(E178=E177,0,IF(C178=$R$4,HLOOKUP($R$4,Ingreso!$AW$10:$BC$260,VLOOKUP(A178,Ingreso!AL:AM,2,FALSE),FALSE)/24,""))),""))</f>
        <v/>
      </c>
      <c r="P178" s="90"/>
      <c r="T178" t="s">
        <v>1425</v>
      </c>
      <c r="U178" t="s">
        <v>1322</v>
      </c>
      <c r="V178" t="s">
        <v>1400</v>
      </c>
      <c r="W178" s="82">
        <v>203</v>
      </c>
      <c r="X178" s="71">
        <v>0.3125</v>
      </c>
      <c r="Y178" s="101">
        <v>0.60792824074074081</v>
      </c>
      <c r="Z178" s="101">
        <v>0.94734953703703706</v>
      </c>
      <c r="AA178" s="101">
        <v>0.33942129629629625</v>
      </c>
      <c r="AB178" s="101">
        <v>2.6921296296296249E-2</v>
      </c>
      <c r="AC178" s="105">
        <v>0</v>
      </c>
      <c r="AD178" s="105">
        <v>0</v>
      </c>
      <c r="AE178" s="93">
        <v>0</v>
      </c>
      <c r="AF178" s="93">
        <v>0</v>
      </c>
      <c r="AG178" s="93">
        <v>0</v>
      </c>
    </row>
    <row r="179" spans="1:33" ht="12.75" customHeight="1">
      <c r="A179" s="65" t="str">
        <f>IFERROR(VLOOKUP('Informe Kelly'!A172,Base!A:B,2,FALSE),"")</f>
        <v>08.283.277-7</v>
      </c>
      <c r="B179" s="65" t="str">
        <f>IFERROR(VLOOKUP('Informe Kelly'!A172,Base!A:G,7,FALSE),"")</f>
        <v>ARANCIBIA VILLAROEL LEONALDO ALFREDO</v>
      </c>
      <c r="C179" s="69" t="str">
        <f>IF(G179=$C$4,IF('Informe Kelly'!H172='Control informe Kelly'!$A$2,TEXT(((LEFT('Informe Kelly'!E172,2)*1)+1),"dd")&amp;"."&amp;MID('Informe Kelly'!E172,4,2)&amp;"."&amp;RIGHT('Informe Kelly'!E172,4),'Informe Kelly'!E172),'Informe Kelly'!E172)</f>
        <v>16.04.2011</v>
      </c>
      <c r="D179" s="69" t="str">
        <f>IF('Informe Kelly'!E172="","",'Informe Kelly'!E172)</f>
        <v>16.04.2011</v>
      </c>
      <c r="E179" s="72">
        <f t="shared" si="5"/>
        <v>89</v>
      </c>
      <c r="F179" s="72" t="str">
        <f>IFERROR(HLOOKUP(C179,Ingreso!$Q$8:$AD$9,2,FALSE),"v")</f>
        <v>Sábado</v>
      </c>
      <c r="G179" s="65" t="str">
        <f>IFERROR(VLOOKUP(A179,Ingreso!K:P,6,FALSE),"no esta ingresado")</f>
        <v>Turno A</v>
      </c>
      <c r="H179" s="65" t="str">
        <f>IFERROR(IF('Informe Kelly'!H172=$A$2,'Informe Kelly'!F172,""),0)</f>
        <v/>
      </c>
      <c r="I179" s="65">
        <f>IFERROR(IF('Informe Kelly'!H172=$A$3,'Informe Kelly'!F172,""),0)</f>
        <v>0.63160879629629629</v>
      </c>
      <c r="J179" s="65" t="str">
        <f>IF(IFERROR(IF(E179=E178,0,(HLOOKUP(D179,Ingreso!$AN$10:$AT$260,VLOOKUP(A179,Ingreso!$AL$11:$AM$260,2,FALSE)))/24),0)=0,"",IFERROR(IF(E179=E178,0,(HLOOKUP(D179,Ingreso!$AN$10:$AT$260,VLOOKUP(A179,Ingreso!$AL$11:$AM$260,2,FALSE)))/24),0))</f>
        <v/>
      </c>
      <c r="K179" s="65" t="str">
        <f>IF(IFERROR(IF(E179=E178,0,(HLOOKUP(C179,Ingreso!$AW$10:$BC$260,VLOOKUP(A179,Ingreso!$AL$11:$AM$260,2,FALSE)))/24),0)=0,"",IFERROR(IF(E179=E178,0,(HLOOKUP(C179,Ingreso!$AW$10:$BC$260,VLOOKUP(A179,Ingreso!$AL$11:$AM$260,2,FALSE)))/24),0))</f>
        <v/>
      </c>
      <c r="L179" s="63">
        <f t="shared" si="4"/>
        <v>0.3125</v>
      </c>
      <c r="M179" s="63" t="str">
        <f>IF(IFERROR(IF(C179=C177,0,IF(E179=E178,0,IF(C179=$R$2,HLOOKUP($R$2,Ingreso!$AW$10:$BC$260,VLOOKUP(A179,Ingreso!AL:AM,2,FALSE),FALSE)/24,""))),"")=0,"",IFERROR(IF(C179=C177,0,IF(E179=E178,0,IF(C179=$R$2,HLOOKUP($R$2,Ingreso!$AW$10:$BC$260,VLOOKUP(A179,Ingreso!AL:AM,2,FALSE),FALSE)/24,""))),""))</f>
        <v/>
      </c>
      <c r="N179" s="95" t="str">
        <f>IF(IFERROR(IF(C179=C177,0,IF(E179=E178,0,IF(C179=$R$3,HLOOKUP($R$3,Ingreso!$AW$10:$BC$260,VLOOKUP(A179,Ingreso!AL:AM,2,FALSE),FALSE)/24,""))),"")=0,"",IFERROR(IF(C179=C177,0,IF(E179=E178,0,IF(C179=$R$3,HLOOKUP($R$3,Ingreso!$AW$10:$BC$260,VLOOKUP(A179,Ingreso!AL:AM,2,FALSE),FALSE)/24,""))),""))</f>
        <v/>
      </c>
      <c r="O179" s="95" t="str">
        <f>IF(IFERROR(IF(C179=C177,0,IF(E179=E178,0,IF(C179=$R$4,HLOOKUP($R$4,Ingreso!$AW$10:$BC$260,VLOOKUP(A179,Ingreso!AL:AM,2,FALSE),FALSE)/24,""))),"")=0,"",IFERROR(IF(C179=C177,0,IF(E179=E178,0,IF(C179=$R$4,HLOOKUP($R$4,Ingreso!$AW$10:$BC$260,VLOOKUP(A179,Ingreso!AL:AM,2,FALSE),FALSE)/24,""))),""))</f>
        <v/>
      </c>
      <c r="P179" s="90"/>
      <c r="T179" t="s">
        <v>1426</v>
      </c>
      <c r="U179" t="s">
        <v>1322</v>
      </c>
      <c r="V179" t="s">
        <v>1401</v>
      </c>
      <c r="W179" s="82">
        <v>204</v>
      </c>
      <c r="X179" s="71">
        <v>0.3125</v>
      </c>
      <c r="Y179" s="101">
        <v>0.609375</v>
      </c>
      <c r="Z179" s="101">
        <v>0.94944444444444442</v>
      </c>
      <c r="AA179" s="101">
        <v>0.34006944444444442</v>
      </c>
      <c r="AB179" s="101">
        <v>2.7569444444444424E-2</v>
      </c>
      <c r="AC179" s="105">
        <v>0</v>
      </c>
      <c r="AD179" s="105">
        <v>0</v>
      </c>
      <c r="AE179" s="93">
        <v>0</v>
      </c>
      <c r="AF179" s="93">
        <v>0</v>
      </c>
      <c r="AG179" s="93">
        <v>0</v>
      </c>
    </row>
    <row r="180" spans="1:33">
      <c r="A180" s="65" t="str">
        <f>IFERROR(VLOOKUP('Informe Kelly'!A173,Base!A:B,2,FALSE),"")</f>
        <v>08.283.277-7</v>
      </c>
      <c r="B180" s="65" t="str">
        <f>IFERROR(VLOOKUP('Informe Kelly'!A173,Base!A:G,7,FALSE),"")</f>
        <v>ARANCIBIA VILLAROEL LEONALDO ALFREDO</v>
      </c>
      <c r="C180" s="69" t="str">
        <f>IF(G180=$C$4,IF('Informe Kelly'!H173='Control informe Kelly'!$A$2,TEXT(((LEFT('Informe Kelly'!E173,2)*1)+1),"dd")&amp;"."&amp;MID('Informe Kelly'!E173,4,2)&amp;"."&amp;RIGHT('Informe Kelly'!E173,4),'Informe Kelly'!E173),'Informe Kelly'!E173)</f>
        <v>16.04.2011</v>
      </c>
      <c r="D180" s="69" t="str">
        <f>IF('Informe Kelly'!E173="","",'Informe Kelly'!E173)</f>
        <v>16.04.2011</v>
      </c>
      <c r="E180" s="72">
        <f t="shared" si="5"/>
        <v>89</v>
      </c>
      <c r="F180" s="72" t="str">
        <f>IFERROR(HLOOKUP(C180,Ingreso!$Q$8:$AD$9,2,FALSE),"v")</f>
        <v>Sábado</v>
      </c>
      <c r="G180" s="65" t="str">
        <f>IFERROR(VLOOKUP(A180,Ingreso!K:P,6,FALSE),"no esta ingresado")</f>
        <v>Turno A</v>
      </c>
      <c r="H180" s="65">
        <f>IFERROR(IF('Informe Kelly'!H173=$A$2,'Informe Kelly'!F173,""),0)</f>
        <v>0.29325231481481479</v>
      </c>
      <c r="I180" s="65" t="str">
        <f>IFERROR(IF('Informe Kelly'!H173=$A$3,'Informe Kelly'!F173,""),0)</f>
        <v/>
      </c>
      <c r="J180" s="65" t="str">
        <f>IF(IFERROR(IF(E180=E179,0,(HLOOKUP(D180,Ingreso!$AN$10:$AT$260,VLOOKUP(A180,Ingreso!$AL$11:$AM$260,2,FALSE)))/24),0)=0,"",IFERROR(IF(E180=E179,0,(HLOOKUP(D180,Ingreso!$AN$10:$AT$260,VLOOKUP(A180,Ingreso!$AL$11:$AM$260,2,FALSE)))/24),0))</f>
        <v/>
      </c>
      <c r="K180" s="65" t="str">
        <f>IF(IFERROR(IF(E180=E179,0,(HLOOKUP(C180,Ingreso!$AW$10:$BC$260,VLOOKUP(A180,Ingreso!$AL$11:$AM$260,2,FALSE)))/24),0)=0,"",IFERROR(IF(E180=E179,0,(HLOOKUP(C180,Ingreso!$AW$10:$BC$260,VLOOKUP(A180,Ingreso!$AL$11:$AM$260,2,FALSE)))/24),0))</f>
        <v/>
      </c>
      <c r="L180" s="63">
        <f t="shared" si="4"/>
        <v>0</v>
      </c>
      <c r="M180" s="63" t="str">
        <f>IF(IFERROR(IF(C180=C178,0,IF(E180=E179,0,IF(C180=$R$2,HLOOKUP($R$2,Ingreso!$AW$10:$BC$260,VLOOKUP(A180,Ingreso!AL:AM,2,FALSE),FALSE)/24,""))),"")=0,"",IFERROR(IF(C180=C178,0,IF(E180=E179,0,IF(C180=$R$2,HLOOKUP($R$2,Ingreso!$AW$10:$BC$260,VLOOKUP(A180,Ingreso!AL:AM,2,FALSE),FALSE)/24,""))),""))</f>
        <v/>
      </c>
      <c r="N180" s="95" t="str">
        <f>IF(IFERROR(IF(C180=C178,0,IF(E180=E179,0,IF(C180=$R$3,HLOOKUP($R$3,Ingreso!$AW$10:$BC$260,VLOOKUP(A180,Ingreso!AL:AM,2,FALSE),FALSE)/24,""))),"")=0,"",IFERROR(IF(C180=C178,0,IF(E180=E179,0,IF(C180=$R$3,HLOOKUP($R$3,Ingreso!$AW$10:$BC$260,VLOOKUP(A180,Ingreso!AL:AM,2,FALSE),FALSE)/24,""))),""))</f>
        <v/>
      </c>
      <c r="O180" s="95" t="str">
        <f>IF(IFERROR(IF(C180=C178,0,IF(E180=E179,0,IF(C180=$R$4,HLOOKUP($R$4,Ingreso!$AW$10:$BC$260,VLOOKUP(A180,Ingreso!AL:AM,2,FALSE),FALSE)/24,""))),"")=0,"",IFERROR(IF(C180=C178,0,IF(E180=E179,0,IF(C180=$R$4,HLOOKUP($R$4,Ingreso!$AW$10:$BC$260,VLOOKUP(A180,Ingreso!AL:AM,2,FALSE),FALSE)/24,""))),""))</f>
        <v/>
      </c>
      <c r="P180" s="90"/>
      <c r="T180" t="s">
        <v>1427</v>
      </c>
      <c r="U180" t="s">
        <v>1322</v>
      </c>
      <c r="V180" t="s">
        <v>1402</v>
      </c>
      <c r="W180" s="82">
        <v>205</v>
      </c>
      <c r="X180" s="71">
        <v>0.3125</v>
      </c>
      <c r="Y180" s="101">
        <v>0.61692129629629633</v>
      </c>
      <c r="Z180" s="101">
        <v>0.94820601851851849</v>
      </c>
      <c r="AA180" s="101">
        <v>0.33128472222222216</v>
      </c>
      <c r="AB180" s="101">
        <v>1.8784722222222161E-2</v>
      </c>
      <c r="AC180" s="105">
        <v>0</v>
      </c>
      <c r="AD180" s="105">
        <v>0</v>
      </c>
      <c r="AE180" s="93">
        <v>0</v>
      </c>
      <c r="AF180" s="93">
        <v>0</v>
      </c>
      <c r="AG180" s="93">
        <v>0</v>
      </c>
    </row>
    <row r="181" spans="1:33">
      <c r="A181" s="65" t="str">
        <f>IFERROR(VLOOKUP('Informe Kelly'!A174,Base!A:B,2,FALSE),"")</f>
        <v>08.454.836-7</v>
      </c>
      <c r="B181" s="65" t="str">
        <f>IFERROR(VLOOKUP('Informe Kelly'!A174,Base!A:G,7,FALSE),"")</f>
        <v>CARES LOPEZ BRIGIDA DEL CARMEN</v>
      </c>
      <c r="C181" s="69" t="str">
        <f>IF(G181=$C$4,IF('Informe Kelly'!H174='Control informe Kelly'!$A$2,TEXT(((LEFT('Informe Kelly'!E174,2)*1)+1),"dd")&amp;"."&amp;MID('Informe Kelly'!E174,4,2)&amp;"."&amp;RIGHT('Informe Kelly'!E174,4),'Informe Kelly'!E174),'Informe Kelly'!E174)</f>
        <v>11.04.2011</v>
      </c>
      <c r="D181" s="69" t="str">
        <f>IF('Informe Kelly'!E174="","",'Informe Kelly'!E174)</f>
        <v>11.04.2011</v>
      </c>
      <c r="E181" s="72">
        <f t="shared" si="5"/>
        <v>90</v>
      </c>
      <c r="F181" s="72" t="str">
        <f>IFERROR(HLOOKUP(C181,Ingreso!$Q$8:$AD$9,2,FALSE),"v")</f>
        <v>Lunes</v>
      </c>
      <c r="G181" s="65" t="str">
        <f>IFERROR(VLOOKUP(A181,Ingreso!K:P,6,FALSE),"no esta ingresado")</f>
        <v>Turno B</v>
      </c>
      <c r="H181" s="65" t="str">
        <f>IFERROR(IF('Informe Kelly'!H174=$A$2,'Informe Kelly'!F174,""),0)</f>
        <v/>
      </c>
      <c r="I181" s="65">
        <f>IFERROR(IF('Informe Kelly'!H174=$A$3,'Informe Kelly'!F174,""),0)</f>
        <v>0.94693287037037033</v>
      </c>
      <c r="J181" s="65" t="str">
        <f>IF(IFERROR(IF(E181=E180,0,(HLOOKUP(D181,Ingreso!$AN$10:$AT$260,VLOOKUP(A181,Ingreso!$AL$11:$AM$260,2,FALSE)))/24),0)=0,"",IFERROR(IF(E181=E180,0,(HLOOKUP(D181,Ingreso!$AN$10:$AT$260,VLOOKUP(A181,Ingreso!$AL$11:$AM$260,2,FALSE)))/24),0))</f>
        <v/>
      </c>
      <c r="K181" s="65" t="str">
        <f>IF(IFERROR(IF(E181=E180,0,(HLOOKUP(C181,Ingreso!$AW$10:$BC$260,VLOOKUP(A181,Ingreso!$AL$11:$AM$260,2,FALSE)))/24),0)=0,"",IFERROR(IF(E181=E180,0,(HLOOKUP(C181,Ingreso!$AW$10:$BC$260,VLOOKUP(A181,Ingreso!$AL$11:$AM$260,2,FALSE)))/24),0))</f>
        <v/>
      </c>
      <c r="L181" s="63">
        <f t="shared" si="4"/>
        <v>0.3125</v>
      </c>
      <c r="M181" s="63" t="str">
        <f>IF(IFERROR(IF(C181=C179,0,IF(E181=E180,0,IF(C181=$R$2,HLOOKUP($R$2,Ingreso!$AW$10:$BC$260,VLOOKUP(A181,Ingreso!AL:AM,2,FALSE),FALSE)/24,""))),"")=0,"",IFERROR(IF(C181=C179,0,IF(E181=E180,0,IF(C181=$R$2,HLOOKUP($R$2,Ingreso!$AW$10:$BC$260,VLOOKUP(A181,Ingreso!AL:AM,2,FALSE),FALSE)/24,""))),""))</f>
        <v/>
      </c>
      <c r="N181" s="95" t="str">
        <f>IF(IFERROR(IF(C181=C179,0,IF(E181=E180,0,IF(C181=$R$3,HLOOKUP($R$3,Ingreso!$AW$10:$BC$260,VLOOKUP(A181,Ingreso!AL:AM,2,FALSE),FALSE)/24,""))),"")=0,"",IFERROR(IF(C181=C179,0,IF(E181=E180,0,IF(C181=$R$3,HLOOKUP($R$3,Ingreso!$AW$10:$BC$260,VLOOKUP(A181,Ingreso!AL:AM,2,FALSE),FALSE)/24,""))),""))</f>
        <v/>
      </c>
      <c r="O181" s="95" t="str">
        <f>IF(IFERROR(IF(C181=C179,0,IF(E181=E180,0,IF(C181=$R$4,HLOOKUP($R$4,Ingreso!$AW$10:$BC$260,VLOOKUP(A181,Ingreso!AL:AM,2,FALSE),FALSE)/24,""))),"")=0,"",IFERROR(IF(C181=C179,0,IF(E181=E180,0,IF(C181=$R$4,HLOOKUP($R$4,Ingreso!$AW$10:$BC$260,VLOOKUP(A181,Ingreso!AL:AM,2,FALSE),FALSE)/24,""))),""))</f>
        <v/>
      </c>
      <c r="P181" s="90"/>
      <c r="R181" t="s">
        <v>983</v>
      </c>
      <c r="S181" t="s">
        <v>986</v>
      </c>
      <c r="T181" t="s">
        <v>1420</v>
      </c>
      <c r="U181" t="s">
        <v>4</v>
      </c>
      <c r="V181" t="s">
        <v>1397</v>
      </c>
      <c r="W181" s="82">
        <v>206</v>
      </c>
      <c r="X181" s="71">
        <v>0.3125</v>
      </c>
      <c r="Y181" s="101">
        <v>0.33281250000000001</v>
      </c>
      <c r="Z181" s="101">
        <v>0.6337962962962963</v>
      </c>
      <c r="AA181" s="101">
        <v>0.30098379629629629</v>
      </c>
      <c r="AB181" s="101">
        <v>-1.1516203703703709E-2</v>
      </c>
      <c r="AC181" s="105">
        <v>0</v>
      </c>
      <c r="AD181" s="105">
        <v>0</v>
      </c>
      <c r="AE181" s="93">
        <v>0</v>
      </c>
      <c r="AF181" s="93">
        <v>0</v>
      </c>
      <c r="AG181" s="93">
        <v>0</v>
      </c>
    </row>
    <row r="182" spans="1:33">
      <c r="A182" s="65" t="str">
        <f>IFERROR(VLOOKUP('Informe Kelly'!A175,Base!A:B,2,FALSE),"")</f>
        <v>08.454.836-7</v>
      </c>
      <c r="B182" s="65" t="str">
        <f>IFERROR(VLOOKUP('Informe Kelly'!A175,Base!A:G,7,FALSE),"")</f>
        <v>CARES LOPEZ BRIGIDA DEL CARMEN</v>
      </c>
      <c r="C182" s="69" t="str">
        <f>IF(G182=$C$4,IF('Informe Kelly'!H175='Control informe Kelly'!$A$2,TEXT(((LEFT('Informe Kelly'!E175,2)*1)+1),"dd")&amp;"."&amp;MID('Informe Kelly'!E175,4,2)&amp;"."&amp;RIGHT('Informe Kelly'!E175,4),'Informe Kelly'!E175),'Informe Kelly'!E175)</f>
        <v>11.04.2011</v>
      </c>
      <c r="D182" s="69" t="str">
        <f>IF('Informe Kelly'!E175="","",'Informe Kelly'!E175)</f>
        <v>11.04.2011</v>
      </c>
      <c r="E182" s="72">
        <f t="shared" si="5"/>
        <v>90</v>
      </c>
      <c r="F182" s="72" t="str">
        <f>IFERROR(HLOOKUP(C182,Ingreso!$Q$8:$AD$9,2,FALSE),"v")</f>
        <v>Lunes</v>
      </c>
      <c r="G182" s="65" t="str">
        <f>IFERROR(VLOOKUP(A182,Ingreso!K:P,6,FALSE),"no esta ingresado")</f>
        <v>Turno B</v>
      </c>
      <c r="H182" s="65">
        <f>IFERROR(IF('Informe Kelly'!H175=$A$2,'Informe Kelly'!F175,""),0)</f>
        <v>0.60760416666666661</v>
      </c>
      <c r="I182" s="65" t="str">
        <f>IFERROR(IF('Informe Kelly'!H175=$A$3,'Informe Kelly'!F175,""),0)</f>
        <v/>
      </c>
      <c r="J182" s="65" t="str">
        <f>IF(IFERROR(IF(E182=E181,0,(HLOOKUP(D182,Ingreso!$AN$10:$AT$260,VLOOKUP(A182,Ingreso!$AL$11:$AM$260,2,FALSE)))/24),0)=0,"",IFERROR(IF(E182=E181,0,(HLOOKUP(D182,Ingreso!$AN$10:$AT$260,VLOOKUP(A182,Ingreso!$AL$11:$AM$260,2,FALSE)))/24),0))</f>
        <v/>
      </c>
      <c r="K182" s="65" t="str">
        <f>IF(IFERROR(IF(E182=E181,0,(HLOOKUP(C182,Ingreso!$AW$10:$BC$260,VLOOKUP(A182,Ingreso!$AL$11:$AM$260,2,FALSE)))/24),0)=0,"",IFERROR(IF(E182=E181,0,(HLOOKUP(C182,Ingreso!$AW$10:$BC$260,VLOOKUP(A182,Ingreso!$AL$11:$AM$260,2,FALSE)))/24),0))</f>
        <v/>
      </c>
      <c r="L182" s="63">
        <f t="shared" si="4"/>
        <v>0</v>
      </c>
      <c r="M182" s="63" t="str">
        <f>IF(IFERROR(IF(C182=C180,0,IF(E182=E181,0,IF(C182=$R$2,HLOOKUP($R$2,Ingreso!$AW$10:$BC$260,VLOOKUP(A182,Ingreso!AL:AM,2,FALSE),FALSE)/24,""))),"")=0,"",IFERROR(IF(C182=C180,0,IF(E182=E181,0,IF(C182=$R$2,HLOOKUP($R$2,Ingreso!$AW$10:$BC$260,VLOOKUP(A182,Ingreso!AL:AM,2,FALSE),FALSE)/24,""))),""))</f>
        <v/>
      </c>
      <c r="N182" s="95" t="str">
        <f>IF(IFERROR(IF(C182=C180,0,IF(E182=E181,0,IF(C182=$R$3,HLOOKUP($R$3,Ingreso!$AW$10:$BC$260,VLOOKUP(A182,Ingreso!AL:AM,2,FALSE),FALSE)/24,""))),"")=0,"",IFERROR(IF(C182=C180,0,IF(E182=E181,0,IF(C182=$R$3,HLOOKUP($R$3,Ingreso!$AW$10:$BC$260,VLOOKUP(A182,Ingreso!AL:AM,2,FALSE),FALSE)/24,""))),""))</f>
        <v/>
      </c>
      <c r="O182" s="95" t="str">
        <f>IF(IFERROR(IF(C182=C180,0,IF(E182=E181,0,IF(C182=$R$4,HLOOKUP($R$4,Ingreso!$AW$10:$BC$260,VLOOKUP(A182,Ingreso!AL:AM,2,FALSE),FALSE)/24,""))),"")=0,"",IFERROR(IF(C182=C180,0,IF(E182=E181,0,IF(C182=$R$4,HLOOKUP($R$4,Ingreso!$AW$10:$BC$260,VLOOKUP(A182,Ingreso!AL:AM,2,FALSE),FALSE)/24,""))),""))</f>
        <v/>
      </c>
      <c r="P182" s="90"/>
      <c r="T182" t="s">
        <v>1423</v>
      </c>
      <c r="U182" t="s">
        <v>4</v>
      </c>
      <c r="V182" t="s">
        <v>1398</v>
      </c>
      <c r="W182" s="82">
        <v>207</v>
      </c>
      <c r="X182" s="71">
        <v>0.3125</v>
      </c>
      <c r="Y182" s="101">
        <v>0.30464120370370368</v>
      </c>
      <c r="Z182" s="101">
        <v>0.62672453703703701</v>
      </c>
      <c r="AA182" s="101">
        <v>0.32208333333333333</v>
      </c>
      <c r="AB182" s="101">
        <v>9.5833333333333326E-3</v>
      </c>
      <c r="AC182" s="105">
        <v>0</v>
      </c>
      <c r="AD182" s="105">
        <v>0</v>
      </c>
      <c r="AE182" s="93">
        <v>0</v>
      </c>
      <c r="AF182" s="93">
        <v>0</v>
      </c>
      <c r="AG182" s="93">
        <v>0</v>
      </c>
    </row>
    <row r="183" spans="1:33">
      <c r="A183" s="65" t="str">
        <f>IFERROR(VLOOKUP('Informe Kelly'!A176,Base!A:B,2,FALSE),"")</f>
        <v>08.454.836-7</v>
      </c>
      <c r="B183" s="65" t="str">
        <f>IFERROR(VLOOKUP('Informe Kelly'!A176,Base!A:G,7,FALSE),"")</f>
        <v>CARES LOPEZ BRIGIDA DEL CARMEN</v>
      </c>
      <c r="C183" s="69" t="str">
        <f>IF(G183=$C$4,IF('Informe Kelly'!H176='Control informe Kelly'!$A$2,TEXT(((LEFT('Informe Kelly'!E176,2)*1)+1),"dd")&amp;"."&amp;MID('Informe Kelly'!E176,4,2)&amp;"."&amp;RIGHT('Informe Kelly'!E176,4),'Informe Kelly'!E176),'Informe Kelly'!E176)</f>
        <v>12.04.2011</v>
      </c>
      <c r="D183" s="69" t="str">
        <f>IF('Informe Kelly'!E176="","",'Informe Kelly'!E176)</f>
        <v>12.04.2011</v>
      </c>
      <c r="E183" s="72">
        <f t="shared" si="5"/>
        <v>91</v>
      </c>
      <c r="F183" s="72" t="str">
        <f>IFERROR(HLOOKUP(C183,Ingreso!$Q$8:$AD$9,2,FALSE),"v")</f>
        <v>Martes</v>
      </c>
      <c r="G183" s="65" t="str">
        <f>IFERROR(VLOOKUP(A183,Ingreso!K:P,6,FALSE),"no esta ingresado")</f>
        <v>Turno B</v>
      </c>
      <c r="H183" s="65" t="str">
        <f>IFERROR(IF('Informe Kelly'!H176=$A$2,'Informe Kelly'!F176,""),0)</f>
        <v/>
      </c>
      <c r="I183" s="65">
        <f>IFERROR(IF('Informe Kelly'!H176=$A$3,'Informe Kelly'!F176,""),0)</f>
        <v>0.94596064814814806</v>
      </c>
      <c r="J183" s="65" t="str">
        <f>IF(IFERROR(IF(E183=E182,0,(HLOOKUP(D183,Ingreso!$AN$10:$AT$260,VLOOKUP(A183,Ingreso!$AL$11:$AM$260,2,FALSE)))/24),0)=0,"",IFERROR(IF(E183=E182,0,(HLOOKUP(D183,Ingreso!$AN$10:$AT$260,VLOOKUP(A183,Ingreso!$AL$11:$AM$260,2,FALSE)))/24),0))</f>
        <v/>
      </c>
      <c r="K183" s="65" t="str">
        <f>IF(IFERROR(IF(E183=E182,0,(HLOOKUP(C183,Ingreso!$AW$10:$BC$260,VLOOKUP(A183,Ingreso!$AL$11:$AM$260,2,FALSE)))/24),0)=0,"",IFERROR(IF(E183=E182,0,(HLOOKUP(C183,Ingreso!$AW$10:$BC$260,VLOOKUP(A183,Ingreso!$AL$11:$AM$260,2,FALSE)))/24),0))</f>
        <v/>
      </c>
      <c r="L183" s="63">
        <f t="shared" si="4"/>
        <v>0.3125</v>
      </c>
      <c r="M183" s="63" t="str">
        <f>IF(IFERROR(IF(C183=C181,0,IF(E183=E182,0,IF(C183=$R$2,HLOOKUP($R$2,Ingreso!$AW$10:$BC$260,VLOOKUP(A183,Ingreso!AL:AM,2,FALSE),FALSE)/24,""))),"")=0,"",IFERROR(IF(C183=C181,0,IF(E183=E182,0,IF(C183=$R$2,HLOOKUP($R$2,Ingreso!$AW$10:$BC$260,VLOOKUP(A183,Ingreso!AL:AM,2,FALSE),FALSE)/24,""))),""))</f>
        <v/>
      </c>
      <c r="N183" s="95" t="str">
        <f>IF(IFERROR(IF(C183=C181,0,IF(E183=E182,0,IF(C183=$R$3,HLOOKUP($R$3,Ingreso!$AW$10:$BC$260,VLOOKUP(A183,Ingreso!AL:AM,2,FALSE),FALSE)/24,""))),"")=0,"",IFERROR(IF(C183=C181,0,IF(E183=E182,0,IF(C183=$R$3,HLOOKUP($R$3,Ingreso!$AW$10:$BC$260,VLOOKUP(A183,Ingreso!AL:AM,2,FALSE),FALSE)/24,""))),""))</f>
        <v/>
      </c>
      <c r="O183" s="95" t="str">
        <f>IF(IFERROR(IF(C183=C181,0,IF(E183=E182,0,IF(C183=$R$4,HLOOKUP($R$4,Ingreso!$AW$10:$BC$260,VLOOKUP(A183,Ingreso!AL:AM,2,FALSE),FALSE)/24,""))),"")=0,"",IFERROR(IF(C183=C181,0,IF(E183=E182,0,IF(C183=$R$4,HLOOKUP($R$4,Ingreso!$AW$10:$BC$260,VLOOKUP(A183,Ingreso!AL:AM,2,FALSE),FALSE)/24,""))),""))</f>
        <v/>
      </c>
      <c r="P183" s="90"/>
      <c r="T183" t="s">
        <v>1424</v>
      </c>
      <c r="U183" t="s">
        <v>4</v>
      </c>
      <c r="V183" t="s">
        <v>1399</v>
      </c>
      <c r="W183" s="82">
        <v>208</v>
      </c>
      <c r="X183" s="71">
        <v>0.3125</v>
      </c>
      <c r="Y183" s="101">
        <v>0.30350694444444443</v>
      </c>
      <c r="Z183" s="101">
        <v>0.64013888888888892</v>
      </c>
      <c r="AA183" s="101">
        <v>0.3366319444444445</v>
      </c>
      <c r="AB183" s="101">
        <v>2.4131944444444497E-2</v>
      </c>
      <c r="AC183" s="105">
        <v>0</v>
      </c>
      <c r="AD183" s="105">
        <v>0</v>
      </c>
      <c r="AE183" s="93">
        <v>0</v>
      </c>
      <c r="AF183" s="93">
        <v>0</v>
      </c>
      <c r="AG183" s="93">
        <v>0</v>
      </c>
    </row>
    <row r="184" spans="1:33">
      <c r="A184" s="65" t="str">
        <f>IFERROR(VLOOKUP('Informe Kelly'!A177,Base!A:B,2,FALSE),"")</f>
        <v>08.454.836-7</v>
      </c>
      <c r="B184" s="65" t="str">
        <f>IFERROR(VLOOKUP('Informe Kelly'!A177,Base!A:G,7,FALSE),"")</f>
        <v>CARES LOPEZ BRIGIDA DEL CARMEN</v>
      </c>
      <c r="C184" s="69" t="str">
        <f>IF(G184=$C$4,IF('Informe Kelly'!H177='Control informe Kelly'!$A$2,TEXT(((LEFT('Informe Kelly'!E177,2)*1)+1),"dd")&amp;"."&amp;MID('Informe Kelly'!E177,4,2)&amp;"."&amp;RIGHT('Informe Kelly'!E177,4),'Informe Kelly'!E177),'Informe Kelly'!E177)</f>
        <v>12.04.2011</v>
      </c>
      <c r="D184" s="69" t="str">
        <f>IF('Informe Kelly'!E177="","",'Informe Kelly'!E177)</f>
        <v>12.04.2011</v>
      </c>
      <c r="E184" s="72">
        <f t="shared" si="5"/>
        <v>91</v>
      </c>
      <c r="F184" s="72" t="str">
        <f>IFERROR(HLOOKUP(C184,Ingreso!$Q$8:$AD$9,2,FALSE),"v")</f>
        <v>Martes</v>
      </c>
      <c r="G184" s="65" t="str">
        <f>IFERROR(VLOOKUP(A184,Ingreso!K:P,6,FALSE),"no esta ingresado")</f>
        <v>Turno B</v>
      </c>
      <c r="H184" s="65">
        <f>IFERROR(IF('Informe Kelly'!H177=$A$2,'Informe Kelly'!F177,""),0)</f>
        <v>0.60501157407407413</v>
      </c>
      <c r="I184" s="65" t="str">
        <f>IFERROR(IF('Informe Kelly'!H177=$A$3,'Informe Kelly'!F177,""),0)</f>
        <v/>
      </c>
      <c r="J184" s="65" t="str">
        <f>IF(IFERROR(IF(E184=E183,0,(HLOOKUP(D184,Ingreso!$AN$10:$AT$260,VLOOKUP(A184,Ingreso!$AL$11:$AM$260,2,FALSE)))/24),0)=0,"",IFERROR(IF(E184=E183,0,(HLOOKUP(D184,Ingreso!$AN$10:$AT$260,VLOOKUP(A184,Ingreso!$AL$11:$AM$260,2,FALSE)))/24),0))</f>
        <v/>
      </c>
      <c r="K184" s="65" t="str">
        <f>IF(IFERROR(IF(E184=E183,0,(HLOOKUP(C184,Ingreso!$AW$10:$BC$260,VLOOKUP(A184,Ingreso!$AL$11:$AM$260,2,FALSE)))/24),0)=0,"",IFERROR(IF(E184=E183,0,(HLOOKUP(C184,Ingreso!$AW$10:$BC$260,VLOOKUP(A184,Ingreso!$AL$11:$AM$260,2,FALSE)))/24),0))</f>
        <v/>
      </c>
      <c r="L184" s="63">
        <f t="shared" si="4"/>
        <v>0</v>
      </c>
      <c r="M184" s="63" t="str">
        <f>IF(IFERROR(IF(C184=C182,0,IF(E184=E183,0,IF(C184=$R$2,HLOOKUP($R$2,Ingreso!$AW$10:$BC$260,VLOOKUP(A184,Ingreso!AL:AM,2,FALSE),FALSE)/24,""))),"")=0,"",IFERROR(IF(C184=C182,0,IF(E184=E183,0,IF(C184=$R$2,HLOOKUP($R$2,Ingreso!$AW$10:$BC$260,VLOOKUP(A184,Ingreso!AL:AM,2,FALSE),FALSE)/24,""))),""))</f>
        <v/>
      </c>
      <c r="N184" s="95" t="str">
        <f>IF(IFERROR(IF(C184=C182,0,IF(E184=E183,0,IF(C184=$R$3,HLOOKUP($R$3,Ingreso!$AW$10:$BC$260,VLOOKUP(A184,Ingreso!AL:AM,2,FALSE),FALSE)/24,""))),"")=0,"",IFERROR(IF(C184=C182,0,IF(E184=E183,0,IF(C184=$R$3,HLOOKUP($R$3,Ingreso!$AW$10:$BC$260,VLOOKUP(A184,Ingreso!AL:AM,2,FALSE),FALSE)/24,""))),""))</f>
        <v/>
      </c>
      <c r="O184" s="95" t="str">
        <f>IF(IFERROR(IF(C184=C182,0,IF(E184=E183,0,IF(C184=$R$4,HLOOKUP($R$4,Ingreso!$AW$10:$BC$260,VLOOKUP(A184,Ingreso!AL:AM,2,FALSE),FALSE)/24,""))),"")=0,"",IFERROR(IF(C184=C182,0,IF(E184=E183,0,IF(C184=$R$4,HLOOKUP($R$4,Ingreso!$AW$10:$BC$260,VLOOKUP(A184,Ingreso!AL:AM,2,FALSE),FALSE)/24,""))),""))</f>
        <v/>
      </c>
      <c r="P184" s="90"/>
      <c r="T184" t="s">
        <v>1425</v>
      </c>
      <c r="U184" t="s">
        <v>4</v>
      </c>
      <c r="V184" t="s">
        <v>1400</v>
      </c>
      <c r="W184" s="82">
        <v>209</v>
      </c>
      <c r="X184" s="71">
        <v>0.3125</v>
      </c>
      <c r="Y184" s="101">
        <v>0.30040509259259257</v>
      </c>
      <c r="Z184" s="101">
        <v>0.63626157407407413</v>
      </c>
      <c r="AA184" s="101">
        <v>0.33585648148148156</v>
      </c>
      <c r="AB184" s="101">
        <v>2.3356481481481561E-2</v>
      </c>
      <c r="AC184" s="105">
        <v>0</v>
      </c>
      <c r="AD184" s="105">
        <v>0</v>
      </c>
      <c r="AE184" s="93">
        <v>0</v>
      </c>
      <c r="AF184" s="93">
        <v>0</v>
      </c>
      <c r="AG184" s="93">
        <v>0</v>
      </c>
    </row>
    <row r="185" spans="1:33">
      <c r="A185" s="65" t="str">
        <f>IFERROR(VLOOKUP('Informe Kelly'!A178,Base!A:B,2,FALSE),"")</f>
        <v>08.454.836-7</v>
      </c>
      <c r="B185" s="65" t="str">
        <f>IFERROR(VLOOKUP('Informe Kelly'!A178,Base!A:G,7,FALSE),"")</f>
        <v>CARES LOPEZ BRIGIDA DEL CARMEN</v>
      </c>
      <c r="C185" s="69" t="str">
        <f>IF(G185=$C$4,IF('Informe Kelly'!H178='Control informe Kelly'!$A$2,TEXT(((LEFT('Informe Kelly'!E178,2)*1)+1),"dd")&amp;"."&amp;MID('Informe Kelly'!E178,4,2)&amp;"."&amp;RIGHT('Informe Kelly'!E178,4),'Informe Kelly'!E178),'Informe Kelly'!E178)</f>
        <v>13.04.2011</v>
      </c>
      <c r="D185" s="69" t="str">
        <f>IF('Informe Kelly'!E178="","",'Informe Kelly'!E178)</f>
        <v>13.04.2011</v>
      </c>
      <c r="E185" s="72">
        <f t="shared" si="5"/>
        <v>92</v>
      </c>
      <c r="F185" s="72" t="str">
        <f>IFERROR(HLOOKUP(C185,Ingreso!$Q$8:$AD$9,2,FALSE),"v")</f>
        <v>Miércoles</v>
      </c>
      <c r="G185" s="65" t="str">
        <f>IFERROR(VLOOKUP(A185,Ingreso!K:P,6,FALSE),"no esta ingresado")</f>
        <v>Turno B</v>
      </c>
      <c r="H185" s="65" t="str">
        <f>IFERROR(IF('Informe Kelly'!H178=$A$2,'Informe Kelly'!F178,""),0)</f>
        <v/>
      </c>
      <c r="I185" s="65">
        <f>IFERROR(IF('Informe Kelly'!H178=$A$3,'Informe Kelly'!F178,""),0)</f>
        <v>0.94532407407407415</v>
      </c>
      <c r="J185" s="65" t="str">
        <f>IF(IFERROR(IF(E185=E184,0,(HLOOKUP(D185,Ingreso!$AN$10:$AT$260,VLOOKUP(A185,Ingreso!$AL$11:$AM$260,2,FALSE)))/24),0)=0,"",IFERROR(IF(E185=E184,0,(HLOOKUP(D185,Ingreso!$AN$10:$AT$260,VLOOKUP(A185,Ingreso!$AL$11:$AM$260,2,FALSE)))/24),0))</f>
        <v/>
      </c>
      <c r="K185" s="65" t="str">
        <f>IF(IFERROR(IF(E185=E184,0,(HLOOKUP(C185,Ingreso!$AW$10:$BC$260,VLOOKUP(A185,Ingreso!$AL$11:$AM$260,2,FALSE)))/24),0)=0,"",IFERROR(IF(E185=E184,0,(HLOOKUP(C185,Ingreso!$AW$10:$BC$260,VLOOKUP(A185,Ingreso!$AL$11:$AM$260,2,FALSE)))/24),0))</f>
        <v/>
      </c>
      <c r="L185" s="63">
        <f t="shared" si="4"/>
        <v>0.3125</v>
      </c>
      <c r="M185" s="63" t="str">
        <f>IF(IFERROR(IF(C185=C183,0,IF(E185=E184,0,IF(C185=$R$2,HLOOKUP($R$2,Ingreso!$AW$10:$BC$260,VLOOKUP(A185,Ingreso!AL:AM,2,FALSE),FALSE)/24,""))),"")=0,"",IFERROR(IF(C185=C183,0,IF(E185=E184,0,IF(C185=$R$2,HLOOKUP($R$2,Ingreso!$AW$10:$BC$260,VLOOKUP(A185,Ingreso!AL:AM,2,FALSE),FALSE)/24,""))),""))</f>
        <v/>
      </c>
      <c r="N185" s="95" t="str">
        <f>IF(IFERROR(IF(C185=C183,0,IF(E185=E184,0,IF(C185=$R$3,HLOOKUP($R$3,Ingreso!$AW$10:$BC$260,VLOOKUP(A185,Ingreso!AL:AM,2,FALSE),FALSE)/24,""))),"")=0,"",IFERROR(IF(C185=C183,0,IF(E185=E184,0,IF(C185=$R$3,HLOOKUP($R$3,Ingreso!$AW$10:$BC$260,VLOOKUP(A185,Ingreso!AL:AM,2,FALSE),FALSE)/24,""))),""))</f>
        <v/>
      </c>
      <c r="O185" s="95" t="str">
        <f>IF(IFERROR(IF(C185=C183,0,IF(E185=E184,0,IF(C185=$R$4,HLOOKUP($R$4,Ingreso!$AW$10:$BC$260,VLOOKUP(A185,Ingreso!AL:AM,2,FALSE),FALSE)/24,""))),"")=0,"",IFERROR(IF(C185=C183,0,IF(E185=E184,0,IF(C185=$R$4,HLOOKUP($R$4,Ingreso!$AW$10:$BC$260,VLOOKUP(A185,Ingreso!AL:AM,2,FALSE),FALSE)/24,""))),""))</f>
        <v/>
      </c>
      <c r="P185" s="90"/>
      <c r="T185" t="s">
        <v>1426</v>
      </c>
      <c r="U185" t="s">
        <v>4</v>
      </c>
      <c r="V185" t="s">
        <v>1401</v>
      </c>
      <c r="W185" s="82">
        <v>210</v>
      </c>
      <c r="X185" s="71">
        <v>0.3125</v>
      </c>
      <c r="Y185" s="101">
        <v>0.33862268518518518</v>
      </c>
      <c r="Z185" s="101">
        <v>0.63063657407407414</v>
      </c>
      <c r="AA185" s="101">
        <v>0.29201388888888896</v>
      </c>
      <c r="AB185" s="101">
        <v>-2.0486111111111038E-2</v>
      </c>
      <c r="AC185" s="105">
        <v>0</v>
      </c>
      <c r="AD185" s="105">
        <v>0</v>
      </c>
      <c r="AE185" s="93">
        <v>0</v>
      </c>
      <c r="AF185" s="93">
        <v>0</v>
      </c>
      <c r="AG185" s="93">
        <v>0</v>
      </c>
    </row>
    <row r="186" spans="1:33">
      <c r="A186" s="65" t="str">
        <f>IFERROR(VLOOKUP('Informe Kelly'!A179,Base!A:B,2,FALSE),"")</f>
        <v>08.454.836-7</v>
      </c>
      <c r="B186" s="65" t="str">
        <f>IFERROR(VLOOKUP('Informe Kelly'!A179,Base!A:G,7,FALSE),"")</f>
        <v>CARES LOPEZ BRIGIDA DEL CARMEN</v>
      </c>
      <c r="C186" s="69" t="str">
        <f>IF(G186=$C$4,IF('Informe Kelly'!H179='Control informe Kelly'!$A$2,TEXT(((LEFT('Informe Kelly'!E179,2)*1)+1),"dd")&amp;"."&amp;MID('Informe Kelly'!E179,4,2)&amp;"."&amp;RIGHT('Informe Kelly'!E179,4),'Informe Kelly'!E179),'Informe Kelly'!E179)</f>
        <v>13.04.2011</v>
      </c>
      <c r="D186" s="69" t="str">
        <f>IF('Informe Kelly'!E179="","",'Informe Kelly'!E179)</f>
        <v>13.04.2011</v>
      </c>
      <c r="E186" s="72">
        <f t="shared" si="5"/>
        <v>92</v>
      </c>
      <c r="F186" s="72" t="str">
        <f>IFERROR(HLOOKUP(C186,Ingreso!$Q$8:$AD$9,2,FALSE),"v")</f>
        <v>Miércoles</v>
      </c>
      <c r="G186" s="65" t="str">
        <f>IFERROR(VLOOKUP(A186,Ingreso!K:P,6,FALSE),"no esta ingresado")</f>
        <v>Turno B</v>
      </c>
      <c r="H186" s="65">
        <f>IFERROR(IF('Informe Kelly'!H179=$A$2,'Informe Kelly'!F179,""),0)</f>
        <v>0.60697916666666674</v>
      </c>
      <c r="I186" s="65" t="str">
        <f>IFERROR(IF('Informe Kelly'!H179=$A$3,'Informe Kelly'!F179,""),0)</f>
        <v/>
      </c>
      <c r="J186" s="65" t="str">
        <f>IF(IFERROR(IF(E186=E185,0,(HLOOKUP(D186,Ingreso!$AN$10:$AT$260,VLOOKUP(A186,Ingreso!$AL$11:$AM$260,2,FALSE)))/24),0)=0,"",IFERROR(IF(E186=E185,0,(HLOOKUP(D186,Ingreso!$AN$10:$AT$260,VLOOKUP(A186,Ingreso!$AL$11:$AM$260,2,FALSE)))/24),0))</f>
        <v/>
      </c>
      <c r="K186" s="65" t="str">
        <f>IF(IFERROR(IF(E186=E185,0,(HLOOKUP(C186,Ingreso!$AW$10:$BC$260,VLOOKUP(A186,Ingreso!$AL$11:$AM$260,2,FALSE)))/24),0)=0,"",IFERROR(IF(E186=E185,0,(HLOOKUP(C186,Ingreso!$AW$10:$BC$260,VLOOKUP(A186,Ingreso!$AL$11:$AM$260,2,FALSE)))/24),0))</f>
        <v/>
      </c>
      <c r="L186" s="63">
        <f t="shared" si="4"/>
        <v>0</v>
      </c>
      <c r="M186" s="63" t="str">
        <f>IF(IFERROR(IF(C186=C184,0,IF(E186=E185,0,IF(C186=$R$2,HLOOKUP($R$2,Ingreso!$AW$10:$BC$260,VLOOKUP(A186,Ingreso!AL:AM,2,FALSE),FALSE)/24,""))),"")=0,"",IFERROR(IF(C186=C184,0,IF(E186=E185,0,IF(C186=$R$2,HLOOKUP($R$2,Ingreso!$AW$10:$BC$260,VLOOKUP(A186,Ingreso!AL:AM,2,FALSE),FALSE)/24,""))),""))</f>
        <v/>
      </c>
      <c r="N186" s="95" t="str">
        <f>IF(IFERROR(IF(C186=C184,0,IF(E186=E185,0,IF(C186=$R$3,HLOOKUP($R$3,Ingreso!$AW$10:$BC$260,VLOOKUP(A186,Ingreso!AL:AM,2,FALSE),FALSE)/24,""))),"")=0,"",IFERROR(IF(C186=C184,0,IF(E186=E185,0,IF(C186=$R$3,HLOOKUP($R$3,Ingreso!$AW$10:$BC$260,VLOOKUP(A186,Ingreso!AL:AM,2,FALSE),FALSE)/24,""))),""))</f>
        <v/>
      </c>
      <c r="O186" s="95" t="str">
        <f>IF(IFERROR(IF(C186=C184,0,IF(E186=E185,0,IF(C186=$R$4,HLOOKUP($R$4,Ingreso!$AW$10:$BC$260,VLOOKUP(A186,Ingreso!AL:AM,2,FALSE),FALSE)/24,""))),"")=0,"",IFERROR(IF(C186=C184,0,IF(E186=E185,0,IF(C186=$R$4,HLOOKUP($R$4,Ingreso!$AW$10:$BC$260,VLOOKUP(A186,Ingreso!AL:AM,2,FALSE),FALSE)/24,""))),""))</f>
        <v/>
      </c>
      <c r="P186" s="90"/>
      <c r="T186" t="s">
        <v>1427</v>
      </c>
      <c r="U186" t="s">
        <v>4</v>
      </c>
      <c r="V186" t="s">
        <v>1402</v>
      </c>
      <c r="W186" s="82">
        <v>211</v>
      </c>
      <c r="X186" s="71">
        <v>0.3125</v>
      </c>
      <c r="Y186" s="101">
        <v>0.30953703703703705</v>
      </c>
      <c r="Z186" s="101">
        <v>0.62766203703703705</v>
      </c>
      <c r="AA186" s="101">
        <v>0.31812499999999999</v>
      </c>
      <c r="AB186" s="101">
        <v>5.6249999999999911E-3</v>
      </c>
      <c r="AC186" s="105">
        <v>0</v>
      </c>
      <c r="AD186" s="105">
        <v>0</v>
      </c>
      <c r="AE186" s="93">
        <v>0</v>
      </c>
      <c r="AF186" s="93">
        <v>0</v>
      </c>
      <c r="AG186" s="93">
        <v>0</v>
      </c>
    </row>
    <row r="187" spans="1:33">
      <c r="A187" s="65" t="str">
        <f>IFERROR(VLOOKUP('Informe Kelly'!A180,Base!A:B,2,FALSE),"")</f>
        <v>08.454.836-7</v>
      </c>
      <c r="B187" s="65" t="str">
        <f>IFERROR(VLOOKUP('Informe Kelly'!A180,Base!A:G,7,FALSE),"")</f>
        <v>CARES LOPEZ BRIGIDA DEL CARMEN</v>
      </c>
      <c r="C187" s="69" t="str">
        <f>IF(G187=$C$4,IF('Informe Kelly'!H180='Control informe Kelly'!$A$2,TEXT(((LEFT('Informe Kelly'!E180,2)*1)+1),"dd")&amp;"."&amp;MID('Informe Kelly'!E180,4,2)&amp;"."&amp;RIGHT('Informe Kelly'!E180,4),'Informe Kelly'!E180),'Informe Kelly'!E180)</f>
        <v>14.04.2011</v>
      </c>
      <c r="D187" s="69" t="str">
        <f>IF('Informe Kelly'!E180="","",'Informe Kelly'!E180)</f>
        <v>14.04.2011</v>
      </c>
      <c r="E187" s="72">
        <f t="shared" si="5"/>
        <v>93</v>
      </c>
      <c r="F187" s="72" t="str">
        <f>IFERROR(HLOOKUP(C187,Ingreso!$Q$8:$AD$9,2,FALSE),"v")</f>
        <v>Jueves</v>
      </c>
      <c r="G187" s="65" t="str">
        <f>IFERROR(VLOOKUP(A187,Ingreso!K:P,6,FALSE),"no esta ingresado")</f>
        <v>Turno B</v>
      </c>
      <c r="H187" s="65" t="str">
        <f>IFERROR(IF('Informe Kelly'!H180=$A$2,'Informe Kelly'!F180,""),0)</f>
        <v/>
      </c>
      <c r="I187" s="65">
        <f>IFERROR(IF('Informe Kelly'!H180=$A$3,'Informe Kelly'!F180,""),0)</f>
        <v>0.94960648148148152</v>
      </c>
      <c r="J187" s="65" t="str">
        <f>IF(IFERROR(IF(E187=E186,0,(HLOOKUP(D187,Ingreso!$AN$10:$AT$260,VLOOKUP(A187,Ingreso!$AL$11:$AM$260,2,FALSE)))/24),0)=0,"",IFERROR(IF(E187=E186,0,(HLOOKUP(D187,Ingreso!$AN$10:$AT$260,VLOOKUP(A187,Ingreso!$AL$11:$AM$260,2,FALSE)))/24),0))</f>
        <v/>
      </c>
      <c r="K187" s="65" t="str">
        <f>IF(IFERROR(IF(E187=E186,0,(HLOOKUP(C187,Ingreso!$AW$10:$BC$260,VLOOKUP(A187,Ingreso!$AL$11:$AM$260,2,FALSE)))/24),0)=0,"",IFERROR(IF(E187=E186,0,(HLOOKUP(C187,Ingreso!$AW$10:$BC$260,VLOOKUP(A187,Ingreso!$AL$11:$AM$260,2,FALSE)))/24),0))</f>
        <v/>
      </c>
      <c r="L187" s="63">
        <f t="shared" si="4"/>
        <v>0.3125</v>
      </c>
      <c r="M187" s="63" t="str">
        <f>IF(IFERROR(IF(C187=C185,0,IF(E187=E186,0,IF(C187=$R$2,HLOOKUP($R$2,Ingreso!$AW$10:$BC$260,VLOOKUP(A187,Ingreso!AL:AM,2,FALSE),FALSE)/24,""))),"")=0,"",IFERROR(IF(C187=C185,0,IF(E187=E186,0,IF(C187=$R$2,HLOOKUP($R$2,Ingreso!$AW$10:$BC$260,VLOOKUP(A187,Ingreso!AL:AM,2,FALSE),FALSE)/24,""))),""))</f>
        <v/>
      </c>
      <c r="N187" s="95" t="str">
        <f>IF(IFERROR(IF(C187=C185,0,IF(E187=E186,0,IF(C187=$R$3,HLOOKUP($R$3,Ingreso!$AW$10:$BC$260,VLOOKUP(A187,Ingreso!AL:AM,2,FALSE),FALSE)/24,""))),"")=0,"",IFERROR(IF(C187=C185,0,IF(E187=E186,0,IF(C187=$R$3,HLOOKUP($R$3,Ingreso!$AW$10:$BC$260,VLOOKUP(A187,Ingreso!AL:AM,2,FALSE),FALSE)/24,""))),""))</f>
        <v/>
      </c>
      <c r="O187" s="95" t="str">
        <f>IF(IFERROR(IF(C187=C185,0,IF(E187=E186,0,IF(C187=$R$4,HLOOKUP($R$4,Ingreso!$AW$10:$BC$260,VLOOKUP(A187,Ingreso!AL:AM,2,FALSE),FALSE)/24,""))),"")=0,"",IFERROR(IF(C187=C185,0,IF(E187=E186,0,IF(C187=$R$4,HLOOKUP($R$4,Ingreso!$AW$10:$BC$260,VLOOKUP(A187,Ingreso!AL:AM,2,FALSE),FALSE)/24,""))),""))</f>
        <v/>
      </c>
      <c r="P187" s="90"/>
      <c r="R187" t="s">
        <v>567</v>
      </c>
      <c r="S187" t="s">
        <v>571</v>
      </c>
      <c r="T187" t="s">
        <v>1423</v>
      </c>
      <c r="U187" t="s">
        <v>1322</v>
      </c>
      <c r="V187" t="s">
        <v>1398</v>
      </c>
      <c r="W187" s="82">
        <v>218</v>
      </c>
      <c r="X187" s="71">
        <v>0.3125</v>
      </c>
      <c r="Y187" s="101">
        <v>0.61715277777777777</v>
      </c>
      <c r="Z187" s="101">
        <v>0.93587962962962967</v>
      </c>
      <c r="AA187" s="101">
        <v>0.3187268518518519</v>
      </c>
      <c r="AB187" s="101">
        <v>6.2268518518519E-3</v>
      </c>
      <c r="AC187" s="105">
        <v>0</v>
      </c>
      <c r="AD187" s="105">
        <v>0</v>
      </c>
      <c r="AE187" s="93">
        <v>0</v>
      </c>
      <c r="AF187" s="93">
        <v>0</v>
      </c>
      <c r="AG187" s="93">
        <v>0</v>
      </c>
    </row>
    <row r="188" spans="1:33">
      <c r="A188" s="65" t="str">
        <f>IFERROR(VLOOKUP('Informe Kelly'!A181,Base!A:B,2,FALSE),"")</f>
        <v>08.454.836-7</v>
      </c>
      <c r="B188" s="65" t="str">
        <f>IFERROR(VLOOKUP('Informe Kelly'!A181,Base!A:G,7,FALSE),"")</f>
        <v>CARES LOPEZ BRIGIDA DEL CARMEN</v>
      </c>
      <c r="C188" s="69" t="str">
        <f>IF(G188=$C$4,IF('Informe Kelly'!H181='Control informe Kelly'!$A$2,TEXT(((LEFT('Informe Kelly'!E181,2)*1)+1),"dd")&amp;"."&amp;MID('Informe Kelly'!E181,4,2)&amp;"."&amp;RIGHT('Informe Kelly'!E181,4),'Informe Kelly'!E181),'Informe Kelly'!E181)</f>
        <v>14.04.2011</v>
      </c>
      <c r="D188" s="69" t="str">
        <f>IF('Informe Kelly'!E181="","",'Informe Kelly'!E181)</f>
        <v>14.04.2011</v>
      </c>
      <c r="E188" s="72">
        <f t="shared" si="5"/>
        <v>93</v>
      </c>
      <c r="F188" s="72" t="str">
        <f>IFERROR(HLOOKUP(C188,Ingreso!$Q$8:$AD$9,2,FALSE),"v")</f>
        <v>Jueves</v>
      </c>
      <c r="G188" s="65" t="str">
        <f>IFERROR(VLOOKUP(A188,Ingreso!K:P,6,FALSE),"no esta ingresado")</f>
        <v>Turno B</v>
      </c>
      <c r="H188" s="65">
        <f>IFERROR(IF('Informe Kelly'!H181=$A$2,'Informe Kelly'!F181,""),0)</f>
        <v>0.6069444444444444</v>
      </c>
      <c r="I188" s="65" t="str">
        <f>IFERROR(IF('Informe Kelly'!H181=$A$3,'Informe Kelly'!F181,""),0)</f>
        <v/>
      </c>
      <c r="J188" s="65" t="str">
        <f>IF(IFERROR(IF(E188=E187,0,(HLOOKUP(D188,Ingreso!$AN$10:$AT$260,VLOOKUP(A188,Ingreso!$AL$11:$AM$260,2,FALSE)))/24),0)=0,"",IFERROR(IF(E188=E187,0,(HLOOKUP(D188,Ingreso!$AN$10:$AT$260,VLOOKUP(A188,Ingreso!$AL$11:$AM$260,2,FALSE)))/24),0))</f>
        <v/>
      </c>
      <c r="K188" s="65" t="str">
        <f>IF(IFERROR(IF(E188=E187,0,(HLOOKUP(C188,Ingreso!$AW$10:$BC$260,VLOOKUP(A188,Ingreso!$AL$11:$AM$260,2,FALSE)))/24),0)=0,"",IFERROR(IF(E188=E187,0,(HLOOKUP(C188,Ingreso!$AW$10:$BC$260,VLOOKUP(A188,Ingreso!$AL$11:$AM$260,2,FALSE)))/24),0))</f>
        <v/>
      </c>
      <c r="L188" s="63">
        <f t="shared" si="4"/>
        <v>0</v>
      </c>
      <c r="M188" s="63" t="str">
        <f>IF(IFERROR(IF(C188=C186,0,IF(E188=E187,0,IF(C188=$R$2,HLOOKUP($R$2,Ingreso!$AW$10:$BC$260,VLOOKUP(A188,Ingreso!AL:AM,2,FALSE),FALSE)/24,""))),"")=0,"",IFERROR(IF(C188=C186,0,IF(E188=E187,0,IF(C188=$R$2,HLOOKUP($R$2,Ingreso!$AW$10:$BC$260,VLOOKUP(A188,Ingreso!AL:AM,2,FALSE),FALSE)/24,""))),""))</f>
        <v/>
      </c>
      <c r="N188" s="95" t="str">
        <f>IF(IFERROR(IF(C188=C186,0,IF(E188=E187,0,IF(C188=$R$3,HLOOKUP($R$3,Ingreso!$AW$10:$BC$260,VLOOKUP(A188,Ingreso!AL:AM,2,FALSE),FALSE)/24,""))),"")=0,"",IFERROR(IF(C188=C186,0,IF(E188=E187,0,IF(C188=$R$3,HLOOKUP($R$3,Ingreso!$AW$10:$BC$260,VLOOKUP(A188,Ingreso!AL:AM,2,FALSE),FALSE)/24,""))),""))</f>
        <v/>
      </c>
      <c r="O188" s="95" t="str">
        <f>IF(IFERROR(IF(C188=C186,0,IF(E188=E187,0,IF(C188=$R$4,HLOOKUP($R$4,Ingreso!$AW$10:$BC$260,VLOOKUP(A188,Ingreso!AL:AM,2,FALSE),FALSE)/24,""))),"")=0,"",IFERROR(IF(C188=C186,0,IF(E188=E187,0,IF(C188=$R$4,HLOOKUP($R$4,Ingreso!$AW$10:$BC$260,VLOOKUP(A188,Ingreso!AL:AM,2,FALSE),FALSE)/24,""))),""))</f>
        <v/>
      </c>
      <c r="P188" s="90"/>
      <c r="T188" t="s">
        <v>1424</v>
      </c>
      <c r="U188" t="s">
        <v>1322</v>
      </c>
      <c r="V188" t="s">
        <v>1399</v>
      </c>
      <c r="W188" s="82">
        <v>219</v>
      </c>
      <c r="X188" s="71">
        <v>0.3125</v>
      </c>
      <c r="Y188" s="101">
        <v>0.61866898148148153</v>
      </c>
      <c r="Z188" s="101">
        <v>0.93429398148148157</v>
      </c>
      <c r="AA188" s="101">
        <v>0.31562500000000004</v>
      </c>
      <c r="AB188" s="101">
        <v>3.1250000000000444E-3</v>
      </c>
      <c r="AC188" s="105">
        <v>0</v>
      </c>
      <c r="AD188" s="105">
        <v>0</v>
      </c>
      <c r="AE188" s="93">
        <v>0</v>
      </c>
      <c r="AF188" s="93">
        <v>0</v>
      </c>
      <c r="AG188" s="93">
        <v>0</v>
      </c>
    </row>
    <row r="189" spans="1:33">
      <c r="A189" s="65" t="str">
        <f>IFERROR(VLOOKUP('Informe Kelly'!A182,Base!A:B,2,FALSE),"")</f>
        <v>08.454.836-7</v>
      </c>
      <c r="B189" s="65" t="str">
        <f>IFERROR(VLOOKUP('Informe Kelly'!A182,Base!A:G,7,FALSE),"")</f>
        <v>CARES LOPEZ BRIGIDA DEL CARMEN</v>
      </c>
      <c r="C189" s="69" t="str">
        <f>IF(G189=$C$4,IF('Informe Kelly'!H182='Control informe Kelly'!$A$2,TEXT(((LEFT('Informe Kelly'!E182,2)*1)+1),"dd")&amp;"."&amp;MID('Informe Kelly'!E182,4,2)&amp;"."&amp;RIGHT('Informe Kelly'!E182,4),'Informe Kelly'!E182),'Informe Kelly'!E182)</f>
        <v>15.04.2011</v>
      </c>
      <c r="D189" s="69" t="str">
        <f>IF('Informe Kelly'!E182="","",'Informe Kelly'!E182)</f>
        <v>15.04.2011</v>
      </c>
      <c r="E189" s="72">
        <f t="shared" si="5"/>
        <v>94</v>
      </c>
      <c r="F189" s="72" t="str">
        <f>IFERROR(HLOOKUP(C189,Ingreso!$Q$8:$AD$9,2,FALSE),"v")</f>
        <v>Viernes</v>
      </c>
      <c r="G189" s="65" t="str">
        <f>IFERROR(VLOOKUP(A189,Ingreso!K:P,6,FALSE),"no esta ingresado")</f>
        <v>Turno B</v>
      </c>
      <c r="H189" s="65" t="str">
        <f>IFERROR(IF('Informe Kelly'!H182=$A$2,'Informe Kelly'!F182,""),0)</f>
        <v/>
      </c>
      <c r="I189" s="65">
        <f>IFERROR(IF('Informe Kelly'!H182=$A$3,'Informe Kelly'!F182,""),0)</f>
        <v>0.94833333333333336</v>
      </c>
      <c r="J189" s="65" t="str">
        <f>IF(IFERROR(IF(E189=E188,0,(HLOOKUP(D189,Ingreso!$AN$10:$AT$260,VLOOKUP(A189,Ingreso!$AL$11:$AM$260,2,FALSE)))/24),0)=0,"",IFERROR(IF(E189=E188,0,(HLOOKUP(D189,Ingreso!$AN$10:$AT$260,VLOOKUP(A189,Ingreso!$AL$11:$AM$260,2,FALSE)))/24),0))</f>
        <v/>
      </c>
      <c r="K189" s="65" t="str">
        <f>IF(IFERROR(IF(E189=E188,0,(HLOOKUP(C189,Ingreso!$AW$10:$BC$260,VLOOKUP(A189,Ingreso!$AL$11:$AM$260,2,FALSE)))/24),0)=0,"",IFERROR(IF(E189=E188,0,(HLOOKUP(C189,Ingreso!$AW$10:$BC$260,VLOOKUP(A189,Ingreso!$AL$11:$AM$260,2,FALSE)))/24),0))</f>
        <v/>
      </c>
      <c r="L189" s="63">
        <f t="shared" si="4"/>
        <v>0.3125</v>
      </c>
      <c r="M189" s="63" t="str">
        <f>IF(IFERROR(IF(C189=C187,0,IF(E189=E188,0,IF(C189=$R$2,HLOOKUP($R$2,Ingreso!$AW$10:$BC$260,VLOOKUP(A189,Ingreso!AL:AM,2,FALSE),FALSE)/24,""))),"")=0,"",IFERROR(IF(C189=C187,0,IF(E189=E188,0,IF(C189=$R$2,HLOOKUP($R$2,Ingreso!$AW$10:$BC$260,VLOOKUP(A189,Ingreso!AL:AM,2,FALSE),FALSE)/24,""))),""))</f>
        <v/>
      </c>
      <c r="N189" s="95" t="str">
        <f>IF(IFERROR(IF(C189=C187,0,IF(E189=E188,0,IF(C189=$R$3,HLOOKUP($R$3,Ingreso!$AW$10:$BC$260,VLOOKUP(A189,Ingreso!AL:AM,2,FALSE),FALSE)/24,""))),"")=0,"",IFERROR(IF(C189=C187,0,IF(E189=E188,0,IF(C189=$R$3,HLOOKUP($R$3,Ingreso!$AW$10:$BC$260,VLOOKUP(A189,Ingreso!AL:AM,2,FALSE),FALSE)/24,""))),""))</f>
        <v/>
      </c>
      <c r="O189" s="95" t="str">
        <f>IF(IFERROR(IF(C189=C187,0,IF(E189=E188,0,IF(C189=$R$4,HLOOKUP($R$4,Ingreso!$AW$10:$BC$260,VLOOKUP(A189,Ingreso!AL:AM,2,FALSE),FALSE)/24,""))),"")=0,"",IFERROR(IF(C189=C187,0,IF(E189=E188,0,IF(C189=$R$4,HLOOKUP($R$4,Ingreso!$AW$10:$BC$260,VLOOKUP(A189,Ingreso!AL:AM,2,FALSE),FALSE)/24,""))),""))</f>
        <v/>
      </c>
      <c r="P189" s="90"/>
      <c r="T189" t="s">
        <v>1425</v>
      </c>
      <c r="U189" t="s">
        <v>1322</v>
      </c>
      <c r="V189" t="s">
        <v>1400</v>
      </c>
      <c r="W189" s="82">
        <v>220</v>
      </c>
      <c r="X189" s="71">
        <v>0.3125</v>
      </c>
      <c r="Y189" s="101">
        <v>0.62002314814814818</v>
      </c>
      <c r="Z189" s="101">
        <v>0.93570601851851853</v>
      </c>
      <c r="AA189" s="101">
        <v>0.31568287037037035</v>
      </c>
      <c r="AB189" s="101">
        <v>3.1828703703703498E-3</v>
      </c>
      <c r="AC189" s="105">
        <v>0</v>
      </c>
      <c r="AD189" s="105">
        <v>0</v>
      </c>
      <c r="AE189" s="93">
        <v>0</v>
      </c>
      <c r="AF189" s="93">
        <v>0</v>
      </c>
      <c r="AG189" s="93">
        <v>0</v>
      </c>
    </row>
    <row r="190" spans="1:33">
      <c r="A190" s="65" t="str">
        <f>IFERROR(VLOOKUP('Informe Kelly'!A183,Base!A:B,2,FALSE),"")</f>
        <v>08.454.836-7</v>
      </c>
      <c r="B190" s="65" t="str">
        <f>IFERROR(VLOOKUP('Informe Kelly'!A183,Base!A:G,7,FALSE),"")</f>
        <v>CARES LOPEZ BRIGIDA DEL CARMEN</v>
      </c>
      <c r="C190" s="69" t="str">
        <f>IF(G190=$C$4,IF('Informe Kelly'!H183='Control informe Kelly'!$A$2,TEXT(((LEFT('Informe Kelly'!E183,2)*1)+1),"dd")&amp;"."&amp;MID('Informe Kelly'!E183,4,2)&amp;"."&amp;RIGHT('Informe Kelly'!E183,4),'Informe Kelly'!E183),'Informe Kelly'!E183)</f>
        <v>15.04.2011</v>
      </c>
      <c r="D190" s="69" t="str">
        <f>IF('Informe Kelly'!E183="","",'Informe Kelly'!E183)</f>
        <v>15.04.2011</v>
      </c>
      <c r="E190" s="72">
        <f t="shared" si="5"/>
        <v>94</v>
      </c>
      <c r="F190" s="72" t="str">
        <f>IFERROR(HLOOKUP(C190,Ingreso!$Q$8:$AD$9,2,FALSE),"v")</f>
        <v>Viernes</v>
      </c>
      <c r="G190" s="65" t="str">
        <f>IFERROR(VLOOKUP(A190,Ingreso!K:P,6,FALSE),"no esta ingresado")</f>
        <v>Turno B</v>
      </c>
      <c r="H190" s="65">
        <f>IFERROR(IF('Informe Kelly'!H183=$A$2,'Informe Kelly'!F183,""),0)</f>
        <v>0.6065625</v>
      </c>
      <c r="I190" s="65" t="str">
        <f>IFERROR(IF('Informe Kelly'!H183=$A$3,'Informe Kelly'!F183,""),0)</f>
        <v/>
      </c>
      <c r="J190" s="65" t="str">
        <f>IF(IFERROR(IF(E190=E189,0,(HLOOKUP(D190,Ingreso!$AN$10:$AT$260,VLOOKUP(A190,Ingreso!$AL$11:$AM$260,2,FALSE)))/24),0)=0,"",IFERROR(IF(E190=E189,0,(HLOOKUP(D190,Ingreso!$AN$10:$AT$260,VLOOKUP(A190,Ingreso!$AL$11:$AM$260,2,FALSE)))/24),0))</f>
        <v/>
      </c>
      <c r="K190" s="65" t="str">
        <f>IF(IFERROR(IF(E190=E189,0,(HLOOKUP(C190,Ingreso!$AW$10:$BC$260,VLOOKUP(A190,Ingreso!$AL$11:$AM$260,2,FALSE)))/24),0)=0,"",IFERROR(IF(E190=E189,0,(HLOOKUP(C190,Ingreso!$AW$10:$BC$260,VLOOKUP(A190,Ingreso!$AL$11:$AM$260,2,FALSE)))/24),0))</f>
        <v/>
      </c>
      <c r="L190" s="63">
        <f t="shared" si="4"/>
        <v>0</v>
      </c>
      <c r="M190" s="63" t="str">
        <f>IF(IFERROR(IF(C190=C188,0,IF(E190=E189,0,IF(C190=$R$2,HLOOKUP($R$2,Ingreso!$AW$10:$BC$260,VLOOKUP(A190,Ingreso!AL:AM,2,FALSE),FALSE)/24,""))),"")=0,"",IFERROR(IF(C190=C188,0,IF(E190=E189,0,IF(C190=$R$2,HLOOKUP($R$2,Ingreso!$AW$10:$BC$260,VLOOKUP(A190,Ingreso!AL:AM,2,FALSE),FALSE)/24,""))),""))</f>
        <v/>
      </c>
      <c r="N190" s="95" t="str">
        <f>IF(IFERROR(IF(C190=C188,0,IF(E190=E189,0,IF(C190=$R$3,HLOOKUP($R$3,Ingreso!$AW$10:$BC$260,VLOOKUP(A190,Ingreso!AL:AM,2,FALSE),FALSE)/24,""))),"")=0,"",IFERROR(IF(C190=C188,0,IF(E190=E189,0,IF(C190=$R$3,HLOOKUP($R$3,Ingreso!$AW$10:$BC$260,VLOOKUP(A190,Ingreso!AL:AM,2,FALSE),FALSE)/24,""))),""))</f>
        <v/>
      </c>
      <c r="O190" s="95" t="str">
        <f>IF(IFERROR(IF(C190=C188,0,IF(E190=E189,0,IF(C190=$R$4,HLOOKUP($R$4,Ingreso!$AW$10:$BC$260,VLOOKUP(A190,Ingreso!AL:AM,2,FALSE),FALSE)/24,""))),"")=0,"",IFERROR(IF(C190=C188,0,IF(E190=E189,0,IF(C190=$R$4,HLOOKUP($R$4,Ingreso!$AW$10:$BC$260,VLOOKUP(A190,Ingreso!AL:AM,2,FALSE),FALSE)/24,""))),""))</f>
        <v/>
      </c>
      <c r="P190" s="90"/>
      <c r="T190" t="s">
        <v>1426</v>
      </c>
      <c r="U190" t="s">
        <v>1322</v>
      </c>
      <c r="V190" t="s">
        <v>1401</v>
      </c>
      <c r="W190" s="82">
        <v>221</v>
      </c>
      <c r="X190" s="71">
        <v>0.3125</v>
      </c>
      <c r="Y190" s="101">
        <v>0.61910879629629634</v>
      </c>
      <c r="Z190" s="101">
        <v>0.93467592592592597</v>
      </c>
      <c r="AA190" s="101">
        <v>0.31556712962962963</v>
      </c>
      <c r="AB190" s="101">
        <v>3.067129629629628E-3</v>
      </c>
      <c r="AC190" s="105">
        <v>0</v>
      </c>
      <c r="AD190" s="105">
        <v>0</v>
      </c>
      <c r="AE190" s="93">
        <v>0</v>
      </c>
      <c r="AF190" s="93">
        <v>0</v>
      </c>
      <c r="AG190" s="93">
        <v>0</v>
      </c>
    </row>
    <row r="191" spans="1:33" ht="12.75" customHeight="1">
      <c r="A191" s="65" t="str">
        <f>IFERROR(VLOOKUP('Informe Kelly'!A184,Base!A:B,2,FALSE),"")</f>
        <v>08.454.836-7</v>
      </c>
      <c r="B191" s="65" t="str">
        <f>IFERROR(VLOOKUP('Informe Kelly'!A184,Base!A:G,7,FALSE),"")</f>
        <v>CARES LOPEZ BRIGIDA DEL CARMEN</v>
      </c>
      <c r="C191" s="69" t="str">
        <f>IF(G191=$C$4,IF('Informe Kelly'!H184='Control informe Kelly'!$A$2,TEXT(((LEFT('Informe Kelly'!E184,2)*1)+1),"dd")&amp;"."&amp;MID('Informe Kelly'!E184,4,2)&amp;"."&amp;RIGHT('Informe Kelly'!E184,4),'Informe Kelly'!E184),'Informe Kelly'!E184)</f>
        <v>16.04.2011</v>
      </c>
      <c r="D191" s="69" t="str">
        <f>IF('Informe Kelly'!E184="","",'Informe Kelly'!E184)</f>
        <v>16.04.2011</v>
      </c>
      <c r="E191" s="72">
        <f t="shared" si="5"/>
        <v>95</v>
      </c>
      <c r="F191" s="72" t="str">
        <f>IFERROR(HLOOKUP(C191,Ingreso!$Q$8:$AD$9,2,FALSE),"v")</f>
        <v>Sábado</v>
      </c>
      <c r="G191" s="65" t="str">
        <f>IFERROR(VLOOKUP(A191,Ingreso!K:P,6,FALSE),"no esta ingresado")</f>
        <v>Turno B</v>
      </c>
      <c r="H191" s="65" t="str">
        <f>IFERROR(IF('Informe Kelly'!H184=$A$2,'Informe Kelly'!F184,""),0)</f>
        <v/>
      </c>
      <c r="I191" s="65">
        <f>IFERROR(IF('Informe Kelly'!H184=$A$3,'Informe Kelly'!F184,""),0)</f>
        <v>0.95027777777777767</v>
      </c>
      <c r="J191" s="65" t="str">
        <f>IF(IFERROR(IF(E191=E190,0,(HLOOKUP(D191,Ingreso!$AN$10:$AT$260,VLOOKUP(A191,Ingreso!$AL$11:$AM$260,2,FALSE)))/24),0)=0,"",IFERROR(IF(E191=E190,0,(HLOOKUP(D191,Ingreso!$AN$10:$AT$260,VLOOKUP(A191,Ingreso!$AL$11:$AM$260,2,FALSE)))/24),0))</f>
        <v/>
      </c>
      <c r="K191" s="65" t="str">
        <f>IF(IFERROR(IF(E191=E190,0,(HLOOKUP(C191,Ingreso!$AW$10:$BC$260,VLOOKUP(A191,Ingreso!$AL$11:$AM$260,2,FALSE)))/24),0)=0,"",IFERROR(IF(E191=E190,0,(HLOOKUP(C191,Ingreso!$AW$10:$BC$260,VLOOKUP(A191,Ingreso!$AL$11:$AM$260,2,FALSE)))/24),0))</f>
        <v/>
      </c>
      <c r="L191" s="63">
        <f t="shared" si="4"/>
        <v>0.3125</v>
      </c>
      <c r="M191" s="63" t="str">
        <f>IF(IFERROR(IF(C191=C189,0,IF(E191=E190,0,IF(C191=$R$2,HLOOKUP($R$2,Ingreso!$AW$10:$BC$260,VLOOKUP(A191,Ingreso!AL:AM,2,FALSE),FALSE)/24,""))),"")=0,"",IFERROR(IF(C191=C189,0,IF(E191=E190,0,IF(C191=$R$2,HLOOKUP($R$2,Ingreso!$AW$10:$BC$260,VLOOKUP(A191,Ingreso!AL:AM,2,FALSE),FALSE)/24,""))),""))</f>
        <v/>
      </c>
      <c r="N191" s="95" t="str">
        <f>IF(IFERROR(IF(C191=C189,0,IF(E191=E190,0,IF(C191=$R$3,HLOOKUP($R$3,Ingreso!$AW$10:$BC$260,VLOOKUP(A191,Ingreso!AL:AM,2,FALSE),FALSE)/24,""))),"")=0,"",IFERROR(IF(C191=C189,0,IF(E191=E190,0,IF(C191=$R$3,HLOOKUP($R$3,Ingreso!$AW$10:$BC$260,VLOOKUP(A191,Ingreso!AL:AM,2,FALSE),FALSE)/24,""))),""))</f>
        <v/>
      </c>
      <c r="O191" s="95" t="str">
        <f>IF(IFERROR(IF(C191=C189,0,IF(E191=E190,0,IF(C191=$R$4,HLOOKUP($R$4,Ingreso!$AW$10:$BC$260,VLOOKUP(A191,Ingreso!AL:AM,2,FALSE),FALSE)/24,""))),"")=0,"",IFERROR(IF(C191=C189,0,IF(E191=E190,0,IF(C191=$R$4,HLOOKUP($R$4,Ingreso!$AW$10:$BC$260,VLOOKUP(A191,Ingreso!AL:AM,2,FALSE),FALSE)/24,""))),""))</f>
        <v/>
      </c>
      <c r="P191" s="90"/>
      <c r="T191" t="s">
        <v>1427</v>
      </c>
      <c r="U191" t="s">
        <v>1322</v>
      </c>
      <c r="V191" t="s">
        <v>1402</v>
      </c>
      <c r="W191" s="82">
        <v>222</v>
      </c>
      <c r="X191" s="71">
        <v>0.3125</v>
      </c>
      <c r="Y191" s="101">
        <v>0.60996527777777776</v>
      </c>
      <c r="Z191" s="101">
        <v>0.93452546296296291</v>
      </c>
      <c r="AA191" s="101">
        <v>0.32456018518518515</v>
      </c>
      <c r="AB191" s="101">
        <v>1.2060185185185146E-2</v>
      </c>
      <c r="AC191" s="105">
        <v>0</v>
      </c>
      <c r="AD191" s="105">
        <v>0</v>
      </c>
      <c r="AE191" s="93">
        <v>0</v>
      </c>
      <c r="AF191" s="93">
        <v>0</v>
      </c>
      <c r="AG191" s="93">
        <v>0</v>
      </c>
    </row>
    <row r="192" spans="1:33">
      <c r="A192" s="65" t="str">
        <f>IFERROR(VLOOKUP('Informe Kelly'!A185,Base!A:B,2,FALSE),"")</f>
        <v>08.454.836-7</v>
      </c>
      <c r="B192" s="65" t="str">
        <f>IFERROR(VLOOKUP('Informe Kelly'!A185,Base!A:G,7,FALSE),"")</f>
        <v>CARES LOPEZ BRIGIDA DEL CARMEN</v>
      </c>
      <c r="C192" s="69" t="str">
        <f>IF(G192=$C$4,IF('Informe Kelly'!H185='Control informe Kelly'!$A$2,TEXT(((LEFT('Informe Kelly'!E185,2)*1)+1),"dd")&amp;"."&amp;MID('Informe Kelly'!E185,4,2)&amp;"."&amp;RIGHT('Informe Kelly'!E185,4),'Informe Kelly'!E185),'Informe Kelly'!E185)</f>
        <v>16.04.2011</v>
      </c>
      <c r="D192" s="69" t="str">
        <f>IF('Informe Kelly'!E185="","",'Informe Kelly'!E185)</f>
        <v>16.04.2011</v>
      </c>
      <c r="E192" s="72">
        <f t="shared" si="5"/>
        <v>95</v>
      </c>
      <c r="F192" s="72" t="str">
        <f>IFERROR(HLOOKUP(C192,Ingreso!$Q$8:$AD$9,2,FALSE),"v")</f>
        <v>Sábado</v>
      </c>
      <c r="G192" s="65" t="str">
        <f>IFERROR(VLOOKUP(A192,Ingreso!K:P,6,FALSE),"no esta ingresado")</f>
        <v>Turno B</v>
      </c>
      <c r="H192" s="65">
        <f>IFERROR(IF('Informe Kelly'!H185=$A$2,'Informe Kelly'!F185,""),0)</f>
        <v>0.61266203703703703</v>
      </c>
      <c r="I192" s="65" t="str">
        <f>IFERROR(IF('Informe Kelly'!H185=$A$3,'Informe Kelly'!F185,""),0)</f>
        <v/>
      </c>
      <c r="J192" s="65" t="str">
        <f>IF(IFERROR(IF(E192=E191,0,(HLOOKUP(D192,Ingreso!$AN$10:$AT$260,VLOOKUP(A192,Ingreso!$AL$11:$AM$260,2,FALSE)))/24),0)=0,"",IFERROR(IF(E192=E191,0,(HLOOKUP(D192,Ingreso!$AN$10:$AT$260,VLOOKUP(A192,Ingreso!$AL$11:$AM$260,2,FALSE)))/24),0))</f>
        <v/>
      </c>
      <c r="K192" s="65" t="str">
        <f>IF(IFERROR(IF(E192=E191,0,(HLOOKUP(C192,Ingreso!$AW$10:$BC$260,VLOOKUP(A192,Ingreso!$AL$11:$AM$260,2,FALSE)))/24),0)=0,"",IFERROR(IF(E192=E191,0,(HLOOKUP(C192,Ingreso!$AW$10:$BC$260,VLOOKUP(A192,Ingreso!$AL$11:$AM$260,2,FALSE)))/24),0))</f>
        <v/>
      </c>
      <c r="L192" s="63">
        <f t="shared" si="4"/>
        <v>0</v>
      </c>
      <c r="M192" s="63" t="str">
        <f>IF(IFERROR(IF(C192=C190,0,IF(E192=E191,0,IF(C192=$R$2,HLOOKUP($R$2,Ingreso!$AW$10:$BC$260,VLOOKUP(A192,Ingreso!AL:AM,2,FALSE),FALSE)/24,""))),"")=0,"",IFERROR(IF(C192=C190,0,IF(E192=E191,0,IF(C192=$R$2,HLOOKUP($R$2,Ingreso!$AW$10:$BC$260,VLOOKUP(A192,Ingreso!AL:AM,2,FALSE),FALSE)/24,""))),""))</f>
        <v/>
      </c>
      <c r="N192" s="95" t="str">
        <f>IF(IFERROR(IF(C192=C190,0,IF(E192=E191,0,IF(C192=$R$3,HLOOKUP($R$3,Ingreso!$AW$10:$BC$260,VLOOKUP(A192,Ingreso!AL:AM,2,FALSE),FALSE)/24,""))),"")=0,"",IFERROR(IF(C192=C190,0,IF(E192=E191,0,IF(C192=$R$3,HLOOKUP($R$3,Ingreso!$AW$10:$BC$260,VLOOKUP(A192,Ingreso!AL:AM,2,FALSE),FALSE)/24,""))),""))</f>
        <v/>
      </c>
      <c r="O192" s="95" t="str">
        <f>IF(IFERROR(IF(C192=C190,0,IF(E192=E191,0,IF(C192=$R$4,HLOOKUP($R$4,Ingreso!$AW$10:$BC$260,VLOOKUP(A192,Ingreso!AL:AM,2,FALSE),FALSE)/24,""))),"")=0,"",IFERROR(IF(C192=C190,0,IF(E192=E191,0,IF(C192=$R$4,HLOOKUP($R$4,Ingreso!$AW$10:$BC$260,VLOOKUP(A192,Ingreso!AL:AM,2,FALSE),FALSE)/24,""))),""))</f>
        <v/>
      </c>
      <c r="P192" s="90"/>
      <c r="R192" t="s">
        <v>542</v>
      </c>
      <c r="S192" t="s">
        <v>545</v>
      </c>
      <c r="T192" t="s">
        <v>1423</v>
      </c>
      <c r="U192" t="s">
        <v>1324</v>
      </c>
      <c r="V192" t="s">
        <v>1398</v>
      </c>
      <c r="W192" s="82">
        <v>223</v>
      </c>
      <c r="X192" s="71">
        <v>0.375</v>
      </c>
      <c r="Y192" s="101">
        <v>0.92774305555555558</v>
      </c>
      <c r="Z192" s="101">
        <v>0.31631944444444443</v>
      </c>
      <c r="AA192" s="101">
        <v>0.38857638888888879</v>
      </c>
      <c r="AB192" s="101">
        <v>1.3576388888888791E-2</v>
      </c>
      <c r="AC192" s="105">
        <v>0</v>
      </c>
      <c r="AD192" s="105">
        <v>0</v>
      </c>
      <c r="AE192" s="93">
        <v>0</v>
      </c>
      <c r="AF192" s="93">
        <v>0</v>
      </c>
      <c r="AG192" s="93">
        <v>0</v>
      </c>
    </row>
    <row r="193" spans="1:33">
      <c r="A193" s="65" t="str">
        <f>IFERROR(VLOOKUP('Informe Kelly'!A186,Base!A:B,2,FALSE),"")</f>
        <v>08.465.592-9</v>
      </c>
      <c r="B193" s="65" t="str">
        <f>IFERROR(VLOOKUP('Informe Kelly'!A186,Base!A:G,7,FALSE),"")</f>
        <v>CASTAÑEDA  SANHUEZA,JUAN A</v>
      </c>
      <c r="C193" s="69" t="str">
        <f>IF(G193=$C$4,IF('Informe Kelly'!H186='Control informe Kelly'!$A$2,TEXT(((LEFT('Informe Kelly'!E186,2)*1)+1),"dd")&amp;"."&amp;MID('Informe Kelly'!E186,4,2)&amp;"."&amp;RIGHT('Informe Kelly'!E186,4),'Informe Kelly'!E186),'Informe Kelly'!E186)</f>
        <v>11.04.2011</v>
      </c>
      <c r="D193" s="69" t="str">
        <f>IF('Informe Kelly'!E186="","",'Informe Kelly'!E186)</f>
        <v>11.04.2011</v>
      </c>
      <c r="E193" s="72">
        <f t="shared" si="5"/>
        <v>96</v>
      </c>
      <c r="F193" s="72" t="str">
        <f>IFERROR(HLOOKUP(C193,Ingreso!$Q$8:$AD$9,2,FALSE),"v")</f>
        <v>Lunes</v>
      </c>
      <c r="G193" s="65" t="str">
        <f>IFERROR(VLOOKUP(A193,Ingreso!K:P,6,FALSE),"no esta ingresado")</f>
        <v>Turno C</v>
      </c>
      <c r="H193" s="65" t="str">
        <f>IFERROR(IF('Informe Kelly'!H186=$A$2,'Informe Kelly'!F186,""),0)</f>
        <v/>
      </c>
      <c r="I193" s="65">
        <f>IFERROR(IF('Informe Kelly'!H186=$A$3,'Informe Kelly'!F186,""),0)</f>
        <v>0.3216087962962963</v>
      </c>
      <c r="J193" s="65" t="str">
        <f>IF(IFERROR(IF(E193=E192,0,(HLOOKUP(D193,Ingreso!$AN$10:$AT$260,VLOOKUP(A193,Ingreso!$AL$11:$AM$260,2,FALSE)))/24),0)=0,"",IFERROR(IF(E193=E192,0,(HLOOKUP(D193,Ingreso!$AN$10:$AT$260,VLOOKUP(A193,Ingreso!$AL$11:$AM$260,2,FALSE)))/24),0))</f>
        <v/>
      </c>
      <c r="K193" s="65">
        <f>IF(IFERROR(IF(E193=E192,0,(HLOOKUP(C193,Ingreso!$AW$10:$BC$260,VLOOKUP(A193,Ingreso!$AL$11:$AM$260,2,FALSE)))/24),0)=0,"",IFERROR(IF(E193=E192,0,(HLOOKUP(C193,Ingreso!$AW$10:$BC$260,VLOOKUP(A193,Ingreso!$AL$11:$AM$260,2,FALSE)))/24),0))</f>
        <v>0.3125</v>
      </c>
      <c r="L193" s="63">
        <f t="shared" si="4"/>
        <v>0.375</v>
      </c>
      <c r="M193" s="63">
        <f>IF(IFERROR(IF(C193=C191,0,IF(E193=E192,0,IF(C193=$R$2,HLOOKUP($R$2,Ingreso!$AW$10:$BC$260,VLOOKUP(A193,Ingreso!AL:AM,2,FALSE),FALSE)/24,""))),"")=0,"",IFERROR(IF(C193=C191,0,IF(E193=E192,0,IF(C193=$R$2,HLOOKUP($R$2,Ingreso!$AW$10:$BC$260,VLOOKUP(A193,Ingreso!AL:AM,2,FALSE),FALSE)/24,""))),""))</f>
        <v>0.3125</v>
      </c>
      <c r="N193" s="95" t="str">
        <f>IF(IFERROR(IF(C193=C191,0,IF(E193=E192,0,IF(C193=$R$3,HLOOKUP($R$3,Ingreso!$AW$10:$BC$260,VLOOKUP(A193,Ingreso!AL:AM,2,FALSE),FALSE)/24,""))),"")=0,"",IFERROR(IF(C193=C191,0,IF(E193=E192,0,IF(C193=$R$3,HLOOKUP($R$3,Ingreso!$AW$10:$BC$260,VLOOKUP(A193,Ingreso!AL:AM,2,FALSE),FALSE)/24,""))),""))</f>
        <v/>
      </c>
      <c r="O193" s="95" t="str">
        <f>IF(IFERROR(IF(C193=C191,0,IF(E193=E192,0,IF(C193=$R$4,HLOOKUP($R$4,Ingreso!$AW$10:$BC$260,VLOOKUP(A193,Ingreso!AL:AM,2,FALSE),FALSE)/24,""))),"")=0,"",IFERROR(IF(C193=C191,0,IF(E193=E192,0,IF(C193=$R$4,HLOOKUP($R$4,Ingreso!$AW$10:$BC$260,VLOOKUP(A193,Ingreso!AL:AM,2,FALSE),FALSE)/24,""))),""))</f>
        <v/>
      </c>
      <c r="P193" s="90"/>
      <c r="T193" t="s">
        <v>1424</v>
      </c>
      <c r="U193" t="s">
        <v>1324</v>
      </c>
      <c r="V193" t="s">
        <v>1399</v>
      </c>
      <c r="W193" s="82">
        <v>224</v>
      </c>
      <c r="X193" s="71">
        <v>0.375</v>
      </c>
      <c r="Y193" s="101">
        <v>0.92920138888888892</v>
      </c>
      <c r="Z193" s="101">
        <v>0.31649305555555557</v>
      </c>
      <c r="AA193" s="101">
        <v>0.3872916666666667</v>
      </c>
      <c r="AB193" s="101">
        <v>1.2291666666666701E-2</v>
      </c>
      <c r="AC193" s="105">
        <v>0</v>
      </c>
      <c r="AD193" s="105">
        <v>0</v>
      </c>
      <c r="AE193" s="93">
        <v>0</v>
      </c>
      <c r="AF193" s="93">
        <v>0</v>
      </c>
      <c r="AG193" s="93">
        <v>0</v>
      </c>
    </row>
    <row r="194" spans="1:33">
      <c r="A194" s="65" t="str">
        <f>IFERROR(VLOOKUP('Informe Kelly'!A187,Base!A:B,2,FALSE),"")</f>
        <v>08.465.592-9</v>
      </c>
      <c r="B194" s="65" t="str">
        <f>IFERROR(VLOOKUP('Informe Kelly'!A187,Base!A:G,7,FALSE),"")</f>
        <v>CASTAÑEDA  SANHUEZA,JUAN A</v>
      </c>
      <c r="C194" s="69" t="str">
        <f>IF(G194=$C$4,IF('Informe Kelly'!H187='Control informe Kelly'!$A$2,TEXT(((LEFT('Informe Kelly'!E187,2)*1)+1),"dd")&amp;"."&amp;MID('Informe Kelly'!E187,4,2)&amp;"."&amp;RIGHT('Informe Kelly'!E187,4),'Informe Kelly'!E187),'Informe Kelly'!E187)</f>
        <v>12.04.2011</v>
      </c>
      <c r="D194" s="69" t="str">
        <f>IF('Informe Kelly'!E187="","",'Informe Kelly'!E187)</f>
        <v>11.04.2011</v>
      </c>
      <c r="E194" s="72">
        <f t="shared" si="5"/>
        <v>97</v>
      </c>
      <c r="F194" s="72" t="str">
        <f>IFERROR(HLOOKUP(C194,Ingreso!$Q$8:$AD$9,2,FALSE),"v")</f>
        <v>Martes</v>
      </c>
      <c r="G194" s="65" t="str">
        <f>IFERROR(VLOOKUP(A194,Ingreso!K:P,6,FALSE),"no esta ingresado")</f>
        <v>Turno C</v>
      </c>
      <c r="H194" s="65">
        <f>IFERROR(IF('Informe Kelly'!H187=$A$2,'Informe Kelly'!F187,""),0)</f>
        <v>0.92025462962962967</v>
      </c>
      <c r="I194" s="65" t="str">
        <f>IFERROR(IF('Informe Kelly'!H187=$A$3,'Informe Kelly'!F187,""),0)</f>
        <v/>
      </c>
      <c r="J194" s="65" t="str">
        <f>IF(IFERROR(IF(E194=E193,0,(HLOOKUP(D194,Ingreso!$AN$10:$AT$260,VLOOKUP(A194,Ingreso!$AL$11:$AM$260,2,FALSE)))/24),0)=0,"",IFERROR(IF(E194=E193,0,(HLOOKUP(D194,Ingreso!$AN$10:$AT$260,VLOOKUP(A194,Ingreso!$AL$11:$AM$260,2,FALSE)))/24),0))</f>
        <v/>
      </c>
      <c r="K194" s="65" t="str">
        <f>IF(IFERROR(IF(E194=E193,0,(HLOOKUP(C194,Ingreso!$AW$10:$BC$260,VLOOKUP(A194,Ingreso!$AL$11:$AM$260,2,FALSE)))/24),0)=0,"",IFERROR(IF(E194=E193,0,(HLOOKUP(C194,Ingreso!$AW$10:$BC$260,VLOOKUP(A194,Ingreso!$AL$11:$AM$260,2,FALSE)))/24),0))</f>
        <v/>
      </c>
      <c r="L194" s="63">
        <f t="shared" si="4"/>
        <v>0.375</v>
      </c>
      <c r="M194" s="63" t="str">
        <f>IF(IFERROR(IF(C194=C192,0,IF(E194=E193,0,IF(C194=$R$2,HLOOKUP($R$2,Ingreso!$AW$10:$BC$260,VLOOKUP(A194,Ingreso!AL:AM,2,FALSE),FALSE)/24,""))),"")=0,"",IFERROR(IF(C194=C192,0,IF(E194=E193,0,IF(C194=$R$2,HLOOKUP($R$2,Ingreso!$AW$10:$BC$260,VLOOKUP(A194,Ingreso!AL:AM,2,FALSE),FALSE)/24,""))),""))</f>
        <v/>
      </c>
      <c r="N194" s="95" t="str">
        <f>IF(IFERROR(IF(C194=C192,0,IF(E194=E193,0,IF(C194=$R$3,HLOOKUP($R$3,Ingreso!$AW$10:$BC$260,VLOOKUP(A194,Ingreso!AL:AM,2,FALSE),FALSE)/24,""))),"")=0,"",IFERROR(IF(C194=C192,0,IF(E194=E193,0,IF(C194=$R$3,HLOOKUP($R$3,Ingreso!$AW$10:$BC$260,VLOOKUP(A194,Ingreso!AL:AM,2,FALSE),FALSE)/24,""))),""))</f>
        <v/>
      </c>
      <c r="O194" s="95" t="str">
        <f>IF(IFERROR(IF(C194=C192,0,IF(E194=E193,0,IF(C194=$R$4,HLOOKUP($R$4,Ingreso!$AW$10:$BC$260,VLOOKUP(A194,Ingreso!AL:AM,2,FALSE),FALSE)/24,""))),"")=0,"",IFERROR(IF(C194=C192,0,IF(E194=E193,0,IF(C194=$R$4,HLOOKUP($R$4,Ingreso!$AW$10:$BC$260,VLOOKUP(A194,Ingreso!AL:AM,2,FALSE),FALSE)/24,""))),""))</f>
        <v/>
      </c>
      <c r="P194" s="90"/>
      <c r="T194" t="s">
        <v>1425</v>
      </c>
      <c r="U194" t="s">
        <v>1324</v>
      </c>
      <c r="V194" t="s">
        <v>1400</v>
      </c>
      <c r="W194" s="82">
        <v>225</v>
      </c>
      <c r="X194" s="71">
        <v>0.375</v>
      </c>
      <c r="Y194" s="101">
        <v>0.92723379629629632</v>
      </c>
      <c r="Z194" s="101">
        <v>0.31503472222222223</v>
      </c>
      <c r="AA194" s="101">
        <v>0.38780092592592597</v>
      </c>
      <c r="AB194" s="101">
        <v>1.2800925925925966E-2</v>
      </c>
      <c r="AC194" s="105">
        <v>0</v>
      </c>
      <c r="AD194" s="105">
        <v>0</v>
      </c>
      <c r="AE194" s="93">
        <v>0</v>
      </c>
      <c r="AF194" s="93">
        <v>0</v>
      </c>
      <c r="AG194" s="93">
        <v>0</v>
      </c>
    </row>
    <row r="195" spans="1:33">
      <c r="A195" s="65" t="str">
        <f>IFERROR(VLOOKUP('Informe Kelly'!A188,Base!A:B,2,FALSE),"")</f>
        <v>08.465.592-9</v>
      </c>
      <c r="B195" s="65" t="str">
        <f>IFERROR(VLOOKUP('Informe Kelly'!A188,Base!A:G,7,FALSE),"")</f>
        <v>CASTAÑEDA  SANHUEZA,JUAN A</v>
      </c>
      <c r="C195" s="69" t="str">
        <f>IF(G195=$C$4,IF('Informe Kelly'!H188='Control informe Kelly'!$A$2,TEXT(((LEFT('Informe Kelly'!E188,2)*1)+1),"dd")&amp;"."&amp;MID('Informe Kelly'!E188,4,2)&amp;"."&amp;RIGHT('Informe Kelly'!E188,4),'Informe Kelly'!E188),'Informe Kelly'!E188)</f>
        <v>12.04.2011</v>
      </c>
      <c r="D195" s="69" t="str">
        <f>IF('Informe Kelly'!E188="","",'Informe Kelly'!E188)</f>
        <v>12.04.2011</v>
      </c>
      <c r="E195" s="72">
        <f t="shared" si="5"/>
        <v>97</v>
      </c>
      <c r="F195" s="72" t="str">
        <f>IFERROR(HLOOKUP(C195,Ingreso!$Q$8:$AD$9,2,FALSE),"v")</f>
        <v>Martes</v>
      </c>
      <c r="G195" s="65" t="str">
        <f>IFERROR(VLOOKUP(A195,Ingreso!K:P,6,FALSE),"no esta ingresado")</f>
        <v>Turno C</v>
      </c>
      <c r="H195" s="65" t="str">
        <f>IFERROR(IF('Informe Kelly'!H188=$A$2,'Informe Kelly'!F188,""),0)</f>
        <v/>
      </c>
      <c r="I195" s="65">
        <f>IFERROR(IF('Informe Kelly'!H188=$A$3,'Informe Kelly'!F188,""),0)</f>
        <v>0.32262731481481483</v>
      </c>
      <c r="J195" s="65" t="str">
        <f>IF(IFERROR(IF(E195=E194,0,(HLOOKUP(D195,Ingreso!$AN$10:$AT$260,VLOOKUP(A195,Ingreso!$AL$11:$AM$260,2,FALSE)))/24),0)=0,"",IFERROR(IF(E195=E194,0,(HLOOKUP(D195,Ingreso!$AN$10:$AT$260,VLOOKUP(A195,Ingreso!$AL$11:$AM$260,2,FALSE)))/24),0))</f>
        <v/>
      </c>
      <c r="K195" s="65" t="str">
        <f>IF(IFERROR(IF(E195=E194,0,(HLOOKUP(C195,Ingreso!$AW$10:$BC$260,VLOOKUP(A195,Ingreso!$AL$11:$AM$260,2,FALSE)))/24),0)=0,"",IFERROR(IF(E195=E194,0,(HLOOKUP(C195,Ingreso!$AW$10:$BC$260,VLOOKUP(A195,Ingreso!$AL$11:$AM$260,2,FALSE)))/24),0))</f>
        <v/>
      </c>
      <c r="L195" s="63">
        <f t="shared" si="4"/>
        <v>0</v>
      </c>
      <c r="M195" s="63" t="str">
        <f>IF(IFERROR(IF(C195=C193,0,IF(E195=E194,0,IF(C195=$R$2,HLOOKUP($R$2,Ingreso!$AW$10:$BC$260,VLOOKUP(A195,Ingreso!AL:AM,2,FALSE),FALSE)/24,""))),"")=0,"",IFERROR(IF(C195=C193,0,IF(E195=E194,0,IF(C195=$R$2,HLOOKUP($R$2,Ingreso!$AW$10:$BC$260,VLOOKUP(A195,Ingreso!AL:AM,2,FALSE),FALSE)/24,""))),""))</f>
        <v/>
      </c>
      <c r="N195" s="95" t="str">
        <f>IF(IFERROR(IF(C195=C193,0,IF(E195=E194,0,IF(C195=$R$3,HLOOKUP($R$3,Ingreso!$AW$10:$BC$260,VLOOKUP(A195,Ingreso!AL:AM,2,FALSE),FALSE)/24,""))),"")=0,"",IFERROR(IF(C195=C193,0,IF(E195=E194,0,IF(C195=$R$3,HLOOKUP($R$3,Ingreso!$AW$10:$BC$260,VLOOKUP(A195,Ingreso!AL:AM,2,FALSE),FALSE)/24,""))),""))</f>
        <v/>
      </c>
      <c r="O195" s="95" t="str">
        <f>IF(IFERROR(IF(C195=C193,0,IF(E195=E194,0,IF(C195=$R$4,HLOOKUP($R$4,Ingreso!$AW$10:$BC$260,VLOOKUP(A195,Ingreso!AL:AM,2,FALSE),FALSE)/24,""))),"")=0,"",IFERROR(IF(C195=C193,0,IF(E195=E194,0,IF(C195=$R$4,HLOOKUP($R$4,Ingreso!$AW$10:$BC$260,VLOOKUP(A195,Ingreso!AL:AM,2,FALSE),FALSE)/24,""))),""))</f>
        <v/>
      </c>
      <c r="P195" s="90"/>
      <c r="T195" t="s">
        <v>1426</v>
      </c>
      <c r="U195" t="s">
        <v>1324</v>
      </c>
      <c r="V195" t="s">
        <v>1401</v>
      </c>
      <c r="W195" s="82">
        <v>226</v>
      </c>
      <c r="X195" s="71">
        <v>0.375</v>
      </c>
      <c r="Y195" s="101">
        <v>0.92983796296296306</v>
      </c>
      <c r="Z195" s="101">
        <v>0.31793981481481481</v>
      </c>
      <c r="AA195" s="101">
        <v>0.38810185185185175</v>
      </c>
      <c r="AB195" s="101">
        <v>1.3101851851851753E-2</v>
      </c>
      <c r="AC195" s="105">
        <v>0</v>
      </c>
      <c r="AD195" s="105">
        <v>0</v>
      </c>
      <c r="AE195" s="93">
        <v>0</v>
      </c>
      <c r="AF195" s="93">
        <v>0</v>
      </c>
      <c r="AG195" s="93">
        <v>0</v>
      </c>
    </row>
    <row r="196" spans="1:33">
      <c r="A196" s="65" t="str">
        <f>IFERROR(VLOOKUP('Informe Kelly'!A189,Base!A:B,2,FALSE),"")</f>
        <v>08.465.592-9</v>
      </c>
      <c r="B196" s="65" t="str">
        <f>IFERROR(VLOOKUP('Informe Kelly'!A189,Base!A:G,7,FALSE),"")</f>
        <v>CASTAÑEDA  SANHUEZA,JUAN A</v>
      </c>
      <c r="C196" s="69" t="str">
        <f>IF(G196=$C$4,IF('Informe Kelly'!H189='Control informe Kelly'!$A$2,TEXT(((LEFT('Informe Kelly'!E189,2)*1)+1),"dd")&amp;"."&amp;MID('Informe Kelly'!E189,4,2)&amp;"."&amp;RIGHT('Informe Kelly'!E189,4),'Informe Kelly'!E189),'Informe Kelly'!E189)</f>
        <v>13.04.2011</v>
      </c>
      <c r="D196" s="69" t="str">
        <f>IF('Informe Kelly'!E189="","",'Informe Kelly'!E189)</f>
        <v>12.04.2011</v>
      </c>
      <c r="E196" s="72">
        <f t="shared" si="5"/>
        <v>98</v>
      </c>
      <c r="F196" s="72" t="str">
        <f>IFERROR(HLOOKUP(C196,Ingreso!$Q$8:$AD$9,2,FALSE),"v")</f>
        <v>Miércoles</v>
      </c>
      <c r="G196" s="65" t="str">
        <f>IFERROR(VLOOKUP(A196,Ingreso!K:P,6,FALSE),"no esta ingresado")</f>
        <v>Turno C</v>
      </c>
      <c r="H196" s="65">
        <f>IFERROR(IF('Informe Kelly'!H189=$A$2,'Informe Kelly'!F189,""),0)</f>
        <v>0.91833333333333333</v>
      </c>
      <c r="I196" s="65" t="str">
        <f>IFERROR(IF('Informe Kelly'!H189=$A$3,'Informe Kelly'!F189,""),0)</f>
        <v/>
      </c>
      <c r="J196" s="65" t="str">
        <f>IF(IFERROR(IF(E196=E195,0,(HLOOKUP(D196,Ingreso!$AN$10:$AT$260,VLOOKUP(A196,Ingreso!$AL$11:$AM$260,2,FALSE)))/24),0)=0,"",IFERROR(IF(E196=E195,0,(HLOOKUP(D196,Ingreso!$AN$10:$AT$260,VLOOKUP(A196,Ingreso!$AL$11:$AM$260,2,FALSE)))/24),0))</f>
        <v/>
      </c>
      <c r="K196" s="65" t="str">
        <f>IF(IFERROR(IF(E196=E195,0,(HLOOKUP(C196,Ingreso!$AW$10:$BC$260,VLOOKUP(A196,Ingreso!$AL$11:$AM$260,2,FALSE)))/24),0)=0,"",IFERROR(IF(E196=E195,0,(HLOOKUP(C196,Ingreso!$AW$10:$BC$260,VLOOKUP(A196,Ingreso!$AL$11:$AM$260,2,FALSE)))/24),0))</f>
        <v/>
      </c>
      <c r="L196" s="63">
        <f t="shared" si="4"/>
        <v>0.375</v>
      </c>
      <c r="M196" s="63" t="str">
        <f>IF(IFERROR(IF(C196=C194,0,IF(E196=E195,0,IF(C196=$R$2,HLOOKUP($R$2,Ingreso!$AW$10:$BC$260,VLOOKUP(A196,Ingreso!AL:AM,2,FALSE),FALSE)/24,""))),"")=0,"",IFERROR(IF(C196=C194,0,IF(E196=E195,0,IF(C196=$R$2,HLOOKUP($R$2,Ingreso!$AW$10:$BC$260,VLOOKUP(A196,Ingreso!AL:AM,2,FALSE),FALSE)/24,""))),""))</f>
        <v/>
      </c>
      <c r="N196" s="95" t="str">
        <f>IF(IFERROR(IF(C196=C194,0,IF(E196=E195,0,IF(C196=$R$3,HLOOKUP($R$3,Ingreso!$AW$10:$BC$260,VLOOKUP(A196,Ingreso!AL:AM,2,FALSE),FALSE)/24,""))),"")=0,"",IFERROR(IF(C196=C194,0,IF(E196=E195,0,IF(C196=$R$3,HLOOKUP($R$3,Ingreso!$AW$10:$BC$260,VLOOKUP(A196,Ingreso!AL:AM,2,FALSE),FALSE)/24,""))),""))</f>
        <v/>
      </c>
      <c r="O196" s="95" t="str">
        <f>IF(IFERROR(IF(C196=C194,0,IF(E196=E195,0,IF(C196=$R$4,HLOOKUP($R$4,Ingreso!$AW$10:$BC$260,VLOOKUP(A196,Ingreso!AL:AM,2,FALSE),FALSE)/24,""))),"")=0,"",IFERROR(IF(C196=C194,0,IF(E196=E195,0,IF(C196=$R$4,HLOOKUP($R$4,Ingreso!$AW$10:$BC$260,VLOOKUP(A196,Ingreso!AL:AM,2,FALSE),FALSE)/24,""))),""))</f>
        <v/>
      </c>
      <c r="P196" s="90"/>
      <c r="T196" t="s">
        <v>1427</v>
      </c>
      <c r="U196" t="s">
        <v>1324</v>
      </c>
      <c r="V196" t="s">
        <v>1402</v>
      </c>
      <c r="W196" s="82">
        <v>227</v>
      </c>
      <c r="X196" s="71">
        <v>0.375</v>
      </c>
      <c r="Y196" s="101">
        <v>0.92983796296296306</v>
      </c>
      <c r="Z196" s="101">
        <v>0.31675925925925924</v>
      </c>
      <c r="AA196" s="101">
        <v>0.38692129629629612</v>
      </c>
      <c r="AB196" s="101">
        <v>1.1921296296296124E-2</v>
      </c>
      <c r="AC196" s="105">
        <v>0</v>
      </c>
      <c r="AD196" s="105">
        <v>0</v>
      </c>
      <c r="AE196" s="93">
        <v>0</v>
      </c>
      <c r="AF196" s="93">
        <v>0</v>
      </c>
      <c r="AG196" s="93">
        <v>0</v>
      </c>
    </row>
    <row r="197" spans="1:33">
      <c r="A197" s="65" t="str">
        <f>IFERROR(VLOOKUP('Informe Kelly'!A190,Base!A:B,2,FALSE),"")</f>
        <v>08.465.592-9</v>
      </c>
      <c r="B197" s="65" t="str">
        <f>IFERROR(VLOOKUP('Informe Kelly'!A190,Base!A:G,7,FALSE),"")</f>
        <v>CASTAÑEDA  SANHUEZA,JUAN A</v>
      </c>
      <c r="C197" s="69" t="str">
        <f>IF(G197=$C$4,IF('Informe Kelly'!H190='Control informe Kelly'!$A$2,TEXT(((LEFT('Informe Kelly'!E190,2)*1)+1),"dd")&amp;"."&amp;MID('Informe Kelly'!E190,4,2)&amp;"."&amp;RIGHT('Informe Kelly'!E190,4),'Informe Kelly'!E190),'Informe Kelly'!E190)</f>
        <v>13.04.2011</v>
      </c>
      <c r="D197" s="69" t="str">
        <f>IF('Informe Kelly'!E190="","",'Informe Kelly'!E190)</f>
        <v>13.04.2011</v>
      </c>
      <c r="E197" s="72">
        <f t="shared" si="5"/>
        <v>98</v>
      </c>
      <c r="F197" s="72" t="str">
        <f>IFERROR(HLOOKUP(C197,Ingreso!$Q$8:$AD$9,2,FALSE),"v")</f>
        <v>Miércoles</v>
      </c>
      <c r="G197" s="65" t="str">
        <f>IFERROR(VLOOKUP(A197,Ingreso!K:P,6,FALSE),"no esta ingresado")</f>
        <v>Turno C</v>
      </c>
      <c r="H197" s="65" t="str">
        <f>IFERROR(IF('Informe Kelly'!H190=$A$2,'Informe Kelly'!F190,""),0)</f>
        <v/>
      </c>
      <c r="I197" s="65">
        <f>IFERROR(IF('Informe Kelly'!H190=$A$3,'Informe Kelly'!F190,""),0)</f>
        <v>0.32026620370370368</v>
      </c>
      <c r="J197" s="65" t="str">
        <f>IF(IFERROR(IF(E197=E196,0,(HLOOKUP(D197,Ingreso!$AN$10:$AT$260,VLOOKUP(A197,Ingreso!$AL$11:$AM$260,2,FALSE)))/24),0)=0,"",IFERROR(IF(E197=E196,0,(HLOOKUP(D197,Ingreso!$AN$10:$AT$260,VLOOKUP(A197,Ingreso!$AL$11:$AM$260,2,FALSE)))/24),0))</f>
        <v/>
      </c>
      <c r="K197" s="65" t="str">
        <f>IF(IFERROR(IF(E197=E196,0,(HLOOKUP(C197,Ingreso!$AW$10:$BC$260,VLOOKUP(A197,Ingreso!$AL$11:$AM$260,2,FALSE)))/24),0)=0,"",IFERROR(IF(E197=E196,0,(HLOOKUP(C197,Ingreso!$AW$10:$BC$260,VLOOKUP(A197,Ingreso!$AL$11:$AM$260,2,FALSE)))/24),0))</f>
        <v/>
      </c>
      <c r="L197" s="63">
        <f t="shared" si="4"/>
        <v>0</v>
      </c>
      <c r="M197" s="63" t="str">
        <f>IF(IFERROR(IF(C197=C195,0,IF(E197=E196,0,IF(C197=$R$2,HLOOKUP($R$2,Ingreso!$AW$10:$BC$260,VLOOKUP(A197,Ingreso!AL:AM,2,FALSE),FALSE)/24,""))),"")=0,"",IFERROR(IF(C197=C195,0,IF(E197=E196,0,IF(C197=$R$2,HLOOKUP($R$2,Ingreso!$AW$10:$BC$260,VLOOKUP(A197,Ingreso!AL:AM,2,FALSE),FALSE)/24,""))),""))</f>
        <v/>
      </c>
      <c r="N197" s="95" t="str">
        <f>IF(IFERROR(IF(C197=C195,0,IF(E197=E196,0,IF(C197=$R$3,HLOOKUP($R$3,Ingreso!$AW$10:$BC$260,VLOOKUP(A197,Ingreso!AL:AM,2,FALSE),FALSE)/24,""))),"")=0,"",IFERROR(IF(C197=C195,0,IF(E197=E196,0,IF(C197=$R$3,HLOOKUP($R$3,Ingreso!$AW$10:$BC$260,VLOOKUP(A197,Ingreso!AL:AM,2,FALSE),FALSE)/24,""))),""))</f>
        <v/>
      </c>
      <c r="O197" s="95" t="str">
        <f>IF(IFERROR(IF(C197=C195,0,IF(E197=E196,0,IF(C197=$R$4,HLOOKUP($R$4,Ingreso!$AW$10:$BC$260,VLOOKUP(A197,Ingreso!AL:AM,2,FALSE),FALSE)/24,""))),"")=0,"",IFERROR(IF(C197=C195,0,IF(E197=E196,0,IF(C197=$R$4,HLOOKUP($R$4,Ingreso!$AW$10:$BC$260,VLOOKUP(A197,Ingreso!AL:AM,2,FALSE),FALSE)/24,""))),""))</f>
        <v/>
      </c>
      <c r="P197" s="90"/>
      <c r="R197" t="s">
        <v>670</v>
      </c>
      <c r="S197" t="s">
        <v>674</v>
      </c>
      <c r="T197" t="s">
        <v>1423</v>
      </c>
      <c r="U197" t="s">
        <v>1324</v>
      </c>
      <c r="V197" t="s">
        <v>1398</v>
      </c>
      <c r="W197" s="82">
        <v>228</v>
      </c>
      <c r="X197" s="71">
        <v>0.375</v>
      </c>
      <c r="Y197" s="101">
        <v>0.91951388888888885</v>
      </c>
      <c r="Z197" s="101">
        <v>0.32444444444444448</v>
      </c>
      <c r="AA197" s="101">
        <v>0.40493055555555568</v>
      </c>
      <c r="AB197" s="101">
        <v>2.9930555555555682E-2</v>
      </c>
      <c r="AC197" s="105">
        <v>0</v>
      </c>
      <c r="AD197" s="105">
        <v>0</v>
      </c>
      <c r="AE197" s="93">
        <v>0</v>
      </c>
      <c r="AF197" s="93">
        <v>0</v>
      </c>
      <c r="AG197" s="93">
        <v>0</v>
      </c>
    </row>
    <row r="198" spans="1:33">
      <c r="A198" s="65" t="str">
        <f>IFERROR(VLOOKUP('Informe Kelly'!A191,Base!A:B,2,FALSE),"")</f>
        <v>08.465.592-9</v>
      </c>
      <c r="B198" s="65" t="str">
        <f>IFERROR(VLOOKUP('Informe Kelly'!A191,Base!A:G,7,FALSE),"")</f>
        <v>CASTAÑEDA  SANHUEZA,JUAN A</v>
      </c>
      <c r="C198" s="69" t="str">
        <f>IF(G198=$C$4,IF('Informe Kelly'!H191='Control informe Kelly'!$A$2,TEXT(((LEFT('Informe Kelly'!E191,2)*1)+1),"dd")&amp;"."&amp;MID('Informe Kelly'!E191,4,2)&amp;"."&amp;RIGHT('Informe Kelly'!E191,4),'Informe Kelly'!E191),'Informe Kelly'!E191)</f>
        <v>14.04.2011</v>
      </c>
      <c r="D198" s="69" t="str">
        <f>IF('Informe Kelly'!E191="","",'Informe Kelly'!E191)</f>
        <v>13.04.2011</v>
      </c>
      <c r="E198" s="72">
        <f t="shared" si="5"/>
        <v>99</v>
      </c>
      <c r="F198" s="72" t="str">
        <f>IFERROR(HLOOKUP(C198,Ingreso!$Q$8:$AD$9,2,FALSE),"v")</f>
        <v>Jueves</v>
      </c>
      <c r="G198" s="65" t="str">
        <f>IFERROR(VLOOKUP(A198,Ingreso!K:P,6,FALSE),"no esta ingresado")</f>
        <v>Turno C</v>
      </c>
      <c r="H198" s="65">
        <f>IFERROR(IF('Informe Kelly'!H191=$A$2,'Informe Kelly'!F191,""),0)</f>
        <v>0.92464120370370362</v>
      </c>
      <c r="I198" s="65" t="str">
        <f>IFERROR(IF('Informe Kelly'!H191=$A$3,'Informe Kelly'!F191,""),0)</f>
        <v/>
      </c>
      <c r="J198" s="65" t="str">
        <f>IF(IFERROR(IF(E198=E197,0,(HLOOKUP(D198,Ingreso!$AN$10:$AT$260,VLOOKUP(A198,Ingreso!$AL$11:$AM$260,2,FALSE)))/24),0)=0,"",IFERROR(IF(E198=E197,0,(HLOOKUP(D198,Ingreso!$AN$10:$AT$260,VLOOKUP(A198,Ingreso!$AL$11:$AM$260,2,FALSE)))/24),0))</f>
        <v/>
      </c>
      <c r="K198" s="65" t="str">
        <f>IF(IFERROR(IF(E198=E197,0,(HLOOKUP(C198,Ingreso!$AW$10:$BC$260,VLOOKUP(A198,Ingreso!$AL$11:$AM$260,2,FALSE)))/24),0)=0,"",IFERROR(IF(E198=E197,0,(HLOOKUP(C198,Ingreso!$AW$10:$BC$260,VLOOKUP(A198,Ingreso!$AL$11:$AM$260,2,FALSE)))/24),0))</f>
        <v/>
      </c>
      <c r="L198" s="63">
        <f t="shared" si="4"/>
        <v>0.375</v>
      </c>
      <c r="M198" s="63" t="str">
        <f>IF(IFERROR(IF(C198=C196,0,IF(E198=E197,0,IF(C198=$R$2,HLOOKUP($R$2,Ingreso!$AW$10:$BC$260,VLOOKUP(A198,Ingreso!AL:AM,2,FALSE),FALSE)/24,""))),"")=0,"",IFERROR(IF(C198=C196,0,IF(E198=E197,0,IF(C198=$R$2,HLOOKUP($R$2,Ingreso!$AW$10:$BC$260,VLOOKUP(A198,Ingreso!AL:AM,2,FALSE),FALSE)/24,""))),""))</f>
        <v/>
      </c>
      <c r="N198" s="95" t="str">
        <f>IF(IFERROR(IF(C198=C196,0,IF(E198=E197,0,IF(C198=$R$3,HLOOKUP($R$3,Ingreso!$AW$10:$BC$260,VLOOKUP(A198,Ingreso!AL:AM,2,FALSE),FALSE)/24,""))),"")=0,"",IFERROR(IF(C198=C196,0,IF(E198=E197,0,IF(C198=$R$3,HLOOKUP($R$3,Ingreso!$AW$10:$BC$260,VLOOKUP(A198,Ingreso!AL:AM,2,FALSE),FALSE)/24,""))),""))</f>
        <v/>
      </c>
      <c r="O198" s="95" t="str">
        <f>IF(IFERROR(IF(C198=C196,0,IF(E198=E197,0,IF(C198=$R$4,HLOOKUP($R$4,Ingreso!$AW$10:$BC$260,VLOOKUP(A198,Ingreso!AL:AM,2,FALSE),FALSE)/24,""))),"")=0,"",IFERROR(IF(C198=C196,0,IF(E198=E197,0,IF(C198=$R$4,HLOOKUP($R$4,Ingreso!$AW$10:$BC$260,VLOOKUP(A198,Ingreso!AL:AM,2,FALSE),FALSE)/24,""))),""))</f>
        <v/>
      </c>
      <c r="P198" s="90"/>
      <c r="T198" t="s">
        <v>1424</v>
      </c>
      <c r="U198" t="s">
        <v>1324</v>
      </c>
      <c r="V198" t="s">
        <v>1399</v>
      </c>
      <c r="W198" s="82">
        <v>229</v>
      </c>
      <c r="X198" s="71">
        <v>0.375</v>
      </c>
      <c r="Y198" s="101">
        <v>0.91824074074074069</v>
      </c>
      <c r="Z198" s="101">
        <v>0.326087962962963</v>
      </c>
      <c r="AA198" s="101">
        <v>0.40784722222222225</v>
      </c>
      <c r="AB198" s="101">
        <v>3.284722222222225E-2</v>
      </c>
      <c r="AC198" s="105">
        <v>0</v>
      </c>
      <c r="AD198" s="105">
        <v>0</v>
      </c>
      <c r="AE198" s="93">
        <v>0</v>
      </c>
      <c r="AF198" s="93">
        <v>0</v>
      </c>
      <c r="AG198" s="93">
        <v>0</v>
      </c>
    </row>
    <row r="199" spans="1:33">
      <c r="A199" s="65" t="str">
        <f>IFERROR(VLOOKUP('Informe Kelly'!A192,Base!A:B,2,FALSE),"")</f>
        <v>08.465.592-9</v>
      </c>
      <c r="B199" s="65" t="str">
        <f>IFERROR(VLOOKUP('Informe Kelly'!A192,Base!A:G,7,FALSE),"")</f>
        <v>CASTAÑEDA  SANHUEZA,JUAN A</v>
      </c>
      <c r="C199" s="69" t="str">
        <f>IF(G199=$C$4,IF('Informe Kelly'!H192='Control informe Kelly'!$A$2,TEXT(((LEFT('Informe Kelly'!E192,2)*1)+1),"dd")&amp;"."&amp;MID('Informe Kelly'!E192,4,2)&amp;"."&amp;RIGHT('Informe Kelly'!E192,4),'Informe Kelly'!E192),'Informe Kelly'!E192)</f>
        <v>14.04.2011</v>
      </c>
      <c r="D199" s="69" t="str">
        <f>IF('Informe Kelly'!E192="","",'Informe Kelly'!E192)</f>
        <v>14.04.2011</v>
      </c>
      <c r="E199" s="72">
        <f t="shared" si="5"/>
        <v>99</v>
      </c>
      <c r="F199" s="72" t="str">
        <f>IFERROR(HLOOKUP(C199,Ingreso!$Q$8:$AD$9,2,FALSE),"v")</f>
        <v>Jueves</v>
      </c>
      <c r="G199" s="65" t="str">
        <f>IFERROR(VLOOKUP(A199,Ingreso!K:P,6,FALSE),"no esta ingresado")</f>
        <v>Turno C</v>
      </c>
      <c r="H199" s="65" t="str">
        <f>IFERROR(IF('Informe Kelly'!H192=$A$2,'Informe Kelly'!F192,""),0)</f>
        <v/>
      </c>
      <c r="I199" s="65">
        <f>IFERROR(IF('Informe Kelly'!H192=$A$3,'Informe Kelly'!F192,""),0)</f>
        <v>0.32255787037037037</v>
      </c>
      <c r="J199" s="65" t="str">
        <f>IF(IFERROR(IF(E199=E198,0,(HLOOKUP(D199,Ingreso!$AN$10:$AT$260,VLOOKUP(A199,Ingreso!$AL$11:$AM$260,2,FALSE)))/24),0)=0,"",IFERROR(IF(E199=E198,0,(HLOOKUP(D199,Ingreso!$AN$10:$AT$260,VLOOKUP(A199,Ingreso!$AL$11:$AM$260,2,FALSE)))/24),0))</f>
        <v/>
      </c>
      <c r="K199" s="65" t="str">
        <f>IF(IFERROR(IF(E199=E198,0,(HLOOKUP(C199,Ingreso!$AW$10:$BC$260,VLOOKUP(A199,Ingreso!$AL$11:$AM$260,2,FALSE)))/24),0)=0,"",IFERROR(IF(E199=E198,0,(HLOOKUP(C199,Ingreso!$AW$10:$BC$260,VLOOKUP(A199,Ingreso!$AL$11:$AM$260,2,FALSE)))/24),0))</f>
        <v/>
      </c>
      <c r="L199" s="63">
        <f t="shared" si="4"/>
        <v>0</v>
      </c>
      <c r="M199" s="63" t="str">
        <f>IF(IFERROR(IF(C199=C197,0,IF(E199=E198,0,IF(C199=$R$2,HLOOKUP($R$2,Ingreso!$AW$10:$BC$260,VLOOKUP(A199,Ingreso!AL:AM,2,FALSE),FALSE)/24,""))),"")=0,"",IFERROR(IF(C199=C197,0,IF(E199=E198,0,IF(C199=$R$2,HLOOKUP($R$2,Ingreso!$AW$10:$BC$260,VLOOKUP(A199,Ingreso!AL:AM,2,FALSE),FALSE)/24,""))),""))</f>
        <v/>
      </c>
      <c r="N199" s="95" t="str">
        <f>IF(IFERROR(IF(C199=C197,0,IF(E199=E198,0,IF(C199=$R$3,HLOOKUP($R$3,Ingreso!$AW$10:$BC$260,VLOOKUP(A199,Ingreso!AL:AM,2,FALSE),FALSE)/24,""))),"")=0,"",IFERROR(IF(C199=C197,0,IF(E199=E198,0,IF(C199=$R$3,HLOOKUP($R$3,Ingreso!$AW$10:$BC$260,VLOOKUP(A199,Ingreso!AL:AM,2,FALSE),FALSE)/24,""))),""))</f>
        <v/>
      </c>
      <c r="O199" s="95" t="str">
        <f>IF(IFERROR(IF(C199=C197,0,IF(E199=E198,0,IF(C199=$R$4,HLOOKUP($R$4,Ingreso!$AW$10:$BC$260,VLOOKUP(A199,Ingreso!AL:AM,2,FALSE),FALSE)/24,""))),"")=0,"",IFERROR(IF(C199=C197,0,IF(E199=E198,0,IF(C199=$R$4,HLOOKUP($R$4,Ingreso!$AW$10:$BC$260,VLOOKUP(A199,Ingreso!AL:AM,2,FALSE),FALSE)/24,""))),""))</f>
        <v/>
      </c>
      <c r="P199" s="90"/>
      <c r="T199" t="s">
        <v>1425</v>
      </c>
      <c r="U199" t="s">
        <v>1324</v>
      </c>
      <c r="V199" t="s">
        <v>1400</v>
      </c>
      <c r="W199" s="82">
        <v>230</v>
      </c>
      <c r="X199" s="71">
        <v>0.375</v>
      </c>
      <c r="Y199" s="101">
        <v>0.91820601851851846</v>
      </c>
      <c r="Z199" s="101">
        <v>0.32765046296296296</v>
      </c>
      <c r="AA199" s="101">
        <v>0.4094444444444445</v>
      </c>
      <c r="AB199" s="101">
        <v>3.44444444444445E-2</v>
      </c>
      <c r="AC199" s="105">
        <v>0</v>
      </c>
      <c r="AD199" s="105">
        <v>0</v>
      </c>
      <c r="AE199" s="93">
        <v>0</v>
      </c>
      <c r="AF199" s="93">
        <v>0</v>
      </c>
      <c r="AG199" s="93">
        <v>0</v>
      </c>
    </row>
    <row r="200" spans="1:33">
      <c r="A200" s="65" t="str">
        <f>IFERROR(VLOOKUP('Informe Kelly'!A193,Base!A:B,2,FALSE),"")</f>
        <v>08.465.592-9</v>
      </c>
      <c r="B200" s="65" t="str">
        <f>IFERROR(VLOOKUP('Informe Kelly'!A193,Base!A:G,7,FALSE),"")</f>
        <v>CASTAÑEDA  SANHUEZA,JUAN A</v>
      </c>
      <c r="C200" s="69" t="str">
        <f>IF(G200=$C$4,IF('Informe Kelly'!H193='Control informe Kelly'!$A$2,TEXT(((LEFT('Informe Kelly'!E193,2)*1)+1),"dd")&amp;"."&amp;MID('Informe Kelly'!E193,4,2)&amp;"."&amp;RIGHT('Informe Kelly'!E193,4),'Informe Kelly'!E193),'Informe Kelly'!E193)</f>
        <v>15.04.2011</v>
      </c>
      <c r="D200" s="69" t="str">
        <f>IF('Informe Kelly'!E193="","",'Informe Kelly'!E193)</f>
        <v>14.04.2011</v>
      </c>
      <c r="E200" s="72">
        <f t="shared" si="5"/>
        <v>100</v>
      </c>
      <c r="F200" s="72" t="str">
        <f>IFERROR(HLOOKUP(C200,Ingreso!$Q$8:$AD$9,2,FALSE),"v")</f>
        <v>Viernes</v>
      </c>
      <c r="G200" s="65" t="str">
        <f>IFERROR(VLOOKUP(A200,Ingreso!K:P,6,FALSE),"no esta ingresado")</f>
        <v>Turno C</v>
      </c>
      <c r="H200" s="65">
        <f>IFERROR(IF('Informe Kelly'!H193=$A$2,'Informe Kelly'!F193,""),0)</f>
        <v>0.91953703703703704</v>
      </c>
      <c r="I200" s="65" t="str">
        <f>IFERROR(IF('Informe Kelly'!H193=$A$3,'Informe Kelly'!F193,""),0)</f>
        <v/>
      </c>
      <c r="J200" s="65" t="str">
        <f>IF(IFERROR(IF(E200=E199,0,(HLOOKUP(D200,Ingreso!$AN$10:$AT$260,VLOOKUP(A200,Ingreso!$AL$11:$AM$260,2,FALSE)))/24),0)=0,"",IFERROR(IF(E200=E199,0,(HLOOKUP(D200,Ingreso!$AN$10:$AT$260,VLOOKUP(A200,Ingreso!$AL$11:$AM$260,2,FALSE)))/24),0))</f>
        <v/>
      </c>
      <c r="K200" s="65" t="str">
        <f>IF(IFERROR(IF(E200=E199,0,(HLOOKUP(C200,Ingreso!$AW$10:$BC$260,VLOOKUP(A200,Ingreso!$AL$11:$AM$260,2,FALSE)))/24),0)=0,"",IFERROR(IF(E200=E199,0,(HLOOKUP(C200,Ingreso!$AW$10:$BC$260,VLOOKUP(A200,Ingreso!$AL$11:$AM$260,2,FALSE)))/24),0))</f>
        <v/>
      </c>
      <c r="L200" s="63">
        <f t="shared" si="4"/>
        <v>0.375</v>
      </c>
      <c r="M200" s="63" t="str">
        <f>IF(IFERROR(IF(C200=C198,0,IF(E200=E199,0,IF(C200=$R$2,HLOOKUP($R$2,Ingreso!$AW$10:$BC$260,VLOOKUP(A200,Ingreso!AL:AM,2,FALSE),FALSE)/24,""))),"")=0,"",IFERROR(IF(C200=C198,0,IF(E200=E199,0,IF(C200=$R$2,HLOOKUP($R$2,Ingreso!$AW$10:$BC$260,VLOOKUP(A200,Ingreso!AL:AM,2,FALSE),FALSE)/24,""))),""))</f>
        <v/>
      </c>
      <c r="N200" s="95" t="str">
        <f>IF(IFERROR(IF(C200=C198,0,IF(E200=E199,0,IF(C200=$R$3,HLOOKUP($R$3,Ingreso!$AW$10:$BC$260,VLOOKUP(A200,Ingreso!AL:AM,2,FALSE),FALSE)/24,""))),"")=0,"",IFERROR(IF(C200=C198,0,IF(E200=E199,0,IF(C200=$R$3,HLOOKUP($R$3,Ingreso!$AW$10:$BC$260,VLOOKUP(A200,Ingreso!AL:AM,2,FALSE),FALSE)/24,""))),""))</f>
        <v/>
      </c>
      <c r="O200" s="95" t="str">
        <f>IF(IFERROR(IF(C200=C198,0,IF(E200=E199,0,IF(C200=$R$4,HLOOKUP($R$4,Ingreso!$AW$10:$BC$260,VLOOKUP(A200,Ingreso!AL:AM,2,FALSE),FALSE)/24,""))),"")=0,"",IFERROR(IF(C200=C198,0,IF(E200=E199,0,IF(C200=$R$4,HLOOKUP($R$4,Ingreso!$AW$10:$BC$260,VLOOKUP(A200,Ingreso!AL:AM,2,FALSE),FALSE)/24,""))),""))</f>
        <v/>
      </c>
      <c r="P200" s="90"/>
      <c r="T200" t="s">
        <v>1426</v>
      </c>
      <c r="U200" t="s">
        <v>1324</v>
      </c>
      <c r="V200" t="s">
        <v>1401</v>
      </c>
      <c r="W200" s="82">
        <v>231</v>
      </c>
      <c r="X200" s="71">
        <v>0.375</v>
      </c>
      <c r="Y200" s="101">
        <v>1.8464699074074074</v>
      </c>
      <c r="Z200" s="101">
        <v>0</v>
      </c>
      <c r="AA200" s="101">
        <v>-0.84646990740740735</v>
      </c>
      <c r="AB200" s="101">
        <v>-1.2214699074074074</v>
      </c>
      <c r="AC200" s="105">
        <v>0</v>
      </c>
      <c r="AD200" s="105">
        <v>0</v>
      </c>
      <c r="AE200" s="93">
        <v>0</v>
      </c>
      <c r="AF200" s="93">
        <v>0</v>
      </c>
      <c r="AG200" s="93">
        <v>0</v>
      </c>
    </row>
    <row r="201" spans="1:33">
      <c r="A201" s="65" t="str">
        <f>IFERROR(VLOOKUP('Informe Kelly'!A194,Base!A:B,2,FALSE),"")</f>
        <v>08.465.592-9</v>
      </c>
      <c r="B201" s="65" t="str">
        <f>IFERROR(VLOOKUP('Informe Kelly'!A194,Base!A:G,7,FALSE),"")</f>
        <v>CASTAÑEDA  SANHUEZA,JUAN A</v>
      </c>
      <c r="C201" s="69" t="str">
        <f>IF(G201=$C$4,IF('Informe Kelly'!H194='Control informe Kelly'!$A$2,TEXT(((LEFT('Informe Kelly'!E194,2)*1)+1),"dd")&amp;"."&amp;MID('Informe Kelly'!E194,4,2)&amp;"."&amp;RIGHT('Informe Kelly'!E194,4),'Informe Kelly'!E194),'Informe Kelly'!E194)</f>
        <v>15.04.2011</v>
      </c>
      <c r="D201" s="69" t="str">
        <f>IF('Informe Kelly'!E194="","",'Informe Kelly'!E194)</f>
        <v>15.04.2011</v>
      </c>
      <c r="E201" s="72">
        <f t="shared" si="5"/>
        <v>100</v>
      </c>
      <c r="F201" s="72" t="str">
        <f>IFERROR(HLOOKUP(C201,Ingreso!$Q$8:$AD$9,2,FALSE),"v")</f>
        <v>Viernes</v>
      </c>
      <c r="G201" s="65" t="str">
        <f>IFERROR(VLOOKUP(A201,Ingreso!K:P,6,FALSE),"no esta ingresado")</f>
        <v>Turno C</v>
      </c>
      <c r="H201" s="65" t="str">
        <f>IFERROR(IF('Informe Kelly'!H194=$A$2,'Informe Kelly'!F194,""),0)</f>
        <v/>
      </c>
      <c r="I201" s="65">
        <f>IFERROR(IF('Informe Kelly'!H194=$A$3,'Informe Kelly'!F194,""),0)</f>
        <v>0.32449074074074075</v>
      </c>
      <c r="J201" s="65" t="str">
        <f>IF(IFERROR(IF(E201=E200,0,(HLOOKUP(D201,Ingreso!$AN$10:$AT$260,VLOOKUP(A201,Ingreso!$AL$11:$AM$260,2,FALSE)))/24),0)=0,"",IFERROR(IF(E201=E200,0,(HLOOKUP(D201,Ingreso!$AN$10:$AT$260,VLOOKUP(A201,Ingreso!$AL$11:$AM$260,2,FALSE)))/24),0))</f>
        <v/>
      </c>
      <c r="K201" s="65" t="str">
        <f>IF(IFERROR(IF(E201=E200,0,(HLOOKUP(C201,Ingreso!$AW$10:$BC$260,VLOOKUP(A201,Ingreso!$AL$11:$AM$260,2,FALSE)))/24),0)=0,"",IFERROR(IF(E201=E200,0,(HLOOKUP(C201,Ingreso!$AW$10:$BC$260,VLOOKUP(A201,Ingreso!$AL$11:$AM$260,2,FALSE)))/24),0))</f>
        <v/>
      </c>
      <c r="L201" s="63">
        <f t="shared" ref="L201:L264" si="6">IFERROR(IF(C201=C199,0,IF(E201=E200,0,(VLOOKUP(G201,$C$2:$D$5,2,FALSE)))),"")</f>
        <v>0</v>
      </c>
      <c r="M201" s="63" t="str">
        <f>IF(IFERROR(IF(C201=C199,0,IF(E201=E200,0,IF(C201=$R$2,HLOOKUP($R$2,Ingreso!$AW$10:$BC$260,VLOOKUP(A201,Ingreso!AL:AM,2,FALSE),FALSE)/24,""))),"")=0,"",IFERROR(IF(C201=C199,0,IF(E201=E200,0,IF(C201=$R$2,HLOOKUP($R$2,Ingreso!$AW$10:$BC$260,VLOOKUP(A201,Ingreso!AL:AM,2,FALSE),FALSE)/24,""))),""))</f>
        <v/>
      </c>
      <c r="N201" s="95" t="str">
        <f>IF(IFERROR(IF(C201=C199,0,IF(E201=E200,0,IF(C201=$R$3,HLOOKUP($R$3,Ingreso!$AW$10:$BC$260,VLOOKUP(A201,Ingreso!AL:AM,2,FALSE),FALSE)/24,""))),"")=0,"",IFERROR(IF(C201=C199,0,IF(E201=E200,0,IF(C201=$R$3,HLOOKUP($R$3,Ingreso!$AW$10:$BC$260,VLOOKUP(A201,Ingreso!AL:AM,2,FALSE),FALSE)/24,""))),""))</f>
        <v/>
      </c>
      <c r="O201" s="95" t="str">
        <f>IF(IFERROR(IF(C201=C199,0,IF(E201=E200,0,IF(C201=$R$4,HLOOKUP($R$4,Ingreso!$AW$10:$BC$260,VLOOKUP(A201,Ingreso!AL:AM,2,FALSE),FALSE)/24,""))),"")=0,"",IFERROR(IF(C201=C199,0,IF(E201=E200,0,IF(C201=$R$4,HLOOKUP($R$4,Ingreso!$AW$10:$BC$260,VLOOKUP(A201,Ingreso!AL:AM,2,FALSE),FALSE)/24,""))),""))</f>
        <v/>
      </c>
      <c r="P201" s="90"/>
      <c r="V201"/>
      <c r="W201" s="82">
        <v>232</v>
      </c>
      <c r="X201" s="71">
        <v>0</v>
      </c>
      <c r="Y201" s="101">
        <v>0</v>
      </c>
      <c r="Z201" s="101">
        <v>0.32392361111111112</v>
      </c>
      <c r="AA201" s="101">
        <v>0.32392361111111112</v>
      </c>
      <c r="AB201" s="101">
        <v>0.32392361111111112</v>
      </c>
      <c r="AC201" s="105">
        <v>0</v>
      </c>
      <c r="AD201" s="105">
        <v>0</v>
      </c>
      <c r="AE201" s="93">
        <v>0</v>
      </c>
      <c r="AF201" s="93">
        <v>0</v>
      </c>
      <c r="AG201" s="93">
        <v>0</v>
      </c>
    </row>
    <row r="202" spans="1:33">
      <c r="A202" s="65" t="str">
        <f>IFERROR(VLOOKUP('Informe Kelly'!A195,Base!A:B,2,FALSE),"")</f>
        <v>08.465.592-9</v>
      </c>
      <c r="B202" s="65" t="str">
        <f>IFERROR(VLOOKUP('Informe Kelly'!A195,Base!A:G,7,FALSE),"")</f>
        <v>CASTAÑEDA  SANHUEZA,JUAN A</v>
      </c>
      <c r="C202" s="69" t="str">
        <f>IF(G202=$C$4,IF('Informe Kelly'!H195='Control informe Kelly'!$A$2,TEXT(((LEFT('Informe Kelly'!E195,2)*1)+1),"dd")&amp;"."&amp;MID('Informe Kelly'!E195,4,2)&amp;"."&amp;RIGHT('Informe Kelly'!E195,4),'Informe Kelly'!E195),'Informe Kelly'!E195)</f>
        <v>16.04.2011</v>
      </c>
      <c r="D202" s="69" t="str">
        <f>IF('Informe Kelly'!E195="","",'Informe Kelly'!E195)</f>
        <v>15.04.2011</v>
      </c>
      <c r="E202" s="72">
        <f t="shared" ref="E202:E265" si="7">IF(C201=C202,IF(C202=C199,E201,IF(C202=C200,E201+1,E201)),E201+1)</f>
        <v>101</v>
      </c>
      <c r="F202" s="72" t="str">
        <f>IFERROR(HLOOKUP(C202,Ingreso!$Q$8:$AD$9,2,FALSE),"v")</f>
        <v>Sábado</v>
      </c>
      <c r="G202" s="65" t="str">
        <f>IFERROR(VLOOKUP(A202,Ingreso!K:P,6,FALSE),"no esta ingresado")</f>
        <v>Turno C</v>
      </c>
      <c r="H202" s="65">
        <f>IFERROR(IF('Informe Kelly'!H195=$A$2,'Informe Kelly'!F195,""),0)</f>
        <v>0.919988425925926</v>
      </c>
      <c r="I202" s="65" t="str">
        <f>IFERROR(IF('Informe Kelly'!H195=$A$3,'Informe Kelly'!F195,""),0)</f>
        <v/>
      </c>
      <c r="J202" s="65" t="str">
        <f>IF(IFERROR(IF(E202=E201,0,(HLOOKUP(D202,Ingreso!$AN$10:$AT$260,VLOOKUP(A202,Ingreso!$AL$11:$AM$260,2,FALSE)))/24),0)=0,"",IFERROR(IF(E202=E201,0,(HLOOKUP(D202,Ingreso!$AN$10:$AT$260,VLOOKUP(A202,Ingreso!$AL$11:$AM$260,2,FALSE)))/24),0))</f>
        <v/>
      </c>
      <c r="K202" s="65" t="str">
        <f>IF(IFERROR(IF(E202=E201,0,(HLOOKUP(C202,Ingreso!$AW$10:$BC$260,VLOOKUP(A202,Ingreso!$AL$11:$AM$260,2,FALSE)))/24),0)=0,"",IFERROR(IF(E202=E201,0,(HLOOKUP(C202,Ingreso!$AW$10:$BC$260,VLOOKUP(A202,Ingreso!$AL$11:$AM$260,2,FALSE)))/24),0))</f>
        <v/>
      </c>
      <c r="L202" s="63">
        <f t="shared" si="6"/>
        <v>0.375</v>
      </c>
      <c r="M202" s="63" t="str">
        <f>IF(IFERROR(IF(C202=C200,0,IF(E202=E201,0,IF(C202=$R$2,HLOOKUP($R$2,Ingreso!$AW$10:$BC$260,VLOOKUP(A202,Ingreso!AL:AM,2,FALSE),FALSE)/24,""))),"")=0,"",IFERROR(IF(C202=C200,0,IF(E202=E201,0,IF(C202=$R$2,HLOOKUP($R$2,Ingreso!$AW$10:$BC$260,VLOOKUP(A202,Ingreso!AL:AM,2,FALSE),FALSE)/24,""))),""))</f>
        <v/>
      </c>
      <c r="N202" s="95" t="str">
        <f>IF(IFERROR(IF(C202=C200,0,IF(E202=E201,0,IF(C202=$R$3,HLOOKUP($R$3,Ingreso!$AW$10:$BC$260,VLOOKUP(A202,Ingreso!AL:AM,2,FALSE),FALSE)/24,""))),"")=0,"",IFERROR(IF(C202=C200,0,IF(E202=E201,0,IF(C202=$R$3,HLOOKUP($R$3,Ingreso!$AW$10:$BC$260,VLOOKUP(A202,Ingreso!AL:AM,2,FALSE),FALSE)/24,""))),""))</f>
        <v/>
      </c>
      <c r="O202" s="95" t="str">
        <f>IF(IFERROR(IF(C202=C200,0,IF(E202=E201,0,IF(C202=$R$4,HLOOKUP($R$4,Ingreso!$AW$10:$BC$260,VLOOKUP(A202,Ingreso!AL:AM,2,FALSE),FALSE)/24,""))),"")=0,"",IFERROR(IF(C202=C200,0,IF(E202=E201,0,IF(C202=$R$4,HLOOKUP($R$4,Ingreso!$AW$10:$BC$260,VLOOKUP(A202,Ingreso!AL:AM,2,FALSE),FALSE)/24,""))),""))</f>
        <v/>
      </c>
      <c r="P202" s="90"/>
      <c r="T202" t="s">
        <v>1427</v>
      </c>
      <c r="U202" t="s">
        <v>1324</v>
      </c>
      <c r="V202" t="s">
        <v>1402</v>
      </c>
      <c r="W202" s="82">
        <v>233</v>
      </c>
      <c r="X202" s="71">
        <v>0.375</v>
      </c>
      <c r="Y202" s="101">
        <v>0.92092592592592604</v>
      </c>
      <c r="Z202" s="101">
        <v>0.32577546296296295</v>
      </c>
      <c r="AA202" s="101">
        <v>0.40484953703703697</v>
      </c>
      <c r="AB202" s="101">
        <v>2.9849537037036966E-2</v>
      </c>
      <c r="AC202" s="105">
        <v>0</v>
      </c>
      <c r="AD202" s="105">
        <v>0</v>
      </c>
      <c r="AE202" s="93">
        <v>0</v>
      </c>
      <c r="AF202" s="93">
        <v>0</v>
      </c>
      <c r="AG202" s="93">
        <v>0</v>
      </c>
    </row>
    <row r="203" spans="1:33" ht="12.75" customHeight="1">
      <c r="A203" s="65" t="str">
        <f>IFERROR(VLOOKUP('Informe Kelly'!A196,Base!A:B,2,FALSE),"")</f>
        <v>08.465.592-9</v>
      </c>
      <c r="B203" s="65" t="str">
        <f>IFERROR(VLOOKUP('Informe Kelly'!A196,Base!A:G,7,FALSE),"")</f>
        <v>CASTAÑEDA  SANHUEZA,JUAN A</v>
      </c>
      <c r="C203" s="69" t="str">
        <f>IF(G203=$C$4,IF('Informe Kelly'!H196='Control informe Kelly'!$A$2,TEXT(((LEFT('Informe Kelly'!E196,2)*1)+1),"dd")&amp;"."&amp;MID('Informe Kelly'!E196,4,2)&amp;"."&amp;RIGHT('Informe Kelly'!E196,4),'Informe Kelly'!E196),'Informe Kelly'!E196)</f>
        <v>16.04.2011</v>
      </c>
      <c r="D203" s="69" t="str">
        <f>IF('Informe Kelly'!E196="","",'Informe Kelly'!E196)</f>
        <v>16.04.2011</v>
      </c>
      <c r="E203" s="72">
        <f t="shared" si="7"/>
        <v>101</v>
      </c>
      <c r="F203" s="72" t="str">
        <f>IFERROR(HLOOKUP(C203,Ingreso!$Q$8:$AD$9,2,FALSE),"v")</f>
        <v>Sábado</v>
      </c>
      <c r="G203" s="65" t="str">
        <f>IFERROR(VLOOKUP(A203,Ingreso!K:P,6,FALSE),"no esta ingresado")</f>
        <v>Turno C</v>
      </c>
      <c r="H203" s="65" t="str">
        <f>IFERROR(IF('Informe Kelly'!H196=$A$2,'Informe Kelly'!F196,""),0)</f>
        <v/>
      </c>
      <c r="I203" s="65">
        <f>IFERROR(IF('Informe Kelly'!H196=$A$3,'Informe Kelly'!F196,""),0)</f>
        <v>0.32495370370370369</v>
      </c>
      <c r="J203" s="65" t="str">
        <f>IF(IFERROR(IF(E203=E202,0,(HLOOKUP(D203,Ingreso!$AN$10:$AT$260,VLOOKUP(A203,Ingreso!$AL$11:$AM$260,2,FALSE)))/24),0)=0,"",IFERROR(IF(E203=E202,0,(HLOOKUP(D203,Ingreso!$AN$10:$AT$260,VLOOKUP(A203,Ingreso!$AL$11:$AM$260,2,FALSE)))/24),0))</f>
        <v/>
      </c>
      <c r="K203" s="65" t="str">
        <f>IF(IFERROR(IF(E203=E202,0,(HLOOKUP(C203,Ingreso!$AW$10:$BC$260,VLOOKUP(A203,Ingreso!$AL$11:$AM$260,2,FALSE)))/24),0)=0,"",IFERROR(IF(E203=E202,0,(HLOOKUP(C203,Ingreso!$AW$10:$BC$260,VLOOKUP(A203,Ingreso!$AL$11:$AM$260,2,FALSE)))/24),0))</f>
        <v/>
      </c>
      <c r="L203" s="63">
        <f t="shared" si="6"/>
        <v>0</v>
      </c>
      <c r="M203" s="63" t="str">
        <f>IF(IFERROR(IF(C203=C201,0,IF(E203=E202,0,IF(C203=$R$2,HLOOKUP($R$2,Ingreso!$AW$10:$BC$260,VLOOKUP(A203,Ingreso!AL:AM,2,FALSE),FALSE)/24,""))),"")=0,"",IFERROR(IF(C203=C201,0,IF(E203=E202,0,IF(C203=$R$2,HLOOKUP($R$2,Ingreso!$AW$10:$BC$260,VLOOKUP(A203,Ingreso!AL:AM,2,FALSE),FALSE)/24,""))),""))</f>
        <v/>
      </c>
      <c r="N203" s="95" t="str">
        <f>IF(IFERROR(IF(C203=C201,0,IF(E203=E202,0,IF(C203=$R$3,HLOOKUP($R$3,Ingreso!$AW$10:$BC$260,VLOOKUP(A203,Ingreso!AL:AM,2,FALSE),FALSE)/24,""))),"")=0,"",IFERROR(IF(C203=C201,0,IF(E203=E202,0,IF(C203=$R$3,HLOOKUP($R$3,Ingreso!$AW$10:$BC$260,VLOOKUP(A203,Ingreso!AL:AM,2,FALSE),FALSE)/24,""))),""))</f>
        <v/>
      </c>
      <c r="O203" s="95" t="str">
        <f>IF(IFERROR(IF(C203=C201,0,IF(E203=E202,0,IF(C203=$R$4,HLOOKUP($R$4,Ingreso!$AW$10:$BC$260,VLOOKUP(A203,Ingreso!AL:AM,2,FALSE),FALSE)/24,""))),"")=0,"",IFERROR(IF(C203=C201,0,IF(E203=E202,0,IF(C203=$R$4,HLOOKUP($R$4,Ingreso!$AW$10:$BC$260,VLOOKUP(A203,Ingreso!AL:AM,2,FALSE),FALSE)/24,""))),""))</f>
        <v/>
      </c>
      <c r="P203" s="90"/>
      <c r="R203" t="s">
        <v>356</v>
      </c>
      <c r="S203" t="s">
        <v>361</v>
      </c>
      <c r="T203" t="s">
        <v>1420</v>
      </c>
      <c r="U203" t="s">
        <v>1338</v>
      </c>
      <c r="V203" t="s">
        <v>1397</v>
      </c>
      <c r="W203" s="82">
        <v>234</v>
      </c>
      <c r="X203" s="71">
        <v>0.41666666666666669</v>
      </c>
      <c r="Y203" s="101">
        <v>0.29038194444444443</v>
      </c>
      <c r="Z203" s="101">
        <v>0.80787037037037035</v>
      </c>
      <c r="AA203" s="101">
        <v>0.51748842592592592</v>
      </c>
      <c r="AB203" s="101">
        <v>0.10082175925925924</v>
      </c>
      <c r="AC203" s="105">
        <v>8.3333333333333329E-2</v>
      </c>
      <c r="AD203" s="105">
        <v>0</v>
      </c>
      <c r="AE203" s="93">
        <v>0</v>
      </c>
      <c r="AF203" s="93">
        <v>0</v>
      </c>
      <c r="AG203" s="93">
        <v>0</v>
      </c>
    </row>
    <row r="204" spans="1:33">
      <c r="A204" s="65" t="str">
        <f>IFERROR(VLOOKUP('Informe Kelly'!A197,Base!A:B,2,FALSE),"")</f>
        <v>08.618.882-1</v>
      </c>
      <c r="B204" s="65" t="str">
        <f>IFERROR(VLOOKUP('Informe Kelly'!A197,Base!A:G,7,FALSE),"")</f>
        <v>SANDOVAL ACUÑA VICTOR H.</v>
      </c>
      <c r="C204" s="69" t="str">
        <f>IF(G204=$C$4,IF('Informe Kelly'!H197='Control informe Kelly'!$A$2,TEXT(((LEFT('Informe Kelly'!E197,2)*1)+1),"dd")&amp;"."&amp;MID('Informe Kelly'!E197,4,2)&amp;"."&amp;RIGHT('Informe Kelly'!E197,4),'Informe Kelly'!E197),'Informe Kelly'!E197)</f>
        <v>11.04.2011</v>
      </c>
      <c r="D204" s="69" t="str">
        <f>IF('Informe Kelly'!E197="","",'Informe Kelly'!E197)</f>
        <v>11.04.2011</v>
      </c>
      <c r="E204" s="72">
        <f t="shared" si="7"/>
        <v>102</v>
      </c>
      <c r="F204" s="72" t="str">
        <f>IFERROR(HLOOKUP(C204,Ingreso!$Q$8:$AD$9,2,FALSE),"v")</f>
        <v>Lunes</v>
      </c>
      <c r="G204" s="65" t="str">
        <f>IFERROR(VLOOKUP(A204,Ingreso!K:P,6,FALSE),"no esta ingresado")</f>
        <v>Turno B</v>
      </c>
      <c r="H204" s="65" t="str">
        <f>IFERROR(IF('Informe Kelly'!H197=$A$2,'Informe Kelly'!F197,""),0)</f>
        <v/>
      </c>
      <c r="I204" s="65">
        <f>IFERROR(IF('Informe Kelly'!H197=$A$3,'Informe Kelly'!F197,""),0)</f>
        <v>0.94337962962962962</v>
      </c>
      <c r="J204" s="65" t="str">
        <f>IF(IFERROR(IF(E204=E203,0,(HLOOKUP(D204,Ingreso!$AN$10:$AT$260,VLOOKUP(A204,Ingreso!$AL$11:$AM$260,2,FALSE)))/24),0)=0,"",IFERROR(IF(E204=E203,0,(HLOOKUP(D204,Ingreso!$AN$10:$AT$260,VLOOKUP(A204,Ingreso!$AL$11:$AM$260,2,FALSE)))/24),0))</f>
        <v/>
      </c>
      <c r="K204" s="65" t="str">
        <f>IF(IFERROR(IF(E204=E203,0,(HLOOKUP(C204,Ingreso!$AW$10:$BC$260,VLOOKUP(A204,Ingreso!$AL$11:$AM$260,2,FALSE)))/24),0)=0,"",IFERROR(IF(E204=E203,0,(HLOOKUP(C204,Ingreso!$AW$10:$BC$260,VLOOKUP(A204,Ingreso!$AL$11:$AM$260,2,FALSE)))/24),0))</f>
        <v/>
      </c>
      <c r="L204" s="63">
        <f t="shared" si="6"/>
        <v>0.3125</v>
      </c>
      <c r="M204" s="63" t="str">
        <f>IF(IFERROR(IF(C204=C202,0,IF(E204=E203,0,IF(C204=$R$2,HLOOKUP($R$2,Ingreso!$AW$10:$BC$260,VLOOKUP(A204,Ingreso!AL:AM,2,FALSE),FALSE)/24,""))),"")=0,"",IFERROR(IF(C204=C202,0,IF(E204=E203,0,IF(C204=$R$2,HLOOKUP($R$2,Ingreso!$AW$10:$BC$260,VLOOKUP(A204,Ingreso!AL:AM,2,FALSE),FALSE)/24,""))),""))</f>
        <v/>
      </c>
      <c r="N204" s="95" t="str">
        <f>IF(IFERROR(IF(C204=C202,0,IF(E204=E203,0,IF(C204=$R$3,HLOOKUP($R$3,Ingreso!$AW$10:$BC$260,VLOOKUP(A204,Ingreso!AL:AM,2,FALSE),FALSE)/24,""))),"")=0,"",IFERROR(IF(C204=C202,0,IF(E204=E203,0,IF(C204=$R$3,HLOOKUP($R$3,Ingreso!$AW$10:$BC$260,VLOOKUP(A204,Ingreso!AL:AM,2,FALSE),FALSE)/24,""))),""))</f>
        <v/>
      </c>
      <c r="O204" s="95" t="str">
        <f>IF(IFERROR(IF(C204=C202,0,IF(E204=E203,0,IF(C204=$R$4,HLOOKUP($R$4,Ingreso!$AW$10:$BC$260,VLOOKUP(A204,Ingreso!AL:AM,2,FALSE),FALSE)/24,""))),"")=0,"",IFERROR(IF(C204=C202,0,IF(E204=E203,0,IF(C204=$R$4,HLOOKUP($R$4,Ingreso!$AW$10:$BC$260,VLOOKUP(A204,Ingreso!AL:AM,2,FALSE),FALSE)/24,""))),""))</f>
        <v/>
      </c>
      <c r="P204" s="90"/>
      <c r="T204" t="s">
        <v>1423</v>
      </c>
      <c r="U204" t="s">
        <v>1338</v>
      </c>
      <c r="V204" t="s">
        <v>1398</v>
      </c>
      <c r="W204" s="82">
        <v>235</v>
      </c>
      <c r="X204" s="71">
        <v>0.41666666666666669</v>
      </c>
      <c r="Y204" s="101">
        <v>0.2902777777777778</v>
      </c>
      <c r="Z204" s="101">
        <v>0.8016550925925926</v>
      </c>
      <c r="AA204" s="101">
        <v>0.51137731481481485</v>
      </c>
      <c r="AB204" s="101">
        <v>9.4710648148148169E-2</v>
      </c>
      <c r="AC204" s="105">
        <v>8.3333333333333329E-2</v>
      </c>
      <c r="AD204" s="105">
        <v>0</v>
      </c>
      <c r="AE204" s="93">
        <v>0</v>
      </c>
      <c r="AF204" s="93">
        <v>0</v>
      </c>
      <c r="AG204" s="93">
        <v>0</v>
      </c>
    </row>
    <row r="205" spans="1:33">
      <c r="A205" s="65" t="str">
        <f>IFERROR(VLOOKUP('Informe Kelly'!A198,Base!A:B,2,FALSE),"")</f>
        <v>08.618.882-1</v>
      </c>
      <c r="B205" s="65" t="str">
        <f>IFERROR(VLOOKUP('Informe Kelly'!A198,Base!A:G,7,FALSE),"")</f>
        <v>SANDOVAL ACUÑA VICTOR H.</v>
      </c>
      <c r="C205" s="69" t="str">
        <f>IF(G205=$C$4,IF('Informe Kelly'!H198='Control informe Kelly'!$A$2,TEXT(((LEFT('Informe Kelly'!E198,2)*1)+1),"dd")&amp;"."&amp;MID('Informe Kelly'!E198,4,2)&amp;"."&amp;RIGHT('Informe Kelly'!E198,4),'Informe Kelly'!E198),'Informe Kelly'!E198)</f>
        <v>11.04.2011</v>
      </c>
      <c r="D205" s="69" t="str">
        <f>IF('Informe Kelly'!E198="","",'Informe Kelly'!E198)</f>
        <v>11.04.2011</v>
      </c>
      <c r="E205" s="72">
        <f t="shared" si="7"/>
        <v>102</v>
      </c>
      <c r="F205" s="72" t="str">
        <f>IFERROR(HLOOKUP(C205,Ingreso!$Q$8:$AD$9,2,FALSE),"v")</f>
        <v>Lunes</v>
      </c>
      <c r="G205" s="65" t="str">
        <f>IFERROR(VLOOKUP(A205,Ingreso!K:P,6,FALSE),"no esta ingresado")</f>
        <v>Turno B</v>
      </c>
      <c r="H205" s="65">
        <f>IFERROR(IF('Informe Kelly'!H198=$A$2,'Informe Kelly'!F198,""),0)</f>
        <v>0.61591435185185184</v>
      </c>
      <c r="I205" s="65" t="str">
        <f>IFERROR(IF('Informe Kelly'!H198=$A$3,'Informe Kelly'!F198,""),0)</f>
        <v/>
      </c>
      <c r="J205" s="65" t="str">
        <f>IF(IFERROR(IF(E205=E204,0,(HLOOKUP(D205,Ingreso!$AN$10:$AT$260,VLOOKUP(A205,Ingreso!$AL$11:$AM$260,2,FALSE)))/24),0)=0,"",IFERROR(IF(E205=E204,0,(HLOOKUP(D205,Ingreso!$AN$10:$AT$260,VLOOKUP(A205,Ingreso!$AL$11:$AM$260,2,FALSE)))/24),0))</f>
        <v/>
      </c>
      <c r="K205" s="65" t="str">
        <f>IF(IFERROR(IF(E205=E204,0,(HLOOKUP(C205,Ingreso!$AW$10:$BC$260,VLOOKUP(A205,Ingreso!$AL$11:$AM$260,2,FALSE)))/24),0)=0,"",IFERROR(IF(E205=E204,0,(HLOOKUP(C205,Ingreso!$AW$10:$BC$260,VLOOKUP(A205,Ingreso!$AL$11:$AM$260,2,FALSE)))/24),0))</f>
        <v/>
      </c>
      <c r="L205" s="63">
        <f t="shared" si="6"/>
        <v>0</v>
      </c>
      <c r="M205" s="63" t="str">
        <f>IF(IFERROR(IF(C205=C203,0,IF(E205=E204,0,IF(C205=$R$2,HLOOKUP($R$2,Ingreso!$AW$10:$BC$260,VLOOKUP(A205,Ingreso!AL:AM,2,FALSE),FALSE)/24,""))),"")=0,"",IFERROR(IF(C205=C203,0,IF(E205=E204,0,IF(C205=$R$2,HLOOKUP($R$2,Ingreso!$AW$10:$BC$260,VLOOKUP(A205,Ingreso!AL:AM,2,FALSE),FALSE)/24,""))),""))</f>
        <v/>
      </c>
      <c r="N205" s="95" t="str">
        <f>IF(IFERROR(IF(C205=C203,0,IF(E205=E204,0,IF(C205=$R$3,HLOOKUP($R$3,Ingreso!$AW$10:$BC$260,VLOOKUP(A205,Ingreso!AL:AM,2,FALSE),FALSE)/24,""))),"")=0,"",IFERROR(IF(C205=C203,0,IF(E205=E204,0,IF(C205=$R$3,HLOOKUP($R$3,Ingreso!$AW$10:$BC$260,VLOOKUP(A205,Ingreso!AL:AM,2,FALSE),FALSE)/24,""))),""))</f>
        <v/>
      </c>
      <c r="O205" s="95" t="str">
        <f>IF(IFERROR(IF(C205=C203,0,IF(E205=E204,0,IF(C205=$R$4,HLOOKUP($R$4,Ingreso!$AW$10:$BC$260,VLOOKUP(A205,Ingreso!AL:AM,2,FALSE),FALSE)/24,""))),"")=0,"",IFERROR(IF(C205=C203,0,IF(E205=E204,0,IF(C205=$R$4,HLOOKUP($R$4,Ingreso!$AW$10:$BC$260,VLOOKUP(A205,Ingreso!AL:AM,2,FALSE),FALSE)/24,""))),""))</f>
        <v/>
      </c>
      <c r="P205" s="90"/>
      <c r="T205" t="s">
        <v>1424</v>
      </c>
      <c r="U205" t="s">
        <v>1338</v>
      </c>
      <c r="V205" t="s">
        <v>1399</v>
      </c>
      <c r="W205" s="82">
        <v>236</v>
      </c>
      <c r="X205" s="71">
        <v>0.41666666666666669</v>
      </c>
      <c r="Y205" s="101">
        <v>0.29542824074074076</v>
      </c>
      <c r="Z205" s="101">
        <v>0.80835648148148154</v>
      </c>
      <c r="AA205" s="101">
        <v>0.51292824074074073</v>
      </c>
      <c r="AB205" s="101">
        <v>9.6261574074074041E-2</v>
      </c>
      <c r="AC205" s="105">
        <v>8.3333333333333329E-2</v>
      </c>
      <c r="AD205" s="105">
        <v>0</v>
      </c>
      <c r="AE205" s="93">
        <v>0</v>
      </c>
      <c r="AF205" s="93">
        <v>0</v>
      </c>
      <c r="AG205" s="93">
        <v>0</v>
      </c>
    </row>
    <row r="206" spans="1:33">
      <c r="A206" s="65" t="str">
        <f>IFERROR(VLOOKUP('Informe Kelly'!A199,Base!A:B,2,FALSE),"")</f>
        <v>08.618.882-1</v>
      </c>
      <c r="B206" s="65" t="str">
        <f>IFERROR(VLOOKUP('Informe Kelly'!A199,Base!A:G,7,FALSE),"")</f>
        <v>SANDOVAL ACUÑA VICTOR H.</v>
      </c>
      <c r="C206" s="69" t="str">
        <f>IF(G206=$C$4,IF('Informe Kelly'!H199='Control informe Kelly'!$A$2,TEXT(((LEFT('Informe Kelly'!E199,2)*1)+1),"dd")&amp;"."&amp;MID('Informe Kelly'!E199,4,2)&amp;"."&amp;RIGHT('Informe Kelly'!E199,4),'Informe Kelly'!E199),'Informe Kelly'!E199)</f>
        <v>12.04.2011</v>
      </c>
      <c r="D206" s="69" t="str">
        <f>IF('Informe Kelly'!E199="","",'Informe Kelly'!E199)</f>
        <v>12.04.2011</v>
      </c>
      <c r="E206" s="72">
        <f t="shared" si="7"/>
        <v>103</v>
      </c>
      <c r="F206" s="72" t="str">
        <f>IFERROR(HLOOKUP(C206,Ingreso!$Q$8:$AD$9,2,FALSE),"v")</f>
        <v>Martes</v>
      </c>
      <c r="G206" s="65" t="str">
        <f>IFERROR(VLOOKUP(A206,Ingreso!K:P,6,FALSE),"no esta ingresado")</f>
        <v>Turno B</v>
      </c>
      <c r="H206" s="65" t="str">
        <f>IFERROR(IF('Informe Kelly'!H199=$A$2,'Informe Kelly'!F199,""),0)</f>
        <v/>
      </c>
      <c r="I206" s="65">
        <f>IFERROR(IF('Informe Kelly'!H199=$A$3,'Informe Kelly'!F199,""),0)</f>
        <v>0.94120370370370365</v>
      </c>
      <c r="J206" s="65" t="str">
        <f>IF(IFERROR(IF(E206=E205,0,(HLOOKUP(D206,Ingreso!$AN$10:$AT$260,VLOOKUP(A206,Ingreso!$AL$11:$AM$260,2,FALSE)))/24),0)=0,"",IFERROR(IF(E206=E205,0,(HLOOKUP(D206,Ingreso!$AN$10:$AT$260,VLOOKUP(A206,Ingreso!$AL$11:$AM$260,2,FALSE)))/24),0))</f>
        <v/>
      </c>
      <c r="K206" s="65" t="str">
        <f>IF(IFERROR(IF(E206=E205,0,(HLOOKUP(C206,Ingreso!$AW$10:$BC$260,VLOOKUP(A206,Ingreso!$AL$11:$AM$260,2,FALSE)))/24),0)=0,"",IFERROR(IF(E206=E205,0,(HLOOKUP(C206,Ingreso!$AW$10:$BC$260,VLOOKUP(A206,Ingreso!$AL$11:$AM$260,2,FALSE)))/24),0))</f>
        <v/>
      </c>
      <c r="L206" s="63">
        <f t="shared" si="6"/>
        <v>0.3125</v>
      </c>
      <c r="M206" s="63" t="str">
        <f>IF(IFERROR(IF(C206=C204,0,IF(E206=E205,0,IF(C206=$R$2,HLOOKUP($R$2,Ingreso!$AW$10:$BC$260,VLOOKUP(A206,Ingreso!AL:AM,2,FALSE),FALSE)/24,""))),"")=0,"",IFERROR(IF(C206=C204,0,IF(E206=E205,0,IF(C206=$R$2,HLOOKUP($R$2,Ingreso!$AW$10:$BC$260,VLOOKUP(A206,Ingreso!AL:AM,2,FALSE),FALSE)/24,""))),""))</f>
        <v/>
      </c>
      <c r="N206" s="95" t="str">
        <f>IF(IFERROR(IF(C206=C204,0,IF(E206=E205,0,IF(C206=$R$3,HLOOKUP($R$3,Ingreso!$AW$10:$BC$260,VLOOKUP(A206,Ingreso!AL:AM,2,FALSE),FALSE)/24,""))),"")=0,"",IFERROR(IF(C206=C204,0,IF(E206=E205,0,IF(C206=$R$3,HLOOKUP($R$3,Ingreso!$AW$10:$BC$260,VLOOKUP(A206,Ingreso!AL:AM,2,FALSE),FALSE)/24,""))),""))</f>
        <v/>
      </c>
      <c r="O206" s="95" t="str">
        <f>IF(IFERROR(IF(C206=C204,0,IF(E206=E205,0,IF(C206=$R$4,HLOOKUP($R$4,Ingreso!$AW$10:$BC$260,VLOOKUP(A206,Ingreso!AL:AM,2,FALSE),FALSE)/24,""))),"")=0,"",IFERROR(IF(C206=C204,0,IF(E206=E205,0,IF(C206=$R$4,HLOOKUP($R$4,Ingreso!$AW$10:$BC$260,VLOOKUP(A206,Ingreso!AL:AM,2,FALSE),FALSE)/24,""))),""))</f>
        <v/>
      </c>
      <c r="P206" s="90"/>
      <c r="T206" t="s">
        <v>1425</v>
      </c>
      <c r="U206" t="s">
        <v>1338</v>
      </c>
      <c r="V206" t="s">
        <v>1400</v>
      </c>
      <c r="W206" s="82">
        <v>237</v>
      </c>
      <c r="X206" s="71">
        <v>0.41666666666666669</v>
      </c>
      <c r="Y206" s="101">
        <v>0.29956018518518518</v>
      </c>
      <c r="Z206" s="101">
        <v>0.81098379629629624</v>
      </c>
      <c r="AA206" s="101">
        <v>0.51142361111111101</v>
      </c>
      <c r="AB206" s="101">
        <v>9.4756944444444324E-2</v>
      </c>
      <c r="AC206" s="105">
        <v>8.3333333333333329E-2</v>
      </c>
      <c r="AD206" s="105">
        <v>0</v>
      </c>
      <c r="AE206" s="93">
        <v>0</v>
      </c>
      <c r="AF206" s="93">
        <v>0</v>
      </c>
      <c r="AG206" s="93">
        <v>0</v>
      </c>
    </row>
    <row r="207" spans="1:33">
      <c r="A207" s="65" t="str">
        <f>IFERROR(VLOOKUP('Informe Kelly'!A200,Base!A:B,2,FALSE),"")</f>
        <v>08.618.882-1</v>
      </c>
      <c r="B207" s="65" t="str">
        <f>IFERROR(VLOOKUP('Informe Kelly'!A200,Base!A:G,7,FALSE),"")</f>
        <v>SANDOVAL ACUÑA VICTOR H.</v>
      </c>
      <c r="C207" s="69" t="str">
        <f>IF(G207=$C$4,IF('Informe Kelly'!H200='Control informe Kelly'!$A$2,TEXT(((LEFT('Informe Kelly'!E200,2)*1)+1),"dd")&amp;"."&amp;MID('Informe Kelly'!E200,4,2)&amp;"."&amp;RIGHT('Informe Kelly'!E200,4),'Informe Kelly'!E200),'Informe Kelly'!E200)</f>
        <v>12.04.2011</v>
      </c>
      <c r="D207" s="69" t="str">
        <f>IF('Informe Kelly'!E200="","",'Informe Kelly'!E200)</f>
        <v>12.04.2011</v>
      </c>
      <c r="E207" s="72">
        <f t="shared" si="7"/>
        <v>103</v>
      </c>
      <c r="F207" s="72" t="str">
        <f>IFERROR(HLOOKUP(C207,Ingreso!$Q$8:$AD$9,2,FALSE),"v")</f>
        <v>Martes</v>
      </c>
      <c r="G207" s="65" t="str">
        <f>IFERROR(VLOOKUP(A207,Ingreso!K:P,6,FALSE),"no esta ingresado")</f>
        <v>Turno B</v>
      </c>
      <c r="H207" s="65">
        <f>IFERROR(IF('Informe Kelly'!H200=$A$2,'Informe Kelly'!F200,""),0)</f>
        <v>0.61721064814814819</v>
      </c>
      <c r="I207" s="65" t="str">
        <f>IFERROR(IF('Informe Kelly'!H200=$A$3,'Informe Kelly'!F200,""),0)</f>
        <v/>
      </c>
      <c r="J207" s="65" t="str">
        <f>IF(IFERROR(IF(E207=E206,0,(HLOOKUP(D207,Ingreso!$AN$10:$AT$260,VLOOKUP(A207,Ingreso!$AL$11:$AM$260,2,FALSE)))/24),0)=0,"",IFERROR(IF(E207=E206,0,(HLOOKUP(D207,Ingreso!$AN$10:$AT$260,VLOOKUP(A207,Ingreso!$AL$11:$AM$260,2,FALSE)))/24),0))</f>
        <v/>
      </c>
      <c r="K207" s="65" t="str">
        <f>IF(IFERROR(IF(E207=E206,0,(HLOOKUP(C207,Ingreso!$AW$10:$BC$260,VLOOKUP(A207,Ingreso!$AL$11:$AM$260,2,FALSE)))/24),0)=0,"",IFERROR(IF(E207=E206,0,(HLOOKUP(C207,Ingreso!$AW$10:$BC$260,VLOOKUP(A207,Ingreso!$AL$11:$AM$260,2,FALSE)))/24),0))</f>
        <v/>
      </c>
      <c r="L207" s="63">
        <f t="shared" si="6"/>
        <v>0</v>
      </c>
      <c r="M207" s="63" t="str">
        <f>IF(IFERROR(IF(C207=C205,0,IF(E207=E206,0,IF(C207=$R$2,HLOOKUP($R$2,Ingreso!$AW$10:$BC$260,VLOOKUP(A207,Ingreso!AL:AM,2,FALSE),FALSE)/24,""))),"")=0,"",IFERROR(IF(C207=C205,0,IF(E207=E206,0,IF(C207=$R$2,HLOOKUP($R$2,Ingreso!$AW$10:$BC$260,VLOOKUP(A207,Ingreso!AL:AM,2,FALSE),FALSE)/24,""))),""))</f>
        <v/>
      </c>
      <c r="N207" s="95" t="str">
        <f>IF(IFERROR(IF(C207=C205,0,IF(E207=E206,0,IF(C207=$R$3,HLOOKUP($R$3,Ingreso!$AW$10:$BC$260,VLOOKUP(A207,Ingreso!AL:AM,2,FALSE),FALSE)/24,""))),"")=0,"",IFERROR(IF(C207=C205,0,IF(E207=E206,0,IF(C207=$R$3,HLOOKUP($R$3,Ingreso!$AW$10:$BC$260,VLOOKUP(A207,Ingreso!AL:AM,2,FALSE),FALSE)/24,""))),""))</f>
        <v/>
      </c>
      <c r="O207" s="95" t="str">
        <f>IF(IFERROR(IF(C207=C205,0,IF(E207=E206,0,IF(C207=$R$4,HLOOKUP($R$4,Ingreso!$AW$10:$BC$260,VLOOKUP(A207,Ingreso!AL:AM,2,FALSE),FALSE)/24,""))),"")=0,"",IFERROR(IF(C207=C205,0,IF(E207=E206,0,IF(C207=$R$4,HLOOKUP($R$4,Ingreso!$AW$10:$BC$260,VLOOKUP(A207,Ingreso!AL:AM,2,FALSE),FALSE)/24,""))),""))</f>
        <v/>
      </c>
      <c r="P207" s="90"/>
      <c r="T207" t="s">
        <v>1426</v>
      </c>
      <c r="U207" t="s">
        <v>1338</v>
      </c>
      <c r="V207" t="s">
        <v>1401</v>
      </c>
      <c r="W207" s="82">
        <v>238</v>
      </c>
      <c r="X207" s="71">
        <v>0.41666666666666669</v>
      </c>
      <c r="Y207" s="101">
        <v>0.29302083333333334</v>
      </c>
      <c r="Z207" s="101">
        <v>0.73178240740740741</v>
      </c>
      <c r="AA207" s="101">
        <v>0.43876157407407407</v>
      </c>
      <c r="AB207" s="101">
        <v>2.2094907407407383E-2</v>
      </c>
      <c r="AC207" s="105">
        <v>0</v>
      </c>
      <c r="AD207" s="105">
        <v>0</v>
      </c>
      <c r="AE207" s="93">
        <v>0</v>
      </c>
      <c r="AF207" s="93">
        <v>0</v>
      </c>
      <c r="AG207" s="93">
        <v>0</v>
      </c>
    </row>
    <row r="208" spans="1:33">
      <c r="A208" s="65" t="str">
        <f>IFERROR(VLOOKUP('Informe Kelly'!A201,Base!A:B,2,FALSE),"")</f>
        <v>08.618.882-1</v>
      </c>
      <c r="B208" s="65" t="str">
        <f>IFERROR(VLOOKUP('Informe Kelly'!A201,Base!A:G,7,FALSE),"")</f>
        <v>SANDOVAL ACUÑA VICTOR H.</v>
      </c>
      <c r="C208" s="69" t="str">
        <f>IF(G208=$C$4,IF('Informe Kelly'!H201='Control informe Kelly'!$A$2,TEXT(((LEFT('Informe Kelly'!E201,2)*1)+1),"dd")&amp;"."&amp;MID('Informe Kelly'!E201,4,2)&amp;"."&amp;RIGHT('Informe Kelly'!E201,4),'Informe Kelly'!E201),'Informe Kelly'!E201)</f>
        <v>13.04.2011</v>
      </c>
      <c r="D208" s="69" t="str">
        <f>IF('Informe Kelly'!E201="","",'Informe Kelly'!E201)</f>
        <v>13.04.2011</v>
      </c>
      <c r="E208" s="72">
        <f t="shared" si="7"/>
        <v>104</v>
      </c>
      <c r="F208" s="72" t="str">
        <f>IFERROR(HLOOKUP(C208,Ingreso!$Q$8:$AD$9,2,FALSE),"v")</f>
        <v>Miércoles</v>
      </c>
      <c r="G208" s="65" t="str">
        <f>IFERROR(VLOOKUP(A208,Ingreso!K:P,6,FALSE),"no esta ingresado")</f>
        <v>Turno B</v>
      </c>
      <c r="H208" s="65" t="str">
        <f>IFERROR(IF('Informe Kelly'!H201=$A$2,'Informe Kelly'!F201,""),0)</f>
        <v/>
      </c>
      <c r="I208" s="65">
        <f>IFERROR(IF('Informe Kelly'!H201=$A$3,'Informe Kelly'!F201,""),0)</f>
        <v>0.9325</v>
      </c>
      <c r="J208" s="65" t="str">
        <f>IF(IFERROR(IF(E208=E207,0,(HLOOKUP(D208,Ingreso!$AN$10:$AT$260,VLOOKUP(A208,Ingreso!$AL$11:$AM$260,2,FALSE)))/24),0)=0,"",IFERROR(IF(E208=E207,0,(HLOOKUP(D208,Ingreso!$AN$10:$AT$260,VLOOKUP(A208,Ingreso!$AL$11:$AM$260,2,FALSE)))/24),0))</f>
        <v/>
      </c>
      <c r="K208" s="65" t="str">
        <f>IF(IFERROR(IF(E208=E207,0,(HLOOKUP(C208,Ingreso!$AW$10:$BC$260,VLOOKUP(A208,Ingreso!$AL$11:$AM$260,2,FALSE)))/24),0)=0,"",IFERROR(IF(E208=E207,0,(HLOOKUP(C208,Ingreso!$AW$10:$BC$260,VLOOKUP(A208,Ingreso!$AL$11:$AM$260,2,FALSE)))/24),0))</f>
        <v/>
      </c>
      <c r="L208" s="63">
        <f t="shared" si="6"/>
        <v>0.3125</v>
      </c>
      <c r="M208" s="63" t="str">
        <f>IF(IFERROR(IF(C208=C206,0,IF(E208=E207,0,IF(C208=$R$2,HLOOKUP($R$2,Ingreso!$AW$10:$BC$260,VLOOKUP(A208,Ingreso!AL:AM,2,FALSE),FALSE)/24,""))),"")=0,"",IFERROR(IF(C208=C206,0,IF(E208=E207,0,IF(C208=$R$2,HLOOKUP($R$2,Ingreso!$AW$10:$BC$260,VLOOKUP(A208,Ingreso!AL:AM,2,FALSE),FALSE)/24,""))),""))</f>
        <v/>
      </c>
      <c r="N208" s="95" t="str">
        <f>IF(IFERROR(IF(C208=C206,0,IF(E208=E207,0,IF(C208=$R$3,HLOOKUP($R$3,Ingreso!$AW$10:$BC$260,VLOOKUP(A208,Ingreso!AL:AM,2,FALSE),FALSE)/24,""))),"")=0,"",IFERROR(IF(C208=C206,0,IF(E208=E207,0,IF(C208=$R$3,HLOOKUP($R$3,Ingreso!$AW$10:$BC$260,VLOOKUP(A208,Ingreso!AL:AM,2,FALSE),FALSE)/24,""))),""))</f>
        <v/>
      </c>
      <c r="O208" s="95" t="str">
        <f>IF(IFERROR(IF(C208=C206,0,IF(E208=E207,0,IF(C208=$R$4,HLOOKUP($R$4,Ingreso!$AW$10:$BC$260,VLOOKUP(A208,Ingreso!AL:AM,2,FALSE),FALSE)/24,""))),"")=0,"",IFERROR(IF(C208=C206,0,IF(E208=E207,0,IF(C208=$R$4,HLOOKUP($R$4,Ingreso!$AW$10:$BC$260,VLOOKUP(A208,Ingreso!AL:AM,2,FALSE),FALSE)/24,""))),""))</f>
        <v/>
      </c>
      <c r="P208" s="90"/>
      <c r="R208" t="s">
        <v>572</v>
      </c>
      <c r="S208" t="s">
        <v>577</v>
      </c>
      <c r="T208" t="s">
        <v>1420</v>
      </c>
      <c r="U208" t="s">
        <v>4</v>
      </c>
      <c r="V208" t="s">
        <v>1397</v>
      </c>
      <c r="W208" s="82">
        <v>239</v>
      </c>
      <c r="X208" s="71">
        <v>0.3125</v>
      </c>
      <c r="Y208" s="101">
        <v>0.26571759259259259</v>
      </c>
      <c r="Z208" s="101">
        <v>0.63773148148148151</v>
      </c>
      <c r="AA208" s="101">
        <v>0.37201388888888892</v>
      </c>
      <c r="AB208" s="101">
        <v>5.9513888888888922E-2</v>
      </c>
      <c r="AC208" s="105">
        <v>0</v>
      </c>
      <c r="AD208" s="105">
        <v>0</v>
      </c>
      <c r="AE208" s="93">
        <v>0</v>
      </c>
      <c r="AF208" s="93">
        <v>0</v>
      </c>
      <c r="AG208" s="93">
        <v>0</v>
      </c>
    </row>
    <row r="209" spans="1:33">
      <c r="A209" s="65" t="str">
        <f>IFERROR(VLOOKUP('Informe Kelly'!A202,Base!A:B,2,FALSE),"")</f>
        <v>08.618.882-1</v>
      </c>
      <c r="B209" s="65" t="str">
        <f>IFERROR(VLOOKUP('Informe Kelly'!A202,Base!A:G,7,FALSE),"")</f>
        <v>SANDOVAL ACUÑA VICTOR H.</v>
      </c>
      <c r="C209" s="69" t="str">
        <f>IF(G209=$C$4,IF('Informe Kelly'!H202='Control informe Kelly'!$A$2,TEXT(((LEFT('Informe Kelly'!E202,2)*1)+1),"dd")&amp;"."&amp;MID('Informe Kelly'!E202,4,2)&amp;"."&amp;RIGHT('Informe Kelly'!E202,4),'Informe Kelly'!E202),'Informe Kelly'!E202)</f>
        <v>13.04.2011</v>
      </c>
      <c r="D209" s="69" t="str">
        <f>IF('Informe Kelly'!E202="","",'Informe Kelly'!E202)</f>
        <v>13.04.2011</v>
      </c>
      <c r="E209" s="72">
        <f t="shared" si="7"/>
        <v>104</v>
      </c>
      <c r="F209" s="72" t="str">
        <f>IFERROR(HLOOKUP(C209,Ingreso!$Q$8:$AD$9,2,FALSE),"v")</f>
        <v>Miércoles</v>
      </c>
      <c r="G209" s="65" t="str">
        <f>IFERROR(VLOOKUP(A209,Ingreso!K:P,6,FALSE),"no esta ingresado")</f>
        <v>Turno B</v>
      </c>
      <c r="H209" s="65">
        <f>IFERROR(IF('Informe Kelly'!H202=$A$2,'Informe Kelly'!F202,""),0)</f>
        <v>0.61971064814814814</v>
      </c>
      <c r="I209" s="65" t="str">
        <f>IFERROR(IF('Informe Kelly'!H202=$A$3,'Informe Kelly'!F202,""),0)</f>
        <v/>
      </c>
      <c r="J209" s="65" t="str">
        <f>IF(IFERROR(IF(E209=E208,0,(HLOOKUP(D209,Ingreso!$AN$10:$AT$260,VLOOKUP(A209,Ingreso!$AL$11:$AM$260,2,FALSE)))/24),0)=0,"",IFERROR(IF(E209=E208,0,(HLOOKUP(D209,Ingreso!$AN$10:$AT$260,VLOOKUP(A209,Ingreso!$AL$11:$AM$260,2,FALSE)))/24),0))</f>
        <v/>
      </c>
      <c r="K209" s="65" t="str">
        <f>IF(IFERROR(IF(E209=E208,0,(HLOOKUP(C209,Ingreso!$AW$10:$BC$260,VLOOKUP(A209,Ingreso!$AL$11:$AM$260,2,FALSE)))/24),0)=0,"",IFERROR(IF(E209=E208,0,(HLOOKUP(C209,Ingreso!$AW$10:$BC$260,VLOOKUP(A209,Ingreso!$AL$11:$AM$260,2,FALSE)))/24),0))</f>
        <v/>
      </c>
      <c r="L209" s="63">
        <f t="shared" si="6"/>
        <v>0</v>
      </c>
      <c r="M209" s="63" t="str">
        <f>IF(IFERROR(IF(C209=C207,0,IF(E209=E208,0,IF(C209=$R$2,HLOOKUP($R$2,Ingreso!$AW$10:$BC$260,VLOOKUP(A209,Ingreso!AL:AM,2,FALSE),FALSE)/24,""))),"")=0,"",IFERROR(IF(C209=C207,0,IF(E209=E208,0,IF(C209=$R$2,HLOOKUP($R$2,Ingreso!$AW$10:$BC$260,VLOOKUP(A209,Ingreso!AL:AM,2,FALSE),FALSE)/24,""))),""))</f>
        <v/>
      </c>
      <c r="N209" s="95" t="str">
        <f>IF(IFERROR(IF(C209=C207,0,IF(E209=E208,0,IF(C209=$R$3,HLOOKUP($R$3,Ingreso!$AW$10:$BC$260,VLOOKUP(A209,Ingreso!AL:AM,2,FALSE),FALSE)/24,""))),"")=0,"",IFERROR(IF(C209=C207,0,IF(E209=E208,0,IF(C209=$R$3,HLOOKUP($R$3,Ingreso!$AW$10:$BC$260,VLOOKUP(A209,Ingreso!AL:AM,2,FALSE),FALSE)/24,""))),""))</f>
        <v/>
      </c>
      <c r="O209" s="95" t="str">
        <f>IF(IFERROR(IF(C209=C207,0,IF(E209=E208,0,IF(C209=$R$4,HLOOKUP($R$4,Ingreso!$AW$10:$BC$260,VLOOKUP(A209,Ingreso!AL:AM,2,FALSE),FALSE)/24,""))),"")=0,"",IFERROR(IF(C209=C207,0,IF(E209=E208,0,IF(C209=$R$4,HLOOKUP($R$4,Ingreso!$AW$10:$BC$260,VLOOKUP(A209,Ingreso!AL:AM,2,FALSE),FALSE)/24,""))),""))</f>
        <v/>
      </c>
      <c r="P209" s="90"/>
      <c r="T209" t="s">
        <v>1423</v>
      </c>
      <c r="U209" t="s">
        <v>4</v>
      </c>
      <c r="V209" t="s">
        <v>1398</v>
      </c>
      <c r="W209" s="82">
        <v>240</v>
      </c>
      <c r="X209" s="71">
        <v>0.3125</v>
      </c>
      <c r="Y209" s="101">
        <v>0.26922453703703703</v>
      </c>
      <c r="Z209" s="101">
        <v>0.63364583333333335</v>
      </c>
      <c r="AA209" s="101">
        <v>0.36442129629629633</v>
      </c>
      <c r="AB209" s="101">
        <v>5.1921296296296326E-2</v>
      </c>
      <c r="AC209" s="105">
        <v>0</v>
      </c>
      <c r="AD209" s="105">
        <v>0</v>
      </c>
      <c r="AE209" s="93">
        <v>0</v>
      </c>
      <c r="AF209" s="93">
        <v>0</v>
      </c>
      <c r="AG209" s="93">
        <v>0</v>
      </c>
    </row>
    <row r="210" spans="1:33">
      <c r="A210" s="65" t="str">
        <f>IFERROR(VLOOKUP('Informe Kelly'!A203,Base!A:B,2,FALSE),"")</f>
        <v>08.618.882-1</v>
      </c>
      <c r="B210" s="65" t="str">
        <f>IFERROR(VLOOKUP('Informe Kelly'!A203,Base!A:G,7,FALSE),"")</f>
        <v>SANDOVAL ACUÑA VICTOR H.</v>
      </c>
      <c r="C210" s="69" t="str">
        <f>IF(G210=$C$4,IF('Informe Kelly'!H203='Control informe Kelly'!$A$2,TEXT(((LEFT('Informe Kelly'!E203,2)*1)+1),"dd")&amp;"."&amp;MID('Informe Kelly'!E203,4,2)&amp;"."&amp;RIGHT('Informe Kelly'!E203,4),'Informe Kelly'!E203),'Informe Kelly'!E203)</f>
        <v>14.04.2011</v>
      </c>
      <c r="D210" s="69" t="str">
        <f>IF('Informe Kelly'!E203="","",'Informe Kelly'!E203)</f>
        <v>14.04.2011</v>
      </c>
      <c r="E210" s="72">
        <f t="shared" si="7"/>
        <v>105</v>
      </c>
      <c r="F210" s="72" t="str">
        <f>IFERROR(HLOOKUP(C210,Ingreso!$Q$8:$AD$9,2,FALSE),"v")</f>
        <v>Jueves</v>
      </c>
      <c r="G210" s="65" t="str">
        <f>IFERROR(VLOOKUP(A210,Ingreso!K:P,6,FALSE),"no esta ingresado")</f>
        <v>Turno B</v>
      </c>
      <c r="H210" s="65" t="str">
        <f>IFERROR(IF('Informe Kelly'!H203=$A$2,'Informe Kelly'!F203,""),0)</f>
        <v/>
      </c>
      <c r="I210" s="65">
        <f>IFERROR(IF('Informe Kelly'!H203=$A$3,'Informe Kelly'!F203,""),0)</f>
        <v>0.94478009259259255</v>
      </c>
      <c r="J210" s="65" t="str">
        <f>IF(IFERROR(IF(E210=E209,0,(HLOOKUP(D210,Ingreso!$AN$10:$AT$260,VLOOKUP(A210,Ingreso!$AL$11:$AM$260,2,FALSE)))/24),0)=0,"",IFERROR(IF(E210=E209,0,(HLOOKUP(D210,Ingreso!$AN$10:$AT$260,VLOOKUP(A210,Ingreso!$AL$11:$AM$260,2,FALSE)))/24),0))</f>
        <v/>
      </c>
      <c r="K210" s="65" t="str">
        <f>IF(IFERROR(IF(E210=E209,0,(HLOOKUP(C210,Ingreso!$AW$10:$BC$260,VLOOKUP(A210,Ingreso!$AL$11:$AM$260,2,FALSE)))/24),0)=0,"",IFERROR(IF(E210=E209,0,(HLOOKUP(C210,Ingreso!$AW$10:$BC$260,VLOOKUP(A210,Ingreso!$AL$11:$AM$260,2,FALSE)))/24),0))</f>
        <v/>
      </c>
      <c r="L210" s="63">
        <f t="shared" si="6"/>
        <v>0.3125</v>
      </c>
      <c r="M210" s="63" t="str">
        <f>IF(IFERROR(IF(C210=C208,0,IF(E210=E209,0,IF(C210=$R$2,HLOOKUP($R$2,Ingreso!$AW$10:$BC$260,VLOOKUP(A210,Ingreso!AL:AM,2,FALSE),FALSE)/24,""))),"")=0,"",IFERROR(IF(C210=C208,0,IF(E210=E209,0,IF(C210=$R$2,HLOOKUP($R$2,Ingreso!$AW$10:$BC$260,VLOOKUP(A210,Ingreso!AL:AM,2,FALSE),FALSE)/24,""))),""))</f>
        <v/>
      </c>
      <c r="N210" s="95" t="str">
        <f>IF(IFERROR(IF(C210=C208,0,IF(E210=E209,0,IF(C210=$R$3,HLOOKUP($R$3,Ingreso!$AW$10:$BC$260,VLOOKUP(A210,Ingreso!AL:AM,2,FALSE),FALSE)/24,""))),"")=0,"",IFERROR(IF(C210=C208,0,IF(E210=E209,0,IF(C210=$R$3,HLOOKUP($R$3,Ingreso!$AW$10:$BC$260,VLOOKUP(A210,Ingreso!AL:AM,2,FALSE),FALSE)/24,""))),""))</f>
        <v/>
      </c>
      <c r="O210" s="95" t="str">
        <f>IF(IFERROR(IF(C210=C208,0,IF(E210=E209,0,IF(C210=$R$4,HLOOKUP($R$4,Ingreso!$AW$10:$BC$260,VLOOKUP(A210,Ingreso!AL:AM,2,FALSE),FALSE)/24,""))),"")=0,"",IFERROR(IF(C210=C208,0,IF(E210=E209,0,IF(C210=$R$4,HLOOKUP($R$4,Ingreso!$AW$10:$BC$260,VLOOKUP(A210,Ingreso!AL:AM,2,FALSE),FALSE)/24,""))),""))</f>
        <v/>
      </c>
      <c r="P210" s="90"/>
      <c r="T210" t="s">
        <v>1424</v>
      </c>
      <c r="U210" t="s">
        <v>4</v>
      </c>
      <c r="V210" t="s">
        <v>1399</v>
      </c>
      <c r="W210" s="82">
        <v>241</v>
      </c>
      <c r="X210" s="71">
        <v>0.3125</v>
      </c>
      <c r="Y210" s="101">
        <v>0.27212962962962961</v>
      </c>
      <c r="Z210" s="101">
        <v>0.63534722222222217</v>
      </c>
      <c r="AA210" s="101">
        <v>0.36321759259259256</v>
      </c>
      <c r="AB210" s="101">
        <v>5.0717592592592564E-2</v>
      </c>
      <c r="AC210" s="105">
        <v>0</v>
      </c>
      <c r="AD210" s="105">
        <v>0</v>
      </c>
      <c r="AE210" s="93">
        <v>0</v>
      </c>
      <c r="AF210" s="93">
        <v>0</v>
      </c>
      <c r="AG210" s="93">
        <v>0</v>
      </c>
    </row>
    <row r="211" spans="1:33">
      <c r="A211" s="65" t="str">
        <f>IFERROR(VLOOKUP('Informe Kelly'!A204,Base!A:B,2,FALSE),"")</f>
        <v>08.618.882-1</v>
      </c>
      <c r="B211" s="65" t="str">
        <f>IFERROR(VLOOKUP('Informe Kelly'!A204,Base!A:G,7,FALSE),"")</f>
        <v>SANDOVAL ACUÑA VICTOR H.</v>
      </c>
      <c r="C211" s="69" t="str">
        <f>IF(G211=$C$4,IF('Informe Kelly'!H204='Control informe Kelly'!$A$2,TEXT(((LEFT('Informe Kelly'!E204,2)*1)+1),"dd")&amp;"."&amp;MID('Informe Kelly'!E204,4,2)&amp;"."&amp;RIGHT('Informe Kelly'!E204,4),'Informe Kelly'!E204),'Informe Kelly'!E204)</f>
        <v>14.04.2011</v>
      </c>
      <c r="D211" s="69" t="str">
        <f>IF('Informe Kelly'!E204="","",'Informe Kelly'!E204)</f>
        <v>14.04.2011</v>
      </c>
      <c r="E211" s="72">
        <f t="shared" si="7"/>
        <v>105</v>
      </c>
      <c r="F211" s="72" t="str">
        <f>IFERROR(HLOOKUP(C211,Ingreso!$Q$8:$AD$9,2,FALSE),"v")</f>
        <v>Jueves</v>
      </c>
      <c r="G211" s="65" t="str">
        <f>IFERROR(VLOOKUP(A211,Ingreso!K:P,6,FALSE),"no esta ingresado")</f>
        <v>Turno B</v>
      </c>
      <c r="H211" s="65">
        <f>IFERROR(IF('Informe Kelly'!H204=$A$2,'Informe Kelly'!F204,""),0)</f>
        <v>0.6187731481481481</v>
      </c>
      <c r="I211" s="65" t="str">
        <f>IFERROR(IF('Informe Kelly'!H204=$A$3,'Informe Kelly'!F204,""),0)</f>
        <v/>
      </c>
      <c r="J211" s="65" t="str">
        <f>IF(IFERROR(IF(E211=E210,0,(HLOOKUP(D211,Ingreso!$AN$10:$AT$260,VLOOKUP(A211,Ingreso!$AL$11:$AM$260,2,FALSE)))/24),0)=0,"",IFERROR(IF(E211=E210,0,(HLOOKUP(D211,Ingreso!$AN$10:$AT$260,VLOOKUP(A211,Ingreso!$AL$11:$AM$260,2,FALSE)))/24),0))</f>
        <v/>
      </c>
      <c r="K211" s="65" t="str">
        <f>IF(IFERROR(IF(E211=E210,0,(HLOOKUP(C211,Ingreso!$AW$10:$BC$260,VLOOKUP(A211,Ingreso!$AL$11:$AM$260,2,FALSE)))/24),0)=0,"",IFERROR(IF(E211=E210,0,(HLOOKUP(C211,Ingreso!$AW$10:$BC$260,VLOOKUP(A211,Ingreso!$AL$11:$AM$260,2,FALSE)))/24),0))</f>
        <v/>
      </c>
      <c r="L211" s="63">
        <f t="shared" si="6"/>
        <v>0</v>
      </c>
      <c r="M211" s="63" t="str">
        <f>IF(IFERROR(IF(C211=C209,0,IF(E211=E210,0,IF(C211=$R$2,HLOOKUP($R$2,Ingreso!$AW$10:$BC$260,VLOOKUP(A211,Ingreso!AL:AM,2,FALSE),FALSE)/24,""))),"")=0,"",IFERROR(IF(C211=C209,0,IF(E211=E210,0,IF(C211=$R$2,HLOOKUP($R$2,Ingreso!$AW$10:$BC$260,VLOOKUP(A211,Ingreso!AL:AM,2,FALSE),FALSE)/24,""))),""))</f>
        <v/>
      </c>
      <c r="N211" s="95" t="str">
        <f>IF(IFERROR(IF(C211=C209,0,IF(E211=E210,0,IF(C211=$R$3,HLOOKUP($R$3,Ingreso!$AW$10:$BC$260,VLOOKUP(A211,Ingreso!AL:AM,2,FALSE),FALSE)/24,""))),"")=0,"",IFERROR(IF(C211=C209,0,IF(E211=E210,0,IF(C211=$R$3,HLOOKUP($R$3,Ingreso!$AW$10:$BC$260,VLOOKUP(A211,Ingreso!AL:AM,2,FALSE),FALSE)/24,""))),""))</f>
        <v/>
      </c>
      <c r="O211" s="95" t="str">
        <f>IF(IFERROR(IF(C211=C209,0,IF(E211=E210,0,IF(C211=$R$4,HLOOKUP($R$4,Ingreso!$AW$10:$BC$260,VLOOKUP(A211,Ingreso!AL:AM,2,FALSE),FALSE)/24,""))),"")=0,"",IFERROR(IF(C211=C209,0,IF(E211=E210,0,IF(C211=$R$4,HLOOKUP($R$4,Ingreso!$AW$10:$BC$260,VLOOKUP(A211,Ingreso!AL:AM,2,FALSE),FALSE)/24,""))),""))</f>
        <v/>
      </c>
      <c r="P211" s="90"/>
      <c r="T211" t="s">
        <v>1425</v>
      </c>
      <c r="U211" t="s">
        <v>4</v>
      </c>
      <c r="V211" t="s">
        <v>1400</v>
      </c>
      <c r="W211" s="82">
        <v>242</v>
      </c>
      <c r="X211" s="71">
        <v>0.3125</v>
      </c>
      <c r="Y211" s="101">
        <v>0.2726851851851852</v>
      </c>
      <c r="Z211" s="101">
        <v>0.63653935185185184</v>
      </c>
      <c r="AA211" s="101">
        <v>0.36385416666666665</v>
      </c>
      <c r="AB211" s="101">
        <v>5.1354166666666645E-2</v>
      </c>
      <c r="AC211" s="105">
        <v>0</v>
      </c>
      <c r="AD211" s="105">
        <v>0</v>
      </c>
      <c r="AE211" s="93">
        <v>0</v>
      </c>
      <c r="AF211" s="93">
        <v>0</v>
      </c>
      <c r="AG211" s="93">
        <v>0</v>
      </c>
    </row>
    <row r="212" spans="1:33">
      <c r="A212" s="65" t="str">
        <f>IFERROR(VLOOKUP('Informe Kelly'!A205,Base!A:B,2,FALSE),"")</f>
        <v>08.618.882-1</v>
      </c>
      <c r="B212" s="65" t="str">
        <f>IFERROR(VLOOKUP('Informe Kelly'!A205,Base!A:G,7,FALSE),"")</f>
        <v>SANDOVAL ACUÑA VICTOR H.</v>
      </c>
      <c r="C212" s="69" t="str">
        <f>IF(G212=$C$4,IF('Informe Kelly'!H205='Control informe Kelly'!$A$2,TEXT(((LEFT('Informe Kelly'!E205,2)*1)+1),"dd")&amp;"."&amp;MID('Informe Kelly'!E205,4,2)&amp;"."&amp;RIGHT('Informe Kelly'!E205,4),'Informe Kelly'!E205),'Informe Kelly'!E205)</f>
        <v>15.04.2011</v>
      </c>
      <c r="D212" s="69" t="str">
        <f>IF('Informe Kelly'!E205="","",'Informe Kelly'!E205)</f>
        <v>15.04.2011</v>
      </c>
      <c r="E212" s="72">
        <f t="shared" si="7"/>
        <v>106</v>
      </c>
      <c r="F212" s="72" t="str">
        <f>IFERROR(HLOOKUP(C212,Ingreso!$Q$8:$AD$9,2,FALSE),"v")</f>
        <v>Viernes</v>
      </c>
      <c r="G212" s="65" t="str">
        <f>IFERROR(VLOOKUP(A212,Ingreso!K:P,6,FALSE),"no esta ingresado")</f>
        <v>Turno B</v>
      </c>
      <c r="H212" s="65" t="str">
        <f>IFERROR(IF('Informe Kelly'!H205=$A$2,'Informe Kelly'!F205,""),0)</f>
        <v/>
      </c>
      <c r="I212" s="65">
        <f>IFERROR(IF('Informe Kelly'!H205=$A$3,'Informe Kelly'!F205,""),0)</f>
        <v>0.94469907407407405</v>
      </c>
      <c r="J212" s="65" t="str">
        <f>IF(IFERROR(IF(E212=E211,0,(HLOOKUP(D212,Ingreso!$AN$10:$AT$260,VLOOKUP(A212,Ingreso!$AL$11:$AM$260,2,FALSE)))/24),0)=0,"",IFERROR(IF(E212=E211,0,(HLOOKUP(D212,Ingreso!$AN$10:$AT$260,VLOOKUP(A212,Ingreso!$AL$11:$AM$260,2,FALSE)))/24),0))</f>
        <v/>
      </c>
      <c r="K212" s="65" t="str">
        <f>IF(IFERROR(IF(E212=E211,0,(HLOOKUP(C212,Ingreso!$AW$10:$BC$260,VLOOKUP(A212,Ingreso!$AL$11:$AM$260,2,FALSE)))/24),0)=0,"",IFERROR(IF(E212=E211,0,(HLOOKUP(C212,Ingreso!$AW$10:$BC$260,VLOOKUP(A212,Ingreso!$AL$11:$AM$260,2,FALSE)))/24),0))</f>
        <v/>
      </c>
      <c r="L212" s="63">
        <f t="shared" si="6"/>
        <v>0.3125</v>
      </c>
      <c r="M212" s="63" t="str">
        <f>IF(IFERROR(IF(C212=C210,0,IF(E212=E211,0,IF(C212=$R$2,HLOOKUP($R$2,Ingreso!$AW$10:$BC$260,VLOOKUP(A212,Ingreso!AL:AM,2,FALSE),FALSE)/24,""))),"")=0,"",IFERROR(IF(C212=C210,0,IF(E212=E211,0,IF(C212=$R$2,HLOOKUP($R$2,Ingreso!$AW$10:$BC$260,VLOOKUP(A212,Ingreso!AL:AM,2,FALSE),FALSE)/24,""))),""))</f>
        <v/>
      </c>
      <c r="N212" s="95" t="str">
        <f>IF(IFERROR(IF(C212=C210,0,IF(E212=E211,0,IF(C212=$R$3,HLOOKUP($R$3,Ingreso!$AW$10:$BC$260,VLOOKUP(A212,Ingreso!AL:AM,2,FALSE),FALSE)/24,""))),"")=0,"",IFERROR(IF(C212=C210,0,IF(E212=E211,0,IF(C212=$R$3,HLOOKUP($R$3,Ingreso!$AW$10:$BC$260,VLOOKUP(A212,Ingreso!AL:AM,2,FALSE),FALSE)/24,""))),""))</f>
        <v/>
      </c>
      <c r="O212" s="95" t="str">
        <f>IF(IFERROR(IF(C212=C210,0,IF(E212=E211,0,IF(C212=$R$4,HLOOKUP($R$4,Ingreso!$AW$10:$BC$260,VLOOKUP(A212,Ingreso!AL:AM,2,FALSE),FALSE)/24,""))),"")=0,"",IFERROR(IF(C212=C210,0,IF(E212=E211,0,IF(C212=$R$4,HLOOKUP($R$4,Ingreso!$AW$10:$BC$260,VLOOKUP(A212,Ingreso!AL:AM,2,FALSE),FALSE)/24,""))),""))</f>
        <v/>
      </c>
      <c r="P212" s="90"/>
      <c r="T212" t="s">
        <v>1426</v>
      </c>
      <c r="U212" t="s">
        <v>4</v>
      </c>
      <c r="V212" t="s">
        <v>1401</v>
      </c>
      <c r="W212" s="82">
        <v>243</v>
      </c>
      <c r="X212" s="71">
        <v>0.3125</v>
      </c>
      <c r="Y212" s="101">
        <v>0.27447916666666666</v>
      </c>
      <c r="Z212" s="101">
        <v>0.63401620370370371</v>
      </c>
      <c r="AA212" s="101">
        <v>0.35953703703703704</v>
      </c>
      <c r="AB212" s="101">
        <v>4.7037037037037044E-2</v>
      </c>
      <c r="AC212" s="105">
        <v>0</v>
      </c>
      <c r="AD212" s="105">
        <v>0</v>
      </c>
      <c r="AE212" s="93">
        <v>0</v>
      </c>
      <c r="AF212" s="93">
        <v>0</v>
      </c>
      <c r="AG212" s="93">
        <v>0</v>
      </c>
    </row>
    <row r="213" spans="1:33">
      <c r="A213" s="65" t="str">
        <f>IFERROR(VLOOKUP('Informe Kelly'!A206,Base!A:B,2,FALSE),"")</f>
        <v>08.618.882-1</v>
      </c>
      <c r="B213" s="65" t="str">
        <f>IFERROR(VLOOKUP('Informe Kelly'!A206,Base!A:G,7,FALSE),"")</f>
        <v>SANDOVAL ACUÑA VICTOR H.</v>
      </c>
      <c r="C213" s="69" t="str">
        <f>IF(G213=$C$4,IF('Informe Kelly'!H206='Control informe Kelly'!$A$2,TEXT(((LEFT('Informe Kelly'!E206,2)*1)+1),"dd")&amp;"."&amp;MID('Informe Kelly'!E206,4,2)&amp;"."&amp;RIGHT('Informe Kelly'!E206,4),'Informe Kelly'!E206),'Informe Kelly'!E206)</f>
        <v>15.04.2011</v>
      </c>
      <c r="D213" s="69" t="str">
        <f>IF('Informe Kelly'!E206="","",'Informe Kelly'!E206)</f>
        <v>15.04.2011</v>
      </c>
      <c r="E213" s="72">
        <f t="shared" si="7"/>
        <v>106</v>
      </c>
      <c r="F213" s="72" t="str">
        <f>IFERROR(HLOOKUP(C213,Ingreso!$Q$8:$AD$9,2,FALSE),"v")</f>
        <v>Viernes</v>
      </c>
      <c r="G213" s="65" t="str">
        <f>IFERROR(VLOOKUP(A213,Ingreso!K:P,6,FALSE),"no esta ingresado")</f>
        <v>Turno B</v>
      </c>
      <c r="H213" s="65">
        <f>IFERROR(IF('Informe Kelly'!H206=$A$2,'Informe Kelly'!F206,""),0)</f>
        <v>0.61697916666666663</v>
      </c>
      <c r="I213" s="65" t="str">
        <f>IFERROR(IF('Informe Kelly'!H206=$A$3,'Informe Kelly'!F206,""),0)</f>
        <v/>
      </c>
      <c r="J213" s="65" t="str">
        <f>IF(IFERROR(IF(E213=E212,0,(HLOOKUP(D213,Ingreso!$AN$10:$AT$260,VLOOKUP(A213,Ingreso!$AL$11:$AM$260,2,FALSE)))/24),0)=0,"",IFERROR(IF(E213=E212,0,(HLOOKUP(D213,Ingreso!$AN$10:$AT$260,VLOOKUP(A213,Ingreso!$AL$11:$AM$260,2,FALSE)))/24),0))</f>
        <v/>
      </c>
      <c r="K213" s="65" t="str">
        <f>IF(IFERROR(IF(E213=E212,0,(HLOOKUP(C213,Ingreso!$AW$10:$BC$260,VLOOKUP(A213,Ingreso!$AL$11:$AM$260,2,FALSE)))/24),0)=0,"",IFERROR(IF(E213=E212,0,(HLOOKUP(C213,Ingreso!$AW$10:$BC$260,VLOOKUP(A213,Ingreso!$AL$11:$AM$260,2,FALSE)))/24),0))</f>
        <v/>
      </c>
      <c r="L213" s="63">
        <f t="shared" si="6"/>
        <v>0</v>
      </c>
      <c r="M213" s="63" t="str">
        <f>IF(IFERROR(IF(C213=C211,0,IF(E213=E212,0,IF(C213=$R$2,HLOOKUP($R$2,Ingreso!$AW$10:$BC$260,VLOOKUP(A213,Ingreso!AL:AM,2,FALSE),FALSE)/24,""))),"")=0,"",IFERROR(IF(C213=C211,0,IF(E213=E212,0,IF(C213=$R$2,HLOOKUP($R$2,Ingreso!$AW$10:$BC$260,VLOOKUP(A213,Ingreso!AL:AM,2,FALSE),FALSE)/24,""))),""))</f>
        <v/>
      </c>
      <c r="N213" s="95" t="str">
        <f>IF(IFERROR(IF(C213=C211,0,IF(E213=E212,0,IF(C213=$R$3,HLOOKUP($R$3,Ingreso!$AW$10:$BC$260,VLOOKUP(A213,Ingreso!AL:AM,2,FALSE),FALSE)/24,""))),"")=0,"",IFERROR(IF(C213=C211,0,IF(E213=E212,0,IF(C213=$R$3,HLOOKUP($R$3,Ingreso!$AW$10:$BC$260,VLOOKUP(A213,Ingreso!AL:AM,2,FALSE),FALSE)/24,""))),""))</f>
        <v/>
      </c>
      <c r="O213" s="95" t="str">
        <f>IF(IFERROR(IF(C213=C211,0,IF(E213=E212,0,IF(C213=$R$4,HLOOKUP($R$4,Ingreso!$AW$10:$BC$260,VLOOKUP(A213,Ingreso!AL:AM,2,FALSE),FALSE)/24,""))),"")=0,"",IFERROR(IF(C213=C211,0,IF(E213=E212,0,IF(C213=$R$4,HLOOKUP($R$4,Ingreso!$AW$10:$BC$260,VLOOKUP(A213,Ingreso!AL:AM,2,FALSE),FALSE)/24,""))),""))</f>
        <v/>
      </c>
      <c r="P213" s="90"/>
      <c r="T213" t="s">
        <v>1427</v>
      </c>
      <c r="U213" t="s">
        <v>4</v>
      </c>
      <c r="V213" t="s">
        <v>1402</v>
      </c>
      <c r="W213" s="82">
        <v>244</v>
      </c>
      <c r="X213" s="71">
        <v>0.3125</v>
      </c>
      <c r="Y213" s="101">
        <v>0.27232638888888888</v>
      </c>
      <c r="Z213" s="101">
        <v>0.6328125</v>
      </c>
      <c r="AA213" s="101">
        <v>0.36048611111111112</v>
      </c>
      <c r="AB213" s="101">
        <v>4.7986111111111118E-2</v>
      </c>
      <c r="AC213" s="105">
        <v>0</v>
      </c>
      <c r="AD213" s="105">
        <v>0</v>
      </c>
      <c r="AE213" s="93">
        <v>0</v>
      </c>
      <c r="AF213" s="93">
        <v>0</v>
      </c>
      <c r="AG213" s="93">
        <v>0</v>
      </c>
    </row>
    <row r="214" spans="1:33">
      <c r="A214" s="65" t="str">
        <f>IFERROR(VLOOKUP('Informe Kelly'!A207,Base!A:B,2,FALSE),"")</f>
        <v>08.618.882-1</v>
      </c>
      <c r="B214" s="65" t="str">
        <f>IFERROR(VLOOKUP('Informe Kelly'!A207,Base!A:G,7,FALSE),"")</f>
        <v>SANDOVAL ACUÑA VICTOR H.</v>
      </c>
      <c r="C214" s="69" t="str">
        <f>IF(G214=$C$4,IF('Informe Kelly'!H207='Control informe Kelly'!$A$2,TEXT(((LEFT('Informe Kelly'!E207,2)*1)+1),"dd")&amp;"."&amp;MID('Informe Kelly'!E207,4,2)&amp;"."&amp;RIGHT('Informe Kelly'!E207,4),'Informe Kelly'!E207),'Informe Kelly'!E207)</f>
        <v>16.04.2011</v>
      </c>
      <c r="D214" s="69" t="str">
        <f>IF('Informe Kelly'!E207="","",'Informe Kelly'!E207)</f>
        <v>16.04.2011</v>
      </c>
      <c r="E214" s="72">
        <f t="shared" si="7"/>
        <v>107</v>
      </c>
      <c r="F214" s="72" t="str">
        <f>IFERROR(HLOOKUP(C214,Ingreso!$Q$8:$AD$9,2,FALSE),"v")</f>
        <v>Sábado</v>
      </c>
      <c r="G214" s="65" t="str">
        <f>IFERROR(VLOOKUP(A214,Ingreso!K:P,6,FALSE),"no esta ingresado")</f>
        <v>Turno B</v>
      </c>
      <c r="H214" s="65" t="str">
        <f>IFERROR(IF('Informe Kelly'!H207=$A$2,'Informe Kelly'!F207,""),0)</f>
        <v/>
      </c>
      <c r="I214" s="65">
        <f>IFERROR(IF('Informe Kelly'!H207=$A$3,'Informe Kelly'!F207,""),0)</f>
        <v>0.93184027777777778</v>
      </c>
      <c r="J214" s="65" t="str">
        <f>IF(IFERROR(IF(E214=E213,0,(HLOOKUP(D214,Ingreso!$AN$10:$AT$260,VLOOKUP(A214,Ingreso!$AL$11:$AM$260,2,FALSE)))/24),0)=0,"",IFERROR(IF(E214=E213,0,(HLOOKUP(D214,Ingreso!$AN$10:$AT$260,VLOOKUP(A214,Ingreso!$AL$11:$AM$260,2,FALSE)))/24),0))</f>
        <v/>
      </c>
      <c r="K214" s="65" t="str">
        <f>IF(IFERROR(IF(E214=E213,0,(HLOOKUP(C214,Ingreso!$AW$10:$BC$260,VLOOKUP(A214,Ingreso!$AL$11:$AM$260,2,FALSE)))/24),0)=0,"",IFERROR(IF(E214=E213,0,(HLOOKUP(C214,Ingreso!$AW$10:$BC$260,VLOOKUP(A214,Ingreso!$AL$11:$AM$260,2,FALSE)))/24),0))</f>
        <v/>
      </c>
      <c r="L214" s="63">
        <f t="shared" si="6"/>
        <v>0.3125</v>
      </c>
      <c r="M214" s="63" t="str">
        <f>IF(IFERROR(IF(C214=C212,0,IF(E214=E213,0,IF(C214=$R$2,HLOOKUP($R$2,Ingreso!$AW$10:$BC$260,VLOOKUP(A214,Ingreso!AL:AM,2,FALSE),FALSE)/24,""))),"")=0,"",IFERROR(IF(C214=C212,0,IF(E214=E213,0,IF(C214=$R$2,HLOOKUP($R$2,Ingreso!$AW$10:$BC$260,VLOOKUP(A214,Ingreso!AL:AM,2,FALSE),FALSE)/24,""))),""))</f>
        <v/>
      </c>
      <c r="N214" s="95" t="str">
        <f>IF(IFERROR(IF(C214=C212,0,IF(E214=E213,0,IF(C214=$R$3,HLOOKUP($R$3,Ingreso!$AW$10:$BC$260,VLOOKUP(A214,Ingreso!AL:AM,2,FALSE),FALSE)/24,""))),"")=0,"",IFERROR(IF(C214=C212,0,IF(E214=E213,0,IF(C214=$R$3,HLOOKUP($R$3,Ingreso!$AW$10:$BC$260,VLOOKUP(A214,Ingreso!AL:AM,2,FALSE),FALSE)/24,""))),""))</f>
        <v/>
      </c>
      <c r="O214" s="95" t="str">
        <f>IF(IFERROR(IF(C214=C212,0,IF(E214=E213,0,IF(C214=$R$4,HLOOKUP($R$4,Ingreso!$AW$10:$BC$260,VLOOKUP(A214,Ingreso!AL:AM,2,FALSE),FALSE)/24,""))),"")=0,"",IFERROR(IF(C214=C212,0,IF(E214=E213,0,IF(C214=$R$4,HLOOKUP($R$4,Ingreso!$AW$10:$BC$260,VLOOKUP(A214,Ingreso!AL:AM,2,FALSE),FALSE)/24,""))),""))</f>
        <v/>
      </c>
      <c r="P214" s="90"/>
      <c r="R214" t="s">
        <v>131</v>
      </c>
      <c r="S214" t="s">
        <v>135</v>
      </c>
      <c r="T214" t="s">
        <v>1420</v>
      </c>
      <c r="U214" t="s">
        <v>1324</v>
      </c>
      <c r="V214" t="s">
        <v>1397</v>
      </c>
      <c r="W214" s="82">
        <v>245</v>
      </c>
      <c r="X214" s="71">
        <v>0.375</v>
      </c>
      <c r="Y214" s="101">
        <v>0</v>
      </c>
      <c r="Z214" s="101">
        <v>0.31119212962962967</v>
      </c>
      <c r="AA214" s="101">
        <v>0.31119212962962967</v>
      </c>
      <c r="AB214" s="101">
        <v>-6.3807870370370334E-2</v>
      </c>
      <c r="AC214" s="105">
        <v>0</v>
      </c>
      <c r="AD214" s="105">
        <v>0.3125</v>
      </c>
      <c r="AE214" s="93">
        <v>0.3125</v>
      </c>
      <c r="AF214" s="93">
        <v>0</v>
      </c>
      <c r="AG214" s="93">
        <v>0</v>
      </c>
    </row>
    <row r="215" spans="1:33" ht="12.75" customHeight="1">
      <c r="A215" s="65" t="str">
        <f>IFERROR(VLOOKUP('Informe Kelly'!A208,Base!A:B,2,FALSE),"")</f>
        <v>08.618.882-1</v>
      </c>
      <c r="B215" s="65" t="str">
        <f>IFERROR(VLOOKUP('Informe Kelly'!A208,Base!A:G,7,FALSE),"")</f>
        <v>SANDOVAL ACUÑA VICTOR H.</v>
      </c>
      <c r="C215" s="69" t="str">
        <f>IF(G215=$C$4,IF('Informe Kelly'!H208='Control informe Kelly'!$A$2,TEXT(((LEFT('Informe Kelly'!E208,2)*1)+1),"dd")&amp;"."&amp;MID('Informe Kelly'!E208,4,2)&amp;"."&amp;RIGHT('Informe Kelly'!E208,4),'Informe Kelly'!E208),'Informe Kelly'!E208)</f>
        <v>16.04.2011</v>
      </c>
      <c r="D215" s="69" t="str">
        <f>IF('Informe Kelly'!E208="","",'Informe Kelly'!E208)</f>
        <v>16.04.2011</v>
      </c>
      <c r="E215" s="72">
        <f t="shared" si="7"/>
        <v>107</v>
      </c>
      <c r="F215" s="72" t="str">
        <f>IFERROR(HLOOKUP(C215,Ingreso!$Q$8:$AD$9,2,FALSE),"v")</f>
        <v>Sábado</v>
      </c>
      <c r="G215" s="65" t="str">
        <f>IFERROR(VLOOKUP(A215,Ingreso!K:P,6,FALSE),"no esta ingresado")</f>
        <v>Turno B</v>
      </c>
      <c r="H215" s="65">
        <f>IFERROR(IF('Informe Kelly'!H208=$A$2,'Informe Kelly'!F208,""),0)</f>
        <v>0.61782407407407403</v>
      </c>
      <c r="I215" s="65" t="str">
        <f>IFERROR(IF('Informe Kelly'!H208=$A$3,'Informe Kelly'!F208,""),0)</f>
        <v/>
      </c>
      <c r="J215" s="65" t="str">
        <f>IF(IFERROR(IF(E215=E214,0,(HLOOKUP(D215,Ingreso!$AN$10:$AT$260,VLOOKUP(A215,Ingreso!$AL$11:$AM$260,2,FALSE)))/24),0)=0,"",IFERROR(IF(E215=E214,0,(HLOOKUP(D215,Ingreso!$AN$10:$AT$260,VLOOKUP(A215,Ingreso!$AL$11:$AM$260,2,FALSE)))/24),0))</f>
        <v/>
      </c>
      <c r="K215" s="65" t="str">
        <f>IF(IFERROR(IF(E215=E214,0,(HLOOKUP(C215,Ingreso!$AW$10:$BC$260,VLOOKUP(A215,Ingreso!$AL$11:$AM$260,2,FALSE)))/24),0)=0,"",IFERROR(IF(E215=E214,0,(HLOOKUP(C215,Ingreso!$AW$10:$BC$260,VLOOKUP(A215,Ingreso!$AL$11:$AM$260,2,FALSE)))/24),0))</f>
        <v/>
      </c>
      <c r="L215" s="63">
        <f t="shared" si="6"/>
        <v>0</v>
      </c>
      <c r="M215" s="63" t="str">
        <f>IF(IFERROR(IF(C215=C213,0,IF(E215=E214,0,IF(C215=$R$2,HLOOKUP($R$2,Ingreso!$AW$10:$BC$260,VLOOKUP(A215,Ingreso!AL:AM,2,FALSE),FALSE)/24,""))),"")=0,"",IFERROR(IF(C215=C213,0,IF(E215=E214,0,IF(C215=$R$2,HLOOKUP($R$2,Ingreso!$AW$10:$BC$260,VLOOKUP(A215,Ingreso!AL:AM,2,FALSE),FALSE)/24,""))),""))</f>
        <v/>
      </c>
      <c r="N215" s="95" t="str">
        <f>IF(IFERROR(IF(C215=C213,0,IF(E215=E214,0,IF(C215=$R$3,HLOOKUP($R$3,Ingreso!$AW$10:$BC$260,VLOOKUP(A215,Ingreso!AL:AM,2,FALSE),FALSE)/24,""))),"")=0,"",IFERROR(IF(C215=C213,0,IF(E215=E214,0,IF(C215=$R$3,HLOOKUP($R$3,Ingreso!$AW$10:$BC$260,VLOOKUP(A215,Ingreso!AL:AM,2,FALSE),FALSE)/24,""))),""))</f>
        <v/>
      </c>
      <c r="O215" s="95" t="str">
        <f>IF(IFERROR(IF(C215=C213,0,IF(E215=E214,0,IF(C215=$R$4,HLOOKUP($R$4,Ingreso!$AW$10:$BC$260,VLOOKUP(A215,Ingreso!AL:AM,2,FALSE),FALSE)/24,""))),"")=0,"",IFERROR(IF(C215=C213,0,IF(E215=E214,0,IF(C215=$R$4,HLOOKUP($R$4,Ingreso!$AW$10:$BC$260,VLOOKUP(A215,Ingreso!AL:AM,2,FALSE),FALSE)/24,""))),""))</f>
        <v/>
      </c>
      <c r="P215" s="90"/>
      <c r="T215" t="s">
        <v>1423</v>
      </c>
      <c r="U215" t="s">
        <v>1324</v>
      </c>
      <c r="V215" t="s">
        <v>1398</v>
      </c>
      <c r="W215" s="82">
        <v>246</v>
      </c>
      <c r="X215" s="71">
        <v>0.375</v>
      </c>
      <c r="Y215" s="101">
        <v>0.93728009259259248</v>
      </c>
      <c r="Z215" s="101">
        <v>0</v>
      </c>
      <c r="AA215" s="101">
        <v>6.2719907407407516E-2</v>
      </c>
      <c r="AB215" s="101">
        <v>-0.31228009259259248</v>
      </c>
      <c r="AC215" s="105">
        <v>0</v>
      </c>
      <c r="AD215" s="105">
        <v>0</v>
      </c>
      <c r="AE215" s="93">
        <v>0</v>
      </c>
      <c r="AF215" s="93">
        <v>0</v>
      </c>
      <c r="AG215" s="93">
        <v>0</v>
      </c>
    </row>
    <row r="216" spans="1:33">
      <c r="A216" s="65" t="str">
        <f>IFERROR(VLOOKUP('Informe Kelly'!A209,Base!A:B,2,FALSE),"")</f>
        <v>08.809.784-K</v>
      </c>
      <c r="B216" s="65" t="str">
        <f>IFERROR(VLOOKUP('Informe Kelly'!A209,Base!A:G,7,FALSE),"")</f>
        <v>AGUILERA  LABRIN,CARLOS ANTONIO</v>
      </c>
      <c r="C216" s="69" t="str">
        <f>IF(G216=$C$4,IF('Informe Kelly'!H209='Control informe Kelly'!$A$2,TEXT(((LEFT('Informe Kelly'!E209,2)*1)+1),"dd")&amp;"."&amp;MID('Informe Kelly'!E209,4,2)&amp;"."&amp;RIGHT('Informe Kelly'!E209,4),'Informe Kelly'!E209),'Informe Kelly'!E209)</f>
        <v>11.04.2011</v>
      </c>
      <c r="D216" s="69" t="str">
        <f>IF('Informe Kelly'!E209="","",'Informe Kelly'!E209)</f>
        <v>11.04.2011</v>
      </c>
      <c r="E216" s="72">
        <f t="shared" si="7"/>
        <v>108</v>
      </c>
      <c r="F216" s="72" t="str">
        <f>IFERROR(HLOOKUP(C216,Ingreso!$Q$8:$AD$9,2,FALSE),"v")</f>
        <v>Lunes</v>
      </c>
      <c r="G216" s="65" t="str">
        <f>IFERROR(VLOOKUP(A216,Ingreso!K:P,6,FALSE),"no esta ingresado")</f>
        <v>no esta ingresado</v>
      </c>
      <c r="H216" s="65" t="str">
        <f>IFERROR(IF('Informe Kelly'!H209=$A$2,'Informe Kelly'!F209,""),0)</f>
        <v/>
      </c>
      <c r="I216" s="65">
        <f>IFERROR(IF('Informe Kelly'!H209=$A$3,'Informe Kelly'!F209,""),0)</f>
        <v>0.94728009259259249</v>
      </c>
      <c r="J216" s="65" t="str">
        <f>IF(IFERROR(IF(E216=E215,0,(HLOOKUP(D216,Ingreso!$AN$10:$AT$260,VLOOKUP(A216,Ingreso!$AL$11:$AM$260,2,FALSE)))/24),0)=0,"",IFERROR(IF(E216=E215,0,(HLOOKUP(D216,Ingreso!$AN$10:$AT$260,VLOOKUP(A216,Ingreso!$AL$11:$AM$260,2,FALSE)))/24),0))</f>
        <v/>
      </c>
      <c r="K216" s="65" t="str">
        <f>IF(IFERROR(IF(E216=E215,0,(HLOOKUP(C216,Ingreso!$AW$10:$BC$260,VLOOKUP(A216,Ingreso!$AL$11:$AM$260,2,FALSE)))/24),0)=0,"",IFERROR(IF(E216=E215,0,(HLOOKUP(C216,Ingreso!$AW$10:$BC$260,VLOOKUP(A216,Ingreso!$AL$11:$AM$260,2,FALSE)))/24),0))</f>
        <v/>
      </c>
      <c r="L216" s="63" t="str">
        <f t="shared" si="6"/>
        <v/>
      </c>
      <c r="M216" s="63" t="str">
        <f>IF(IFERROR(IF(C216=C214,0,IF(E216=E215,0,IF(C216=$R$2,HLOOKUP($R$2,Ingreso!$AW$10:$BC$260,VLOOKUP(A216,Ingreso!AL:AM,2,FALSE),FALSE)/24,""))),"")=0,"",IFERROR(IF(C216=C214,0,IF(E216=E215,0,IF(C216=$R$2,HLOOKUP($R$2,Ingreso!$AW$10:$BC$260,VLOOKUP(A216,Ingreso!AL:AM,2,FALSE),FALSE)/24,""))),""))</f>
        <v/>
      </c>
      <c r="N216" s="95" t="str">
        <f>IF(IFERROR(IF(C216=C214,0,IF(E216=E215,0,IF(C216=$R$3,HLOOKUP($R$3,Ingreso!$AW$10:$BC$260,VLOOKUP(A216,Ingreso!AL:AM,2,FALSE),FALSE)/24,""))),"")=0,"",IFERROR(IF(C216=C214,0,IF(E216=E215,0,IF(C216=$R$3,HLOOKUP($R$3,Ingreso!$AW$10:$BC$260,VLOOKUP(A216,Ingreso!AL:AM,2,FALSE),FALSE)/24,""))),""))</f>
        <v/>
      </c>
      <c r="O216" s="95" t="str">
        <f>IF(IFERROR(IF(C216=C214,0,IF(E216=E215,0,IF(C216=$R$4,HLOOKUP($R$4,Ingreso!$AW$10:$BC$260,VLOOKUP(A216,Ingreso!AL:AM,2,FALSE),FALSE)/24,""))),"")=0,"",IFERROR(IF(C216=C214,0,IF(E216=E215,0,IF(C216=$R$4,HLOOKUP($R$4,Ingreso!$AW$10:$BC$260,VLOOKUP(A216,Ingreso!AL:AM,2,FALSE),FALSE)/24,""))),""))</f>
        <v/>
      </c>
      <c r="P216" s="90"/>
      <c r="V216"/>
      <c r="W216" s="82">
        <v>247</v>
      </c>
      <c r="X216" s="71">
        <v>0</v>
      </c>
      <c r="Y216" s="101">
        <v>0</v>
      </c>
      <c r="Z216" s="101">
        <v>0.31472222222222224</v>
      </c>
      <c r="AA216" s="101">
        <v>0.31472222222222224</v>
      </c>
      <c r="AB216" s="101">
        <v>0.31472222222222224</v>
      </c>
      <c r="AC216" s="105">
        <v>0</v>
      </c>
      <c r="AD216" s="105">
        <v>0</v>
      </c>
      <c r="AE216" s="93">
        <v>0</v>
      </c>
      <c r="AF216" s="93">
        <v>0</v>
      </c>
      <c r="AG216" s="93">
        <v>0</v>
      </c>
    </row>
    <row r="217" spans="1:33">
      <c r="A217" s="65" t="str">
        <f>IFERROR(VLOOKUP('Informe Kelly'!A210,Base!A:B,2,FALSE),"")</f>
        <v>08.809.784-K</v>
      </c>
      <c r="B217" s="65" t="str">
        <f>IFERROR(VLOOKUP('Informe Kelly'!A210,Base!A:G,7,FALSE),"")</f>
        <v>AGUILERA  LABRIN,CARLOS ANTONIO</v>
      </c>
      <c r="C217" s="69" t="str">
        <f>IF(G217=$C$4,IF('Informe Kelly'!H210='Control informe Kelly'!$A$2,TEXT(((LEFT('Informe Kelly'!E210,2)*1)+1),"dd")&amp;"."&amp;MID('Informe Kelly'!E210,4,2)&amp;"."&amp;RIGHT('Informe Kelly'!E210,4),'Informe Kelly'!E210),'Informe Kelly'!E210)</f>
        <v>11.04.2011</v>
      </c>
      <c r="D217" s="69" t="str">
        <f>IF('Informe Kelly'!E210="","",'Informe Kelly'!E210)</f>
        <v>11.04.2011</v>
      </c>
      <c r="E217" s="72">
        <f t="shared" si="7"/>
        <v>108</v>
      </c>
      <c r="F217" s="72" t="str">
        <f>IFERROR(HLOOKUP(C217,Ingreso!$Q$8:$AD$9,2,FALSE),"v")</f>
        <v>Lunes</v>
      </c>
      <c r="G217" s="65" t="str">
        <f>IFERROR(VLOOKUP(A217,Ingreso!K:P,6,FALSE),"no esta ingresado")</f>
        <v>no esta ingresado</v>
      </c>
      <c r="H217" s="65">
        <f>IFERROR(IF('Informe Kelly'!H210=$A$2,'Informe Kelly'!F210,""),0)</f>
        <v>0.60596064814814821</v>
      </c>
      <c r="I217" s="65" t="str">
        <f>IFERROR(IF('Informe Kelly'!H210=$A$3,'Informe Kelly'!F210,""),0)</f>
        <v/>
      </c>
      <c r="J217" s="65" t="str">
        <f>IF(IFERROR(IF(E217=E216,0,(HLOOKUP(D217,Ingreso!$AN$10:$AT$260,VLOOKUP(A217,Ingreso!$AL$11:$AM$260,2,FALSE)))/24),0)=0,"",IFERROR(IF(E217=E216,0,(HLOOKUP(D217,Ingreso!$AN$10:$AT$260,VLOOKUP(A217,Ingreso!$AL$11:$AM$260,2,FALSE)))/24),0))</f>
        <v/>
      </c>
      <c r="K217" s="65" t="str">
        <f>IF(IFERROR(IF(E217=E216,0,(HLOOKUP(C217,Ingreso!$AW$10:$BC$260,VLOOKUP(A217,Ingreso!$AL$11:$AM$260,2,FALSE)))/24),0)=0,"",IFERROR(IF(E217=E216,0,(HLOOKUP(C217,Ingreso!$AW$10:$BC$260,VLOOKUP(A217,Ingreso!$AL$11:$AM$260,2,FALSE)))/24),0))</f>
        <v/>
      </c>
      <c r="L217" s="63">
        <f t="shared" si="6"/>
        <v>0</v>
      </c>
      <c r="M217" s="63" t="str">
        <f>IF(IFERROR(IF(C217=C215,0,IF(E217=E216,0,IF(C217=$R$2,HLOOKUP($R$2,Ingreso!$AW$10:$BC$260,VLOOKUP(A217,Ingreso!AL:AM,2,FALSE),FALSE)/24,""))),"")=0,"",IFERROR(IF(C217=C215,0,IF(E217=E216,0,IF(C217=$R$2,HLOOKUP($R$2,Ingreso!$AW$10:$BC$260,VLOOKUP(A217,Ingreso!AL:AM,2,FALSE),FALSE)/24,""))),""))</f>
        <v/>
      </c>
      <c r="N217" s="95" t="str">
        <f>IF(IFERROR(IF(C217=C215,0,IF(E217=E216,0,IF(C217=$R$3,HLOOKUP($R$3,Ingreso!$AW$10:$BC$260,VLOOKUP(A217,Ingreso!AL:AM,2,FALSE),FALSE)/24,""))),"")=0,"",IFERROR(IF(C217=C215,0,IF(E217=E216,0,IF(C217=$R$3,HLOOKUP($R$3,Ingreso!$AW$10:$BC$260,VLOOKUP(A217,Ingreso!AL:AM,2,FALSE),FALSE)/24,""))),""))</f>
        <v/>
      </c>
      <c r="O217" s="95" t="str">
        <f>IF(IFERROR(IF(C217=C215,0,IF(E217=E216,0,IF(C217=$R$4,HLOOKUP($R$4,Ingreso!$AW$10:$BC$260,VLOOKUP(A217,Ingreso!AL:AM,2,FALSE),FALSE)/24,""))),"")=0,"",IFERROR(IF(C217=C215,0,IF(E217=E216,0,IF(C217=$R$4,HLOOKUP($R$4,Ingreso!$AW$10:$BC$260,VLOOKUP(A217,Ingreso!AL:AM,2,FALSE),FALSE)/24,""))),""))</f>
        <v/>
      </c>
      <c r="P217" s="90"/>
      <c r="T217" t="s">
        <v>1424</v>
      </c>
      <c r="U217" t="s">
        <v>1324</v>
      </c>
      <c r="V217" t="s">
        <v>1399</v>
      </c>
      <c r="W217" s="82">
        <v>248</v>
      </c>
      <c r="X217" s="71">
        <v>0.375</v>
      </c>
      <c r="Y217" s="101">
        <v>0.93530092592592595</v>
      </c>
      <c r="Z217" s="101">
        <v>0.31687500000000002</v>
      </c>
      <c r="AA217" s="101">
        <v>0.38157407407407407</v>
      </c>
      <c r="AB217" s="101">
        <v>6.5740740740740655E-3</v>
      </c>
      <c r="AC217" s="105">
        <v>0</v>
      </c>
      <c r="AD217" s="105">
        <v>0</v>
      </c>
      <c r="AE217" s="93">
        <v>0</v>
      </c>
      <c r="AF217" s="93">
        <v>0</v>
      </c>
      <c r="AG217" s="93">
        <v>0</v>
      </c>
    </row>
    <row r="218" spans="1:33">
      <c r="A218" s="65" t="str">
        <f>IFERROR(VLOOKUP('Informe Kelly'!A211,Base!A:B,2,FALSE),"")</f>
        <v>08.809.784-K</v>
      </c>
      <c r="B218" s="65" t="str">
        <f>IFERROR(VLOOKUP('Informe Kelly'!A211,Base!A:G,7,FALSE),"")</f>
        <v>AGUILERA  LABRIN,CARLOS ANTONIO</v>
      </c>
      <c r="C218" s="69" t="str">
        <f>IF(G218=$C$4,IF('Informe Kelly'!H211='Control informe Kelly'!$A$2,TEXT(((LEFT('Informe Kelly'!E211,2)*1)+1),"dd")&amp;"."&amp;MID('Informe Kelly'!E211,4,2)&amp;"."&amp;RIGHT('Informe Kelly'!E211,4),'Informe Kelly'!E211),'Informe Kelly'!E211)</f>
        <v>12.04.2011</v>
      </c>
      <c r="D218" s="69" t="str">
        <f>IF('Informe Kelly'!E211="","",'Informe Kelly'!E211)</f>
        <v>12.04.2011</v>
      </c>
      <c r="E218" s="72">
        <f t="shared" si="7"/>
        <v>109</v>
      </c>
      <c r="F218" s="72" t="str">
        <f>IFERROR(HLOOKUP(C218,Ingreso!$Q$8:$AD$9,2,FALSE),"v")</f>
        <v>Martes</v>
      </c>
      <c r="G218" s="65" t="str">
        <f>IFERROR(VLOOKUP(A218,Ingreso!K:P,6,FALSE),"no esta ingresado")</f>
        <v>no esta ingresado</v>
      </c>
      <c r="H218" s="65" t="str">
        <f>IFERROR(IF('Informe Kelly'!H211=$A$2,'Informe Kelly'!F211,""),0)</f>
        <v/>
      </c>
      <c r="I218" s="65">
        <f>IFERROR(IF('Informe Kelly'!H211=$A$3,'Informe Kelly'!F211,""),0)</f>
        <v>0.94634259259259268</v>
      </c>
      <c r="J218" s="65" t="str">
        <f>IF(IFERROR(IF(E218=E217,0,(HLOOKUP(D218,Ingreso!$AN$10:$AT$260,VLOOKUP(A218,Ingreso!$AL$11:$AM$260,2,FALSE)))/24),0)=0,"",IFERROR(IF(E218=E217,0,(HLOOKUP(D218,Ingreso!$AN$10:$AT$260,VLOOKUP(A218,Ingreso!$AL$11:$AM$260,2,FALSE)))/24),0))</f>
        <v/>
      </c>
      <c r="K218" s="65" t="str">
        <f>IF(IFERROR(IF(E218=E217,0,(HLOOKUP(C218,Ingreso!$AW$10:$BC$260,VLOOKUP(A218,Ingreso!$AL$11:$AM$260,2,FALSE)))/24),0)=0,"",IFERROR(IF(E218=E217,0,(HLOOKUP(C218,Ingreso!$AW$10:$BC$260,VLOOKUP(A218,Ingreso!$AL$11:$AM$260,2,FALSE)))/24),0))</f>
        <v/>
      </c>
      <c r="L218" s="63" t="str">
        <f t="shared" si="6"/>
        <v/>
      </c>
      <c r="M218" s="63" t="str">
        <f>IF(IFERROR(IF(C218=C216,0,IF(E218=E217,0,IF(C218=$R$2,HLOOKUP($R$2,Ingreso!$AW$10:$BC$260,VLOOKUP(A218,Ingreso!AL:AM,2,FALSE),FALSE)/24,""))),"")=0,"",IFERROR(IF(C218=C216,0,IF(E218=E217,0,IF(C218=$R$2,HLOOKUP($R$2,Ingreso!$AW$10:$BC$260,VLOOKUP(A218,Ingreso!AL:AM,2,FALSE),FALSE)/24,""))),""))</f>
        <v/>
      </c>
      <c r="N218" s="95" t="str">
        <f>IF(IFERROR(IF(C218=C216,0,IF(E218=E217,0,IF(C218=$R$3,HLOOKUP($R$3,Ingreso!$AW$10:$BC$260,VLOOKUP(A218,Ingreso!AL:AM,2,FALSE),FALSE)/24,""))),"")=0,"",IFERROR(IF(C218=C216,0,IF(E218=E217,0,IF(C218=$R$3,HLOOKUP($R$3,Ingreso!$AW$10:$BC$260,VLOOKUP(A218,Ingreso!AL:AM,2,FALSE),FALSE)/24,""))),""))</f>
        <v/>
      </c>
      <c r="O218" s="95" t="str">
        <f>IF(IFERROR(IF(C218=C216,0,IF(E218=E217,0,IF(C218=$R$4,HLOOKUP($R$4,Ingreso!$AW$10:$BC$260,VLOOKUP(A218,Ingreso!AL:AM,2,FALSE),FALSE)/24,""))),"")=0,"",IFERROR(IF(C218=C216,0,IF(E218=E217,0,IF(C218=$R$4,HLOOKUP($R$4,Ingreso!$AW$10:$BC$260,VLOOKUP(A218,Ingreso!AL:AM,2,FALSE),FALSE)/24,""))),""))</f>
        <v/>
      </c>
      <c r="P218" s="90"/>
      <c r="R218" t="s">
        <v>282</v>
      </c>
      <c r="S218" t="s">
        <v>287</v>
      </c>
      <c r="T218" t="s">
        <v>1420</v>
      </c>
      <c r="U218" t="s">
        <v>1322</v>
      </c>
      <c r="V218" t="s">
        <v>1397</v>
      </c>
      <c r="W218" s="82">
        <v>249</v>
      </c>
      <c r="X218" s="71">
        <v>0.3125</v>
      </c>
      <c r="Y218" s="101">
        <v>0.62167824074074074</v>
      </c>
      <c r="Z218" s="101">
        <v>0.94493055555555561</v>
      </c>
      <c r="AA218" s="101">
        <v>0.32325231481481487</v>
      </c>
      <c r="AB218" s="101">
        <v>1.0752314814814867E-2</v>
      </c>
      <c r="AC218" s="105">
        <v>0</v>
      </c>
      <c r="AD218" s="105">
        <v>0</v>
      </c>
      <c r="AE218" s="93">
        <v>0</v>
      </c>
      <c r="AF218" s="93">
        <v>0</v>
      </c>
      <c r="AG218" s="93">
        <v>0</v>
      </c>
    </row>
    <row r="219" spans="1:33">
      <c r="A219" s="65" t="str">
        <f>IFERROR(VLOOKUP('Informe Kelly'!A212,Base!A:B,2,FALSE),"")</f>
        <v>08.809.784-K</v>
      </c>
      <c r="B219" s="65" t="str">
        <f>IFERROR(VLOOKUP('Informe Kelly'!A212,Base!A:G,7,FALSE),"")</f>
        <v>AGUILERA  LABRIN,CARLOS ANTONIO</v>
      </c>
      <c r="C219" s="69" t="str">
        <f>IF(G219=$C$4,IF('Informe Kelly'!H212='Control informe Kelly'!$A$2,TEXT(((LEFT('Informe Kelly'!E212,2)*1)+1),"dd")&amp;"."&amp;MID('Informe Kelly'!E212,4,2)&amp;"."&amp;RIGHT('Informe Kelly'!E212,4),'Informe Kelly'!E212),'Informe Kelly'!E212)</f>
        <v>12.04.2011</v>
      </c>
      <c r="D219" s="69" t="str">
        <f>IF('Informe Kelly'!E212="","",'Informe Kelly'!E212)</f>
        <v>12.04.2011</v>
      </c>
      <c r="E219" s="72">
        <f t="shared" si="7"/>
        <v>109</v>
      </c>
      <c r="F219" s="72" t="str">
        <f>IFERROR(HLOOKUP(C219,Ingreso!$Q$8:$AD$9,2,FALSE),"v")</f>
        <v>Martes</v>
      </c>
      <c r="G219" s="65" t="str">
        <f>IFERROR(VLOOKUP(A219,Ingreso!K:P,6,FALSE),"no esta ingresado")</f>
        <v>no esta ingresado</v>
      </c>
      <c r="H219" s="65">
        <f>IFERROR(IF('Informe Kelly'!H212=$A$2,'Informe Kelly'!F212,""),0)</f>
        <v>0.60394675925925922</v>
      </c>
      <c r="I219" s="65" t="str">
        <f>IFERROR(IF('Informe Kelly'!H212=$A$3,'Informe Kelly'!F212,""),0)</f>
        <v/>
      </c>
      <c r="J219" s="65" t="str">
        <f>IF(IFERROR(IF(E219=E218,0,(HLOOKUP(D219,Ingreso!$AN$10:$AT$260,VLOOKUP(A219,Ingreso!$AL$11:$AM$260,2,FALSE)))/24),0)=0,"",IFERROR(IF(E219=E218,0,(HLOOKUP(D219,Ingreso!$AN$10:$AT$260,VLOOKUP(A219,Ingreso!$AL$11:$AM$260,2,FALSE)))/24),0))</f>
        <v/>
      </c>
      <c r="K219" s="65" t="str">
        <f>IF(IFERROR(IF(E219=E218,0,(HLOOKUP(C219,Ingreso!$AW$10:$BC$260,VLOOKUP(A219,Ingreso!$AL$11:$AM$260,2,FALSE)))/24),0)=0,"",IFERROR(IF(E219=E218,0,(HLOOKUP(C219,Ingreso!$AW$10:$BC$260,VLOOKUP(A219,Ingreso!$AL$11:$AM$260,2,FALSE)))/24),0))</f>
        <v/>
      </c>
      <c r="L219" s="63">
        <f t="shared" si="6"/>
        <v>0</v>
      </c>
      <c r="M219" s="63" t="str">
        <f>IF(IFERROR(IF(C219=C217,0,IF(E219=E218,0,IF(C219=$R$2,HLOOKUP($R$2,Ingreso!$AW$10:$BC$260,VLOOKUP(A219,Ingreso!AL:AM,2,FALSE),FALSE)/24,""))),"")=0,"",IFERROR(IF(C219=C217,0,IF(E219=E218,0,IF(C219=$R$2,HLOOKUP($R$2,Ingreso!$AW$10:$BC$260,VLOOKUP(A219,Ingreso!AL:AM,2,FALSE),FALSE)/24,""))),""))</f>
        <v/>
      </c>
      <c r="N219" s="95" t="str">
        <f>IF(IFERROR(IF(C219=C217,0,IF(E219=E218,0,IF(C219=$R$3,HLOOKUP($R$3,Ingreso!$AW$10:$BC$260,VLOOKUP(A219,Ingreso!AL:AM,2,FALSE),FALSE)/24,""))),"")=0,"",IFERROR(IF(C219=C217,0,IF(E219=E218,0,IF(C219=$R$3,HLOOKUP($R$3,Ingreso!$AW$10:$BC$260,VLOOKUP(A219,Ingreso!AL:AM,2,FALSE),FALSE)/24,""))),""))</f>
        <v/>
      </c>
      <c r="O219" s="95" t="str">
        <f>IF(IFERROR(IF(C219=C217,0,IF(E219=E218,0,IF(C219=$R$4,HLOOKUP($R$4,Ingreso!$AW$10:$BC$260,VLOOKUP(A219,Ingreso!AL:AM,2,FALSE),FALSE)/24,""))),"")=0,"",IFERROR(IF(C219=C217,0,IF(E219=E218,0,IF(C219=$R$4,HLOOKUP($R$4,Ingreso!$AW$10:$BC$260,VLOOKUP(A219,Ingreso!AL:AM,2,FALSE),FALSE)/24,""))),""))</f>
        <v/>
      </c>
      <c r="P219" s="90"/>
      <c r="T219" t="s">
        <v>1423</v>
      </c>
      <c r="U219" t="s">
        <v>1322</v>
      </c>
      <c r="V219" t="s">
        <v>1398</v>
      </c>
      <c r="W219" s="82">
        <v>250</v>
      </c>
      <c r="X219" s="71">
        <v>0.3125</v>
      </c>
      <c r="Y219" s="101">
        <v>0.61546296296296299</v>
      </c>
      <c r="Z219" s="101">
        <v>0.94528935185185192</v>
      </c>
      <c r="AA219" s="101">
        <v>0.32982638888888893</v>
      </c>
      <c r="AB219" s="101">
        <v>1.7326388888888933E-2</v>
      </c>
      <c r="AC219" s="105">
        <v>0</v>
      </c>
      <c r="AD219" s="105">
        <v>0</v>
      </c>
      <c r="AE219" s="93">
        <v>0</v>
      </c>
      <c r="AF219" s="93">
        <v>0</v>
      </c>
      <c r="AG219" s="93">
        <v>0</v>
      </c>
    </row>
    <row r="220" spans="1:33">
      <c r="A220" s="65" t="str">
        <f>IFERROR(VLOOKUP('Informe Kelly'!A213,Base!A:B,2,FALSE),"")</f>
        <v>08.809.784-K</v>
      </c>
      <c r="B220" s="65" t="str">
        <f>IFERROR(VLOOKUP('Informe Kelly'!A213,Base!A:G,7,FALSE),"")</f>
        <v>AGUILERA  LABRIN,CARLOS ANTONIO</v>
      </c>
      <c r="C220" s="69" t="str">
        <f>IF(G220=$C$4,IF('Informe Kelly'!H213='Control informe Kelly'!$A$2,TEXT(((LEFT('Informe Kelly'!E213,2)*1)+1),"dd")&amp;"."&amp;MID('Informe Kelly'!E213,4,2)&amp;"."&amp;RIGHT('Informe Kelly'!E213,4),'Informe Kelly'!E213),'Informe Kelly'!E213)</f>
        <v>13.04.2011</v>
      </c>
      <c r="D220" s="69" t="str">
        <f>IF('Informe Kelly'!E213="","",'Informe Kelly'!E213)</f>
        <v>13.04.2011</v>
      </c>
      <c r="E220" s="72">
        <f t="shared" si="7"/>
        <v>110</v>
      </c>
      <c r="F220" s="72" t="str">
        <f>IFERROR(HLOOKUP(C220,Ingreso!$Q$8:$AD$9,2,FALSE),"v")</f>
        <v>Miércoles</v>
      </c>
      <c r="G220" s="65" t="str">
        <f>IFERROR(VLOOKUP(A220,Ingreso!K:P,6,FALSE),"no esta ingresado")</f>
        <v>no esta ingresado</v>
      </c>
      <c r="H220" s="65" t="str">
        <f>IFERROR(IF('Informe Kelly'!H213=$A$2,'Informe Kelly'!F213,""),0)</f>
        <v/>
      </c>
      <c r="I220" s="65">
        <f>IFERROR(IF('Informe Kelly'!H213=$A$3,'Informe Kelly'!F213,""),0)</f>
        <v>0.94893518518518516</v>
      </c>
      <c r="J220" s="65" t="str">
        <f>IF(IFERROR(IF(E220=E219,0,(HLOOKUP(D220,Ingreso!$AN$10:$AT$260,VLOOKUP(A220,Ingreso!$AL$11:$AM$260,2,FALSE)))/24),0)=0,"",IFERROR(IF(E220=E219,0,(HLOOKUP(D220,Ingreso!$AN$10:$AT$260,VLOOKUP(A220,Ingreso!$AL$11:$AM$260,2,FALSE)))/24),0))</f>
        <v/>
      </c>
      <c r="K220" s="65" t="str">
        <f>IF(IFERROR(IF(E220=E219,0,(HLOOKUP(C220,Ingreso!$AW$10:$BC$260,VLOOKUP(A220,Ingreso!$AL$11:$AM$260,2,FALSE)))/24),0)=0,"",IFERROR(IF(E220=E219,0,(HLOOKUP(C220,Ingreso!$AW$10:$BC$260,VLOOKUP(A220,Ingreso!$AL$11:$AM$260,2,FALSE)))/24),0))</f>
        <v/>
      </c>
      <c r="L220" s="63" t="str">
        <f t="shared" si="6"/>
        <v/>
      </c>
      <c r="M220" s="63" t="str">
        <f>IF(IFERROR(IF(C220=C218,0,IF(E220=E219,0,IF(C220=$R$2,HLOOKUP($R$2,Ingreso!$AW$10:$BC$260,VLOOKUP(A220,Ingreso!AL:AM,2,FALSE),FALSE)/24,""))),"")=0,"",IFERROR(IF(C220=C218,0,IF(E220=E219,0,IF(C220=$R$2,HLOOKUP($R$2,Ingreso!$AW$10:$BC$260,VLOOKUP(A220,Ingreso!AL:AM,2,FALSE),FALSE)/24,""))),""))</f>
        <v/>
      </c>
      <c r="N220" s="95" t="str">
        <f>IF(IFERROR(IF(C220=C218,0,IF(E220=E219,0,IF(C220=$R$3,HLOOKUP($R$3,Ingreso!$AW$10:$BC$260,VLOOKUP(A220,Ingreso!AL:AM,2,FALSE),FALSE)/24,""))),"")=0,"",IFERROR(IF(C220=C218,0,IF(E220=E219,0,IF(C220=$R$3,HLOOKUP($R$3,Ingreso!$AW$10:$BC$260,VLOOKUP(A220,Ingreso!AL:AM,2,FALSE),FALSE)/24,""))),""))</f>
        <v/>
      </c>
      <c r="O220" s="95" t="str">
        <f>IF(IFERROR(IF(C220=C218,0,IF(E220=E219,0,IF(C220=$R$4,HLOOKUP($R$4,Ingreso!$AW$10:$BC$260,VLOOKUP(A220,Ingreso!AL:AM,2,FALSE),FALSE)/24,""))),"")=0,"",IFERROR(IF(C220=C218,0,IF(E220=E219,0,IF(C220=$R$4,HLOOKUP($R$4,Ingreso!$AW$10:$BC$260,VLOOKUP(A220,Ingreso!AL:AM,2,FALSE),FALSE)/24,""))),""))</f>
        <v/>
      </c>
      <c r="P220" s="90"/>
      <c r="T220" t="s">
        <v>1424</v>
      </c>
      <c r="U220" t="s">
        <v>1322</v>
      </c>
      <c r="V220" t="s">
        <v>1399</v>
      </c>
      <c r="W220" s="82">
        <v>251</v>
      </c>
      <c r="X220" s="71">
        <v>0.3125</v>
      </c>
      <c r="Y220" s="101">
        <v>0.61871527777777779</v>
      </c>
      <c r="Z220" s="101">
        <v>0.94495370370370368</v>
      </c>
      <c r="AA220" s="101">
        <v>0.32623842592592589</v>
      </c>
      <c r="AB220" s="101">
        <v>1.373842592592589E-2</v>
      </c>
      <c r="AC220" s="105">
        <v>0</v>
      </c>
      <c r="AD220" s="105">
        <v>0</v>
      </c>
      <c r="AE220" s="93">
        <v>0</v>
      </c>
      <c r="AF220" s="93">
        <v>0</v>
      </c>
      <c r="AG220" s="93">
        <v>0</v>
      </c>
    </row>
    <row r="221" spans="1:33" ht="12.75" customHeight="1">
      <c r="A221" s="65" t="str">
        <f>IFERROR(VLOOKUP('Informe Kelly'!A214,Base!A:B,2,FALSE),"")</f>
        <v>08.809.784-K</v>
      </c>
      <c r="B221" s="65" t="str">
        <f>IFERROR(VLOOKUP('Informe Kelly'!A214,Base!A:G,7,FALSE),"")</f>
        <v>AGUILERA  LABRIN,CARLOS ANTONIO</v>
      </c>
      <c r="C221" s="69" t="str">
        <f>IF(G221=$C$4,IF('Informe Kelly'!H214='Control informe Kelly'!$A$2,TEXT(((LEFT('Informe Kelly'!E214,2)*1)+1),"dd")&amp;"."&amp;MID('Informe Kelly'!E214,4,2)&amp;"."&amp;RIGHT('Informe Kelly'!E214,4),'Informe Kelly'!E214),'Informe Kelly'!E214)</f>
        <v>13.04.2011</v>
      </c>
      <c r="D221" s="69" t="str">
        <f>IF('Informe Kelly'!E214="","",'Informe Kelly'!E214)</f>
        <v>13.04.2011</v>
      </c>
      <c r="E221" s="72">
        <f t="shared" si="7"/>
        <v>110</v>
      </c>
      <c r="F221" s="72" t="str">
        <f>IFERROR(HLOOKUP(C221,Ingreso!$Q$8:$AD$9,2,FALSE),"v")</f>
        <v>Miércoles</v>
      </c>
      <c r="G221" s="65" t="str">
        <f>IFERROR(VLOOKUP(A221,Ingreso!K:P,6,FALSE),"no esta ingresado")</f>
        <v>no esta ingresado</v>
      </c>
      <c r="H221" s="65">
        <f>IFERROR(IF('Informe Kelly'!H214=$A$2,'Informe Kelly'!F214,""),0)</f>
        <v>0.60642361111111109</v>
      </c>
      <c r="I221" s="65" t="str">
        <f>IFERROR(IF('Informe Kelly'!H214=$A$3,'Informe Kelly'!F214,""),0)</f>
        <v/>
      </c>
      <c r="J221" s="65" t="str">
        <f>IF(IFERROR(IF(E221=E220,0,(HLOOKUP(D221,Ingreso!$AN$10:$AT$260,VLOOKUP(A221,Ingreso!$AL$11:$AM$260,2,FALSE)))/24),0)=0,"",IFERROR(IF(E221=E220,0,(HLOOKUP(D221,Ingreso!$AN$10:$AT$260,VLOOKUP(A221,Ingreso!$AL$11:$AM$260,2,FALSE)))/24),0))</f>
        <v/>
      </c>
      <c r="K221" s="65" t="str">
        <f>IF(IFERROR(IF(E221=E220,0,(HLOOKUP(C221,Ingreso!$AW$10:$BC$260,VLOOKUP(A221,Ingreso!$AL$11:$AM$260,2,FALSE)))/24),0)=0,"",IFERROR(IF(E221=E220,0,(HLOOKUP(C221,Ingreso!$AW$10:$BC$260,VLOOKUP(A221,Ingreso!$AL$11:$AM$260,2,FALSE)))/24),0))</f>
        <v/>
      </c>
      <c r="L221" s="63">
        <f t="shared" si="6"/>
        <v>0</v>
      </c>
      <c r="M221" s="63" t="str">
        <f>IF(IFERROR(IF(C221=C219,0,IF(E221=E220,0,IF(C221=$R$2,HLOOKUP($R$2,Ingreso!$AW$10:$BC$260,VLOOKUP(A221,Ingreso!AL:AM,2,FALSE),FALSE)/24,""))),"")=0,"",IFERROR(IF(C221=C219,0,IF(E221=E220,0,IF(C221=$R$2,HLOOKUP($R$2,Ingreso!$AW$10:$BC$260,VLOOKUP(A221,Ingreso!AL:AM,2,FALSE),FALSE)/24,""))),""))</f>
        <v/>
      </c>
      <c r="N221" s="95" t="str">
        <f>IF(IFERROR(IF(C221=C219,0,IF(E221=E220,0,IF(C221=$R$3,HLOOKUP($R$3,Ingreso!$AW$10:$BC$260,VLOOKUP(A221,Ingreso!AL:AM,2,FALSE),FALSE)/24,""))),"")=0,"",IFERROR(IF(C221=C219,0,IF(E221=E220,0,IF(C221=$R$3,HLOOKUP($R$3,Ingreso!$AW$10:$BC$260,VLOOKUP(A221,Ingreso!AL:AM,2,FALSE),FALSE)/24,""))),""))</f>
        <v/>
      </c>
      <c r="O221" s="95" t="str">
        <f>IF(IFERROR(IF(C221=C219,0,IF(E221=E220,0,IF(C221=$R$4,HLOOKUP($R$4,Ingreso!$AW$10:$BC$260,VLOOKUP(A221,Ingreso!AL:AM,2,FALSE),FALSE)/24,""))),"")=0,"",IFERROR(IF(C221=C219,0,IF(E221=E220,0,IF(C221=$R$4,HLOOKUP($R$4,Ingreso!$AW$10:$BC$260,VLOOKUP(A221,Ingreso!AL:AM,2,FALSE),FALSE)/24,""))),""))</f>
        <v/>
      </c>
      <c r="P221" s="90"/>
      <c r="T221" t="s">
        <v>1425</v>
      </c>
      <c r="U221" t="s">
        <v>1322</v>
      </c>
      <c r="V221" t="s">
        <v>1400</v>
      </c>
      <c r="W221" s="82">
        <v>252</v>
      </c>
      <c r="X221" s="71">
        <v>0.3125</v>
      </c>
      <c r="Y221" s="101">
        <v>0.62449074074074074</v>
      </c>
      <c r="Z221" s="101">
        <v>0.93994212962962964</v>
      </c>
      <c r="AA221" s="101">
        <v>0.31545138888888891</v>
      </c>
      <c r="AB221" s="101">
        <v>2.9513888888889062E-3</v>
      </c>
      <c r="AC221" s="105">
        <v>0</v>
      </c>
      <c r="AD221" s="105">
        <v>0</v>
      </c>
      <c r="AE221" s="93">
        <v>0</v>
      </c>
      <c r="AF221" s="93">
        <v>0</v>
      </c>
      <c r="AG221" s="93">
        <v>0</v>
      </c>
    </row>
    <row r="222" spans="1:33">
      <c r="A222" s="65" t="str">
        <f>IFERROR(VLOOKUP('Informe Kelly'!A215,Base!A:B,2,FALSE),"")</f>
        <v>08.809.784-K</v>
      </c>
      <c r="B222" s="65" t="str">
        <f>IFERROR(VLOOKUP('Informe Kelly'!A215,Base!A:G,7,FALSE),"")</f>
        <v>AGUILERA  LABRIN,CARLOS ANTONIO</v>
      </c>
      <c r="C222" s="69" t="str">
        <f>IF(G222=$C$4,IF('Informe Kelly'!H215='Control informe Kelly'!$A$2,TEXT(((LEFT('Informe Kelly'!E215,2)*1)+1),"dd")&amp;"."&amp;MID('Informe Kelly'!E215,4,2)&amp;"."&amp;RIGHT('Informe Kelly'!E215,4),'Informe Kelly'!E215),'Informe Kelly'!E215)</f>
        <v>14.04.2011</v>
      </c>
      <c r="D222" s="69" t="str">
        <f>IF('Informe Kelly'!E215="","",'Informe Kelly'!E215)</f>
        <v>14.04.2011</v>
      </c>
      <c r="E222" s="72">
        <f t="shared" si="7"/>
        <v>111</v>
      </c>
      <c r="F222" s="72" t="str">
        <f>IFERROR(HLOOKUP(C222,Ingreso!$Q$8:$AD$9,2,FALSE),"v")</f>
        <v>Jueves</v>
      </c>
      <c r="G222" s="65" t="str">
        <f>IFERROR(VLOOKUP(A222,Ingreso!K:P,6,FALSE),"no esta ingresado")</f>
        <v>no esta ingresado</v>
      </c>
      <c r="H222" s="65" t="str">
        <f>IFERROR(IF('Informe Kelly'!H215=$A$2,'Informe Kelly'!F215,""),0)</f>
        <v/>
      </c>
      <c r="I222" s="65">
        <f>IFERROR(IF('Informe Kelly'!H215=$A$3,'Informe Kelly'!F215,""),0)</f>
        <v>0.94881944444444455</v>
      </c>
      <c r="J222" s="65" t="str">
        <f>IF(IFERROR(IF(E222=E221,0,(HLOOKUP(D222,Ingreso!$AN$10:$AT$260,VLOOKUP(A222,Ingreso!$AL$11:$AM$260,2,FALSE)))/24),0)=0,"",IFERROR(IF(E222=E221,0,(HLOOKUP(D222,Ingreso!$AN$10:$AT$260,VLOOKUP(A222,Ingreso!$AL$11:$AM$260,2,FALSE)))/24),0))</f>
        <v/>
      </c>
      <c r="K222" s="65" t="str">
        <f>IF(IFERROR(IF(E222=E221,0,(HLOOKUP(C222,Ingreso!$AW$10:$BC$260,VLOOKUP(A222,Ingreso!$AL$11:$AM$260,2,FALSE)))/24),0)=0,"",IFERROR(IF(E222=E221,0,(HLOOKUP(C222,Ingreso!$AW$10:$BC$260,VLOOKUP(A222,Ingreso!$AL$11:$AM$260,2,FALSE)))/24),0))</f>
        <v/>
      </c>
      <c r="L222" s="63" t="str">
        <f t="shared" si="6"/>
        <v/>
      </c>
      <c r="M222" s="63" t="str">
        <f>IF(IFERROR(IF(C222=C220,0,IF(E222=E221,0,IF(C222=$R$2,HLOOKUP($R$2,Ingreso!$AW$10:$BC$260,VLOOKUP(A222,Ingreso!AL:AM,2,FALSE),FALSE)/24,""))),"")=0,"",IFERROR(IF(C222=C220,0,IF(E222=E221,0,IF(C222=$R$2,HLOOKUP($R$2,Ingreso!$AW$10:$BC$260,VLOOKUP(A222,Ingreso!AL:AM,2,FALSE),FALSE)/24,""))),""))</f>
        <v/>
      </c>
      <c r="N222" s="95" t="str">
        <f>IF(IFERROR(IF(C222=C220,0,IF(E222=E221,0,IF(C222=$R$3,HLOOKUP($R$3,Ingreso!$AW$10:$BC$260,VLOOKUP(A222,Ingreso!AL:AM,2,FALSE),FALSE)/24,""))),"")=0,"",IFERROR(IF(C222=C220,0,IF(E222=E221,0,IF(C222=$R$3,HLOOKUP($R$3,Ingreso!$AW$10:$BC$260,VLOOKUP(A222,Ingreso!AL:AM,2,FALSE),FALSE)/24,""))),""))</f>
        <v/>
      </c>
      <c r="O222" s="95" t="str">
        <f>IF(IFERROR(IF(C222=C220,0,IF(E222=E221,0,IF(C222=$R$4,HLOOKUP($R$4,Ingreso!$AW$10:$BC$260,VLOOKUP(A222,Ingreso!AL:AM,2,FALSE),FALSE)/24,""))),"")=0,"",IFERROR(IF(C222=C220,0,IF(E222=E221,0,IF(C222=$R$4,HLOOKUP($R$4,Ingreso!$AW$10:$BC$260,VLOOKUP(A222,Ingreso!AL:AM,2,FALSE),FALSE)/24,""))),""))</f>
        <v/>
      </c>
      <c r="P222" s="90"/>
      <c r="T222" t="s">
        <v>1426</v>
      </c>
      <c r="U222" t="s">
        <v>1322</v>
      </c>
      <c r="V222" t="s">
        <v>1401</v>
      </c>
      <c r="W222" s="82">
        <v>253</v>
      </c>
      <c r="X222" s="71">
        <v>0.3125</v>
      </c>
      <c r="Y222" s="101">
        <v>0.60665509259259254</v>
      </c>
      <c r="Z222" s="101">
        <v>0.94780092592592602</v>
      </c>
      <c r="AA222" s="101">
        <v>0.34114583333333348</v>
      </c>
      <c r="AB222" s="101">
        <v>2.8645833333333481E-2</v>
      </c>
      <c r="AC222" s="105">
        <v>0</v>
      </c>
      <c r="AD222" s="105">
        <v>0</v>
      </c>
      <c r="AE222" s="93">
        <v>0</v>
      </c>
      <c r="AF222" s="93">
        <v>0</v>
      </c>
      <c r="AG222" s="93">
        <v>0</v>
      </c>
    </row>
    <row r="223" spans="1:33">
      <c r="A223" s="65" t="str">
        <f>IFERROR(VLOOKUP('Informe Kelly'!A216,Base!A:B,2,FALSE),"")</f>
        <v>08.809.784-K</v>
      </c>
      <c r="B223" s="65" t="str">
        <f>IFERROR(VLOOKUP('Informe Kelly'!A216,Base!A:G,7,FALSE),"")</f>
        <v>AGUILERA  LABRIN,CARLOS ANTONIO</v>
      </c>
      <c r="C223" s="69" t="str">
        <f>IF(G223=$C$4,IF('Informe Kelly'!H216='Control informe Kelly'!$A$2,TEXT(((LEFT('Informe Kelly'!E216,2)*1)+1),"dd")&amp;"."&amp;MID('Informe Kelly'!E216,4,2)&amp;"."&amp;RIGHT('Informe Kelly'!E216,4),'Informe Kelly'!E216),'Informe Kelly'!E216)</f>
        <v>14.04.2011</v>
      </c>
      <c r="D223" s="69" t="str">
        <f>IF('Informe Kelly'!E216="","",'Informe Kelly'!E216)</f>
        <v>14.04.2011</v>
      </c>
      <c r="E223" s="72">
        <f t="shared" si="7"/>
        <v>111</v>
      </c>
      <c r="F223" s="72" t="str">
        <f>IFERROR(HLOOKUP(C223,Ingreso!$Q$8:$AD$9,2,FALSE),"v")</f>
        <v>Jueves</v>
      </c>
      <c r="G223" s="65" t="str">
        <f>IFERROR(VLOOKUP(A223,Ingreso!K:P,6,FALSE),"no esta ingresado")</f>
        <v>no esta ingresado</v>
      </c>
      <c r="H223" s="65">
        <f>IFERROR(IF('Informe Kelly'!H216=$A$2,'Informe Kelly'!F216,""),0)</f>
        <v>0.60425925925925927</v>
      </c>
      <c r="I223" s="65" t="str">
        <f>IFERROR(IF('Informe Kelly'!H216=$A$3,'Informe Kelly'!F216,""),0)</f>
        <v/>
      </c>
      <c r="J223" s="65" t="str">
        <f>IF(IFERROR(IF(E223=E222,0,(HLOOKUP(D223,Ingreso!$AN$10:$AT$260,VLOOKUP(A223,Ingreso!$AL$11:$AM$260,2,FALSE)))/24),0)=0,"",IFERROR(IF(E223=E222,0,(HLOOKUP(D223,Ingreso!$AN$10:$AT$260,VLOOKUP(A223,Ingreso!$AL$11:$AM$260,2,FALSE)))/24),0))</f>
        <v/>
      </c>
      <c r="K223" s="65" t="str">
        <f>IF(IFERROR(IF(E223=E222,0,(HLOOKUP(C223,Ingreso!$AW$10:$BC$260,VLOOKUP(A223,Ingreso!$AL$11:$AM$260,2,FALSE)))/24),0)=0,"",IFERROR(IF(E223=E222,0,(HLOOKUP(C223,Ingreso!$AW$10:$BC$260,VLOOKUP(A223,Ingreso!$AL$11:$AM$260,2,FALSE)))/24),0))</f>
        <v/>
      </c>
      <c r="L223" s="63">
        <f t="shared" si="6"/>
        <v>0</v>
      </c>
      <c r="M223" s="63" t="str">
        <f>IF(IFERROR(IF(C223=C221,0,IF(E223=E222,0,IF(C223=$R$2,HLOOKUP($R$2,Ingreso!$AW$10:$BC$260,VLOOKUP(A223,Ingreso!AL:AM,2,FALSE),FALSE)/24,""))),"")=0,"",IFERROR(IF(C223=C221,0,IF(E223=E222,0,IF(C223=$R$2,HLOOKUP($R$2,Ingreso!$AW$10:$BC$260,VLOOKUP(A223,Ingreso!AL:AM,2,FALSE),FALSE)/24,""))),""))</f>
        <v/>
      </c>
      <c r="N223" s="95" t="str">
        <f>IF(IFERROR(IF(C223=C221,0,IF(E223=E222,0,IF(C223=$R$3,HLOOKUP($R$3,Ingreso!$AW$10:$BC$260,VLOOKUP(A223,Ingreso!AL:AM,2,FALSE),FALSE)/24,""))),"")=0,"",IFERROR(IF(C223=C221,0,IF(E223=E222,0,IF(C223=$R$3,HLOOKUP($R$3,Ingreso!$AW$10:$BC$260,VLOOKUP(A223,Ingreso!AL:AM,2,FALSE),FALSE)/24,""))),""))</f>
        <v/>
      </c>
      <c r="O223" s="95" t="str">
        <f>IF(IFERROR(IF(C223=C221,0,IF(E223=E222,0,IF(C223=$R$4,HLOOKUP($R$4,Ingreso!$AW$10:$BC$260,VLOOKUP(A223,Ingreso!AL:AM,2,FALSE),FALSE)/24,""))),"")=0,"",IFERROR(IF(C223=C221,0,IF(E223=E222,0,IF(C223=$R$4,HLOOKUP($R$4,Ingreso!$AW$10:$BC$260,VLOOKUP(A223,Ingreso!AL:AM,2,FALSE),FALSE)/24,""))),""))</f>
        <v/>
      </c>
      <c r="P223" s="90"/>
      <c r="T223" t="s">
        <v>1427</v>
      </c>
      <c r="U223" t="s">
        <v>1322</v>
      </c>
      <c r="V223" t="s">
        <v>1402</v>
      </c>
      <c r="W223" s="82">
        <v>254</v>
      </c>
      <c r="X223" s="71">
        <v>0.3125</v>
      </c>
      <c r="Y223" s="101">
        <v>0.65135416666666668</v>
      </c>
      <c r="Z223" s="101">
        <v>0.9331828703703704</v>
      </c>
      <c r="AA223" s="101">
        <v>0.28182870370370372</v>
      </c>
      <c r="AB223" s="101">
        <v>-3.067129629629628E-2</v>
      </c>
      <c r="AC223" s="105">
        <v>0</v>
      </c>
      <c r="AD223" s="105">
        <v>0</v>
      </c>
      <c r="AE223" s="93">
        <v>0</v>
      </c>
      <c r="AF223" s="93">
        <v>0</v>
      </c>
      <c r="AG223" s="93">
        <v>0</v>
      </c>
    </row>
    <row r="224" spans="1:33">
      <c r="A224" s="65" t="str">
        <f>IFERROR(VLOOKUP('Informe Kelly'!A217,Base!A:B,2,FALSE),"")</f>
        <v>08.809.784-K</v>
      </c>
      <c r="B224" s="65" t="str">
        <f>IFERROR(VLOOKUP('Informe Kelly'!A217,Base!A:G,7,FALSE),"")</f>
        <v>AGUILERA  LABRIN,CARLOS ANTONIO</v>
      </c>
      <c r="C224" s="69" t="str">
        <f>IF(G224=$C$4,IF('Informe Kelly'!H217='Control informe Kelly'!$A$2,TEXT(((LEFT('Informe Kelly'!E217,2)*1)+1),"dd")&amp;"."&amp;MID('Informe Kelly'!E217,4,2)&amp;"."&amp;RIGHT('Informe Kelly'!E217,4),'Informe Kelly'!E217),'Informe Kelly'!E217)</f>
        <v>15.04.2011</v>
      </c>
      <c r="D224" s="69" t="str">
        <f>IF('Informe Kelly'!E217="","",'Informe Kelly'!E217)</f>
        <v>15.04.2011</v>
      </c>
      <c r="E224" s="72">
        <f t="shared" si="7"/>
        <v>112</v>
      </c>
      <c r="F224" s="72" t="str">
        <f>IFERROR(HLOOKUP(C224,Ingreso!$Q$8:$AD$9,2,FALSE),"v")</f>
        <v>Viernes</v>
      </c>
      <c r="G224" s="65" t="str">
        <f>IFERROR(VLOOKUP(A224,Ingreso!K:P,6,FALSE),"no esta ingresado")</f>
        <v>no esta ingresado</v>
      </c>
      <c r="H224" s="65" t="str">
        <f>IFERROR(IF('Informe Kelly'!H217=$A$2,'Informe Kelly'!F217,""),0)</f>
        <v/>
      </c>
      <c r="I224" s="65">
        <f>IFERROR(IF('Informe Kelly'!H217=$A$3,'Informe Kelly'!F217,""),0)</f>
        <v>0.9477430555555556</v>
      </c>
      <c r="J224" s="65" t="str">
        <f>IF(IFERROR(IF(E224=E223,0,(HLOOKUP(D224,Ingreso!$AN$10:$AT$260,VLOOKUP(A224,Ingreso!$AL$11:$AM$260,2,FALSE)))/24),0)=0,"",IFERROR(IF(E224=E223,0,(HLOOKUP(D224,Ingreso!$AN$10:$AT$260,VLOOKUP(A224,Ingreso!$AL$11:$AM$260,2,FALSE)))/24),0))</f>
        <v/>
      </c>
      <c r="K224" s="65" t="str">
        <f>IF(IFERROR(IF(E224=E223,0,(HLOOKUP(C224,Ingreso!$AW$10:$BC$260,VLOOKUP(A224,Ingreso!$AL$11:$AM$260,2,FALSE)))/24),0)=0,"",IFERROR(IF(E224=E223,0,(HLOOKUP(C224,Ingreso!$AW$10:$BC$260,VLOOKUP(A224,Ingreso!$AL$11:$AM$260,2,FALSE)))/24),0))</f>
        <v/>
      </c>
      <c r="L224" s="63" t="str">
        <f t="shared" si="6"/>
        <v/>
      </c>
      <c r="M224" s="63" t="str">
        <f>IF(IFERROR(IF(C224=C222,0,IF(E224=E223,0,IF(C224=$R$2,HLOOKUP($R$2,Ingreso!$AW$10:$BC$260,VLOOKUP(A224,Ingreso!AL:AM,2,FALSE),FALSE)/24,""))),"")=0,"",IFERROR(IF(C224=C222,0,IF(E224=E223,0,IF(C224=$R$2,HLOOKUP($R$2,Ingreso!$AW$10:$BC$260,VLOOKUP(A224,Ingreso!AL:AM,2,FALSE),FALSE)/24,""))),""))</f>
        <v/>
      </c>
      <c r="N224" s="95" t="str">
        <f>IF(IFERROR(IF(C224=C222,0,IF(E224=E223,0,IF(C224=$R$3,HLOOKUP($R$3,Ingreso!$AW$10:$BC$260,VLOOKUP(A224,Ingreso!AL:AM,2,FALSE),FALSE)/24,""))),"")=0,"",IFERROR(IF(C224=C222,0,IF(E224=E223,0,IF(C224=$R$3,HLOOKUP($R$3,Ingreso!$AW$10:$BC$260,VLOOKUP(A224,Ingreso!AL:AM,2,FALSE),FALSE)/24,""))),""))</f>
        <v/>
      </c>
      <c r="O224" s="95" t="str">
        <f>IF(IFERROR(IF(C224=C222,0,IF(E224=E223,0,IF(C224=$R$4,HLOOKUP($R$4,Ingreso!$AW$10:$BC$260,VLOOKUP(A224,Ingreso!AL:AM,2,FALSE),FALSE)/24,""))),"")=0,"",IFERROR(IF(C224=C222,0,IF(E224=E223,0,IF(C224=$R$4,HLOOKUP($R$4,Ingreso!$AW$10:$BC$260,VLOOKUP(A224,Ingreso!AL:AM,2,FALSE),FALSE)/24,""))),""))</f>
        <v/>
      </c>
      <c r="P224" s="90"/>
      <c r="R224" t="s">
        <v>584</v>
      </c>
      <c r="S224" t="s">
        <v>588</v>
      </c>
      <c r="T224" t="s">
        <v>1423</v>
      </c>
      <c r="U224" t="s">
        <v>1324</v>
      </c>
      <c r="V224" t="s">
        <v>1398</v>
      </c>
      <c r="W224" s="82">
        <v>255</v>
      </c>
      <c r="X224" s="71">
        <v>0.375</v>
      </c>
      <c r="Y224" s="101">
        <v>0.91861111111111116</v>
      </c>
      <c r="Z224" s="101">
        <v>0.31866898148148148</v>
      </c>
      <c r="AA224" s="101">
        <v>0.40005787037037033</v>
      </c>
      <c r="AB224" s="101">
        <v>2.5057870370370328E-2</v>
      </c>
      <c r="AC224" s="105">
        <v>0</v>
      </c>
      <c r="AD224" s="105">
        <v>0</v>
      </c>
      <c r="AE224" s="93">
        <v>0</v>
      </c>
      <c r="AF224" s="93">
        <v>0</v>
      </c>
      <c r="AG224" s="93">
        <v>0</v>
      </c>
    </row>
    <row r="225" spans="1:33">
      <c r="A225" s="65" t="str">
        <f>IFERROR(VLOOKUP('Informe Kelly'!A218,Base!A:B,2,FALSE),"")</f>
        <v>08.809.784-K</v>
      </c>
      <c r="B225" s="65" t="str">
        <f>IFERROR(VLOOKUP('Informe Kelly'!A218,Base!A:G,7,FALSE),"")</f>
        <v>AGUILERA  LABRIN,CARLOS ANTONIO</v>
      </c>
      <c r="C225" s="69" t="str">
        <f>IF(G225=$C$4,IF('Informe Kelly'!H218='Control informe Kelly'!$A$2,TEXT(((LEFT('Informe Kelly'!E218,2)*1)+1),"dd")&amp;"."&amp;MID('Informe Kelly'!E218,4,2)&amp;"."&amp;RIGHT('Informe Kelly'!E218,4),'Informe Kelly'!E218),'Informe Kelly'!E218)</f>
        <v>15.04.2011</v>
      </c>
      <c r="D225" s="69" t="str">
        <f>IF('Informe Kelly'!E218="","",'Informe Kelly'!E218)</f>
        <v>15.04.2011</v>
      </c>
      <c r="E225" s="72">
        <f t="shared" si="7"/>
        <v>112</v>
      </c>
      <c r="F225" s="72" t="str">
        <f>IFERROR(HLOOKUP(C225,Ingreso!$Q$8:$AD$9,2,FALSE),"v")</f>
        <v>Viernes</v>
      </c>
      <c r="G225" s="65" t="str">
        <f>IFERROR(VLOOKUP(A225,Ingreso!K:P,6,FALSE),"no esta ingresado")</f>
        <v>no esta ingresado</v>
      </c>
      <c r="H225" s="65">
        <f>IFERROR(IF('Informe Kelly'!H218=$A$2,'Informe Kelly'!F218,""),0)</f>
        <v>0.60730324074074071</v>
      </c>
      <c r="I225" s="65" t="str">
        <f>IFERROR(IF('Informe Kelly'!H218=$A$3,'Informe Kelly'!F218,""),0)</f>
        <v/>
      </c>
      <c r="J225" s="65" t="str">
        <f>IF(IFERROR(IF(E225=E224,0,(HLOOKUP(D225,Ingreso!$AN$10:$AT$260,VLOOKUP(A225,Ingreso!$AL$11:$AM$260,2,FALSE)))/24),0)=0,"",IFERROR(IF(E225=E224,0,(HLOOKUP(D225,Ingreso!$AN$10:$AT$260,VLOOKUP(A225,Ingreso!$AL$11:$AM$260,2,FALSE)))/24),0))</f>
        <v/>
      </c>
      <c r="K225" s="65" t="str">
        <f>IF(IFERROR(IF(E225=E224,0,(HLOOKUP(C225,Ingreso!$AW$10:$BC$260,VLOOKUP(A225,Ingreso!$AL$11:$AM$260,2,FALSE)))/24),0)=0,"",IFERROR(IF(E225=E224,0,(HLOOKUP(C225,Ingreso!$AW$10:$BC$260,VLOOKUP(A225,Ingreso!$AL$11:$AM$260,2,FALSE)))/24),0))</f>
        <v/>
      </c>
      <c r="L225" s="63">
        <f t="shared" si="6"/>
        <v>0</v>
      </c>
      <c r="M225" s="63" t="str">
        <f>IF(IFERROR(IF(C225=C223,0,IF(E225=E224,0,IF(C225=$R$2,HLOOKUP($R$2,Ingreso!$AW$10:$BC$260,VLOOKUP(A225,Ingreso!AL:AM,2,FALSE),FALSE)/24,""))),"")=0,"",IFERROR(IF(C225=C223,0,IF(E225=E224,0,IF(C225=$R$2,HLOOKUP($R$2,Ingreso!$AW$10:$BC$260,VLOOKUP(A225,Ingreso!AL:AM,2,FALSE),FALSE)/24,""))),""))</f>
        <v/>
      </c>
      <c r="N225" s="95" t="str">
        <f>IF(IFERROR(IF(C225=C223,0,IF(E225=E224,0,IF(C225=$R$3,HLOOKUP($R$3,Ingreso!$AW$10:$BC$260,VLOOKUP(A225,Ingreso!AL:AM,2,FALSE),FALSE)/24,""))),"")=0,"",IFERROR(IF(C225=C223,0,IF(E225=E224,0,IF(C225=$R$3,HLOOKUP($R$3,Ingreso!$AW$10:$BC$260,VLOOKUP(A225,Ingreso!AL:AM,2,FALSE),FALSE)/24,""))),""))</f>
        <v/>
      </c>
      <c r="O225" s="95" t="str">
        <f>IF(IFERROR(IF(C225=C223,0,IF(E225=E224,0,IF(C225=$R$4,HLOOKUP($R$4,Ingreso!$AW$10:$BC$260,VLOOKUP(A225,Ingreso!AL:AM,2,FALSE),FALSE)/24,""))),"")=0,"",IFERROR(IF(C225=C223,0,IF(E225=E224,0,IF(C225=$R$4,HLOOKUP($R$4,Ingreso!$AW$10:$BC$260,VLOOKUP(A225,Ingreso!AL:AM,2,FALSE),FALSE)/24,""))),""))</f>
        <v/>
      </c>
      <c r="P225" s="90"/>
      <c r="T225" t="s">
        <v>1424</v>
      </c>
      <c r="U225" t="s">
        <v>1324</v>
      </c>
      <c r="V225" t="s">
        <v>1399</v>
      </c>
      <c r="W225" s="82">
        <v>256</v>
      </c>
      <c r="X225" s="71">
        <v>0.375</v>
      </c>
      <c r="Y225" s="101">
        <v>0.91828703703703696</v>
      </c>
      <c r="Z225" s="101">
        <v>0.32143518518518516</v>
      </c>
      <c r="AA225" s="101">
        <v>0.40314814814814814</v>
      </c>
      <c r="AB225" s="101">
        <v>2.8148148148148144E-2</v>
      </c>
      <c r="AC225" s="105">
        <v>0</v>
      </c>
      <c r="AD225" s="105">
        <v>0</v>
      </c>
      <c r="AE225" s="93">
        <v>0</v>
      </c>
      <c r="AF225" s="93">
        <v>0</v>
      </c>
      <c r="AG225" s="93">
        <v>0</v>
      </c>
    </row>
    <row r="226" spans="1:33">
      <c r="A226" s="65" t="str">
        <f>IFERROR(VLOOKUP('Informe Kelly'!A219,Base!A:B,2,FALSE),"")</f>
        <v>08.809.784-K</v>
      </c>
      <c r="B226" s="65" t="str">
        <f>IFERROR(VLOOKUP('Informe Kelly'!A219,Base!A:G,7,FALSE),"")</f>
        <v>AGUILERA  LABRIN,CARLOS ANTONIO</v>
      </c>
      <c r="C226" s="69" t="str">
        <f>IF(G226=$C$4,IF('Informe Kelly'!H219='Control informe Kelly'!$A$2,TEXT(((LEFT('Informe Kelly'!E219,2)*1)+1),"dd")&amp;"."&amp;MID('Informe Kelly'!E219,4,2)&amp;"."&amp;RIGHT('Informe Kelly'!E219,4),'Informe Kelly'!E219),'Informe Kelly'!E219)</f>
        <v>16.04.2011</v>
      </c>
      <c r="D226" s="69" t="str">
        <f>IF('Informe Kelly'!E219="","",'Informe Kelly'!E219)</f>
        <v>16.04.2011</v>
      </c>
      <c r="E226" s="72">
        <f t="shared" si="7"/>
        <v>113</v>
      </c>
      <c r="F226" s="72" t="str">
        <f>IFERROR(HLOOKUP(C226,Ingreso!$Q$8:$AD$9,2,FALSE),"v")</f>
        <v>Sábado</v>
      </c>
      <c r="G226" s="65" t="str">
        <f>IFERROR(VLOOKUP(A226,Ingreso!K:P,6,FALSE),"no esta ingresado")</f>
        <v>no esta ingresado</v>
      </c>
      <c r="H226" s="65" t="str">
        <f>IFERROR(IF('Informe Kelly'!H219=$A$2,'Informe Kelly'!F219,""),0)</f>
        <v/>
      </c>
      <c r="I226" s="65">
        <f>IFERROR(IF('Informe Kelly'!H219=$A$3,'Informe Kelly'!F219,""),0)</f>
        <v>0.95038194444444446</v>
      </c>
      <c r="J226" s="65" t="str">
        <f>IF(IFERROR(IF(E226=E225,0,(HLOOKUP(D226,Ingreso!$AN$10:$AT$260,VLOOKUP(A226,Ingreso!$AL$11:$AM$260,2,FALSE)))/24),0)=0,"",IFERROR(IF(E226=E225,0,(HLOOKUP(D226,Ingreso!$AN$10:$AT$260,VLOOKUP(A226,Ingreso!$AL$11:$AM$260,2,FALSE)))/24),0))</f>
        <v/>
      </c>
      <c r="K226" s="65" t="str">
        <f>IF(IFERROR(IF(E226=E225,0,(HLOOKUP(C226,Ingreso!$AW$10:$BC$260,VLOOKUP(A226,Ingreso!$AL$11:$AM$260,2,FALSE)))/24),0)=0,"",IFERROR(IF(E226=E225,0,(HLOOKUP(C226,Ingreso!$AW$10:$BC$260,VLOOKUP(A226,Ingreso!$AL$11:$AM$260,2,FALSE)))/24),0))</f>
        <v/>
      </c>
      <c r="L226" s="63" t="str">
        <f t="shared" si="6"/>
        <v/>
      </c>
      <c r="M226" s="63" t="str">
        <f>IF(IFERROR(IF(C226=C224,0,IF(E226=E225,0,IF(C226=$R$2,HLOOKUP($R$2,Ingreso!$AW$10:$BC$260,VLOOKUP(A226,Ingreso!AL:AM,2,FALSE),FALSE)/24,""))),"")=0,"",IFERROR(IF(C226=C224,0,IF(E226=E225,0,IF(C226=$R$2,HLOOKUP($R$2,Ingreso!$AW$10:$BC$260,VLOOKUP(A226,Ingreso!AL:AM,2,FALSE),FALSE)/24,""))),""))</f>
        <v/>
      </c>
      <c r="N226" s="95" t="str">
        <f>IF(IFERROR(IF(C226=C224,0,IF(E226=E225,0,IF(C226=$R$3,HLOOKUP($R$3,Ingreso!$AW$10:$BC$260,VLOOKUP(A226,Ingreso!AL:AM,2,FALSE),FALSE)/24,""))),"")=0,"",IFERROR(IF(C226=C224,0,IF(E226=E225,0,IF(C226=$R$3,HLOOKUP($R$3,Ingreso!$AW$10:$BC$260,VLOOKUP(A226,Ingreso!AL:AM,2,FALSE),FALSE)/24,""))),""))</f>
        <v/>
      </c>
      <c r="O226" s="95" t="str">
        <f>IF(IFERROR(IF(C226=C224,0,IF(E226=E225,0,IF(C226=$R$4,HLOOKUP($R$4,Ingreso!$AW$10:$BC$260,VLOOKUP(A226,Ingreso!AL:AM,2,FALSE),FALSE)/24,""))),"")=0,"",IFERROR(IF(C226=C224,0,IF(E226=E225,0,IF(C226=$R$4,HLOOKUP($R$4,Ingreso!$AW$10:$BC$260,VLOOKUP(A226,Ingreso!AL:AM,2,FALSE),FALSE)/24,""))),""))</f>
        <v/>
      </c>
      <c r="P226" s="90"/>
      <c r="T226" t="s">
        <v>1425</v>
      </c>
      <c r="U226" t="s">
        <v>1324</v>
      </c>
      <c r="V226" t="s">
        <v>1400</v>
      </c>
      <c r="W226" s="82">
        <v>257</v>
      </c>
      <c r="X226" s="71">
        <v>0.375</v>
      </c>
      <c r="Y226" s="101">
        <v>0.91770833333333324</v>
      </c>
      <c r="Z226" s="101">
        <v>0.32011574074074073</v>
      </c>
      <c r="AA226" s="101">
        <v>0.40240740740740744</v>
      </c>
      <c r="AB226" s="101">
        <v>2.7407407407407436E-2</v>
      </c>
      <c r="AC226" s="105">
        <v>0</v>
      </c>
      <c r="AD226" s="105">
        <v>0</v>
      </c>
      <c r="AE226" s="93">
        <v>0</v>
      </c>
      <c r="AF226" s="93">
        <v>0</v>
      </c>
      <c r="AG226" s="93">
        <v>0</v>
      </c>
    </row>
    <row r="227" spans="1:33">
      <c r="A227" s="65" t="str">
        <f>IFERROR(VLOOKUP('Informe Kelly'!A220,Base!A:B,2,FALSE),"")</f>
        <v>08.809.784-K</v>
      </c>
      <c r="B227" s="65" t="str">
        <f>IFERROR(VLOOKUP('Informe Kelly'!A220,Base!A:G,7,FALSE),"")</f>
        <v>AGUILERA  LABRIN,CARLOS ANTONIO</v>
      </c>
      <c r="C227" s="69" t="str">
        <f>IF(G227=$C$4,IF('Informe Kelly'!H220='Control informe Kelly'!$A$2,TEXT(((LEFT('Informe Kelly'!E220,2)*1)+1),"dd")&amp;"."&amp;MID('Informe Kelly'!E220,4,2)&amp;"."&amp;RIGHT('Informe Kelly'!E220,4),'Informe Kelly'!E220),'Informe Kelly'!E220)</f>
        <v>16.04.2011</v>
      </c>
      <c r="D227" s="69" t="str">
        <f>IF('Informe Kelly'!E220="","",'Informe Kelly'!E220)</f>
        <v>16.04.2011</v>
      </c>
      <c r="E227" s="72">
        <f t="shared" si="7"/>
        <v>113</v>
      </c>
      <c r="F227" s="72" t="str">
        <f>IFERROR(HLOOKUP(C227,Ingreso!$Q$8:$AD$9,2,FALSE),"v")</f>
        <v>Sábado</v>
      </c>
      <c r="G227" s="65" t="str">
        <f>IFERROR(VLOOKUP(A227,Ingreso!K:P,6,FALSE),"no esta ingresado")</f>
        <v>no esta ingresado</v>
      </c>
      <c r="H227" s="65">
        <f>IFERROR(IF('Informe Kelly'!H220=$A$2,'Informe Kelly'!F220,""),0)</f>
        <v>0.60342592592592592</v>
      </c>
      <c r="I227" s="65" t="str">
        <f>IFERROR(IF('Informe Kelly'!H220=$A$3,'Informe Kelly'!F220,""),0)</f>
        <v/>
      </c>
      <c r="J227" s="65" t="str">
        <f>IF(IFERROR(IF(E227=E226,0,(HLOOKUP(D227,Ingreso!$AN$10:$AT$260,VLOOKUP(A227,Ingreso!$AL$11:$AM$260,2,FALSE)))/24),0)=0,"",IFERROR(IF(E227=E226,0,(HLOOKUP(D227,Ingreso!$AN$10:$AT$260,VLOOKUP(A227,Ingreso!$AL$11:$AM$260,2,FALSE)))/24),0))</f>
        <v/>
      </c>
      <c r="K227" s="65" t="str">
        <f>IF(IFERROR(IF(E227=E226,0,(HLOOKUP(C227,Ingreso!$AW$10:$BC$260,VLOOKUP(A227,Ingreso!$AL$11:$AM$260,2,FALSE)))/24),0)=0,"",IFERROR(IF(E227=E226,0,(HLOOKUP(C227,Ingreso!$AW$10:$BC$260,VLOOKUP(A227,Ingreso!$AL$11:$AM$260,2,FALSE)))/24),0))</f>
        <v/>
      </c>
      <c r="L227" s="63">
        <f t="shared" si="6"/>
        <v>0</v>
      </c>
      <c r="M227" s="63" t="str">
        <f>IF(IFERROR(IF(C227=C225,0,IF(E227=E226,0,IF(C227=$R$2,HLOOKUP($R$2,Ingreso!$AW$10:$BC$260,VLOOKUP(A227,Ingreso!AL:AM,2,FALSE),FALSE)/24,""))),"")=0,"",IFERROR(IF(C227=C225,0,IF(E227=E226,0,IF(C227=$R$2,HLOOKUP($R$2,Ingreso!$AW$10:$BC$260,VLOOKUP(A227,Ingreso!AL:AM,2,FALSE),FALSE)/24,""))),""))</f>
        <v/>
      </c>
      <c r="N227" s="95" t="str">
        <f>IF(IFERROR(IF(C227=C225,0,IF(E227=E226,0,IF(C227=$R$3,HLOOKUP($R$3,Ingreso!$AW$10:$BC$260,VLOOKUP(A227,Ingreso!AL:AM,2,FALSE),FALSE)/24,""))),"")=0,"",IFERROR(IF(C227=C225,0,IF(E227=E226,0,IF(C227=$R$3,HLOOKUP($R$3,Ingreso!$AW$10:$BC$260,VLOOKUP(A227,Ingreso!AL:AM,2,FALSE),FALSE)/24,""))),""))</f>
        <v/>
      </c>
      <c r="O227" s="95" t="str">
        <f>IF(IFERROR(IF(C227=C225,0,IF(E227=E226,0,IF(C227=$R$4,HLOOKUP($R$4,Ingreso!$AW$10:$BC$260,VLOOKUP(A227,Ingreso!AL:AM,2,FALSE),FALSE)/24,""))),"")=0,"",IFERROR(IF(C227=C225,0,IF(E227=E226,0,IF(C227=$R$4,HLOOKUP($R$4,Ingreso!$AW$10:$BC$260,VLOOKUP(A227,Ingreso!AL:AM,2,FALSE),FALSE)/24,""))),""))</f>
        <v/>
      </c>
      <c r="P227" s="90"/>
      <c r="T227" t="s">
        <v>1426</v>
      </c>
      <c r="U227" t="s">
        <v>1324</v>
      </c>
      <c r="V227" t="s">
        <v>1401</v>
      </c>
      <c r="W227" s="82">
        <v>258</v>
      </c>
      <c r="X227" s="71">
        <v>0.375</v>
      </c>
      <c r="Y227" s="101">
        <v>0.91357638888888892</v>
      </c>
      <c r="Z227" s="101">
        <v>0.32041666666666663</v>
      </c>
      <c r="AA227" s="101">
        <v>0.40684027777777765</v>
      </c>
      <c r="AB227" s="101">
        <v>3.1840277777777648E-2</v>
      </c>
      <c r="AC227" s="105">
        <v>0</v>
      </c>
      <c r="AD227" s="105">
        <v>0</v>
      </c>
      <c r="AE227" s="93">
        <v>0</v>
      </c>
      <c r="AF227" s="93">
        <v>0</v>
      </c>
      <c r="AG227" s="93">
        <v>0</v>
      </c>
    </row>
    <row r="228" spans="1:33">
      <c r="A228" s="65" t="str">
        <f>IFERROR(VLOOKUP('Informe Kelly'!A221,Base!A:B,2,FALSE),"")</f>
        <v>09.068.490-6</v>
      </c>
      <c r="B228" s="65" t="str">
        <f>IFERROR(VLOOKUP('Informe Kelly'!A221,Base!A:G,7,FALSE),"")</f>
        <v>GONZALEZ DEL VALLE DARIO RODOLFO</v>
      </c>
      <c r="C228" s="69" t="str">
        <f>IF(G228=$C$4,IF('Informe Kelly'!H221='Control informe Kelly'!$A$2,TEXT(((LEFT('Informe Kelly'!E221,2)*1)+1),"dd")&amp;"."&amp;MID('Informe Kelly'!E221,4,2)&amp;"."&amp;RIGHT('Informe Kelly'!E221,4),'Informe Kelly'!E221),'Informe Kelly'!E221)</f>
        <v>11.04.2011</v>
      </c>
      <c r="D228" s="69" t="str">
        <f>IF('Informe Kelly'!E221="","",'Informe Kelly'!E221)</f>
        <v>11.04.2011</v>
      </c>
      <c r="E228" s="72">
        <f t="shared" si="7"/>
        <v>114</v>
      </c>
      <c r="F228" s="72" t="str">
        <f>IFERROR(HLOOKUP(C228,Ingreso!$Q$8:$AD$9,2,FALSE),"v")</f>
        <v>Lunes</v>
      </c>
      <c r="G228" s="65" t="str">
        <f>IFERROR(VLOOKUP(A228,Ingreso!K:P,6,FALSE),"no esta ingresado")</f>
        <v>Turno A</v>
      </c>
      <c r="H228" s="65" t="str">
        <f>IFERROR(IF('Informe Kelly'!H221=$A$2,'Informe Kelly'!F221,""),0)</f>
        <v/>
      </c>
      <c r="I228" s="65">
        <f>IFERROR(IF('Informe Kelly'!H221=$A$3,'Informe Kelly'!F221,""),0)</f>
        <v>0.62843749999999998</v>
      </c>
      <c r="J228" s="65" t="str">
        <f>IF(IFERROR(IF(E228=E227,0,(HLOOKUP(D228,Ingreso!$AN$10:$AT$260,VLOOKUP(A228,Ingreso!$AL$11:$AM$260,2,FALSE)))/24),0)=0,"",IFERROR(IF(E228=E227,0,(HLOOKUP(D228,Ingreso!$AN$10:$AT$260,VLOOKUP(A228,Ingreso!$AL$11:$AM$260,2,FALSE)))/24),0))</f>
        <v/>
      </c>
      <c r="K228" s="65" t="str">
        <f>IF(IFERROR(IF(E228=E227,0,(HLOOKUP(C228,Ingreso!$AW$10:$BC$260,VLOOKUP(A228,Ingreso!$AL$11:$AM$260,2,FALSE)))/24),0)=0,"",IFERROR(IF(E228=E227,0,(HLOOKUP(C228,Ingreso!$AW$10:$BC$260,VLOOKUP(A228,Ingreso!$AL$11:$AM$260,2,FALSE)))/24),0))</f>
        <v/>
      </c>
      <c r="L228" s="63">
        <f t="shared" si="6"/>
        <v>0.3125</v>
      </c>
      <c r="M228" s="63" t="str">
        <f>IF(IFERROR(IF(C228=C226,0,IF(E228=E227,0,IF(C228=$R$2,HLOOKUP($R$2,Ingreso!$AW$10:$BC$260,VLOOKUP(A228,Ingreso!AL:AM,2,FALSE),FALSE)/24,""))),"")=0,"",IFERROR(IF(C228=C226,0,IF(E228=E227,0,IF(C228=$R$2,HLOOKUP($R$2,Ingreso!$AW$10:$BC$260,VLOOKUP(A228,Ingreso!AL:AM,2,FALSE),FALSE)/24,""))),""))</f>
        <v/>
      </c>
      <c r="N228" s="95" t="str">
        <f>IF(IFERROR(IF(C228=C226,0,IF(E228=E227,0,IF(C228=$R$3,HLOOKUP($R$3,Ingreso!$AW$10:$BC$260,VLOOKUP(A228,Ingreso!AL:AM,2,FALSE),FALSE)/24,""))),"")=0,"",IFERROR(IF(C228=C226,0,IF(E228=E227,0,IF(C228=$R$3,HLOOKUP($R$3,Ingreso!$AW$10:$BC$260,VLOOKUP(A228,Ingreso!AL:AM,2,FALSE),FALSE)/24,""))),""))</f>
        <v/>
      </c>
      <c r="O228" s="95" t="str">
        <f>IF(IFERROR(IF(C228=C226,0,IF(E228=E227,0,IF(C228=$R$4,HLOOKUP($R$4,Ingreso!$AW$10:$BC$260,VLOOKUP(A228,Ingreso!AL:AM,2,FALSE),FALSE)/24,""))),"")=0,"",IFERROR(IF(C228=C226,0,IF(E228=E227,0,IF(C228=$R$4,HLOOKUP($R$4,Ingreso!$AW$10:$BC$260,VLOOKUP(A228,Ingreso!AL:AM,2,FALSE),FALSE)/24,""))),""))</f>
        <v/>
      </c>
      <c r="P228" s="90"/>
      <c r="T228" t="s">
        <v>1427</v>
      </c>
      <c r="U228" t="s">
        <v>1324</v>
      </c>
      <c r="V228" t="s">
        <v>1402</v>
      </c>
      <c r="W228" s="82">
        <v>259</v>
      </c>
      <c r="X228" s="71">
        <v>0.375</v>
      </c>
      <c r="Y228" s="101">
        <v>0.91994212962962962</v>
      </c>
      <c r="Z228" s="101">
        <v>0.31913194444444443</v>
      </c>
      <c r="AA228" s="101">
        <v>0.39918981481481486</v>
      </c>
      <c r="AB228" s="101">
        <v>2.4189814814814858E-2</v>
      </c>
      <c r="AC228" s="105">
        <v>0</v>
      </c>
      <c r="AD228" s="105">
        <v>0</v>
      </c>
      <c r="AE228" s="93">
        <v>0</v>
      </c>
      <c r="AF228" s="93">
        <v>0</v>
      </c>
      <c r="AG228" s="93">
        <v>0</v>
      </c>
    </row>
    <row r="229" spans="1:33">
      <c r="A229" s="65" t="str">
        <f>IFERROR(VLOOKUP('Informe Kelly'!A222,Base!A:B,2,FALSE),"")</f>
        <v>09.068.490-6</v>
      </c>
      <c r="B229" s="65" t="str">
        <f>IFERROR(VLOOKUP('Informe Kelly'!A222,Base!A:G,7,FALSE),"")</f>
        <v>GONZALEZ DEL VALLE DARIO RODOLFO</v>
      </c>
      <c r="C229" s="69" t="str">
        <f>IF(G229=$C$4,IF('Informe Kelly'!H222='Control informe Kelly'!$A$2,TEXT(((LEFT('Informe Kelly'!E222,2)*1)+1),"dd")&amp;"."&amp;MID('Informe Kelly'!E222,4,2)&amp;"."&amp;RIGHT('Informe Kelly'!E222,4),'Informe Kelly'!E222),'Informe Kelly'!E222)</f>
        <v>11.04.2011</v>
      </c>
      <c r="D229" s="69" t="str">
        <f>IF('Informe Kelly'!E222="","",'Informe Kelly'!E222)</f>
        <v>11.04.2011</v>
      </c>
      <c r="E229" s="72">
        <f t="shared" si="7"/>
        <v>114</v>
      </c>
      <c r="F229" s="72" t="str">
        <f>IFERROR(HLOOKUP(C229,Ingreso!$Q$8:$AD$9,2,FALSE),"v")</f>
        <v>Lunes</v>
      </c>
      <c r="G229" s="65" t="str">
        <f>IFERROR(VLOOKUP(A229,Ingreso!K:P,6,FALSE),"no esta ingresado")</f>
        <v>Turno A</v>
      </c>
      <c r="H229" s="65">
        <f>IFERROR(IF('Informe Kelly'!H222=$A$2,'Informe Kelly'!F222,""),0)</f>
        <v>0.29636574074074074</v>
      </c>
      <c r="I229" s="65" t="str">
        <f>IFERROR(IF('Informe Kelly'!H222=$A$3,'Informe Kelly'!F222,""),0)</f>
        <v/>
      </c>
      <c r="J229" s="65" t="str">
        <f>IF(IFERROR(IF(E229=E228,0,(HLOOKUP(D229,Ingreso!$AN$10:$AT$260,VLOOKUP(A229,Ingreso!$AL$11:$AM$260,2,FALSE)))/24),0)=0,"",IFERROR(IF(E229=E228,0,(HLOOKUP(D229,Ingreso!$AN$10:$AT$260,VLOOKUP(A229,Ingreso!$AL$11:$AM$260,2,FALSE)))/24),0))</f>
        <v/>
      </c>
      <c r="K229" s="65" t="str">
        <f>IF(IFERROR(IF(E229=E228,0,(HLOOKUP(C229,Ingreso!$AW$10:$BC$260,VLOOKUP(A229,Ingreso!$AL$11:$AM$260,2,FALSE)))/24),0)=0,"",IFERROR(IF(E229=E228,0,(HLOOKUP(C229,Ingreso!$AW$10:$BC$260,VLOOKUP(A229,Ingreso!$AL$11:$AM$260,2,FALSE)))/24),0))</f>
        <v/>
      </c>
      <c r="L229" s="63">
        <f t="shared" si="6"/>
        <v>0</v>
      </c>
      <c r="M229" s="63" t="str">
        <f>IF(IFERROR(IF(C229=C227,0,IF(E229=E228,0,IF(C229=$R$2,HLOOKUP($R$2,Ingreso!$AW$10:$BC$260,VLOOKUP(A229,Ingreso!AL:AM,2,FALSE),FALSE)/24,""))),"")=0,"",IFERROR(IF(C229=C227,0,IF(E229=E228,0,IF(C229=$R$2,HLOOKUP($R$2,Ingreso!$AW$10:$BC$260,VLOOKUP(A229,Ingreso!AL:AM,2,FALSE),FALSE)/24,""))),""))</f>
        <v/>
      </c>
      <c r="N229" s="95" t="str">
        <f>IF(IFERROR(IF(C229=C227,0,IF(E229=E228,0,IF(C229=$R$3,HLOOKUP($R$3,Ingreso!$AW$10:$BC$260,VLOOKUP(A229,Ingreso!AL:AM,2,FALSE),FALSE)/24,""))),"")=0,"",IFERROR(IF(C229=C227,0,IF(E229=E228,0,IF(C229=$R$3,HLOOKUP($R$3,Ingreso!$AW$10:$BC$260,VLOOKUP(A229,Ingreso!AL:AM,2,FALSE),FALSE)/24,""))),""))</f>
        <v/>
      </c>
      <c r="O229" s="95" t="str">
        <f>IF(IFERROR(IF(C229=C227,0,IF(E229=E228,0,IF(C229=$R$4,HLOOKUP($R$4,Ingreso!$AW$10:$BC$260,VLOOKUP(A229,Ingreso!AL:AM,2,FALSE),FALSE)/24,""))),"")=0,"",IFERROR(IF(C229=C227,0,IF(E229=E228,0,IF(C229=$R$4,HLOOKUP($R$4,Ingreso!$AW$10:$BC$260,VLOOKUP(A229,Ingreso!AL:AM,2,FALSE),FALSE)/24,""))),""))</f>
        <v/>
      </c>
      <c r="P229" s="90"/>
      <c r="R229" t="s">
        <v>696</v>
      </c>
      <c r="S229" t="s">
        <v>698</v>
      </c>
      <c r="T229" t="s">
        <v>1420</v>
      </c>
      <c r="U229" t="s">
        <v>1338</v>
      </c>
      <c r="V229" t="s">
        <v>1397</v>
      </c>
      <c r="W229" s="82">
        <v>260</v>
      </c>
      <c r="X229" s="71">
        <v>0.41666666666666669</v>
      </c>
      <c r="Y229" s="101">
        <v>0.45630787037037041</v>
      </c>
      <c r="Z229" s="101">
        <v>0.81133101851851841</v>
      </c>
      <c r="AA229" s="101">
        <v>0.355023148148148</v>
      </c>
      <c r="AB229" s="101">
        <v>-6.1643518518518681E-2</v>
      </c>
      <c r="AC229" s="105">
        <v>0</v>
      </c>
      <c r="AD229" s="105">
        <v>0</v>
      </c>
      <c r="AE229" s="93">
        <v>0</v>
      </c>
      <c r="AF229" s="93">
        <v>0</v>
      </c>
      <c r="AG229" s="93">
        <v>0</v>
      </c>
    </row>
    <row r="230" spans="1:33">
      <c r="A230" s="65" t="str">
        <f>IFERROR(VLOOKUP('Informe Kelly'!A223,Base!A:B,2,FALSE),"")</f>
        <v>09.068.490-6</v>
      </c>
      <c r="B230" s="65" t="str">
        <f>IFERROR(VLOOKUP('Informe Kelly'!A223,Base!A:G,7,FALSE),"")</f>
        <v>GONZALEZ DEL VALLE DARIO RODOLFO</v>
      </c>
      <c r="C230" s="69" t="str">
        <f>IF(G230=$C$4,IF('Informe Kelly'!H223='Control informe Kelly'!$A$2,TEXT(((LEFT('Informe Kelly'!E223,2)*1)+1),"dd")&amp;"."&amp;MID('Informe Kelly'!E223,4,2)&amp;"."&amp;RIGHT('Informe Kelly'!E223,4),'Informe Kelly'!E223),'Informe Kelly'!E223)</f>
        <v>12.04.2011</v>
      </c>
      <c r="D230" s="69" t="str">
        <f>IF('Informe Kelly'!E223="","",'Informe Kelly'!E223)</f>
        <v>12.04.2011</v>
      </c>
      <c r="E230" s="72">
        <f t="shared" si="7"/>
        <v>115</v>
      </c>
      <c r="F230" s="72" t="str">
        <f>IFERROR(HLOOKUP(C230,Ingreso!$Q$8:$AD$9,2,FALSE),"v")</f>
        <v>Martes</v>
      </c>
      <c r="G230" s="65" t="str">
        <f>IFERROR(VLOOKUP(A230,Ingreso!K:P,6,FALSE),"no esta ingresado")</f>
        <v>Turno A</v>
      </c>
      <c r="H230" s="65" t="str">
        <f>IFERROR(IF('Informe Kelly'!H223=$A$2,'Informe Kelly'!F223,""),0)</f>
        <v/>
      </c>
      <c r="I230" s="65">
        <f>IFERROR(IF('Informe Kelly'!H223=$A$3,'Informe Kelly'!F223,""),0)</f>
        <v>0.62665509259259256</v>
      </c>
      <c r="J230" s="65" t="str">
        <f>IF(IFERROR(IF(E230=E229,0,(HLOOKUP(D230,Ingreso!$AN$10:$AT$260,VLOOKUP(A230,Ingreso!$AL$11:$AM$260,2,FALSE)))/24),0)=0,"",IFERROR(IF(E230=E229,0,(HLOOKUP(D230,Ingreso!$AN$10:$AT$260,VLOOKUP(A230,Ingreso!$AL$11:$AM$260,2,FALSE)))/24),0))</f>
        <v/>
      </c>
      <c r="K230" s="65" t="str">
        <f>IF(IFERROR(IF(E230=E229,0,(HLOOKUP(C230,Ingreso!$AW$10:$BC$260,VLOOKUP(A230,Ingreso!$AL$11:$AM$260,2,FALSE)))/24),0)=0,"",IFERROR(IF(E230=E229,0,(HLOOKUP(C230,Ingreso!$AW$10:$BC$260,VLOOKUP(A230,Ingreso!$AL$11:$AM$260,2,FALSE)))/24),0))</f>
        <v/>
      </c>
      <c r="L230" s="63">
        <f t="shared" si="6"/>
        <v>0.3125</v>
      </c>
      <c r="M230" s="63" t="str">
        <f>IF(IFERROR(IF(C230=C228,0,IF(E230=E229,0,IF(C230=$R$2,HLOOKUP($R$2,Ingreso!$AW$10:$BC$260,VLOOKUP(A230,Ingreso!AL:AM,2,FALSE),FALSE)/24,""))),"")=0,"",IFERROR(IF(C230=C228,0,IF(E230=E229,0,IF(C230=$R$2,HLOOKUP($R$2,Ingreso!$AW$10:$BC$260,VLOOKUP(A230,Ingreso!AL:AM,2,FALSE),FALSE)/24,""))),""))</f>
        <v/>
      </c>
      <c r="N230" s="95" t="str">
        <f>IF(IFERROR(IF(C230=C228,0,IF(E230=E229,0,IF(C230=$R$3,HLOOKUP($R$3,Ingreso!$AW$10:$BC$260,VLOOKUP(A230,Ingreso!AL:AM,2,FALSE),FALSE)/24,""))),"")=0,"",IFERROR(IF(C230=C228,0,IF(E230=E229,0,IF(C230=$R$3,HLOOKUP($R$3,Ingreso!$AW$10:$BC$260,VLOOKUP(A230,Ingreso!AL:AM,2,FALSE),FALSE)/24,""))),""))</f>
        <v/>
      </c>
      <c r="O230" s="95" t="str">
        <f>IF(IFERROR(IF(C230=C228,0,IF(E230=E229,0,IF(C230=$R$4,HLOOKUP($R$4,Ingreso!$AW$10:$BC$260,VLOOKUP(A230,Ingreso!AL:AM,2,FALSE),FALSE)/24,""))),"")=0,"",IFERROR(IF(C230=C228,0,IF(E230=E229,0,IF(C230=$R$4,HLOOKUP($R$4,Ingreso!$AW$10:$BC$260,VLOOKUP(A230,Ingreso!AL:AM,2,FALSE),FALSE)/24,""))),""))</f>
        <v/>
      </c>
      <c r="P230" s="90"/>
      <c r="T230" t="s">
        <v>1423</v>
      </c>
      <c r="U230" t="s">
        <v>1338</v>
      </c>
      <c r="V230" t="s">
        <v>1398</v>
      </c>
      <c r="W230" s="82">
        <v>261</v>
      </c>
      <c r="X230" s="71">
        <v>0.41666666666666669</v>
      </c>
      <c r="Y230" s="101">
        <v>0.301875</v>
      </c>
      <c r="Z230" s="101">
        <v>0.80799768518518522</v>
      </c>
      <c r="AA230" s="101">
        <v>0.50612268518518522</v>
      </c>
      <c r="AB230" s="101">
        <v>8.9456018518518532E-2</v>
      </c>
      <c r="AC230" s="105">
        <v>8.3333333333333329E-2</v>
      </c>
      <c r="AD230" s="105">
        <v>0</v>
      </c>
      <c r="AE230" s="93">
        <v>0</v>
      </c>
      <c r="AF230" s="93">
        <v>0</v>
      </c>
      <c r="AG230" s="93">
        <v>0</v>
      </c>
    </row>
    <row r="231" spans="1:33">
      <c r="A231" s="65" t="str">
        <f>IFERROR(VLOOKUP('Informe Kelly'!A224,Base!A:B,2,FALSE),"")</f>
        <v>09.068.490-6</v>
      </c>
      <c r="B231" s="65" t="str">
        <f>IFERROR(VLOOKUP('Informe Kelly'!A224,Base!A:G,7,FALSE),"")</f>
        <v>GONZALEZ DEL VALLE DARIO RODOLFO</v>
      </c>
      <c r="C231" s="69" t="str">
        <f>IF(G231=$C$4,IF('Informe Kelly'!H224='Control informe Kelly'!$A$2,TEXT(((LEFT('Informe Kelly'!E224,2)*1)+1),"dd")&amp;"."&amp;MID('Informe Kelly'!E224,4,2)&amp;"."&amp;RIGHT('Informe Kelly'!E224,4),'Informe Kelly'!E224),'Informe Kelly'!E224)</f>
        <v>12.04.2011</v>
      </c>
      <c r="D231" s="69" t="str">
        <f>IF('Informe Kelly'!E224="","",'Informe Kelly'!E224)</f>
        <v>12.04.2011</v>
      </c>
      <c r="E231" s="72">
        <f t="shared" si="7"/>
        <v>115</v>
      </c>
      <c r="F231" s="72" t="str">
        <f>IFERROR(HLOOKUP(C231,Ingreso!$Q$8:$AD$9,2,FALSE),"v")</f>
        <v>Martes</v>
      </c>
      <c r="G231" s="65" t="str">
        <f>IFERROR(VLOOKUP(A231,Ingreso!K:P,6,FALSE),"no esta ingresado")</f>
        <v>Turno A</v>
      </c>
      <c r="H231" s="65">
        <f>IFERROR(IF('Informe Kelly'!H224=$A$2,'Informe Kelly'!F224,""),0)</f>
        <v>0.29531250000000003</v>
      </c>
      <c r="I231" s="65" t="str">
        <f>IFERROR(IF('Informe Kelly'!H224=$A$3,'Informe Kelly'!F224,""),0)</f>
        <v/>
      </c>
      <c r="J231" s="65" t="str">
        <f>IF(IFERROR(IF(E231=E230,0,(HLOOKUP(D231,Ingreso!$AN$10:$AT$260,VLOOKUP(A231,Ingreso!$AL$11:$AM$260,2,FALSE)))/24),0)=0,"",IFERROR(IF(E231=E230,0,(HLOOKUP(D231,Ingreso!$AN$10:$AT$260,VLOOKUP(A231,Ingreso!$AL$11:$AM$260,2,FALSE)))/24),0))</f>
        <v/>
      </c>
      <c r="K231" s="65" t="str">
        <f>IF(IFERROR(IF(E231=E230,0,(HLOOKUP(C231,Ingreso!$AW$10:$BC$260,VLOOKUP(A231,Ingreso!$AL$11:$AM$260,2,FALSE)))/24),0)=0,"",IFERROR(IF(E231=E230,0,(HLOOKUP(C231,Ingreso!$AW$10:$BC$260,VLOOKUP(A231,Ingreso!$AL$11:$AM$260,2,FALSE)))/24),0))</f>
        <v/>
      </c>
      <c r="L231" s="63">
        <f t="shared" si="6"/>
        <v>0</v>
      </c>
      <c r="M231" s="63" t="str">
        <f>IF(IFERROR(IF(C231=C229,0,IF(E231=E230,0,IF(C231=$R$2,HLOOKUP($R$2,Ingreso!$AW$10:$BC$260,VLOOKUP(A231,Ingreso!AL:AM,2,FALSE),FALSE)/24,""))),"")=0,"",IFERROR(IF(C231=C229,0,IF(E231=E230,0,IF(C231=$R$2,HLOOKUP($R$2,Ingreso!$AW$10:$BC$260,VLOOKUP(A231,Ingreso!AL:AM,2,FALSE),FALSE)/24,""))),""))</f>
        <v/>
      </c>
      <c r="N231" s="95" t="str">
        <f>IF(IFERROR(IF(C231=C229,0,IF(E231=E230,0,IF(C231=$R$3,HLOOKUP($R$3,Ingreso!$AW$10:$BC$260,VLOOKUP(A231,Ingreso!AL:AM,2,FALSE),FALSE)/24,""))),"")=0,"",IFERROR(IF(C231=C229,0,IF(E231=E230,0,IF(C231=$R$3,HLOOKUP($R$3,Ingreso!$AW$10:$BC$260,VLOOKUP(A231,Ingreso!AL:AM,2,FALSE),FALSE)/24,""))),""))</f>
        <v/>
      </c>
      <c r="O231" s="95" t="str">
        <f>IF(IFERROR(IF(C231=C229,0,IF(E231=E230,0,IF(C231=$R$4,HLOOKUP($R$4,Ingreso!$AW$10:$BC$260,VLOOKUP(A231,Ingreso!AL:AM,2,FALSE),FALSE)/24,""))),"")=0,"",IFERROR(IF(C231=C229,0,IF(E231=E230,0,IF(C231=$R$4,HLOOKUP($R$4,Ingreso!$AW$10:$BC$260,VLOOKUP(A231,Ingreso!AL:AM,2,FALSE),FALSE)/24,""))),""))</f>
        <v/>
      </c>
      <c r="P231" s="90"/>
      <c r="T231" t="s">
        <v>1424</v>
      </c>
      <c r="U231" t="s">
        <v>1338</v>
      </c>
      <c r="V231" t="s">
        <v>1399</v>
      </c>
      <c r="W231" s="82">
        <v>262</v>
      </c>
      <c r="X231" s="71">
        <v>0.41666666666666669</v>
      </c>
      <c r="Y231" s="101">
        <v>0.30016203703703703</v>
      </c>
      <c r="Z231" s="101">
        <v>0.80461805555555566</v>
      </c>
      <c r="AA231" s="101">
        <v>0.50445601851851862</v>
      </c>
      <c r="AB231" s="101">
        <v>8.7789351851851938E-2</v>
      </c>
      <c r="AC231" s="105">
        <v>8.3333333333333329E-2</v>
      </c>
      <c r="AD231" s="105">
        <v>0</v>
      </c>
      <c r="AE231" s="93">
        <v>0</v>
      </c>
      <c r="AF231" s="93">
        <v>0</v>
      </c>
      <c r="AG231" s="93">
        <v>0</v>
      </c>
    </row>
    <row r="232" spans="1:33">
      <c r="A232" s="65" t="str">
        <f>IFERROR(VLOOKUP('Informe Kelly'!A225,Base!A:B,2,FALSE),"")</f>
        <v>09.068.490-6</v>
      </c>
      <c r="B232" s="65" t="str">
        <f>IFERROR(VLOOKUP('Informe Kelly'!A225,Base!A:G,7,FALSE),"")</f>
        <v>GONZALEZ DEL VALLE DARIO RODOLFO</v>
      </c>
      <c r="C232" s="69" t="str">
        <f>IF(G232=$C$4,IF('Informe Kelly'!H225='Control informe Kelly'!$A$2,TEXT(((LEFT('Informe Kelly'!E225,2)*1)+1),"dd")&amp;"."&amp;MID('Informe Kelly'!E225,4,2)&amp;"."&amp;RIGHT('Informe Kelly'!E225,4),'Informe Kelly'!E225),'Informe Kelly'!E225)</f>
        <v>13.04.2011</v>
      </c>
      <c r="D232" s="69" t="str">
        <f>IF('Informe Kelly'!E225="","",'Informe Kelly'!E225)</f>
        <v>13.04.2011</v>
      </c>
      <c r="E232" s="72">
        <f t="shared" si="7"/>
        <v>116</v>
      </c>
      <c r="F232" s="72" t="str">
        <f>IFERROR(HLOOKUP(C232,Ingreso!$Q$8:$AD$9,2,FALSE),"v")</f>
        <v>Miércoles</v>
      </c>
      <c r="G232" s="65" t="str">
        <f>IFERROR(VLOOKUP(A232,Ingreso!K:P,6,FALSE),"no esta ingresado")</f>
        <v>Turno A</v>
      </c>
      <c r="H232" s="65" t="str">
        <f>IFERROR(IF('Informe Kelly'!H225=$A$2,'Informe Kelly'!F225,""),0)</f>
        <v/>
      </c>
      <c r="I232" s="65">
        <f>IFERROR(IF('Informe Kelly'!H225=$A$3,'Informe Kelly'!F225,""),0)</f>
        <v>0.63958333333333328</v>
      </c>
      <c r="J232" s="65" t="str">
        <f>IF(IFERROR(IF(E232=E231,0,(HLOOKUP(D232,Ingreso!$AN$10:$AT$260,VLOOKUP(A232,Ingreso!$AL$11:$AM$260,2,FALSE)))/24),0)=0,"",IFERROR(IF(E232=E231,0,(HLOOKUP(D232,Ingreso!$AN$10:$AT$260,VLOOKUP(A232,Ingreso!$AL$11:$AM$260,2,FALSE)))/24),0))</f>
        <v/>
      </c>
      <c r="K232" s="65" t="str">
        <f>IF(IFERROR(IF(E232=E231,0,(HLOOKUP(C232,Ingreso!$AW$10:$BC$260,VLOOKUP(A232,Ingreso!$AL$11:$AM$260,2,FALSE)))/24),0)=0,"",IFERROR(IF(E232=E231,0,(HLOOKUP(C232,Ingreso!$AW$10:$BC$260,VLOOKUP(A232,Ingreso!$AL$11:$AM$260,2,FALSE)))/24),0))</f>
        <v/>
      </c>
      <c r="L232" s="63">
        <f t="shared" si="6"/>
        <v>0.3125</v>
      </c>
      <c r="M232" s="63" t="str">
        <f>IF(IFERROR(IF(C232=C230,0,IF(E232=E231,0,IF(C232=$R$2,HLOOKUP($R$2,Ingreso!$AW$10:$BC$260,VLOOKUP(A232,Ingreso!AL:AM,2,FALSE),FALSE)/24,""))),"")=0,"",IFERROR(IF(C232=C230,0,IF(E232=E231,0,IF(C232=$R$2,HLOOKUP($R$2,Ingreso!$AW$10:$BC$260,VLOOKUP(A232,Ingreso!AL:AM,2,FALSE),FALSE)/24,""))),""))</f>
        <v/>
      </c>
      <c r="N232" s="95" t="str">
        <f>IF(IFERROR(IF(C232=C230,0,IF(E232=E231,0,IF(C232=$R$3,HLOOKUP($R$3,Ingreso!$AW$10:$BC$260,VLOOKUP(A232,Ingreso!AL:AM,2,FALSE),FALSE)/24,""))),"")=0,"",IFERROR(IF(C232=C230,0,IF(E232=E231,0,IF(C232=$R$3,HLOOKUP($R$3,Ingreso!$AW$10:$BC$260,VLOOKUP(A232,Ingreso!AL:AM,2,FALSE),FALSE)/24,""))),""))</f>
        <v/>
      </c>
      <c r="O232" s="95" t="str">
        <f>IF(IFERROR(IF(C232=C230,0,IF(E232=E231,0,IF(C232=$R$4,HLOOKUP($R$4,Ingreso!$AW$10:$BC$260,VLOOKUP(A232,Ingreso!AL:AM,2,FALSE),FALSE)/24,""))),"")=0,"",IFERROR(IF(C232=C230,0,IF(E232=E231,0,IF(C232=$R$4,HLOOKUP($R$4,Ingreso!$AW$10:$BC$260,VLOOKUP(A232,Ingreso!AL:AM,2,FALSE),FALSE)/24,""))),""))</f>
        <v/>
      </c>
      <c r="P232" s="90"/>
      <c r="T232" t="s">
        <v>1425</v>
      </c>
      <c r="U232" t="s">
        <v>1338</v>
      </c>
      <c r="V232" t="s">
        <v>1400</v>
      </c>
      <c r="W232" s="82">
        <v>263</v>
      </c>
      <c r="X232" s="71">
        <v>0.41666666666666669</v>
      </c>
      <c r="Y232" s="101">
        <v>0.30615740740740743</v>
      </c>
      <c r="Z232" s="101">
        <v>0.80834490740740739</v>
      </c>
      <c r="AA232" s="101">
        <v>0.50218750000000001</v>
      </c>
      <c r="AB232" s="101">
        <v>8.5520833333333324E-2</v>
      </c>
      <c r="AC232" s="105">
        <v>8.3333333333333329E-2</v>
      </c>
      <c r="AD232" s="105">
        <v>0</v>
      </c>
      <c r="AE232" s="93">
        <v>0</v>
      </c>
      <c r="AF232" s="93">
        <v>0</v>
      </c>
      <c r="AG232" s="93">
        <v>0</v>
      </c>
    </row>
    <row r="233" spans="1:33" ht="12.75" customHeight="1">
      <c r="A233" s="65" t="str">
        <f>IFERROR(VLOOKUP('Informe Kelly'!A226,Base!A:B,2,FALSE),"")</f>
        <v>09.068.490-6</v>
      </c>
      <c r="B233" s="65" t="str">
        <f>IFERROR(VLOOKUP('Informe Kelly'!A226,Base!A:G,7,FALSE),"")</f>
        <v>GONZALEZ DEL VALLE DARIO RODOLFO</v>
      </c>
      <c r="C233" s="69" t="str">
        <f>IF(G233=$C$4,IF('Informe Kelly'!H226='Control informe Kelly'!$A$2,TEXT(((LEFT('Informe Kelly'!E226,2)*1)+1),"dd")&amp;"."&amp;MID('Informe Kelly'!E226,4,2)&amp;"."&amp;RIGHT('Informe Kelly'!E226,4),'Informe Kelly'!E226),'Informe Kelly'!E226)</f>
        <v>13.04.2011</v>
      </c>
      <c r="D233" s="69" t="str">
        <f>IF('Informe Kelly'!E226="","",'Informe Kelly'!E226)</f>
        <v>13.04.2011</v>
      </c>
      <c r="E233" s="72">
        <f t="shared" si="7"/>
        <v>116</v>
      </c>
      <c r="F233" s="72" t="str">
        <f>IFERROR(HLOOKUP(C233,Ingreso!$Q$8:$AD$9,2,FALSE),"v")</f>
        <v>Miércoles</v>
      </c>
      <c r="G233" s="65" t="str">
        <f>IFERROR(VLOOKUP(A233,Ingreso!K:P,6,FALSE),"no esta ingresado")</f>
        <v>Turno A</v>
      </c>
      <c r="H233" s="65">
        <f>IFERROR(IF('Informe Kelly'!H226=$A$2,'Informe Kelly'!F226,""),0)</f>
        <v>0.29517361111111112</v>
      </c>
      <c r="I233" s="65" t="str">
        <f>IFERROR(IF('Informe Kelly'!H226=$A$3,'Informe Kelly'!F226,""),0)</f>
        <v/>
      </c>
      <c r="J233" s="65" t="str">
        <f>IF(IFERROR(IF(E233=E232,0,(HLOOKUP(D233,Ingreso!$AN$10:$AT$260,VLOOKUP(A233,Ingreso!$AL$11:$AM$260,2,FALSE)))/24),0)=0,"",IFERROR(IF(E233=E232,0,(HLOOKUP(D233,Ingreso!$AN$10:$AT$260,VLOOKUP(A233,Ingreso!$AL$11:$AM$260,2,FALSE)))/24),0))</f>
        <v/>
      </c>
      <c r="K233" s="65" t="str">
        <f>IF(IFERROR(IF(E233=E232,0,(HLOOKUP(C233,Ingreso!$AW$10:$BC$260,VLOOKUP(A233,Ingreso!$AL$11:$AM$260,2,FALSE)))/24),0)=0,"",IFERROR(IF(E233=E232,0,(HLOOKUP(C233,Ingreso!$AW$10:$BC$260,VLOOKUP(A233,Ingreso!$AL$11:$AM$260,2,FALSE)))/24),0))</f>
        <v/>
      </c>
      <c r="L233" s="63">
        <f t="shared" si="6"/>
        <v>0</v>
      </c>
      <c r="M233" s="63" t="str">
        <f>IF(IFERROR(IF(C233=C231,0,IF(E233=E232,0,IF(C233=$R$2,HLOOKUP($R$2,Ingreso!$AW$10:$BC$260,VLOOKUP(A233,Ingreso!AL:AM,2,FALSE),FALSE)/24,""))),"")=0,"",IFERROR(IF(C233=C231,0,IF(E233=E232,0,IF(C233=$R$2,HLOOKUP($R$2,Ingreso!$AW$10:$BC$260,VLOOKUP(A233,Ingreso!AL:AM,2,FALSE),FALSE)/24,""))),""))</f>
        <v/>
      </c>
      <c r="N233" s="95" t="str">
        <f>IF(IFERROR(IF(C233=C231,0,IF(E233=E232,0,IF(C233=$R$3,HLOOKUP($R$3,Ingreso!$AW$10:$BC$260,VLOOKUP(A233,Ingreso!AL:AM,2,FALSE),FALSE)/24,""))),"")=0,"",IFERROR(IF(C233=C231,0,IF(E233=E232,0,IF(C233=$R$3,HLOOKUP($R$3,Ingreso!$AW$10:$BC$260,VLOOKUP(A233,Ingreso!AL:AM,2,FALSE),FALSE)/24,""))),""))</f>
        <v/>
      </c>
      <c r="O233" s="95" t="str">
        <f>IF(IFERROR(IF(C233=C231,0,IF(E233=E232,0,IF(C233=$R$4,HLOOKUP($R$4,Ingreso!$AW$10:$BC$260,VLOOKUP(A233,Ingreso!AL:AM,2,FALSE),FALSE)/24,""))),"")=0,"",IFERROR(IF(C233=C231,0,IF(E233=E232,0,IF(C233=$R$4,HLOOKUP($R$4,Ingreso!$AW$10:$BC$260,VLOOKUP(A233,Ingreso!AL:AM,2,FALSE),FALSE)/24,""))),""))</f>
        <v/>
      </c>
      <c r="P233" s="90"/>
      <c r="T233" t="s">
        <v>1426</v>
      </c>
      <c r="U233" t="s">
        <v>1338</v>
      </c>
      <c r="V233" t="s">
        <v>1401</v>
      </c>
      <c r="W233" s="82">
        <v>264</v>
      </c>
      <c r="X233" s="71">
        <v>0.41666666666666669</v>
      </c>
      <c r="Y233" s="101">
        <v>0.30197916666666663</v>
      </c>
      <c r="Z233" s="101">
        <v>0.81415509259259267</v>
      </c>
      <c r="AA233" s="101">
        <v>0.51217592592592598</v>
      </c>
      <c r="AB233" s="101">
        <v>9.5509259259259294E-2</v>
      </c>
      <c r="AC233" s="105">
        <v>8.3333333333333329E-2</v>
      </c>
      <c r="AD233" s="105">
        <v>0</v>
      </c>
      <c r="AE233" s="93">
        <v>0</v>
      </c>
      <c r="AF233" s="93">
        <v>0</v>
      </c>
      <c r="AG233" s="93">
        <v>0</v>
      </c>
    </row>
    <row r="234" spans="1:33">
      <c r="A234" s="65" t="str">
        <f>IFERROR(VLOOKUP('Informe Kelly'!A227,Base!A:B,2,FALSE),"")</f>
        <v>09.068.490-6</v>
      </c>
      <c r="B234" s="65" t="str">
        <f>IFERROR(VLOOKUP('Informe Kelly'!A227,Base!A:G,7,FALSE),"")</f>
        <v>GONZALEZ DEL VALLE DARIO RODOLFO</v>
      </c>
      <c r="C234" s="69" t="str">
        <f>IF(G234=$C$4,IF('Informe Kelly'!H227='Control informe Kelly'!$A$2,TEXT(((LEFT('Informe Kelly'!E227,2)*1)+1),"dd")&amp;"."&amp;MID('Informe Kelly'!E227,4,2)&amp;"."&amp;RIGHT('Informe Kelly'!E227,4),'Informe Kelly'!E227),'Informe Kelly'!E227)</f>
        <v>14.04.2011</v>
      </c>
      <c r="D234" s="69" t="str">
        <f>IF('Informe Kelly'!E227="","",'Informe Kelly'!E227)</f>
        <v>14.04.2011</v>
      </c>
      <c r="E234" s="72">
        <f t="shared" si="7"/>
        <v>117</v>
      </c>
      <c r="F234" s="72" t="str">
        <f>IFERROR(HLOOKUP(C234,Ingreso!$Q$8:$AD$9,2,FALSE),"v")</f>
        <v>Jueves</v>
      </c>
      <c r="G234" s="65" t="str">
        <f>IFERROR(VLOOKUP(A234,Ingreso!K:P,6,FALSE),"no esta ingresado")</f>
        <v>Turno A</v>
      </c>
      <c r="H234" s="65" t="str">
        <f>IFERROR(IF('Informe Kelly'!H227=$A$2,'Informe Kelly'!F227,""),0)</f>
        <v/>
      </c>
      <c r="I234" s="65">
        <f>IFERROR(IF('Informe Kelly'!H227=$A$3,'Informe Kelly'!F227,""),0)</f>
        <v>0.63179398148148147</v>
      </c>
      <c r="J234" s="65" t="str">
        <f>IF(IFERROR(IF(E234=E233,0,(HLOOKUP(D234,Ingreso!$AN$10:$AT$260,VLOOKUP(A234,Ingreso!$AL$11:$AM$260,2,FALSE)))/24),0)=0,"",IFERROR(IF(E234=E233,0,(HLOOKUP(D234,Ingreso!$AN$10:$AT$260,VLOOKUP(A234,Ingreso!$AL$11:$AM$260,2,FALSE)))/24),0))</f>
        <v/>
      </c>
      <c r="K234" s="65" t="str">
        <f>IF(IFERROR(IF(E234=E233,0,(HLOOKUP(C234,Ingreso!$AW$10:$BC$260,VLOOKUP(A234,Ingreso!$AL$11:$AM$260,2,FALSE)))/24),0)=0,"",IFERROR(IF(E234=E233,0,(HLOOKUP(C234,Ingreso!$AW$10:$BC$260,VLOOKUP(A234,Ingreso!$AL$11:$AM$260,2,FALSE)))/24),0))</f>
        <v/>
      </c>
      <c r="L234" s="63">
        <f t="shared" si="6"/>
        <v>0.3125</v>
      </c>
      <c r="M234" s="63" t="str">
        <f>IF(IFERROR(IF(C234=C232,0,IF(E234=E233,0,IF(C234=$R$2,HLOOKUP($R$2,Ingreso!$AW$10:$BC$260,VLOOKUP(A234,Ingreso!AL:AM,2,FALSE),FALSE)/24,""))),"")=0,"",IFERROR(IF(C234=C232,0,IF(E234=E233,0,IF(C234=$R$2,HLOOKUP($R$2,Ingreso!$AW$10:$BC$260,VLOOKUP(A234,Ingreso!AL:AM,2,FALSE),FALSE)/24,""))),""))</f>
        <v/>
      </c>
      <c r="N234" s="95" t="str">
        <f>IF(IFERROR(IF(C234=C232,0,IF(E234=E233,0,IF(C234=$R$3,HLOOKUP($R$3,Ingreso!$AW$10:$BC$260,VLOOKUP(A234,Ingreso!AL:AM,2,FALSE),FALSE)/24,""))),"")=0,"",IFERROR(IF(C234=C232,0,IF(E234=E233,0,IF(C234=$R$3,HLOOKUP($R$3,Ingreso!$AW$10:$BC$260,VLOOKUP(A234,Ingreso!AL:AM,2,FALSE),FALSE)/24,""))),""))</f>
        <v/>
      </c>
      <c r="O234" s="95" t="str">
        <f>IF(IFERROR(IF(C234=C232,0,IF(E234=E233,0,IF(C234=$R$4,HLOOKUP($R$4,Ingreso!$AW$10:$BC$260,VLOOKUP(A234,Ingreso!AL:AM,2,FALSE),FALSE)/24,""))),"")=0,"",IFERROR(IF(C234=C232,0,IF(E234=E233,0,IF(C234=$R$4,HLOOKUP($R$4,Ingreso!$AW$10:$BC$260,VLOOKUP(A234,Ingreso!AL:AM,2,FALSE),FALSE)/24,""))),""))</f>
        <v/>
      </c>
      <c r="P234" s="90"/>
      <c r="R234" t="s">
        <v>501</v>
      </c>
      <c r="S234" t="s">
        <v>506</v>
      </c>
      <c r="T234" t="s">
        <v>1423</v>
      </c>
      <c r="U234" t="s">
        <v>1324</v>
      </c>
      <c r="V234" t="s">
        <v>1398</v>
      </c>
      <c r="W234" s="82">
        <v>265</v>
      </c>
      <c r="X234" s="71">
        <v>0.375</v>
      </c>
      <c r="Y234" s="101">
        <v>0.92013888888888884</v>
      </c>
      <c r="Z234" s="101">
        <v>0.32199074074074074</v>
      </c>
      <c r="AA234" s="101">
        <v>0.4018518518518519</v>
      </c>
      <c r="AB234" s="101">
        <v>2.6851851851851904E-2</v>
      </c>
      <c r="AC234" s="105">
        <v>0</v>
      </c>
      <c r="AD234" s="105">
        <v>0</v>
      </c>
      <c r="AE234" s="93">
        <v>0</v>
      </c>
      <c r="AF234" s="93">
        <v>0</v>
      </c>
      <c r="AG234" s="93">
        <v>0</v>
      </c>
    </row>
    <row r="235" spans="1:33">
      <c r="A235" s="65" t="str">
        <f>IFERROR(VLOOKUP('Informe Kelly'!A228,Base!A:B,2,FALSE),"")</f>
        <v>09.068.490-6</v>
      </c>
      <c r="B235" s="65" t="str">
        <f>IFERROR(VLOOKUP('Informe Kelly'!A228,Base!A:G,7,FALSE),"")</f>
        <v>GONZALEZ DEL VALLE DARIO RODOLFO</v>
      </c>
      <c r="C235" s="69" t="str">
        <f>IF(G235=$C$4,IF('Informe Kelly'!H228='Control informe Kelly'!$A$2,TEXT(((LEFT('Informe Kelly'!E228,2)*1)+1),"dd")&amp;"."&amp;MID('Informe Kelly'!E228,4,2)&amp;"."&amp;RIGHT('Informe Kelly'!E228,4),'Informe Kelly'!E228),'Informe Kelly'!E228)</f>
        <v>14.04.2011</v>
      </c>
      <c r="D235" s="69" t="str">
        <f>IF('Informe Kelly'!E228="","",'Informe Kelly'!E228)</f>
        <v>14.04.2011</v>
      </c>
      <c r="E235" s="72">
        <f t="shared" si="7"/>
        <v>117</v>
      </c>
      <c r="F235" s="72" t="str">
        <f>IFERROR(HLOOKUP(C235,Ingreso!$Q$8:$AD$9,2,FALSE),"v")</f>
        <v>Jueves</v>
      </c>
      <c r="G235" s="65" t="str">
        <f>IFERROR(VLOOKUP(A235,Ingreso!K:P,6,FALSE),"no esta ingresado")</f>
        <v>Turno A</v>
      </c>
      <c r="H235" s="65">
        <f>IFERROR(IF('Informe Kelly'!H228=$A$2,'Informe Kelly'!F228,""),0)</f>
        <v>0.29456018518518517</v>
      </c>
      <c r="I235" s="65" t="str">
        <f>IFERROR(IF('Informe Kelly'!H228=$A$3,'Informe Kelly'!F228,""),0)</f>
        <v/>
      </c>
      <c r="J235" s="65" t="str">
        <f>IF(IFERROR(IF(E235=E234,0,(HLOOKUP(D235,Ingreso!$AN$10:$AT$260,VLOOKUP(A235,Ingreso!$AL$11:$AM$260,2,FALSE)))/24),0)=0,"",IFERROR(IF(E235=E234,0,(HLOOKUP(D235,Ingreso!$AN$10:$AT$260,VLOOKUP(A235,Ingreso!$AL$11:$AM$260,2,FALSE)))/24),0))</f>
        <v/>
      </c>
      <c r="K235" s="65" t="str">
        <f>IF(IFERROR(IF(E235=E234,0,(HLOOKUP(C235,Ingreso!$AW$10:$BC$260,VLOOKUP(A235,Ingreso!$AL$11:$AM$260,2,FALSE)))/24),0)=0,"",IFERROR(IF(E235=E234,0,(HLOOKUP(C235,Ingreso!$AW$10:$BC$260,VLOOKUP(A235,Ingreso!$AL$11:$AM$260,2,FALSE)))/24),0))</f>
        <v/>
      </c>
      <c r="L235" s="63">
        <f t="shared" si="6"/>
        <v>0</v>
      </c>
      <c r="M235" s="63" t="str">
        <f>IF(IFERROR(IF(C235=C233,0,IF(E235=E234,0,IF(C235=$R$2,HLOOKUP($R$2,Ingreso!$AW$10:$BC$260,VLOOKUP(A235,Ingreso!AL:AM,2,FALSE),FALSE)/24,""))),"")=0,"",IFERROR(IF(C235=C233,0,IF(E235=E234,0,IF(C235=$R$2,HLOOKUP($R$2,Ingreso!$AW$10:$BC$260,VLOOKUP(A235,Ingreso!AL:AM,2,FALSE),FALSE)/24,""))),""))</f>
        <v/>
      </c>
      <c r="N235" s="95" t="str">
        <f>IF(IFERROR(IF(C235=C233,0,IF(E235=E234,0,IF(C235=$R$3,HLOOKUP($R$3,Ingreso!$AW$10:$BC$260,VLOOKUP(A235,Ingreso!AL:AM,2,FALSE),FALSE)/24,""))),"")=0,"",IFERROR(IF(C235=C233,0,IF(E235=E234,0,IF(C235=$R$3,HLOOKUP($R$3,Ingreso!$AW$10:$BC$260,VLOOKUP(A235,Ingreso!AL:AM,2,FALSE),FALSE)/24,""))),""))</f>
        <v/>
      </c>
      <c r="O235" s="95" t="str">
        <f>IF(IFERROR(IF(C235=C233,0,IF(E235=E234,0,IF(C235=$R$4,HLOOKUP($R$4,Ingreso!$AW$10:$BC$260,VLOOKUP(A235,Ingreso!AL:AM,2,FALSE),FALSE)/24,""))),"")=0,"",IFERROR(IF(C235=C233,0,IF(E235=E234,0,IF(C235=$R$4,HLOOKUP($R$4,Ingreso!$AW$10:$BC$260,VLOOKUP(A235,Ingreso!AL:AM,2,FALSE),FALSE)/24,""))),""))</f>
        <v/>
      </c>
      <c r="P235" s="90"/>
      <c r="T235" t="s">
        <v>1424</v>
      </c>
      <c r="U235" t="s">
        <v>1324</v>
      </c>
      <c r="V235" t="s">
        <v>1399</v>
      </c>
      <c r="W235" s="82">
        <v>266</v>
      </c>
      <c r="X235" s="71">
        <v>0.375</v>
      </c>
      <c r="Y235" s="101">
        <v>0.9199652777777777</v>
      </c>
      <c r="Z235" s="101">
        <v>0.3259259259259259</v>
      </c>
      <c r="AA235" s="101">
        <v>0.40596064814814825</v>
      </c>
      <c r="AB235" s="101">
        <v>3.0960648148148251E-2</v>
      </c>
      <c r="AC235" s="105">
        <v>0</v>
      </c>
      <c r="AD235" s="105">
        <v>0</v>
      </c>
      <c r="AE235" s="93">
        <v>0</v>
      </c>
      <c r="AF235" s="93">
        <v>0</v>
      </c>
      <c r="AG235" s="93">
        <v>0</v>
      </c>
    </row>
    <row r="236" spans="1:33">
      <c r="A236" s="65" t="str">
        <f>IFERROR(VLOOKUP('Informe Kelly'!A229,Base!A:B,2,FALSE),"")</f>
        <v>09.068.490-6</v>
      </c>
      <c r="B236" s="65" t="str">
        <f>IFERROR(VLOOKUP('Informe Kelly'!A229,Base!A:G,7,FALSE),"")</f>
        <v>GONZALEZ DEL VALLE DARIO RODOLFO</v>
      </c>
      <c r="C236" s="69" t="str">
        <f>IF(G236=$C$4,IF('Informe Kelly'!H229='Control informe Kelly'!$A$2,TEXT(((LEFT('Informe Kelly'!E229,2)*1)+1),"dd")&amp;"."&amp;MID('Informe Kelly'!E229,4,2)&amp;"."&amp;RIGHT('Informe Kelly'!E229,4),'Informe Kelly'!E229),'Informe Kelly'!E229)</f>
        <v>15.04.2011</v>
      </c>
      <c r="D236" s="69" t="str">
        <f>IF('Informe Kelly'!E229="","",'Informe Kelly'!E229)</f>
        <v>15.04.2011</v>
      </c>
      <c r="E236" s="72">
        <f t="shared" si="7"/>
        <v>118</v>
      </c>
      <c r="F236" s="72" t="str">
        <f>IFERROR(HLOOKUP(C236,Ingreso!$Q$8:$AD$9,2,FALSE),"v")</f>
        <v>Viernes</v>
      </c>
      <c r="G236" s="65" t="str">
        <f>IFERROR(VLOOKUP(A236,Ingreso!K:P,6,FALSE),"no esta ingresado")</f>
        <v>Turno A</v>
      </c>
      <c r="H236" s="65" t="str">
        <f>IFERROR(IF('Informe Kelly'!H229=$A$2,'Informe Kelly'!F229,""),0)</f>
        <v/>
      </c>
      <c r="I236" s="65">
        <f>IFERROR(IF('Informe Kelly'!H229=$A$3,'Informe Kelly'!F229,""),0)</f>
        <v>0.63097222222222216</v>
      </c>
      <c r="J236" s="65" t="str">
        <f>IF(IFERROR(IF(E236=E235,0,(HLOOKUP(D236,Ingreso!$AN$10:$AT$260,VLOOKUP(A236,Ingreso!$AL$11:$AM$260,2,FALSE)))/24),0)=0,"",IFERROR(IF(E236=E235,0,(HLOOKUP(D236,Ingreso!$AN$10:$AT$260,VLOOKUP(A236,Ingreso!$AL$11:$AM$260,2,FALSE)))/24),0))</f>
        <v/>
      </c>
      <c r="K236" s="65" t="str">
        <f>IF(IFERROR(IF(E236=E235,0,(HLOOKUP(C236,Ingreso!$AW$10:$BC$260,VLOOKUP(A236,Ingreso!$AL$11:$AM$260,2,FALSE)))/24),0)=0,"",IFERROR(IF(E236=E235,0,(HLOOKUP(C236,Ingreso!$AW$10:$BC$260,VLOOKUP(A236,Ingreso!$AL$11:$AM$260,2,FALSE)))/24),0))</f>
        <v/>
      </c>
      <c r="L236" s="63">
        <f t="shared" si="6"/>
        <v>0.3125</v>
      </c>
      <c r="M236" s="63" t="str">
        <f>IF(IFERROR(IF(C236=C234,0,IF(E236=E235,0,IF(C236=$R$2,HLOOKUP($R$2,Ingreso!$AW$10:$BC$260,VLOOKUP(A236,Ingreso!AL:AM,2,FALSE),FALSE)/24,""))),"")=0,"",IFERROR(IF(C236=C234,0,IF(E236=E235,0,IF(C236=$R$2,HLOOKUP($R$2,Ingreso!$AW$10:$BC$260,VLOOKUP(A236,Ingreso!AL:AM,2,FALSE),FALSE)/24,""))),""))</f>
        <v/>
      </c>
      <c r="N236" s="95" t="str">
        <f>IF(IFERROR(IF(C236=C234,0,IF(E236=E235,0,IF(C236=$R$3,HLOOKUP($R$3,Ingreso!$AW$10:$BC$260,VLOOKUP(A236,Ingreso!AL:AM,2,FALSE),FALSE)/24,""))),"")=0,"",IFERROR(IF(C236=C234,0,IF(E236=E235,0,IF(C236=$R$3,HLOOKUP($R$3,Ingreso!$AW$10:$BC$260,VLOOKUP(A236,Ingreso!AL:AM,2,FALSE),FALSE)/24,""))),""))</f>
        <v/>
      </c>
      <c r="O236" s="95" t="str">
        <f>IF(IFERROR(IF(C236=C234,0,IF(E236=E235,0,IF(C236=$R$4,HLOOKUP($R$4,Ingreso!$AW$10:$BC$260,VLOOKUP(A236,Ingreso!AL:AM,2,FALSE),FALSE)/24,""))),"")=0,"",IFERROR(IF(C236=C234,0,IF(E236=E235,0,IF(C236=$R$4,HLOOKUP($R$4,Ingreso!$AW$10:$BC$260,VLOOKUP(A236,Ingreso!AL:AM,2,FALSE),FALSE)/24,""))),""))</f>
        <v/>
      </c>
      <c r="P236" s="90"/>
      <c r="T236" t="s">
        <v>1425</v>
      </c>
      <c r="U236" t="s">
        <v>1324</v>
      </c>
      <c r="V236" t="s">
        <v>1400</v>
      </c>
      <c r="W236" s="82">
        <v>267</v>
      </c>
      <c r="X236" s="71">
        <v>0.375</v>
      </c>
      <c r="Y236" s="101">
        <v>0.91923611111111114</v>
      </c>
      <c r="Z236" s="101">
        <v>0.32678240740740744</v>
      </c>
      <c r="AA236" s="101">
        <v>0.40754629629629635</v>
      </c>
      <c r="AB236" s="101">
        <v>3.2546296296296351E-2</v>
      </c>
      <c r="AC236" s="105">
        <v>0</v>
      </c>
      <c r="AD236" s="105">
        <v>0</v>
      </c>
      <c r="AE236" s="93">
        <v>0</v>
      </c>
      <c r="AF236" s="93">
        <v>0</v>
      </c>
      <c r="AG236" s="93">
        <v>0</v>
      </c>
    </row>
    <row r="237" spans="1:33">
      <c r="A237" s="65" t="str">
        <f>IFERROR(VLOOKUP('Informe Kelly'!A230,Base!A:B,2,FALSE),"")</f>
        <v>09.068.490-6</v>
      </c>
      <c r="B237" s="65" t="str">
        <f>IFERROR(VLOOKUP('Informe Kelly'!A230,Base!A:G,7,FALSE),"")</f>
        <v>GONZALEZ DEL VALLE DARIO RODOLFO</v>
      </c>
      <c r="C237" s="69" t="str">
        <f>IF(G237=$C$4,IF('Informe Kelly'!H230='Control informe Kelly'!$A$2,TEXT(((LEFT('Informe Kelly'!E230,2)*1)+1),"dd")&amp;"."&amp;MID('Informe Kelly'!E230,4,2)&amp;"."&amp;RIGHT('Informe Kelly'!E230,4),'Informe Kelly'!E230),'Informe Kelly'!E230)</f>
        <v>15.04.2011</v>
      </c>
      <c r="D237" s="69" t="str">
        <f>IF('Informe Kelly'!E230="","",'Informe Kelly'!E230)</f>
        <v>15.04.2011</v>
      </c>
      <c r="E237" s="72">
        <f t="shared" si="7"/>
        <v>118</v>
      </c>
      <c r="F237" s="72" t="str">
        <f>IFERROR(HLOOKUP(C237,Ingreso!$Q$8:$AD$9,2,FALSE),"v")</f>
        <v>Viernes</v>
      </c>
      <c r="G237" s="65" t="str">
        <f>IFERROR(VLOOKUP(A237,Ingreso!K:P,6,FALSE),"no esta ingresado")</f>
        <v>Turno A</v>
      </c>
      <c r="H237" s="65">
        <f>IFERROR(IF('Informe Kelly'!H230=$A$2,'Informe Kelly'!F230,""),0)</f>
        <v>0.29552083333333334</v>
      </c>
      <c r="I237" s="65" t="str">
        <f>IFERROR(IF('Informe Kelly'!H230=$A$3,'Informe Kelly'!F230,""),0)</f>
        <v/>
      </c>
      <c r="J237" s="65" t="str">
        <f>IF(IFERROR(IF(E237=E236,0,(HLOOKUP(D237,Ingreso!$AN$10:$AT$260,VLOOKUP(A237,Ingreso!$AL$11:$AM$260,2,FALSE)))/24),0)=0,"",IFERROR(IF(E237=E236,0,(HLOOKUP(D237,Ingreso!$AN$10:$AT$260,VLOOKUP(A237,Ingreso!$AL$11:$AM$260,2,FALSE)))/24),0))</f>
        <v/>
      </c>
      <c r="K237" s="65" t="str">
        <f>IF(IFERROR(IF(E237=E236,0,(HLOOKUP(C237,Ingreso!$AW$10:$BC$260,VLOOKUP(A237,Ingreso!$AL$11:$AM$260,2,FALSE)))/24),0)=0,"",IFERROR(IF(E237=E236,0,(HLOOKUP(C237,Ingreso!$AW$10:$BC$260,VLOOKUP(A237,Ingreso!$AL$11:$AM$260,2,FALSE)))/24),0))</f>
        <v/>
      </c>
      <c r="L237" s="63">
        <f t="shared" si="6"/>
        <v>0</v>
      </c>
      <c r="M237" s="63" t="str">
        <f>IF(IFERROR(IF(C237=C235,0,IF(E237=E236,0,IF(C237=$R$2,HLOOKUP($R$2,Ingreso!$AW$10:$BC$260,VLOOKUP(A237,Ingreso!AL:AM,2,FALSE),FALSE)/24,""))),"")=0,"",IFERROR(IF(C237=C235,0,IF(E237=E236,0,IF(C237=$R$2,HLOOKUP($R$2,Ingreso!$AW$10:$BC$260,VLOOKUP(A237,Ingreso!AL:AM,2,FALSE),FALSE)/24,""))),""))</f>
        <v/>
      </c>
      <c r="N237" s="95" t="str">
        <f>IF(IFERROR(IF(C237=C235,0,IF(E237=E236,0,IF(C237=$R$3,HLOOKUP($R$3,Ingreso!$AW$10:$BC$260,VLOOKUP(A237,Ingreso!AL:AM,2,FALSE),FALSE)/24,""))),"")=0,"",IFERROR(IF(C237=C235,0,IF(E237=E236,0,IF(C237=$R$3,HLOOKUP($R$3,Ingreso!$AW$10:$BC$260,VLOOKUP(A237,Ingreso!AL:AM,2,FALSE),FALSE)/24,""))),""))</f>
        <v/>
      </c>
      <c r="O237" s="95" t="str">
        <f>IF(IFERROR(IF(C237=C235,0,IF(E237=E236,0,IF(C237=$R$4,HLOOKUP($R$4,Ingreso!$AW$10:$BC$260,VLOOKUP(A237,Ingreso!AL:AM,2,FALSE),FALSE)/24,""))),"")=0,"",IFERROR(IF(C237=C235,0,IF(E237=E236,0,IF(C237=$R$4,HLOOKUP($R$4,Ingreso!$AW$10:$BC$260,VLOOKUP(A237,Ingreso!AL:AM,2,FALSE),FALSE)/24,""))),""))</f>
        <v/>
      </c>
      <c r="P237" s="90"/>
      <c r="T237" t="s">
        <v>1426</v>
      </c>
      <c r="U237" t="s">
        <v>1324</v>
      </c>
      <c r="V237" t="s">
        <v>1401</v>
      </c>
      <c r="W237" s="82">
        <v>268</v>
      </c>
      <c r="X237" s="71">
        <v>0.375</v>
      </c>
      <c r="Y237" s="101">
        <v>0.92137731481481477</v>
      </c>
      <c r="Z237" s="101">
        <v>0.32297453703703705</v>
      </c>
      <c r="AA237" s="101">
        <v>0.40159722222222227</v>
      </c>
      <c r="AB237" s="101">
        <v>2.6597222222222272E-2</v>
      </c>
      <c r="AC237" s="105">
        <v>0</v>
      </c>
      <c r="AD237" s="105">
        <v>0</v>
      </c>
      <c r="AE237" s="93">
        <v>0</v>
      </c>
      <c r="AF237" s="93">
        <v>0</v>
      </c>
      <c r="AG237" s="93">
        <v>0</v>
      </c>
    </row>
    <row r="238" spans="1:33">
      <c r="A238" s="65" t="str">
        <f>IFERROR(VLOOKUP('Informe Kelly'!A231,Base!A:B,2,FALSE),"")</f>
        <v>09.068.490-6</v>
      </c>
      <c r="B238" s="65" t="str">
        <f>IFERROR(VLOOKUP('Informe Kelly'!A231,Base!A:G,7,FALSE),"")</f>
        <v>GONZALEZ DEL VALLE DARIO RODOLFO</v>
      </c>
      <c r="C238" s="69" t="str">
        <f>IF(G238=$C$4,IF('Informe Kelly'!H231='Control informe Kelly'!$A$2,TEXT(((LEFT('Informe Kelly'!E231,2)*1)+1),"dd")&amp;"."&amp;MID('Informe Kelly'!E231,4,2)&amp;"."&amp;RIGHT('Informe Kelly'!E231,4),'Informe Kelly'!E231),'Informe Kelly'!E231)</f>
        <v>16.04.2011</v>
      </c>
      <c r="D238" s="69" t="str">
        <f>IF('Informe Kelly'!E231="","",'Informe Kelly'!E231)</f>
        <v>16.04.2011</v>
      </c>
      <c r="E238" s="72">
        <f t="shared" si="7"/>
        <v>119</v>
      </c>
      <c r="F238" s="72" t="str">
        <f>IFERROR(HLOOKUP(C238,Ingreso!$Q$8:$AD$9,2,FALSE),"v")</f>
        <v>Sábado</v>
      </c>
      <c r="G238" s="65" t="str">
        <f>IFERROR(VLOOKUP(A238,Ingreso!K:P,6,FALSE),"no esta ingresado")</f>
        <v>Turno A</v>
      </c>
      <c r="H238" s="65" t="str">
        <f>IFERROR(IF('Informe Kelly'!H231=$A$2,'Informe Kelly'!F231,""),0)</f>
        <v/>
      </c>
      <c r="I238" s="65">
        <f>IFERROR(IF('Informe Kelly'!H231=$A$3,'Informe Kelly'!F231,""),0)</f>
        <v>0.6263657407407407</v>
      </c>
      <c r="J238" s="65" t="str">
        <f>IF(IFERROR(IF(E238=E237,0,(HLOOKUP(D238,Ingreso!$AN$10:$AT$260,VLOOKUP(A238,Ingreso!$AL$11:$AM$260,2,FALSE)))/24),0)=0,"",IFERROR(IF(E238=E237,0,(HLOOKUP(D238,Ingreso!$AN$10:$AT$260,VLOOKUP(A238,Ingreso!$AL$11:$AM$260,2,FALSE)))/24),0))</f>
        <v/>
      </c>
      <c r="K238" s="65" t="str">
        <f>IF(IFERROR(IF(E238=E237,0,(HLOOKUP(C238,Ingreso!$AW$10:$BC$260,VLOOKUP(A238,Ingreso!$AL$11:$AM$260,2,FALSE)))/24),0)=0,"",IFERROR(IF(E238=E237,0,(HLOOKUP(C238,Ingreso!$AW$10:$BC$260,VLOOKUP(A238,Ingreso!$AL$11:$AM$260,2,FALSE)))/24),0))</f>
        <v/>
      </c>
      <c r="L238" s="63">
        <f t="shared" si="6"/>
        <v>0.3125</v>
      </c>
      <c r="M238" s="63" t="str">
        <f>IF(IFERROR(IF(C238=C236,0,IF(E238=E237,0,IF(C238=$R$2,HLOOKUP($R$2,Ingreso!$AW$10:$BC$260,VLOOKUP(A238,Ingreso!AL:AM,2,FALSE),FALSE)/24,""))),"")=0,"",IFERROR(IF(C238=C236,0,IF(E238=E237,0,IF(C238=$R$2,HLOOKUP($R$2,Ingreso!$AW$10:$BC$260,VLOOKUP(A238,Ingreso!AL:AM,2,FALSE),FALSE)/24,""))),""))</f>
        <v/>
      </c>
      <c r="N238" s="95" t="str">
        <f>IF(IFERROR(IF(C238=C236,0,IF(E238=E237,0,IF(C238=$R$3,HLOOKUP($R$3,Ingreso!$AW$10:$BC$260,VLOOKUP(A238,Ingreso!AL:AM,2,FALSE),FALSE)/24,""))),"")=0,"",IFERROR(IF(C238=C236,0,IF(E238=E237,0,IF(C238=$R$3,HLOOKUP($R$3,Ingreso!$AW$10:$BC$260,VLOOKUP(A238,Ingreso!AL:AM,2,FALSE),FALSE)/24,""))),""))</f>
        <v/>
      </c>
      <c r="O238" s="95" t="str">
        <f>IF(IFERROR(IF(C238=C236,0,IF(E238=E237,0,IF(C238=$R$4,HLOOKUP($R$4,Ingreso!$AW$10:$BC$260,VLOOKUP(A238,Ingreso!AL:AM,2,FALSE),FALSE)/24,""))),"")=0,"",IFERROR(IF(C238=C236,0,IF(E238=E237,0,IF(C238=$R$4,HLOOKUP($R$4,Ingreso!$AW$10:$BC$260,VLOOKUP(A238,Ingreso!AL:AM,2,FALSE),FALSE)/24,""))),""))</f>
        <v/>
      </c>
      <c r="P238" s="90"/>
      <c r="T238" t="s">
        <v>1427</v>
      </c>
      <c r="U238" t="s">
        <v>1324</v>
      </c>
      <c r="V238" t="s">
        <v>1402</v>
      </c>
      <c r="W238" s="82">
        <v>269</v>
      </c>
      <c r="X238" s="71">
        <v>0.375</v>
      </c>
      <c r="Y238" s="101">
        <v>0.92123842592592586</v>
      </c>
      <c r="Z238" s="101">
        <v>0.3210763888888889</v>
      </c>
      <c r="AA238" s="101">
        <v>0.39983796296296303</v>
      </c>
      <c r="AB238" s="101">
        <v>2.4837962962963034E-2</v>
      </c>
      <c r="AC238" s="105">
        <v>0</v>
      </c>
      <c r="AD238" s="105">
        <v>0</v>
      </c>
      <c r="AE238" s="93">
        <v>0</v>
      </c>
      <c r="AF238" s="93">
        <v>0</v>
      </c>
      <c r="AG238" s="93">
        <v>0</v>
      </c>
    </row>
    <row r="239" spans="1:33">
      <c r="A239" s="65" t="str">
        <f>IFERROR(VLOOKUP('Informe Kelly'!A232,Base!A:B,2,FALSE),"")</f>
        <v>09.068.490-6</v>
      </c>
      <c r="B239" s="65" t="str">
        <f>IFERROR(VLOOKUP('Informe Kelly'!A232,Base!A:G,7,FALSE),"")</f>
        <v>GONZALEZ DEL VALLE DARIO RODOLFO</v>
      </c>
      <c r="C239" s="69" t="str">
        <f>IF(G239=$C$4,IF('Informe Kelly'!H232='Control informe Kelly'!$A$2,TEXT(((LEFT('Informe Kelly'!E232,2)*1)+1),"dd")&amp;"."&amp;MID('Informe Kelly'!E232,4,2)&amp;"."&amp;RIGHT('Informe Kelly'!E232,4),'Informe Kelly'!E232),'Informe Kelly'!E232)</f>
        <v>16.04.2011</v>
      </c>
      <c r="D239" s="69" t="str">
        <f>IF('Informe Kelly'!E232="","",'Informe Kelly'!E232)</f>
        <v>16.04.2011</v>
      </c>
      <c r="E239" s="72">
        <f t="shared" si="7"/>
        <v>119</v>
      </c>
      <c r="F239" s="72" t="str">
        <f>IFERROR(HLOOKUP(C239,Ingreso!$Q$8:$AD$9,2,FALSE),"v")</f>
        <v>Sábado</v>
      </c>
      <c r="G239" s="65" t="str">
        <f>IFERROR(VLOOKUP(A239,Ingreso!K:P,6,FALSE),"no esta ingresado")</f>
        <v>Turno A</v>
      </c>
      <c r="H239" s="65">
        <f>IFERROR(IF('Informe Kelly'!H232=$A$2,'Informe Kelly'!F232,""),0)</f>
        <v>0.29408564814814814</v>
      </c>
      <c r="I239" s="65" t="str">
        <f>IFERROR(IF('Informe Kelly'!H232=$A$3,'Informe Kelly'!F232,""),0)</f>
        <v/>
      </c>
      <c r="J239" s="65" t="str">
        <f>IF(IFERROR(IF(E239=E238,0,(HLOOKUP(D239,Ingreso!$AN$10:$AT$260,VLOOKUP(A239,Ingreso!$AL$11:$AM$260,2,FALSE)))/24),0)=0,"",IFERROR(IF(E239=E238,0,(HLOOKUP(D239,Ingreso!$AN$10:$AT$260,VLOOKUP(A239,Ingreso!$AL$11:$AM$260,2,FALSE)))/24),0))</f>
        <v/>
      </c>
      <c r="K239" s="65" t="str">
        <f>IF(IFERROR(IF(E239=E238,0,(HLOOKUP(C239,Ingreso!$AW$10:$BC$260,VLOOKUP(A239,Ingreso!$AL$11:$AM$260,2,FALSE)))/24),0)=0,"",IFERROR(IF(E239=E238,0,(HLOOKUP(C239,Ingreso!$AW$10:$BC$260,VLOOKUP(A239,Ingreso!$AL$11:$AM$260,2,FALSE)))/24),0))</f>
        <v/>
      </c>
      <c r="L239" s="63">
        <f t="shared" si="6"/>
        <v>0</v>
      </c>
      <c r="M239" s="63" t="str">
        <f>IF(IFERROR(IF(C239=C237,0,IF(E239=E238,0,IF(C239=$R$2,HLOOKUP($R$2,Ingreso!$AW$10:$BC$260,VLOOKUP(A239,Ingreso!AL:AM,2,FALSE),FALSE)/24,""))),"")=0,"",IFERROR(IF(C239=C237,0,IF(E239=E238,0,IF(C239=$R$2,HLOOKUP($R$2,Ingreso!$AW$10:$BC$260,VLOOKUP(A239,Ingreso!AL:AM,2,FALSE),FALSE)/24,""))),""))</f>
        <v/>
      </c>
      <c r="N239" s="95" t="str">
        <f>IF(IFERROR(IF(C239=C237,0,IF(E239=E238,0,IF(C239=$R$3,HLOOKUP($R$3,Ingreso!$AW$10:$BC$260,VLOOKUP(A239,Ingreso!AL:AM,2,FALSE),FALSE)/24,""))),"")=0,"",IFERROR(IF(C239=C237,0,IF(E239=E238,0,IF(C239=$R$3,HLOOKUP($R$3,Ingreso!$AW$10:$BC$260,VLOOKUP(A239,Ingreso!AL:AM,2,FALSE),FALSE)/24,""))),""))</f>
        <v/>
      </c>
      <c r="O239" s="95" t="str">
        <f>IF(IFERROR(IF(C239=C237,0,IF(E239=E238,0,IF(C239=$R$4,HLOOKUP($R$4,Ingreso!$AW$10:$BC$260,VLOOKUP(A239,Ingreso!AL:AM,2,FALSE),FALSE)/24,""))),"")=0,"",IFERROR(IF(C239=C237,0,IF(E239=E238,0,IF(C239=$R$4,HLOOKUP($R$4,Ingreso!$AW$10:$BC$260,VLOOKUP(A239,Ingreso!AL:AM,2,FALSE),FALSE)/24,""))),""))</f>
        <v/>
      </c>
      <c r="P239" s="90"/>
      <c r="R239" t="s">
        <v>666</v>
      </c>
      <c r="S239" t="s">
        <v>669</v>
      </c>
      <c r="T239" t="s">
        <v>1420</v>
      </c>
      <c r="U239" t="s">
        <v>1322</v>
      </c>
      <c r="V239" t="s">
        <v>1397</v>
      </c>
      <c r="W239" s="82">
        <v>270</v>
      </c>
      <c r="X239" s="71">
        <v>0.3125</v>
      </c>
      <c r="Y239" s="101">
        <v>0.61578703703703697</v>
      </c>
      <c r="Z239" s="101">
        <v>0.94127314814814811</v>
      </c>
      <c r="AA239" s="101">
        <v>0.32548611111111114</v>
      </c>
      <c r="AB239" s="101">
        <v>1.2986111111111143E-2</v>
      </c>
      <c r="AC239" s="105">
        <v>0</v>
      </c>
      <c r="AD239" s="105">
        <v>0</v>
      </c>
      <c r="AE239" s="93">
        <v>0</v>
      </c>
      <c r="AF239" s="93">
        <v>0</v>
      </c>
      <c r="AG239" s="93">
        <v>0</v>
      </c>
    </row>
    <row r="240" spans="1:33">
      <c r="A240" s="65" t="str">
        <f>IFERROR(VLOOKUP('Informe Kelly'!A233,Base!A:B,2,FALSE),"")</f>
        <v>09.148.214-2</v>
      </c>
      <c r="B240" s="65" t="str">
        <f>IFERROR(VLOOKUP('Informe Kelly'!A233,Base!A:G,7,FALSE),"")</f>
        <v>BAEZA REYES JORGE</v>
      </c>
      <c r="C240" s="69" t="str">
        <f>IF(G240=$C$4,IF('Informe Kelly'!H233='Control informe Kelly'!$A$2,TEXT(((LEFT('Informe Kelly'!E233,2)*1)+1),"dd")&amp;"."&amp;MID('Informe Kelly'!E233,4,2)&amp;"."&amp;RIGHT('Informe Kelly'!E233,4),'Informe Kelly'!E233),'Informe Kelly'!E233)</f>
        <v>11.04.2011</v>
      </c>
      <c r="D240" s="69" t="str">
        <f>IF('Informe Kelly'!E233="","",'Informe Kelly'!E233)</f>
        <v>11.04.2011</v>
      </c>
      <c r="E240" s="72">
        <f t="shared" si="7"/>
        <v>120</v>
      </c>
      <c r="F240" s="72" t="str">
        <f>IFERROR(HLOOKUP(C240,Ingreso!$Q$8:$AD$9,2,FALSE),"v")</f>
        <v>Lunes</v>
      </c>
      <c r="G240" s="65" t="str">
        <f>IFERROR(VLOOKUP(A240,Ingreso!K:P,6,FALSE),"no esta ingresado")</f>
        <v>Turno B</v>
      </c>
      <c r="H240" s="65" t="str">
        <f>IFERROR(IF('Informe Kelly'!H233=$A$2,'Informe Kelly'!F233,""),0)</f>
        <v/>
      </c>
      <c r="I240" s="65">
        <f>IFERROR(IF('Informe Kelly'!H233=$A$3,'Informe Kelly'!F233,""),0)</f>
        <v>0.94082175925925926</v>
      </c>
      <c r="J240" s="65" t="str">
        <f>IF(IFERROR(IF(E240=E239,0,(HLOOKUP(D240,Ingreso!$AN$10:$AT$260,VLOOKUP(A240,Ingreso!$AL$11:$AM$260,2,FALSE)))/24),0)=0,"",IFERROR(IF(E240=E239,0,(HLOOKUP(D240,Ingreso!$AN$10:$AT$260,VLOOKUP(A240,Ingreso!$AL$11:$AM$260,2,FALSE)))/24),0))</f>
        <v/>
      </c>
      <c r="K240" s="65" t="str">
        <f>IF(IFERROR(IF(E240=E239,0,(HLOOKUP(C240,Ingreso!$AW$10:$BC$260,VLOOKUP(A240,Ingreso!$AL$11:$AM$260,2,FALSE)))/24),0)=0,"",IFERROR(IF(E240=E239,0,(HLOOKUP(C240,Ingreso!$AW$10:$BC$260,VLOOKUP(A240,Ingreso!$AL$11:$AM$260,2,FALSE)))/24),0))</f>
        <v/>
      </c>
      <c r="L240" s="63">
        <f t="shared" si="6"/>
        <v>0.3125</v>
      </c>
      <c r="M240" s="63" t="str">
        <f>IF(IFERROR(IF(C240=C238,0,IF(E240=E239,0,IF(C240=$R$2,HLOOKUP($R$2,Ingreso!$AW$10:$BC$260,VLOOKUP(A240,Ingreso!AL:AM,2,FALSE),FALSE)/24,""))),"")=0,"",IFERROR(IF(C240=C238,0,IF(E240=E239,0,IF(C240=$R$2,HLOOKUP($R$2,Ingreso!$AW$10:$BC$260,VLOOKUP(A240,Ingreso!AL:AM,2,FALSE),FALSE)/24,""))),""))</f>
        <v/>
      </c>
      <c r="N240" s="95" t="str">
        <f>IF(IFERROR(IF(C240=C238,0,IF(E240=E239,0,IF(C240=$R$3,HLOOKUP($R$3,Ingreso!$AW$10:$BC$260,VLOOKUP(A240,Ingreso!AL:AM,2,FALSE),FALSE)/24,""))),"")=0,"",IFERROR(IF(C240=C238,0,IF(E240=E239,0,IF(C240=$R$3,HLOOKUP($R$3,Ingreso!$AW$10:$BC$260,VLOOKUP(A240,Ingreso!AL:AM,2,FALSE),FALSE)/24,""))),""))</f>
        <v/>
      </c>
      <c r="O240" s="95" t="str">
        <f>IF(IFERROR(IF(C240=C238,0,IF(E240=E239,0,IF(C240=$R$4,HLOOKUP($R$4,Ingreso!$AW$10:$BC$260,VLOOKUP(A240,Ingreso!AL:AM,2,FALSE),FALSE)/24,""))),"")=0,"",IFERROR(IF(C240=C238,0,IF(E240=E239,0,IF(C240=$R$4,HLOOKUP($R$4,Ingreso!$AW$10:$BC$260,VLOOKUP(A240,Ingreso!AL:AM,2,FALSE),FALSE)/24,""))),""))</f>
        <v/>
      </c>
      <c r="P240" s="90"/>
      <c r="T240" t="s">
        <v>1423</v>
      </c>
      <c r="U240" t="s">
        <v>1322</v>
      </c>
      <c r="V240" t="s">
        <v>1398</v>
      </c>
      <c r="W240" s="82">
        <v>271</v>
      </c>
      <c r="X240" s="71">
        <v>0.3125</v>
      </c>
      <c r="Y240" s="101">
        <v>0.61706018518518524</v>
      </c>
      <c r="Z240" s="101">
        <v>0.9446296296296296</v>
      </c>
      <c r="AA240" s="101">
        <v>0.32756944444444436</v>
      </c>
      <c r="AB240" s="101">
        <v>1.5069444444444358E-2</v>
      </c>
      <c r="AC240" s="105">
        <v>0</v>
      </c>
      <c r="AD240" s="105">
        <v>0</v>
      </c>
      <c r="AE240" s="93">
        <v>0</v>
      </c>
      <c r="AF240" s="93">
        <v>0</v>
      </c>
      <c r="AG240" s="93">
        <v>0</v>
      </c>
    </row>
    <row r="241" spans="1:33">
      <c r="A241" s="65" t="str">
        <f>IFERROR(VLOOKUP('Informe Kelly'!A234,Base!A:B,2,FALSE),"")</f>
        <v>09.148.214-2</v>
      </c>
      <c r="B241" s="65" t="str">
        <f>IFERROR(VLOOKUP('Informe Kelly'!A234,Base!A:G,7,FALSE),"")</f>
        <v>BAEZA REYES JORGE</v>
      </c>
      <c r="C241" s="69" t="str">
        <f>IF(G241=$C$4,IF('Informe Kelly'!H234='Control informe Kelly'!$A$2,TEXT(((LEFT('Informe Kelly'!E234,2)*1)+1),"dd")&amp;"."&amp;MID('Informe Kelly'!E234,4,2)&amp;"."&amp;RIGHT('Informe Kelly'!E234,4),'Informe Kelly'!E234),'Informe Kelly'!E234)</f>
        <v>11.04.2011</v>
      </c>
      <c r="D241" s="69" t="str">
        <f>IF('Informe Kelly'!E234="","",'Informe Kelly'!E234)</f>
        <v>11.04.2011</v>
      </c>
      <c r="E241" s="72">
        <f t="shared" si="7"/>
        <v>120</v>
      </c>
      <c r="F241" s="72" t="str">
        <f>IFERROR(HLOOKUP(C241,Ingreso!$Q$8:$AD$9,2,FALSE),"v")</f>
        <v>Lunes</v>
      </c>
      <c r="G241" s="65" t="str">
        <f>IFERROR(VLOOKUP(A241,Ingreso!K:P,6,FALSE),"no esta ingresado")</f>
        <v>Turno B</v>
      </c>
      <c r="H241" s="65">
        <f>IFERROR(IF('Informe Kelly'!H234=$A$2,'Informe Kelly'!F234,""),0)</f>
        <v>0.608912037037037</v>
      </c>
      <c r="I241" s="65" t="str">
        <f>IFERROR(IF('Informe Kelly'!H234=$A$3,'Informe Kelly'!F234,""),0)</f>
        <v/>
      </c>
      <c r="J241" s="65" t="str">
        <f>IF(IFERROR(IF(E241=E240,0,(HLOOKUP(D241,Ingreso!$AN$10:$AT$260,VLOOKUP(A241,Ingreso!$AL$11:$AM$260,2,FALSE)))/24),0)=0,"",IFERROR(IF(E241=E240,0,(HLOOKUP(D241,Ingreso!$AN$10:$AT$260,VLOOKUP(A241,Ingreso!$AL$11:$AM$260,2,FALSE)))/24),0))</f>
        <v/>
      </c>
      <c r="K241" s="65" t="str">
        <f>IF(IFERROR(IF(E241=E240,0,(HLOOKUP(C241,Ingreso!$AW$10:$BC$260,VLOOKUP(A241,Ingreso!$AL$11:$AM$260,2,FALSE)))/24),0)=0,"",IFERROR(IF(E241=E240,0,(HLOOKUP(C241,Ingreso!$AW$10:$BC$260,VLOOKUP(A241,Ingreso!$AL$11:$AM$260,2,FALSE)))/24),0))</f>
        <v/>
      </c>
      <c r="L241" s="63">
        <f t="shared" si="6"/>
        <v>0</v>
      </c>
      <c r="M241" s="63" t="str">
        <f>IF(IFERROR(IF(C241=C239,0,IF(E241=E240,0,IF(C241=$R$2,HLOOKUP($R$2,Ingreso!$AW$10:$BC$260,VLOOKUP(A241,Ingreso!AL:AM,2,FALSE),FALSE)/24,""))),"")=0,"",IFERROR(IF(C241=C239,0,IF(E241=E240,0,IF(C241=$R$2,HLOOKUP($R$2,Ingreso!$AW$10:$BC$260,VLOOKUP(A241,Ingreso!AL:AM,2,FALSE),FALSE)/24,""))),""))</f>
        <v/>
      </c>
      <c r="N241" s="95" t="str">
        <f>IF(IFERROR(IF(C241=C239,0,IF(E241=E240,0,IF(C241=$R$3,HLOOKUP($R$3,Ingreso!$AW$10:$BC$260,VLOOKUP(A241,Ingreso!AL:AM,2,FALSE),FALSE)/24,""))),"")=0,"",IFERROR(IF(C241=C239,0,IF(E241=E240,0,IF(C241=$R$3,HLOOKUP($R$3,Ingreso!$AW$10:$BC$260,VLOOKUP(A241,Ingreso!AL:AM,2,FALSE),FALSE)/24,""))),""))</f>
        <v/>
      </c>
      <c r="O241" s="95" t="str">
        <f>IF(IFERROR(IF(C241=C239,0,IF(E241=E240,0,IF(C241=$R$4,HLOOKUP($R$4,Ingreso!$AW$10:$BC$260,VLOOKUP(A241,Ingreso!AL:AM,2,FALSE),FALSE)/24,""))),"")=0,"",IFERROR(IF(C241=C239,0,IF(E241=E240,0,IF(C241=$R$4,HLOOKUP($R$4,Ingreso!$AW$10:$BC$260,VLOOKUP(A241,Ingreso!AL:AM,2,FALSE),FALSE)/24,""))),""))</f>
        <v/>
      </c>
      <c r="P241" s="90"/>
      <c r="T241" t="s">
        <v>1424</v>
      </c>
      <c r="U241" t="s">
        <v>1322</v>
      </c>
      <c r="V241" t="s">
        <v>1399</v>
      </c>
      <c r="W241" s="82">
        <v>272</v>
      </c>
      <c r="X241" s="71">
        <v>0.3125</v>
      </c>
      <c r="Y241" s="101">
        <v>0.57582175925925927</v>
      </c>
      <c r="Z241" s="101">
        <v>0.94067129629629631</v>
      </c>
      <c r="AA241" s="101">
        <v>0.36484953703703704</v>
      </c>
      <c r="AB241" s="101">
        <v>5.2349537037037042E-2</v>
      </c>
      <c r="AC241" s="105">
        <v>4.1666666666666664E-2</v>
      </c>
      <c r="AD241" s="105">
        <v>0</v>
      </c>
      <c r="AE241" s="93">
        <v>0</v>
      </c>
      <c r="AF241" s="93">
        <v>0</v>
      </c>
      <c r="AG241" s="93">
        <v>0</v>
      </c>
    </row>
    <row r="242" spans="1:33">
      <c r="A242" s="65" t="str">
        <f>IFERROR(VLOOKUP('Informe Kelly'!A235,Base!A:B,2,FALSE),"")</f>
        <v>09.148.214-2</v>
      </c>
      <c r="B242" s="65" t="str">
        <f>IFERROR(VLOOKUP('Informe Kelly'!A235,Base!A:G,7,FALSE),"")</f>
        <v>BAEZA REYES JORGE</v>
      </c>
      <c r="C242" s="69" t="str">
        <f>IF(G242=$C$4,IF('Informe Kelly'!H235='Control informe Kelly'!$A$2,TEXT(((LEFT('Informe Kelly'!E235,2)*1)+1),"dd")&amp;"."&amp;MID('Informe Kelly'!E235,4,2)&amp;"."&amp;RIGHT('Informe Kelly'!E235,4),'Informe Kelly'!E235),'Informe Kelly'!E235)</f>
        <v>12.04.2011</v>
      </c>
      <c r="D242" s="69" t="str">
        <f>IF('Informe Kelly'!E235="","",'Informe Kelly'!E235)</f>
        <v>12.04.2011</v>
      </c>
      <c r="E242" s="72">
        <f t="shared" si="7"/>
        <v>121</v>
      </c>
      <c r="F242" s="72" t="str">
        <f>IFERROR(HLOOKUP(C242,Ingreso!$Q$8:$AD$9,2,FALSE),"v")</f>
        <v>Martes</v>
      </c>
      <c r="G242" s="65" t="str">
        <f>IFERROR(VLOOKUP(A242,Ingreso!K:P,6,FALSE),"no esta ingresado")</f>
        <v>Turno B</v>
      </c>
      <c r="H242" s="65" t="str">
        <f>IFERROR(IF('Informe Kelly'!H235=$A$2,'Informe Kelly'!F235,""),0)</f>
        <v/>
      </c>
      <c r="I242" s="65">
        <f>IFERROR(IF('Informe Kelly'!H235=$A$3,'Informe Kelly'!F235,""),0)</f>
        <v>0.93564814814814812</v>
      </c>
      <c r="J242" s="65" t="str">
        <f>IF(IFERROR(IF(E242=E241,0,(HLOOKUP(D242,Ingreso!$AN$10:$AT$260,VLOOKUP(A242,Ingreso!$AL$11:$AM$260,2,FALSE)))/24),0)=0,"",IFERROR(IF(E242=E241,0,(HLOOKUP(D242,Ingreso!$AN$10:$AT$260,VLOOKUP(A242,Ingreso!$AL$11:$AM$260,2,FALSE)))/24),0))</f>
        <v/>
      </c>
      <c r="K242" s="65" t="str">
        <f>IF(IFERROR(IF(E242=E241,0,(HLOOKUP(C242,Ingreso!$AW$10:$BC$260,VLOOKUP(A242,Ingreso!$AL$11:$AM$260,2,FALSE)))/24),0)=0,"",IFERROR(IF(E242=E241,0,(HLOOKUP(C242,Ingreso!$AW$10:$BC$260,VLOOKUP(A242,Ingreso!$AL$11:$AM$260,2,FALSE)))/24),0))</f>
        <v/>
      </c>
      <c r="L242" s="63">
        <f t="shared" si="6"/>
        <v>0.3125</v>
      </c>
      <c r="M242" s="63" t="str">
        <f>IF(IFERROR(IF(C242=C240,0,IF(E242=E241,0,IF(C242=$R$2,HLOOKUP($R$2,Ingreso!$AW$10:$BC$260,VLOOKUP(A242,Ingreso!AL:AM,2,FALSE),FALSE)/24,""))),"")=0,"",IFERROR(IF(C242=C240,0,IF(E242=E241,0,IF(C242=$R$2,HLOOKUP($R$2,Ingreso!$AW$10:$BC$260,VLOOKUP(A242,Ingreso!AL:AM,2,FALSE),FALSE)/24,""))),""))</f>
        <v/>
      </c>
      <c r="N242" s="95" t="str">
        <f>IF(IFERROR(IF(C242=C240,0,IF(E242=E241,0,IF(C242=$R$3,HLOOKUP($R$3,Ingreso!$AW$10:$BC$260,VLOOKUP(A242,Ingreso!AL:AM,2,FALSE),FALSE)/24,""))),"")=0,"",IFERROR(IF(C242=C240,0,IF(E242=E241,0,IF(C242=$R$3,HLOOKUP($R$3,Ingreso!$AW$10:$BC$260,VLOOKUP(A242,Ingreso!AL:AM,2,FALSE),FALSE)/24,""))),""))</f>
        <v/>
      </c>
      <c r="O242" s="95" t="str">
        <f>IF(IFERROR(IF(C242=C240,0,IF(E242=E241,0,IF(C242=$R$4,HLOOKUP($R$4,Ingreso!$AW$10:$BC$260,VLOOKUP(A242,Ingreso!AL:AM,2,FALSE),FALSE)/24,""))),"")=0,"",IFERROR(IF(C242=C240,0,IF(E242=E241,0,IF(C242=$R$4,HLOOKUP($R$4,Ingreso!$AW$10:$BC$260,VLOOKUP(A242,Ingreso!AL:AM,2,FALSE),FALSE)/24,""))),""))</f>
        <v/>
      </c>
      <c r="P242" s="90"/>
      <c r="T242" t="s">
        <v>1425</v>
      </c>
      <c r="U242" t="s">
        <v>1322</v>
      </c>
      <c r="V242" t="s">
        <v>1400</v>
      </c>
      <c r="W242" s="82">
        <v>273</v>
      </c>
      <c r="X242" s="71">
        <v>0.3125</v>
      </c>
      <c r="Y242" s="101">
        <v>0.61818287037037034</v>
      </c>
      <c r="Z242" s="101">
        <v>0.94292824074074078</v>
      </c>
      <c r="AA242" s="101">
        <v>0.32474537037037043</v>
      </c>
      <c r="AB242" s="101">
        <v>1.2245370370370434E-2</v>
      </c>
      <c r="AC242" s="105">
        <v>0</v>
      </c>
      <c r="AD242" s="105">
        <v>0</v>
      </c>
      <c r="AE242" s="93">
        <v>0</v>
      </c>
      <c r="AF242" s="93">
        <v>0</v>
      </c>
      <c r="AG242" s="93">
        <v>0</v>
      </c>
    </row>
    <row r="243" spans="1:33">
      <c r="A243" s="65" t="str">
        <f>IFERROR(VLOOKUP('Informe Kelly'!A236,Base!A:B,2,FALSE),"")</f>
        <v>09.148.214-2</v>
      </c>
      <c r="B243" s="65" t="str">
        <f>IFERROR(VLOOKUP('Informe Kelly'!A236,Base!A:G,7,FALSE),"")</f>
        <v>BAEZA REYES JORGE</v>
      </c>
      <c r="C243" s="69" t="str">
        <f>IF(G243=$C$4,IF('Informe Kelly'!H236='Control informe Kelly'!$A$2,TEXT(((LEFT('Informe Kelly'!E236,2)*1)+1),"dd")&amp;"."&amp;MID('Informe Kelly'!E236,4,2)&amp;"."&amp;RIGHT('Informe Kelly'!E236,4),'Informe Kelly'!E236),'Informe Kelly'!E236)</f>
        <v>12.04.2011</v>
      </c>
      <c r="D243" s="69" t="str">
        <f>IF('Informe Kelly'!E236="","",'Informe Kelly'!E236)</f>
        <v>12.04.2011</v>
      </c>
      <c r="E243" s="72">
        <f t="shared" si="7"/>
        <v>121</v>
      </c>
      <c r="F243" s="72" t="str">
        <f>IFERROR(HLOOKUP(C243,Ingreso!$Q$8:$AD$9,2,FALSE),"v")</f>
        <v>Martes</v>
      </c>
      <c r="G243" s="65" t="str">
        <f>IFERROR(VLOOKUP(A243,Ingreso!K:P,6,FALSE),"no esta ingresado")</f>
        <v>Turno B</v>
      </c>
      <c r="H243" s="65">
        <f>IFERROR(IF('Informe Kelly'!H236=$A$2,'Informe Kelly'!F236,""),0)</f>
        <v>0.60494212962962968</v>
      </c>
      <c r="I243" s="65" t="str">
        <f>IFERROR(IF('Informe Kelly'!H236=$A$3,'Informe Kelly'!F236,""),0)</f>
        <v/>
      </c>
      <c r="J243" s="65" t="str">
        <f>IF(IFERROR(IF(E243=E242,0,(HLOOKUP(D243,Ingreso!$AN$10:$AT$260,VLOOKUP(A243,Ingreso!$AL$11:$AM$260,2,FALSE)))/24),0)=0,"",IFERROR(IF(E243=E242,0,(HLOOKUP(D243,Ingreso!$AN$10:$AT$260,VLOOKUP(A243,Ingreso!$AL$11:$AM$260,2,FALSE)))/24),0))</f>
        <v/>
      </c>
      <c r="K243" s="65" t="str">
        <f>IF(IFERROR(IF(E243=E242,0,(HLOOKUP(C243,Ingreso!$AW$10:$BC$260,VLOOKUP(A243,Ingreso!$AL$11:$AM$260,2,FALSE)))/24),0)=0,"",IFERROR(IF(E243=E242,0,(HLOOKUP(C243,Ingreso!$AW$10:$BC$260,VLOOKUP(A243,Ingreso!$AL$11:$AM$260,2,FALSE)))/24),0))</f>
        <v/>
      </c>
      <c r="L243" s="63">
        <f t="shared" si="6"/>
        <v>0</v>
      </c>
      <c r="M243" s="63" t="str">
        <f>IF(IFERROR(IF(C243=C241,0,IF(E243=E242,0,IF(C243=$R$2,HLOOKUP($R$2,Ingreso!$AW$10:$BC$260,VLOOKUP(A243,Ingreso!AL:AM,2,FALSE),FALSE)/24,""))),"")=0,"",IFERROR(IF(C243=C241,0,IF(E243=E242,0,IF(C243=$R$2,HLOOKUP($R$2,Ingreso!$AW$10:$BC$260,VLOOKUP(A243,Ingreso!AL:AM,2,FALSE),FALSE)/24,""))),""))</f>
        <v/>
      </c>
      <c r="N243" s="95" t="str">
        <f>IF(IFERROR(IF(C243=C241,0,IF(E243=E242,0,IF(C243=$R$3,HLOOKUP($R$3,Ingreso!$AW$10:$BC$260,VLOOKUP(A243,Ingreso!AL:AM,2,FALSE),FALSE)/24,""))),"")=0,"",IFERROR(IF(C243=C241,0,IF(E243=E242,0,IF(C243=$R$3,HLOOKUP($R$3,Ingreso!$AW$10:$BC$260,VLOOKUP(A243,Ingreso!AL:AM,2,FALSE),FALSE)/24,""))),""))</f>
        <v/>
      </c>
      <c r="O243" s="95" t="str">
        <f>IF(IFERROR(IF(C243=C241,0,IF(E243=E242,0,IF(C243=$R$4,HLOOKUP($R$4,Ingreso!$AW$10:$BC$260,VLOOKUP(A243,Ingreso!AL:AM,2,FALSE),FALSE)/24,""))),"")=0,"",IFERROR(IF(C243=C241,0,IF(E243=E242,0,IF(C243=$R$4,HLOOKUP($R$4,Ingreso!$AW$10:$BC$260,VLOOKUP(A243,Ingreso!AL:AM,2,FALSE),FALSE)/24,""))),""))</f>
        <v/>
      </c>
      <c r="P243" s="90"/>
      <c r="T243" t="s">
        <v>1426</v>
      </c>
      <c r="U243" t="s">
        <v>1322</v>
      </c>
      <c r="V243" t="s">
        <v>1401</v>
      </c>
      <c r="W243" s="82">
        <v>274</v>
      </c>
      <c r="X243" s="71">
        <v>0.3125</v>
      </c>
      <c r="Y243" s="101">
        <v>0.6170254629629629</v>
      </c>
      <c r="Z243" s="101">
        <v>0.93716435185185187</v>
      </c>
      <c r="AA243" s="101">
        <v>0.32013888888888897</v>
      </c>
      <c r="AB243" s="101">
        <v>7.6388888888889728E-3</v>
      </c>
      <c r="AC243" s="105">
        <v>0</v>
      </c>
      <c r="AD243" s="105">
        <v>0</v>
      </c>
      <c r="AE243" s="93">
        <v>0</v>
      </c>
      <c r="AF243" s="93">
        <v>0</v>
      </c>
      <c r="AG243" s="93">
        <v>0</v>
      </c>
    </row>
    <row r="244" spans="1:33">
      <c r="A244" s="65" t="str">
        <f>IFERROR(VLOOKUP('Informe Kelly'!A237,Base!A:B,2,FALSE),"")</f>
        <v>09.148.214-2</v>
      </c>
      <c r="B244" s="65" t="str">
        <f>IFERROR(VLOOKUP('Informe Kelly'!A237,Base!A:G,7,FALSE),"")</f>
        <v>BAEZA REYES JORGE</v>
      </c>
      <c r="C244" s="69" t="str">
        <f>IF(G244=$C$4,IF('Informe Kelly'!H237='Control informe Kelly'!$A$2,TEXT(((LEFT('Informe Kelly'!E237,2)*1)+1),"dd")&amp;"."&amp;MID('Informe Kelly'!E237,4,2)&amp;"."&amp;RIGHT('Informe Kelly'!E237,4),'Informe Kelly'!E237),'Informe Kelly'!E237)</f>
        <v>13.04.2011</v>
      </c>
      <c r="D244" s="69" t="str">
        <f>IF('Informe Kelly'!E237="","",'Informe Kelly'!E237)</f>
        <v>13.04.2011</v>
      </c>
      <c r="E244" s="72">
        <f t="shared" si="7"/>
        <v>122</v>
      </c>
      <c r="F244" s="72" t="str">
        <f>IFERROR(HLOOKUP(C244,Ingreso!$Q$8:$AD$9,2,FALSE),"v")</f>
        <v>Miércoles</v>
      </c>
      <c r="G244" s="65" t="str">
        <f>IFERROR(VLOOKUP(A244,Ingreso!K:P,6,FALSE),"no esta ingresado")</f>
        <v>Turno B</v>
      </c>
      <c r="H244" s="65" t="str">
        <f>IFERROR(IF('Informe Kelly'!H237=$A$2,'Informe Kelly'!F237,""),0)</f>
        <v/>
      </c>
      <c r="I244" s="65">
        <f>IFERROR(IF('Informe Kelly'!H237=$A$3,'Informe Kelly'!F237,""),0)</f>
        <v>0.93839120370370377</v>
      </c>
      <c r="J244" s="65" t="str">
        <f>IF(IFERROR(IF(E244=E243,0,(HLOOKUP(D244,Ingreso!$AN$10:$AT$260,VLOOKUP(A244,Ingreso!$AL$11:$AM$260,2,FALSE)))/24),0)=0,"",IFERROR(IF(E244=E243,0,(HLOOKUP(D244,Ingreso!$AN$10:$AT$260,VLOOKUP(A244,Ingreso!$AL$11:$AM$260,2,FALSE)))/24),0))</f>
        <v/>
      </c>
      <c r="K244" s="65" t="str">
        <f>IF(IFERROR(IF(E244=E243,0,(HLOOKUP(C244,Ingreso!$AW$10:$BC$260,VLOOKUP(A244,Ingreso!$AL$11:$AM$260,2,FALSE)))/24),0)=0,"",IFERROR(IF(E244=E243,0,(HLOOKUP(C244,Ingreso!$AW$10:$BC$260,VLOOKUP(A244,Ingreso!$AL$11:$AM$260,2,FALSE)))/24),0))</f>
        <v/>
      </c>
      <c r="L244" s="63">
        <f t="shared" si="6"/>
        <v>0.3125</v>
      </c>
      <c r="M244" s="63" t="str">
        <f>IF(IFERROR(IF(C244=C242,0,IF(E244=E243,0,IF(C244=$R$2,HLOOKUP($R$2,Ingreso!$AW$10:$BC$260,VLOOKUP(A244,Ingreso!AL:AM,2,FALSE),FALSE)/24,""))),"")=0,"",IFERROR(IF(C244=C242,0,IF(E244=E243,0,IF(C244=$R$2,HLOOKUP($R$2,Ingreso!$AW$10:$BC$260,VLOOKUP(A244,Ingreso!AL:AM,2,FALSE),FALSE)/24,""))),""))</f>
        <v/>
      </c>
      <c r="N244" s="95" t="str">
        <f>IF(IFERROR(IF(C244=C242,0,IF(E244=E243,0,IF(C244=$R$3,HLOOKUP($R$3,Ingreso!$AW$10:$BC$260,VLOOKUP(A244,Ingreso!AL:AM,2,FALSE),FALSE)/24,""))),"")=0,"",IFERROR(IF(C244=C242,0,IF(E244=E243,0,IF(C244=$R$3,HLOOKUP($R$3,Ingreso!$AW$10:$BC$260,VLOOKUP(A244,Ingreso!AL:AM,2,FALSE),FALSE)/24,""))),""))</f>
        <v/>
      </c>
      <c r="O244" s="95" t="str">
        <f>IF(IFERROR(IF(C244=C242,0,IF(E244=E243,0,IF(C244=$R$4,HLOOKUP($R$4,Ingreso!$AW$10:$BC$260,VLOOKUP(A244,Ingreso!AL:AM,2,FALSE),FALSE)/24,""))),"")=0,"",IFERROR(IF(C244=C242,0,IF(E244=E243,0,IF(C244=$R$4,HLOOKUP($R$4,Ingreso!$AW$10:$BC$260,VLOOKUP(A244,Ingreso!AL:AM,2,FALSE),FALSE)/24,""))),""))</f>
        <v/>
      </c>
      <c r="P244" s="90"/>
      <c r="T244" t="s">
        <v>1427</v>
      </c>
      <c r="U244" t="s">
        <v>1322</v>
      </c>
      <c r="V244" t="s">
        <v>1402</v>
      </c>
      <c r="W244" s="82">
        <v>275</v>
      </c>
      <c r="X244" s="71">
        <v>0.3125</v>
      </c>
      <c r="Y244" s="101">
        <v>0.56706018518518519</v>
      </c>
      <c r="Z244" s="101">
        <v>0.888738425925926</v>
      </c>
      <c r="AA244" s="101">
        <v>0.32167824074074081</v>
      </c>
      <c r="AB244" s="101">
        <v>9.1782407407408062E-3</v>
      </c>
      <c r="AC244" s="105">
        <v>0</v>
      </c>
      <c r="AD244" s="105">
        <v>0</v>
      </c>
      <c r="AE244" s="93">
        <v>0</v>
      </c>
      <c r="AF244" s="93">
        <v>0</v>
      </c>
      <c r="AG244" s="93">
        <v>0</v>
      </c>
    </row>
    <row r="245" spans="1:33" ht="12.75" customHeight="1">
      <c r="A245" s="65" t="str">
        <f>IFERROR(VLOOKUP('Informe Kelly'!A238,Base!A:B,2,FALSE),"")</f>
        <v>09.148.214-2</v>
      </c>
      <c r="B245" s="65" t="str">
        <f>IFERROR(VLOOKUP('Informe Kelly'!A238,Base!A:G,7,FALSE),"")</f>
        <v>BAEZA REYES JORGE</v>
      </c>
      <c r="C245" s="69" t="str">
        <f>IF(G245=$C$4,IF('Informe Kelly'!H238='Control informe Kelly'!$A$2,TEXT(((LEFT('Informe Kelly'!E238,2)*1)+1),"dd")&amp;"."&amp;MID('Informe Kelly'!E238,4,2)&amp;"."&amp;RIGHT('Informe Kelly'!E238,4),'Informe Kelly'!E238),'Informe Kelly'!E238)</f>
        <v>13.04.2011</v>
      </c>
      <c r="D245" s="69" t="str">
        <f>IF('Informe Kelly'!E238="","",'Informe Kelly'!E238)</f>
        <v>13.04.2011</v>
      </c>
      <c r="E245" s="72">
        <f t="shared" si="7"/>
        <v>122</v>
      </c>
      <c r="F245" s="72" t="str">
        <f>IFERROR(HLOOKUP(C245,Ingreso!$Q$8:$AD$9,2,FALSE),"v")</f>
        <v>Miércoles</v>
      </c>
      <c r="G245" s="65" t="str">
        <f>IFERROR(VLOOKUP(A245,Ingreso!K:P,6,FALSE),"no esta ingresado")</f>
        <v>Turno B</v>
      </c>
      <c r="H245" s="65">
        <f>IFERROR(IF('Informe Kelly'!H238=$A$2,'Informe Kelly'!F238,""),0)</f>
        <v>0.60703703703703704</v>
      </c>
      <c r="I245" s="65" t="str">
        <f>IFERROR(IF('Informe Kelly'!H238=$A$3,'Informe Kelly'!F238,""),0)</f>
        <v/>
      </c>
      <c r="J245" s="65" t="str">
        <f>IF(IFERROR(IF(E245=E244,0,(HLOOKUP(D245,Ingreso!$AN$10:$AT$260,VLOOKUP(A245,Ingreso!$AL$11:$AM$260,2,FALSE)))/24),0)=0,"",IFERROR(IF(E245=E244,0,(HLOOKUP(D245,Ingreso!$AN$10:$AT$260,VLOOKUP(A245,Ingreso!$AL$11:$AM$260,2,FALSE)))/24),0))</f>
        <v/>
      </c>
      <c r="K245" s="65" t="str">
        <f>IF(IFERROR(IF(E245=E244,0,(HLOOKUP(C245,Ingreso!$AW$10:$BC$260,VLOOKUP(A245,Ingreso!$AL$11:$AM$260,2,FALSE)))/24),0)=0,"",IFERROR(IF(E245=E244,0,(HLOOKUP(C245,Ingreso!$AW$10:$BC$260,VLOOKUP(A245,Ingreso!$AL$11:$AM$260,2,FALSE)))/24),0))</f>
        <v/>
      </c>
      <c r="L245" s="63">
        <f t="shared" si="6"/>
        <v>0</v>
      </c>
      <c r="M245" s="63" t="str">
        <f>IF(IFERROR(IF(C245=C243,0,IF(E245=E244,0,IF(C245=$R$2,HLOOKUP($R$2,Ingreso!$AW$10:$BC$260,VLOOKUP(A245,Ingreso!AL:AM,2,FALSE),FALSE)/24,""))),"")=0,"",IFERROR(IF(C245=C243,0,IF(E245=E244,0,IF(C245=$R$2,HLOOKUP($R$2,Ingreso!$AW$10:$BC$260,VLOOKUP(A245,Ingreso!AL:AM,2,FALSE),FALSE)/24,""))),""))</f>
        <v/>
      </c>
      <c r="N245" s="95" t="str">
        <f>IF(IFERROR(IF(C245=C243,0,IF(E245=E244,0,IF(C245=$R$3,HLOOKUP($R$3,Ingreso!$AW$10:$BC$260,VLOOKUP(A245,Ingreso!AL:AM,2,FALSE),FALSE)/24,""))),"")=0,"",IFERROR(IF(C245=C243,0,IF(E245=E244,0,IF(C245=$R$3,HLOOKUP($R$3,Ingreso!$AW$10:$BC$260,VLOOKUP(A245,Ingreso!AL:AM,2,FALSE),FALSE)/24,""))),""))</f>
        <v/>
      </c>
      <c r="O245" s="95" t="str">
        <f>IF(IFERROR(IF(C245=C243,0,IF(E245=E244,0,IF(C245=$R$4,HLOOKUP($R$4,Ingreso!$AW$10:$BC$260,VLOOKUP(A245,Ingreso!AL:AM,2,FALSE),FALSE)/24,""))),"")=0,"",IFERROR(IF(C245=C243,0,IF(E245=E244,0,IF(C245=$R$4,HLOOKUP($R$4,Ingreso!$AW$10:$BC$260,VLOOKUP(A245,Ingreso!AL:AM,2,FALSE),FALSE)/24,""))),""))</f>
        <v/>
      </c>
      <c r="P245" s="90"/>
      <c r="R245" t="s">
        <v>266</v>
      </c>
      <c r="S245" t="s">
        <v>271</v>
      </c>
      <c r="T245" t="s">
        <v>1420</v>
      </c>
      <c r="U245" t="s">
        <v>1322</v>
      </c>
      <c r="V245" t="s">
        <v>1397</v>
      </c>
      <c r="W245" s="82">
        <v>276</v>
      </c>
      <c r="X245" s="71">
        <v>0.3125</v>
      </c>
      <c r="Y245" s="101">
        <v>0.60783564814814817</v>
      </c>
      <c r="Z245" s="101">
        <v>0.9497916666666667</v>
      </c>
      <c r="AA245" s="101">
        <v>0.34195601851851853</v>
      </c>
      <c r="AB245" s="101">
        <v>2.9456018518518534E-2</v>
      </c>
      <c r="AC245" s="105">
        <v>0</v>
      </c>
      <c r="AD245" s="105">
        <v>0</v>
      </c>
      <c r="AE245" s="93">
        <v>0</v>
      </c>
      <c r="AF245" s="93">
        <v>0</v>
      </c>
      <c r="AG245" s="93">
        <v>0</v>
      </c>
    </row>
    <row r="246" spans="1:33">
      <c r="A246" s="65" t="str">
        <f>IFERROR(VLOOKUP('Informe Kelly'!A239,Base!A:B,2,FALSE),"")</f>
        <v>09.148.214-2</v>
      </c>
      <c r="B246" s="65" t="str">
        <f>IFERROR(VLOOKUP('Informe Kelly'!A239,Base!A:G,7,FALSE),"")</f>
        <v>BAEZA REYES JORGE</v>
      </c>
      <c r="C246" s="69" t="str">
        <f>IF(G246=$C$4,IF('Informe Kelly'!H239='Control informe Kelly'!$A$2,TEXT(((LEFT('Informe Kelly'!E239,2)*1)+1),"dd")&amp;"."&amp;MID('Informe Kelly'!E239,4,2)&amp;"."&amp;RIGHT('Informe Kelly'!E239,4),'Informe Kelly'!E239),'Informe Kelly'!E239)</f>
        <v>14.04.2011</v>
      </c>
      <c r="D246" s="69" t="str">
        <f>IF('Informe Kelly'!E239="","",'Informe Kelly'!E239)</f>
        <v>14.04.2011</v>
      </c>
      <c r="E246" s="72">
        <f t="shared" si="7"/>
        <v>123</v>
      </c>
      <c r="F246" s="72" t="str">
        <f>IFERROR(HLOOKUP(C246,Ingreso!$Q$8:$AD$9,2,FALSE),"v")</f>
        <v>Jueves</v>
      </c>
      <c r="G246" s="65" t="str">
        <f>IFERROR(VLOOKUP(A246,Ingreso!K:P,6,FALSE),"no esta ingresado")</f>
        <v>Turno B</v>
      </c>
      <c r="H246" s="65" t="str">
        <f>IFERROR(IF('Informe Kelly'!H239=$A$2,'Informe Kelly'!F239,""),0)</f>
        <v/>
      </c>
      <c r="I246" s="65">
        <f>IFERROR(IF('Informe Kelly'!H239=$A$3,'Informe Kelly'!F239,""),0)</f>
        <v>0.94194444444444436</v>
      </c>
      <c r="J246" s="65" t="str">
        <f>IF(IFERROR(IF(E246=E245,0,(HLOOKUP(D246,Ingreso!$AN$10:$AT$260,VLOOKUP(A246,Ingreso!$AL$11:$AM$260,2,FALSE)))/24),0)=0,"",IFERROR(IF(E246=E245,0,(HLOOKUP(D246,Ingreso!$AN$10:$AT$260,VLOOKUP(A246,Ingreso!$AL$11:$AM$260,2,FALSE)))/24),0))</f>
        <v/>
      </c>
      <c r="K246" s="65" t="str">
        <f>IF(IFERROR(IF(E246=E245,0,(HLOOKUP(C246,Ingreso!$AW$10:$BC$260,VLOOKUP(A246,Ingreso!$AL$11:$AM$260,2,FALSE)))/24),0)=0,"",IFERROR(IF(E246=E245,0,(HLOOKUP(C246,Ingreso!$AW$10:$BC$260,VLOOKUP(A246,Ingreso!$AL$11:$AM$260,2,FALSE)))/24),0))</f>
        <v/>
      </c>
      <c r="L246" s="63">
        <f t="shared" si="6"/>
        <v>0.3125</v>
      </c>
      <c r="M246" s="63" t="str">
        <f>IF(IFERROR(IF(C246=C244,0,IF(E246=E245,0,IF(C246=$R$2,HLOOKUP($R$2,Ingreso!$AW$10:$BC$260,VLOOKUP(A246,Ingreso!AL:AM,2,FALSE),FALSE)/24,""))),"")=0,"",IFERROR(IF(C246=C244,0,IF(E246=E245,0,IF(C246=$R$2,HLOOKUP($R$2,Ingreso!$AW$10:$BC$260,VLOOKUP(A246,Ingreso!AL:AM,2,FALSE),FALSE)/24,""))),""))</f>
        <v/>
      </c>
      <c r="N246" s="95" t="str">
        <f>IF(IFERROR(IF(C246=C244,0,IF(E246=E245,0,IF(C246=$R$3,HLOOKUP($R$3,Ingreso!$AW$10:$BC$260,VLOOKUP(A246,Ingreso!AL:AM,2,FALSE),FALSE)/24,""))),"")=0,"",IFERROR(IF(C246=C244,0,IF(E246=E245,0,IF(C246=$R$3,HLOOKUP($R$3,Ingreso!$AW$10:$BC$260,VLOOKUP(A246,Ingreso!AL:AM,2,FALSE),FALSE)/24,""))),""))</f>
        <v/>
      </c>
      <c r="O246" s="95" t="str">
        <f>IF(IFERROR(IF(C246=C244,0,IF(E246=E245,0,IF(C246=$R$4,HLOOKUP($R$4,Ingreso!$AW$10:$BC$260,VLOOKUP(A246,Ingreso!AL:AM,2,FALSE),FALSE)/24,""))),"")=0,"",IFERROR(IF(C246=C244,0,IF(E246=E245,0,IF(C246=$R$4,HLOOKUP($R$4,Ingreso!$AW$10:$BC$260,VLOOKUP(A246,Ingreso!AL:AM,2,FALSE),FALSE)/24,""))),""))</f>
        <v/>
      </c>
      <c r="P246" s="90"/>
      <c r="T246" t="s">
        <v>1423</v>
      </c>
      <c r="U246" t="s">
        <v>1322</v>
      </c>
      <c r="V246" t="s">
        <v>1398</v>
      </c>
      <c r="W246" s="82">
        <v>277</v>
      </c>
      <c r="X246" s="71">
        <v>0.3125</v>
      </c>
      <c r="Y246" s="101">
        <v>0.60820601851851852</v>
      </c>
      <c r="Z246" s="101">
        <v>0.94874999999999998</v>
      </c>
      <c r="AA246" s="101">
        <v>0.34054398148148146</v>
      </c>
      <c r="AB246" s="101">
        <v>2.8043981481481461E-2</v>
      </c>
      <c r="AC246" s="105">
        <v>0</v>
      </c>
      <c r="AD246" s="105">
        <v>0</v>
      </c>
      <c r="AE246" s="93">
        <v>0</v>
      </c>
      <c r="AF246" s="93">
        <v>0</v>
      </c>
      <c r="AG246" s="93">
        <v>0</v>
      </c>
    </row>
    <row r="247" spans="1:33">
      <c r="A247" s="65" t="str">
        <f>IFERROR(VLOOKUP('Informe Kelly'!A240,Base!A:B,2,FALSE),"")</f>
        <v>09.148.214-2</v>
      </c>
      <c r="B247" s="65" t="str">
        <f>IFERROR(VLOOKUP('Informe Kelly'!A240,Base!A:G,7,FALSE),"")</f>
        <v>BAEZA REYES JORGE</v>
      </c>
      <c r="C247" s="69" t="str">
        <f>IF(G247=$C$4,IF('Informe Kelly'!H240='Control informe Kelly'!$A$2,TEXT(((LEFT('Informe Kelly'!E240,2)*1)+1),"dd")&amp;"."&amp;MID('Informe Kelly'!E240,4,2)&amp;"."&amp;RIGHT('Informe Kelly'!E240,4),'Informe Kelly'!E240),'Informe Kelly'!E240)</f>
        <v>14.04.2011</v>
      </c>
      <c r="D247" s="69" t="str">
        <f>IF('Informe Kelly'!E240="","",'Informe Kelly'!E240)</f>
        <v>14.04.2011</v>
      </c>
      <c r="E247" s="72">
        <f t="shared" si="7"/>
        <v>123</v>
      </c>
      <c r="F247" s="72" t="str">
        <f>IFERROR(HLOOKUP(C247,Ingreso!$Q$8:$AD$9,2,FALSE),"v")</f>
        <v>Jueves</v>
      </c>
      <c r="G247" s="65" t="str">
        <f>IFERROR(VLOOKUP(A247,Ingreso!K:P,6,FALSE),"no esta ingresado")</f>
        <v>Turno B</v>
      </c>
      <c r="H247" s="65">
        <f>IFERROR(IF('Informe Kelly'!H240=$A$2,'Informe Kelly'!F240,""),0)</f>
        <v>0.60685185185185186</v>
      </c>
      <c r="I247" s="65" t="str">
        <f>IFERROR(IF('Informe Kelly'!H240=$A$3,'Informe Kelly'!F240,""),0)</f>
        <v/>
      </c>
      <c r="J247" s="65" t="str">
        <f>IF(IFERROR(IF(E247=E246,0,(HLOOKUP(D247,Ingreso!$AN$10:$AT$260,VLOOKUP(A247,Ingreso!$AL$11:$AM$260,2,FALSE)))/24),0)=0,"",IFERROR(IF(E247=E246,0,(HLOOKUP(D247,Ingreso!$AN$10:$AT$260,VLOOKUP(A247,Ingreso!$AL$11:$AM$260,2,FALSE)))/24),0))</f>
        <v/>
      </c>
      <c r="K247" s="65" t="str">
        <f>IF(IFERROR(IF(E247=E246,0,(HLOOKUP(C247,Ingreso!$AW$10:$BC$260,VLOOKUP(A247,Ingreso!$AL$11:$AM$260,2,FALSE)))/24),0)=0,"",IFERROR(IF(E247=E246,0,(HLOOKUP(C247,Ingreso!$AW$10:$BC$260,VLOOKUP(A247,Ingreso!$AL$11:$AM$260,2,FALSE)))/24),0))</f>
        <v/>
      </c>
      <c r="L247" s="63">
        <f t="shared" si="6"/>
        <v>0</v>
      </c>
      <c r="M247" s="63" t="str">
        <f>IF(IFERROR(IF(C247=C245,0,IF(E247=E246,0,IF(C247=$R$2,HLOOKUP($R$2,Ingreso!$AW$10:$BC$260,VLOOKUP(A247,Ingreso!AL:AM,2,FALSE),FALSE)/24,""))),"")=0,"",IFERROR(IF(C247=C245,0,IF(E247=E246,0,IF(C247=$R$2,HLOOKUP($R$2,Ingreso!$AW$10:$BC$260,VLOOKUP(A247,Ingreso!AL:AM,2,FALSE),FALSE)/24,""))),""))</f>
        <v/>
      </c>
      <c r="N247" s="95" t="str">
        <f>IF(IFERROR(IF(C247=C245,0,IF(E247=E246,0,IF(C247=$R$3,HLOOKUP($R$3,Ingreso!$AW$10:$BC$260,VLOOKUP(A247,Ingreso!AL:AM,2,FALSE),FALSE)/24,""))),"")=0,"",IFERROR(IF(C247=C245,0,IF(E247=E246,0,IF(C247=$R$3,HLOOKUP($R$3,Ingreso!$AW$10:$BC$260,VLOOKUP(A247,Ingreso!AL:AM,2,FALSE),FALSE)/24,""))),""))</f>
        <v/>
      </c>
      <c r="O247" s="95" t="str">
        <f>IF(IFERROR(IF(C247=C245,0,IF(E247=E246,0,IF(C247=$R$4,HLOOKUP($R$4,Ingreso!$AW$10:$BC$260,VLOOKUP(A247,Ingreso!AL:AM,2,FALSE),FALSE)/24,""))),"")=0,"",IFERROR(IF(C247=C245,0,IF(E247=E246,0,IF(C247=$R$4,HLOOKUP($R$4,Ingreso!$AW$10:$BC$260,VLOOKUP(A247,Ingreso!AL:AM,2,FALSE),FALSE)/24,""))),""))</f>
        <v/>
      </c>
      <c r="P247" s="90"/>
      <c r="T247" t="s">
        <v>1424</v>
      </c>
      <c r="U247" t="s">
        <v>1322</v>
      </c>
      <c r="V247" t="s">
        <v>1399</v>
      </c>
      <c r="W247" s="82">
        <v>278</v>
      </c>
      <c r="X247" s="71">
        <v>0.3125</v>
      </c>
      <c r="Y247" s="101">
        <v>0.61020833333333335</v>
      </c>
      <c r="Z247" s="101">
        <v>0.94729166666666664</v>
      </c>
      <c r="AA247" s="101">
        <v>0.33708333333333329</v>
      </c>
      <c r="AB247" s="101">
        <v>2.458333333333329E-2</v>
      </c>
      <c r="AC247" s="105">
        <v>0</v>
      </c>
      <c r="AD247" s="105">
        <v>0</v>
      </c>
      <c r="AE247" s="93">
        <v>0</v>
      </c>
      <c r="AF247" s="93">
        <v>0</v>
      </c>
      <c r="AG247" s="93">
        <v>0</v>
      </c>
    </row>
    <row r="248" spans="1:33">
      <c r="A248" s="65" t="str">
        <f>IFERROR(VLOOKUP('Informe Kelly'!A241,Base!A:B,2,FALSE),"")</f>
        <v>09.148.214-2</v>
      </c>
      <c r="B248" s="65" t="str">
        <f>IFERROR(VLOOKUP('Informe Kelly'!A241,Base!A:G,7,FALSE),"")</f>
        <v>BAEZA REYES JORGE</v>
      </c>
      <c r="C248" s="69" t="str">
        <f>IF(G248=$C$4,IF('Informe Kelly'!H241='Control informe Kelly'!$A$2,TEXT(((LEFT('Informe Kelly'!E241,2)*1)+1),"dd")&amp;"."&amp;MID('Informe Kelly'!E241,4,2)&amp;"."&amp;RIGHT('Informe Kelly'!E241,4),'Informe Kelly'!E241),'Informe Kelly'!E241)</f>
        <v>15.04.2011</v>
      </c>
      <c r="D248" s="69" t="str">
        <f>IF('Informe Kelly'!E241="","",'Informe Kelly'!E241)</f>
        <v>15.04.2011</v>
      </c>
      <c r="E248" s="72">
        <f t="shared" si="7"/>
        <v>124</v>
      </c>
      <c r="F248" s="72" t="str">
        <f>IFERROR(HLOOKUP(C248,Ingreso!$Q$8:$AD$9,2,FALSE),"v")</f>
        <v>Viernes</v>
      </c>
      <c r="G248" s="65" t="str">
        <f>IFERROR(VLOOKUP(A248,Ingreso!K:P,6,FALSE),"no esta ingresado")</f>
        <v>Turno B</v>
      </c>
      <c r="H248" s="65" t="str">
        <f>IFERROR(IF('Informe Kelly'!H241=$A$2,'Informe Kelly'!F241,""),0)</f>
        <v/>
      </c>
      <c r="I248" s="65">
        <f>IFERROR(IF('Informe Kelly'!H241=$A$3,'Informe Kelly'!F241,""),0)</f>
        <v>0.94081018518518522</v>
      </c>
      <c r="J248" s="65" t="str">
        <f>IF(IFERROR(IF(E248=E247,0,(HLOOKUP(D248,Ingreso!$AN$10:$AT$260,VLOOKUP(A248,Ingreso!$AL$11:$AM$260,2,FALSE)))/24),0)=0,"",IFERROR(IF(E248=E247,0,(HLOOKUP(D248,Ingreso!$AN$10:$AT$260,VLOOKUP(A248,Ingreso!$AL$11:$AM$260,2,FALSE)))/24),0))</f>
        <v/>
      </c>
      <c r="K248" s="65" t="str">
        <f>IF(IFERROR(IF(E248=E247,0,(HLOOKUP(C248,Ingreso!$AW$10:$BC$260,VLOOKUP(A248,Ingreso!$AL$11:$AM$260,2,FALSE)))/24),0)=0,"",IFERROR(IF(E248=E247,0,(HLOOKUP(C248,Ingreso!$AW$10:$BC$260,VLOOKUP(A248,Ingreso!$AL$11:$AM$260,2,FALSE)))/24),0))</f>
        <v/>
      </c>
      <c r="L248" s="63">
        <f t="shared" si="6"/>
        <v>0.3125</v>
      </c>
      <c r="M248" s="63" t="str">
        <f>IF(IFERROR(IF(C248=C246,0,IF(E248=E247,0,IF(C248=$R$2,HLOOKUP($R$2,Ingreso!$AW$10:$BC$260,VLOOKUP(A248,Ingreso!AL:AM,2,FALSE),FALSE)/24,""))),"")=0,"",IFERROR(IF(C248=C246,0,IF(E248=E247,0,IF(C248=$R$2,HLOOKUP($R$2,Ingreso!$AW$10:$BC$260,VLOOKUP(A248,Ingreso!AL:AM,2,FALSE),FALSE)/24,""))),""))</f>
        <v/>
      </c>
      <c r="N248" s="95" t="str">
        <f>IF(IFERROR(IF(C248=C246,0,IF(E248=E247,0,IF(C248=$R$3,HLOOKUP($R$3,Ingreso!$AW$10:$BC$260,VLOOKUP(A248,Ingreso!AL:AM,2,FALSE),FALSE)/24,""))),"")=0,"",IFERROR(IF(C248=C246,0,IF(E248=E247,0,IF(C248=$R$3,HLOOKUP($R$3,Ingreso!$AW$10:$BC$260,VLOOKUP(A248,Ingreso!AL:AM,2,FALSE),FALSE)/24,""))),""))</f>
        <v/>
      </c>
      <c r="O248" s="95" t="str">
        <f>IF(IFERROR(IF(C248=C246,0,IF(E248=E247,0,IF(C248=$R$4,HLOOKUP($R$4,Ingreso!$AW$10:$BC$260,VLOOKUP(A248,Ingreso!AL:AM,2,FALSE),FALSE)/24,""))),"")=0,"",IFERROR(IF(C248=C246,0,IF(E248=E247,0,IF(C248=$R$4,HLOOKUP($R$4,Ingreso!$AW$10:$BC$260,VLOOKUP(A248,Ingreso!AL:AM,2,FALSE),FALSE)/24,""))),""))</f>
        <v/>
      </c>
      <c r="P248" s="90"/>
      <c r="T248" t="s">
        <v>1425</v>
      </c>
      <c r="U248" t="s">
        <v>1322</v>
      </c>
      <c r="V248" t="s">
        <v>1400</v>
      </c>
      <c r="W248" s="82">
        <v>279</v>
      </c>
      <c r="X248" s="71">
        <v>0.3125</v>
      </c>
      <c r="Y248" s="101">
        <v>0.6130092592592592</v>
      </c>
      <c r="Z248" s="101">
        <v>0.95167824074074081</v>
      </c>
      <c r="AA248" s="101">
        <v>0.33866898148148161</v>
      </c>
      <c r="AB248" s="101">
        <v>2.6168981481481612E-2</v>
      </c>
      <c r="AC248" s="105">
        <v>0</v>
      </c>
      <c r="AD248" s="105">
        <v>0</v>
      </c>
      <c r="AE248" s="93">
        <v>0</v>
      </c>
      <c r="AF248" s="93">
        <v>0</v>
      </c>
      <c r="AG248" s="93">
        <v>0</v>
      </c>
    </row>
    <row r="249" spans="1:33">
      <c r="A249" s="65" t="str">
        <f>IFERROR(VLOOKUP('Informe Kelly'!A242,Base!A:B,2,FALSE),"")</f>
        <v>09.148.214-2</v>
      </c>
      <c r="B249" s="65" t="str">
        <f>IFERROR(VLOOKUP('Informe Kelly'!A242,Base!A:G,7,FALSE),"")</f>
        <v>BAEZA REYES JORGE</v>
      </c>
      <c r="C249" s="69" t="str">
        <f>IF(G249=$C$4,IF('Informe Kelly'!H242='Control informe Kelly'!$A$2,TEXT(((LEFT('Informe Kelly'!E242,2)*1)+1),"dd")&amp;"."&amp;MID('Informe Kelly'!E242,4,2)&amp;"."&amp;RIGHT('Informe Kelly'!E242,4),'Informe Kelly'!E242),'Informe Kelly'!E242)</f>
        <v>15.04.2011</v>
      </c>
      <c r="D249" s="69" t="str">
        <f>IF('Informe Kelly'!E242="","",'Informe Kelly'!E242)</f>
        <v>15.04.2011</v>
      </c>
      <c r="E249" s="72">
        <f t="shared" si="7"/>
        <v>124</v>
      </c>
      <c r="F249" s="72" t="str">
        <f>IFERROR(HLOOKUP(C249,Ingreso!$Q$8:$AD$9,2,FALSE),"v")</f>
        <v>Viernes</v>
      </c>
      <c r="G249" s="65" t="str">
        <f>IFERROR(VLOOKUP(A249,Ingreso!K:P,6,FALSE),"no esta ingresado")</f>
        <v>Turno B</v>
      </c>
      <c r="H249" s="65">
        <f>IFERROR(IF('Informe Kelly'!H242=$A$2,'Informe Kelly'!F242,""),0)</f>
        <v>0.60576388888888888</v>
      </c>
      <c r="I249" s="65" t="str">
        <f>IFERROR(IF('Informe Kelly'!H242=$A$3,'Informe Kelly'!F242,""),0)</f>
        <v/>
      </c>
      <c r="J249" s="65" t="str">
        <f>IF(IFERROR(IF(E249=E248,0,(HLOOKUP(D249,Ingreso!$AN$10:$AT$260,VLOOKUP(A249,Ingreso!$AL$11:$AM$260,2,FALSE)))/24),0)=0,"",IFERROR(IF(E249=E248,0,(HLOOKUP(D249,Ingreso!$AN$10:$AT$260,VLOOKUP(A249,Ingreso!$AL$11:$AM$260,2,FALSE)))/24),0))</f>
        <v/>
      </c>
      <c r="K249" s="65" t="str">
        <f>IF(IFERROR(IF(E249=E248,0,(HLOOKUP(C249,Ingreso!$AW$10:$BC$260,VLOOKUP(A249,Ingreso!$AL$11:$AM$260,2,FALSE)))/24),0)=0,"",IFERROR(IF(E249=E248,0,(HLOOKUP(C249,Ingreso!$AW$10:$BC$260,VLOOKUP(A249,Ingreso!$AL$11:$AM$260,2,FALSE)))/24),0))</f>
        <v/>
      </c>
      <c r="L249" s="63">
        <f t="shared" si="6"/>
        <v>0</v>
      </c>
      <c r="M249" s="63" t="str">
        <f>IF(IFERROR(IF(C249=C247,0,IF(E249=E248,0,IF(C249=$R$2,HLOOKUP($R$2,Ingreso!$AW$10:$BC$260,VLOOKUP(A249,Ingreso!AL:AM,2,FALSE),FALSE)/24,""))),"")=0,"",IFERROR(IF(C249=C247,0,IF(E249=E248,0,IF(C249=$R$2,HLOOKUP($R$2,Ingreso!$AW$10:$BC$260,VLOOKUP(A249,Ingreso!AL:AM,2,FALSE),FALSE)/24,""))),""))</f>
        <v/>
      </c>
      <c r="N249" s="95" t="str">
        <f>IF(IFERROR(IF(C249=C247,0,IF(E249=E248,0,IF(C249=$R$3,HLOOKUP($R$3,Ingreso!$AW$10:$BC$260,VLOOKUP(A249,Ingreso!AL:AM,2,FALSE),FALSE)/24,""))),"")=0,"",IFERROR(IF(C249=C247,0,IF(E249=E248,0,IF(C249=$R$3,HLOOKUP($R$3,Ingreso!$AW$10:$BC$260,VLOOKUP(A249,Ingreso!AL:AM,2,FALSE),FALSE)/24,""))),""))</f>
        <v/>
      </c>
      <c r="O249" s="95" t="str">
        <f>IF(IFERROR(IF(C249=C247,0,IF(E249=E248,0,IF(C249=$R$4,HLOOKUP($R$4,Ingreso!$AW$10:$BC$260,VLOOKUP(A249,Ingreso!AL:AM,2,FALSE),FALSE)/24,""))),"")=0,"",IFERROR(IF(C249=C247,0,IF(E249=E248,0,IF(C249=$R$4,HLOOKUP($R$4,Ingreso!$AW$10:$BC$260,VLOOKUP(A249,Ingreso!AL:AM,2,FALSE),FALSE)/24,""))),""))</f>
        <v/>
      </c>
      <c r="P249" s="90"/>
      <c r="T249" t="s">
        <v>1426</v>
      </c>
      <c r="U249" t="s">
        <v>1322</v>
      </c>
      <c r="V249" t="s">
        <v>1401</v>
      </c>
      <c r="W249" s="82">
        <v>280</v>
      </c>
      <c r="X249" s="71">
        <v>0.3125</v>
      </c>
      <c r="Y249" s="101">
        <v>0.60811342592592588</v>
      </c>
      <c r="Z249" s="101">
        <v>0.95013888888888898</v>
      </c>
      <c r="AA249" s="101">
        <v>0.3420254629629631</v>
      </c>
      <c r="AB249" s="101">
        <v>2.95254629629631E-2</v>
      </c>
      <c r="AC249" s="105">
        <v>0</v>
      </c>
      <c r="AD249" s="105">
        <v>0</v>
      </c>
      <c r="AE249" s="93">
        <v>0</v>
      </c>
      <c r="AF249" s="93">
        <v>0</v>
      </c>
      <c r="AG249" s="93">
        <v>0</v>
      </c>
    </row>
    <row r="250" spans="1:33">
      <c r="A250" s="65" t="str">
        <f>IFERROR(VLOOKUP('Informe Kelly'!A243,Base!A:B,2,FALSE),"")</f>
        <v>09.148.214-2</v>
      </c>
      <c r="B250" s="65" t="str">
        <f>IFERROR(VLOOKUP('Informe Kelly'!A243,Base!A:G,7,FALSE),"")</f>
        <v>BAEZA REYES JORGE</v>
      </c>
      <c r="C250" s="69" t="str">
        <f>IF(G250=$C$4,IF('Informe Kelly'!H243='Control informe Kelly'!$A$2,TEXT(((LEFT('Informe Kelly'!E243,2)*1)+1),"dd")&amp;"."&amp;MID('Informe Kelly'!E243,4,2)&amp;"."&amp;RIGHT('Informe Kelly'!E243,4),'Informe Kelly'!E243),'Informe Kelly'!E243)</f>
        <v>16.04.2011</v>
      </c>
      <c r="D250" s="69" t="str">
        <f>IF('Informe Kelly'!E243="","",'Informe Kelly'!E243)</f>
        <v>16.04.2011</v>
      </c>
      <c r="E250" s="72">
        <f t="shared" si="7"/>
        <v>125</v>
      </c>
      <c r="F250" s="72" t="str">
        <f>IFERROR(HLOOKUP(C250,Ingreso!$Q$8:$AD$9,2,FALSE),"v")</f>
        <v>Sábado</v>
      </c>
      <c r="G250" s="65" t="str">
        <f>IFERROR(VLOOKUP(A250,Ingreso!K:P,6,FALSE),"no esta ingresado")</f>
        <v>Turno B</v>
      </c>
      <c r="H250" s="65" t="str">
        <f>IFERROR(IF('Informe Kelly'!H243=$A$2,'Informe Kelly'!F243,""),0)</f>
        <v/>
      </c>
      <c r="I250" s="65">
        <f>IFERROR(IF('Informe Kelly'!H243=$A$3,'Informe Kelly'!F243,""),0)</f>
        <v>0.94087962962962957</v>
      </c>
      <c r="J250" s="65" t="str">
        <f>IF(IFERROR(IF(E250=E249,0,(HLOOKUP(D250,Ingreso!$AN$10:$AT$260,VLOOKUP(A250,Ingreso!$AL$11:$AM$260,2,FALSE)))/24),0)=0,"",IFERROR(IF(E250=E249,0,(HLOOKUP(D250,Ingreso!$AN$10:$AT$260,VLOOKUP(A250,Ingreso!$AL$11:$AM$260,2,FALSE)))/24),0))</f>
        <v/>
      </c>
      <c r="K250" s="65" t="str">
        <f>IF(IFERROR(IF(E250=E249,0,(HLOOKUP(C250,Ingreso!$AW$10:$BC$260,VLOOKUP(A250,Ingreso!$AL$11:$AM$260,2,FALSE)))/24),0)=0,"",IFERROR(IF(E250=E249,0,(HLOOKUP(C250,Ingreso!$AW$10:$BC$260,VLOOKUP(A250,Ingreso!$AL$11:$AM$260,2,FALSE)))/24),0))</f>
        <v/>
      </c>
      <c r="L250" s="63">
        <f t="shared" si="6"/>
        <v>0.3125</v>
      </c>
      <c r="M250" s="63" t="str">
        <f>IF(IFERROR(IF(C250=C248,0,IF(E250=E249,0,IF(C250=$R$2,HLOOKUP($R$2,Ingreso!$AW$10:$BC$260,VLOOKUP(A250,Ingreso!AL:AM,2,FALSE),FALSE)/24,""))),"")=0,"",IFERROR(IF(C250=C248,0,IF(E250=E249,0,IF(C250=$R$2,HLOOKUP($R$2,Ingreso!$AW$10:$BC$260,VLOOKUP(A250,Ingreso!AL:AM,2,FALSE),FALSE)/24,""))),""))</f>
        <v/>
      </c>
      <c r="N250" s="95" t="str">
        <f>IF(IFERROR(IF(C250=C248,0,IF(E250=E249,0,IF(C250=$R$3,HLOOKUP($R$3,Ingreso!$AW$10:$BC$260,VLOOKUP(A250,Ingreso!AL:AM,2,FALSE),FALSE)/24,""))),"")=0,"",IFERROR(IF(C250=C248,0,IF(E250=E249,0,IF(C250=$R$3,HLOOKUP($R$3,Ingreso!$AW$10:$BC$260,VLOOKUP(A250,Ingreso!AL:AM,2,FALSE),FALSE)/24,""))),""))</f>
        <v/>
      </c>
      <c r="O250" s="95" t="str">
        <f>IF(IFERROR(IF(C250=C248,0,IF(E250=E249,0,IF(C250=$R$4,HLOOKUP($R$4,Ingreso!$AW$10:$BC$260,VLOOKUP(A250,Ingreso!AL:AM,2,FALSE),FALSE)/24,""))),"")=0,"",IFERROR(IF(C250=C248,0,IF(E250=E249,0,IF(C250=$R$4,HLOOKUP($R$4,Ingreso!$AW$10:$BC$260,VLOOKUP(A250,Ingreso!AL:AM,2,FALSE),FALSE)/24,""))),""))</f>
        <v/>
      </c>
      <c r="P250" s="90"/>
      <c r="T250" t="s">
        <v>1427</v>
      </c>
      <c r="U250" t="s">
        <v>1322</v>
      </c>
      <c r="V250" t="s">
        <v>1402</v>
      </c>
      <c r="W250" s="82">
        <v>281</v>
      </c>
      <c r="X250" s="71">
        <v>0.3125</v>
      </c>
      <c r="Y250" s="101">
        <v>0.61135416666666664</v>
      </c>
      <c r="Z250" s="101">
        <v>0.94651620370370371</v>
      </c>
      <c r="AA250" s="101">
        <v>0.33516203703703706</v>
      </c>
      <c r="AB250" s="101">
        <v>2.2662037037037064E-2</v>
      </c>
      <c r="AC250" s="105">
        <v>0</v>
      </c>
      <c r="AD250" s="105">
        <v>0</v>
      </c>
      <c r="AE250" s="93">
        <v>0</v>
      </c>
      <c r="AF250" s="93">
        <v>0</v>
      </c>
      <c r="AG250" s="93">
        <v>0</v>
      </c>
    </row>
    <row r="251" spans="1:33" ht="12.75" customHeight="1">
      <c r="A251" s="65" t="str">
        <f>IFERROR(VLOOKUP('Informe Kelly'!A244,Base!A:B,2,FALSE),"")</f>
        <v>09.148.214-2</v>
      </c>
      <c r="B251" s="65" t="str">
        <f>IFERROR(VLOOKUP('Informe Kelly'!A244,Base!A:G,7,FALSE),"")</f>
        <v>BAEZA REYES JORGE</v>
      </c>
      <c r="C251" s="69" t="str">
        <f>IF(G251=$C$4,IF('Informe Kelly'!H244='Control informe Kelly'!$A$2,TEXT(((LEFT('Informe Kelly'!E244,2)*1)+1),"dd")&amp;"."&amp;MID('Informe Kelly'!E244,4,2)&amp;"."&amp;RIGHT('Informe Kelly'!E244,4),'Informe Kelly'!E244),'Informe Kelly'!E244)</f>
        <v>16.04.2011</v>
      </c>
      <c r="D251" s="69" t="str">
        <f>IF('Informe Kelly'!E244="","",'Informe Kelly'!E244)</f>
        <v>16.04.2011</v>
      </c>
      <c r="E251" s="72">
        <f t="shared" si="7"/>
        <v>125</v>
      </c>
      <c r="F251" s="72" t="str">
        <f>IFERROR(HLOOKUP(C251,Ingreso!$Q$8:$AD$9,2,FALSE),"v")</f>
        <v>Sábado</v>
      </c>
      <c r="G251" s="65" t="str">
        <f>IFERROR(VLOOKUP(A251,Ingreso!K:P,6,FALSE),"no esta ingresado")</f>
        <v>Turno B</v>
      </c>
      <c r="H251" s="65">
        <f>IFERROR(IF('Informe Kelly'!H244=$A$2,'Informe Kelly'!F244,""),0)</f>
        <v>0.6127083333333333</v>
      </c>
      <c r="I251" s="65" t="str">
        <f>IFERROR(IF('Informe Kelly'!H244=$A$3,'Informe Kelly'!F244,""),0)</f>
        <v/>
      </c>
      <c r="J251" s="65" t="str">
        <f>IF(IFERROR(IF(E251=E250,0,(HLOOKUP(D251,Ingreso!$AN$10:$AT$260,VLOOKUP(A251,Ingreso!$AL$11:$AM$260,2,FALSE)))/24),0)=0,"",IFERROR(IF(E251=E250,0,(HLOOKUP(D251,Ingreso!$AN$10:$AT$260,VLOOKUP(A251,Ingreso!$AL$11:$AM$260,2,FALSE)))/24),0))</f>
        <v/>
      </c>
      <c r="K251" s="65" t="str">
        <f>IF(IFERROR(IF(E251=E250,0,(HLOOKUP(C251,Ingreso!$AW$10:$BC$260,VLOOKUP(A251,Ingreso!$AL$11:$AM$260,2,FALSE)))/24),0)=0,"",IFERROR(IF(E251=E250,0,(HLOOKUP(C251,Ingreso!$AW$10:$BC$260,VLOOKUP(A251,Ingreso!$AL$11:$AM$260,2,FALSE)))/24),0))</f>
        <v/>
      </c>
      <c r="L251" s="63">
        <f t="shared" si="6"/>
        <v>0</v>
      </c>
      <c r="M251" s="63" t="str">
        <f>IF(IFERROR(IF(C251=C249,0,IF(E251=E250,0,IF(C251=$R$2,HLOOKUP($R$2,Ingreso!$AW$10:$BC$260,VLOOKUP(A251,Ingreso!AL:AM,2,FALSE),FALSE)/24,""))),"")=0,"",IFERROR(IF(C251=C249,0,IF(E251=E250,0,IF(C251=$R$2,HLOOKUP($R$2,Ingreso!$AW$10:$BC$260,VLOOKUP(A251,Ingreso!AL:AM,2,FALSE),FALSE)/24,""))),""))</f>
        <v/>
      </c>
      <c r="N251" s="95" t="str">
        <f>IF(IFERROR(IF(C251=C249,0,IF(E251=E250,0,IF(C251=$R$3,HLOOKUP($R$3,Ingreso!$AW$10:$BC$260,VLOOKUP(A251,Ingreso!AL:AM,2,FALSE),FALSE)/24,""))),"")=0,"",IFERROR(IF(C251=C249,0,IF(E251=E250,0,IF(C251=$R$3,HLOOKUP($R$3,Ingreso!$AW$10:$BC$260,VLOOKUP(A251,Ingreso!AL:AM,2,FALSE),FALSE)/24,""))),""))</f>
        <v/>
      </c>
      <c r="O251" s="95" t="str">
        <f>IF(IFERROR(IF(C251=C249,0,IF(E251=E250,0,IF(C251=$R$4,HLOOKUP($R$4,Ingreso!$AW$10:$BC$260,VLOOKUP(A251,Ingreso!AL:AM,2,FALSE),FALSE)/24,""))),"")=0,"",IFERROR(IF(C251=C249,0,IF(E251=E250,0,IF(C251=$R$4,HLOOKUP($R$4,Ingreso!$AW$10:$BC$260,VLOOKUP(A251,Ingreso!AL:AM,2,FALSE),FALSE)/24,""))),""))</f>
        <v/>
      </c>
      <c r="P251" s="90"/>
      <c r="R251" t="s">
        <v>800</v>
      </c>
      <c r="S251" t="s">
        <v>804</v>
      </c>
      <c r="T251" t="s">
        <v>1420</v>
      </c>
      <c r="U251" t="s">
        <v>1338</v>
      </c>
      <c r="V251" t="s">
        <v>1397</v>
      </c>
      <c r="W251" s="82">
        <v>282</v>
      </c>
      <c r="X251" s="71">
        <v>0.41666666666666669</v>
      </c>
      <c r="Y251" s="101">
        <v>0.36896990740740737</v>
      </c>
      <c r="Z251" s="101">
        <v>0.77932870370370377</v>
      </c>
      <c r="AA251" s="101">
        <v>0.4103587962962964</v>
      </c>
      <c r="AB251" s="101">
        <v>-6.3078703703702832E-3</v>
      </c>
      <c r="AC251" s="105">
        <v>0</v>
      </c>
      <c r="AD251" s="105">
        <v>0</v>
      </c>
      <c r="AE251" s="93">
        <v>0</v>
      </c>
      <c r="AF251" s="93">
        <v>0</v>
      </c>
      <c r="AG251" s="93">
        <v>0</v>
      </c>
    </row>
    <row r="252" spans="1:33">
      <c r="A252" s="65" t="str">
        <f>IFERROR(VLOOKUP('Informe Kelly'!A245,Base!A:B,2,FALSE),"")</f>
        <v>09.571.017-4</v>
      </c>
      <c r="B252" s="65" t="str">
        <f>IFERROR(VLOOKUP('Informe Kelly'!A245,Base!A:G,7,FALSE),"")</f>
        <v>GALLARDO CASTRO MIGUEL FRANCISCO</v>
      </c>
      <c r="C252" s="69" t="str">
        <f>IF(G252=$C$4,IF('Informe Kelly'!H245='Control informe Kelly'!$A$2,TEXT(((LEFT('Informe Kelly'!E245,2)*1)+1),"dd")&amp;"."&amp;MID('Informe Kelly'!E245,4,2)&amp;"."&amp;RIGHT('Informe Kelly'!E245,4),'Informe Kelly'!E245),'Informe Kelly'!E245)</f>
        <v>11.04.2011</v>
      </c>
      <c r="D252" s="69" t="str">
        <f>IF('Informe Kelly'!E245="","",'Informe Kelly'!E245)</f>
        <v>11.04.2011</v>
      </c>
      <c r="E252" s="72">
        <f t="shared" si="7"/>
        <v>126</v>
      </c>
      <c r="F252" s="72" t="str">
        <f>IFERROR(HLOOKUP(C252,Ingreso!$Q$8:$AD$9,2,FALSE),"v")</f>
        <v>Lunes</v>
      </c>
      <c r="G252" s="65" t="str">
        <f>IFERROR(VLOOKUP(A252,Ingreso!K:P,6,FALSE),"no esta ingresado")</f>
        <v>Turno A</v>
      </c>
      <c r="H252" s="65" t="str">
        <f>IFERROR(IF('Informe Kelly'!H245=$A$2,'Informe Kelly'!F245,""),0)</f>
        <v/>
      </c>
      <c r="I252" s="65">
        <f>IFERROR(IF('Informe Kelly'!H245=$A$3,'Informe Kelly'!F245,""),0)</f>
        <v>0.64166666666666672</v>
      </c>
      <c r="J252" s="65" t="str">
        <f>IF(IFERROR(IF(E252=E251,0,(HLOOKUP(D252,Ingreso!$AN$10:$AT$260,VLOOKUP(A252,Ingreso!$AL$11:$AM$260,2,FALSE)))/24),0)=0,"",IFERROR(IF(E252=E251,0,(HLOOKUP(D252,Ingreso!$AN$10:$AT$260,VLOOKUP(A252,Ingreso!$AL$11:$AM$260,2,FALSE)))/24),0))</f>
        <v/>
      </c>
      <c r="K252" s="65" t="str">
        <f>IF(IFERROR(IF(E252=E251,0,(HLOOKUP(C252,Ingreso!$AW$10:$BC$260,VLOOKUP(A252,Ingreso!$AL$11:$AM$260,2,FALSE)))/24),0)=0,"",IFERROR(IF(E252=E251,0,(HLOOKUP(C252,Ingreso!$AW$10:$BC$260,VLOOKUP(A252,Ingreso!$AL$11:$AM$260,2,FALSE)))/24),0))</f>
        <v/>
      </c>
      <c r="L252" s="63">
        <f t="shared" si="6"/>
        <v>0.3125</v>
      </c>
      <c r="M252" s="63" t="str">
        <f>IF(IFERROR(IF(C252=C250,0,IF(E252=E251,0,IF(C252=$R$2,HLOOKUP($R$2,Ingreso!$AW$10:$BC$260,VLOOKUP(A252,Ingreso!AL:AM,2,FALSE),FALSE)/24,""))),"")=0,"",IFERROR(IF(C252=C250,0,IF(E252=E251,0,IF(C252=$R$2,HLOOKUP($R$2,Ingreso!$AW$10:$BC$260,VLOOKUP(A252,Ingreso!AL:AM,2,FALSE),FALSE)/24,""))),""))</f>
        <v/>
      </c>
      <c r="N252" s="95" t="str">
        <f>IF(IFERROR(IF(C252=C250,0,IF(E252=E251,0,IF(C252=$R$3,HLOOKUP($R$3,Ingreso!$AW$10:$BC$260,VLOOKUP(A252,Ingreso!AL:AM,2,FALSE),FALSE)/24,""))),"")=0,"",IFERROR(IF(C252=C250,0,IF(E252=E251,0,IF(C252=$R$3,HLOOKUP($R$3,Ingreso!$AW$10:$BC$260,VLOOKUP(A252,Ingreso!AL:AM,2,FALSE),FALSE)/24,""))),""))</f>
        <v/>
      </c>
      <c r="O252" s="95" t="str">
        <f>IF(IFERROR(IF(C252=C250,0,IF(E252=E251,0,IF(C252=$R$4,HLOOKUP($R$4,Ingreso!$AW$10:$BC$260,VLOOKUP(A252,Ingreso!AL:AM,2,FALSE),FALSE)/24,""))),"")=0,"",IFERROR(IF(C252=C250,0,IF(E252=E251,0,IF(C252=$R$4,HLOOKUP($R$4,Ingreso!$AW$10:$BC$260,VLOOKUP(A252,Ingreso!AL:AM,2,FALSE),FALSE)/24,""))),""))</f>
        <v/>
      </c>
      <c r="P252" s="90"/>
      <c r="T252" t="s">
        <v>1423</v>
      </c>
      <c r="U252" t="s">
        <v>1338</v>
      </c>
      <c r="V252" t="s">
        <v>1398</v>
      </c>
      <c r="W252" s="82">
        <v>283</v>
      </c>
      <c r="X252" s="71">
        <v>0.41666666666666669</v>
      </c>
      <c r="Y252" s="101">
        <v>0.35831018518518515</v>
      </c>
      <c r="Z252" s="101">
        <v>0.77114583333333331</v>
      </c>
      <c r="AA252" s="101">
        <v>0.41283564814814816</v>
      </c>
      <c r="AB252" s="101">
        <v>-3.8310185185185253E-3</v>
      </c>
      <c r="AC252" s="105">
        <v>0</v>
      </c>
      <c r="AD252" s="105">
        <v>0</v>
      </c>
      <c r="AE252" s="93">
        <v>0</v>
      </c>
      <c r="AF252" s="93">
        <v>0</v>
      </c>
      <c r="AG252" s="93">
        <v>0</v>
      </c>
    </row>
    <row r="253" spans="1:33">
      <c r="A253" s="65" t="str">
        <f>IFERROR(VLOOKUP('Informe Kelly'!A246,Base!A:B,2,FALSE),"")</f>
        <v>09.571.017-4</v>
      </c>
      <c r="B253" s="65" t="str">
        <f>IFERROR(VLOOKUP('Informe Kelly'!A246,Base!A:G,7,FALSE),"")</f>
        <v>GALLARDO CASTRO MIGUEL FRANCISCO</v>
      </c>
      <c r="C253" s="69" t="str">
        <f>IF(G253=$C$4,IF('Informe Kelly'!H246='Control informe Kelly'!$A$2,TEXT(((LEFT('Informe Kelly'!E246,2)*1)+1),"dd")&amp;"."&amp;MID('Informe Kelly'!E246,4,2)&amp;"."&amp;RIGHT('Informe Kelly'!E246,4),'Informe Kelly'!E246),'Informe Kelly'!E246)</f>
        <v>11.04.2011</v>
      </c>
      <c r="D253" s="69" t="str">
        <f>IF('Informe Kelly'!E246="","",'Informe Kelly'!E246)</f>
        <v>11.04.2011</v>
      </c>
      <c r="E253" s="72">
        <f t="shared" si="7"/>
        <v>126</v>
      </c>
      <c r="F253" s="72" t="str">
        <f>IFERROR(HLOOKUP(C253,Ingreso!$Q$8:$AD$9,2,FALSE),"v")</f>
        <v>Lunes</v>
      </c>
      <c r="G253" s="65" t="str">
        <f>IFERROR(VLOOKUP(A253,Ingreso!K:P,6,FALSE),"no esta ingresado")</f>
        <v>Turno A</v>
      </c>
      <c r="H253" s="65">
        <f>IFERROR(IF('Informe Kelly'!H246=$A$2,'Informe Kelly'!F246,""),0)</f>
        <v>0.30920138888888887</v>
      </c>
      <c r="I253" s="65" t="str">
        <f>IFERROR(IF('Informe Kelly'!H246=$A$3,'Informe Kelly'!F246,""),0)</f>
        <v/>
      </c>
      <c r="J253" s="65" t="str">
        <f>IF(IFERROR(IF(E253=E252,0,(HLOOKUP(D253,Ingreso!$AN$10:$AT$260,VLOOKUP(A253,Ingreso!$AL$11:$AM$260,2,FALSE)))/24),0)=0,"",IFERROR(IF(E253=E252,0,(HLOOKUP(D253,Ingreso!$AN$10:$AT$260,VLOOKUP(A253,Ingreso!$AL$11:$AM$260,2,FALSE)))/24),0))</f>
        <v/>
      </c>
      <c r="K253" s="65" t="str">
        <f>IF(IFERROR(IF(E253=E252,0,(HLOOKUP(C253,Ingreso!$AW$10:$BC$260,VLOOKUP(A253,Ingreso!$AL$11:$AM$260,2,FALSE)))/24),0)=0,"",IFERROR(IF(E253=E252,0,(HLOOKUP(C253,Ingreso!$AW$10:$BC$260,VLOOKUP(A253,Ingreso!$AL$11:$AM$260,2,FALSE)))/24),0))</f>
        <v/>
      </c>
      <c r="L253" s="63">
        <f t="shared" si="6"/>
        <v>0</v>
      </c>
      <c r="M253" s="63" t="str">
        <f>IF(IFERROR(IF(C253=C251,0,IF(E253=E252,0,IF(C253=$R$2,HLOOKUP($R$2,Ingreso!$AW$10:$BC$260,VLOOKUP(A253,Ingreso!AL:AM,2,FALSE),FALSE)/24,""))),"")=0,"",IFERROR(IF(C253=C251,0,IF(E253=E252,0,IF(C253=$R$2,HLOOKUP($R$2,Ingreso!$AW$10:$BC$260,VLOOKUP(A253,Ingreso!AL:AM,2,FALSE),FALSE)/24,""))),""))</f>
        <v/>
      </c>
      <c r="N253" s="95" t="str">
        <f>IF(IFERROR(IF(C253=C251,0,IF(E253=E252,0,IF(C253=$R$3,HLOOKUP($R$3,Ingreso!$AW$10:$BC$260,VLOOKUP(A253,Ingreso!AL:AM,2,FALSE),FALSE)/24,""))),"")=0,"",IFERROR(IF(C253=C251,0,IF(E253=E252,0,IF(C253=$R$3,HLOOKUP($R$3,Ingreso!$AW$10:$BC$260,VLOOKUP(A253,Ingreso!AL:AM,2,FALSE),FALSE)/24,""))),""))</f>
        <v/>
      </c>
      <c r="O253" s="95" t="str">
        <f>IF(IFERROR(IF(C253=C251,0,IF(E253=E252,0,IF(C253=$R$4,HLOOKUP($R$4,Ingreso!$AW$10:$BC$260,VLOOKUP(A253,Ingreso!AL:AM,2,FALSE),FALSE)/24,""))),"")=0,"",IFERROR(IF(C253=C251,0,IF(E253=E252,0,IF(C253=$R$4,HLOOKUP($R$4,Ingreso!$AW$10:$BC$260,VLOOKUP(A253,Ingreso!AL:AM,2,FALSE),FALSE)/24,""))),""))</f>
        <v/>
      </c>
      <c r="P253" s="90"/>
      <c r="T253" t="s">
        <v>1424</v>
      </c>
      <c r="U253" t="s">
        <v>1338</v>
      </c>
      <c r="V253" t="s">
        <v>1399</v>
      </c>
      <c r="W253" s="82">
        <v>284</v>
      </c>
      <c r="X253" s="71">
        <v>0.41666666666666669</v>
      </c>
      <c r="Y253" s="101">
        <v>0.36357638888888894</v>
      </c>
      <c r="Z253" s="101">
        <v>0.773900462962963</v>
      </c>
      <c r="AA253" s="101">
        <v>0.41032407407407406</v>
      </c>
      <c r="AB253" s="101">
        <v>-6.3425925925926219E-3</v>
      </c>
      <c r="AC253" s="105">
        <v>0</v>
      </c>
      <c r="AD253" s="105">
        <v>0</v>
      </c>
      <c r="AE253" s="93">
        <v>0</v>
      </c>
      <c r="AF253" s="93">
        <v>0</v>
      </c>
      <c r="AG253" s="93">
        <v>0</v>
      </c>
    </row>
    <row r="254" spans="1:33">
      <c r="A254" s="65" t="str">
        <f>IFERROR(VLOOKUP('Informe Kelly'!A247,Base!A:B,2,FALSE),"")</f>
        <v>09.571.017-4</v>
      </c>
      <c r="B254" s="65" t="str">
        <f>IFERROR(VLOOKUP('Informe Kelly'!A247,Base!A:G,7,FALSE),"")</f>
        <v>GALLARDO CASTRO MIGUEL FRANCISCO</v>
      </c>
      <c r="C254" s="69" t="str">
        <f>IF(G254=$C$4,IF('Informe Kelly'!H247='Control informe Kelly'!$A$2,TEXT(((LEFT('Informe Kelly'!E247,2)*1)+1),"dd")&amp;"."&amp;MID('Informe Kelly'!E247,4,2)&amp;"."&amp;RIGHT('Informe Kelly'!E247,4),'Informe Kelly'!E247),'Informe Kelly'!E247)</f>
        <v>12.04.2011</v>
      </c>
      <c r="D254" s="69" t="str">
        <f>IF('Informe Kelly'!E247="","",'Informe Kelly'!E247)</f>
        <v>12.04.2011</v>
      </c>
      <c r="E254" s="72">
        <f t="shared" si="7"/>
        <v>127</v>
      </c>
      <c r="F254" s="72" t="str">
        <f>IFERROR(HLOOKUP(C254,Ingreso!$Q$8:$AD$9,2,FALSE),"v")</f>
        <v>Martes</v>
      </c>
      <c r="G254" s="65" t="str">
        <f>IFERROR(VLOOKUP(A254,Ingreso!K:P,6,FALSE),"no esta ingresado")</f>
        <v>Turno A</v>
      </c>
      <c r="H254" s="65" t="str">
        <f>IFERROR(IF('Informe Kelly'!H247=$A$2,'Informe Kelly'!F247,""),0)</f>
        <v/>
      </c>
      <c r="I254" s="65">
        <f>IFERROR(IF('Informe Kelly'!H247=$A$3,'Informe Kelly'!F247,""),0)</f>
        <v>0.64071759259259264</v>
      </c>
      <c r="J254" s="65" t="str">
        <f>IF(IFERROR(IF(E254=E253,0,(HLOOKUP(D254,Ingreso!$AN$10:$AT$260,VLOOKUP(A254,Ingreso!$AL$11:$AM$260,2,FALSE)))/24),0)=0,"",IFERROR(IF(E254=E253,0,(HLOOKUP(D254,Ingreso!$AN$10:$AT$260,VLOOKUP(A254,Ingreso!$AL$11:$AM$260,2,FALSE)))/24),0))</f>
        <v/>
      </c>
      <c r="K254" s="65" t="str">
        <f>IF(IFERROR(IF(E254=E253,0,(HLOOKUP(C254,Ingreso!$AW$10:$BC$260,VLOOKUP(A254,Ingreso!$AL$11:$AM$260,2,FALSE)))/24),0)=0,"",IFERROR(IF(E254=E253,0,(HLOOKUP(C254,Ingreso!$AW$10:$BC$260,VLOOKUP(A254,Ingreso!$AL$11:$AM$260,2,FALSE)))/24),0))</f>
        <v/>
      </c>
      <c r="L254" s="63">
        <f t="shared" si="6"/>
        <v>0.3125</v>
      </c>
      <c r="M254" s="63" t="str">
        <f>IF(IFERROR(IF(C254=C252,0,IF(E254=E253,0,IF(C254=$R$2,HLOOKUP($R$2,Ingreso!$AW$10:$BC$260,VLOOKUP(A254,Ingreso!AL:AM,2,FALSE),FALSE)/24,""))),"")=0,"",IFERROR(IF(C254=C252,0,IF(E254=E253,0,IF(C254=$R$2,HLOOKUP($R$2,Ingreso!$AW$10:$BC$260,VLOOKUP(A254,Ingreso!AL:AM,2,FALSE),FALSE)/24,""))),""))</f>
        <v/>
      </c>
      <c r="N254" s="95" t="str">
        <f>IF(IFERROR(IF(C254=C252,0,IF(E254=E253,0,IF(C254=$R$3,HLOOKUP($R$3,Ingreso!$AW$10:$BC$260,VLOOKUP(A254,Ingreso!AL:AM,2,FALSE),FALSE)/24,""))),"")=0,"",IFERROR(IF(C254=C252,0,IF(E254=E253,0,IF(C254=$R$3,HLOOKUP($R$3,Ingreso!$AW$10:$BC$260,VLOOKUP(A254,Ingreso!AL:AM,2,FALSE),FALSE)/24,""))),""))</f>
        <v/>
      </c>
      <c r="O254" s="95" t="str">
        <f>IF(IFERROR(IF(C254=C252,0,IF(E254=E253,0,IF(C254=$R$4,HLOOKUP($R$4,Ingreso!$AW$10:$BC$260,VLOOKUP(A254,Ingreso!AL:AM,2,FALSE),FALSE)/24,""))),"")=0,"",IFERROR(IF(C254=C252,0,IF(E254=E253,0,IF(C254=$R$4,HLOOKUP($R$4,Ingreso!$AW$10:$BC$260,VLOOKUP(A254,Ingreso!AL:AM,2,FALSE),FALSE)/24,""))),""))</f>
        <v/>
      </c>
      <c r="P254" s="90"/>
      <c r="T254" t="s">
        <v>1425</v>
      </c>
      <c r="U254" t="s">
        <v>1338</v>
      </c>
      <c r="V254" t="s">
        <v>1400</v>
      </c>
      <c r="W254" s="82">
        <v>285</v>
      </c>
      <c r="X254" s="71">
        <v>0.41666666666666669</v>
      </c>
      <c r="Y254" s="101">
        <v>0.36394675925925929</v>
      </c>
      <c r="Z254" s="101">
        <v>0.77729166666666671</v>
      </c>
      <c r="AA254" s="101">
        <v>0.41334490740740742</v>
      </c>
      <c r="AB254" s="101">
        <v>-3.3217592592592604E-3</v>
      </c>
      <c r="AC254" s="105">
        <v>4.1666666666666664E-2</v>
      </c>
      <c r="AD254" s="105">
        <v>0</v>
      </c>
      <c r="AE254" s="93">
        <v>0</v>
      </c>
      <c r="AF254" s="93">
        <v>0</v>
      </c>
      <c r="AG254" s="93">
        <v>0</v>
      </c>
    </row>
    <row r="255" spans="1:33">
      <c r="A255" s="65" t="str">
        <f>IFERROR(VLOOKUP('Informe Kelly'!A248,Base!A:B,2,FALSE),"")</f>
        <v>09.571.017-4</v>
      </c>
      <c r="B255" s="65" t="str">
        <f>IFERROR(VLOOKUP('Informe Kelly'!A248,Base!A:G,7,FALSE),"")</f>
        <v>GALLARDO CASTRO MIGUEL FRANCISCO</v>
      </c>
      <c r="C255" s="69" t="str">
        <f>IF(G255=$C$4,IF('Informe Kelly'!H248='Control informe Kelly'!$A$2,TEXT(((LEFT('Informe Kelly'!E248,2)*1)+1),"dd")&amp;"."&amp;MID('Informe Kelly'!E248,4,2)&amp;"."&amp;RIGHT('Informe Kelly'!E248,4),'Informe Kelly'!E248),'Informe Kelly'!E248)</f>
        <v>12.04.2011</v>
      </c>
      <c r="D255" s="69" t="str">
        <f>IF('Informe Kelly'!E248="","",'Informe Kelly'!E248)</f>
        <v>12.04.2011</v>
      </c>
      <c r="E255" s="72">
        <f t="shared" si="7"/>
        <v>127</v>
      </c>
      <c r="F255" s="72" t="str">
        <f>IFERROR(HLOOKUP(C255,Ingreso!$Q$8:$AD$9,2,FALSE),"v")</f>
        <v>Martes</v>
      </c>
      <c r="G255" s="65" t="str">
        <f>IFERROR(VLOOKUP(A255,Ingreso!K:P,6,FALSE),"no esta ingresado")</f>
        <v>Turno A</v>
      </c>
      <c r="H255" s="65">
        <f>IFERROR(IF('Informe Kelly'!H248=$A$2,'Informe Kelly'!F248,""),0)</f>
        <v>0.29864583333333333</v>
      </c>
      <c r="I255" s="65" t="str">
        <f>IFERROR(IF('Informe Kelly'!H248=$A$3,'Informe Kelly'!F248,""),0)</f>
        <v/>
      </c>
      <c r="J255" s="65" t="str">
        <f>IF(IFERROR(IF(E255=E254,0,(HLOOKUP(D255,Ingreso!$AN$10:$AT$260,VLOOKUP(A255,Ingreso!$AL$11:$AM$260,2,FALSE)))/24),0)=0,"",IFERROR(IF(E255=E254,0,(HLOOKUP(D255,Ingreso!$AN$10:$AT$260,VLOOKUP(A255,Ingreso!$AL$11:$AM$260,2,FALSE)))/24),0))</f>
        <v/>
      </c>
      <c r="K255" s="65" t="str">
        <f>IF(IFERROR(IF(E255=E254,0,(HLOOKUP(C255,Ingreso!$AW$10:$BC$260,VLOOKUP(A255,Ingreso!$AL$11:$AM$260,2,FALSE)))/24),0)=0,"",IFERROR(IF(E255=E254,0,(HLOOKUP(C255,Ingreso!$AW$10:$BC$260,VLOOKUP(A255,Ingreso!$AL$11:$AM$260,2,FALSE)))/24),0))</f>
        <v/>
      </c>
      <c r="L255" s="63">
        <f t="shared" si="6"/>
        <v>0</v>
      </c>
      <c r="M255" s="63" t="str">
        <f>IF(IFERROR(IF(C255=C253,0,IF(E255=E254,0,IF(C255=$R$2,HLOOKUP($R$2,Ingreso!$AW$10:$BC$260,VLOOKUP(A255,Ingreso!AL:AM,2,FALSE),FALSE)/24,""))),"")=0,"",IFERROR(IF(C255=C253,0,IF(E255=E254,0,IF(C255=$R$2,HLOOKUP($R$2,Ingreso!$AW$10:$BC$260,VLOOKUP(A255,Ingreso!AL:AM,2,FALSE),FALSE)/24,""))),""))</f>
        <v/>
      </c>
      <c r="N255" s="95" t="str">
        <f>IF(IFERROR(IF(C255=C253,0,IF(E255=E254,0,IF(C255=$R$3,HLOOKUP($R$3,Ingreso!$AW$10:$BC$260,VLOOKUP(A255,Ingreso!AL:AM,2,FALSE),FALSE)/24,""))),"")=0,"",IFERROR(IF(C255=C253,0,IF(E255=E254,0,IF(C255=$R$3,HLOOKUP($R$3,Ingreso!$AW$10:$BC$260,VLOOKUP(A255,Ingreso!AL:AM,2,FALSE),FALSE)/24,""))),""))</f>
        <v/>
      </c>
      <c r="O255" s="95" t="str">
        <f>IF(IFERROR(IF(C255=C253,0,IF(E255=E254,0,IF(C255=$R$4,HLOOKUP($R$4,Ingreso!$AW$10:$BC$260,VLOOKUP(A255,Ingreso!AL:AM,2,FALSE),FALSE)/24,""))),"")=0,"",IFERROR(IF(C255=C253,0,IF(E255=E254,0,IF(C255=$R$4,HLOOKUP($R$4,Ingreso!$AW$10:$BC$260,VLOOKUP(A255,Ingreso!AL:AM,2,FALSE),FALSE)/24,""))),""))</f>
        <v/>
      </c>
      <c r="P255" s="90"/>
      <c r="T255" t="s">
        <v>1426</v>
      </c>
      <c r="U255" t="s">
        <v>1338</v>
      </c>
      <c r="V255" t="s">
        <v>1401</v>
      </c>
      <c r="W255" s="82">
        <v>286</v>
      </c>
      <c r="X255" s="71">
        <v>0.41666666666666669</v>
      </c>
      <c r="Y255" s="101">
        <v>0.36821759259259257</v>
      </c>
      <c r="Z255" s="101">
        <v>0.75525462962962964</v>
      </c>
      <c r="AA255" s="101">
        <v>0.38703703703703707</v>
      </c>
      <c r="AB255" s="101">
        <v>-2.9629629629629617E-2</v>
      </c>
      <c r="AC255" s="105">
        <v>4.1666666666666664E-2</v>
      </c>
      <c r="AD255" s="105">
        <v>0</v>
      </c>
      <c r="AE255" s="93">
        <v>0</v>
      </c>
      <c r="AF255" s="93">
        <v>0</v>
      </c>
      <c r="AG255" s="93">
        <v>0</v>
      </c>
    </row>
    <row r="256" spans="1:33">
      <c r="A256" s="65" t="str">
        <f>IFERROR(VLOOKUP('Informe Kelly'!A249,Base!A:B,2,FALSE),"")</f>
        <v>09.571.017-4</v>
      </c>
      <c r="B256" s="65" t="str">
        <f>IFERROR(VLOOKUP('Informe Kelly'!A249,Base!A:G,7,FALSE),"")</f>
        <v>GALLARDO CASTRO MIGUEL FRANCISCO</v>
      </c>
      <c r="C256" s="69" t="str">
        <f>IF(G256=$C$4,IF('Informe Kelly'!H249='Control informe Kelly'!$A$2,TEXT(((LEFT('Informe Kelly'!E249,2)*1)+1),"dd")&amp;"."&amp;MID('Informe Kelly'!E249,4,2)&amp;"."&amp;RIGHT('Informe Kelly'!E249,4),'Informe Kelly'!E249),'Informe Kelly'!E249)</f>
        <v>13.04.2011</v>
      </c>
      <c r="D256" s="69" t="str">
        <f>IF('Informe Kelly'!E249="","",'Informe Kelly'!E249)</f>
        <v>13.04.2011</v>
      </c>
      <c r="E256" s="72">
        <f t="shared" si="7"/>
        <v>128</v>
      </c>
      <c r="F256" s="72" t="str">
        <f>IFERROR(HLOOKUP(C256,Ingreso!$Q$8:$AD$9,2,FALSE),"v")</f>
        <v>Miércoles</v>
      </c>
      <c r="G256" s="65" t="str">
        <f>IFERROR(VLOOKUP(A256,Ingreso!K:P,6,FALSE),"no esta ingresado")</f>
        <v>Turno A</v>
      </c>
      <c r="H256" s="65" t="str">
        <f>IFERROR(IF('Informe Kelly'!H249=$A$2,'Informe Kelly'!F249,""),0)</f>
        <v/>
      </c>
      <c r="I256" s="65">
        <f>IFERROR(IF('Informe Kelly'!H249=$A$3,'Informe Kelly'!F249,""),0)</f>
        <v>0.64167824074074076</v>
      </c>
      <c r="J256" s="65" t="str">
        <f>IF(IFERROR(IF(E256=E255,0,(HLOOKUP(D256,Ingreso!$AN$10:$AT$260,VLOOKUP(A256,Ingreso!$AL$11:$AM$260,2,FALSE)))/24),0)=0,"",IFERROR(IF(E256=E255,0,(HLOOKUP(D256,Ingreso!$AN$10:$AT$260,VLOOKUP(A256,Ingreso!$AL$11:$AM$260,2,FALSE)))/24),0))</f>
        <v/>
      </c>
      <c r="K256" s="65" t="str">
        <f>IF(IFERROR(IF(E256=E255,0,(HLOOKUP(C256,Ingreso!$AW$10:$BC$260,VLOOKUP(A256,Ingreso!$AL$11:$AM$260,2,FALSE)))/24),0)=0,"",IFERROR(IF(E256=E255,0,(HLOOKUP(C256,Ingreso!$AW$10:$BC$260,VLOOKUP(A256,Ingreso!$AL$11:$AM$260,2,FALSE)))/24),0))</f>
        <v/>
      </c>
      <c r="L256" s="63">
        <f t="shared" si="6"/>
        <v>0.3125</v>
      </c>
      <c r="M256" s="63" t="str">
        <f>IF(IFERROR(IF(C256=C254,0,IF(E256=E255,0,IF(C256=$R$2,HLOOKUP($R$2,Ingreso!$AW$10:$BC$260,VLOOKUP(A256,Ingreso!AL:AM,2,FALSE),FALSE)/24,""))),"")=0,"",IFERROR(IF(C256=C254,0,IF(E256=E255,0,IF(C256=$R$2,HLOOKUP($R$2,Ingreso!$AW$10:$BC$260,VLOOKUP(A256,Ingreso!AL:AM,2,FALSE),FALSE)/24,""))),""))</f>
        <v/>
      </c>
      <c r="N256" s="95" t="str">
        <f>IF(IFERROR(IF(C256=C254,0,IF(E256=E255,0,IF(C256=$R$3,HLOOKUP($R$3,Ingreso!$AW$10:$BC$260,VLOOKUP(A256,Ingreso!AL:AM,2,FALSE),FALSE)/24,""))),"")=0,"",IFERROR(IF(C256=C254,0,IF(E256=E255,0,IF(C256=$R$3,HLOOKUP($R$3,Ingreso!$AW$10:$BC$260,VLOOKUP(A256,Ingreso!AL:AM,2,FALSE),FALSE)/24,""))),""))</f>
        <v/>
      </c>
      <c r="O256" s="95" t="str">
        <f>IF(IFERROR(IF(C256=C254,0,IF(E256=E255,0,IF(C256=$R$4,HLOOKUP($R$4,Ingreso!$AW$10:$BC$260,VLOOKUP(A256,Ingreso!AL:AM,2,FALSE),FALSE)/24,""))),"")=0,"",IFERROR(IF(C256=C254,0,IF(E256=E255,0,IF(C256=$R$4,HLOOKUP($R$4,Ingreso!$AW$10:$BC$260,VLOOKUP(A256,Ingreso!AL:AM,2,FALSE),FALSE)/24,""))),""))</f>
        <v/>
      </c>
      <c r="P256" s="90"/>
      <c r="R256" t="s">
        <v>89</v>
      </c>
      <c r="S256" t="s">
        <v>94</v>
      </c>
      <c r="T256" t="s">
        <v>1420</v>
      </c>
      <c r="U256" t="s">
        <v>1338</v>
      </c>
      <c r="V256" t="s">
        <v>1397</v>
      </c>
      <c r="W256" s="82">
        <v>293</v>
      </c>
      <c r="X256" s="71">
        <v>0.41666666666666669</v>
      </c>
      <c r="Y256" s="101">
        <v>0.29274305555555552</v>
      </c>
      <c r="Z256" s="101">
        <v>0.78828703703703706</v>
      </c>
      <c r="AA256" s="101">
        <v>0.49554398148148154</v>
      </c>
      <c r="AB256" s="101">
        <v>7.8877314814814858E-2</v>
      </c>
      <c r="AC256" s="105">
        <v>8.3333333333333329E-2</v>
      </c>
      <c r="AD256" s="105">
        <v>0</v>
      </c>
      <c r="AE256" s="93">
        <v>0</v>
      </c>
      <c r="AF256" s="93">
        <v>0</v>
      </c>
      <c r="AG256" s="93">
        <v>0</v>
      </c>
    </row>
    <row r="257" spans="1:33" ht="12.75" customHeight="1">
      <c r="A257" s="65" t="str">
        <f>IFERROR(VLOOKUP('Informe Kelly'!A250,Base!A:B,2,FALSE),"")</f>
        <v>09.571.017-4</v>
      </c>
      <c r="B257" s="65" t="str">
        <f>IFERROR(VLOOKUP('Informe Kelly'!A250,Base!A:G,7,FALSE),"")</f>
        <v>GALLARDO CASTRO MIGUEL FRANCISCO</v>
      </c>
      <c r="C257" s="69" t="str">
        <f>IF(G257=$C$4,IF('Informe Kelly'!H250='Control informe Kelly'!$A$2,TEXT(((LEFT('Informe Kelly'!E250,2)*1)+1),"dd")&amp;"."&amp;MID('Informe Kelly'!E250,4,2)&amp;"."&amp;RIGHT('Informe Kelly'!E250,4),'Informe Kelly'!E250),'Informe Kelly'!E250)</f>
        <v>13.04.2011</v>
      </c>
      <c r="D257" s="69" t="str">
        <f>IF('Informe Kelly'!E250="","",'Informe Kelly'!E250)</f>
        <v>13.04.2011</v>
      </c>
      <c r="E257" s="72">
        <f t="shared" si="7"/>
        <v>128</v>
      </c>
      <c r="F257" s="72" t="str">
        <f>IFERROR(HLOOKUP(C257,Ingreso!$Q$8:$AD$9,2,FALSE),"v")</f>
        <v>Miércoles</v>
      </c>
      <c r="G257" s="65" t="str">
        <f>IFERROR(VLOOKUP(A257,Ingreso!K:P,6,FALSE),"no esta ingresado")</f>
        <v>Turno A</v>
      </c>
      <c r="H257" s="65">
        <f>IFERROR(IF('Informe Kelly'!H250=$A$2,'Informe Kelly'!F250,""),0)</f>
        <v>0.30380787037037038</v>
      </c>
      <c r="I257" s="65" t="str">
        <f>IFERROR(IF('Informe Kelly'!H250=$A$3,'Informe Kelly'!F250,""),0)</f>
        <v/>
      </c>
      <c r="J257" s="65" t="str">
        <f>IF(IFERROR(IF(E257=E256,0,(HLOOKUP(D257,Ingreso!$AN$10:$AT$260,VLOOKUP(A257,Ingreso!$AL$11:$AM$260,2,FALSE)))/24),0)=0,"",IFERROR(IF(E257=E256,0,(HLOOKUP(D257,Ingreso!$AN$10:$AT$260,VLOOKUP(A257,Ingreso!$AL$11:$AM$260,2,FALSE)))/24),0))</f>
        <v/>
      </c>
      <c r="K257" s="65" t="str">
        <f>IF(IFERROR(IF(E257=E256,0,(HLOOKUP(C257,Ingreso!$AW$10:$BC$260,VLOOKUP(A257,Ingreso!$AL$11:$AM$260,2,FALSE)))/24),0)=0,"",IFERROR(IF(E257=E256,0,(HLOOKUP(C257,Ingreso!$AW$10:$BC$260,VLOOKUP(A257,Ingreso!$AL$11:$AM$260,2,FALSE)))/24),0))</f>
        <v/>
      </c>
      <c r="L257" s="63">
        <f t="shared" si="6"/>
        <v>0</v>
      </c>
      <c r="M257" s="63" t="str">
        <f>IF(IFERROR(IF(C257=C255,0,IF(E257=E256,0,IF(C257=$R$2,HLOOKUP($R$2,Ingreso!$AW$10:$BC$260,VLOOKUP(A257,Ingreso!AL:AM,2,FALSE),FALSE)/24,""))),"")=0,"",IFERROR(IF(C257=C255,0,IF(E257=E256,0,IF(C257=$R$2,HLOOKUP($R$2,Ingreso!$AW$10:$BC$260,VLOOKUP(A257,Ingreso!AL:AM,2,FALSE),FALSE)/24,""))),""))</f>
        <v/>
      </c>
      <c r="N257" s="95" t="str">
        <f>IF(IFERROR(IF(C257=C255,0,IF(E257=E256,0,IF(C257=$R$3,HLOOKUP($R$3,Ingreso!$AW$10:$BC$260,VLOOKUP(A257,Ingreso!AL:AM,2,FALSE),FALSE)/24,""))),"")=0,"",IFERROR(IF(C257=C255,0,IF(E257=E256,0,IF(C257=$R$3,HLOOKUP($R$3,Ingreso!$AW$10:$BC$260,VLOOKUP(A257,Ingreso!AL:AM,2,FALSE),FALSE)/24,""))),""))</f>
        <v/>
      </c>
      <c r="O257" s="95" t="str">
        <f>IF(IFERROR(IF(C257=C255,0,IF(E257=E256,0,IF(C257=$R$4,HLOOKUP($R$4,Ingreso!$AW$10:$BC$260,VLOOKUP(A257,Ingreso!AL:AM,2,FALSE),FALSE)/24,""))),"")=0,"",IFERROR(IF(C257=C255,0,IF(E257=E256,0,IF(C257=$R$4,HLOOKUP($R$4,Ingreso!$AW$10:$BC$260,VLOOKUP(A257,Ingreso!AL:AM,2,FALSE),FALSE)/24,""))),""))</f>
        <v/>
      </c>
      <c r="P257" s="90"/>
      <c r="T257" t="s">
        <v>1423</v>
      </c>
      <c r="U257" t="s">
        <v>1338</v>
      </c>
      <c r="V257" t="s">
        <v>1398</v>
      </c>
      <c r="W257" s="82">
        <v>294</v>
      </c>
      <c r="X257" s="71">
        <v>0.41666666666666669</v>
      </c>
      <c r="Y257" s="101">
        <v>0.29252314814814812</v>
      </c>
      <c r="Z257" s="101">
        <v>0.788599537037037</v>
      </c>
      <c r="AA257" s="101">
        <v>0.49607638888888889</v>
      </c>
      <c r="AB257" s="101">
        <v>7.9409722222222201E-2</v>
      </c>
      <c r="AC257" s="105">
        <v>8.3333333333333329E-2</v>
      </c>
      <c r="AD257" s="105">
        <v>0</v>
      </c>
      <c r="AE257" s="93">
        <v>0</v>
      </c>
      <c r="AF257" s="93">
        <v>0</v>
      </c>
      <c r="AG257" s="93">
        <v>0</v>
      </c>
    </row>
    <row r="258" spans="1:33">
      <c r="A258" s="65" t="str">
        <f>IFERROR(VLOOKUP('Informe Kelly'!A251,Base!A:B,2,FALSE),"")</f>
        <v>09.571.017-4</v>
      </c>
      <c r="B258" s="65" t="str">
        <f>IFERROR(VLOOKUP('Informe Kelly'!A251,Base!A:G,7,FALSE),"")</f>
        <v>GALLARDO CASTRO MIGUEL FRANCISCO</v>
      </c>
      <c r="C258" s="69" t="str">
        <f>IF(G258=$C$4,IF('Informe Kelly'!H251='Control informe Kelly'!$A$2,TEXT(((LEFT('Informe Kelly'!E251,2)*1)+1),"dd")&amp;"."&amp;MID('Informe Kelly'!E251,4,2)&amp;"."&amp;RIGHT('Informe Kelly'!E251,4),'Informe Kelly'!E251),'Informe Kelly'!E251)</f>
        <v>14.04.2011</v>
      </c>
      <c r="D258" s="69" t="str">
        <f>IF('Informe Kelly'!E251="","",'Informe Kelly'!E251)</f>
        <v>14.04.2011</v>
      </c>
      <c r="E258" s="72">
        <f t="shared" si="7"/>
        <v>129</v>
      </c>
      <c r="F258" s="72" t="str">
        <f>IFERROR(HLOOKUP(C258,Ingreso!$Q$8:$AD$9,2,FALSE),"v")</f>
        <v>Jueves</v>
      </c>
      <c r="G258" s="65" t="str">
        <f>IFERROR(VLOOKUP(A258,Ingreso!K:P,6,FALSE),"no esta ingresado")</f>
        <v>Turno A</v>
      </c>
      <c r="H258" s="65" t="str">
        <f>IFERROR(IF('Informe Kelly'!H251=$A$2,'Informe Kelly'!F251,""),0)</f>
        <v/>
      </c>
      <c r="I258" s="65">
        <f>IFERROR(IF('Informe Kelly'!H251=$A$3,'Informe Kelly'!F251,""),0)</f>
        <v>0.63834490740740735</v>
      </c>
      <c r="J258" s="65" t="str">
        <f>IF(IFERROR(IF(E258=E257,0,(HLOOKUP(D258,Ingreso!$AN$10:$AT$260,VLOOKUP(A258,Ingreso!$AL$11:$AM$260,2,FALSE)))/24),0)=0,"",IFERROR(IF(E258=E257,0,(HLOOKUP(D258,Ingreso!$AN$10:$AT$260,VLOOKUP(A258,Ingreso!$AL$11:$AM$260,2,FALSE)))/24),0))</f>
        <v/>
      </c>
      <c r="K258" s="65" t="str">
        <f>IF(IFERROR(IF(E258=E257,0,(HLOOKUP(C258,Ingreso!$AW$10:$BC$260,VLOOKUP(A258,Ingreso!$AL$11:$AM$260,2,FALSE)))/24),0)=0,"",IFERROR(IF(E258=E257,0,(HLOOKUP(C258,Ingreso!$AW$10:$BC$260,VLOOKUP(A258,Ingreso!$AL$11:$AM$260,2,FALSE)))/24),0))</f>
        <v/>
      </c>
      <c r="L258" s="63">
        <f t="shared" si="6"/>
        <v>0.3125</v>
      </c>
      <c r="M258" s="63" t="str">
        <f>IF(IFERROR(IF(C258=C256,0,IF(E258=E257,0,IF(C258=$R$2,HLOOKUP($R$2,Ingreso!$AW$10:$BC$260,VLOOKUP(A258,Ingreso!AL:AM,2,FALSE),FALSE)/24,""))),"")=0,"",IFERROR(IF(C258=C256,0,IF(E258=E257,0,IF(C258=$R$2,HLOOKUP($R$2,Ingreso!$AW$10:$BC$260,VLOOKUP(A258,Ingreso!AL:AM,2,FALSE),FALSE)/24,""))),""))</f>
        <v/>
      </c>
      <c r="N258" s="95" t="str">
        <f>IF(IFERROR(IF(C258=C256,0,IF(E258=E257,0,IF(C258=$R$3,HLOOKUP($R$3,Ingreso!$AW$10:$BC$260,VLOOKUP(A258,Ingreso!AL:AM,2,FALSE),FALSE)/24,""))),"")=0,"",IFERROR(IF(C258=C256,0,IF(E258=E257,0,IF(C258=$R$3,HLOOKUP($R$3,Ingreso!$AW$10:$BC$260,VLOOKUP(A258,Ingreso!AL:AM,2,FALSE),FALSE)/24,""))),""))</f>
        <v/>
      </c>
      <c r="O258" s="95" t="str">
        <f>IF(IFERROR(IF(C258=C256,0,IF(E258=E257,0,IF(C258=$R$4,HLOOKUP($R$4,Ingreso!$AW$10:$BC$260,VLOOKUP(A258,Ingreso!AL:AM,2,FALSE),FALSE)/24,""))),"")=0,"",IFERROR(IF(C258=C256,0,IF(E258=E257,0,IF(C258=$R$4,HLOOKUP($R$4,Ingreso!$AW$10:$BC$260,VLOOKUP(A258,Ingreso!AL:AM,2,FALSE),FALSE)/24,""))),""))</f>
        <v/>
      </c>
      <c r="P258" s="90"/>
      <c r="T258" t="s">
        <v>1424</v>
      </c>
      <c r="U258" t="s">
        <v>1338</v>
      </c>
      <c r="V258" t="s">
        <v>1399</v>
      </c>
      <c r="W258" s="82">
        <v>295</v>
      </c>
      <c r="X258" s="71">
        <v>0.41666666666666669</v>
      </c>
      <c r="Y258" s="101">
        <v>0.2945949074074074</v>
      </c>
      <c r="Z258" s="101">
        <v>0.7903472222222222</v>
      </c>
      <c r="AA258" s="101">
        <v>0.4957523148148148</v>
      </c>
      <c r="AB258" s="101">
        <v>7.9085648148148113E-2</v>
      </c>
      <c r="AC258" s="105">
        <v>8.3333333333333329E-2</v>
      </c>
      <c r="AD258" s="105">
        <v>0</v>
      </c>
      <c r="AE258" s="93">
        <v>0</v>
      </c>
      <c r="AF258" s="93">
        <v>0</v>
      </c>
      <c r="AG258" s="93">
        <v>0</v>
      </c>
    </row>
    <row r="259" spans="1:33">
      <c r="A259" s="65" t="str">
        <f>IFERROR(VLOOKUP('Informe Kelly'!A252,Base!A:B,2,FALSE),"")</f>
        <v>09.571.017-4</v>
      </c>
      <c r="B259" s="65" t="str">
        <f>IFERROR(VLOOKUP('Informe Kelly'!A252,Base!A:G,7,FALSE),"")</f>
        <v>GALLARDO CASTRO MIGUEL FRANCISCO</v>
      </c>
      <c r="C259" s="69" t="str">
        <f>IF(G259=$C$4,IF('Informe Kelly'!H252='Control informe Kelly'!$A$2,TEXT(((LEFT('Informe Kelly'!E252,2)*1)+1),"dd")&amp;"."&amp;MID('Informe Kelly'!E252,4,2)&amp;"."&amp;RIGHT('Informe Kelly'!E252,4),'Informe Kelly'!E252),'Informe Kelly'!E252)</f>
        <v>14.04.2011</v>
      </c>
      <c r="D259" s="69" t="str">
        <f>IF('Informe Kelly'!E252="","",'Informe Kelly'!E252)</f>
        <v>14.04.2011</v>
      </c>
      <c r="E259" s="72">
        <f t="shared" si="7"/>
        <v>129</v>
      </c>
      <c r="F259" s="72" t="str">
        <f>IFERROR(HLOOKUP(C259,Ingreso!$Q$8:$AD$9,2,FALSE),"v")</f>
        <v>Jueves</v>
      </c>
      <c r="G259" s="65" t="str">
        <f>IFERROR(VLOOKUP(A259,Ingreso!K:P,6,FALSE),"no esta ingresado")</f>
        <v>Turno A</v>
      </c>
      <c r="H259" s="65">
        <f>IFERROR(IF('Informe Kelly'!H252=$A$2,'Informe Kelly'!F252,""),0)</f>
        <v>0.31605324074074076</v>
      </c>
      <c r="I259" s="65" t="str">
        <f>IFERROR(IF('Informe Kelly'!H252=$A$3,'Informe Kelly'!F252,""),0)</f>
        <v/>
      </c>
      <c r="J259" s="65" t="str">
        <f>IF(IFERROR(IF(E259=E258,0,(HLOOKUP(D259,Ingreso!$AN$10:$AT$260,VLOOKUP(A259,Ingreso!$AL$11:$AM$260,2,FALSE)))/24),0)=0,"",IFERROR(IF(E259=E258,0,(HLOOKUP(D259,Ingreso!$AN$10:$AT$260,VLOOKUP(A259,Ingreso!$AL$11:$AM$260,2,FALSE)))/24),0))</f>
        <v/>
      </c>
      <c r="K259" s="65" t="str">
        <f>IF(IFERROR(IF(E259=E258,0,(HLOOKUP(C259,Ingreso!$AW$10:$BC$260,VLOOKUP(A259,Ingreso!$AL$11:$AM$260,2,FALSE)))/24),0)=0,"",IFERROR(IF(E259=E258,0,(HLOOKUP(C259,Ingreso!$AW$10:$BC$260,VLOOKUP(A259,Ingreso!$AL$11:$AM$260,2,FALSE)))/24),0))</f>
        <v/>
      </c>
      <c r="L259" s="63">
        <f t="shared" si="6"/>
        <v>0</v>
      </c>
      <c r="M259" s="63" t="str">
        <f>IF(IFERROR(IF(C259=C257,0,IF(E259=E258,0,IF(C259=$R$2,HLOOKUP($R$2,Ingreso!$AW$10:$BC$260,VLOOKUP(A259,Ingreso!AL:AM,2,FALSE),FALSE)/24,""))),"")=0,"",IFERROR(IF(C259=C257,0,IF(E259=E258,0,IF(C259=$R$2,HLOOKUP($R$2,Ingreso!$AW$10:$BC$260,VLOOKUP(A259,Ingreso!AL:AM,2,FALSE),FALSE)/24,""))),""))</f>
        <v/>
      </c>
      <c r="N259" s="95" t="str">
        <f>IF(IFERROR(IF(C259=C257,0,IF(E259=E258,0,IF(C259=$R$3,HLOOKUP($R$3,Ingreso!$AW$10:$BC$260,VLOOKUP(A259,Ingreso!AL:AM,2,FALSE),FALSE)/24,""))),"")=0,"",IFERROR(IF(C259=C257,0,IF(E259=E258,0,IF(C259=$R$3,HLOOKUP($R$3,Ingreso!$AW$10:$BC$260,VLOOKUP(A259,Ingreso!AL:AM,2,FALSE),FALSE)/24,""))),""))</f>
        <v/>
      </c>
      <c r="O259" s="95" t="str">
        <f>IF(IFERROR(IF(C259=C257,0,IF(E259=E258,0,IF(C259=$R$4,HLOOKUP($R$4,Ingreso!$AW$10:$BC$260,VLOOKUP(A259,Ingreso!AL:AM,2,FALSE),FALSE)/24,""))),"")=0,"",IFERROR(IF(C259=C257,0,IF(E259=E258,0,IF(C259=$R$4,HLOOKUP($R$4,Ingreso!$AW$10:$BC$260,VLOOKUP(A259,Ingreso!AL:AM,2,FALSE),FALSE)/24,""))),""))</f>
        <v/>
      </c>
      <c r="P259" s="90"/>
      <c r="T259" t="s">
        <v>1425</v>
      </c>
      <c r="U259" t="s">
        <v>1338</v>
      </c>
      <c r="V259" t="s">
        <v>1400</v>
      </c>
      <c r="W259" s="82">
        <v>296</v>
      </c>
      <c r="X259" s="71">
        <v>0.41666666666666669</v>
      </c>
      <c r="Y259" s="101">
        <v>0.29274305555555552</v>
      </c>
      <c r="Z259" s="101">
        <v>0.80184027777777789</v>
      </c>
      <c r="AA259" s="101">
        <v>0.50909722222222231</v>
      </c>
      <c r="AB259" s="101">
        <v>9.2430555555555627E-2</v>
      </c>
      <c r="AC259" s="105">
        <v>8.3333333333333329E-2</v>
      </c>
      <c r="AD259" s="105">
        <v>0</v>
      </c>
      <c r="AE259" s="93">
        <v>0</v>
      </c>
      <c r="AF259" s="93">
        <v>0</v>
      </c>
      <c r="AG259" s="93">
        <v>0</v>
      </c>
    </row>
    <row r="260" spans="1:33">
      <c r="A260" s="65" t="str">
        <f>IFERROR(VLOOKUP('Informe Kelly'!A253,Base!A:B,2,FALSE),"")</f>
        <v>09.571.017-4</v>
      </c>
      <c r="B260" s="65" t="str">
        <f>IFERROR(VLOOKUP('Informe Kelly'!A253,Base!A:G,7,FALSE),"")</f>
        <v>GALLARDO CASTRO MIGUEL FRANCISCO</v>
      </c>
      <c r="C260" s="69" t="str">
        <f>IF(G260=$C$4,IF('Informe Kelly'!H253='Control informe Kelly'!$A$2,TEXT(((LEFT('Informe Kelly'!E253,2)*1)+1),"dd")&amp;"."&amp;MID('Informe Kelly'!E253,4,2)&amp;"."&amp;RIGHT('Informe Kelly'!E253,4),'Informe Kelly'!E253),'Informe Kelly'!E253)</f>
        <v>15.04.2011</v>
      </c>
      <c r="D260" s="69" t="str">
        <f>IF('Informe Kelly'!E253="","",'Informe Kelly'!E253)</f>
        <v>15.04.2011</v>
      </c>
      <c r="E260" s="72">
        <f t="shared" si="7"/>
        <v>130</v>
      </c>
      <c r="F260" s="72" t="str">
        <f>IFERROR(HLOOKUP(C260,Ingreso!$Q$8:$AD$9,2,FALSE),"v")</f>
        <v>Viernes</v>
      </c>
      <c r="G260" s="65" t="str">
        <f>IFERROR(VLOOKUP(A260,Ingreso!K:P,6,FALSE),"no esta ingresado")</f>
        <v>Turno A</v>
      </c>
      <c r="H260" s="65" t="str">
        <f>IFERROR(IF('Informe Kelly'!H253=$A$2,'Informe Kelly'!F253,""),0)</f>
        <v/>
      </c>
      <c r="I260" s="65">
        <f>IFERROR(IF('Informe Kelly'!H253=$A$3,'Informe Kelly'!F253,""),0)</f>
        <v>0.64248842592592592</v>
      </c>
      <c r="J260" s="65" t="str">
        <f>IF(IFERROR(IF(E260=E259,0,(HLOOKUP(D260,Ingreso!$AN$10:$AT$260,VLOOKUP(A260,Ingreso!$AL$11:$AM$260,2,FALSE)))/24),0)=0,"",IFERROR(IF(E260=E259,0,(HLOOKUP(D260,Ingreso!$AN$10:$AT$260,VLOOKUP(A260,Ingreso!$AL$11:$AM$260,2,FALSE)))/24),0))</f>
        <v/>
      </c>
      <c r="K260" s="65" t="str">
        <f>IF(IFERROR(IF(E260=E259,0,(HLOOKUP(C260,Ingreso!$AW$10:$BC$260,VLOOKUP(A260,Ingreso!$AL$11:$AM$260,2,FALSE)))/24),0)=0,"",IFERROR(IF(E260=E259,0,(HLOOKUP(C260,Ingreso!$AW$10:$BC$260,VLOOKUP(A260,Ingreso!$AL$11:$AM$260,2,FALSE)))/24),0))</f>
        <v/>
      </c>
      <c r="L260" s="63">
        <f t="shared" si="6"/>
        <v>0.3125</v>
      </c>
      <c r="M260" s="63" t="str">
        <f>IF(IFERROR(IF(C260=C258,0,IF(E260=E259,0,IF(C260=$R$2,HLOOKUP($R$2,Ingreso!$AW$10:$BC$260,VLOOKUP(A260,Ingreso!AL:AM,2,FALSE),FALSE)/24,""))),"")=0,"",IFERROR(IF(C260=C258,0,IF(E260=E259,0,IF(C260=$R$2,HLOOKUP($R$2,Ingreso!$AW$10:$BC$260,VLOOKUP(A260,Ingreso!AL:AM,2,FALSE),FALSE)/24,""))),""))</f>
        <v/>
      </c>
      <c r="N260" s="95" t="str">
        <f>IF(IFERROR(IF(C260=C258,0,IF(E260=E259,0,IF(C260=$R$3,HLOOKUP($R$3,Ingreso!$AW$10:$BC$260,VLOOKUP(A260,Ingreso!AL:AM,2,FALSE),FALSE)/24,""))),"")=0,"",IFERROR(IF(C260=C258,0,IF(E260=E259,0,IF(C260=$R$3,HLOOKUP($R$3,Ingreso!$AW$10:$BC$260,VLOOKUP(A260,Ingreso!AL:AM,2,FALSE),FALSE)/24,""))),""))</f>
        <v/>
      </c>
      <c r="O260" s="95" t="str">
        <f>IF(IFERROR(IF(C260=C258,0,IF(E260=E259,0,IF(C260=$R$4,HLOOKUP($R$4,Ingreso!$AW$10:$BC$260,VLOOKUP(A260,Ingreso!AL:AM,2,FALSE),FALSE)/24,""))),"")=0,"",IFERROR(IF(C260=C258,0,IF(E260=E259,0,IF(C260=$R$4,HLOOKUP($R$4,Ingreso!$AW$10:$BC$260,VLOOKUP(A260,Ingreso!AL:AM,2,FALSE),FALSE)/24,""))),""))</f>
        <v/>
      </c>
      <c r="P260" s="90"/>
      <c r="T260" t="s">
        <v>1426</v>
      </c>
      <c r="U260" t="s">
        <v>1338</v>
      </c>
      <c r="V260" t="s">
        <v>1401</v>
      </c>
      <c r="W260" s="82">
        <v>297</v>
      </c>
      <c r="X260" s="71">
        <v>0.41666666666666669</v>
      </c>
      <c r="Y260" s="101">
        <v>0</v>
      </c>
      <c r="Z260" s="101">
        <v>1.0602546296296296</v>
      </c>
      <c r="AA260" s="101">
        <v>1.0602546296296296</v>
      </c>
      <c r="AB260" s="101">
        <v>0.64358796296296283</v>
      </c>
      <c r="AC260" s="105">
        <v>4.1666666666666664E-2</v>
      </c>
      <c r="AD260" s="105">
        <v>0</v>
      </c>
      <c r="AE260" s="93">
        <v>0</v>
      </c>
      <c r="AF260" s="93">
        <v>0</v>
      </c>
      <c r="AG260" s="93">
        <v>0</v>
      </c>
    </row>
    <row r="261" spans="1:33">
      <c r="A261" s="65" t="str">
        <f>IFERROR(VLOOKUP('Informe Kelly'!A254,Base!A:B,2,FALSE),"")</f>
        <v>09.571.017-4</v>
      </c>
      <c r="B261" s="65" t="str">
        <f>IFERROR(VLOOKUP('Informe Kelly'!A254,Base!A:G,7,FALSE),"")</f>
        <v>GALLARDO CASTRO MIGUEL FRANCISCO</v>
      </c>
      <c r="C261" s="69" t="str">
        <f>IF(G261=$C$4,IF('Informe Kelly'!H254='Control informe Kelly'!$A$2,TEXT(((LEFT('Informe Kelly'!E254,2)*1)+1),"dd")&amp;"."&amp;MID('Informe Kelly'!E254,4,2)&amp;"."&amp;RIGHT('Informe Kelly'!E254,4),'Informe Kelly'!E254),'Informe Kelly'!E254)</f>
        <v>15.04.2011</v>
      </c>
      <c r="D261" s="69" t="str">
        <f>IF('Informe Kelly'!E254="","",'Informe Kelly'!E254)</f>
        <v>15.04.2011</v>
      </c>
      <c r="E261" s="72">
        <f t="shared" si="7"/>
        <v>130</v>
      </c>
      <c r="F261" s="72" t="str">
        <f>IFERROR(HLOOKUP(C261,Ingreso!$Q$8:$AD$9,2,FALSE),"v")</f>
        <v>Viernes</v>
      </c>
      <c r="G261" s="65" t="str">
        <f>IFERROR(VLOOKUP(A261,Ingreso!K:P,6,FALSE),"no esta ingresado")</f>
        <v>Turno A</v>
      </c>
      <c r="H261" s="65">
        <f>IFERROR(IF('Informe Kelly'!H254=$A$2,'Informe Kelly'!F254,""),0)</f>
        <v>0.30523148148148149</v>
      </c>
      <c r="I261" s="65" t="str">
        <f>IFERROR(IF('Informe Kelly'!H254=$A$3,'Informe Kelly'!F254,""),0)</f>
        <v/>
      </c>
      <c r="J261" s="65" t="str">
        <f>IF(IFERROR(IF(E261=E260,0,(HLOOKUP(D261,Ingreso!$AN$10:$AT$260,VLOOKUP(A261,Ingreso!$AL$11:$AM$260,2,FALSE)))/24),0)=0,"",IFERROR(IF(E261=E260,0,(HLOOKUP(D261,Ingreso!$AN$10:$AT$260,VLOOKUP(A261,Ingreso!$AL$11:$AM$260,2,FALSE)))/24),0))</f>
        <v/>
      </c>
      <c r="K261" s="65" t="str">
        <f>IF(IFERROR(IF(E261=E260,0,(HLOOKUP(C261,Ingreso!$AW$10:$BC$260,VLOOKUP(A261,Ingreso!$AL$11:$AM$260,2,FALSE)))/24),0)=0,"",IFERROR(IF(E261=E260,0,(HLOOKUP(C261,Ingreso!$AW$10:$BC$260,VLOOKUP(A261,Ingreso!$AL$11:$AM$260,2,FALSE)))/24),0))</f>
        <v/>
      </c>
      <c r="L261" s="63">
        <f t="shared" si="6"/>
        <v>0</v>
      </c>
      <c r="M261" s="63" t="str">
        <f>IF(IFERROR(IF(C261=C259,0,IF(E261=E260,0,IF(C261=$R$2,HLOOKUP($R$2,Ingreso!$AW$10:$BC$260,VLOOKUP(A261,Ingreso!AL:AM,2,FALSE),FALSE)/24,""))),"")=0,"",IFERROR(IF(C261=C259,0,IF(E261=E260,0,IF(C261=$R$2,HLOOKUP($R$2,Ingreso!$AW$10:$BC$260,VLOOKUP(A261,Ingreso!AL:AM,2,FALSE),FALSE)/24,""))),""))</f>
        <v/>
      </c>
      <c r="N261" s="95" t="str">
        <f>IF(IFERROR(IF(C261=C259,0,IF(E261=E260,0,IF(C261=$R$3,HLOOKUP($R$3,Ingreso!$AW$10:$BC$260,VLOOKUP(A261,Ingreso!AL:AM,2,FALSE),FALSE)/24,""))),"")=0,"",IFERROR(IF(C261=C259,0,IF(E261=E260,0,IF(C261=$R$3,HLOOKUP($R$3,Ingreso!$AW$10:$BC$260,VLOOKUP(A261,Ingreso!AL:AM,2,FALSE),FALSE)/24,""))),""))</f>
        <v/>
      </c>
      <c r="O261" s="95" t="str">
        <f>IF(IFERROR(IF(C261=C259,0,IF(E261=E260,0,IF(C261=$R$4,HLOOKUP($R$4,Ingreso!$AW$10:$BC$260,VLOOKUP(A261,Ingreso!AL:AM,2,FALSE),FALSE)/24,""))),"")=0,"",IFERROR(IF(C261=C259,0,IF(E261=E260,0,IF(C261=$R$4,HLOOKUP($R$4,Ingreso!$AW$10:$BC$260,VLOOKUP(A261,Ingreso!AL:AM,2,FALSE),FALSE)/24,""))),""))</f>
        <v/>
      </c>
      <c r="P261" s="90"/>
      <c r="R261" t="s">
        <v>974</v>
      </c>
      <c r="S261" t="s">
        <v>978</v>
      </c>
      <c r="T261" t="s">
        <v>1420</v>
      </c>
      <c r="U261" t="s">
        <v>1338</v>
      </c>
      <c r="V261" t="s">
        <v>1397</v>
      </c>
      <c r="W261" s="82">
        <v>304</v>
      </c>
      <c r="X261" s="71">
        <v>0.41666666666666669</v>
      </c>
      <c r="Y261" s="101">
        <v>0.33761574074074074</v>
      </c>
      <c r="Z261" s="101">
        <v>0.72804398148148142</v>
      </c>
      <c r="AA261" s="101">
        <v>0.39042824074074067</v>
      </c>
      <c r="AB261" s="101">
        <v>-2.6238425925926012E-2</v>
      </c>
      <c r="AC261" s="105">
        <v>0</v>
      </c>
      <c r="AD261" s="105">
        <v>0</v>
      </c>
      <c r="AE261" s="93">
        <v>0</v>
      </c>
      <c r="AF261" s="93">
        <v>0</v>
      </c>
      <c r="AG261" s="93">
        <v>0</v>
      </c>
    </row>
    <row r="262" spans="1:33">
      <c r="A262" s="65" t="str">
        <f>IFERROR(VLOOKUP('Informe Kelly'!A255,Base!A:B,2,FALSE),"")</f>
        <v>09.571.017-4</v>
      </c>
      <c r="B262" s="65" t="str">
        <f>IFERROR(VLOOKUP('Informe Kelly'!A255,Base!A:G,7,FALSE),"")</f>
        <v>GALLARDO CASTRO MIGUEL FRANCISCO</v>
      </c>
      <c r="C262" s="69" t="str">
        <f>IF(G262=$C$4,IF('Informe Kelly'!H255='Control informe Kelly'!$A$2,TEXT(((LEFT('Informe Kelly'!E255,2)*1)+1),"dd")&amp;"."&amp;MID('Informe Kelly'!E255,4,2)&amp;"."&amp;RIGHT('Informe Kelly'!E255,4),'Informe Kelly'!E255),'Informe Kelly'!E255)</f>
        <v>16.04.2011</v>
      </c>
      <c r="D262" s="69" t="str">
        <f>IF('Informe Kelly'!E255="","",'Informe Kelly'!E255)</f>
        <v>16.04.2011</v>
      </c>
      <c r="E262" s="72">
        <f t="shared" si="7"/>
        <v>131</v>
      </c>
      <c r="F262" s="72" t="str">
        <f>IFERROR(HLOOKUP(C262,Ingreso!$Q$8:$AD$9,2,FALSE),"v")</f>
        <v>Sábado</v>
      </c>
      <c r="G262" s="65" t="str">
        <f>IFERROR(VLOOKUP(A262,Ingreso!K:P,6,FALSE),"no esta ingresado")</f>
        <v>Turno A</v>
      </c>
      <c r="H262" s="65" t="str">
        <f>IFERROR(IF('Informe Kelly'!H255=$A$2,'Informe Kelly'!F255,""),0)</f>
        <v/>
      </c>
      <c r="I262" s="65">
        <f>IFERROR(IF('Informe Kelly'!H255=$A$3,'Informe Kelly'!F255,""),0)</f>
        <v>0.64826388888888886</v>
      </c>
      <c r="J262" s="65" t="str">
        <f>IF(IFERROR(IF(E262=E261,0,(HLOOKUP(D262,Ingreso!$AN$10:$AT$260,VLOOKUP(A262,Ingreso!$AL$11:$AM$260,2,FALSE)))/24),0)=0,"",IFERROR(IF(E262=E261,0,(HLOOKUP(D262,Ingreso!$AN$10:$AT$260,VLOOKUP(A262,Ingreso!$AL$11:$AM$260,2,FALSE)))/24),0))</f>
        <v/>
      </c>
      <c r="K262" s="65" t="str">
        <f>IF(IFERROR(IF(E262=E261,0,(HLOOKUP(C262,Ingreso!$AW$10:$BC$260,VLOOKUP(A262,Ingreso!$AL$11:$AM$260,2,FALSE)))/24),0)=0,"",IFERROR(IF(E262=E261,0,(HLOOKUP(C262,Ingreso!$AW$10:$BC$260,VLOOKUP(A262,Ingreso!$AL$11:$AM$260,2,FALSE)))/24),0))</f>
        <v/>
      </c>
      <c r="L262" s="63">
        <f t="shared" si="6"/>
        <v>0.3125</v>
      </c>
      <c r="M262" s="63" t="str">
        <f>IF(IFERROR(IF(C262=C260,0,IF(E262=E261,0,IF(C262=$R$2,HLOOKUP($R$2,Ingreso!$AW$10:$BC$260,VLOOKUP(A262,Ingreso!AL:AM,2,FALSE),FALSE)/24,""))),"")=0,"",IFERROR(IF(C262=C260,0,IF(E262=E261,0,IF(C262=$R$2,HLOOKUP($R$2,Ingreso!$AW$10:$BC$260,VLOOKUP(A262,Ingreso!AL:AM,2,FALSE),FALSE)/24,""))),""))</f>
        <v/>
      </c>
      <c r="N262" s="95" t="str">
        <f>IF(IFERROR(IF(C262=C260,0,IF(E262=E261,0,IF(C262=$R$3,HLOOKUP($R$3,Ingreso!$AW$10:$BC$260,VLOOKUP(A262,Ingreso!AL:AM,2,FALSE),FALSE)/24,""))),"")=0,"",IFERROR(IF(C262=C260,0,IF(E262=E261,0,IF(C262=$R$3,HLOOKUP($R$3,Ingreso!$AW$10:$BC$260,VLOOKUP(A262,Ingreso!AL:AM,2,FALSE),FALSE)/24,""))),""))</f>
        <v/>
      </c>
      <c r="O262" s="95" t="str">
        <f>IF(IFERROR(IF(C262=C260,0,IF(E262=E261,0,IF(C262=$R$4,HLOOKUP($R$4,Ingreso!$AW$10:$BC$260,VLOOKUP(A262,Ingreso!AL:AM,2,FALSE),FALSE)/24,""))),"")=0,"",IFERROR(IF(C262=C260,0,IF(E262=E261,0,IF(C262=$R$4,HLOOKUP($R$4,Ingreso!$AW$10:$BC$260,VLOOKUP(A262,Ingreso!AL:AM,2,FALSE),FALSE)/24,""))),""))</f>
        <v/>
      </c>
      <c r="P262" s="90"/>
      <c r="T262" t="s">
        <v>1423</v>
      </c>
      <c r="U262" t="s">
        <v>1338</v>
      </c>
      <c r="V262" t="s">
        <v>1398</v>
      </c>
      <c r="W262" s="82">
        <v>305</v>
      </c>
      <c r="X262" s="71">
        <v>0.41666666666666669</v>
      </c>
      <c r="Y262" s="101">
        <v>0.29636574074074074</v>
      </c>
      <c r="Z262" s="101">
        <v>0.47752314814814811</v>
      </c>
      <c r="AA262" s="101">
        <v>0.18115740740740738</v>
      </c>
      <c r="AB262" s="101">
        <v>-0.23550925925925931</v>
      </c>
      <c r="AC262" s="105">
        <v>0</v>
      </c>
      <c r="AD262" s="105">
        <v>0</v>
      </c>
      <c r="AE262" s="93">
        <v>0</v>
      </c>
      <c r="AF262" s="93">
        <v>0</v>
      </c>
      <c r="AG262" s="93">
        <v>0</v>
      </c>
    </row>
    <row r="263" spans="1:33">
      <c r="A263" s="65" t="str">
        <f>IFERROR(VLOOKUP('Informe Kelly'!A256,Base!A:B,2,FALSE),"")</f>
        <v>09.571.017-4</v>
      </c>
      <c r="B263" s="65" t="str">
        <f>IFERROR(VLOOKUP('Informe Kelly'!A256,Base!A:G,7,FALSE),"")</f>
        <v>GALLARDO CASTRO MIGUEL FRANCISCO</v>
      </c>
      <c r="C263" s="69" t="str">
        <f>IF(G263=$C$4,IF('Informe Kelly'!H256='Control informe Kelly'!$A$2,TEXT(((LEFT('Informe Kelly'!E256,2)*1)+1),"dd")&amp;"."&amp;MID('Informe Kelly'!E256,4,2)&amp;"."&amp;RIGHT('Informe Kelly'!E256,4),'Informe Kelly'!E256),'Informe Kelly'!E256)</f>
        <v>16.04.2011</v>
      </c>
      <c r="D263" s="69" t="str">
        <f>IF('Informe Kelly'!E256="","",'Informe Kelly'!E256)</f>
        <v>16.04.2011</v>
      </c>
      <c r="E263" s="72">
        <f t="shared" si="7"/>
        <v>131</v>
      </c>
      <c r="F263" s="72" t="str">
        <f>IFERROR(HLOOKUP(C263,Ingreso!$Q$8:$AD$9,2,FALSE),"v")</f>
        <v>Sábado</v>
      </c>
      <c r="G263" s="65" t="str">
        <f>IFERROR(VLOOKUP(A263,Ingreso!K:P,6,FALSE),"no esta ingresado")</f>
        <v>Turno A</v>
      </c>
      <c r="H263" s="65">
        <f>IFERROR(IF('Informe Kelly'!H256=$A$2,'Informe Kelly'!F256,""),0)</f>
        <v>0.35094907407407411</v>
      </c>
      <c r="I263" s="65" t="str">
        <f>IFERROR(IF('Informe Kelly'!H256=$A$3,'Informe Kelly'!F256,""),0)</f>
        <v/>
      </c>
      <c r="J263" s="65" t="str">
        <f>IF(IFERROR(IF(E263=E262,0,(HLOOKUP(D263,Ingreso!$AN$10:$AT$260,VLOOKUP(A263,Ingreso!$AL$11:$AM$260,2,FALSE)))/24),0)=0,"",IFERROR(IF(E263=E262,0,(HLOOKUP(D263,Ingreso!$AN$10:$AT$260,VLOOKUP(A263,Ingreso!$AL$11:$AM$260,2,FALSE)))/24),0))</f>
        <v/>
      </c>
      <c r="K263" s="65" t="str">
        <f>IF(IFERROR(IF(E263=E262,0,(HLOOKUP(C263,Ingreso!$AW$10:$BC$260,VLOOKUP(A263,Ingreso!$AL$11:$AM$260,2,FALSE)))/24),0)=0,"",IFERROR(IF(E263=E262,0,(HLOOKUP(C263,Ingreso!$AW$10:$BC$260,VLOOKUP(A263,Ingreso!$AL$11:$AM$260,2,FALSE)))/24),0))</f>
        <v/>
      </c>
      <c r="L263" s="63">
        <f t="shared" si="6"/>
        <v>0</v>
      </c>
      <c r="M263" s="63" t="str">
        <f>IF(IFERROR(IF(C263=C261,0,IF(E263=E262,0,IF(C263=$R$2,HLOOKUP($R$2,Ingreso!$AW$10:$BC$260,VLOOKUP(A263,Ingreso!AL:AM,2,FALSE),FALSE)/24,""))),"")=0,"",IFERROR(IF(C263=C261,0,IF(E263=E262,0,IF(C263=$R$2,HLOOKUP($R$2,Ingreso!$AW$10:$BC$260,VLOOKUP(A263,Ingreso!AL:AM,2,FALSE),FALSE)/24,""))),""))</f>
        <v/>
      </c>
      <c r="N263" s="95" t="str">
        <f>IF(IFERROR(IF(C263=C261,0,IF(E263=E262,0,IF(C263=$R$3,HLOOKUP($R$3,Ingreso!$AW$10:$BC$260,VLOOKUP(A263,Ingreso!AL:AM,2,FALSE),FALSE)/24,""))),"")=0,"",IFERROR(IF(C263=C261,0,IF(E263=E262,0,IF(C263=$R$3,HLOOKUP($R$3,Ingreso!$AW$10:$BC$260,VLOOKUP(A263,Ingreso!AL:AM,2,FALSE),FALSE)/24,""))),""))</f>
        <v/>
      </c>
      <c r="O263" s="95" t="str">
        <f>IF(IFERROR(IF(C263=C261,0,IF(E263=E262,0,IF(C263=$R$4,HLOOKUP($R$4,Ingreso!$AW$10:$BC$260,VLOOKUP(A263,Ingreso!AL:AM,2,FALSE),FALSE)/24,""))),"")=0,"",IFERROR(IF(C263=C261,0,IF(E263=E262,0,IF(C263=$R$4,HLOOKUP($R$4,Ingreso!$AW$10:$BC$260,VLOOKUP(A263,Ingreso!AL:AM,2,FALSE),FALSE)/24,""))),""))</f>
        <v/>
      </c>
      <c r="P263" s="90"/>
      <c r="T263" t="s">
        <v>1424</v>
      </c>
      <c r="U263" t="s">
        <v>1338</v>
      </c>
      <c r="V263" t="s">
        <v>1399</v>
      </c>
      <c r="W263" s="82">
        <v>306</v>
      </c>
      <c r="X263" s="71">
        <v>0.41666666666666669</v>
      </c>
      <c r="Y263" s="101">
        <v>0.34084490740740742</v>
      </c>
      <c r="Z263" s="101">
        <v>0.73534722222222226</v>
      </c>
      <c r="AA263" s="101">
        <v>0.39450231481481485</v>
      </c>
      <c r="AB263" s="101">
        <v>-2.2164351851851838E-2</v>
      </c>
      <c r="AC263" s="105">
        <v>0</v>
      </c>
      <c r="AD263" s="105">
        <v>0</v>
      </c>
      <c r="AE263" s="93">
        <v>0</v>
      </c>
      <c r="AF263" s="93">
        <v>0</v>
      </c>
      <c r="AG263" s="93">
        <v>0</v>
      </c>
    </row>
    <row r="264" spans="1:33">
      <c r="A264" s="65" t="str">
        <f>IFERROR(VLOOKUP('Informe Kelly'!A257,Base!A:B,2,FALSE),"")</f>
        <v>09.741.880-2</v>
      </c>
      <c r="B264" s="65" t="str">
        <f>IFERROR(VLOOKUP('Informe Kelly'!A257,Base!A:G,7,FALSE),"")</f>
        <v>REINOSO SALAS LAURA CECILIA</v>
      </c>
      <c r="C264" s="69" t="str">
        <f>IF(G264=$C$4,IF('Informe Kelly'!H257='Control informe Kelly'!$A$2,TEXT(((LEFT('Informe Kelly'!E257,2)*1)+1),"dd")&amp;"."&amp;MID('Informe Kelly'!E257,4,2)&amp;"."&amp;RIGHT('Informe Kelly'!E257,4),'Informe Kelly'!E257),'Informe Kelly'!E257)</f>
        <v>11.04.2011</v>
      </c>
      <c r="D264" s="69" t="str">
        <f>IF('Informe Kelly'!E257="","",'Informe Kelly'!E257)</f>
        <v>11.04.2011</v>
      </c>
      <c r="E264" s="72">
        <f t="shared" si="7"/>
        <v>132</v>
      </c>
      <c r="F264" s="72" t="str">
        <f>IFERROR(HLOOKUP(C264,Ingreso!$Q$8:$AD$9,2,FALSE),"v")</f>
        <v>Lunes</v>
      </c>
      <c r="G264" s="65" t="str">
        <f>IFERROR(VLOOKUP(A264,Ingreso!K:P,6,FALSE),"no esta ingresado")</f>
        <v>Turno A</v>
      </c>
      <c r="H264" s="65" t="str">
        <f>IFERROR(IF('Informe Kelly'!H257=$A$2,'Informe Kelly'!F257,""),0)</f>
        <v/>
      </c>
      <c r="I264" s="65">
        <f>IFERROR(IF('Informe Kelly'!H257=$A$3,'Informe Kelly'!F257,""),0)</f>
        <v>0.63622685185185179</v>
      </c>
      <c r="J264" s="65" t="str">
        <f>IF(IFERROR(IF(E264=E263,0,(HLOOKUP(D264,Ingreso!$AN$10:$AT$260,VLOOKUP(A264,Ingreso!$AL$11:$AM$260,2,FALSE)))/24),0)=0,"",IFERROR(IF(E264=E263,0,(HLOOKUP(D264,Ingreso!$AN$10:$AT$260,VLOOKUP(A264,Ingreso!$AL$11:$AM$260,2,FALSE)))/24),0))</f>
        <v/>
      </c>
      <c r="K264" s="65" t="str">
        <f>IF(IFERROR(IF(E264=E263,0,(HLOOKUP(C264,Ingreso!$AW$10:$BC$260,VLOOKUP(A264,Ingreso!$AL$11:$AM$260,2,FALSE)))/24),0)=0,"",IFERROR(IF(E264=E263,0,(HLOOKUP(C264,Ingreso!$AW$10:$BC$260,VLOOKUP(A264,Ingreso!$AL$11:$AM$260,2,FALSE)))/24),0))</f>
        <v/>
      </c>
      <c r="L264" s="63">
        <f t="shared" si="6"/>
        <v>0.3125</v>
      </c>
      <c r="M264" s="63" t="str">
        <f>IF(IFERROR(IF(C264=C262,0,IF(E264=E263,0,IF(C264=$R$2,HLOOKUP($R$2,Ingreso!$AW$10:$BC$260,VLOOKUP(A264,Ingreso!AL:AM,2,FALSE),FALSE)/24,""))),"")=0,"",IFERROR(IF(C264=C262,0,IF(E264=E263,0,IF(C264=$R$2,HLOOKUP($R$2,Ingreso!$AW$10:$BC$260,VLOOKUP(A264,Ingreso!AL:AM,2,FALSE),FALSE)/24,""))),""))</f>
        <v/>
      </c>
      <c r="N264" s="95" t="str">
        <f>IF(IFERROR(IF(C264=C262,0,IF(E264=E263,0,IF(C264=$R$3,HLOOKUP($R$3,Ingreso!$AW$10:$BC$260,VLOOKUP(A264,Ingreso!AL:AM,2,FALSE),FALSE)/24,""))),"")=0,"",IFERROR(IF(C264=C262,0,IF(E264=E263,0,IF(C264=$R$3,HLOOKUP($R$3,Ingreso!$AW$10:$BC$260,VLOOKUP(A264,Ingreso!AL:AM,2,FALSE),FALSE)/24,""))),""))</f>
        <v/>
      </c>
      <c r="O264" s="95" t="str">
        <f>IF(IFERROR(IF(C264=C262,0,IF(E264=E263,0,IF(C264=$R$4,HLOOKUP($R$4,Ingreso!$AW$10:$BC$260,VLOOKUP(A264,Ingreso!AL:AM,2,FALSE),FALSE)/24,""))),"")=0,"",IFERROR(IF(C264=C262,0,IF(E264=E263,0,IF(C264=$R$4,HLOOKUP($R$4,Ingreso!$AW$10:$BC$260,VLOOKUP(A264,Ingreso!AL:AM,2,FALSE),FALSE)/24,""))),""))</f>
        <v/>
      </c>
      <c r="P264" s="90"/>
      <c r="T264" t="s">
        <v>1425</v>
      </c>
      <c r="U264" t="s">
        <v>1338</v>
      </c>
      <c r="V264" t="s">
        <v>1400</v>
      </c>
      <c r="W264" s="82">
        <v>307</v>
      </c>
      <c r="X264" s="71">
        <v>0.41666666666666669</v>
      </c>
      <c r="Y264" s="101">
        <v>0.29609953703703701</v>
      </c>
      <c r="Z264" s="101">
        <v>0.7318634259259259</v>
      </c>
      <c r="AA264" s="101">
        <v>0.4357638888888889</v>
      </c>
      <c r="AB264" s="101">
        <v>1.909722222222221E-2</v>
      </c>
      <c r="AC264" s="105">
        <v>0</v>
      </c>
      <c r="AD264" s="105">
        <v>0</v>
      </c>
      <c r="AE264" s="93">
        <v>0</v>
      </c>
      <c r="AF264" s="93">
        <v>0</v>
      </c>
      <c r="AG264" s="93">
        <v>0</v>
      </c>
    </row>
    <row r="265" spans="1:33">
      <c r="A265" s="65" t="str">
        <f>IFERROR(VLOOKUP('Informe Kelly'!A258,Base!A:B,2,FALSE),"")</f>
        <v>09.741.880-2</v>
      </c>
      <c r="B265" s="65" t="str">
        <f>IFERROR(VLOOKUP('Informe Kelly'!A258,Base!A:G,7,FALSE),"")</f>
        <v>REINOSO SALAS LAURA CECILIA</v>
      </c>
      <c r="C265" s="69" t="str">
        <f>IF(G265=$C$4,IF('Informe Kelly'!H258='Control informe Kelly'!$A$2,TEXT(((LEFT('Informe Kelly'!E258,2)*1)+1),"dd")&amp;"."&amp;MID('Informe Kelly'!E258,4,2)&amp;"."&amp;RIGHT('Informe Kelly'!E258,4),'Informe Kelly'!E258),'Informe Kelly'!E258)</f>
        <v>11.04.2011</v>
      </c>
      <c r="D265" s="69" t="str">
        <f>IF('Informe Kelly'!E258="","",'Informe Kelly'!E258)</f>
        <v>11.04.2011</v>
      </c>
      <c r="E265" s="72">
        <f t="shared" si="7"/>
        <v>132</v>
      </c>
      <c r="F265" s="72" t="str">
        <f>IFERROR(HLOOKUP(C265,Ingreso!$Q$8:$AD$9,2,FALSE),"v")</f>
        <v>Lunes</v>
      </c>
      <c r="G265" s="65" t="str">
        <f>IFERROR(VLOOKUP(A265,Ingreso!K:P,6,FALSE),"no esta ingresado")</f>
        <v>Turno A</v>
      </c>
      <c r="H265" s="65">
        <f>IFERROR(IF('Informe Kelly'!H258=$A$2,'Informe Kelly'!F258,""),0)</f>
        <v>0.31662037037037033</v>
      </c>
      <c r="I265" s="65" t="str">
        <f>IFERROR(IF('Informe Kelly'!H258=$A$3,'Informe Kelly'!F258,""),0)</f>
        <v/>
      </c>
      <c r="J265" s="65" t="str">
        <f>IF(IFERROR(IF(E265=E264,0,(HLOOKUP(D265,Ingreso!$AN$10:$AT$260,VLOOKUP(A265,Ingreso!$AL$11:$AM$260,2,FALSE)))/24),0)=0,"",IFERROR(IF(E265=E264,0,(HLOOKUP(D265,Ingreso!$AN$10:$AT$260,VLOOKUP(A265,Ingreso!$AL$11:$AM$260,2,FALSE)))/24),0))</f>
        <v/>
      </c>
      <c r="K265" s="65" t="str">
        <f>IF(IFERROR(IF(E265=E264,0,(HLOOKUP(C265,Ingreso!$AW$10:$BC$260,VLOOKUP(A265,Ingreso!$AL$11:$AM$260,2,FALSE)))/24),0)=0,"",IFERROR(IF(E265=E264,0,(HLOOKUP(C265,Ingreso!$AW$10:$BC$260,VLOOKUP(A265,Ingreso!$AL$11:$AM$260,2,FALSE)))/24),0))</f>
        <v/>
      </c>
      <c r="L265" s="63">
        <f t="shared" ref="L265:L328" si="8">IFERROR(IF(C265=C263,0,IF(E265=E264,0,(VLOOKUP(G265,$C$2:$D$5,2,FALSE)))),"")</f>
        <v>0</v>
      </c>
      <c r="M265" s="63" t="str">
        <f>IF(IFERROR(IF(C265=C263,0,IF(E265=E264,0,IF(C265=$R$2,HLOOKUP($R$2,Ingreso!$AW$10:$BC$260,VLOOKUP(A265,Ingreso!AL:AM,2,FALSE),FALSE)/24,""))),"")=0,"",IFERROR(IF(C265=C263,0,IF(E265=E264,0,IF(C265=$R$2,HLOOKUP($R$2,Ingreso!$AW$10:$BC$260,VLOOKUP(A265,Ingreso!AL:AM,2,FALSE),FALSE)/24,""))),""))</f>
        <v/>
      </c>
      <c r="N265" s="95" t="str">
        <f>IF(IFERROR(IF(C265=C263,0,IF(E265=E264,0,IF(C265=$R$3,HLOOKUP($R$3,Ingreso!$AW$10:$BC$260,VLOOKUP(A265,Ingreso!AL:AM,2,FALSE),FALSE)/24,""))),"")=0,"",IFERROR(IF(C265=C263,0,IF(E265=E264,0,IF(C265=$R$3,HLOOKUP($R$3,Ingreso!$AW$10:$BC$260,VLOOKUP(A265,Ingreso!AL:AM,2,FALSE),FALSE)/24,""))),""))</f>
        <v/>
      </c>
      <c r="O265" s="95" t="str">
        <f>IF(IFERROR(IF(C265=C263,0,IF(E265=E264,0,IF(C265=$R$4,HLOOKUP($R$4,Ingreso!$AW$10:$BC$260,VLOOKUP(A265,Ingreso!AL:AM,2,FALSE),FALSE)/24,""))),"")=0,"",IFERROR(IF(C265=C263,0,IF(E265=E264,0,IF(C265=$R$4,HLOOKUP($R$4,Ingreso!$AW$10:$BC$260,VLOOKUP(A265,Ingreso!AL:AM,2,FALSE),FALSE)/24,""))),""))</f>
        <v/>
      </c>
      <c r="P265" s="90"/>
      <c r="T265" t="s">
        <v>1426</v>
      </c>
      <c r="U265" t="s">
        <v>1338</v>
      </c>
      <c r="V265" t="s">
        <v>1401</v>
      </c>
      <c r="W265" s="82">
        <v>308</v>
      </c>
      <c r="X265" s="71">
        <v>0.41666666666666669</v>
      </c>
      <c r="Y265" s="101">
        <v>0.29627314814814815</v>
      </c>
      <c r="Z265" s="101">
        <v>0.72800925925925919</v>
      </c>
      <c r="AA265" s="101">
        <v>0.43173611111111104</v>
      </c>
      <c r="AB265" s="101">
        <v>1.5069444444444358E-2</v>
      </c>
      <c r="AC265" s="105">
        <v>0</v>
      </c>
      <c r="AD265" s="105">
        <v>0</v>
      </c>
      <c r="AE265" s="93">
        <v>0</v>
      </c>
      <c r="AF265" s="93">
        <v>0</v>
      </c>
      <c r="AG265" s="93">
        <v>0</v>
      </c>
    </row>
    <row r="266" spans="1:33">
      <c r="A266" s="65" t="str">
        <f>IFERROR(VLOOKUP('Informe Kelly'!A259,Base!A:B,2,FALSE),"")</f>
        <v>09.741.880-2</v>
      </c>
      <c r="B266" s="65" t="str">
        <f>IFERROR(VLOOKUP('Informe Kelly'!A259,Base!A:G,7,FALSE),"")</f>
        <v>REINOSO SALAS LAURA CECILIA</v>
      </c>
      <c r="C266" s="69" t="str">
        <f>IF(G266=$C$4,IF('Informe Kelly'!H259='Control informe Kelly'!$A$2,TEXT(((LEFT('Informe Kelly'!E259,2)*1)+1),"dd")&amp;"."&amp;MID('Informe Kelly'!E259,4,2)&amp;"."&amp;RIGHT('Informe Kelly'!E259,4),'Informe Kelly'!E259),'Informe Kelly'!E259)</f>
        <v>12.04.2011</v>
      </c>
      <c r="D266" s="69" t="str">
        <f>IF('Informe Kelly'!E259="","",'Informe Kelly'!E259)</f>
        <v>12.04.2011</v>
      </c>
      <c r="E266" s="72">
        <f t="shared" ref="E266:E329" si="9">IF(C265=C266,IF(C266=C263,E265,IF(C266=C264,E265+1,E265)),E265+1)</f>
        <v>133</v>
      </c>
      <c r="F266" s="72" t="str">
        <f>IFERROR(HLOOKUP(C266,Ingreso!$Q$8:$AD$9,2,FALSE),"v")</f>
        <v>Martes</v>
      </c>
      <c r="G266" s="65" t="str">
        <f>IFERROR(VLOOKUP(A266,Ingreso!K:P,6,FALSE),"no esta ingresado")</f>
        <v>Turno A</v>
      </c>
      <c r="H266" s="65" t="str">
        <f>IFERROR(IF('Informe Kelly'!H259=$A$2,'Informe Kelly'!F259,""),0)</f>
        <v/>
      </c>
      <c r="I266" s="65">
        <f>IFERROR(IF('Informe Kelly'!H259=$A$3,'Informe Kelly'!F259,""),0)</f>
        <v>0.63436342592592598</v>
      </c>
      <c r="J266" s="65" t="str">
        <f>IF(IFERROR(IF(E266=E265,0,(HLOOKUP(D266,Ingreso!$AN$10:$AT$260,VLOOKUP(A266,Ingreso!$AL$11:$AM$260,2,FALSE)))/24),0)=0,"",IFERROR(IF(E266=E265,0,(HLOOKUP(D266,Ingreso!$AN$10:$AT$260,VLOOKUP(A266,Ingreso!$AL$11:$AM$260,2,FALSE)))/24),0))</f>
        <v/>
      </c>
      <c r="K266" s="65" t="str">
        <f>IF(IFERROR(IF(E266=E265,0,(HLOOKUP(C266,Ingreso!$AW$10:$BC$260,VLOOKUP(A266,Ingreso!$AL$11:$AM$260,2,FALSE)))/24),0)=0,"",IFERROR(IF(E266=E265,0,(HLOOKUP(C266,Ingreso!$AW$10:$BC$260,VLOOKUP(A266,Ingreso!$AL$11:$AM$260,2,FALSE)))/24),0))</f>
        <v/>
      </c>
      <c r="L266" s="63">
        <f t="shared" si="8"/>
        <v>0.3125</v>
      </c>
      <c r="M266" s="63" t="str">
        <f>IF(IFERROR(IF(C266=C264,0,IF(E266=E265,0,IF(C266=$R$2,HLOOKUP($R$2,Ingreso!$AW$10:$BC$260,VLOOKUP(A266,Ingreso!AL:AM,2,FALSE),FALSE)/24,""))),"")=0,"",IFERROR(IF(C266=C264,0,IF(E266=E265,0,IF(C266=$R$2,HLOOKUP($R$2,Ingreso!$AW$10:$BC$260,VLOOKUP(A266,Ingreso!AL:AM,2,FALSE),FALSE)/24,""))),""))</f>
        <v/>
      </c>
      <c r="N266" s="95" t="str">
        <f>IF(IFERROR(IF(C266=C264,0,IF(E266=E265,0,IF(C266=$R$3,HLOOKUP($R$3,Ingreso!$AW$10:$BC$260,VLOOKUP(A266,Ingreso!AL:AM,2,FALSE),FALSE)/24,""))),"")=0,"",IFERROR(IF(C266=C264,0,IF(E266=E265,0,IF(C266=$R$3,HLOOKUP($R$3,Ingreso!$AW$10:$BC$260,VLOOKUP(A266,Ingreso!AL:AM,2,FALSE),FALSE)/24,""))),""))</f>
        <v/>
      </c>
      <c r="O266" s="95" t="str">
        <f>IF(IFERROR(IF(C266=C264,0,IF(E266=E265,0,IF(C266=$R$4,HLOOKUP($R$4,Ingreso!$AW$10:$BC$260,VLOOKUP(A266,Ingreso!AL:AM,2,FALSE),FALSE)/24,""))),"")=0,"",IFERROR(IF(C266=C264,0,IF(E266=E265,0,IF(C266=$R$4,HLOOKUP($R$4,Ingreso!$AW$10:$BC$260,VLOOKUP(A266,Ingreso!AL:AM,2,FALSE),FALSE)/24,""))),""))</f>
        <v/>
      </c>
      <c r="P266" s="90"/>
      <c r="R266" t="s">
        <v>31</v>
      </c>
      <c r="S266" t="s">
        <v>36</v>
      </c>
      <c r="T266" t="s">
        <v>1420</v>
      </c>
      <c r="U266" t="s">
        <v>4</v>
      </c>
      <c r="V266" t="s">
        <v>1397</v>
      </c>
      <c r="W266" s="82">
        <v>309</v>
      </c>
      <c r="X266" s="71">
        <v>0.3125</v>
      </c>
      <c r="Y266" s="101">
        <v>0.29577546296296298</v>
      </c>
      <c r="Z266" s="101">
        <v>0.63282407407407404</v>
      </c>
      <c r="AA266" s="101">
        <v>0.33704861111111106</v>
      </c>
      <c r="AB266" s="101">
        <v>2.4548611111111063E-2</v>
      </c>
      <c r="AC266" s="105">
        <v>0</v>
      </c>
      <c r="AD266" s="105">
        <v>0</v>
      </c>
      <c r="AE266" s="93">
        <v>0</v>
      </c>
      <c r="AF266" s="93">
        <v>0</v>
      </c>
      <c r="AG266" s="93">
        <v>0</v>
      </c>
    </row>
    <row r="267" spans="1:33">
      <c r="A267" s="65" t="str">
        <f>IFERROR(VLOOKUP('Informe Kelly'!A260,Base!A:B,2,FALSE),"")</f>
        <v>09.741.880-2</v>
      </c>
      <c r="B267" s="65" t="str">
        <f>IFERROR(VLOOKUP('Informe Kelly'!A260,Base!A:G,7,FALSE),"")</f>
        <v>REINOSO SALAS LAURA CECILIA</v>
      </c>
      <c r="C267" s="69" t="str">
        <f>IF(G267=$C$4,IF('Informe Kelly'!H260='Control informe Kelly'!$A$2,TEXT(((LEFT('Informe Kelly'!E260,2)*1)+1),"dd")&amp;"."&amp;MID('Informe Kelly'!E260,4,2)&amp;"."&amp;RIGHT('Informe Kelly'!E260,4),'Informe Kelly'!E260),'Informe Kelly'!E260)</f>
        <v>12.04.2011</v>
      </c>
      <c r="D267" s="69" t="str">
        <f>IF('Informe Kelly'!E260="","",'Informe Kelly'!E260)</f>
        <v>12.04.2011</v>
      </c>
      <c r="E267" s="72">
        <f t="shared" si="9"/>
        <v>133</v>
      </c>
      <c r="F267" s="72" t="str">
        <f>IFERROR(HLOOKUP(C267,Ingreso!$Q$8:$AD$9,2,FALSE),"v")</f>
        <v>Martes</v>
      </c>
      <c r="G267" s="65" t="str">
        <f>IFERROR(VLOOKUP(A267,Ingreso!K:P,6,FALSE),"no esta ingresado")</f>
        <v>Turno A</v>
      </c>
      <c r="H267" s="65">
        <f>IFERROR(IF('Informe Kelly'!H260=$A$2,'Informe Kelly'!F260,""),0)</f>
        <v>0.30831018518518521</v>
      </c>
      <c r="I267" s="65" t="str">
        <f>IFERROR(IF('Informe Kelly'!H260=$A$3,'Informe Kelly'!F260,""),0)</f>
        <v/>
      </c>
      <c r="J267" s="65" t="str">
        <f>IF(IFERROR(IF(E267=E266,0,(HLOOKUP(D267,Ingreso!$AN$10:$AT$260,VLOOKUP(A267,Ingreso!$AL$11:$AM$260,2,FALSE)))/24),0)=0,"",IFERROR(IF(E267=E266,0,(HLOOKUP(D267,Ingreso!$AN$10:$AT$260,VLOOKUP(A267,Ingreso!$AL$11:$AM$260,2,FALSE)))/24),0))</f>
        <v/>
      </c>
      <c r="K267" s="65" t="str">
        <f>IF(IFERROR(IF(E267=E266,0,(HLOOKUP(C267,Ingreso!$AW$10:$BC$260,VLOOKUP(A267,Ingreso!$AL$11:$AM$260,2,FALSE)))/24),0)=0,"",IFERROR(IF(E267=E266,0,(HLOOKUP(C267,Ingreso!$AW$10:$BC$260,VLOOKUP(A267,Ingreso!$AL$11:$AM$260,2,FALSE)))/24),0))</f>
        <v/>
      </c>
      <c r="L267" s="63">
        <f t="shared" si="8"/>
        <v>0</v>
      </c>
      <c r="M267" s="63" t="str">
        <f>IF(IFERROR(IF(C267=C265,0,IF(E267=E266,0,IF(C267=$R$2,HLOOKUP($R$2,Ingreso!$AW$10:$BC$260,VLOOKUP(A267,Ingreso!AL:AM,2,FALSE),FALSE)/24,""))),"")=0,"",IFERROR(IF(C267=C265,0,IF(E267=E266,0,IF(C267=$R$2,HLOOKUP($R$2,Ingreso!$AW$10:$BC$260,VLOOKUP(A267,Ingreso!AL:AM,2,FALSE),FALSE)/24,""))),""))</f>
        <v/>
      </c>
      <c r="N267" s="95" t="str">
        <f>IF(IFERROR(IF(C267=C265,0,IF(E267=E266,0,IF(C267=$R$3,HLOOKUP($R$3,Ingreso!$AW$10:$BC$260,VLOOKUP(A267,Ingreso!AL:AM,2,FALSE),FALSE)/24,""))),"")=0,"",IFERROR(IF(C267=C265,0,IF(E267=E266,0,IF(C267=$R$3,HLOOKUP($R$3,Ingreso!$AW$10:$BC$260,VLOOKUP(A267,Ingreso!AL:AM,2,FALSE),FALSE)/24,""))),""))</f>
        <v/>
      </c>
      <c r="O267" s="95" t="str">
        <f>IF(IFERROR(IF(C267=C265,0,IF(E267=E266,0,IF(C267=$R$4,HLOOKUP($R$4,Ingreso!$AW$10:$BC$260,VLOOKUP(A267,Ingreso!AL:AM,2,FALSE),FALSE)/24,""))),"")=0,"",IFERROR(IF(C267=C265,0,IF(E267=E266,0,IF(C267=$R$4,HLOOKUP($R$4,Ingreso!$AW$10:$BC$260,VLOOKUP(A267,Ingreso!AL:AM,2,FALSE),FALSE)/24,""))),""))</f>
        <v/>
      </c>
      <c r="P267" s="90"/>
      <c r="T267" t="s">
        <v>1423</v>
      </c>
      <c r="U267" t="s">
        <v>4</v>
      </c>
      <c r="V267" t="s">
        <v>1398</v>
      </c>
      <c r="W267" s="82">
        <v>310</v>
      </c>
      <c r="X267" s="71">
        <v>0.3125</v>
      </c>
      <c r="Y267" s="101">
        <v>0.30804398148148149</v>
      </c>
      <c r="Z267" s="101">
        <v>0.63318287037037035</v>
      </c>
      <c r="AA267" s="101">
        <v>0.32513888888888887</v>
      </c>
      <c r="AB267" s="101">
        <v>1.2638888888888866E-2</v>
      </c>
      <c r="AC267" s="105">
        <v>0</v>
      </c>
      <c r="AD267" s="105">
        <v>0</v>
      </c>
      <c r="AE267" s="93">
        <v>0</v>
      </c>
      <c r="AF267" s="93">
        <v>0</v>
      </c>
      <c r="AG267" s="93">
        <v>0</v>
      </c>
    </row>
    <row r="268" spans="1:33">
      <c r="A268" s="65" t="str">
        <f>IFERROR(VLOOKUP('Informe Kelly'!A261,Base!A:B,2,FALSE),"")</f>
        <v>09.741.880-2</v>
      </c>
      <c r="B268" s="65" t="str">
        <f>IFERROR(VLOOKUP('Informe Kelly'!A261,Base!A:G,7,FALSE),"")</f>
        <v>REINOSO SALAS LAURA CECILIA</v>
      </c>
      <c r="C268" s="69" t="str">
        <f>IF(G268=$C$4,IF('Informe Kelly'!H261='Control informe Kelly'!$A$2,TEXT(((LEFT('Informe Kelly'!E261,2)*1)+1),"dd")&amp;"."&amp;MID('Informe Kelly'!E261,4,2)&amp;"."&amp;RIGHT('Informe Kelly'!E261,4),'Informe Kelly'!E261),'Informe Kelly'!E261)</f>
        <v>13.04.2011</v>
      </c>
      <c r="D268" s="69" t="str">
        <f>IF('Informe Kelly'!E261="","",'Informe Kelly'!E261)</f>
        <v>13.04.2011</v>
      </c>
      <c r="E268" s="72">
        <f t="shared" si="9"/>
        <v>134</v>
      </c>
      <c r="F268" s="72" t="str">
        <f>IFERROR(HLOOKUP(C268,Ingreso!$Q$8:$AD$9,2,FALSE),"v")</f>
        <v>Miércoles</v>
      </c>
      <c r="G268" s="65" t="str">
        <f>IFERROR(VLOOKUP(A268,Ingreso!K:P,6,FALSE),"no esta ingresado")</f>
        <v>Turno A</v>
      </c>
      <c r="H268" s="65" t="str">
        <f>IFERROR(IF('Informe Kelly'!H261=$A$2,'Informe Kelly'!F261,""),0)</f>
        <v/>
      </c>
      <c r="I268" s="65">
        <f>IFERROR(IF('Informe Kelly'!H261=$A$3,'Informe Kelly'!F261,""),0)</f>
        <v>0.63489583333333333</v>
      </c>
      <c r="J268" s="65" t="str">
        <f>IF(IFERROR(IF(E268=E267,0,(HLOOKUP(D268,Ingreso!$AN$10:$AT$260,VLOOKUP(A268,Ingreso!$AL$11:$AM$260,2,FALSE)))/24),0)=0,"",IFERROR(IF(E268=E267,0,(HLOOKUP(D268,Ingreso!$AN$10:$AT$260,VLOOKUP(A268,Ingreso!$AL$11:$AM$260,2,FALSE)))/24),0))</f>
        <v/>
      </c>
      <c r="K268" s="65" t="str">
        <f>IF(IFERROR(IF(E268=E267,0,(HLOOKUP(C268,Ingreso!$AW$10:$BC$260,VLOOKUP(A268,Ingreso!$AL$11:$AM$260,2,FALSE)))/24),0)=0,"",IFERROR(IF(E268=E267,0,(HLOOKUP(C268,Ingreso!$AW$10:$BC$260,VLOOKUP(A268,Ingreso!$AL$11:$AM$260,2,FALSE)))/24),0))</f>
        <v/>
      </c>
      <c r="L268" s="63">
        <f t="shared" si="8"/>
        <v>0.3125</v>
      </c>
      <c r="M268" s="63" t="str">
        <f>IF(IFERROR(IF(C268=C266,0,IF(E268=E267,0,IF(C268=$R$2,HLOOKUP($R$2,Ingreso!$AW$10:$BC$260,VLOOKUP(A268,Ingreso!AL:AM,2,FALSE),FALSE)/24,""))),"")=0,"",IFERROR(IF(C268=C266,0,IF(E268=E267,0,IF(C268=$R$2,HLOOKUP($R$2,Ingreso!$AW$10:$BC$260,VLOOKUP(A268,Ingreso!AL:AM,2,FALSE),FALSE)/24,""))),""))</f>
        <v/>
      </c>
      <c r="N268" s="95" t="str">
        <f>IF(IFERROR(IF(C268=C266,0,IF(E268=E267,0,IF(C268=$R$3,HLOOKUP($R$3,Ingreso!$AW$10:$BC$260,VLOOKUP(A268,Ingreso!AL:AM,2,FALSE),FALSE)/24,""))),"")=0,"",IFERROR(IF(C268=C266,0,IF(E268=E267,0,IF(C268=$R$3,HLOOKUP($R$3,Ingreso!$AW$10:$BC$260,VLOOKUP(A268,Ingreso!AL:AM,2,FALSE),FALSE)/24,""))),""))</f>
        <v/>
      </c>
      <c r="O268" s="95" t="str">
        <f>IF(IFERROR(IF(C268=C266,0,IF(E268=E267,0,IF(C268=$R$4,HLOOKUP($R$4,Ingreso!$AW$10:$BC$260,VLOOKUP(A268,Ingreso!AL:AM,2,FALSE),FALSE)/24,""))),"")=0,"",IFERROR(IF(C268=C266,0,IF(E268=E267,0,IF(C268=$R$4,HLOOKUP($R$4,Ingreso!$AW$10:$BC$260,VLOOKUP(A268,Ingreso!AL:AM,2,FALSE),FALSE)/24,""))),""))</f>
        <v/>
      </c>
      <c r="P268" s="90"/>
      <c r="T268" t="s">
        <v>1424</v>
      </c>
      <c r="U268" t="s">
        <v>4</v>
      </c>
      <c r="V268" t="s">
        <v>1399</v>
      </c>
      <c r="W268" s="82">
        <v>311</v>
      </c>
      <c r="X268" s="71">
        <v>0.3125</v>
      </c>
      <c r="Y268" s="101">
        <v>0.29628472222222224</v>
      </c>
      <c r="Z268" s="101">
        <v>0.6541203703703703</v>
      </c>
      <c r="AA268" s="101">
        <v>0.35783564814814806</v>
      </c>
      <c r="AB268" s="101">
        <v>4.5335648148148056E-2</v>
      </c>
      <c r="AC268" s="105">
        <v>0</v>
      </c>
      <c r="AD268" s="105">
        <v>0</v>
      </c>
      <c r="AE268" s="93">
        <v>0</v>
      </c>
      <c r="AF268" s="93">
        <v>0</v>
      </c>
      <c r="AG268" s="93">
        <v>0</v>
      </c>
    </row>
    <row r="269" spans="1:33">
      <c r="A269" s="65" t="str">
        <f>IFERROR(VLOOKUP('Informe Kelly'!A262,Base!A:B,2,FALSE),"")</f>
        <v>09.741.880-2</v>
      </c>
      <c r="B269" s="65" t="str">
        <f>IFERROR(VLOOKUP('Informe Kelly'!A262,Base!A:G,7,FALSE),"")</f>
        <v>REINOSO SALAS LAURA CECILIA</v>
      </c>
      <c r="C269" s="69" t="str">
        <f>IF(G269=$C$4,IF('Informe Kelly'!H262='Control informe Kelly'!$A$2,TEXT(((LEFT('Informe Kelly'!E262,2)*1)+1),"dd")&amp;"."&amp;MID('Informe Kelly'!E262,4,2)&amp;"."&amp;RIGHT('Informe Kelly'!E262,4),'Informe Kelly'!E262),'Informe Kelly'!E262)</f>
        <v>13.04.2011</v>
      </c>
      <c r="D269" s="69" t="str">
        <f>IF('Informe Kelly'!E262="","",'Informe Kelly'!E262)</f>
        <v>13.04.2011</v>
      </c>
      <c r="E269" s="72">
        <f t="shared" si="9"/>
        <v>134</v>
      </c>
      <c r="F269" s="72" t="str">
        <f>IFERROR(HLOOKUP(C269,Ingreso!$Q$8:$AD$9,2,FALSE),"v")</f>
        <v>Miércoles</v>
      </c>
      <c r="G269" s="65" t="str">
        <f>IFERROR(VLOOKUP(A269,Ingreso!K:P,6,FALSE),"no esta ingresado")</f>
        <v>Turno A</v>
      </c>
      <c r="H269" s="65">
        <f>IFERROR(IF('Informe Kelly'!H262=$A$2,'Informe Kelly'!F262,""),0)</f>
        <v>0.29449074074074072</v>
      </c>
      <c r="I269" s="65" t="str">
        <f>IFERROR(IF('Informe Kelly'!H262=$A$3,'Informe Kelly'!F262,""),0)</f>
        <v/>
      </c>
      <c r="J269" s="65" t="str">
        <f>IF(IFERROR(IF(E269=E268,0,(HLOOKUP(D269,Ingreso!$AN$10:$AT$260,VLOOKUP(A269,Ingreso!$AL$11:$AM$260,2,FALSE)))/24),0)=0,"",IFERROR(IF(E269=E268,0,(HLOOKUP(D269,Ingreso!$AN$10:$AT$260,VLOOKUP(A269,Ingreso!$AL$11:$AM$260,2,FALSE)))/24),0))</f>
        <v/>
      </c>
      <c r="K269" s="65" t="str">
        <f>IF(IFERROR(IF(E269=E268,0,(HLOOKUP(C269,Ingreso!$AW$10:$BC$260,VLOOKUP(A269,Ingreso!$AL$11:$AM$260,2,FALSE)))/24),0)=0,"",IFERROR(IF(E269=E268,0,(HLOOKUP(C269,Ingreso!$AW$10:$BC$260,VLOOKUP(A269,Ingreso!$AL$11:$AM$260,2,FALSE)))/24),0))</f>
        <v/>
      </c>
      <c r="L269" s="63">
        <f t="shared" si="8"/>
        <v>0</v>
      </c>
      <c r="M269" s="63" t="str">
        <f>IF(IFERROR(IF(C269=C267,0,IF(E269=E268,0,IF(C269=$R$2,HLOOKUP($R$2,Ingreso!$AW$10:$BC$260,VLOOKUP(A269,Ingreso!AL:AM,2,FALSE),FALSE)/24,""))),"")=0,"",IFERROR(IF(C269=C267,0,IF(E269=E268,0,IF(C269=$R$2,HLOOKUP($R$2,Ingreso!$AW$10:$BC$260,VLOOKUP(A269,Ingreso!AL:AM,2,FALSE),FALSE)/24,""))),""))</f>
        <v/>
      </c>
      <c r="N269" s="95" t="str">
        <f>IF(IFERROR(IF(C269=C267,0,IF(E269=E268,0,IF(C269=$R$3,HLOOKUP($R$3,Ingreso!$AW$10:$BC$260,VLOOKUP(A269,Ingreso!AL:AM,2,FALSE),FALSE)/24,""))),"")=0,"",IFERROR(IF(C269=C267,0,IF(E269=E268,0,IF(C269=$R$3,HLOOKUP($R$3,Ingreso!$AW$10:$BC$260,VLOOKUP(A269,Ingreso!AL:AM,2,FALSE),FALSE)/24,""))),""))</f>
        <v/>
      </c>
      <c r="O269" s="95" t="str">
        <f>IF(IFERROR(IF(C269=C267,0,IF(E269=E268,0,IF(C269=$R$4,HLOOKUP($R$4,Ingreso!$AW$10:$BC$260,VLOOKUP(A269,Ingreso!AL:AM,2,FALSE),FALSE)/24,""))),"")=0,"",IFERROR(IF(C269=C267,0,IF(E269=E268,0,IF(C269=$R$4,HLOOKUP($R$4,Ingreso!$AW$10:$BC$260,VLOOKUP(A269,Ingreso!AL:AM,2,FALSE),FALSE)/24,""))),""))</f>
        <v/>
      </c>
      <c r="P269" s="90"/>
      <c r="T269" t="s">
        <v>1425</v>
      </c>
      <c r="U269" t="s">
        <v>4</v>
      </c>
      <c r="V269" t="s">
        <v>1400</v>
      </c>
      <c r="W269" s="82">
        <v>312</v>
      </c>
      <c r="X269" s="71">
        <v>0.3125</v>
      </c>
      <c r="Y269" s="101">
        <v>0.29650462962962965</v>
      </c>
      <c r="Z269" s="101">
        <v>0.63299768518518518</v>
      </c>
      <c r="AA269" s="101">
        <v>0.33649305555555553</v>
      </c>
      <c r="AB269" s="101">
        <v>2.3993055555555531E-2</v>
      </c>
      <c r="AC269" s="105">
        <v>0</v>
      </c>
      <c r="AD269" s="105">
        <v>0</v>
      </c>
      <c r="AE269" s="93">
        <v>0</v>
      </c>
      <c r="AF269" s="93">
        <v>0</v>
      </c>
      <c r="AG269" s="93">
        <v>0</v>
      </c>
    </row>
    <row r="270" spans="1:33">
      <c r="A270" s="65" t="str">
        <f>IFERROR(VLOOKUP('Informe Kelly'!A263,Base!A:B,2,FALSE),"")</f>
        <v>09.741.880-2</v>
      </c>
      <c r="B270" s="65" t="str">
        <f>IFERROR(VLOOKUP('Informe Kelly'!A263,Base!A:G,7,FALSE),"")</f>
        <v>REINOSO SALAS LAURA CECILIA</v>
      </c>
      <c r="C270" s="69" t="str">
        <f>IF(G270=$C$4,IF('Informe Kelly'!H263='Control informe Kelly'!$A$2,TEXT(((LEFT('Informe Kelly'!E263,2)*1)+1),"dd")&amp;"."&amp;MID('Informe Kelly'!E263,4,2)&amp;"."&amp;RIGHT('Informe Kelly'!E263,4),'Informe Kelly'!E263),'Informe Kelly'!E263)</f>
        <v>14.04.2011</v>
      </c>
      <c r="D270" s="69" t="str">
        <f>IF('Informe Kelly'!E263="","",'Informe Kelly'!E263)</f>
        <v>14.04.2011</v>
      </c>
      <c r="E270" s="72">
        <f t="shared" si="9"/>
        <v>135</v>
      </c>
      <c r="F270" s="72" t="str">
        <f>IFERROR(HLOOKUP(C270,Ingreso!$Q$8:$AD$9,2,FALSE),"v")</f>
        <v>Jueves</v>
      </c>
      <c r="G270" s="65" t="str">
        <f>IFERROR(VLOOKUP(A270,Ingreso!K:P,6,FALSE),"no esta ingresado")</f>
        <v>Turno A</v>
      </c>
      <c r="H270" s="65" t="str">
        <f>IFERROR(IF('Informe Kelly'!H263=$A$2,'Informe Kelly'!F263,""),0)</f>
        <v/>
      </c>
      <c r="I270" s="65">
        <f>IFERROR(IF('Informe Kelly'!H263=$A$3,'Informe Kelly'!F263,""),0)</f>
        <v>0.9431018518518518</v>
      </c>
      <c r="J270" s="65" t="str">
        <f>IF(IFERROR(IF(E270=E269,0,(HLOOKUP(D270,Ingreso!$AN$10:$AT$260,VLOOKUP(A270,Ingreso!$AL$11:$AM$260,2,FALSE)))/24),0)=0,"",IFERROR(IF(E270=E269,0,(HLOOKUP(D270,Ingreso!$AN$10:$AT$260,VLOOKUP(A270,Ingreso!$AL$11:$AM$260,2,FALSE)))/24),0))</f>
        <v/>
      </c>
      <c r="K270" s="65" t="str">
        <f>IF(IFERROR(IF(E270=E269,0,(HLOOKUP(C270,Ingreso!$AW$10:$BC$260,VLOOKUP(A270,Ingreso!$AL$11:$AM$260,2,FALSE)))/24),0)=0,"",IFERROR(IF(E270=E269,0,(HLOOKUP(C270,Ingreso!$AW$10:$BC$260,VLOOKUP(A270,Ingreso!$AL$11:$AM$260,2,FALSE)))/24),0))</f>
        <v/>
      </c>
      <c r="L270" s="63">
        <f t="shared" si="8"/>
        <v>0.3125</v>
      </c>
      <c r="M270" s="63" t="str">
        <f>IF(IFERROR(IF(C270=C268,0,IF(E270=E269,0,IF(C270=$R$2,HLOOKUP($R$2,Ingreso!$AW$10:$BC$260,VLOOKUP(A270,Ingreso!AL:AM,2,FALSE),FALSE)/24,""))),"")=0,"",IFERROR(IF(C270=C268,0,IF(E270=E269,0,IF(C270=$R$2,HLOOKUP($R$2,Ingreso!$AW$10:$BC$260,VLOOKUP(A270,Ingreso!AL:AM,2,FALSE),FALSE)/24,""))),""))</f>
        <v/>
      </c>
      <c r="N270" s="95" t="str">
        <f>IF(IFERROR(IF(C270=C268,0,IF(E270=E269,0,IF(C270=$R$3,HLOOKUP($R$3,Ingreso!$AW$10:$BC$260,VLOOKUP(A270,Ingreso!AL:AM,2,FALSE),FALSE)/24,""))),"")=0,"",IFERROR(IF(C270=C268,0,IF(E270=E269,0,IF(C270=$R$3,HLOOKUP($R$3,Ingreso!$AW$10:$BC$260,VLOOKUP(A270,Ingreso!AL:AM,2,FALSE),FALSE)/24,""))),""))</f>
        <v/>
      </c>
      <c r="O270" s="95" t="str">
        <f>IF(IFERROR(IF(C270=C268,0,IF(E270=E269,0,IF(C270=$R$4,HLOOKUP($R$4,Ingreso!$AW$10:$BC$260,VLOOKUP(A270,Ingreso!AL:AM,2,FALSE),FALSE)/24,""))),"")=0,"",IFERROR(IF(C270=C268,0,IF(E270=E269,0,IF(C270=$R$4,HLOOKUP($R$4,Ingreso!$AW$10:$BC$260,VLOOKUP(A270,Ingreso!AL:AM,2,FALSE),FALSE)/24,""))),""))</f>
        <v/>
      </c>
      <c r="P270" s="90"/>
      <c r="T270" t="s">
        <v>1426</v>
      </c>
      <c r="U270" t="s">
        <v>4</v>
      </c>
      <c r="V270" t="s">
        <v>1401</v>
      </c>
      <c r="W270" s="82">
        <v>313</v>
      </c>
      <c r="X270" s="71">
        <v>0.3125</v>
      </c>
      <c r="Y270" s="101">
        <v>0.29653935185185182</v>
      </c>
      <c r="Z270" s="101">
        <v>0.65210648148148154</v>
      </c>
      <c r="AA270" s="101">
        <v>0.35556712962962972</v>
      </c>
      <c r="AB270" s="101">
        <v>4.3067129629629719E-2</v>
      </c>
      <c r="AC270" s="105">
        <v>0</v>
      </c>
      <c r="AD270" s="105">
        <v>0</v>
      </c>
      <c r="AE270" s="93">
        <v>0</v>
      </c>
      <c r="AF270" s="93">
        <v>0</v>
      </c>
      <c r="AG270" s="93">
        <v>0</v>
      </c>
    </row>
    <row r="271" spans="1:33">
      <c r="A271" s="65" t="str">
        <f>IFERROR(VLOOKUP('Informe Kelly'!A264,Base!A:B,2,FALSE),"")</f>
        <v>09.741.880-2</v>
      </c>
      <c r="B271" s="65" t="str">
        <f>IFERROR(VLOOKUP('Informe Kelly'!A264,Base!A:G,7,FALSE),"")</f>
        <v>REINOSO SALAS LAURA CECILIA</v>
      </c>
      <c r="C271" s="69" t="str">
        <f>IF(G271=$C$4,IF('Informe Kelly'!H264='Control informe Kelly'!$A$2,TEXT(((LEFT('Informe Kelly'!E264,2)*1)+1),"dd")&amp;"."&amp;MID('Informe Kelly'!E264,4,2)&amp;"."&amp;RIGHT('Informe Kelly'!E264,4),'Informe Kelly'!E264),'Informe Kelly'!E264)</f>
        <v>14.04.2011</v>
      </c>
      <c r="D271" s="69" t="str">
        <f>IF('Informe Kelly'!E264="","",'Informe Kelly'!E264)</f>
        <v>14.04.2011</v>
      </c>
      <c r="E271" s="72">
        <f t="shared" si="9"/>
        <v>135</v>
      </c>
      <c r="F271" s="72" t="str">
        <f>IFERROR(HLOOKUP(C271,Ingreso!$Q$8:$AD$9,2,FALSE),"v")</f>
        <v>Jueves</v>
      </c>
      <c r="G271" s="65" t="str">
        <f>IFERROR(VLOOKUP(A271,Ingreso!K:P,6,FALSE),"no esta ingresado")</f>
        <v>Turno A</v>
      </c>
      <c r="H271" s="65">
        <f>IFERROR(IF('Informe Kelly'!H264=$A$2,'Informe Kelly'!F264,""),0)</f>
        <v>0.61239583333333336</v>
      </c>
      <c r="I271" s="65" t="str">
        <f>IFERROR(IF('Informe Kelly'!H264=$A$3,'Informe Kelly'!F264,""),0)</f>
        <v/>
      </c>
      <c r="J271" s="65" t="str">
        <f>IF(IFERROR(IF(E271=E270,0,(HLOOKUP(D271,Ingreso!$AN$10:$AT$260,VLOOKUP(A271,Ingreso!$AL$11:$AM$260,2,FALSE)))/24),0)=0,"",IFERROR(IF(E271=E270,0,(HLOOKUP(D271,Ingreso!$AN$10:$AT$260,VLOOKUP(A271,Ingreso!$AL$11:$AM$260,2,FALSE)))/24),0))</f>
        <v/>
      </c>
      <c r="K271" s="65" t="str">
        <f>IF(IFERROR(IF(E271=E270,0,(HLOOKUP(C271,Ingreso!$AW$10:$BC$260,VLOOKUP(A271,Ingreso!$AL$11:$AM$260,2,FALSE)))/24),0)=0,"",IFERROR(IF(E271=E270,0,(HLOOKUP(C271,Ingreso!$AW$10:$BC$260,VLOOKUP(A271,Ingreso!$AL$11:$AM$260,2,FALSE)))/24),0))</f>
        <v/>
      </c>
      <c r="L271" s="63">
        <f t="shared" si="8"/>
        <v>0</v>
      </c>
      <c r="M271" s="63" t="str">
        <f>IF(IFERROR(IF(C271=C269,0,IF(E271=E270,0,IF(C271=$R$2,HLOOKUP($R$2,Ingreso!$AW$10:$BC$260,VLOOKUP(A271,Ingreso!AL:AM,2,FALSE),FALSE)/24,""))),"")=0,"",IFERROR(IF(C271=C269,0,IF(E271=E270,0,IF(C271=$R$2,HLOOKUP($R$2,Ingreso!$AW$10:$BC$260,VLOOKUP(A271,Ingreso!AL:AM,2,FALSE),FALSE)/24,""))),""))</f>
        <v/>
      </c>
      <c r="N271" s="95" t="str">
        <f>IF(IFERROR(IF(C271=C269,0,IF(E271=E270,0,IF(C271=$R$3,HLOOKUP($R$3,Ingreso!$AW$10:$BC$260,VLOOKUP(A271,Ingreso!AL:AM,2,FALSE),FALSE)/24,""))),"")=0,"",IFERROR(IF(C271=C269,0,IF(E271=E270,0,IF(C271=$R$3,HLOOKUP($R$3,Ingreso!$AW$10:$BC$260,VLOOKUP(A271,Ingreso!AL:AM,2,FALSE),FALSE)/24,""))),""))</f>
        <v/>
      </c>
      <c r="O271" s="95" t="str">
        <f>IF(IFERROR(IF(C271=C269,0,IF(E271=E270,0,IF(C271=$R$4,HLOOKUP($R$4,Ingreso!$AW$10:$BC$260,VLOOKUP(A271,Ingreso!AL:AM,2,FALSE),FALSE)/24,""))),"")=0,"",IFERROR(IF(C271=C269,0,IF(E271=E270,0,IF(C271=$R$4,HLOOKUP($R$4,Ingreso!$AW$10:$BC$260,VLOOKUP(A271,Ingreso!AL:AM,2,FALSE),FALSE)/24,""))),""))</f>
        <v/>
      </c>
      <c r="P271" s="90"/>
      <c r="T271" t="s">
        <v>1427</v>
      </c>
      <c r="U271" t="s">
        <v>4</v>
      </c>
      <c r="V271" t="s">
        <v>1402</v>
      </c>
      <c r="W271" s="82">
        <v>314</v>
      </c>
      <c r="X271" s="71">
        <v>0.3125</v>
      </c>
      <c r="Y271" s="101">
        <v>0.29484953703703703</v>
      </c>
      <c r="Z271" s="101">
        <v>0.62876157407407407</v>
      </c>
      <c r="AA271" s="101">
        <v>0.33391203703703703</v>
      </c>
      <c r="AB271" s="101">
        <v>2.1412037037037035E-2</v>
      </c>
      <c r="AC271" s="105">
        <v>0</v>
      </c>
      <c r="AD271" s="105">
        <v>0</v>
      </c>
      <c r="AE271" s="93">
        <v>0</v>
      </c>
      <c r="AF271" s="93">
        <v>0</v>
      </c>
      <c r="AG271" s="93">
        <v>0</v>
      </c>
    </row>
    <row r="272" spans="1:33">
      <c r="A272" s="65" t="str">
        <f>IFERROR(VLOOKUP('Informe Kelly'!A265,Base!A:B,2,FALSE),"")</f>
        <v>09.741.880-2</v>
      </c>
      <c r="B272" s="65" t="str">
        <f>IFERROR(VLOOKUP('Informe Kelly'!A265,Base!A:G,7,FALSE),"")</f>
        <v>REINOSO SALAS LAURA CECILIA</v>
      </c>
      <c r="C272" s="69" t="str">
        <f>IF(G272=$C$4,IF('Informe Kelly'!H265='Control informe Kelly'!$A$2,TEXT(((LEFT('Informe Kelly'!E265,2)*1)+1),"dd")&amp;"."&amp;MID('Informe Kelly'!E265,4,2)&amp;"."&amp;RIGHT('Informe Kelly'!E265,4),'Informe Kelly'!E265),'Informe Kelly'!E265)</f>
        <v>15.04.2011</v>
      </c>
      <c r="D272" s="69" t="str">
        <f>IF('Informe Kelly'!E265="","",'Informe Kelly'!E265)</f>
        <v>15.04.2011</v>
      </c>
      <c r="E272" s="72">
        <f t="shared" si="9"/>
        <v>136</v>
      </c>
      <c r="F272" s="72" t="str">
        <f>IFERROR(HLOOKUP(C272,Ingreso!$Q$8:$AD$9,2,FALSE),"v")</f>
        <v>Viernes</v>
      </c>
      <c r="G272" s="65" t="str">
        <f>IFERROR(VLOOKUP(A272,Ingreso!K:P,6,FALSE),"no esta ingresado")</f>
        <v>Turno A</v>
      </c>
      <c r="H272" s="65" t="str">
        <f>IFERROR(IF('Informe Kelly'!H265=$A$2,'Informe Kelly'!F265,""),0)</f>
        <v/>
      </c>
      <c r="I272" s="65">
        <f>IFERROR(IF('Informe Kelly'!H265=$A$3,'Informe Kelly'!F265,""),0)</f>
        <v>0.62958333333333327</v>
      </c>
      <c r="J272" s="65" t="str">
        <f>IF(IFERROR(IF(E272=E271,0,(HLOOKUP(D272,Ingreso!$AN$10:$AT$260,VLOOKUP(A272,Ingreso!$AL$11:$AM$260,2,FALSE)))/24),0)=0,"",IFERROR(IF(E272=E271,0,(HLOOKUP(D272,Ingreso!$AN$10:$AT$260,VLOOKUP(A272,Ingreso!$AL$11:$AM$260,2,FALSE)))/24),0))</f>
        <v/>
      </c>
      <c r="K272" s="65" t="str">
        <f>IF(IFERROR(IF(E272=E271,0,(HLOOKUP(C272,Ingreso!$AW$10:$BC$260,VLOOKUP(A272,Ingreso!$AL$11:$AM$260,2,FALSE)))/24),0)=0,"",IFERROR(IF(E272=E271,0,(HLOOKUP(C272,Ingreso!$AW$10:$BC$260,VLOOKUP(A272,Ingreso!$AL$11:$AM$260,2,FALSE)))/24),0))</f>
        <v/>
      </c>
      <c r="L272" s="63">
        <f t="shared" si="8"/>
        <v>0.3125</v>
      </c>
      <c r="M272" s="63" t="str">
        <f>IF(IFERROR(IF(C272=C270,0,IF(E272=E271,0,IF(C272=$R$2,HLOOKUP($R$2,Ingreso!$AW$10:$BC$260,VLOOKUP(A272,Ingreso!AL:AM,2,FALSE),FALSE)/24,""))),"")=0,"",IFERROR(IF(C272=C270,0,IF(E272=E271,0,IF(C272=$R$2,HLOOKUP($R$2,Ingreso!$AW$10:$BC$260,VLOOKUP(A272,Ingreso!AL:AM,2,FALSE),FALSE)/24,""))),""))</f>
        <v/>
      </c>
      <c r="N272" s="95" t="str">
        <f>IF(IFERROR(IF(C272=C270,0,IF(E272=E271,0,IF(C272=$R$3,HLOOKUP($R$3,Ingreso!$AW$10:$BC$260,VLOOKUP(A272,Ingreso!AL:AM,2,FALSE),FALSE)/24,""))),"")=0,"",IFERROR(IF(C272=C270,0,IF(E272=E271,0,IF(C272=$R$3,HLOOKUP($R$3,Ingreso!$AW$10:$BC$260,VLOOKUP(A272,Ingreso!AL:AM,2,FALSE),FALSE)/24,""))),""))</f>
        <v/>
      </c>
      <c r="O272" s="95" t="str">
        <f>IF(IFERROR(IF(C272=C270,0,IF(E272=E271,0,IF(C272=$R$4,HLOOKUP($R$4,Ingreso!$AW$10:$BC$260,VLOOKUP(A272,Ingreso!AL:AM,2,FALSE),FALSE)/24,""))),"")=0,"",IFERROR(IF(C272=C270,0,IF(E272=E271,0,IF(C272=$R$4,HLOOKUP($R$4,Ingreso!$AW$10:$BC$260,VLOOKUP(A272,Ingreso!AL:AM,2,FALSE),FALSE)/24,""))),""))</f>
        <v/>
      </c>
      <c r="P272" s="90"/>
      <c r="R272" t="s">
        <v>1113</v>
      </c>
      <c r="S272" t="s">
        <v>1115</v>
      </c>
      <c r="T272" t="s">
        <v>1420</v>
      </c>
      <c r="U272" t="s">
        <v>4</v>
      </c>
      <c r="V272" t="s">
        <v>1397</v>
      </c>
      <c r="W272" s="82">
        <v>315</v>
      </c>
      <c r="X272" s="71">
        <v>0.3125</v>
      </c>
      <c r="Y272" s="101">
        <v>0.29543981481481479</v>
      </c>
      <c r="Z272" s="101">
        <v>0.64180555555555552</v>
      </c>
      <c r="AA272" s="101">
        <v>0.34636574074074072</v>
      </c>
      <c r="AB272" s="101">
        <v>3.3865740740740724E-2</v>
      </c>
      <c r="AC272" s="105">
        <v>0</v>
      </c>
      <c r="AD272" s="105">
        <v>0</v>
      </c>
      <c r="AE272" s="93">
        <v>0</v>
      </c>
      <c r="AF272" s="93">
        <v>0</v>
      </c>
      <c r="AG272" s="93">
        <v>0</v>
      </c>
    </row>
    <row r="273" spans="1:33">
      <c r="A273" s="65" t="str">
        <f>IFERROR(VLOOKUP('Informe Kelly'!A266,Base!A:B,2,FALSE),"")</f>
        <v>09.741.880-2</v>
      </c>
      <c r="B273" s="65" t="str">
        <f>IFERROR(VLOOKUP('Informe Kelly'!A266,Base!A:G,7,FALSE),"")</f>
        <v>REINOSO SALAS LAURA CECILIA</v>
      </c>
      <c r="C273" s="69" t="str">
        <f>IF(G273=$C$4,IF('Informe Kelly'!H266='Control informe Kelly'!$A$2,TEXT(((LEFT('Informe Kelly'!E266,2)*1)+1),"dd")&amp;"."&amp;MID('Informe Kelly'!E266,4,2)&amp;"."&amp;RIGHT('Informe Kelly'!E266,4),'Informe Kelly'!E266),'Informe Kelly'!E266)</f>
        <v>15.04.2011</v>
      </c>
      <c r="D273" s="69" t="str">
        <f>IF('Informe Kelly'!E266="","",'Informe Kelly'!E266)</f>
        <v>15.04.2011</v>
      </c>
      <c r="E273" s="72">
        <f t="shared" si="9"/>
        <v>136</v>
      </c>
      <c r="F273" s="72" t="str">
        <f>IFERROR(HLOOKUP(C273,Ingreso!$Q$8:$AD$9,2,FALSE),"v")</f>
        <v>Viernes</v>
      </c>
      <c r="G273" s="65" t="str">
        <f>IFERROR(VLOOKUP(A273,Ingreso!K:P,6,FALSE),"no esta ingresado")</f>
        <v>Turno A</v>
      </c>
      <c r="H273" s="65">
        <f>IFERROR(IF('Informe Kelly'!H266=$A$2,'Informe Kelly'!F266,""),0)</f>
        <v>0.29501157407407408</v>
      </c>
      <c r="I273" s="65" t="str">
        <f>IFERROR(IF('Informe Kelly'!H266=$A$3,'Informe Kelly'!F266,""),0)</f>
        <v/>
      </c>
      <c r="J273" s="65" t="str">
        <f>IF(IFERROR(IF(E273=E272,0,(HLOOKUP(D273,Ingreso!$AN$10:$AT$260,VLOOKUP(A273,Ingreso!$AL$11:$AM$260,2,FALSE)))/24),0)=0,"",IFERROR(IF(E273=E272,0,(HLOOKUP(D273,Ingreso!$AN$10:$AT$260,VLOOKUP(A273,Ingreso!$AL$11:$AM$260,2,FALSE)))/24),0))</f>
        <v/>
      </c>
      <c r="K273" s="65" t="str">
        <f>IF(IFERROR(IF(E273=E272,0,(HLOOKUP(C273,Ingreso!$AW$10:$BC$260,VLOOKUP(A273,Ingreso!$AL$11:$AM$260,2,FALSE)))/24),0)=0,"",IFERROR(IF(E273=E272,0,(HLOOKUP(C273,Ingreso!$AW$10:$BC$260,VLOOKUP(A273,Ingreso!$AL$11:$AM$260,2,FALSE)))/24),0))</f>
        <v/>
      </c>
      <c r="L273" s="63">
        <f t="shared" si="8"/>
        <v>0</v>
      </c>
      <c r="M273" s="63" t="str">
        <f>IF(IFERROR(IF(C273=C271,0,IF(E273=E272,0,IF(C273=$R$2,HLOOKUP($R$2,Ingreso!$AW$10:$BC$260,VLOOKUP(A273,Ingreso!AL:AM,2,FALSE),FALSE)/24,""))),"")=0,"",IFERROR(IF(C273=C271,0,IF(E273=E272,0,IF(C273=$R$2,HLOOKUP($R$2,Ingreso!$AW$10:$BC$260,VLOOKUP(A273,Ingreso!AL:AM,2,FALSE),FALSE)/24,""))),""))</f>
        <v/>
      </c>
      <c r="N273" s="95" t="str">
        <f>IF(IFERROR(IF(C273=C271,0,IF(E273=E272,0,IF(C273=$R$3,HLOOKUP($R$3,Ingreso!$AW$10:$BC$260,VLOOKUP(A273,Ingreso!AL:AM,2,FALSE),FALSE)/24,""))),"")=0,"",IFERROR(IF(C273=C271,0,IF(E273=E272,0,IF(C273=$R$3,HLOOKUP($R$3,Ingreso!$AW$10:$BC$260,VLOOKUP(A273,Ingreso!AL:AM,2,FALSE),FALSE)/24,""))),""))</f>
        <v/>
      </c>
      <c r="O273" s="95" t="str">
        <f>IF(IFERROR(IF(C273=C271,0,IF(E273=E272,0,IF(C273=$R$4,HLOOKUP($R$4,Ingreso!$AW$10:$BC$260,VLOOKUP(A273,Ingreso!AL:AM,2,FALSE),FALSE)/24,""))),"")=0,"",IFERROR(IF(C273=C271,0,IF(E273=E272,0,IF(C273=$R$4,HLOOKUP($R$4,Ingreso!$AW$10:$BC$260,VLOOKUP(A273,Ingreso!AL:AM,2,FALSE),FALSE)/24,""))),""))</f>
        <v/>
      </c>
      <c r="P273" s="90"/>
      <c r="T273" t="s">
        <v>1423</v>
      </c>
      <c r="U273" t="s">
        <v>4</v>
      </c>
      <c r="V273" t="s">
        <v>1398</v>
      </c>
      <c r="W273" s="82">
        <v>316</v>
      </c>
      <c r="X273" s="71">
        <v>0.3125</v>
      </c>
      <c r="Y273" s="101">
        <v>0.29655092592592591</v>
      </c>
      <c r="Z273" s="101">
        <v>0.63953703703703701</v>
      </c>
      <c r="AA273" s="101">
        <v>0.3429861111111111</v>
      </c>
      <c r="AB273" s="101">
        <v>3.0486111111111103E-2</v>
      </c>
      <c r="AC273" s="105">
        <v>0</v>
      </c>
      <c r="AD273" s="105">
        <v>0</v>
      </c>
      <c r="AE273" s="93">
        <v>0</v>
      </c>
      <c r="AF273" s="93">
        <v>0</v>
      </c>
      <c r="AG273" s="93">
        <v>0</v>
      </c>
    </row>
    <row r="274" spans="1:33">
      <c r="A274" s="65" t="str">
        <f>IFERROR(VLOOKUP('Informe Kelly'!A267,Base!A:B,2,FALSE),"")</f>
        <v>09.748.915-7</v>
      </c>
      <c r="B274" s="65" t="str">
        <f>IFERROR(VLOOKUP('Informe Kelly'!A267,Base!A:G,7,FALSE),"")</f>
        <v>HERNANDEZ FLORES VICTOR MANUEL</v>
      </c>
      <c r="C274" s="69" t="str">
        <f>IF(G274=$C$4,IF('Informe Kelly'!H267='Control informe Kelly'!$A$2,TEXT(((LEFT('Informe Kelly'!E267,2)*1)+1),"dd")&amp;"."&amp;MID('Informe Kelly'!E267,4,2)&amp;"."&amp;RIGHT('Informe Kelly'!E267,4),'Informe Kelly'!E267),'Informe Kelly'!E267)</f>
        <v>11.04.2011</v>
      </c>
      <c r="D274" s="69" t="str">
        <f>IF('Informe Kelly'!E267="","",'Informe Kelly'!E267)</f>
        <v>11.04.2011</v>
      </c>
      <c r="E274" s="72">
        <f t="shared" si="9"/>
        <v>137</v>
      </c>
      <c r="F274" s="72" t="str">
        <f>IFERROR(HLOOKUP(C274,Ingreso!$Q$8:$AD$9,2,FALSE),"v")</f>
        <v>Lunes</v>
      </c>
      <c r="G274" s="65" t="str">
        <f>IFERROR(VLOOKUP(A274,Ingreso!K:P,6,FALSE),"no esta ingresado")</f>
        <v>Turno B</v>
      </c>
      <c r="H274" s="65" t="str">
        <f>IFERROR(IF('Informe Kelly'!H267=$A$2,'Informe Kelly'!F267,""),0)</f>
        <v/>
      </c>
      <c r="I274" s="65">
        <f>IFERROR(IF('Informe Kelly'!H267=$A$3,'Informe Kelly'!F267,""),0)</f>
        <v>0.94395833333333334</v>
      </c>
      <c r="J274" s="65" t="str">
        <f>IF(IFERROR(IF(E274=E273,0,(HLOOKUP(D274,Ingreso!$AN$10:$AT$260,VLOOKUP(A274,Ingreso!$AL$11:$AM$260,2,FALSE)))/24),0)=0,"",IFERROR(IF(E274=E273,0,(HLOOKUP(D274,Ingreso!$AN$10:$AT$260,VLOOKUP(A274,Ingreso!$AL$11:$AM$260,2,FALSE)))/24),0))</f>
        <v/>
      </c>
      <c r="K274" s="65" t="str">
        <f>IF(IFERROR(IF(E274=E273,0,(HLOOKUP(C274,Ingreso!$AW$10:$BC$260,VLOOKUP(A274,Ingreso!$AL$11:$AM$260,2,FALSE)))/24),0)=0,"",IFERROR(IF(E274=E273,0,(HLOOKUP(C274,Ingreso!$AW$10:$BC$260,VLOOKUP(A274,Ingreso!$AL$11:$AM$260,2,FALSE)))/24),0))</f>
        <v/>
      </c>
      <c r="L274" s="63">
        <f t="shared" si="8"/>
        <v>0.3125</v>
      </c>
      <c r="M274" s="63" t="str">
        <f>IF(IFERROR(IF(C274=C272,0,IF(E274=E273,0,IF(C274=$R$2,HLOOKUP($R$2,Ingreso!$AW$10:$BC$260,VLOOKUP(A274,Ingreso!AL:AM,2,FALSE),FALSE)/24,""))),"")=0,"",IFERROR(IF(C274=C272,0,IF(E274=E273,0,IF(C274=$R$2,HLOOKUP($R$2,Ingreso!$AW$10:$BC$260,VLOOKUP(A274,Ingreso!AL:AM,2,FALSE),FALSE)/24,""))),""))</f>
        <v/>
      </c>
      <c r="N274" s="95" t="str">
        <f>IF(IFERROR(IF(C274=C272,0,IF(E274=E273,0,IF(C274=$R$3,HLOOKUP($R$3,Ingreso!$AW$10:$BC$260,VLOOKUP(A274,Ingreso!AL:AM,2,FALSE),FALSE)/24,""))),"")=0,"",IFERROR(IF(C274=C272,0,IF(E274=E273,0,IF(C274=$R$3,HLOOKUP($R$3,Ingreso!$AW$10:$BC$260,VLOOKUP(A274,Ingreso!AL:AM,2,FALSE),FALSE)/24,""))),""))</f>
        <v/>
      </c>
      <c r="O274" s="95" t="str">
        <f>IF(IFERROR(IF(C274=C272,0,IF(E274=E273,0,IF(C274=$R$4,HLOOKUP($R$4,Ingreso!$AW$10:$BC$260,VLOOKUP(A274,Ingreso!AL:AM,2,FALSE),FALSE)/24,""))),"")=0,"",IFERROR(IF(C274=C272,0,IF(E274=E273,0,IF(C274=$R$4,HLOOKUP($R$4,Ingreso!$AW$10:$BC$260,VLOOKUP(A274,Ingreso!AL:AM,2,FALSE),FALSE)/24,""))),""))</f>
        <v/>
      </c>
      <c r="P274" s="90"/>
      <c r="T274" t="s">
        <v>1424</v>
      </c>
      <c r="U274" t="s">
        <v>4</v>
      </c>
      <c r="V274" t="s">
        <v>1399</v>
      </c>
      <c r="W274" s="82">
        <v>317</v>
      </c>
      <c r="X274" s="71">
        <v>0.3125</v>
      </c>
      <c r="Y274" s="101">
        <v>0.29640046296296296</v>
      </c>
      <c r="Z274" s="101">
        <v>0.63694444444444442</v>
      </c>
      <c r="AA274" s="101">
        <v>0.34054398148148146</v>
      </c>
      <c r="AB274" s="101">
        <v>2.8043981481481461E-2</v>
      </c>
      <c r="AC274" s="105">
        <v>0</v>
      </c>
      <c r="AD274" s="105">
        <v>0</v>
      </c>
      <c r="AE274" s="93">
        <v>0</v>
      </c>
      <c r="AF274" s="93">
        <v>0</v>
      </c>
      <c r="AG274" s="93">
        <v>0</v>
      </c>
    </row>
    <row r="275" spans="1:33">
      <c r="A275" s="65" t="str">
        <f>IFERROR(VLOOKUP('Informe Kelly'!A268,Base!A:B,2,FALSE),"")</f>
        <v>09.748.915-7</v>
      </c>
      <c r="B275" s="65" t="str">
        <f>IFERROR(VLOOKUP('Informe Kelly'!A268,Base!A:G,7,FALSE),"")</f>
        <v>HERNANDEZ FLORES VICTOR MANUEL</v>
      </c>
      <c r="C275" s="69" t="str">
        <f>IF(G275=$C$4,IF('Informe Kelly'!H268='Control informe Kelly'!$A$2,TEXT(((LEFT('Informe Kelly'!E268,2)*1)+1),"dd")&amp;"."&amp;MID('Informe Kelly'!E268,4,2)&amp;"."&amp;RIGHT('Informe Kelly'!E268,4),'Informe Kelly'!E268),'Informe Kelly'!E268)</f>
        <v>11.04.2011</v>
      </c>
      <c r="D275" s="69" t="str">
        <f>IF('Informe Kelly'!E268="","",'Informe Kelly'!E268)</f>
        <v>11.04.2011</v>
      </c>
      <c r="E275" s="72">
        <f t="shared" si="9"/>
        <v>137</v>
      </c>
      <c r="F275" s="72" t="str">
        <f>IFERROR(HLOOKUP(C275,Ingreso!$Q$8:$AD$9,2,FALSE),"v")</f>
        <v>Lunes</v>
      </c>
      <c r="G275" s="65" t="str">
        <f>IFERROR(VLOOKUP(A275,Ingreso!K:P,6,FALSE),"no esta ingresado")</f>
        <v>Turno B</v>
      </c>
      <c r="H275" s="65">
        <f>IFERROR(IF('Informe Kelly'!H268=$A$2,'Informe Kelly'!F268,""),0)</f>
        <v>0.61104166666666659</v>
      </c>
      <c r="I275" s="65" t="str">
        <f>IFERROR(IF('Informe Kelly'!H268=$A$3,'Informe Kelly'!F268,""),0)</f>
        <v/>
      </c>
      <c r="J275" s="65" t="str">
        <f>IF(IFERROR(IF(E275=E274,0,(HLOOKUP(D275,Ingreso!$AN$10:$AT$260,VLOOKUP(A275,Ingreso!$AL$11:$AM$260,2,FALSE)))/24),0)=0,"",IFERROR(IF(E275=E274,0,(HLOOKUP(D275,Ingreso!$AN$10:$AT$260,VLOOKUP(A275,Ingreso!$AL$11:$AM$260,2,FALSE)))/24),0))</f>
        <v/>
      </c>
      <c r="K275" s="65" t="str">
        <f>IF(IFERROR(IF(E275=E274,0,(HLOOKUP(C275,Ingreso!$AW$10:$BC$260,VLOOKUP(A275,Ingreso!$AL$11:$AM$260,2,FALSE)))/24),0)=0,"",IFERROR(IF(E275=E274,0,(HLOOKUP(C275,Ingreso!$AW$10:$BC$260,VLOOKUP(A275,Ingreso!$AL$11:$AM$260,2,FALSE)))/24),0))</f>
        <v/>
      </c>
      <c r="L275" s="63">
        <f t="shared" si="8"/>
        <v>0</v>
      </c>
      <c r="M275" s="63" t="str">
        <f>IF(IFERROR(IF(C275=C273,0,IF(E275=E274,0,IF(C275=$R$2,HLOOKUP($R$2,Ingreso!$AW$10:$BC$260,VLOOKUP(A275,Ingreso!AL:AM,2,FALSE),FALSE)/24,""))),"")=0,"",IFERROR(IF(C275=C273,0,IF(E275=E274,0,IF(C275=$R$2,HLOOKUP($R$2,Ingreso!$AW$10:$BC$260,VLOOKUP(A275,Ingreso!AL:AM,2,FALSE),FALSE)/24,""))),""))</f>
        <v/>
      </c>
      <c r="N275" s="95" t="str">
        <f>IF(IFERROR(IF(C275=C273,0,IF(E275=E274,0,IF(C275=$R$3,HLOOKUP($R$3,Ingreso!$AW$10:$BC$260,VLOOKUP(A275,Ingreso!AL:AM,2,FALSE),FALSE)/24,""))),"")=0,"",IFERROR(IF(C275=C273,0,IF(E275=E274,0,IF(C275=$R$3,HLOOKUP($R$3,Ingreso!$AW$10:$BC$260,VLOOKUP(A275,Ingreso!AL:AM,2,FALSE),FALSE)/24,""))),""))</f>
        <v/>
      </c>
      <c r="O275" s="95" t="str">
        <f>IF(IFERROR(IF(C275=C273,0,IF(E275=E274,0,IF(C275=$R$4,HLOOKUP($R$4,Ingreso!$AW$10:$BC$260,VLOOKUP(A275,Ingreso!AL:AM,2,FALSE),FALSE)/24,""))),"")=0,"",IFERROR(IF(C275=C273,0,IF(E275=E274,0,IF(C275=$R$4,HLOOKUP($R$4,Ingreso!$AW$10:$BC$260,VLOOKUP(A275,Ingreso!AL:AM,2,FALSE),FALSE)/24,""))),""))</f>
        <v/>
      </c>
      <c r="P275" s="90"/>
      <c r="T275" t="s">
        <v>1425</v>
      </c>
      <c r="U275" t="s">
        <v>4</v>
      </c>
      <c r="V275" t="s">
        <v>1400</v>
      </c>
      <c r="W275" s="82">
        <v>318</v>
      </c>
      <c r="X275" s="71">
        <v>0.3125</v>
      </c>
      <c r="Y275" s="101">
        <v>0.29673611111111114</v>
      </c>
      <c r="Z275" s="101">
        <v>0.64226851851851852</v>
      </c>
      <c r="AA275" s="101">
        <v>0.34553240740740737</v>
      </c>
      <c r="AB275" s="101">
        <v>3.3032407407407371E-2</v>
      </c>
      <c r="AC275" s="105">
        <v>0</v>
      </c>
      <c r="AD275" s="105">
        <v>0</v>
      </c>
      <c r="AE275" s="93">
        <v>0</v>
      </c>
      <c r="AF275" s="93">
        <v>0</v>
      </c>
      <c r="AG275" s="93">
        <v>0</v>
      </c>
    </row>
    <row r="276" spans="1:33">
      <c r="A276" s="65" t="str">
        <f>IFERROR(VLOOKUP('Informe Kelly'!A269,Base!A:B,2,FALSE),"")</f>
        <v>09.748.915-7</v>
      </c>
      <c r="B276" s="65" t="str">
        <f>IFERROR(VLOOKUP('Informe Kelly'!A269,Base!A:G,7,FALSE),"")</f>
        <v>HERNANDEZ FLORES VICTOR MANUEL</v>
      </c>
      <c r="C276" s="69" t="str">
        <f>IF(G276=$C$4,IF('Informe Kelly'!H269='Control informe Kelly'!$A$2,TEXT(((LEFT('Informe Kelly'!E269,2)*1)+1),"dd")&amp;"."&amp;MID('Informe Kelly'!E269,4,2)&amp;"."&amp;RIGHT('Informe Kelly'!E269,4),'Informe Kelly'!E269),'Informe Kelly'!E269)</f>
        <v>12.04.2011</v>
      </c>
      <c r="D276" s="69" t="str">
        <f>IF('Informe Kelly'!E269="","",'Informe Kelly'!E269)</f>
        <v>12.04.2011</v>
      </c>
      <c r="E276" s="72">
        <f t="shared" si="9"/>
        <v>138</v>
      </c>
      <c r="F276" s="72" t="str">
        <f>IFERROR(HLOOKUP(C276,Ingreso!$Q$8:$AD$9,2,FALSE),"v")</f>
        <v>Martes</v>
      </c>
      <c r="G276" s="65" t="str">
        <f>IFERROR(VLOOKUP(A276,Ingreso!K:P,6,FALSE),"no esta ingresado")</f>
        <v>Turno B</v>
      </c>
      <c r="H276" s="65" t="str">
        <f>IFERROR(IF('Informe Kelly'!H269=$A$2,'Informe Kelly'!F269,""),0)</f>
        <v/>
      </c>
      <c r="I276" s="65">
        <f>IFERROR(IF('Informe Kelly'!H269=$A$3,'Informe Kelly'!F269,""),0)</f>
        <v>0.63393518518518521</v>
      </c>
      <c r="J276" s="65" t="str">
        <f>IF(IFERROR(IF(E276=E275,0,(HLOOKUP(D276,Ingreso!$AN$10:$AT$260,VLOOKUP(A276,Ingreso!$AL$11:$AM$260,2,FALSE)))/24),0)=0,"",IFERROR(IF(E276=E275,0,(HLOOKUP(D276,Ingreso!$AN$10:$AT$260,VLOOKUP(A276,Ingreso!$AL$11:$AM$260,2,FALSE)))/24),0))</f>
        <v/>
      </c>
      <c r="K276" s="65" t="str">
        <f>IF(IFERROR(IF(E276=E275,0,(HLOOKUP(C276,Ingreso!$AW$10:$BC$260,VLOOKUP(A276,Ingreso!$AL$11:$AM$260,2,FALSE)))/24),0)=0,"",IFERROR(IF(E276=E275,0,(HLOOKUP(C276,Ingreso!$AW$10:$BC$260,VLOOKUP(A276,Ingreso!$AL$11:$AM$260,2,FALSE)))/24),0))</f>
        <v/>
      </c>
      <c r="L276" s="63">
        <f t="shared" si="8"/>
        <v>0.3125</v>
      </c>
      <c r="M276" s="63" t="str">
        <f>IF(IFERROR(IF(C276=C274,0,IF(E276=E275,0,IF(C276=$R$2,HLOOKUP($R$2,Ingreso!$AW$10:$BC$260,VLOOKUP(A276,Ingreso!AL:AM,2,FALSE),FALSE)/24,""))),"")=0,"",IFERROR(IF(C276=C274,0,IF(E276=E275,0,IF(C276=$R$2,HLOOKUP($R$2,Ingreso!$AW$10:$BC$260,VLOOKUP(A276,Ingreso!AL:AM,2,FALSE),FALSE)/24,""))),""))</f>
        <v/>
      </c>
      <c r="N276" s="95" t="str">
        <f>IF(IFERROR(IF(C276=C274,0,IF(E276=E275,0,IF(C276=$R$3,HLOOKUP($R$3,Ingreso!$AW$10:$BC$260,VLOOKUP(A276,Ingreso!AL:AM,2,FALSE),FALSE)/24,""))),"")=0,"",IFERROR(IF(C276=C274,0,IF(E276=E275,0,IF(C276=$R$3,HLOOKUP($R$3,Ingreso!$AW$10:$BC$260,VLOOKUP(A276,Ingreso!AL:AM,2,FALSE),FALSE)/24,""))),""))</f>
        <v/>
      </c>
      <c r="O276" s="95" t="str">
        <f>IF(IFERROR(IF(C276=C274,0,IF(E276=E275,0,IF(C276=$R$4,HLOOKUP($R$4,Ingreso!$AW$10:$BC$260,VLOOKUP(A276,Ingreso!AL:AM,2,FALSE),FALSE)/24,""))),"")=0,"",IFERROR(IF(C276=C274,0,IF(E276=E275,0,IF(C276=$R$4,HLOOKUP($R$4,Ingreso!$AW$10:$BC$260,VLOOKUP(A276,Ingreso!AL:AM,2,FALSE),FALSE)/24,""))),""))</f>
        <v/>
      </c>
      <c r="P276" s="90"/>
      <c r="T276" t="s">
        <v>1426</v>
      </c>
      <c r="U276" t="s">
        <v>4</v>
      </c>
      <c r="V276" t="s">
        <v>1401</v>
      </c>
      <c r="W276" s="82">
        <v>319</v>
      </c>
      <c r="X276" s="71">
        <v>0.3125</v>
      </c>
      <c r="Y276" s="101">
        <v>0.29641203703703706</v>
      </c>
      <c r="Z276" s="101">
        <v>0.69627314814814811</v>
      </c>
      <c r="AA276" s="101">
        <v>0.39986111111111106</v>
      </c>
      <c r="AB276" s="101">
        <v>8.7361111111111056E-2</v>
      </c>
      <c r="AC276" s="105">
        <v>4.1666666666666664E-2</v>
      </c>
      <c r="AD276" s="105">
        <v>0</v>
      </c>
      <c r="AE276" s="93">
        <v>0</v>
      </c>
      <c r="AF276" s="93">
        <v>0</v>
      </c>
      <c r="AG276" s="93">
        <v>0</v>
      </c>
    </row>
    <row r="277" spans="1:33">
      <c r="A277" s="65" t="str">
        <f>IFERROR(VLOOKUP('Informe Kelly'!A270,Base!A:B,2,FALSE),"")</f>
        <v>09.748.915-7</v>
      </c>
      <c r="B277" s="65" t="str">
        <f>IFERROR(VLOOKUP('Informe Kelly'!A270,Base!A:G,7,FALSE),"")</f>
        <v>HERNANDEZ FLORES VICTOR MANUEL</v>
      </c>
      <c r="C277" s="69" t="str">
        <f>IF(G277=$C$4,IF('Informe Kelly'!H270='Control informe Kelly'!$A$2,TEXT(((LEFT('Informe Kelly'!E270,2)*1)+1),"dd")&amp;"."&amp;MID('Informe Kelly'!E270,4,2)&amp;"."&amp;RIGHT('Informe Kelly'!E270,4),'Informe Kelly'!E270),'Informe Kelly'!E270)</f>
        <v>12.04.2011</v>
      </c>
      <c r="D277" s="69" t="str">
        <f>IF('Informe Kelly'!E270="","",'Informe Kelly'!E270)</f>
        <v>12.04.2011</v>
      </c>
      <c r="E277" s="72">
        <f t="shared" si="9"/>
        <v>138</v>
      </c>
      <c r="F277" s="72" t="str">
        <f>IFERROR(HLOOKUP(C277,Ingreso!$Q$8:$AD$9,2,FALSE),"v")</f>
        <v>Martes</v>
      </c>
      <c r="G277" s="65" t="str">
        <f>IFERROR(VLOOKUP(A277,Ingreso!K:P,6,FALSE),"no esta ingresado")</f>
        <v>Turno B</v>
      </c>
      <c r="H277" s="65">
        <f>IFERROR(IF('Informe Kelly'!H270=$A$2,'Informe Kelly'!F270,""),0)</f>
        <v>0.32155092592592593</v>
      </c>
      <c r="I277" s="65" t="str">
        <f>IFERROR(IF('Informe Kelly'!H270=$A$3,'Informe Kelly'!F270,""),0)</f>
        <v/>
      </c>
      <c r="J277" s="65" t="str">
        <f>IF(IFERROR(IF(E277=E276,0,(HLOOKUP(D277,Ingreso!$AN$10:$AT$260,VLOOKUP(A277,Ingreso!$AL$11:$AM$260,2,FALSE)))/24),0)=0,"",IFERROR(IF(E277=E276,0,(HLOOKUP(D277,Ingreso!$AN$10:$AT$260,VLOOKUP(A277,Ingreso!$AL$11:$AM$260,2,FALSE)))/24),0))</f>
        <v/>
      </c>
      <c r="K277" s="65" t="str">
        <f>IF(IFERROR(IF(E277=E276,0,(HLOOKUP(C277,Ingreso!$AW$10:$BC$260,VLOOKUP(A277,Ingreso!$AL$11:$AM$260,2,FALSE)))/24),0)=0,"",IFERROR(IF(E277=E276,0,(HLOOKUP(C277,Ingreso!$AW$10:$BC$260,VLOOKUP(A277,Ingreso!$AL$11:$AM$260,2,FALSE)))/24),0))</f>
        <v/>
      </c>
      <c r="L277" s="63">
        <f t="shared" si="8"/>
        <v>0</v>
      </c>
      <c r="M277" s="63" t="str">
        <f>IF(IFERROR(IF(C277=C275,0,IF(E277=E276,0,IF(C277=$R$2,HLOOKUP($R$2,Ingreso!$AW$10:$BC$260,VLOOKUP(A277,Ingreso!AL:AM,2,FALSE),FALSE)/24,""))),"")=0,"",IFERROR(IF(C277=C275,0,IF(E277=E276,0,IF(C277=$R$2,HLOOKUP($R$2,Ingreso!$AW$10:$BC$260,VLOOKUP(A277,Ingreso!AL:AM,2,FALSE),FALSE)/24,""))),""))</f>
        <v/>
      </c>
      <c r="N277" s="95" t="str">
        <f>IF(IFERROR(IF(C277=C275,0,IF(E277=E276,0,IF(C277=$R$3,HLOOKUP($R$3,Ingreso!$AW$10:$BC$260,VLOOKUP(A277,Ingreso!AL:AM,2,FALSE),FALSE)/24,""))),"")=0,"",IFERROR(IF(C277=C275,0,IF(E277=E276,0,IF(C277=$R$3,HLOOKUP($R$3,Ingreso!$AW$10:$BC$260,VLOOKUP(A277,Ingreso!AL:AM,2,FALSE),FALSE)/24,""))),""))</f>
        <v/>
      </c>
      <c r="O277" s="95" t="str">
        <f>IF(IFERROR(IF(C277=C275,0,IF(E277=E276,0,IF(C277=$R$4,HLOOKUP($R$4,Ingreso!$AW$10:$BC$260,VLOOKUP(A277,Ingreso!AL:AM,2,FALSE),FALSE)/24,""))),"")=0,"",IFERROR(IF(C277=C275,0,IF(E277=E276,0,IF(C277=$R$4,HLOOKUP($R$4,Ingreso!$AW$10:$BC$260,VLOOKUP(A277,Ingreso!AL:AM,2,FALSE),FALSE)/24,""))),""))</f>
        <v/>
      </c>
      <c r="P277" s="90"/>
      <c r="T277" t="s">
        <v>1427</v>
      </c>
      <c r="U277" t="s">
        <v>4</v>
      </c>
      <c r="V277" t="s">
        <v>1402</v>
      </c>
      <c r="W277" s="82">
        <v>320</v>
      </c>
      <c r="X277" s="71">
        <v>0.3125</v>
      </c>
      <c r="Y277" s="101">
        <v>0.30158564814814814</v>
      </c>
      <c r="Z277" s="101">
        <v>0.63670138888888894</v>
      </c>
      <c r="AA277" s="101">
        <v>0.3351157407407408</v>
      </c>
      <c r="AB277" s="101">
        <v>2.2615740740740797E-2</v>
      </c>
      <c r="AC277" s="105">
        <v>0</v>
      </c>
      <c r="AD277" s="105">
        <v>0</v>
      </c>
      <c r="AE277" s="93">
        <v>0</v>
      </c>
      <c r="AF277" s="93">
        <v>0</v>
      </c>
      <c r="AG277" s="93">
        <v>0</v>
      </c>
    </row>
    <row r="278" spans="1:33">
      <c r="A278" s="65" t="str">
        <f>IFERROR(VLOOKUP('Informe Kelly'!A271,Base!A:B,2,FALSE),"")</f>
        <v>09.748.915-7</v>
      </c>
      <c r="B278" s="65" t="str">
        <f>IFERROR(VLOOKUP('Informe Kelly'!A271,Base!A:G,7,FALSE),"")</f>
        <v>HERNANDEZ FLORES VICTOR MANUEL</v>
      </c>
      <c r="C278" s="69" t="str">
        <f>IF(G278=$C$4,IF('Informe Kelly'!H271='Control informe Kelly'!$A$2,TEXT(((LEFT('Informe Kelly'!E271,2)*1)+1),"dd")&amp;"."&amp;MID('Informe Kelly'!E271,4,2)&amp;"."&amp;RIGHT('Informe Kelly'!E271,4),'Informe Kelly'!E271),'Informe Kelly'!E271)</f>
        <v>13.04.2011</v>
      </c>
      <c r="D278" s="69" t="str">
        <f>IF('Informe Kelly'!E271="","",'Informe Kelly'!E271)</f>
        <v>13.04.2011</v>
      </c>
      <c r="E278" s="72">
        <f t="shared" si="9"/>
        <v>139</v>
      </c>
      <c r="F278" s="72" t="str">
        <f>IFERROR(HLOOKUP(C278,Ingreso!$Q$8:$AD$9,2,FALSE),"v")</f>
        <v>Miércoles</v>
      </c>
      <c r="G278" s="65" t="str">
        <f>IFERROR(VLOOKUP(A278,Ingreso!K:P,6,FALSE),"no esta ingresado")</f>
        <v>Turno B</v>
      </c>
      <c r="H278" s="65" t="str">
        <f>IFERROR(IF('Informe Kelly'!H271=$A$2,'Informe Kelly'!F271,""),0)</f>
        <v/>
      </c>
      <c r="I278" s="65">
        <f>IFERROR(IF('Informe Kelly'!H271=$A$3,'Informe Kelly'!F271,""),0)</f>
        <v>0.9421180555555555</v>
      </c>
      <c r="J278" s="65" t="str">
        <f>IF(IFERROR(IF(E278=E277,0,(HLOOKUP(D278,Ingreso!$AN$10:$AT$260,VLOOKUP(A278,Ingreso!$AL$11:$AM$260,2,FALSE)))/24),0)=0,"",IFERROR(IF(E278=E277,0,(HLOOKUP(D278,Ingreso!$AN$10:$AT$260,VLOOKUP(A278,Ingreso!$AL$11:$AM$260,2,FALSE)))/24),0))</f>
        <v/>
      </c>
      <c r="K278" s="65" t="str">
        <f>IF(IFERROR(IF(E278=E277,0,(HLOOKUP(C278,Ingreso!$AW$10:$BC$260,VLOOKUP(A278,Ingreso!$AL$11:$AM$260,2,FALSE)))/24),0)=0,"",IFERROR(IF(E278=E277,0,(HLOOKUP(C278,Ingreso!$AW$10:$BC$260,VLOOKUP(A278,Ingreso!$AL$11:$AM$260,2,FALSE)))/24),0))</f>
        <v/>
      </c>
      <c r="L278" s="63">
        <f t="shared" si="8"/>
        <v>0.3125</v>
      </c>
      <c r="M278" s="63" t="str">
        <f>IF(IFERROR(IF(C278=C276,0,IF(E278=E277,0,IF(C278=$R$2,HLOOKUP($R$2,Ingreso!$AW$10:$BC$260,VLOOKUP(A278,Ingreso!AL:AM,2,FALSE),FALSE)/24,""))),"")=0,"",IFERROR(IF(C278=C276,0,IF(E278=E277,0,IF(C278=$R$2,HLOOKUP($R$2,Ingreso!$AW$10:$BC$260,VLOOKUP(A278,Ingreso!AL:AM,2,FALSE),FALSE)/24,""))),""))</f>
        <v/>
      </c>
      <c r="N278" s="95" t="str">
        <f>IF(IFERROR(IF(C278=C276,0,IF(E278=E277,0,IF(C278=$R$3,HLOOKUP($R$3,Ingreso!$AW$10:$BC$260,VLOOKUP(A278,Ingreso!AL:AM,2,FALSE),FALSE)/24,""))),"")=0,"",IFERROR(IF(C278=C276,0,IF(E278=E277,0,IF(C278=$R$3,HLOOKUP($R$3,Ingreso!$AW$10:$BC$260,VLOOKUP(A278,Ingreso!AL:AM,2,FALSE),FALSE)/24,""))),""))</f>
        <v/>
      </c>
      <c r="O278" s="95" t="str">
        <f>IF(IFERROR(IF(C278=C276,0,IF(E278=E277,0,IF(C278=$R$4,HLOOKUP($R$4,Ingreso!$AW$10:$BC$260,VLOOKUP(A278,Ingreso!AL:AM,2,FALSE),FALSE)/24,""))),"")=0,"",IFERROR(IF(C278=C276,0,IF(E278=E277,0,IF(C278=$R$4,HLOOKUP($R$4,Ingreso!$AW$10:$BC$260,VLOOKUP(A278,Ingreso!AL:AM,2,FALSE),FALSE)/24,""))),""))</f>
        <v/>
      </c>
      <c r="P278" s="90"/>
      <c r="R278" t="s">
        <v>163</v>
      </c>
      <c r="S278" t="s">
        <v>167</v>
      </c>
      <c r="T278" t="s">
        <v>1420</v>
      </c>
      <c r="U278" t="s">
        <v>1338</v>
      </c>
      <c r="V278" t="s">
        <v>1397</v>
      </c>
      <c r="W278" s="82">
        <v>327</v>
      </c>
      <c r="X278" s="71">
        <v>0.41666666666666669</v>
      </c>
      <c r="Y278" s="101">
        <v>0.37665509259259261</v>
      </c>
      <c r="Z278" s="101">
        <v>0.76302083333333337</v>
      </c>
      <c r="AA278" s="101">
        <v>0.38636574074074076</v>
      </c>
      <c r="AB278" s="101">
        <v>-3.0300925925925926E-2</v>
      </c>
      <c r="AC278" s="105">
        <v>4.1666666666666664E-2</v>
      </c>
      <c r="AD278" s="105">
        <v>0</v>
      </c>
      <c r="AE278" s="93">
        <v>0</v>
      </c>
      <c r="AF278" s="93">
        <v>0</v>
      </c>
      <c r="AG278" s="93">
        <v>0</v>
      </c>
    </row>
    <row r="279" spans="1:33">
      <c r="A279" s="65" t="str">
        <f>IFERROR(VLOOKUP('Informe Kelly'!A272,Base!A:B,2,FALSE),"")</f>
        <v>09.748.915-7</v>
      </c>
      <c r="B279" s="65" t="str">
        <f>IFERROR(VLOOKUP('Informe Kelly'!A272,Base!A:G,7,FALSE),"")</f>
        <v>HERNANDEZ FLORES VICTOR MANUEL</v>
      </c>
      <c r="C279" s="69" t="str">
        <f>IF(G279=$C$4,IF('Informe Kelly'!H272='Control informe Kelly'!$A$2,TEXT(((LEFT('Informe Kelly'!E272,2)*1)+1),"dd")&amp;"."&amp;MID('Informe Kelly'!E272,4,2)&amp;"."&amp;RIGHT('Informe Kelly'!E272,4),'Informe Kelly'!E272),'Informe Kelly'!E272)</f>
        <v>13.04.2011</v>
      </c>
      <c r="D279" s="69" t="str">
        <f>IF('Informe Kelly'!E272="","",'Informe Kelly'!E272)</f>
        <v>13.04.2011</v>
      </c>
      <c r="E279" s="72">
        <f t="shared" si="9"/>
        <v>139</v>
      </c>
      <c r="F279" s="72" t="str">
        <f>IFERROR(HLOOKUP(C279,Ingreso!$Q$8:$AD$9,2,FALSE),"v")</f>
        <v>Miércoles</v>
      </c>
      <c r="G279" s="65" t="str">
        <f>IFERROR(VLOOKUP(A279,Ingreso!K:P,6,FALSE),"no esta ingresado")</f>
        <v>Turno B</v>
      </c>
      <c r="H279" s="65">
        <f>IFERROR(IF('Informe Kelly'!H272=$A$2,'Informe Kelly'!F272,""),0)</f>
        <v>0.62535879629629632</v>
      </c>
      <c r="I279" s="65" t="str">
        <f>IFERROR(IF('Informe Kelly'!H272=$A$3,'Informe Kelly'!F272,""),0)</f>
        <v/>
      </c>
      <c r="J279" s="65" t="str">
        <f>IF(IFERROR(IF(E279=E278,0,(HLOOKUP(D279,Ingreso!$AN$10:$AT$260,VLOOKUP(A279,Ingreso!$AL$11:$AM$260,2,FALSE)))/24),0)=0,"",IFERROR(IF(E279=E278,0,(HLOOKUP(D279,Ingreso!$AN$10:$AT$260,VLOOKUP(A279,Ingreso!$AL$11:$AM$260,2,FALSE)))/24),0))</f>
        <v/>
      </c>
      <c r="K279" s="65" t="str">
        <f>IF(IFERROR(IF(E279=E278,0,(HLOOKUP(C279,Ingreso!$AW$10:$BC$260,VLOOKUP(A279,Ingreso!$AL$11:$AM$260,2,FALSE)))/24),0)=0,"",IFERROR(IF(E279=E278,0,(HLOOKUP(C279,Ingreso!$AW$10:$BC$260,VLOOKUP(A279,Ingreso!$AL$11:$AM$260,2,FALSE)))/24),0))</f>
        <v/>
      </c>
      <c r="L279" s="63">
        <f t="shared" si="8"/>
        <v>0</v>
      </c>
      <c r="M279" s="63" t="str">
        <f>IF(IFERROR(IF(C279=C277,0,IF(E279=E278,0,IF(C279=$R$2,HLOOKUP($R$2,Ingreso!$AW$10:$BC$260,VLOOKUP(A279,Ingreso!AL:AM,2,FALSE),FALSE)/24,""))),"")=0,"",IFERROR(IF(C279=C277,0,IF(E279=E278,0,IF(C279=$R$2,HLOOKUP($R$2,Ingreso!$AW$10:$BC$260,VLOOKUP(A279,Ingreso!AL:AM,2,FALSE),FALSE)/24,""))),""))</f>
        <v/>
      </c>
      <c r="N279" s="95" t="str">
        <f>IF(IFERROR(IF(C279=C277,0,IF(E279=E278,0,IF(C279=$R$3,HLOOKUP($R$3,Ingreso!$AW$10:$BC$260,VLOOKUP(A279,Ingreso!AL:AM,2,FALSE),FALSE)/24,""))),"")=0,"",IFERROR(IF(C279=C277,0,IF(E279=E278,0,IF(C279=$R$3,HLOOKUP($R$3,Ingreso!$AW$10:$BC$260,VLOOKUP(A279,Ingreso!AL:AM,2,FALSE),FALSE)/24,""))),""))</f>
        <v/>
      </c>
      <c r="O279" s="95" t="str">
        <f>IF(IFERROR(IF(C279=C277,0,IF(E279=E278,0,IF(C279=$R$4,HLOOKUP($R$4,Ingreso!$AW$10:$BC$260,VLOOKUP(A279,Ingreso!AL:AM,2,FALSE),FALSE)/24,""))),"")=0,"",IFERROR(IF(C279=C277,0,IF(E279=E278,0,IF(C279=$R$4,HLOOKUP($R$4,Ingreso!$AW$10:$BC$260,VLOOKUP(A279,Ingreso!AL:AM,2,FALSE),FALSE)/24,""))),""))</f>
        <v/>
      </c>
      <c r="P279" s="90"/>
      <c r="T279" t="s">
        <v>1423</v>
      </c>
      <c r="U279" t="s">
        <v>1338</v>
      </c>
      <c r="V279" t="s">
        <v>1398</v>
      </c>
      <c r="W279" s="82">
        <v>328</v>
      </c>
      <c r="X279" s="71">
        <v>0.41666666666666669</v>
      </c>
      <c r="Y279" s="101">
        <v>0.36283564814814812</v>
      </c>
      <c r="Z279" s="101">
        <v>0.82534722222222223</v>
      </c>
      <c r="AA279" s="101">
        <v>0.46251157407407412</v>
      </c>
      <c r="AB279" s="101">
        <v>4.5844907407407431E-2</v>
      </c>
      <c r="AC279" s="105">
        <v>4.1666666666666664E-2</v>
      </c>
      <c r="AD279" s="105">
        <v>0</v>
      </c>
      <c r="AE279" s="93">
        <v>0</v>
      </c>
      <c r="AF279" s="93">
        <v>0</v>
      </c>
      <c r="AG279" s="93">
        <v>0</v>
      </c>
    </row>
    <row r="280" spans="1:33">
      <c r="A280" s="65" t="str">
        <f>IFERROR(VLOOKUP('Informe Kelly'!A273,Base!A:B,2,FALSE),"")</f>
        <v>09.748.915-7</v>
      </c>
      <c r="B280" s="65" t="str">
        <f>IFERROR(VLOOKUP('Informe Kelly'!A273,Base!A:G,7,FALSE),"")</f>
        <v>HERNANDEZ FLORES VICTOR MANUEL</v>
      </c>
      <c r="C280" s="69" t="str">
        <f>IF(G280=$C$4,IF('Informe Kelly'!H273='Control informe Kelly'!$A$2,TEXT(((LEFT('Informe Kelly'!E273,2)*1)+1),"dd")&amp;"."&amp;MID('Informe Kelly'!E273,4,2)&amp;"."&amp;RIGHT('Informe Kelly'!E273,4),'Informe Kelly'!E273),'Informe Kelly'!E273)</f>
        <v>14.04.2011</v>
      </c>
      <c r="D280" s="69" t="str">
        <f>IF('Informe Kelly'!E273="","",'Informe Kelly'!E273)</f>
        <v>14.04.2011</v>
      </c>
      <c r="E280" s="72">
        <f t="shared" si="9"/>
        <v>140</v>
      </c>
      <c r="F280" s="72" t="str">
        <f>IFERROR(HLOOKUP(C280,Ingreso!$Q$8:$AD$9,2,FALSE),"v")</f>
        <v>Jueves</v>
      </c>
      <c r="G280" s="65" t="str">
        <f>IFERROR(VLOOKUP(A280,Ingreso!K:P,6,FALSE),"no esta ingresado")</f>
        <v>Turno B</v>
      </c>
      <c r="H280" s="65" t="str">
        <f>IFERROR(IF('Informe Kelly'!H273=$A$2,'Informe Kelly'!F273,""),0)</f>
        <v/>
      </c>
      <c r="I280" s="65">
        <f>IFERROR(IF('Informe Kelly'!H273=$A$3,'Informe Kelly'!F273,""),0)</f>
        <v>0.94524305555555566</v>
      </c>
      <c r="J280" s="65" t="str">
        <f>IF(IFERROR(IF(E280=E279,0,(HLOOKUP(D280,Ingreso!$AN$10:$AT$260,VLOOKUP(A280,Ingreso!$AL$11:$AM$260,2,FALSE)))/24),0)=0,"",IFERROR(IF(E280=E279,0,(HLOOKUP(D280,Ingreso!$AN$10:$AT$260,VLOOKUP(A280,Ingreso!$AL$11:$AM$260,2,FALSE)))/24),0))</f>
        <v/>
      </c>
      <c r="K280" s="65" t="str">
        <f>IF(IFERROR(IF(E280=E279,0,(HLOOKUP(C280,Ingreso!$AW$10:$BC$260,VLOOKUP(A280,Ingreso!$AL$11:$AM$260,2,FALSE)))/24),0)=0,"",IFERROR(IF(E280=E279,0,(HLOOKUP(C280,Ingreso!$AW$10:$BC$260,VLOOKUP(A280,Ingreso!$AL$11:$AM$260,2,FALSE)))/24),0))</f>
        <v/>
      </c>
      <c r="L280" s="63">
        <f t="shared" si="8"/>
        <v>0.3125</v>
      </c>
      <c r="M280" s="63" t="str">
        <f>IF(IFERROR(IF(C280=C278,0,IF(E280=E279,0,IF(C280=$R$2,HLOOKUP($R$2,Ingreso!$AW$10:$BC$260,VLOOKUP(A280,Ingreso!AL:AM,2,FALSE),FALSE)/24,""))),"")=0,"",IFERROR(IF(C280=C278,0,IF(E280=E279,0,IF(C280=$R$2,HLOOKUP($R$2,Ingreso!$AW$10:$BC$260,VLOOKUP(A280,Ingreso!AL:AM,2,FALSE),FALSE)/24,""))),""))</f>
        <v/>
      </c>
      <c r="N280" s="95" t="str">
        <f>IF(IFERROR(IF(C280=C278,0,IF(E280=E279,0,IF(C280=$R$3,HLOOKUP($R$3,Ingreso!$AW$10:$BC$260,VLOOKUP(A280,Ingreso!AL:AM,2,FALSE),FALSE)/24,""))),"")=0,"",IFERROR(IF(C280=C278,0,IF(E280=E279,0,IF(C280=$R$3,HLOOKUP($R$3,Ingreso!$AW$10:$BC$260,VLOOKUP(A280,Ingreso!AL:AM,2,FALSE),FALSE)/24,""))),""))</f>
        <v/>
      </c>
      <c r="O280" s="95" t="str">
        <f>IF(IFERROR(IF(C280=C278,0,IF(E280=E279,0,IF(C280=$R$4,HLOOKUP($R$4,Ingreso!$AW$10:$BC$260,VLOOKUP(A280,Ingreso!AL:AM,2,FALSE),FALSE)/24,""))),"")=0,"",IFERROR(IF(C280=C278,0,IF(E280=E279,0,IF(C280=$R$4,HLOOKUP($R$4,Ingreso!$AW$10:$BC$260,VLOOKUP(A280,Ingreso!AL:AM,2,FALSE),FALSE)/24,""))),""))</f>
        <v/>
      </c>
      <c r="P280" s="90"/>
      <c r="T280" t="s">
        <v>1424</v>
      </c>
      <c r="U280" t="s">
        <v>1338</v>
      </c>
      <c r="V280" t="s">
        <v>1399</v>
      </c>
      <c r="W280" s="82">
        <v>329</v>
      </c>
      <c r="X280" s="71">
        <v>0.41666666666666669</v>
      </c>
      <c r="Y280" s="101">
        <v>0.35728009259259258</v>
      </c>
      <c r="Z280" s="101">
        <v>0.8189467592592593</v>
      </c>
      <c r="AA280" s="101">
        <v>0.46166666666666673</v>
      </c>
      <c r="AB280" s="101">
        <v>4.500000000000004E-2</v>
      </c>
      <c r="AC280" s="105">
        <v>4.1666666666666664E-2</v>
      </c>
      <c r="AD280" s="105">
        <v>0</v>
      </c>
      <c r="AE280" s="93">
        <v>0</v>
      </c>
      <c r="AF280" s="93">
        <v>0</v>
      </c>
      <c r="AG280" s="93">
        <v>0</v>
      </c>
    </row>
    <row r="281" spans="1:33">
      <c r="A281" s="65" t="str">
        <f>IFERROR(VLOOKUP('Informe Kelly'!A274,Base!A:B,2,FALSE),"")</f>
        <v>09.748.915-7</v>
      </c>
      <c r="B281" s="65" t="str">
        <f>IFERROR(VLOOKUP('Informe Kelly'!A274,Base!A:G,7,FALSE),"")</f>
        <v>HERNANDEZ FLORES VICTOR MANUEL</v>
      </c>
      <c r="C281" s="69" t="str">
        <f>IF(G281=$C$4,IF('Informe Kelly'!H274='Control informe Kelly'!$A$2,TEXT(((LEFT('Informe Kelly'!E274,2)*1)+1),"dd")&amp;"."&amp;MID('Informe Kelly'!E274,4,2)&amp;"."&amp;RIGHT('Informe Kelly'!E274,4),'Informe Kelly'!E274),'Informe Kelly'!E274)</f>
        <v>14.04.2011</v>
      </c>
      <c r="D281" s="69" t="str">
        <f>IF('Informe Kelly'!E274="","",'Informe Kelly'!E274)</f>
        <v>14.04.2011</v>
      </c>
      <c r="E281" s="72">
        <f t="shared" si="9"/>
        <v>140</v>
      </c>
      <c r="F281" s="72" t="str">
        <f>IFERROR(HLOOKUP(C281,Ingreso!$Q$8:$AD$9,2,FALSE),"v")</f>
        <v>Jueves</v>
      </c>
      <c r="G281" s="65" t="str">
        <f>IFERROR(VLOOKUP(A281,Ingreso!K:P,6,FALSE),"no esta ingresado")</f>
        <v>Turno B</v>
      </c>
      <c r="H281" s="65">
        <f>IFERROR(IF('Informe Kelly'!H274=$A$2,'Informe Kelly'!F274,""),0)</f>
        <v>0.60252314814814811</v>
      </c>
      <c r="I281" s="65" t="str">
        <f>IFERROR(IF('Informe Kelly'!H274=$A$3,'Informe Kelly'!F274,""),0)</f>
        <v/>
      </c>
      <c r="J281" s="65" t="str">
        <f>IF(IFERROR(IF(E281=E280,0,(HLOOKUP(D281,Ingreso!$AN$10:$AT$260,VLOOKUP(A281,Ingreso!$AL$11:$AM$260,2,FALSE)))/24),0)=0,"",IFERROR(IF(E281=E280,0,(HLOOKUP(D281,Ingreso!$AN$10:$AT$260,VLOOKUP(A281,Ingreso!$AL$11:$AM$260,2,FALSE)))/24),0))</f>
        <v/>
      </c>
      <c r="K281" s="65" t="str">
        <f>IF(IFERROR(IF(E281=E280,0,(HLOOKUP(C281,Ingreso!$AW$10:$BC$260,VLOOKUP(A281,Ingreso!$AL$11:$AM$260,2,FALSE)))/24),0)=0,"",IFERROR(IF(E281=E280,0,(HLOOKUP(C281,Ingreso!$AW$10:$BC$260,VLOOKUP(A281,Ingreso!$AL$11:$AM$260,2,FALSE)))/24),0))</f>
        <v/>
      </c>
      <c r="L281" s="63">
        <f t="shared" si="8"/>
        <v>0</v>
      </c>
      <c r="M281" s="63" t="str">
        <f>IF(IFERROR(IF(C281=C279,0,IF(E281=E280,0,IF(C281=$R$2,HLOOKUP($R$2,Ingreso!$AW$10:$BC$260,VLOOKUP(A281,Ingreso!AL:AM,2,FALSE),FALSE)/24,""))),"")=0,"",IFERROR(IF(C281=C279,0,IF(E281=E280,0,IF(C281=$R$2,HLOOKUP($R$2,Ingreso!$AW$10:$BC$260,VLOOKUP(A281,Ingreso!AL:AM,2,FALSE),FALSE)/24,""))),""))</f>
        <v/>
      </c>
      <c r="N281" s="95" t="str">
        <f>IF(IFERROR(IF(C281=C279,0,IF(E281=E280,0,IF(C281=$R$3,HLOOKUP($R$3,Ingreso!$AW$10:$BC$260,VLOOKUP(A281,Ingreso!AL:AM,2,FALSE),FALSE)/24,""))),"")=0,"",IFERROR(IF(C281=C279,0,IF(E281=E280,0,IF(C281=$R$3,HLOOKUP($R$3,Ingreso!$AW$10:$BC$260,VLOOKUP(A281,Ingreso!AL:AM,2,FALSE),FALSE)/24,""))),""))</f>
        <v/>
      </c>
      <c r="O281" s="95" t="str">
        <f>IF(IFERROR(IF(C281=C279,0,IF(E281=E280,0,IF(C281=$R$4,HLOOKUP($R$4,Ingreso!$AW$10:$BC$260,VLOOKUP(A281,Ingreso!AL:AM,2,FALSE),FALSE)/24,""))),"")=0,"",IFERROR(IF(C281=C279,0,IF(E281=E280,0,IF(C281=$R$4,HLOOKUP($R$4,Ingreso!$AW$10:$BC$260,VLOOKUP(A281,Ingreso!AL:AM,2,FALSE),FALSE)/24,""))),""))</f>
        <v/>
      </c>
      <c r="P281" s="90"/>
      <c r="T281" t="s">
        <v>1425</v>
      </c>
      <c r="U281" t="s">
        <v>1338</v>
      </c>
      <c r="V281" t="s">
        <v>1400</v>
      </c>
      <c r="W281" s="82">
        <v>330</v>
      </c>
      <c r="X281" s="71">
        <v>0.41666666666666669</v>
      </c>
      <c r="Y281" s="101">
        <v>0.35567129629629629</v>
      </c>
      <c r="Z281" s="101">
        <v>0.79861111111111116</v>
      </c>
      <c r="AA281" s="101">
        <v>0.44293981481481487</v>
      </c>
      <c r="AB281" s="101">
        <v>2.6273148148148184E-2</v>
      </c>
      <c r="AC281" s="105">
        <v>4.1666666666666664E-2</v>
      </c>
      <c r="AD281" s="105">
        <v>0</v>
      </c>
      <c r="AE281" s="93">
        <v>0</v>
      </c>
      <c r="AF281" s="93">
        <v>0</v>
      </c>
      <c r="AG281" s="93">
        <v>0</v>
      </c>
    </row>
    <row r="282" spans="1:33">
      <c r="A282" s="65" t="str">
        <f>IFERROR(VLOOKUP('Informe Kelly'!A275,Base!A:B,2,FALSE),"")</f>
        <v>09.748.915-7</v>
      </c>
      <c r="B282" s="65" t="str">
        <f>IFERROR(VLOOKUP('Informe Kelly'!A275,Base!A:G,7,FALSE),"")</f>
        <v>HERNANDEZ FLORES VICTOR MANUEL</v>
      </c>
      <c r="C282" s="69" t="str">
        <f>IF(G282=$C$4,IF('Informe Kelly'!H275='Control informe Kelly'!$A$2,TEXT(((LEFT('Informe Kelly'!E275,2)*1)+1),"dd")&amp;"."&amp;MID('Informe Kelly'!E275,4,2)&amp;"."&amp;RIGHT('Informe Kelly'!E275,4),'Informe Kelly'!E275),'Informe Kelly'!E275)</f>
        <v>15.04.2011</v>
      </c>
      <c r="D282" s="69" t="str">
        <f>IF('Informe Kelly'!E275="","",'Informe Kelly'!E275)</f>
        <v>15.04.2011</v>
      </c>
      <c r="E282" s="72">
        <f t="shared" si="9"/>
        <v>141</v>
      </c>
      <c r="F282" s="72" t="str">
        <f>IFERROR(HLOOKUP(C282,Ingreso!$Q$8:$AD$9,2,FALSE),"v")</f>
        <v>Viernes</v>
      </c>
      <c r="G282" s="65" t="str">
        <f>IFERROR(VLOOKUP(A282,Ingreso!K:P,6,FALSE),"no esta ingresado")</f>
        <v>Turno B</v>
      </c>
      <c r="H282" s="65" t="str">
        <f>IFERROR(IF('Informe Kelly'!H275=$A$2,'Informe Kelly'!F275,""),0)</f>
        <v/>
      </c>
      <c r="I282" s="65">
        <f>IFERROR(IF('Informe Kelly'!H275=$A$3,'Informe Kelly'!F275,""),0)</f>
        <v>0.63962962962962966</v>
      </c>
      <c r="J282" s="65" t="str">
        <f>IF(IFERROR(IF(E282=E281,0,(HLOOKUP(D282,Ingreso!$AN$10:$AT$260,VLOOKUP(A282,Ingreso!$AL$11:$AM$260,2,FALSE)))/24),0)=0,"",IFERROR(IF(E282=E281,0,(HLOOKUP(D282,Ingreso!$AN$10:$AT$260,VLOOKUP(A282,Ingreso!$AL$11:$AM$260,2,FALSE)))/24),0))</f>
        <v/>
      </c>
      <c r="K282" s="65" t="str">
        <f>IF(IFERROR(IF(E282=E281,0,(HLOOKUP(C282,Ingreso!$AW$10:$BC$260,VLOOKUP(A282,Ingreso!$AL$11:$AM$260,2,FALSE)))/24),0)=0,"",IFERROR(IF(E282=E281,0,(HLOOKUP(C282,Ingreso!$AW$10:$BC$260,VLOOKUP(A282,Ingreso!$AL$11:$AM$260,2,FALSE)))/24),0))</f>
        <v/>
      </c>
      <c r="L282" s="63">
        <f t="shared" si="8"/>
        <v>0.3125</v>
      </c>
      <c r="M282" s="63" t="str">
        <f>IF(IFERROR(IF(C282=C280,0,IF(E282=E281,0,IF(C282=$R$2,HLOOKUP($R$2,Ingreso!$AW$10:$BC$260,VLOOKUP(A282,Ingreso!AL:AM,2,FALSE),FALSE)/24,""))),"")=0,"",IFERROR(IF(C282=C280,0,IF(E282=E281,0,IF(C282=$R$2,HLOOKUP($R$2,Ingreso!$AW$10:$BC$260,VLOOKUP(A282,Ingreso!AL:AM,2,FALSE),FALSE)/24,""))),""))</f>
        <v/>
      </c>
      <c r="N282" s="95" t="str">
        <f>IF(IFERROR(IF(C282=C280,0,IF(E282=E281,0,IF(C282=$R$3,HLOOKUP($R$3,Ingreso!$AW$10:$BC$260,VLOOKUP(A282,Ingreso!AL:AM,2,FALSE),FALSE)/24,""))),"")=0,"",IFERROR(IF(C282=C280,0,IF(E282=E281,0,IF(C282=$R$3,HLOOKUP($R$3,Ingreso!$AW$10:$BC$260,VLOOKUP(A282,Ingreso!AL:AM,2,FALSE),FALSE)/24,""))),""))</f>
        <v/>
      </c>
      <c r="O282" s="95" t="str">
        <f>IF(IFERROR(IF(C282=C280,0,IF(E282=E281,0,IF(C282=$R$4,HLOOKUP($R$4,Ingreso!$AW$10:$BC$260,VLOOKUP(A282,Ingreso!AL:AM,2,FALSE),FALSE)/24,""))),"")=0,"",IFERROR(IF(C282=C280,0,IF(E282=E281,0,IF(C282=$R$4,HLOOKUP($R$4,Ingreso!$AW$10:$BC$260,VLOOKUP(A282,Ingreso!AL:AM,2,FALSE),FALSE)/24,""))),""))</f>
        <v/>
      </c>
      <c r="P282" s="90"/>
      <c r="T282" t="s">
        <v>1426</v>
      </c>
      <c r="U282" t="s">
        <v>1338</v>
      </c>
      <c r="V282" t="s">
        <v>1401</v>
      </c>
      <c r="W282" s="82">
        <v>331</v>
      </c>
      <c r="X282" s="71">
        <v>0.41666666666666669</v>
      </c>
      <c r="Y282" s="101">
        <v>0.36826388888888889</v>
      </c>
      <c r="Z282" s="101">
        <v>0.75521990740740741</v>
      </c>
      <c r="AA282" s="101">
        <v>0.38695601851851852</v>
      </c>
      <c r="AB282" s="101">
        <v>-2.9710648148148167E-2</v>
      </c>
      <c r="AC282" s="105">
        <v>4.1666666666666664E-2</v>
      </c>
      <c r="AD282" s="105">
        <v>0</v>
      </c>
      <c r="AE282" s="93">
        <v>0</v>
      </c>
      <c r="AF282" s="93">
        <v>0</v>
      </c>
      <c r="AG282" s="93">
        <v>0</v>
      </c>
    </row>
    <row r="283" spans="1:33">
      <c r="A283" s="65" t="str">
        <f>IFERROR(VLOOKUP('Informe Kelly'!A276,Base!A:B,2,FALSE),"")</f>
        <v>09.748.915-7</v>
      </c>
      <c r="B283" s="65" t="str">
        <f>IFERROR(VLOOKUP('Informe Kelly'!A276,Base!A:G,7,FALSE),"")</f>
        <v>HERNANDEZ FLORES VICTOR MANUEL</v>
      </c>
      <c r="C283" s="69" t="str">
        <f>IF(G283=$C$4,IF('Informe Kelly'!H276='Control informe Kelly'!$A$2,TEXT(((LEFT('Informe Kelly'!E276,2)*1)+1),"dd")&amp;"."&amp;MID('Informe Kelly'!E276,4,2)&amp;"."&amp;RIGHT('Informe Kelly'!E276,4),'Informe Kelly'!E276),'Informe Kelly'!E276)</f>
        <v>15.04.2011</v>
      </c>
      <c r="D283" s="69" t="str">
        <f>IF('Informe Kelly'!E276="","",'Informe Kelly'!E276)</f>
        <v>15.04.2011</v>
      </c>
      <c r="E283" s="72">
        <f t="shared" si="9"/>
        <v>141</v>
      </c>
      <c r="F283" s="72" t="str">
        <f>IFERROR(HLOOKUP(C283,Ingreso!$Q$8:$AD$9,2,FALSE),"v")</f>
        <v>Viernes</v>
      </c>
      <c r="G283" s="65" t="str">
        <f>IFERROR(VLOOKUP(A283,Ingreso!K:P,6,FALSE),"no esta ingresado")</f>
        <v>Turno B</v>
      </c>
      <c r="H283" s="65">
        <f>IFERROR(IF('Informe Kelly'!H276=$A$2,'Informe Kelly'!F276,""),0)</f>
        <v>0.32216435185185183</v>
      </c>
      <c r="I283" s="65" t="str">
        <f>IFERROR(IF('Informe Kelly'!H276=$A$3,'Informe Kelly'!F276,""),0)</f>
        <v/>
      </c>
      <c r="J283" s="65" t="str">
        <f>IF(IFERROR(IF(E283=E282,0,(HLOOKUP(D283,Ingreso!$AN$10:$AT$260,VLOOKUP(A283,Ingreso!$AL$11:$AM$260,2,FALSE)))/24),0)=0,"",IFERROR(IF(E283=E282,0,(HLOOKUP(D283,Ingreso!$AN$10:$AT$260,VLOOKUP(A283,Ingreso!$AL$11:$AM$260,2,FALSE)))/24),0))</f>
        <v/>
      </c>
      <c r="K283" s="65" t="str">
        <f>IF(IFERROR(IF(E283=E282,0,(HLOOKUP(C283,Ingreso!$AW$10:$BC$260,VLOOKUP(A283,Ingreso!$AL$11:$AM$260,2,FALSE)))/24),0)=0,"",IFERROR(IF(E283=E282,0,(HLOOKUP(C283,Ingreso!$AW$10:$BC$260,VLOOKUP(A283,Ingreso!$AL$11:$AM$260,2,FALSE)))/24),0))</f>
        <v/>
      </c>
      <c r="L283" s="63">
        <f t="shared" si="8"/>
        <v>0</v>
      </c>
      <c r="M283" s="63" t="str">
        <f>IF(IFERROR(IF(C283=C281,0,IF(E283=E282,0,IF(C283=$R$2,HLOOKUP($R$2,Ingreso!$AW$10:$BC$260,VLOOKUP(A283,Ingreso!AL:AM,2,FALSE),FALSE)/24,""))),"")=0,"",IFERROR(IF(C283=C281,0,IF(E283=E282,0,IF(C283=$R$2,HLOOKUP($R$2,Ingreso!$AW$10:$BC$260,VLOOKUP(A283,Ingreso!AL:AM,2,FALSE),FALSE)/24,""))),""))</f>
        <v/>
      </c>
      <c r="N283" s="95" t="str">
        <f>IF(IFERROR(IF(C283=C281,0,IF(E283=E282,0,IF(C283=$R$3,HLOOKUP($R$3,Ingreso!$AW$10:$BC$260,VLOOKUP(A283,Ingreso!AL:AM,2,FALSE),FALSE)/24,""))),"")=0,"",IFERROR(IF(C283=C281,0,IF(E283=E282,0,IF(C283=$R$3,HLOOKUP($R$3,Ingreso!$AW$10:$BC$260,VLOOKUP(A283,Ingreso!AL:AM,2,FALSE),FALSE)/24,""))),""))</f>
        <v/>
      </c>
      <c r="O283" s="95" t="str">
        <f>IF(IFERROR(IF(C283=C281,0,IF(E283=E282,0,IF(C283=$R$4,HLOOKUP($R$4,Ingreso!$AW$10:$BC$260,VLOOKUP(A283,Ingreso!AL:AM,2,FALSE),FALSE)/24,""))),"")=0,"",IFERROR(IF(C283=C281,0,IF(E283=E282,0,IF(C283=$R$4,HLOOKUP($R$4,Ingreso!$AW$10:$BC$260,VLOOKUP(A283,Ingreso!AL:AM,2,FALSE),FALSE)/24,""))),""))</f>
        <v/>
      </c>
      <c r="P283" s="90"/>
      <c r="R283" t="s">
        <v>1225</v>
      </c>
      <c r="S283" t="s">
        <v>1230</v>
      </c>
      <c r="T283" t="s">
        <v>1420</v>
      </c>
      <c r="U283" t="s">
        <v>1324</v>
      </c>
      <c r="V283" t="s">
        <v>1397</v>
      </c>
      <c r="W283" s="82">
        <v>332</v>
      </c>
      <c r="X283" s="71">
        <v>0.375</v>
      </c>
      <c r="Y283" s="101">
        <v>0</v>
      </c>
      <c r="Z283" s="101">
        <v>0.33414351851851848</v>
      </c>
      <c r="AA283" s="101">
        <v>0.33414351851851848</v>
      </c>
      <c r="AB283" s="101">
        <v>-4.0856481481481521E-2</v>
      </c>
      <c r="AC283" s="105">
        <v>0</v>
      </c>
      <c r="AD283" s="105">
        <v>0.3125</v>
      </c>
      <c r="AE283" s="93">
        <v>0.3125</v>
      </c>
      <c r="AF283" s="93">
        <v>0</v>
      </c>
      <c r="AG283" s="93">
        <v>0</v>
      </c>
    </row>
    <row r="284" spans="1:33">
      <c r="A284" s="65" t="str">
        <f>IFERROR(VLOOKUP('Informe Kelly'!A277,Base!A:B,2,FALSE),"")</f>
        <v>09.748.915-7</v>
      </c>
      <c r="B284" s="65" t="str">
        <f>IFERROR(VLOOKUP('Informe Kelly'!A277,Base!A:G,7,FALSE),"")</f>
        <v>HERNANDEZ FLORES VICTOR MANUEL</v>
      </c>
      <c r="C284" s="69" t="str">
        <f>IF(G284=$C$4,IF('Informe Kelly'!H277='Control informe Kelly'!$A$2,TEXT(((LEFT('Informe Kelly'!E277,2)*1)+1),"dd")&amp;"."&amp;MID('Informe Kelly'!E277,4,2)&amp;"."&amp;RIGHT('Informe Kelly'!E277,4),'Informe Kelly'!E277),'Informe Kelly'!E277)</f>
        <v>16.04.2011</v>
      </c>
      <c r="D284" s="69" t="str">
        <f>IF('Informe Kelly'!E277="","",'Informe Kelly'!E277)</f>
        <v>16.04.2011</v>
      </c>
      <c r="E284" s="72">
        <f t="shared" si="9"/>
        <v>142</v>
      </c>
      <c r="F284" s="72" t="str">
        <f>IFERROR(HLOOKUP(C284,Ingreso!$Q$8:$AD$9,2,FALSE),"v")</f>
        <v>Sábado</v>
      </c>
      <c r="G284" s="65" t="str">
        <f>IFERROR(VLOOKUP(A284,Ingreso!K:P,6,FALSE),"no esta ingresado")</f>
        <v>Turno B</v>
      </c>
      <c r="H284" s="65" t="str">
        <f>IFERROR(IF('Informe Kelly'!H277=$A$2,'Informe Kelly'!F277,""),0)</f>
        <v/>
      </c>
      <c r="I284" s="65">
        <f>IFERROR(IF('Informe Kelly'!H277=$A$3,'Informe Kelly'!F277,""),0)</f>
        <v>0.93753472222222223</v>
      </c>
      <c r="J284" s="65" t="str">
        <f>IF(IFERROR(IF(E284=E283,0,(HLOOKUP(D284,Ingreso!$AN$10:$AT$260,VLOOKUP(A284,Ingreso!$AL$11:$AM$260,2,FALSE)))/24),0)=0,"",IFERROR(IF(E284=E283,0,(HLOOKUP(D284,Ingreso!$AN$10:$AT$260,VLOOKUP(A284,Ingreso!$AL$11:$AM$260,2,FALSE)))/24),0))</f>
        <v/>
      </c>
      <c r="K284" s="65" t="str">
        <f>IF(IFERROR(IF(E284=E283,0,(HLOOKUP(C284,Ingreso!$AW$10:$BC$260,VLOOKUP(A284,Ingreso!$AL$11:$AM$260,2,FALSE)))/24),0)=0,"",IFERROR(IF(E284=E283,0,(HLOOKUP(C284,Ingreso!$AW$10:$BC$260,VLOOKUP(A284,Ingreso!$AL$11:$AM$260,2,FALSE)))/24),0))</f>
        <v/>
      </c>
      <c r="L284" s="63">
        <f t="shared" si="8"/>
        <v>0.3125</v>
      </c>
      <c r="M284" s="63" t="str">
        <f>IF(IFERROR(IF(C284=C282,0,IF(E284=E283,0,IF(C284=$R$2,HLOOKUP($R$2,Ingreso!$AW$10:$BC$260,VLOOKUP(A284,Ingreso!AL:AM,2,FALSE),FALSE)/24,""))),"")=0,"",IFERROR(IF(C284=C282,0,IF(E284=E283,0,IF(C284=$R$2,HLOOKUP($R$2,Ingreso!$AW$10:$BC$260,VLOOKUP(A284,Ingreso!AL:AM,2,FALSE),FALSE)/24,""))),""))</f>
        <v/>
      </c>
      <c r="N284" s="95" t="str">
        <f>IF(IFERROR(IF(C284=C282,0,IF(E284=E283,0,IF(C284=$R$3,HLOOKUP($R$3,Ingreso!$AW$10:$BC$260,VLOOKUP(A284,Ingreso!AL:AM,2,FALSE),FALSE)/24,""))),"")=0,"",IFERROR(IF(C284=C282,0,IF(E284=E283,0,IF(C284=$R$3,HLOOKUP($R$3,Ingreso!$AW$10:$BC$260,VLOOKUP(A284,Ingreso!AL:AM,2,FALSE),FALSE)/24,""))),""))</f>
        <v/>
      </c>
      <c r="O284" s="95" t="str">
        <f>IF(IFERROR(IF(C284=C282,0,IF(E284=E283,0,IF(C284=$R$4,HLOOKUP($R$4,Ingreso!$AW$10:$BC$260,VLOOKUP(A284,Ingreso!AL:AM,2,FALSE),FALSE)/24,""))),"")=0,"",IFERROR(IF(C284=C282,0,IF(E284=E283,0,IF(C284=$R$4,HLOOKUP($R$4,Ingreso!$AW$10:$BC$260,VLOOKUP(A284,Ingreso!AL:AM,2,FALSE),FALSE)/24,""))),""))</f>
        <v/>
      </c>
      <c r="P284" s="90"/>
      <c r="T284" t="s">
        <v>1423</v>
      </c>
      <c r="U284" t="s">
        <v>1324</v>
      </c>
      <c r="V284" t="s">
        <v>1398</v>
      </c>
      <c r="W284" s="82">
        <v>333</v>
      </c>
      <c r="X284" s="71">
        <v>0.375</v>
      </c>
      <c r="Y284" s="101">
        <v>0.92561342592592588</v>
      </c>
      <c r="Z284" s="101">
        <v>0</v>
      </c>
      <c r="AA284" s="101">
        <v>7.4386574074074119E-2</v>
      </c>
      <c r="AB284" s="101">
        <v>-0.30061342592592588</v>
      </c>
      <c r="AC284" s="105">
        <v>0</v>
      </c>
      <c r="AD284" s="105">
        <v>0</v>
      </c>
      <c r="AE284" s="93">
        <v>0</v>
      </c>
      <c r="AF284" s="93">
        <v>0</v>
      </c>
      <c r="AG284" s="93">
        <v>0</v>
      </c>
    </row>
    <row r="285" spans="1:33">
      <c r="A285" s="65" t="str">
        <f>IFERROR(VLOOKUP('Informe Kelly'!A278,Base!A:B,2,FALSE),"")</f>
        <v>09.748.915-7</v>
      </c>
      <c r="B285" s="65" t="str">
        <f>IFERROR(VLOOKUP('Informe Kelly'!A278,Base!A:G,7,FALSE),"")</f>
        <v>HERNANDEZ FLORES VICTOR MANUEL</v>
      </c>
      <c r="C285" s="69" t="str">
        <f>IF(G285=$C$4,IF('Informe Kelly'!H278='Control informe Kelly'!$A$2,TEXT(((LEFT('Informe Kelly'!E278,2)*1)+1),"dd")&amp;"."&amp;MID('Informe Kelly'!E278,4,2)&amp;"."&amp;RIGHT('Informe Kelly'!E278,4),'Informe Kelly'!E278),'Informe Kelly'!E278)</f>
        <v>16.04.2011</v>
      </c>
      <c r="D285" s="69" t="str">
        <f>IF('Informe Kelly'!E278="","",'Informe Kelly'!E278)</f>
        <v>16.04.2011</v>
      </c>
      <c r="E285" s="72">
        <f t="shared" si="9"/>
        <v>142</v>
      </c>
      <c r="F285" s="72" t="str">
        <f>IFERROR(HLOOKUP(C285,Ingreso!$Q$8:$AD$9,2,FALSE),"v")</f>
        <v>Sábado</v>
      </c>
      <c r="G285" s="65" t="str">
        <f>IFERROR(VLOOKUP(A285,Ingreso!K:P,6,FALSE),"no esta ingresado")</f>
        <v>Turno B</v>
      </c>
      <c r="H285" s="65">
        <f>IFERROR(IF('Informe Kelly'!H278=$A$2,'Informe Kelly'!F278,""),0)</f>
        <v>0.64457175925925925</v>
      </c>
      <c r="I285" s="65" t="str">
        <f>IFERROR(IF('Informe Kelly'!H278=$A$3,'Informe Kelly'!F278,""),0)</f>
        <v/>
      </c>
      <c r="J285" s="65" t="str">
        <f>IF(IFERROR(IF(E285=E284,0,(HLOOKUP(D285,Ingreso!$AN$10:$AT$260,VLOOKUP(A285,Ingreso!$AL$11:$AM$260,2,FALSE)))/24),0)=0,"",IFERROR(IF(E285=E284,0,(HLOOKUP(D285,Ingreso!$AN$10:$AT$260,VLOOKUP(A285,Ingreso!$AL$11:$AM$260,2,FALSE)))/24),0))</f>
        <v/>
      </c>
      <c r="K285" s="65" t="str">
        <f>IF(IFERROR(IF(E285=E284,0,(HLOOKUP(C285,Ingreso!$AW$10:$BC$260,VLOOKUP(A285,Ingreso!$AL$11:$AM$260,2,FALSE)))/24),0)=0,"",IFERROR(IF(E285=E284,0,(HLOOKUP(C285,Ingreso!$AW$10:$BC$260,VLOOKUP(A285,Ingreso!$AL$11:$AM$260,2,FALSE)))/24),0))</f>
        <v/>
      </c>
      <c r="L285" s="63">
        <f t="shared" si="8"/>
        <v>0</v>
      </c>
      <c r="M285" s="63" t="str">
        <f>IF(IFERROR(IF(C285=C283,0,IF(E285=E284,0,IF(C285=$R$2,HLOOKUP($R$2,Ingreso!$AW$10:$BC$260,VLOOKUP(A285,Ingreso!AL:AM,2,FALSE),FALSE)/24,""))),"")=0,"",IFERROR(IF(C285=C283,0,IF(E285=E284,0,IF(C285=$R$2,HLOOKUP($R$2,Ingreso!$AW$10:$BC$260,VLOOKUP(A285,Ingreso!AL:AM,2,FALSE),FALSE)/24,""))),""))</f>
        <v/>
      </c>
      <c r="N285" s="95" t="str">
        <f>IF(IFERROR(IF(C285=C283,0,IF(E285=E284,0,IF(C285=$R$3,HLOOKUP($R$3,Ingreso!$AW$10:$BC$260,VLOOKUP(A285,Ingreso!AL:AM,2,FALSE),FALSE)/24,""))),"")=0,"",IFERROR(IF(C285=C283,0,IF(E285=E284,0,IF(C285=$R$3,HLOOKUP($R$3,Ingreso!$AW$10:$BC$260,VLOOKUP(A285,Ingreso!AL:AM,2,FALSE),FALSE)/24,""))),""))</f>
        <v/>
      </c>
      <c r="O285" s="95" t="str">
        <f>IF(IFERROR(IF(C285=C283,0,IF(E285=E284,0,IF(C285=$R$4,HLOOKUP($R$4,Ingreso!$AW$10:$BC$260,VLOOKUP(A285,Ingreso!AL:AM,2,FALSE),FALSE)/24,""))),"")=0,"",IFERROR(IF(C285=C283,0,IF(E285=E284,0,IF(C285=$R$4,HLOOKUP($R$4,Ingreso!$AW$10:$BC$260,VLOOKUP(A285,Ingreso!AL:AM,2,FALSE),FALSE)/24,""))),""))</f>
        <v/>
      </c>
      <c r="P285" s="90"/>
      <c r="V285"/>
      <c r="W285" s="82">
        <v>334</v>
      </c>
      <c r="X285" s="71">
        <v>0</v>
      </c>
      <c r="Y285" s="101">
        <v>0</v>
      </c>
      <c r="Z285" s="101">
        <v>0.32425925925925925</v>
      </c>
      <c r="AA285" s="101">
        <v>0.32425925925925925</v>
      </c>
      <c r="AB285" s="101">
        <v>0.32425925925925925</v>
      </c>
      <c r="AC285" s="105">
        <v>0</v>
      </c>
      <c r="AD285" s="105">
        <v>0</v>
      </c>
      <c r="AE285" s="93">
        <v>0</v>
      </c>
      <c r="AF285" s="93">
        <v>0</v>
      </c>
      <c r="AG285" s="93">
        <v>0</v>
      </c>
    </row>
    <row r="286" spans="1:33" s="58" customFormat="1">
      <c r="A286" s="65" t="str">
        <f>IFERROR(VLOOKUP('Informe Kelly'!A279,Base!A:B,2,FALSE),"")</f>
        <v>09.774.031-3</v>
      </c>
      <c r="B286" s="65" t="str">
        <f>IFERROR(VLOOKUP('Informe Kelly'!A279,Base!A:G,7,FALSE),"")</f>
        <v>CACERES VASQUEZ VICTOR</v>
      </c>
      <c r="C286" s="69" t="str">
        <f>IF(G286=$C$4,IF('Informe Kelly'!H279='Control informe Kelly'!$A$2,TEXT(((LEFT('Informe Kelly'!E279,2)*1)+1),"dd")&amp;"."&amp;MID('Informe Kelly'!E279,4,2)&amp;"."&amp;RIGHT('Informe Kelly'!E279,4),'Informe Kelly'!E279),'Informe Kelly'!E279)</f>
        <v>11.04.2011</v>
      </c>
      <c r="D286" s="69" t="str">
        <f>IF('Informe Kelly'!E279="","",'Informe Kelly'!E279)</f>
        <v>11.04.2011</v>
      </c>
      <c r="E286" s="72">
        <f t="shared" si="9"/>
        <v>143</v>
      </c>
      <c r="F286" s="72" t="str">
        <f>IFERROR(HLOOKUP(C286,Ingreso!$Q$8:$AD$9,2,FALSE),"v")</f>
        <v>Lunes</v>
      </c>
      <c r="G286" s="65" t="str">
        <f>IFERROR(VLOOKUP(A286,Ingreso!K:P,6,FALSE),"no esta ingresado")</f>
        <v>Turno B</v>
      </c>
      <c r="H286" s="65" t="str">
        <f>IFERROR(IF('Informe Kelly'!H279=$A$2,'Informe Kelly'!F279,""),0)</f>
        <v/>
      </c>
      <c r="I286" s="65">
        <f>IFERROR(IF('Informe Kelly'!H279=$A$3,'Informe Kelly'!F279,""),0)</f>
        <v>0.33141203703703703</v>
      </c>
      <c r="J286" s="65" t="str">
        <f>IF(IFERROR(IF(E286=E285,0,(HLOOKUP(D286,Ingreso!$AN$10:$AT$260,VLOOKUP(A286,Ingreso!$AL$11:$AM$260,2,FALSE)))/24),0)=0,"",IFERROR(IF(E286=E285,0,(HLOOKUP(D286,Ingreso!$AN$10:$AT$260,VLOOKUP(A286,Ingreso!$AL$11:$AM$260,2,FALSE)))/24),0))</f>
        <v/>
      </c>
      <c r="K286" s="65">
        <f>IF(IFERROR(IF(E286=E285,0,(HLOOKUP(C286,Ingreso!$AW$10:$BC$260,VLOOKUP(A286,Ingreso!$AL$11:$AM$260,2,FALSE)))/24),0)=0,"",IFERROR(IF(E286=E285,0,(HLOOKUP(C286,Ingreso!$AW$10:$BC$260,VLOOKUP(A286,Ingreso!$AL$11:$AM$260,2,FALSE)))/24),0))</f>
        <v>0.3125</v>
      </c>
      <c r="L286" s="63">
        <f t="shared" si="8"/>
        <v>0.3125</v>
      </c>
      <c r="M286" s="63">
        <f>IF(IFERROR(IF(C286=C284,0,IF(E286=E285,0,IF(C286=$R$2,HLOOKUP($R$2,Ingreso!$AW$10:$BC$260,VLOOKUP(A286,Ingreso!AL:AM,2,FALSE),FALSE)/24,""))),"")=0,"",IFERROR(IF(C286=C284,0,IF(E286=E285,0,IF(C286=$R$2,HLOOKUP($R$2,Ingreso!$AW$10:$BC$260,VLOOKUP(A286,Ingreso!AL:AM,2,FALSE),FALSE)/24,""))),""))</f>
        <v>0.3125</v>
      </c>
      <c r="N286" s="95" t="str">
        <f>IF(IFERROR(IF(C286=C284,0,IF(E286=E285,0,IF(C286=$R$3,HLOOKUP($R$3,Ingreso!$AW$10:$BC$260,VLOOKUP(A286,Ingreso!AL:AM,2,FALSE),FALSE)/24,""))),"")=0,"",IFERROR(IF(C286=C284,0,IF(E286=E285,0,IF(C286=$R$3,HLOOKUP($R$3,Ingreso!$AW$10:$BC$260,VLOOKUP(A286,Ingreso!AL:AM,2,FALSE),FALSE)/24,""))),""))</f>
        <v/>
      </c>
      <c r="O286" s="95" t="str">
        <f>IF(IFERROR(IF(C286=C284,0,IF(E286=E285,0,IF(C286=$R$4,HLOOKUP($R$4,Ingreso!$AW$10:$BC$260,VLOOKUP(A286,Ingreso!AL:AM,2,FALSE),FALSE)/24,""))),"")=0,"",IFERROR(IF(C286=C284,0,IF(E286=E285,0,IF(C286=$R$4,HLOOKUP($R$4,Ingreso!$AW$10:$BC$260,VLOOKUP(A286,Ingreso!AL:AM,2,FALSE),FALSE)/24,""))),""))</f>
        <v/>
      </c>
      <c r="P286" s="90"/>
      <c r="R286"/>
      <c r="S286"/>
      <c r="T286" t="s">
        <v>1424</v>
      </c>
      <c r="U286" t="s">
        <v>1324</v>
      </c>
      <c r="V286" t="s">
        <v>1399</v>
      </c>
      <c r="W286" s="82">
        <v>335</v>
      </c>
      <c r="X286" s="71">
        <v>0.375</v>
      </c>
      <c r="Y286" s="101">
        <v>0.91802083333333329</v>
      </c>
      <c r="Z286" s="101">
        <v>0.32768518518518519</v>
      </c>
      <c r="AA286" s="101">
        <v>0.4096643518518519</v>
      </c>
      <c r="AB286" s="101">
        <v>3.4664351851851904E-2</v>
      </c>
      <c r="AC286" s="105">
        <v>0</v>
      </c>
      <c r="AD286" s="105">
        <v>0</v>
      </c>
      <c r="AE286" s="93">
        <v>0</v>
      </c>
      <c r="AF286" s="93">
        <v>0</v>
      </c>
      <c r="AG286" s="93">
        <v>0</v>
      </c>
    </row>
    <row r="287" spans="1:33" s="58" customFormat="1">
      <c r="A287" s="65" t="str">
        <f>IFERROR(VLOOKUP('Informe Kelly'!A280,Base!A:B,2,FALSE),"")</f>
        <v>09.774.031-3</v>
      </c>
      <c r="B287" s="65" t="str">
        <f>IFERROR(VLOOKUP('Informe Kelly'!A280,Base!A:G,7,FALSE),"")</f>
        <v>CACERES VASQUEZ VICTOR</v>
      </c>
      <c r="C287" s="69" t="str">
        <f>IF(G287=$C$4,IF('Informe Kelly'!H280='Control informe Kelly'!$A$2,TEXT(((LEFT('Informe Kelly'!E280,2)*1)+1),"dd")&amp;"."&amp;MID('Informe Kelly'!E280,4,2)&amp;"."&amp;RIGHT('Informe Kelly'!E280,4),'Informe Kelly'!E280),'Informe Kelly'!E280)</f>
        <v>11.04.2011</v>
      </c>
      <c r="D287" s="69" t="str">
        <f>IF('Informe Kelly'!E280="","",'Informe Kelly'!E280)</f>
        <v>11.04.2011</v>
      </c>
      <c r="E287" s="72">
        <f t="shared" si="9"/>
        <v>143</v>
      </c>
      <c r="F287" s="72" t="str">
        <f>IFERROR(HLOOKUP(C287,Ingreso!$Q$8:$AD$9,2,FALSE),"v")</f>
        <v>Lunes</v>
      </c>
      <c r="G287" s="65" t="str">
        <f>IFERROR(VLOOKUP(A287,Ingreso!K:P,6,FALSE),"no esta ingresado")</f>
        <v>Turno B</v>
      </c>
      <c r="H287" s="65" t="str">
        <f>IFERROR(IF('Informe Kelly'!H280=$A$2,'Informe Kelly'!F280,""),0)</f>
        <v/>
      </c>
      <c r="I287" s="65">
        <f>IFERROR(IF('Informe Kelly'!H280=$A$3,'Informe Kelly'!F280,""),0)</f>
        <v>0.94244212962962959</v>
      </c>
      <c r="J287" s="65" t="str">
        <f>IF(IFERROR(IF(E287=E286,0,(HLOOKUP(D287,Ingreso!$AN$10:$AT$260,VLOOKUP(A287,Ingreso!$AL$11:$AM$260,2,FALSE)))/24),0)=0,"",IFERROR(IF(E287=E286,0,(HLOOKUP(D287,Ingreso!$AN$10:$AT$260,VLOOKUP(A287,Ingreso!$AL$11:$AM$260,2,FALSE)))/24),0))</f>
        <v/>
      </c>
      <c r="K287" s="65" t="str">
        <f>IF(IFERROR(IF(E287=E286,0,(HLOOKUP(C287,Ingreso!$AW$10:$BC$260,VLOOKUP(A287,Ingreso!$AL$11:$AM$260,2,FALSE)))/24),0)=0,"",IFERROR(IF(E287=E286,0,(HLOOKUP(C287,Ingreso!$AW$10:$BC$260,VLOOKUP(A287,Ingreso!$AL$11:$AM$260,2,FALSE)))/24),0))</f>
        <v/>
      </c>
      <c r="L287" s="63">
        <f t="shared" si="8"/>
        <v>0</v>
      </c>
      <c r="M287" s="63" t="str">
        <f>IF(IFERROR(IF(C287=C285,0,IF(E287=E286,0,IF(C287=$R$2,HLOOKUP($R$2,Ingreso!$AW$10:$BC$260,VLOOKUP(A287,Ingreso!AL:AM,2,FALSE),FALSE)/24,""))),"")=0,"",IFERROR(IF(C287=C285,0,IF(E287=E286,0,IF(C287=$R$2,HLOOKUP($R$2,Ingreso!$AW$10:$BC$260,VLOOKUP(A287,Ingreso!AL:AM,2,FALSE),FALSE)/24,""))),""))</f>
        <v/>
      </c>
      <c r="N287" s="95" t="str">
        <f>IF(IFERROR(IF(C287=C285,0,IF(E287=E286,0,IF(C287=$R$3,HLOOKUP($R$3,Ingreso!$AW$10:$BC$260,VLOOKUP(A287,Ingreso!AL:AM,2,FALSE),FALSE)/24,""))),"")=0,"",IFERROR(IF(C287=C285,0,IF(E287=E286,0,IF(C287=$R$3,HLOOKUP($R$3,Ingreso!$AW$10:$BC$260,VLOOKUP(A287,Ingreso!AL:AM,2,FALSE),FALSE)/24,""))),""))</f>
        <v/>
      </c>
      <c r="O287" s="95" t="str">
        <f>IF(IFERROR(IF(C287=C285,0,IF(E287=E286,0,IF(C287=$R$4,HLOOKUP($R$4,Ingreso!$AW$10:$BC$260,VLOOKUP(A287,Ingreso!AL:AM,2,FALSE),FALSE)/24,""))),"")=0,"",IFERROR(IF(C287=C285,0,IF(E287=E286,0,IF(C287=$R$4,HLOOKUP($R$4,Ingreso!$AW$10:$BC$260,VLOOKUP(A287,Ingreso!AL:AM,2,FALSE),FALSE)/24,""))),""))</f>
        <v/>
      </c>
      <c r="P287" s="90"/>
      <c r="R287"/>
      <c r="S287"/>
      <c r="T287" t="s">
        <v>1425</v>
      </c>
      <c r="U287" t="s">
        <v>1324</v>
      </c>
      <c r="V287" t="s">
        <v>1400</v>
      </c>
      <c r="W287" s="82">
        <v>336</v>
      </c>
      <c r="X287" s="71">
        <v>0.375</v>
      </c>
      <c r="Y287" s="101">
        <v>0.91839120370370375</v>
      </c>
      <c r="Z287" s="101">
        <v>0.32872685185185185</v>
      </c>
      <c r="AA287" s="101">
        <v>0.41033564814814805</v>
      </c>
      <c r="AB287" s="101">
        <v>3.5335648148148047E-2</v>
      </c>
      <c r="AC287" s="105">
        <v>0</v>
      </c>
      <c r="AD287" s="105">
        <v>0</v>
      </c>
      <c r="AE287" s="93">
        <v>0</v>
      </c>
      <c r="AF287" s="93">
        <v>0</v>
      </c>
      <c r="AG287" s="93">
        <v>0</v>
      </c>
    </row>
    <row r="288" spans="1:33" s="58" customFormat="1">
      <c r="A288" s="65" t="str">
        <f>IFERROR(VLOOKUP('Informe Kelly'!A281,Base!A:B,2,FALSE),"")</f>
        <v>09.774.031-3</v>
      </c>
      <c r="B288" s="65" t="str">
        <f>IFERROR(VLOOKUP('Informe Kelly'!A281,Base!A:G,7,FALSE),"")</f>
        <v>CACERES VASQUEZ VICTOR</v>
      </c>
      <c r="C288" s="69" t="str">
        <f>IF(G288=$C$4,IF('Informe Kelly'!H281='Control informe Kelly'!$A$2,TEXT(((LEFT('Informe Kelly'!E281,2)*1)+1),"dd")&amp;"."&amp;MID('Informe Kelly'!E281,4,2)&amp;"."&amp;RIGHT('Informe Kelly'!E281,4),'Informe Kelly'!E281),'Informe Kelly'!E281)</f>
        <v>11.04.2011</v>
      </c>
      <c r="D288" s="69" t="str">
        <f>IF('Informe Kelly'!E281="","",'Informe Kelly'!E281)</f>
        <v>11.04.2011</v>
      </c>
      <c r="E288" s="72">
        <f t="shared" si="9"/>
        <v>144</v>
      </c>
      <c r="F288" s="72" t="str">
        <f>IFERROR(HLOOKUP(C288,Ingreso!$Q$8:$AD$9,2,FALSE),"v")</f>
        <v>Lunes</v>
      </c>
      <c r="G288" s="65" t="str">
        <f>IFERROR(VLOOKUP(A288,Ingreso!K:P,6,FALSE),"no esta ingresado")</f>
        <v>Turno B</v>
      </c>
      <c r="H288" s="65">
        <f>IFERROR(IF('Informe Kelly'!H281=$A$2,'Informe Kelly'!F281,""),0)</f>
        <v>9.1203703703703707E-3</v>
      </c>
      <c r="I288" s="65" t="str">
        <f>IFERROR(IF('Informe Kelly'!H281=$A$3,'Informe Kelly'!F281,""),0)</f>
        <v/>
      </c>
      <c r="J288" s="65" t="str">
        <f>IF(IFERROR(IF(E288=E287,0,(HLOOKUP(D288,Ingreso!$AN$10:$AT$260,VLOOKUP(A288,Ingreso!$AL$11:$AM$260,2,FALSE)))/24),0)=0,"",IFERROR(IF(E288=E287,0,(HLOOKUP(D288,Ingreso!$AN$10:$AT$260,VLOOKUP(A288,Ingreso!$AL$11:$AM$260,2,FALSE)))/24),0))</f>
        <v/>
      </c>
      <c r="K288" s="65">
        <f>IF(IFERROR(IF(E288=E287,0,(HLOOKUP(C288,Ingreso!$AW$10:$BC$260,VLOOKUP(A288,Ingreso!$AL$11:$AM$260,2,FALSE)))/24),0)=0,"",IFERROR(IF(E288=E287,0,(HLOOKUP(C288,Ingreso!$AW$10:$BC$260,VLOOKUP(A288,Ingreso!$AL$11:$AM$260,2,FALSE)))/24),0))</f>
        <v>0.3125</v>
      </c>
      <c r="L288" s="63">
        <f t="shared" si="8"/>
        <v>0</v>
      </c>
      <c r="M288" s="63" t="str">
        <f>IF(IFERROR(IF(C288=C286,0,IF(E288=E287,0,IF(C288=$R$2,HLOOKUP($R$2,Ingreso!$AW$10:$BC$260,VLOOKUP(A288,Ingreso!AL:AM,2,FALSE),FALSE)/24,""))),"")=0,"",IFERROR(IF(C288=C286,0,IF(E288=E287,0,IF(C288=$R$2,HLOOKUP($R$2,Ingreso!$AW$10:$BC$260,VLOOKUP(A288,Ingreso!AL:AM,2,FALSE),FALSE)/24,""))),""))</f>
        <v/>
      </c>
      <c r="N288" s="95" t="str">
        <f>IF(IFERROR(IF(C288=C286,0,IF(E288=E287,0,IF(C288=$R$3,HLOOKUP($R$3,Ingreso!$AW$10:$BC$260,VLOOKUP(A288,Ingreso!AL:AM,2,FALSE),FALSE)/24,""))),"")=0,"",IFERROR(IF(C288=C286,0,IF(E288=E287,0,IF(C288=$R$3,HLOOKUP($R$3,Ingreso!$AW$10:$BC$260,VLOOKUP(A288,Ingreso!AL:AM,2,FALSE),FALSE)/24,""))),""))</f>
        <v/>
      </c>
      <c r="O288" s="95" t="str">
        <f>IF(IFERROR(IF(C288=C286,0,IF(E288=E287,0,IF(C288=$R$4,HLOOKUP($R$4,Ingreso!$AW$10:$BC$260,VLOOKUP(A288,Ingreso!AL:AM,2,FALSE),FALSE)/24,""))),"")=0,"",IFERROR(IF(C288=C286,0,IF(E288=E287,0,IF(C288=$R$4,HLOOKUP($R$4,Ingreso!$AW$10:$BC$260,VLOOKUP(A288,Ingreso!AL:AM,2,FALSE),FALSE)/24,""))),""))</f>
        <v/>
      </c>
      <c r="P288" s="90"/>
      <c r="R288"/>
      <c r="S288"/>
      <c r="T288" t="s">
        <v>1426</v>
      </c>
      <c r="U288" t="s">
        <v>1324</v>
      </c>
      <c r="V288" t="s">
        <v>1401</v>
      </c>
      <c r="W288" s="82">
        <v>337</v>
      </c>
      <c r="X288" s="71">
        <v>0.375</v>
      </c>
      <c r="Y288" s="101">
        <v>0.91447916666666673</v>
      </c>
      <c r="Z288" s="101">
        <v>0.32505787037037037</v>
      </c>
      <c r="AA288" s="101">
        <v>0.41057870370370364</v>
      </c>
      <c r="AB288" s="101">
        <v>3.557870370370364E-2</v>
      </c>
      <c r="AC288" s="105">
        <v>0</v>
      </c>
      <c r="AD288" s="105">
        <v>0</v>
      </c>
      <c r="AE288" s="93">
        <v>0</v>
      </c>
      <c r="AF288" s="93">
        <v>0</v>
      </c>
      <c r="AG288" s="93">
        <v>0</v>
      </c>
    </row>
    <row r="289" spans="1:33" s="58" customFormat="1">
      <c r="A289" s="65" t="str">
        <f>IFERROR(VLOOKUP('Informe Kelly'!A282,Base!A:B,2,FALSE),"")</f>
        <v>09.774.031-3</v>
      </c>
      <c r="B289" s="65" t="str">
        <f>IFERROR(VLOOKUP('Informe Kelly'!A282,Base!A:G,7,FALSE),"")</f>
        <v>CACERES VASQUEZ VICTOR</v>
      </c>
      <c r="C289" s="69" t="str">
        <f>IF(G289=$C$4,IF('Informe Kelly'!H282='Control informe Kelly'!$A$2,TEXT(((LEFT('Informe Kelly'!E282,2)*1)+1),"dd")&amp;"."&amp;MID('Informe Kelly'!E282,4,2)&amp;"."&amp;RIGHT('Informe Kelly'!E282,4),'Informe Kelly'!E282),'Informe Kelly'!E282)</f>
        <v>11.04.2011</v>
      </c>
      <c r="D289" s="69" t="str">
        <f>IF('Informe Kelly'!E282="","",'Informe Kelly'!E282)</f>
        <v>11.04.2011</v>
      </c>
      <c r="E289" s="72">
        <f t="shared" si="9"/>
        <v>144</v>
      </c>
      <c r="F289" s="72" t="str">
        <f>IFERROR(HLOOKUP(C289,Ingreso!$Q$8:$AD$9,2,FALSE),"v")</f>
        <v>Lunes</v>
      </c>
      <c r="G289" s="65" t="str">
        <f>IFERROR(VLOOKUP(A289,Ingreso!K:P,6,FALSE),"no esta ingresado")</f>
        <v>Turno B</v>
      </c>
      <c r="H289" s="65">
        <f>IFERROR(IF('Informe Kelly'!H282=$A$2,'Informe Kelly'!F282,""),0)</f>
        <v>0.61850694444444443</v>
      </c>
      <c r="I289" s="65" t="str">
        <f>IFERROR(IF('Informe Kelly'!H282=$A$3,'Informe Kelly'!F282,""),0)</f>
        <v/>
      </c>
      <c r="J289" s="65" t="str">
        <f>IF(IFERROR(IF(E289=E288,0,(HLOOKUP(D289,Ingreso!$AN$10:$AT$260,VLOOKUP(A289,Ingreso!$AL$11:$AM$260,2,FALSE)))/24),0)=0,"",IFERROR(IF(E289=E288,0,(HLOOKUP(D289,Ingreso!$AN$10:$AT$260,VLOOKUP(A289,Ingreso!$AL$11:$AM$260,2,FALSE)))/24),0))</f>
        <v/>
      </c>
      <c r="K289" s="65" t="str">
        <f>IF(IFERROR(IF(E289=E288,0,(HLOOKUP(C289,Ingreso!$AW$10:$BC$260,VLOOKUP(A289,Ingreso!$AL$11:$AM$260,2,FALSE)))/24),0)=0,"",IFERROR(IF(E289=E288,0,(HLOOKUP(C289,Ingreso!$AW$10:$BC$260,VLOOKUP(A289,Ingreso!$AL$11:$AM$260,2,FALSE)))/24),0))</f>
        <v/>
      </c>
      <c r="L289" s="63">
        <f t="shared" si="8"/>
        <v>0</v>
      </c>
      <c r="M289" s="63" t="str">
        <f>IF(IFERROR(IF(C289=C287,0,IF(E289=E288,0,IF(C289=$R$2,HLOOKUP($R$2,Ingreso!$AW$10:$BC$260,VLOOKUP(A289,Ingreso!AL:AM,2,FALSE),FALSE)/24,""))),"")=0,"",IFERROR(IF(C289=C287,0,IF(E289=E288,0,IF(C289=$R$2,HLOOKUP($R$2,Ingreso!$AW$10:$BC$260,VLOOKUP(A289,Ingreso!AL:AM,2,FALSE),FALSE)/24,""))),""))</f>
        <v/>
      </c>
      <c r="N289" s="95" t="str">
        <f>IF(IFERROR(IF(C289=C287,0,IF(E289=E288,0,IF(C289=$R$3,HLOOKUP($R$3,Ingreso!$AW$10:$BC$260,VLOOKUP(A289,Ingreso!AL:AM,2,FALSE),FALSE)/24,""))),"")=0,"",IFERROR(IF(C289=C287,0,IF(E289=E288,0,IF(C289=$R$3,HLOOKUP($R$3,Ingreso!$AW$10:$BC$260,VLOOKUP(A289,Ingreso!AL:AM,2,FALSE),FALSE)/24,""))),""))</f>
        <v/>
      </c>
      <c r="O289" s="95" t="str">
        <f>IF(IFERROR(IF(C289=C287,0,IF(E289=E288,0,IF(C289=$R$4,HLOOKUP($R$4,Ingreso!$AW$10:$BC$260,VLOOKUP(A289,Ingreso!AL:AM,2,FALSE),FALSE)/24,""))),"")=0,"",IFERROR(IF(C289=C287,0,IF(E289=E288,0,IF(C289=$R$4,HLOOKUP($R$4,Ingreso!$AW$10:$BC$260,VLOOKUP(A289,Ingreso!AL:AM,2,FALSE),FALSE)/24,""))),""))</f>
        <v/>
      </c>
      <c r="P289" s="90"/>
      <c r="R289"/>
      <c r="S289"/>
      <c r="T289" t="s">
        <v>1427</v>
      </c>
      <c r="U289" t="s">
        <v>1324</v>
      </c>
      <c r="V289" t="s">
        <v>1402</v>
      </c>
      <c r="W289" s="82">
        <v>338</v>
      </c>
      <c r="X289" s="71">
        <v>0.375</v>
      </c>
      <c r="Y289" s="101">
        <v>0.92722222222222228</v>
      </c>
      <c r="Z289" s="101">
        <v>0.32791666666666669</v>
      </c>
      <c r="AA289" s="101">
        <v>0.40069444444444435</v>
      </c>
      <c r="AB289" s="101">
        <v>2.5694444444444353E-2</v>
      </c>
      <c r="AC289" s="105">
        <v>0</v>
      </c>
      <c r="AD289" s="105">
        <v>0</v>
      </c>
      <c r="AE289" s="93">
        <v>0</v>
      </c>
      <c r="AF289" s="93">
        <v>0</v>
      </c>
      <c r="AG289" s="93">
        <v>0</v>
      </c>
    </row>
    <row r="290" spans="1:33" s="58" customFormat="1">
      <c r="A290" s="65" t="str">
        <f>IFERROR(VLOOKUP('Informe Kelly'!A283,Base!A:B,2,FALSE),"")</f>
        <v>09.774.031-3</v>
      </c>
      <c r="B290" s="65" t="str">
        <f>IFERROR(VLOOKUP('Informe Kelly'!A283,Base!A:G,7,FALSE),"")</f>
        <v>CACERES VASQUEZ VICTOR</v>
      </c>
      <c r="C290" s="69" t="str">
        <f>IF(G290=$C$4,IF('Informe Kelly'!H283='Control informe Kelly'!$A$2,TEXT(((LEFT('Informe Kelly'!E283,2)*1)+1),"dd")&amp;"."&amp;MID('Informe Kelly'!E283,4,2)&amp;"."&amp;RIGHT('Informe Kelly'!E283,4),'Informe Kelly'!E283),'Informe Kelly'!E283)</f>
        <v>12.04.2011</v>
      </c>
      <c r="D290" s="69" t="str">
        <f>IF('Informe Kelly'!E283="","",'Informe Kelly'!E283)</f>
        <v>12.04.2011</v>
      </c>
      <c r="E290" s="72">
        <f t="shared" si="9"/>
        <v>145</v>
      </c>
      <c r="F290" s="72" t="str">
        <f>IFERROR(HLOOKUP(C290,Ingreso!$Q$8:$AD$9,2,FALSE),"v")</f>
        <v>Martes</v>
      </c>
      <c r="G290" s="65" t="str">
        <f>IFERROR(VLOOKUP(A290,Ingreso!K:P,6,FALSE),"no esta ingresado")</f>
        <v>Turno B</v>
      </c>
      <c r="H290" s="65" t="str">
        <f>IFERROR(IF('Informe Kelly'!H283=$A$2,'Informe Kelly'!F283,""),0)</f>
        <v/>
      </c>
      <c r="I290" s="65">
        <f>IFERROR(IF('Informe Kelly'!H283=$A$3,'Informe Kelly'!F283,""),0)</f>
        <v>0.94282407407407398</v>
      </c>
      <c r="J290" s="65" t="str">
        <f>IF(IFERROR(IF(E290=E289,0,(HLOOKUP(D290,Ingreso!$AN$10:$AT$260,VLOOKUP(A290,Ingreso!$AL$11:$AM$260,2,FALSE)))/24),0)=0,"",IFERROR(IF(E290=E289,0,(HLOOKUP(D290,Ingreso!$AN$10:$AT$260,VLOOKUP(A290,Ingreso!$AL$11:$AM$260,2,FALSE)))/24),0))</f>
        <v/>
      </c>
      <c r="K290" s="65" t="str">
        <f>IF(IFERROR(IF(E290=E289,0,(HLOOKUP(C290,Ingreso!$AW$10:$BC$260,VLOOKUP(A290,Ingreso!$AL$11:$AM$260,2,FALSE)))/24),0)=0,"",IFERROR(IF(E290=E289,0,(HLOOKUP(C290,Ingreso!$AW$10:$BC$260,VLOOKUP(A290,Ingreso!$AL$11:$AM$260,2,FALSE)))/24),0))</f>
        <v/>
      </c>
      <c r="L290" s="63">
        <f t="shared" si="8"/>
        <v>0.3125</v>
      </c>
      <c r="M290" s="63" t="str">
        <f>IF(IFERROR(IF(C290=C288,0,IF(E290=E289,0,IF(C290=$R$2,HLOOKUP($R$2,Ingreso!$AW$10:$BC$260,VLOOKUP(A290,Ingreso!AL:AM,2,FALSE),FALSE)/24,""))),"")=0,"",IFERROR(IF(C290=C288,0,IF(E290=E289,0,IF(C290=$R$2,HLOOKUP($R$2,Ingreso!$AW$10:$BC$260,VLOOKUP(A290,Ingreso!AL:AM,2,FALSE),FALSE)/24,""))),""))</f>
        <v/>
      </c>
      <c r="N290" s="95" t="str">
        <f>IF(IFERROR(IF(C290=C288,0,IF(E290=E289,0,IF(C290=$R$3,HLOOKUP($R$3,Ingreso!$AW$10:$BC$260,VLOOKUP(A290,Ingreso!AL:AM,2,FALSE),FALSE)/24,""))),"")=0,"",IFERROR(IF(C290=C288,0,IF(E290=E289,0,IF(C290=$R$3,HLOOKUP($R$3,Ingreso!$AW$10:$BC$260,VLOOKUP(A290,Ingreso!AL:AM,2,FALSE),FALSE)/24,""))),""))</f>
        <v/>
      </c>
      <c r="O290" s="95" t="str">
        <f>IF(IFERROR(IF(C290=C288,0,IF(E290=E289,0,IF(C290=$R$4,HLOOKUP($R$4,Ingreso!$AW$10:$BC$260,VLOOKUP(A290,Ingreso!AL:AM,2,FALSE),FALSE)/24,""))),"")=0,"",IFERROR(IF(C290=C288,0,IF(E290=E289,0,IF(C290=$R$4,HLOOKUP($R$4,Ingreso!$AW$10:$BC$260,VLOOKUP(A290,Ingreso!AL:AM,2,FALSE),FALSE)/24,""))),""))</f>
        <v/>
      </c>
      <c r="P290" s="90"/>
      <c r="R290" t="s">
        <v>448</v>
      </c>
      <c r="S290" t="s">
        <v>452</v>
      </c>
      <c r="T290" t="s">
        <v>1420</v>
      </c>
      <c r="U290" t="s">
        <v>4</v>
      </c>
      <c r="V290" t="s">
        <v>1397</v>
      </c>
      <c r="W290" s="82">
        <v>339</v>
      </c>
      <c r="X290" s="71">
        <v>0.3125</v>
      </c>
      <c r="Y290" s="101">
        <v>0.29071759259259261</v>
      </c>
      <c r="Z290" s="101">
        <v>0.63241898148148146</v>
      </c>
      <c r="AA290" s="101">
        <v>0.34170138888888885</v>
      </c>
      <c r="AB290" s="101">
        <v>2.9201388888888846E-2</v>
      </c>
      <c r="AC290" s="105">
        <v>0</v>
      </c>
      <c r="AD290" s="105">
        <v>0</v>
      </c>
      <c r="AE290" s="93">
        <v>0</v>
      </c>
      <c r="AF290" s="93">
        <v>0</v>
      </c>
      <c r="AG290" s="93">
        <v>0</v>
      </c>
    </row>
    <row r="291" spans="1:33" s="58" customFormat="1">
      <c r="A291" s="65" t="str">
        <f>IFERROR(VLOOKUP('Informe Kelly'!A284,Base!A:B,2,FALSE),"")</f>
        <v>09.774.031-3</v>
      </c>
      <c r="B291" s="65" t="str">
        <f>IFERROR(VLOOKUP('Informe Kelly'!A284,Base!A:G,7,FALSE),"")</f>
        <v>CACERES VASQUEZ VICTOR</v>
      </c>
      <c r="C291" s="69" t="str">
        <f>IF(G291=$C$4,IF('Informe Kelly'!H284='Control informe Kelly'!$A$2,TEXT(((LEFT('Informe Kelly'!E284,2)*1)+1),"dd")&amp;"."&amp;MID('Informe Kelly'!E284,4,2)&amp;"."&amp;RIGHT('Informe Kelly'!E284,4),'Informe Kelly'!E284),'Informe Kelly'!E284)</f>
        <v>12.04.2011</v>
      </c>
      <c r="D291" s="69" t="str">
        <f>IF('Informe Kelly'!E284="","",'Informe Kelly'!E284)</f>
        <v>12.04.2011</v>
      </c>
      <c r="E291" s="72">
        <f t="shared" si="9"/>
        <v>145</v>
      </c>
      <c r="F291" s="72" t="str">
        <f>IFERROR(HLOOKUP(C291,Ingreso!$Q$8:$AD$9,2,FALSE),"v")</f>
        <v>Martes</v>
      </c>
      <c r="G291" s="65" t="str">
        <f>IFERROR(VLOOKUP(A291,Ingreso!K:P,6,FALSE),"no esta ingresado")</f>
        <v>Turno B</v>
      </c>
      <c r="H291" s="65">
        <f>IFERROR(IF('Informe Kelly'!H284=$A$2,'Informe Kelly'!F284,""),0)</f>
        <v>0.6055208333333334</v>
      </c>
      <c r="I291" s="65" t="str">
        <f>IFERROR(IF('Informe Kelly'!H284=$A$3,'Informe Kelly'!F284,""),0)</f>
        <v/>
      </c>
      <c r="J291" s="65" t="str">
        <f>IF(IFERROR(IF(E291=E290,0,(HLOOKUP(D291,Ingreso!$AN$10:$AT$260,VLOOKUP(A291,Ingreso!$AL$11:$AM$260,2,FALSE)))/24),0)=0,"",IFERROR(IF(E291=E290,0,(HLOOKUP(D291,Ingreso!$AN$10:$AT$260,VLOOKUP(A291,Ingreso!$AL$11:$AM$260,2,FALSE)))/24),0))</f>
        <v/>
      </c>
      <c r="K291" s="65" t="str">
        <f>IF(IFERROR(IF(E291=E290,0,(HLOOKUP(C291,Ingreso!$AW$10:$BC$260,VLOOKUP(A291,Ingreso!$AL$11:$AM$260,2,FALSE)))/24),0)=0,"",IFERROR(IF(E291=E290,0,(HLOOKUP(C291,Ingreso!$AW$10:$BC$260,VLOOKUP(A291,Ingreso!$AL$11:$AM$260,2,FALSE)))/24),0))</f>
        <v/>
      </c>
      <c r="L291" s="63">
        <f t="shared" si="8"/>
        <v>0</v>
      </c>
      <c r="M291" s="63" t="str">
        <f>IF(IFERROR(IF(C291=C289,0,IF(E291=E290,0,IF(C291=$R$2,HLOOKUP($R$2,Ingreso!$AW$10:$BC$260,VLOOKUP(A291,Ingreso!AL:AM,2,FALSE),FALSE)/24,""))),"")=0,"",IFERROR(IF(C291=C289,0,IF(E291=E290,0,IF(C291=$R$2,HLOOKUP($R$2,Ingreso!$AW$10:$BC$260,VLOOKUP(A291,Ingreso!AL:AM,2,FALSE),FALSE)/24,""))),""))</f>
        <v/>
      </c>
      <c r="N291" s="95" t="str">
        <f>IF(IFERROR(IF(C291=C289,0,IF(E291=E290,0,IF(C291=$R$3,HLOOKUP($R$3,Ingreso!$AW$10:$BC$260,VLOOKUP(A291,Ingreso!AL:AM,2,FALSE),FALSE)/24,""))),"")=0,"",IFERROR(IF(C291=C289,0,IF(E291=E290,0,IF(C291=$R$3,HLOOKUP($R$3,Ingreso!$AW$10:$BC$260,VLOOKUP(A291,Ingreso!AL:AM,2,FALSE),FALSE)/24,""))),""))</f>
        <v/>
      </c>
      <c r="O291" s="95" t="str">
        <f>IF(IFERROR(IF(C291=C289,0,IF(E291=E290,0,IF(C291=$R$4,HLOOKUP($R$4,Ingreso!$AW$10:$BC$260,VLOOKUP(A291,Ingreso!AL:AM,2,FALSE),FALSE)/24,""))),"")=0,"",IFERROR(IF(C291=C289,0,IF(E291=E290,0,IF(C291=$R$4,HLOOKUP($R$4,Ingreso!$AW$10:$BC$260,VLOOKUP(A291,Ingreso!AL:AM,2,FALSE),FALSE)/24,""))),""))</f>
        <v/>
      </c>
      <c r="P291" s="90"/>
      <c r="R291"/>
      <c r="S291"/>
      <c r="T291" t="s">
        <v>1423</v>
      </c>
      <c r="U291" t="s">
        <v>4</v>
      </c>
      <c r="V291" t="s">
        <v>1398</v>
      </c>
      <c r="W291" s="82">
        <v>340</v>
      </c>
      <c r="X291" s="71">
        <v>0.3125</v>
      </c>
      <c r="Y291" s="101">
        <v>0.29060185185185183</v>
      </c>
      <c r="Z291" s="101">
        <v>0.62767361111111108</v>
      </c>
      <c r="AA291" s="101">
        <v>0.33707175925925925</v>
      </c>
      <c r="AB291" s="101">
        <v>2.4571759259259252E-2</v>
      </c>
      <c r="AC291" s="105">
        <v>0</v>
      </c>
      <c r="AD291" s="105">
        <v>0</v>
      </c>
      <c r="AE291" s="93">
        <v>0</v>
      </c>
      <c r="AF291" s="93">
        <v>0</v>
      </c>
      <c r="AG291" s="93">
        <v>0</v>
      </c>
    </row>
    <row r="292" spans="1:33" s="58" customFormat="1">
      <c r="A292" s="65" t="str">
        <f>IFERROR(VLOOKUP('Informe Kelly'!A285,Base!A:B,2,FALSE),"")</f>
        <v>09.774.031-3</v>
      </c>
      <c r="B292" s="65" t="str">
        <f>IFERROR(VLOOKUP('Informe Kelly'!A285,Base!A:G,7,FALSE),"")</f>
        <v>CACERES VASQUEZ VICTOR</v>
      </c>
      <c r="C292" s="69" t="str">
        <f>IF(G292=$C$4,IF('Informe Kelly'!H285='Control informe Kelly'!$A$2,TEXT(((LEFT('Informe Kelly'!E285,2)*1)+1),"dd")&amp;"."&amp;MID('Informe Kelly'!E285,4,2)&amp;"."&amp;RIGHT('Informe Kelly'!E285,4),'Informe Kelly'!E285),'Informe Kelly'!E285)</f>
        <v>13.04.2011</v>
      </c>
      <c r="D292" s="69" t="str">
        <f>IF('Informe Kelly'!E285="","",'Informe Kelly'!E285)</f>
        <v>13.04.2011</v>
      </c>
      <c r="E292" s="72">
        <f t="shared" si="9"/>
        <v>146</v>
      </c>
      <c r="F292" s="72" t="str">
        <f>IFERROR(HLOOKUP(C292,Ingreso!$Q$8:$AD$9,2,FALSE),"v")</f>
        <v>Miércoles</v>
      </c>
      <c r="G292" s="65" t="str">
        <f>IFERROR(VLOOKUP(A292,Ingreso!K:P,6,FALSE),"no esta ingresado")</f>
        <v>Turno B</v>
      </c>
      <c r="H292" s="65" t="str">
        <f>IFERROR(IF('Informe Kelly'!H285=$A$2,'Informe Kelly'!F285,""),0)</f>
        <v/>
      </c>
      <c r="I292" s="65">
        <f>IFERROR(IF('Informe Kelly'!H285=$A$3,'Informe Kelly'!F285,""),0)</f>
        <v>0.94327546296296294</v>
      </c>
      <c r="J292" s="65" t="str">
        <f>IF(IFERROR(IF(E292=E291,0,(HLOOKUP(D292,Ingreso!$AN$10:$AT$260,VLOOKUP(A292,Ingreso!$AL$11:$AM$260,2,FALSE)))/24),0)=0,"",IFERROR(IF(E292=E291,0,(HLOOKUP(D292,Ingreso!$AN$10:$AT$260,VLOOKUP(A292,Ingreso!$AL$11:$AM$260,2,FALSE)))/24),0))</f>
        <v/>
      </c>
      <c r="K292" s="65" t="str">
        <f>IF(IFERROR(IF(E292=E291,0,(HLOOKUP(C292,Ingreso!$AW$10:$BC$260,VLOOKUP(A292,Ingreso!$AL$11:$AM$260,2,FALSE)))/24),0)=0,"",IFERROR(IF(E292=E291,0,(HLOOKUP(C292,Ingreso!$AW$10:$BC$260,VLOOKUP(A292,Ingreso!$AL$11:$AM$260,2,FALSE)))/24),0))</f>
        <v/>
      </c>
      <c r="L292" s="63">
        <f t="shared" si="8"/>
        <v>0.3125</v>
      </c>
      <c r="M292" s="63" t="str">
        <f>IF(IFERROR(IF(C292=C290,0,IF(E292=E291,0,IF(C292=$R$2,HLOOKUP($R$2,Ingreso!$AW$10:$BC$260,VLOOKUP(A292,Ingreso!AL:AM,2,FALSE),FALSE)/24,""))),"")=0,"",IFERROR(IF(C292=C290,0,IF(E292=E291,0,IF(C292=$R$2,HLOOKUP($R$2,Ingreso!$AW$10:$BC$260,VLOOKUP(A292,Ingreso!AL:AM,2,FALSE),FALSE)/24,""))),""))</f>
        <v/>
      </c>
      <c r="N292" s="95" t="str">
        <f>IF(IFERROR(IF(C292=C290,0,IF(E292=E291,0,IF(C292=$R$3,HLOOKUP($R$3,Ingreso!$AW$10:$BC$260,VLOOKUP(A292,Ingreso!AL:AM,2,FALSE),FALSE)/24,""))),"")=0,"",IFERROR(IF(C292=C290,0,IF(E292=E291,0,IF(C292=$R$3,HLOOKUP($R$3,Ingreso!$AW$10:$BC$260,VLOOKUP(A292,Ingreso!AL:AM,2,FALSE),FALSE)/24,""))),""))</f>
        <v/>
      </c>
      <c r="O292" s="95" t="str">
        <f>IF(IFERROR(IF(C292=C290,0,IF(E292=E291,0,IF(C292=$R$4,HLOOKUP($R$4,Ingreso!$AW$10:$BC$260,VLOOKUP(A292,Ingreso!AL:AM,2,FALSE),FALSE)/24,""))),"")=0,"",IFERROR(IF(C292=C290,0,IF(E292=E291,0,IF(C292=$R$4,HLOOKUP($R$4,Ingreso!$AW$10:$BC$260,VLOOKUP(A292,Ingreso!AL:AM,2,FALSE),FALSE)/24,""))),""))</f>
        <v/>
      </c>
      <c r="P292" s="90"/>
      <c r="R292"/>
      <c r="S292"/>
      <c r="T292" t="s">
        <v>1424</v>
      </c>
      <c r="U292" t="s">
        <v>4</v>
      </c>
      <c r="V292" t="s">
        <v>1399</v>
      </c>
      <c r="W292" s="82">
        <v>341</v>
      </c>
      <c r="X292" s="71">
        <v>0.3125</v>
      </c>
      <c r="Y292" s="101">
        <v>0.28907407407407409</v>
      </c>
      <c r="Z292" s="101">
        <v>0.63296296296296295</v>
      </c>
      <c r="AA292" s="101">
        <v>0.34388888888888886</v>
      </c>
      <c r="AB292" s="101">
        <v>3.1388888888888855E-2</v>
      </c>
      <c r="AC292" s="105">
        <v>0</v>
      </c>
      <c r="AD292" s="105">
        <v>0</v>
      </c>
      <c r="AE292" s="93">
        <v>0</v>
      </c>
      <c r="AF292" s="93">
        <v>0</v>
      </c>
      <c r="AG292" s="93">
        <v>0</v>
      </c>
    </row>
    <row r="293" spans="1:33" s="58" customFormat="1" ht="12.75" customHeight="1">
      <c r="A293" s="65" t="str">
        <f>IFERROR(VLOOKUP('Informe Kelly'!A286,Base!A:B,2,FALSE),"")</f>
        <v>09.774.031-3</v>
      </c>
      <c r="B293" s="65" t="str">
        <f>IFERROR(VLOOKUP('Informe Kelly'!A286,Base!A:G,7,FALSE),"")</f>
        <v>CACERES VASQUEZ VICTOR</v>
      </c>
      <c r="C293" s="69" t="str">
        <f>IF(G293=$C$4,IF('Informe Kelly'!H286='Control informe Kelly'!$A$2,TEXT(((LEFT('Informe Kelly'!E286,2)*1)+1),"dd")&amp;"."&amp;MID('Informe Kelly'!E286,4,2)&amp;"."&amp;RIGHT('Informe Kelly'!E286,4),'Informe Kelly'!E286),'Informe Kelly'!E286)</f>
        <v>13.04.2011</v>
      </c>
      <c r="D293" s="69" t="str">
        <f>IF('Informe Kelly'!E286="","",'Informe Kelly'!E286)</f>
        <v>13.04.2011</v>
      </c>
      <c r="E293" s="72">
        <f t="shared" si="9"/>
        <v>146</v>
      </c>
      <c r="F293" s="72" t="str">
        <f>IFERROR(HLOOKUP(C293,Ingreso!$Q$8:$AD$9,2,FALSE),"v")</f>
        <v>Miércoles</v>
      </c>
      <c r="G293" s="65" t="str">
        <f>IFERROR(VLOOKUP(A293,Ingreso!K:P,6,FALSE),"no esta ingresado")</f>
        <v>Turno B</v>
      </c>
      <c r="H293" s="65">
        <f>IFERROR(IF('Informe Kelly'!H286=$A$2,'Informe Kelly'!F286,""),0)</f>
        <v>0.60834490740740743</v>
      </c>
      <c r="I293" s="65" t="str">
        <f>IFERROR(IF('Informe Kelly'!H286=$A$3,'Informe Kelly'!F286,""),0)</f>
        <v/>
      </c>
      <c r="J293" s="65" t="str">
        <f>IF(IFERROR(IF(E293=E292,0,(HLOOKUP(D293,Ingreso!$AN$10:$AT$260,VLOOKUP(A293,Ingreso!$AL$11:$AM$260,2,FALSE)))/24),0)=0,"",IFERROR(IF(E293=E292,0,(HLOOKUP(D293,Ingreso!$AN$10:$AT$260,VLOOKUP(A293,Ingreso!$AL$11:$AM$260,2,FALSE)))/24),0))</f>
        <v/>
      </c>
      <c r="K293" s="65" t="str">
        <f>IF(IFERROR(IF(E293=E292,0,(HLOOKUP(C293,Ingreso!$AW$10:$BC$260,VLOOKUP(A293,Ingreso!$AL$11:$AM$260,2,FALSE)))/24),0)=0,"",IFERROR(IF(E293=E292,0,(HLOOKUP(C293,Ingreso!$AW$10:$BC$260,VLOOKUP(A293,Ingreso!$AL$11:$AM$260,2,FALSE)))/24),0))</f>
        <v/>
      </c>
      <c r="L293" s="63">
        <f t="shared" si="8"/>
        <v>0</v>
      </c>
      <c r="M293" s="63" t="str">
        <f>IF(IFERROR(IF(C293=C291,0,IF(E293=E292,0,IF(C293=$R$2,HLOOKUP($R$2,Ingreso!$AW$10:$BC$260,VLOOKUP(A293,Ingreso!AL:AM,2,FALSE),FALSE)/24,""))),"")=0,"",IFERROR(IF(C293=C291,0,IF(E293=E292,0,IF(C293=$R$2,HLOOKUP($R$2,Ingreso!$AW$10:$BC$260,VLOOKUP(A293,Ingreso!AL:AM,2,FALSE),FALSE)/24,""))),""))</f>
        <v/>
      </c>
      <c r="N293" s="95" t="str">
        <f>IF(IFERROR(IF(C293=C291,0,IF(E293=E292,0,IF(C293=$R$3,HLOOKUP($R$3,Ingreso!$AW$10:$BC$260,VLOOKUP(A293,Ingreso!AL:AM,2,FALSE),FALSE)/24,""))),"")=0,"",IFERROR(IF(C293=C291,0,IF(E293=E292,0,IF(C293=$R$3,HLOOKUP($R$3,Ingreso!$AW$10:$BC$260,VLOOKUP(A293,Ingreso!AL:AM,2,FALSE),FALSE)/24,""))),""))</f>
        <v/>
      </c>
      <c r="O293" s="95" t="str">
        <f>IF(IFERROR(IF(C293=C291,0,IF(E293=E292,0,IF(C293=$R$4,HLOOKUP($R$4,Ingreso!$AW$10:$BC$260,VLOOKUP(A293,Ingreso!AL:AM,2,FALSE),FALSE)/24,""))),"")=0,"",IFERROR(IF(C293=C291,0,IF(E293=E292,0,IF(C293=$R$4,HLOOKUP($R$4,Ingreso!$AW$10:$BC$260,VLOOKUP(A293,Ingreso!AL:AM,2,FALSE),FALSE)/24,""))),""))</f>
        <v/>
      </c>
      <c r="P293" s="90"/>
      <c r="R293"/>
      <c r="S293"/>
      <c r="T293" t="s">
        <v>1425</v>
      </c>
      <c r="U293" t="s">
        <v>4</v>
      </c>
      <c r="V293" t="s">
        <v>1400</v>
      </c>
      <c r="W293" s="82">
        <v>342</v>
      </c>
      <c r="X293" s="71">
        <v>0.3125</v>
      </c>
      <c r="Y293" s="101">
        <v>0.29898148148148146</v>
      </c>
      <c r="Z293" s="101">
        <v>0.62357638888888889</v>
      </c>
      <c r="AA293" s="101">
        <v>0.32459490740740743</v>
      </c>
      <c r="AB293" s="101">
        <v>1.2094907407407429E-2</v>
      </c>
      <c r="AC293" s="105">
        <v>0</v>
      </c>
      <c r="AD293" s="105">
        <v>0</v>
      </c>
      <c r="AE293" s="93">
        <v>0</v>
      </c>
      <c r="AF293" s="93">
        <v>0</v>
      </c>
      <c r="AG293" s="93">
        <v>0</v>
      </c>
    </row>
    <row r="294" spans="1:33" s="58" customFormat="1">
      <c r="A294" s="65" t="str">
        <f>IFERROR(VLOOKUP('Informe Kelly'!A287,Base!A:B,2,FALSE),"")</f>
        <v>09.774.031-3</v>
      </c>
      <c r="B294" s="65" t="str">
        <f>IFERROR(VLOOKUP('Informe Kelly'!A287,Base!A:G,7,FALSE),"")</f>
        <v>CACERES VASQUEZ VICTOR</v>
      </c>
      <c r="C294" s="69" t="str">
        <f>IF(G294=$C$4,IF('Informe Kelly'!H287='Control informe Kelly'!$A$2,TEXT(((LEFT('Informe Kelly'!E287,2)*1)+1),"dd")&amp;"."&amp;MID('Informe Kelly'!E287,4,2)&amp;"."&amp;RIGHT('Informe Kelly'!E287,4),'Informe Kelly'!E287),'Informe Kelly'!E287)</f>
        <v>14.04.2011</v>
      </c>
      <c r="D294" s="69" t="str">
        <f>IF('Informe Kelly'!E287="","",'Informe Kelly'!E287)</f>
        <v>14.04.2011</v>
      </c>
      <c r="E294" s="72">
        <f t="shared" si="9"/>
        <v>147</v>
      </c>
      <c r="F294" s="72" t="str">
        <f>IFERROR(HLOOKUP(C294,Ingreso!$Q$8:$AD$9,2,FALSE),"v")</f>
        <v>Jueves</v>
      </c>
      <c r="G294" s="65" t="str">
        <f>IFERROR(VLOOKUP(A294,Ingreso!K:P,6,FALSE),"no esta ingresado")</f>
        <v>Turno B</v>
      </c>
      <c r="H294" s="65" t="str">
        <f>IFERROR(IF('Informe Kelly'!H287=$A$2,'Informe Kelly'!F287,""),0)</f>
        <v/>
      </c>
      <c r="I294" s="65">
        <f>IFERROR(IF('Informe Kelly'!H287=$A$3,'Informe Kelly'!F287,""),0)</f>
        <v>0.9456134259259259</v>
      </c>
      <c r="J294" s="65" t="str">
        <f>IF(IFERROR(IF(E294=E293,0,(HLOOKUP(D294,Ingreso!$AN$10:$AT$260,VLOOKUP(A294,Ingreso!$AL$11:$AM$260,2,FALSE)))/24),0)=0,"",IFERROR(IF(E294=E293,0,(HLOOKUP(D294,Ingreso!$AN$10:$AT$260,VLOOKUP(A294,Ingreso!$AL$11:$AM$260,2,FALSE)))/24),0))</f>
        <v/>
      </c>
      <c r="K294" s="65" t="str">
        <f>IF(IFERROR(IF(E294=E293,0,(HLOOKUP(C294,Ingreso!$AW$10:$BC$260,VLOOKUP(A294,Ingreso!$AL$11:$AM$260,2,FALSE)))/24),0)=0,"",IFERROR(IF(E294=E293,0,(HLOOKUP(C294,Ingreso!$AW$10:$BC$260,VLOOKUP(A294,Ingreso!$AL$11:$AM$260,2,FALSE)))/24),0))</f>
        <v/>
      </c>
      <c r="L294" s="63">
        <f t="shared" si="8"/>
        <v>0.3125</v>
      </c>
      <c r="M294" s="63" t="str">
        <f>IF(IFERROR(IF(C294=C292,0,IF(E294=E293,0,IF(C294=$R$2,HLOOKUP($R$2,Ingreso!$AW$10:$BC$260,VLOOKUP(A294,Ingreso!AL:AM,2,FALSE),FALSE)/24,""))),"")=0,"",IFERROR(IF(C294=C292,0,IF(E294=E293,0,IF(C294=$R$2,HLOOKUP($R$2,Ingreso!$AW$10:$BC$260,VLOOKUP(A294,Ingreso!AL:AM,2,FALSE),FALSE)/24,""))),""))</f>
        <v/>
      </c>
      <c r="N294" s="95" t="str">
        <f>IF(IFERROR(IF(C294=C292,0,IF(E294=E293,0,IF(C294=$R$3,HLOOKUP($R$3,Ingreso!$AW$10:$BC$260,VLOOKUP(A294,Ingreso!AL:AM,2,FALSE),FALSE)/24,""))),"")=0,"",IFERROR(IF(C294=C292,0,IF(E294=E293,0,IF(C294=$R$3,HLOOKUP($R$3,Ingreso!$AW$10:$BC$260,VLOOKUP(A294,Ingreso!AL:AM,2,FALSE),FALSE)/24,""))),""))</f>
        <v/>
      </c>
      <c r="O294" s="95" t="str">
        <f>IF(IFERROR(IF(C294=C292,0,IF(E294=E293,0,IF(C294=$R$4,HLOOKUP($R$4,Ingreso!$AW$10:$BC$260,VLOOKUP(A294,Ingreso!AL:AM,2,FALSE),FALSE)/24,""))),"")=0,"",IFERROR(IF(C294=C292,0,IF(E294=E293,0,IF(C294=$R$4,HLOOKUP($R$4,Ingreso!$AW$10:$BC$260,VLOOKUP(A294,Ingreso!AL:AM,2,FALSE),FALSE)/24,""))),""))</f>
        <v/>
      </c>
      <c r="P294" s="90"/>
      <c r="R294"/>
      <c r="S294"/>
      <c r="T294" t="s">
        <v>1426</v>
      </c>
      <c r="U294" t="s">
        <v>4</v>
      </c>
      <c r="V294" t="s">
        <v>1401</v>
      </c>
      <c r="W294" s="82">
        <v>343</v>
      </c>
      <c r="X294" s="71">
        <v>0.3125</v>
      </c>
      <c r="Y294" s="101">
        <v>0.29298611111111111</v>
      </c>
      <c r="Z294" s="101">
        <v>0.63518518518518519</v>
      </c>
      <c r="AA294" s="101">
        <v>0.34219907407407407</v>
      </c>
      <c r="AB294" s="101">
        <v>2.9699074074074072E-2</v>
      </c>
      <c r="AC294" s="105">
        <v>0</v>
      </c>
      <c r="AD294" s="105">
        <v>0</v>
      </c>
      <c r="AE294" s="93">
        <v>0</v>
      </c>
      <c r="AF294" s="93">
        <v>0</v>
      </c>
      <c r="AG294" s="93">
        <v>0</v>
      </c>
    </row>
    <row r="295" spans="1:33" s="58" customFormat="1">
      <c r="A295" s="65" t="str">
        <f>IFERROR(VLOOKUP('Informe Kelly'!A288,Base!A:B,2,FALSE),"")</f>
        <v>09.774.031-3</v>
      </c>
      <c r="B295" s="65" t="str">
        <f>IFERROR(VLOOKUP('Informe Kelly'!A288,Base!A:G,7,FALSE),"")</f>
        <v>CACERES VASQUEZ VICTOR</v>
      </c>
      <c r="C295" s="69" t="str">
        <f>IF(G295=$C$4,IF('Informe Kelly'!H288='Control informe Kelly'!$A$2,TEXT(((LEFT('Informe Kelly'!E288,2)*1)+1),"dd")&amp;"."&amp;MID('Informe Kelly'!E288,4,2)&amp;"."&amp;RIGHT('Informe Kelly'!E288,4),'Informe Kelly'!E288),'Informe Kelly'!E288)</f>
        <v>14.04.2011</v>
      </c>
      <c r="D295" s="69" t="str">
        <f>IF('Informe Kelly'!E288="","",'Informe Kelly'!E288)</f>
        <v>14.04.2011</v>
      </c>
      <c r="E295" s="72">
        <f t="shared" si="9"/>
        <v>147</v>
      </c>
      <c r="F295" s="72" t="str">
        <f>IFERROR(HLOOKUP(C295,Ingreso!$Q$8:$AD$9,2,FALSE),"v")</f>
        <v>Jueves</v>
      </c>
      <c r="G295" s="65" t="str">
        <f>IFERROR(VLOOKUP(A295,Ingreso!K:P,6,FALSE),"no esta ingresado")</f>
        <v>Turno B</v>
      </c>
      <c r="H295" s="65">
        <f>IFERROR(IF('Informe Kelly'!H288=$A$2,'Informe Kelly'!F288,""),0)</f>
        <v>0.60700231481481481</v>
      </c>
      <c r="I295" s="65" t="str">
        <f>IFERROR(IF('Informe Kelly'!H288=$A$3,'Informe Kelly'!F288,""),0)</f>
        <v/>
      </c>
      <c r="J295" s="65" t="str">
        <f>IF(IFERROR(IF(E295=E294,0,(HLOOKUP(D295,Ingreso!$AN$10:$AT$260,VLOOKUP(A295,Ingreso!$AL$11:$AM$260,2,FALSE)))/24),0)=0,"",IFERROR(IF(E295=E294,0,(HLOOKUP(D295,Ingreso!$AN$10:$AT$260,VLOOKUP(A295,Ingreso!$AL$11:$AM$260,2,FALSE)))/24),0))</f>
        <v/>
      </c>
      <c r="K295" s="65" t="str">
        <f>IF(IFERROR(IF(E295=E294,0,(HLOOKUP(C295,Ingreso!$AW$10:$BC$260,VLOOKUP(A295,Ingreso!$AL$11:$AM$260,2,FALSE)))/24),0)=0,"",IFERROR(IF(E295=E294,0,(HLOOKUP(C295,Ingreso!$AW$10:$BC$260,VLOOKUP(A295,Ingreso!$AL$11:$AM$260,2,FALSE)))/24),0))</f>
        <v/>
      </c>
      <c r="L295" s="63">
        <f t="shared" si="8"/>
        <v>0</v>
      </c>
      <c r="M295" s="63" t="str">
        <f>IF(IFERROR(IF(C295=C293,0,IF(E295=E294,0,IF(C295=$R$2,HLOOKUP($R$2,Ingreso!$AW$10:$BC$260,VLOOKUP(A295,Ingreso!AL:AM,2,FALSE),FALSE)/24,""))),"")=0,"",IFERROR(IF(C295=C293,0,IF(E295=E294,0,IF(C295=$R$2,HLOOKUP($R$2,Ingreso!$AW$10:$BC$260,VLOOKUP(A295,Ingreso!AL:AM,2,FALSE),FALSE)/24,""))),""))</f>
        <v/>
      </c>
      <c r="N295" s="95" t="str">
        <f>IF(IFERROR(IF(C295=C293,0,IF(E295=E294,0,IF(C295=$R$3,HLOOKUP($R$3,Ingreso!$AW$10:$BC$260,VLOOKUP(A295,Ingreso!AL:AM,2,FALSE),FALSE)/24,""))),"")=0,"",IFERROR(IF(C295=C293,0,IF(E295=E294,0,IF(C295=$R$3,HLOOKUP($R$3,Ingreso!$AW$10:$BC$260,VLOOKUP(A295,Ingreso!AL:AM,2,FALSE),FALSE)/24,""))),""))</f>
        <v/>
      </c>
      <c r="O295" s="95" t="str">
        <f>IF(IFERROR(IF(C295=C293,0,IF(E295=E294,0,IF(C295=$R$4,HLOOKUP($R$4,Ingreso!$AW$10:$BC$260,VLOOKUP(A295,Ingreso!AL:AM,2,FALSE),FALSE)/24,""))),"")=0,"",IFERROR(IF(C295=C293,0,IF(E295=E294,0,IF(C295=$R$4,HLOOKUP($R$4,Ingreso!$AW$10:$BC$260,VLOOKUP(A295,Ingreso!AL:AM,2,FALSE),FALSE)/24,""))),""))</f>
        <v/>
      </c>
      <c r="P295" s="90"/>
      <c r="R295"/>
      <c r="S295"/>
      <c r="T295" t="s">
        <v>1427</v>
      </c>
      <c r="U295" t="s">
        <v>4</v>
      </c>
      <c r="V295" t="s">
        <v>1402</v>
      </c>
      <c r="W295" s="82">
        <v>344</v>
      </c>
      <c r="X295" s="71">
        <v>0.3125</v>
      </c>
      <c r="Y295" s="101">
        <v>0.29138888888888886</v>
      </c>
      <c r="Z295" s="101">
        <v>0.62688657407407411</v>
      </c>
      <c r="AA295" s="101">
        <v>0.33549768518518525</v>
      </c>
      <c r="AB295" s="101">
        <v>2.2997685185185246E-2</v>
      </c>
      <c r="AC295" s="105">
        <v>0</v>
      </c>
      <c r="AD295" s="105">
        <v>0</v>
      </c>
      <c r="AE295" s="93">
        <v>0</v>
      </c>
      <c r="AF295" s="93">
        <v>0</v>
      </c>
      <c r="AG295" s="93">
        <v>0</v>
      </c>
    </row>
    <row r="296" spans="1:33" s="58" customFormat="1">
      <c r="A296" s="65" t="str">
        <f>IFERROR(VLOOKUP('Informe Kelly'!A289,Base!A:B,2,FALSE),"")</f>
        <v>09.774.031-3</v>
      </c>
      <c r="B296" s="65" t="str">
        <f>IFERROR(VLOOKUP('Informe Kelly'!A289,Base!A:G,7,FALSE),"")</f>
        <v>CACERES VASQUEZ VICTOR</v>
      </c>
      <c r="C296" s="69" t="str">
        <f>IF(G296=$C$4,IF('Informe Kelly'!H289='Control informe Kelly'!$A$2,TEXT(((LEFT('Informe Kelly'!E289,2)*1)+1),"dd")&amp;"."&amp;MID('Informe Kelly'!E289,4,2)&amp;"."&amp;RIGHT('Informe Kelly'!E289,4),'Informe Kelly'!E289),'Informe Kelly'!E289)</f>
        <v>15.04.2011</v>
      </c>
      <c r="D296" s="69" t="str">
        <f>IF('Informe Kelly'!E289="","",'Informe Kelly'!E289)</f>
        <v>15.04.2011</v>
      </c>
      <c r="E296" s="72">
        <f t="shared" si="9"/>
        <v>148</v>
      </c>
      <c r="F296" s="72" t="str">
        <f>IFERROR(HLOOKUP(C296,Ingreso!$Q$8:$AD$9,2,FALSE),"v")</f>
        <v>Viernes</v>
      </c>
      <c r="G296" s="65" t="str">
        <f>IFERROR(VLOOKUP(A296,Ingreso!K:P,6,FALSE),"no esta ingresado")</f>
        <v>Turno B</v>
      </c>
      <c r="H296" s="65" t="str">
        <f>IFERROR(IF('Informe Kelly'!H289=$A$2,'Informe Kelly'!F289,""),0)</f>
        <v/>
      </c>
      <c r="I296" s="65">
        <f>IFERROR(IF('Informe Kelly'!H289=$A$3,'Informe Kelly'!F289,""),0)</f>
        <v>0.94822916666666668</v>
      </c>
      <c r="J296" s="65" t="str">
        <f>IF(IFERROR(IF(E296=E295,0,(HLOOKUP(D296,Ingreso!$AN$10:$AT$260,VLOOKUP(A296,Ingreso!$AL$11:$AM$260,2,FALSE)))/24),0)=0,"",IFERROR(IF(E296=E295,0,(HLOOKUP(D296,Ingreso!$AN$10:$AT$260,VLOOKUP(A296,Ingreso!$AL$11:$AM$260,2,FALSE)))/24),0))</f>
        <v/>
      </c>
      <c r="K296" s="65" t="str">
        <f>IF(IFERROR(IF(E296=E295,0,(HLOOKUP(C296,Ingreso!$AW$10:$BC$260,VLOOKUP(A296,Ingreso!$AL$11:$AM$260,2,FALSE)))/24),0)=0,"",IFERROR(IF(E296=E295,0,(HLOOKUP(C296,Ingreso!$AW$10:$BC$260,VLOOKUP(A296,Ingreso!$AL$11:$AM$260,2,FALSE)))/24),0))</f>
        <v/>
      </c>
      <c r="L296" s="63">
        <f t="shared" si="8"/>
        <v>0.3125</v>
      </c>
      <c r="M296" s="63" t="str">
        <f>IF(IFERROR(IF(C296=C294,0,IF(E296=E295,0,IF(C296=$R$2,HLOOKUP($R$2,Ingreso!$AW$10:$BC$260,VLOOKUP(A296,Ingreso!AL:AM,2,FALSE),FALSE)/24,""))),"")=0,"",IFERROR(IF(C296=C294,0,IF(E296=E295,0,IF(C296=$R$2,HLOOKUP($R$2,Ingreso!$AW$10:$BC$260,VLOOKUP(A296,Ingreso!AL:AM,2,FALSE),FALSE)/24,""))),""))</f>
        <v/>
      </c>
      <c r="N296" s="95" t="str">
        <f>IF(IFERROR(IF(C296=C294,0,IF(E296=E295,0,IF(C296=$R$3,HLOOKUP($R$3,Ingreso!$AW$10:$BC$260,VLOOKUP(A296,Ingreso!AL:AM,2,FALSE),FALSE)/24,""))),"")=0,"",IFERROR(IF(C296=C294,0,IF(E296=E295,0,IF(C296=$R$3,HLOOKUP($R$3,Ingreso!$AW$10:$BC$260,VLOOKUP(A296,Ingreso!AL:AM,2,FALSE),FALSE)/24,""))),""))</f>
        <v/>
      </c>
      <c r="O296" s="95" t="str">
        <f>IF(IFERROR(IF(C296=C294,0,IF(E296=E295,0,IF(C296=$R$4,HLOOKUP($R$4,Ingreso!$AW$10:$BC$260,VLOOKUP(A296,Ingreso!AL:AM,2,FALSE),FALSE)/24,""))),"")=0,"",IFERROR(IF(C296=C294,0,IF(E296=E295,0,IF(C296=$R$4,HLOOKUP($R$4,Ingreso!$AW$10:$BC$260,VLOOKUP(A296,Ingreso!AL:AM,2,FALSE),FALSE)/24,""))),""))</f>
        <v/>
      </c>
      <c r="P296" s="90"/>
      <c r="R296" t="s">
        <v>148</v>
      </c>
      <c r="S296" t="s">
        <v>153</v>
      </c>
      <c r="T296" t="s">
        <v>1420</v>
      </c>
      <c r="U296" t="s">
        <v>1338</v>
      </c>
      <c r="V296" t="s">
        <v>1397</v>
      </c>
      <c r="W296" s="82">
        <v>345</v>
      </c>
      <c r="X296" s="71">
        <v>0.41666666666666669</v>
      </c>
      <c r="Y296" s="101">
        <v>4.0393518518518521E-3</v>
      </c>
      <c r="Z296" s="101">
        <v>0.35031250000000003</v>
      </c>
      <c r="AA296" s="101">
        <v>0.34627314814814819</v>
      </c>
      <c r="AB296" s="101">
        <v>-7.0393518518518494E-2</v>
      </c>
      <c r="AC296" s="105">
        <v>0</v>
      </c>
      <c r="AD296" s="105">
        <v>0.3125</v>
      </c>
      <c r="AE296" s="93">
        <v>0.3125</v>
      </c>
      <c r="AF296" s="93">
        <v>0</v>
      </c>
      <c r="AG296" s="93">
        <v>0</v>
      </c>
    </row>
    <row r="297" spans="1:33" s="58" customFormat="1">
      <c r="A297" s="65" t="str">
        <f>IFERROR(VLOOKUP('Informe Kelly'!A290,Base!A:B,2,FALSE),"")</f>
        <v>09.774.031-3</v>
      </c>
      <c r="B297" s="65" t="str">
        <f>IFERROR(VLOOKUP('Informe Kelly'!A290,Base!A:G,7,FALSE),"")</f>
        <v>CACERES VASQUEZ VICTOR</v>
      </c>
      <c r="C297" s="69" t="str">
        <f>IF(G297=$C$4,IF('Informe Kelly'!H290='Control informe Kelly'!$A$2,TEXT(((LEFT('Informe Kelly'!E290,2)*1)+1),"dd")&amp;"."&amp;MID('Informe Kelly'!E290,4,2)&amp;"."&amp;RIGHT('Informe Kelly'!E290,4),'Informe Kelly'!E290),'Informe Kelly'!E290)</f>
        <v>15.04.2011</v>
      </c>
      <c r="D297" s="69" t="str">
        <f>IF('Informe Kelly'!E290="","",'Informe Kelly'!E290)</f>
        <v>15.04.2011</v>
      </c>
      <c r="E297" s="72">
        <f t="shared" si="9"/>
        <v>148</v>
      </c>
      <c r="F297" s="72" t="str">
        <f>IFERROR(HLOOKUP(C297,Ingreso!$Q$8:$AD$9,2,FALSE),"v")</f>
        <v>Viernes</v>
      </c>
      <c r="G297" s="65" t="str">
        <f>IFERROR(VLOOKUP(A297,Ingreso!K:P,6,FALSE),"no esta ingresado")</f>
        <v>Turno B</v>
      </c>
      <c r="H297" s="65">
        <f>IFERROR(IF('Informe Kelly'!H290=$A$2,'Informe Kelly'!F290,""),0)</f>
        <v>0.60651620370370374</v>
      </c>
      <c r="I297" s="65" t="str">
        <f>IFERROR(IF('Informe Kelly'!H290=$A$3,'Informe Kelly'!F290,""),0)</f>
        <v/>
      </c>
      <c r="J297" s="65" t="str">
        <f>IF(IFERROR(IF(E297=E296,0,(HLOOKUP(D297,Ingreso!$AN$10:$AT$260,VLOOKUP(A297,Ingreso!$AL$11:$AM$260,2,FALSE)))/24),0)=0,"",IFERROR(IF(E297=E296,0,(HLOOKUP(D297,Ingreso!$AN$10:$AT$260,VLOOKUP(A297,Ingreso!$AL$11:$AM$260,2,FALSE)))/24),0))</f>
        <v/>
      </c>
      <c r="K297" s="65" t="str">
        <f>IF(IFERROR(IF(E297=E296,0,(HLOOKUP(C297,Ingreso!$AW$10:$BC$260,VLOOKUP(A297,Ingreso!$AL$11:$AM$260,2,FALSE)))/24),0)=0,"",IFERROR(IF(E297=E296,0,(HLOOKUP(C297,Ingreso!$AW$10:$BC$260,VLOOKUP(A297,Ingreso!$AL$11:$AM$260,2,FALSE)))/24),0))</f>
        <v/>
      </c>
      <c r="L297" s="63">
        <f t="shared" si="8"/>
        <v>0</v>
      </c>
      <c r="M297" s="63" t="str">
        <f>IF(IFERROR(IF(C297=C295,0,IF(E297=E296,0,IF(C297=$R$2,HLOOKUP($R$2,Ingreso!$AW$10:$BC$260,VLOOKUP(A297,Ingreso!AL:AM,2,FALSE),FALSE)/24,""))),"")=0,"",IFERROR(IF(C297=C295,0,IF(E297=E296,0,IF(C297=$R$2,HLOOKUP($R$2,Ingreso!$AW$10:$BC$260,VLOOKUP(A297,Ingreso!AL:AM,2,FALSE),FALSE)/24,""))),""))</f>
        <v/>
      </c>
      <c r="N297" s="95" t="str">
        <f>IF(IFERROR(IF(C297=C295,0,IF(E297=E296,0,IF(C297=$R$3,HLOOKUP($R$3,Ingreso!$AW$10:$BC$260,VLOOKUP(A297,Ingreso!AL:AM,2,FALSE),FALSE)/24,""))),"")=0,"",IFERROR(IF(C297=C295,0,IF(E297=E296,0,IF(C297=$R$3,HLOOKUP($R$3,Ingreso!$AW$10:$BC$260,VLOOKUP(A297,Ingreso!AL:AM,2,FALSE),FALSE)/24,""))),""))</f>
        <v/>
      </c>
      <c r="O297" s="95" t="str">
        <f>IF(IFERROR(IF(C297=C295,0,IF(E297=E296,0,IF(C297=$R$4,HLOOKUP($R$4,Ingreso!$AW$10:$BC$260,VLOOKUP(A297,Ingreso!AL:AM,2,FALSE),FALSE)/24,""))),"")=0,"",IFERROR(IF(C297=C295,0,IF(E297=E296,0,IF(C297=$R$4,HLOOKUP($R$4,Ingreso!$AW$10:$BC$260,VLOOKUP(A297,Ingreso!AL:AM,2,FALSE),FALSE)/24,""))),""))</f>
        <v/>
      </c>
      <c r="P297" s="90"/>
      <c r="R297"/>
      <c r="S297"/>
      <c r="T297" t="s">
        <v>1423</v>
      </c>
      <c r="U297" t="s">
        <v>1338</v>
      </c>
      <c r="V297" t="s">
        <v>1398</v>
      </c>
      <c r="W297" s="82">
        <v>346</v>
      </c>
      <c r="X297" s="71">
        <v>0.41666666666666669</v>
      </c>
      <c r="Y297" s="101">
        <v>0.31578703703703703</v>
      </c>
      <c r="Z297" s="101">
        <v>0.81896990740740738</v>
      </c>
      <c r="AA297" s="101">
        <v>0.50318287037037035</v>
      </c>
      <c r="AB297" s="101">
        <v>8.6516203703703665E-2</v>
      </c>
      <c r="AC297" s="105">
        <v>0</v>
      </c>
      <c r="AD297" s="105">
        <v>0</v>
      </c>
      <c r="AE297" s="93">
        <v>0</v>
      </c>
      <c r="AF297" s="93">
        <v>0</v>
      </c>
      <c r="AG297" s="93">
        <v>0</v>
      </c>
    </row>
    <row r="298" spans="1:33" s="58" customFormat="1" ht="12.75" customHeight="1">
      <c r="A298" s="65" t="str">
        <f>IFERROR(VLOOKUP('Informe Kelly'!A291,Base!A:B,2,FALSE),"")</f>
        <v>09.774.031-3</v>
      </c>
      <c r="B298" s="65" t="str">
        <f>IFERROR(VLOOKUP('Informe Kelly'!A291,Base!A:G,7,FALSE),"")</f>
        <v>CACERES VASQUEZ VICTOR</v>
      </c>
      <c r="C298" s="69" t="str">
        <f>IF(G298=$C$4,IF('Informe Kelly'!H291='Control informe Kelly'!$A$2,TEXT(((LEFT('Informe Kelly'!E291,2)*1)+1),"dd")&amp;"."&amp;MID('Informe Kelly'!E291,4,2)&amp;"."&amp;RIGHT('Informe Kelly'!E291,4),'Informe Kelly'!E291),'Informe Kelly'!E291)</f>
        <v>16.04.2011</v>
      </c>
      <c r="D298" s="69" t="str">
        <f>IF('Informe Kelly'!E291="","",'Informe Kelly'!E291)</f>
        <v>16.04.2011</v>
      </c>
      <c r="E298" s="72">
        <f t="shared" si="9"/>
        <v>149</v>
      </c>
      <c r="F298" s="72" t="str">
        <f>IFERROR(HLOOKUP(C298,Ingreso!$Q$8:$AD$9,2,FALSE),"v")</f>
        <v>Sábado</v>
      </c>
      <c r="G298" s="65" t="str">
        <f>IFERROR(VLOOKUP(A298,Ingreso!K:P,6,FALSE),"no esta ingresado")</f>
        <v>Turno B</v>
      </c>
      <c r="H298" s="65" t="str">
        <f>IFERROR(IF('Informe Kelly'!H291=$A$2,'Informe Kelly'!F291,""),0)</f>
        <v/>
      </c>
      <c r="I298" s="65">
        <f>IFERROR(IF('Informe Kelly'!H291=$A$3,'Informe Kelly'!F291,""),0)</f>
        <v>0.65806712962962965</v>
      </c>
      <c r="J298" s="65" t="str">
        <f>IF(IFERROR(IF(E298=E297,0,(HLOOKUP(D298,Ingreso!$AN$10:$AT$260,VLOOKUP(A298,Ingreso!$AL$11:$AM$260,2,FALSE)))/24),0)=0,"",IFERROR(IF(E298=E297,0,(HLOOKUP(D298,Ingreso!$AN$10:$AT$260,VLOOKUP(A298,Ingreso!$AL$11:$AM$260,2,FALSE)))/24),0))</f>
        <v/>
      </c>
      <c r="K298" s="65" t="str">
        <f>IF(IFERROR(IF(E298=E297,0,(HLOOKUP(C298,Ingreso!$AW$10:$BC$260,VLOOKUP(A298,Ingreso!$AL$11:$AM$260,2,FALSE)))/24),0)=0,"",IFERROR(IF(E298=E297,0,(HLOOKUP(C298,Ingreso!$AW$10:$BC$260,VLOOKUP(A298,Ingreso!$AL$11:$AM$260,2,FALSE)))/24),0))</f>
        <v/>
      </c>
      <c r="L298" s="63">
        <f t="shared" si="8"/>
        <v>0.3125</v>
      </c>
      <c r="M298" s="63" t="str">
        <f>IF(IFERROR(IF(C298=C296,0,IF(E298=E297,0,IF(C298=$R$2,HLOOKUP($R$2,Ingreso!$AW$10:$BC$260,VLOOKUP(A298,Ingreso!AL:AM,2,FALSE),FALSE)/24,""))),"")=0,"",IFERROR(IF(C298=C296,0,IF(E298=E297,0,IF(C298=$R$2,HLOOKUP($R$2,Ingreso!$AW$10:$BC$260,VLOOKUP(A298,Ingreso!AL:AM,2,FALSE),FALSE)/24,""))),""))</f>
        <v/>
      </c>
      <c r="N298" s="95" t="str">
        <f>IF(IFERROR(IF(C298=C296,0,IF(E298=E297,0,IF(C298=$R$3,HLOOKUP($R$3,Ingreso!$AW$10:$BC$260,VLOOKUP(A298,Ingreso!AL:AM,2,FALSE),FALSE)/24,""))),"")=0,"",IFERROR(IF(C298=C296,0,IF(E298=E297,0,IF(C298=$R$3,HLOOKUP($R$3,Ingreso!$AW$10:$BC$260,VLOOKUP(A298,Ingreso!AL:AM,2,FALSE),FALSE)/24,""))),""))</f>
        <v/>
      </c>
      <c r="O298" s="95" t="str">
        <f>IF(IFERROR(IF(C298=C296,0,IF(E298=E297,0,IF(C298=$R$4,HLOOKUP($R$4,Ingreso!$AW$10:$BC$260,VLOOKUP(A298,Ingreso!AL:AM,2,FALSE),FALSE)/24,""))),"")=0,"",IFERROR(IF(C298=C296,0,IF(E298=E297,0,IF(C298=$R$4,HLOOKUP($R$4,Ingreso!$AW$10:$BC$260,VLOOKUP(A298,Ingreso!AL:AM,2,FALSE),FALSE)/24,""))),""))</f>
        <v/>
      </c>
      <c r="P298" s="90"/>
      <c r="R298"/>
      <c r="S298"/>
      <c r="T298" t="s">
        <v>1424</v>
      </c>
      <c r="U298" t="s">
        <v>1338</v>
      </c>
      <c r="V298" t="s">
        <v>1399</v>
      </c>
      <c r="W298" s="82">
        <v>347</v>
      </c>
      <c r="X298" s="71">
        <v>0.41666666666666669</v>
      </c>
      <c r="Y298" s="101">
        <v>0.31509259259259259</v>
      </c>
      <c r="Z298" s="101">
        <v>0.85385416666666669</v>
      </c>
      <c r="AA298" s="101">
        <v>0.5387615740740741</v>
      </c>
      <c r="AB298" s="101">
        <v>0.12209490740740742</v>
      </c>
      <c r="AC298" s="105">
        <v>0</v>
      </c>
      <c r="AD298" s="105">
        <v>0</v>
      </c>
      <c r="AE298" s="93">
        <v>0</v>
      </c>
      <c r="AF298" s="93">
        <v>0</v>
      </c>
      <c r="AG298" s="93">
        <v>0</v>
      </c>
    </row>
    <row r="299" spans="1:33" s="58" customFormat="1">
      <c r="A299" s="65" t="str">
        <f>IFERROR(VLOOKUP('Informe Kelly'!A292,Base!A:B,2,FALSE),"")</f>
        <v>09.774.031-3</v>
      </c>
      <c r="B299" s="65" t="str">
        <f>IFERROR(VLOOKUP('Informe Kelly'!A292,Base!A:G,7,FALSE),"")</f>
        <v>CACERES VASQUEZ VICTOR</v>
      </c>
      <c r="C299" s="69" t="str">
        <f>IF(G299=$C$4,IF('Informe Kelly'!H292='Control informe Kelly'!$A$2,TEXT(((LEFT('Informe Kelly'!E292,2)*1)+1),"dd")&amp;"."&amp;MID('Informe Kelly'!E292,4,2)&amp;"."&amp;RIGHT('Informe Kelly'!E292,4),'Informe Kelly'!E292),'Informe Kelly'!E292)</f>
        <v>16.04.2011</v>
      </c>
      <c r="D299" s="69" t="str">
        <f>IF('Informe Kelly'!E292="","",'Informe Kelly'!E292)</f>
        <v>16.04.2011</v>
      </c>
      <c r="E299" s="72">
        <f t="shared" si="9"/>
        <v>149</v>
      </c>
      <c r="F299" s="72" t="str">
        <f>IFERROR(HLOOKUP(C299,Ingreso!$Q$8:$AD$9,2,FALSE),"v")</f>
        <v>Sábado</v>
      </c>
      <c r="G299" s="65" t="str">
        <f>IFERROR(VLOOKUP(A299,Ingreso!K:P,6,FALSE),"no esta ingresado")</f>
        <v>Turno B</v>
      </c>
      <c r="H299" s="65">
        <f>IFERROR(IF('Informe Kelly'!H292=$A$2,'Informe Kelly'!F292,""),0)</f>
        <v>0.60760416666666661</v>
      </c>
      <c r="I299" s="65" t="str">
        <f>IFERROR(IF('Informe Kelly'!H292=$A$3,'Informe Kelly'!F292,""),0)</f>
        <v/>
      </c>
      <c r="J299" s="65" t="str">
        <f>IF(IFERROR(IF(E299=E298,0,(HLOOKUP(D299,Ingreso!$AN$10:$AT$260,VLOOKUP(A299,Ingreso!$AL$11:$AM$260,2,FALSE)))/24),0)=0,"",IFERROR(IF(E299=E298,0,(HLOOKUP(D299,Ingreso!$AN$10:$AT$260,VLOOKUP(A299,Ingreso!$AL$11:$AM$260,2,FALSE)))/24),0))</f>
        <v/>
      </c>
      <c r="K299" s="65" t="str">
        <f>IF(IFERROR(IF(E299=E298,0,(HLOOKUP(C299,Ingreso!$AW$10:$BC$260,VLOOKUP(A299,Ingreso!$AL$11:$AM$260,2,FALSE)))/24),0)=0,"",IFERROR(IF(E299=E298,0,(HLOOKUP(C299,Ingreso!$AW$10:$BC$260,VLOOKUP(A299,Ingreso!$AL$11:$AM$260,2,FALSE)))/24),0))</f>
        <v/>
      </c>
      <c r="L299" s="63">
        <f t="shared" si="8"/>
        <v>0</v>
      </c>
      <c r="M299" s="63" t="str">
        <f>IF(IFERROR(IF(C299=C297,0,IF(E299=E298,0,IF(C299=$R$2,HLOOKUP($R$2,Ingreso!$AW$10:$BC$260,VLOOKUP(A299,Ingreso!AL:AM,2,FALSE),FALSE)/24,""))),"")=0,"",IFERROR(IF(C299=C297,0,IF(E299=E298,0,IF(C299=$R$2,HLOOKUP($R$2,Ingreso!$AW$10:$BC$260,VLOOKUP(A299,Ingreso!AL:AM,2,FALSE),FALSE)/24,""))),""))</f>
        <v/>
      </c>
      <c r="N299" s="95" t="str">
        <f>IF(IFERROR(IF(C299=C297,0,IF(E299=E298,0,IF(C299=$R$3,HLOOKUP($R$3,Ingreso!$AW$10:$BC$260,VLOOKUP(A299,Ingreso!AL:AM,2,FALSE),FALSE)/24,""))),"")=0,"",IFERROR(IF(C299=C297,0,IF(E299=E298,0,IF(C299=$R$3,HLOOKUP($R$3,Ingreso!$AW$10:$BC$260,VLOOKUP(A299,Ingreso!AL:AM,2,FALSE),FALSE)/24,""))),""))</f>
        <v/>
      </c>
      <c r="O299" s="95" t="str">
        <f>IF(IFERROR(IF(C299=C297,0,IF(E299=E298,0,IF(C299=$R$4,HLOOKUP($R$4,Ingreso!$AW$10:$BC$260,VLOOKUP(A299,Ingreso!AL:AM,2,FALSE),FALSE)/24,""))),"")=0,"",IFERROR(IF(C299=C297,0,IF(E299=E298,0,IF(C299=$R$4,HLOOKUP($R$4,Ingreso!$AW$10:$BC$260,VLOOKUP(A299,Ingreso!AL:AM,2,FALSE),FALSE)/24,""))),""))</f>
        <v/>
      </c>
      <c r="P299" s="90"/>
      <c r="R299"/>
      <c r="S299"/>
      <c r="T299" t="s">
        <v>1425</v>
      </c>
      <c r="U299" t="s">
        <v>1338</v>
      </c>
      <c r="V299" t="s">
        <v>1400</v>
      </c>
      <c r="W299" s="82">
        <v>348</v>
      </c>
      <c r="X299" s="71">
        <v>0.41666666666666669</v>
      </c>
      <c r="Y299" s="101">
        <v>1.0694444444444444</v>
      </c>
      <c r="Z299" s="101">
        <v>0</v>
      </c>
      <c r="AA299" s="101">
        <v>-6.944444444444442E-2</v>
      </c>
      <c r="AB299" s="101">
        <v>-0.4861111111111111</v>
      </c>
      <c r="AC299" s="105">
        <v>0</v>
      </c>
      <c r="AD299" s="105">
        <v>0</v>
      </c>
      <c r="AE299" s="93">
        <v>0</v>
      </c>
      <c r="AF299" s="93">
        <v>0</v>
      </c>
      <c r="AG299" s="93">
        <v>0</v>
      </c>
    </row>
    <row r="300" spans="1:33">
      <c r="A300" s="65" t="str">
        <f>IFERROR(VLOOKUP('Informe Kelly'!A293,Base!A:B,2,FALSE),"")</f>
        <v>09.832.710-K</v>
      </c>
      <c r="B300" s="65" t="str">
        <f>IFERROR(VLOOKUP('Informe Kelly'!A293,Base!A:G,7,FALSE),"")</f>
        <v>CARO RODRIGUEZ OMAR FCO</v>
      </c>
      <c r="C300" s="69" t="str">
        <f>IF(G300=$C$4,IF('Informe Kelly'!H293='Control informe Kelly'!$A$2,TEXT(((LEFT('Informe Kelly'!E293,2)*1)+1),"dd")&amp;"."&amp;MID('Informe Kelly'!E293,4,2)&amp;"."&amp;RIGHT('Informe Kelly'!E293,4),'Informe Kelly'!E293),'Informe Kelly'!E293)</f>
        <v>11.04.2011</v>
      </c>
      <c r="D300" s="69" t="str">
        <f>IF('Informe Kelly'!E293="","",'Informe Kelly'!E293)</f>
        <v>11.04.2011</v>
      </c>
      <c r="E300" s="72">
        <f t="shared" si="9"/>
        <v>150</v>
      </c>
      <c r="F300" s="72" t="str">
        <f>IFERROR(HLOOKUP(C300,Ingreso!$Q$8:$AD$9,2,FALSE),"v")</f>
        <v>Lunes</v>
      </c>
      <c r="G300" s="65" t="str">
        <f>IFERROR(VLOOKUP(A300,Ingreso!K:P,6,FALSE),"no esta ingresado")</f>
        <v>Turno A</v>
      </c>
      <c r="H300" s="65" t="str">
        <f>IFERROR(IF('Informe Kelly'!H293=$A$2,'Informe Kelly'!F293,""),0)</f>
        <v/>
      </c>
      <c r="I300" s="65">
        <f>IFERROR(IF('Informe Kelly'!H293=$A$3,'Informe Kelly'!F293,""),0)</f>
        <v>0.72745370370370377</v>
      </c>
      <c r="J300" s="65" t="str">
        <f>IF(IFERROR(IF(E300=E299,0,(HLOOKUP(D300,Ingreso!$AN$10:$AT$260,VLOOKUP(A300,Ingreso!$AL$11:$AM$260,2,FALSE)))/24),0)=0,"",IFERROR(IF(E300=E299,0,(HLOOKUP(D300,Ingreso!$AN$10:$AT$260,VLOOKUP(A300,Ingreso!$AL$11:$AM$260,2,FALSE)))/24),0))</f>
        <v/>
      </c>
      <c r="K300" s="65" t="str">
        <f>IF(IFERROR(IF(E300=E299,0,(HLOOKUP(C300,Ingreso!$AW$10:$BC$260,VLOOKUP(A300,Ingreso!$AL$11:$AM$260,2,FALSE)))/24),0)=0,"",IFERROR(IF(E300=E299,0,(HLOOKUP(C300,Ingreso!$AW$10:$BC$260,VLOOKUP(A300,Ingreso!$AL$11:$AM$260,2,FALSE)))/24),0))</f>
        <v/>
      </c>
      <c r="L300" s="63">
        <f t="shared" si="8"/>
        <v>0.3125</v>
      </c>
      <c r="M300" s="63" t="str">
        <f>IF(IFERROR(IF(C300=C298,0,IF(E300=E299,0,IF(C300=$R$2,HLOOKUP($R$2,Ingreso!$AW$10:$BC$260,VLOOKUP(A300,Ingreso!AL:AM,2,FALSE),FALSE)/24,""))),"")=0,"",IFERROR(IF(C300=C298,0,IF(E300=E299,0,IF(C300=$R$2,HLOOKUP($R$2,Ingreso!$AW$10:$BC$260,VLOOKUP(A300,Ingreso!AL:AM,2,FALSE),FALSE)/24,""))),""))</f>
        <v/>
      </c>
      <c r="N300" s="95" t="str">
        <f>IF(IFERROR(IF(C300=C298,0,IF(E300=E299,0,IF(C300=$R$3,HLOOKUP($R$3,Ingreso!$AW$10:$BC$260,VLOOKUP(A300,Ingreso!AL:AM,2,FALSE),FALSE)/24,""))),"")=0,"",IFERROR(IF(C300=C298,0,IF(E300=E299,0,IF(C300=$R$3,HLOOKUP($R$3,Ingreso!$AW$10:$BC$260,VLOOKUP(A300,Ingreso!AL:AM,2,FALSE),FALSE)/24,""))),""))</f>
        <v/>
      </c>
      <c r="O300" s="95" t="str">
        <f>IF(IFERROR(IF(C300=C298,0,IF(E300=E299,0,IF(C300=$R$4,HLOOKUP($R$4,Ingreso!$AW$10:$BC$260,VLOOKUP(A300,Ingreso!AL:AM,2,FALSE),FALSE)/24,""))),"")=0,"",IFERROR(IF(C300=C298,0,IF(E300=E299,0,IF(C300=$R$4,HLOOKUP($R$4,Ingreso!$AW$10:$BC$260,VLOOKUP(A300,Ingreso!AL:AM,2,FALSE),FALSE)/24,""))),""))</f>
        <v/>
      </c>
      <c r="P300" s="90"/>
      <c r="T300" t="s">
        <v>1426</v>
      </c>
      <c r="U300" t="s">
        <v>1338</v>
      </c>
      <c r="V300" t="s">
        <v>1401</v>
      </c>
      <c r="W300" s="82">
        <v>349</v>
      </c>
      <c r="X300" s="71">
        <v>0.41666666666666669</v>
      </c>
      <c r="Y300" s="101">
        <v>0.31231481481481482</v>
      </c>
      <c r="Z300" s="101">
        <v>0.67237268518518523</v>
      </c>
      <c r="AA300" s="101">
        <v>0.3600578703703704</v>
      </c>
      <c r="AB300" s="101">
        <v>-5.6608796296296282E-2</v>
      </c>
      <c r="AC300" s="105">
        <v>0</v>
      </c>
      <c r="AD300" s="105">
        <v>0</v>
      </c>
      <c r="AE300" s="93">
        <v>0</v>
      </c>
      <c r="AF300" s="93">
        <v>0</v>
      </c>
      <c r="AG300" s="93">
        <v>0</v>
      </c>
    </row>
    <row r="301" spans="1:33">
      <c r="A301" s="65" t="str">
        <f>IFERROR(VLOOKUP('Informe Kelly'!A294,Base!A:B,2,FALSE),"")</f>
        <v>09.832.710-K</v>
      </c>
      <c r="B301" s="65" t="str">
        <f>IFERROR(VLOOKUP('Informe Kelly'!A294,Base!A:G,7,FALSE),"")</f>
        <v>CARO RODRIGUEZ OMAR FCO</v>
      </c>
      <c r="C301" s="69" t="str">
        <f>IF(G301=$C$4,IF('Informe Kelly'!H294='Control informe Kelly'!$A$2,TEXT(((LEFT('Informe Kelly'!E294,2)*1)+1),"dd")&amp;"."&amp;MID('Informe Kelly'!E294,4,2)&amp;"."&amp;RIGHT('Informe Kelly'!E294,4),'Informe Kelly'!E294),'Informe Kelly'!E294)</f>
        <v>11.04.2011</v>
      </c>
      <c r="D301" s="69" t="str">
        <f>IF('Informe Kelly'!E294="","",'Informe Kelly'!E294)</f>
        <v>11.04.2011</v>
      </c>
      <c r="E301" s="72">
        <f t="shared" si="9"/>
        <v>150</v>
      </c>
      <c r="F301" s="72" t="str">
        <f>IFERROR(HLOOKUP(C301,Ingreso!$Q$8:$AD$9,2,FALSE),"v")</f>
        <v>Lunes</v>
      </c>
      <c r="G301" s="65" t="str">
        <f>IFERROR(VLOOKUP(A301,Ingreso!K:P,6,FALSE),"no esta ingresado")</f>
        <v>Turno A</v>
      </c>
      <c r="H301" s="65">
        <f>IFERROR(IF('Informe Kelly'!H294=$A$2,'Informe Kelly'!F294,""),0)</f>
        <v>0.30015046296296294</v>
      </c>
      <c r="I301" s="65" t="str">
        <f>IFERROR(IF('Informe Kelly'!H294=$A$3,'Informe Kelly'!F294,""),0)</f>
        <v/>
      </c>
      <c r="J301" s="65" t="str">
        <f>IF(IFERROR(IF(E301=E300,0,(HLOOKUP(D301,Ingreso!$AN$10:$AT$260,VLOOKUP(A301,Ingreso!$AL$11:$AM$260,2,FALSE)))/24),0)=0,"",IFERROR(IF(E301=E300,0,(HLOOKUP(D301,Ingreso!$AN$10:$AT$260,VLOOKUP(A301,Ingreso!$AL$11:$AM$260,2,FALSE)))/24),0))</f>
        <v/>
      </c>
      <c r="K301" s="65" t="str">
        <f>IF(IFERROR(IF(E301=E300,0,(HLOOKUP(C301,Ingreso!$AW$10:$BC$260,VLOOKUP(A301,Ingreso!$AL$11:$AM$260,2,FALSE)))/24),0)=0,"",IFERROR(IF(E301=E300,0,(HLOOKUP(C301,Ingreso!$AW$10:$BC$260,VLOOKUP(A301,Ingreso!$AL$11:$AM$260,2,FALSE)))/24),0))</f>
        <v/>
      </c>
      <c r="L301" s="63">
        <f t="shared" si="8"/>
        <v>0</v>
      </c>
      <c r="M301" s="63" t="str">
        <f>IF(IFERROR(IF(C301=C299,0,IF(E301=E300,0,IF(C301=$R$2,HLOOKUP($R$2,Ingreso!$AW$10:$BC$260,VLOOKUP(A301,Ingreso!AL:AM,2,FALSE),FALSE)/24,""))),"")=0,"",IFERROR(IF(C301=C299,0,IF(E301=E300,0,IF(C301=$R$2,HLOOKUP($R$2,Ingreso!$AW$10:$BC$260,VLOOKUP(A301,Ingreso!AL:AM,2,FALSE),FALSE)/24,""))),""))</f>
        <v/>
      </c>
      <c r="N301" s="95" t="str">
        <f>IF(IFERROR(IF(C301=C299,0,IF(E301=E300,0,IF(C301=$R$3,HLOOKUP($R$3,Ingreso!$AW$10:$BC$260,VLOOKUP(A301,Ingreso!AL:AM,2,FALSE),FALSE)/24,""))),"")=0,"",IFERROR(IF(C301=C299,0,IF(E301=E300,0,IF(C301=$R$3,HLOOKUP($R$3,Ingreso!$AW$10:$BC$260,VLOOKUP(A301,Ingreso!AL:AM,2,FALSE),FALSE)/24,""))),""))</f>
        <v/>
      </c>
      <c r="O301" s="95" t="str">
        <f>IF(IFERROR(IF(C301=C299,0,IF(E301=E300,0,IF(C301=$R$4,HLOOKUP($R$4,Ingreso!$AW$10:$BC$260,VLOOKUP(A301,Ingreso!AL:AM,2,FALSE),FALSE)/24,""))),"")=0,"",IFERROR(IF(C301=C299,0,IF(E301=E300,0,IF(C301=$R$4,HLOOKUP($R$4,Ingreso!$AW$10:$BC$260,VLOOKUP(A301,Ingreso!AL:AM,2,FALSE),FALSE)/24,""))),""))</f>
        <v/>
      </c>
      <c r="P301" s="90"/>
      <c r="R301" t="s">
        <v>736</v>
      </c>
      <c r="S301" t="s">
        <v>741</v>
      </c>
      <c r="T301" t="s">
        <v>1420</v>
      </c>
      <c r="U301" t="s">
        <v>4</v>
      </c>
      <c r="V301" t="s">
        <v>1397</v>
      </c>
      <c r="W301" s="82">
        <v>350</v>
      </c>
      <c r="X301" s="71">
        <v>0.3125</v>
      </c>
      <c r="Y301" s="101">
        <v>0.29075231481481484</v>
      </c>
      <c r="Z301" s="101">
        <v>0.64091435185185186</v>
      </c>
      <c r="AA301" s="101">
        <v>0.35016203703703702</v>
      </c>
      <c r="AB301" s="101">
        <v>3.7662037037037022E-2</v>
      </c>
      <c r="AC301" s="105">
        <v>0</v>
      </c>
      <c r="AD301" s="105">
        <v>0</v>
      </c>
      <c r="AE301" s="93">
        <v>0</v>
      </c>
      <c r="AF301" s="93">
        <v>0</v>
      </c>
      <c r="AG301" s="93">
        <v>0</v>
      </c>
    </row>
    <row r="302" spans="1:33">
      <c r="A302" s="65" t="str">
        <f>IFERROR(VLOOKUP('Informe Kelly'!A295,Base!A:B,2,FALSE),"")</f>
        <v>09.832.710-K</v>
      </c>
      <c r="B302" s="65" t="str">
        <f>IFERROR(VLOOKUP('Informe Kelly'!A295,Base!A:G,7,FALSE),"")</f>
        <v>CARO RODRIGUEZ OMAR FCO</v>
      </c>
      <c r="C302" s="69" t="str">
        <f>IF(G302=$C$4,IF('Informe Kelly'!H295='Control informe Kelly'!$A$2,TEXT(((LEFT('Informe Kelly'!E295,2)*1)+1),"dd")&amp;"."&amp;MID('Informe Kelly'!E295,4,2)&amp;"."&amp;RIGHT('Informe Kelly'!E295,4),'Informe Kelly'!E295),'Informe Kelly'!E295)</f>
        <v>12.04.2011</v>
      </c>
      <c r="D302" s="69" t="str">
        <f>IF('Informe Kelly'!E295="","",'Informe Kelly'!E295)</f>
        <v>12.04.2011</v>
      </c>
      <c r="E302" s="72">
        <f t="shared" si="9"/>
        <v>151</v>
      </c>
      <c r="F302" s="72" t="str">
        <f>IFERROR(HLOOKUP(C302,Ingreso!$Q$8:$AD$9,2,FALSE),"v")</f>
        <v>Martes</v>
      </c>
      <c r="G302" s="65" t="str">
        <f>IFERROR(VLOOKUP(A302,Ingreso!K:P,6,FALSE),"no esta ingresado")</f>
        <v>Turno A</v>
      </c>
      <c r="H302" s="65" t="str">
        <f>IFERROR(IF('Informe Kelly'!H295=$A$2,'Informe Kelly'!F295,""),0)</f>
        <v/>
      </c>
      <c r="I302" s="65">
        <f>IFERROR(IF('Informe Kelly'!H295=$A$3,'Informe Kelly'!F295,""),0)</f>
        <v>0.72630787037037037</v>
      </c>
      <c r="J302" s="65" t="str">
        <f>IF(IFERROR(IF(E302=E301,0,(HLOOKUP(D302,Ingreso!$AN$10:$AT$260,VLOOKUP(A302,Ingreso!$AL$11:$AM$260,2,FALSE)))/24),0)=0,"",IFERROR(IF(E302=E301,0,(HLOOKUP(D302,Ingreso!$AN$10:$AT$260,VLOOKUP(A302,Ingreso!$AL$11:$AM$260,2,FALSE)))/24),0))</f>
        <v/>
      </c>
      <c r="K302" s="65" t="str">
        <f>IF(IFERROR(IF(E302=E301,0,(HLOOKUP(C302,Ingreso!$AW$10:$BC$260,VLOOKUP(A302,Ingreso!$AL$11:$AM$260,2,FALSE)))/24),0)=0,"",IFERROR(IF(E302=E301,0,(HLOOKUP(C302,Ingreso!$AW$10:$BC$260,VLOOKUP(A302,Ingreso!$AL$11:$AM$260,2,FALSE)))/24),0))</f>
        <v/>
      </c>
      <c r="L302" s="63">
        <f t="shared" si="8"/>
        <v>0.3125</v>
      </c>
      <c r="M302" s="63" t="str">
        <f>IF(IFERROR(IF(C302=C300,0,IF(E302=E301,0,IF(C302=$R$2,HLOOKUP($R$2,Ingreso!$AW$10:$BC$260,VLOOKUP(A302,Ingreso!AL:AM,2,FALSE),FALSE)/24,""))),"")=0,"",IFERROR(IF(C302=C300,0,IF(E302=E301,0,IF(C302=$R$2,HLOOKUP($R$2,Ingreso!$AW$10:$BC$260,VLOOKUP(A302,Ingreso!AL:AM,2,FALSE),FALSE)/24,""))),""))</f>
        <v/>
      </c>
      <c r="N302" s="95" t="str">
        <f>IF(IFERROR(IF(C302=C300,0,IF(E302=E301,0,IF(C302=$R$3,HLOOKUP($R$3,Ingreso!$AW$10:$BC$260,VLOOKUP(A302,Ingreso!AL:AM,2,FALSE),FALSE)/24,""))),"")=0,"",IFERROR(IF(C302=C300,0,IF(E302=E301,0,IF(C302=$R$3,HLOOKUP($R$3,Ingreso!$AW$10:$BC$260,VLOOKUP(A302,Ingreso!AL:AM,2,FALSE),FALSE)/24,""))),""))</f>
        <v/>
      </c>
      <c r="O302" s="95" t="str">
        <f>IF(IFERROR(IF(C302=C300,0,IF(E302=E301,0,IF(C302=$R$4,HLOOKUP($R$4,Ingreso!$AW$10:$BC$260,VLOOKUP(A302,Ingreso!AL:AM,2,FALSE),FALSE)/24,""))),"")=0,"",IFERROR(IF(C302=C300,0,IF(E302=E301,0,IF(C302=$R$4,HLOOKUP($R$4,Ingreso!$AW$10:$BC$260,VLOOKUP(A302,Ingreso!AL:AM,2,FALSE),FALSE)/24,""))),""))</f>
        <v/>
      </c>
      <c r="P302" s="90"/>
      <c r="T302" t="s">
        <v>1423</v>
      </c>
      <c r="U302" t="s">
        <v>4</v>
      </c>
      <c r="V302" t="s">
        <v>1398</v>
      </c>
      <c r="W302" s="82">
        <v>351</v>
      </c>
      <c r="X302" s="71">
        <v>0.3125</v>
      </c>
      <c r="Y302" s="101">
        <v>0.35446759259259258</v>
      </c>
      <c r="Z302" s="101">
        <v>0.6381944444444444</v>
      </c>
      <c r="AA302" s="101">
        <v>0.28372685185185181</v>
      </c>
      <c r="AB302" s="101">
        <v>-2.8773148148148187E-2</v>
      </c>
      <c r="AC302" s="105">
        <v>0</v>
      </c>
      <c r="AD302" s="105">
        <v>0</v>
      </c>
      <c r="AE302" s="93">
        <v>0</v>
      </c>
      <c r="AF302" s="93">
        <v>0</v>
      </c>
      <c r="AG302" s="93">
        <v>0</v>
      </c>
    </row>
    <row r="303" spans="1:33">
      <c r="A303" s="65" t="str">
        <f>IFERROR(VLOOKUP('Informe Kelly'!A296,Base!A:B,2,FALSE),"")</f>
        <v>09.832.710-K</v>
      </c>
      <c r="B303" s="65" t="str">
        <f>IFERROR(VLOOKUP('Informe Kelly'!A296,Base!A:G,7,FALSE),"")</f>
        <v>CARO RODRIGUEZ OMAR FCO</v>
      </c>
      <c r="C303" s="69" t="str">
        <f>IF(G303=$C$4,IF('Informe Kelly'!H296='Control informe Kelly'!$A$2,TEXT(((LEFT('Informe Kelly'!E296,2)*1)+1),"dd")&amp;"."&amp;MID('Informe Kelly'!E296,4,2)&amp;"."&amp;RIGHT('Informe Kelly'!E296,4),'Informe Kelly'!E296),'Informe Kelly'!E296)</f>
        <v>12.04.2011</v>
      </c>
      <c r="D303" s="69" t="str">
        <f>IF('Informe Kelly'!E296="","",'Informe Kelly'!E296)</f>
        <v>12.04.2011</v>
      </c>
      <c r="E303" s="72">
        <f t="shared" si="9"/>
        <v>151</v>
      </c>
      <c r="F303" s="72" t="str">
        <f>IFERROR(HLOOKUP(C303,Ingreso!$Q$8:$AD$9,2,FALSE),"v")</f>
        <v>Martes</v>
      </c>
      <c r="G303" s="65" t="str">
        <f>IFERROR(VLOOKUP(A303,Ingreso!K:P,6,FALSE),"no esta ingresado")</f>
        <v>Turno A</v>
      </c>
      <c r="H303" s="65">
        <f>IFERROR(IF('Informe Kelly'!H296=$A$2,'Informe Kelly'!F296,""),0)</f>
        <v>0.30607638888888888</v>
      </c>
      <c r="I303" s="65" t="str">
        <f>IFERROR(IF('Informe Kelly'!H296=$A$3,'Informe Kelly'!F296,""),0)</f>
        <v/>
      </c>
      <c r="J303" s="65" t="str">
        <f>IF(IFERROR(IF(E303=E302,0,(HLOOKUP(D303,Ingreso!$AN$10:$AT$260,VLOOKUP(A303,Ingreso!$AL$11:$AM$260,2,FALSE)))/24),0)=0,"",IFERROR(IF(E303=E302,0,(HLOOKUP(D303,Ingreso!$AN$10:$AT$260,VLOOKUP(A303,Ingreso!$AL$11:$AM$260,2,FALSE)))/24),0))</f>
        <v/>
      </c>
      <c r="K303" s="65" t="str">
        <f>IF(IFERROR(IF(E303=E302,0,(HLOOKUP(C303,Ingreso!$AW$10:$BC$260,VLOOKUP(A303,Ingreso!$AL$11:$AM$260,2,FALSE)))/24),0)=0,"",IFERROR(IF(E303=E302,0,(HLOOKUP(C303,Ingreso!$AW$10:$BC$260,VLOOKUP(A303,Ingreso!$AL$11:$AM$260,2,FALSE)))/24),0))</f>
        <v/>
      </c>
      <c r="L303" s="63">
        <f t="shared" si="8"/>
        <v>0</v>
      </c>
      <c r="M303" s="63" t="str">
        <f>IF(IFERROR(IF(C303=C301,0,IF(E303=E302,0,IF(C303=$R$2,HLOOKUP($R$2,Ingreso!$AW$10:$BC$260,VLOOKUP(A303,Ingreso!AL:AM,2,FALSE),FALSE)/24,""))),"")=0,"",IFERROR(IF(C303=C301,0,IF(E303=E302,0,IF(C303=$R$2,HLOOKUP($R$2,Ingreso!$AW$10:$BC$260,VLOOKUP(A303,Ingreso!AL:AM,2,FALSE),FALSE)/24,""))),""))</f>
        <v/>
      </c>
      <c r="N303" s="95" t="str">
        <f>IF(IFERROR(IF(C303=C301,0,IF(E303=E302,0,IF(C303=$R$3,HLOOKUP($R$3,Ingreso!$AW$10:$BC$260,VLOOKUP(A303,Ingreso!AL:AM,2,FALSE),FALSE)/24,""))),"")=0,"",IFERROR(IF(C303=C301,0,IF(E303=E302,0,IF(C303=$R$3,HLOOKUP($R$3,Ingreso!$AW$10:$BC$260,VLOOKUP(A303,Ingreso!AL:AM,2,FALSE),FALSE)/24,""))),""))</f>
        <v/>
      </c>
      <c r="O303" s="95" t="str">
        <f>IF(IFERROR(IF(C303=C301,0,IF(E303=E302,0,IF(C303=$R$4,HLOOKUP($R$4,Ingreso!$AW$10:$BC$260,VLOOKUP(A303,Ingreso!AL:AM,2,FALSE),FALSE)/24,""))),"")=0,"",IFERROR(IF(C303=C301,0,IF(E303=E302,0,IF(C303=$R$4,HLOOKUP($R$4,Ingreso!$AW$10:$BC$260,VLOOKUP(A303,Ingreso!AL:AM,2,FALSE),FALSE)/24,""))),""))</f>
        <v/>
      </c>
      <c r="P303" s="90"/>
      <c r="T303" t="s">
        <v>1424</v>
      </c>
      <c r="U303" t="s">
        <v>4</v>
      </c>
      <c r="V303" t="s">
        <v>1399</v>
      </c>
      <c r="W303" s="82">
        <v>352</v>
      </c>
      <c r="X303" s="71">
        <v>0.3125</v>
      </c>
      <c r="Y303" s="101">
        <v>0.29596064814814815</v>
      </c>
      <c r="Z303" s="101">
        <v>0.64315972222222217</v>
      </c>
      <c r="AA303" s="101">
        <v>0.34719907407407402</v>
      </c>
      <c r="AB303" s="101">
        <v>3.4699074074074021E-2</v>
      </c>
      <c r="AC303" s="105">
        <v>0</v>
      </c>
      <c r="AD303" s="105">
        <v>0</v>
      </c>
      <c r="AE303" s="93">
        <v>0</v>
      </c>
      <c r="AF303" s="93">
        <v>0</v>
      </c>
      <c r="AG303" s="93">
        <v>0</v>
      </c>
    </row>
    <row r="304" spans="1:33">
      <c r="A304" s="65" t="str">
        <f>IFERROR(VLOOKUP('Informe Kelly'!A297,Base!A:B,2,FALSE),"")</f>
        <v>09.832.710-K</v>
      </c>
      <c r="B304" s="65" t="str">
        <f>IFERROR(VLOOKUP('Informe Kelly'!A297,Base!A:G,7,FALSE),"")</f>
        <v>CARO RODRIGUEZ OMAR FCO</v>
      </c>
      <c r="C304" s="69" t="str">
        <f>IF(G304=$C$4,IF('Informe Kelly'!H297='Control informe Kelly'!$A$2,TEXT(((LEFT('Informe Kelly'!E297,2)*1)+1),"dd")&amp;"."&amp;MID('Informe Kelly'!E297,4,2)&amp;"."&amp;RIGHT('Informe Kelly'!E297,4),'Informe Kelly'!E297),'Informe Kelly'!E297)</f>
        <v>13.04.2011</v>
      </c>
      <c r="D304" s="69" t="str">
        <f>IF('Informe Kelly'!E297="","",'Informe Kelly'!E297)</f>
        <v>13.04.2011</v>
      </c>
      <c r="E304" s="72">
        <f t="shared" si="9"/>
        <v>152</v>
      </c>
      <c r="F304" s="72" t="str">
        <f>IFERROR(HLOOKUP(C304,Ingreso!$Q$8:$AD$9,2,FALSE),"v")</f>
        <v>Miércoles</v>
      </c>
      <c r="G304" s="65" t="str">
        <f>IFERROR(VLOOKUP(A304,Ingreso!K:P,6,FALSE),"no esta ingresado")</f>
        <v>Turno A</v>
      </c>
      <c r="H304" s="65" t="str">
        <f>IFERROR(IF('Informe Kelly'!H297=$A$2,'Informe Kelly'!F297,""),0)</f>
        <v/>
      </c>
      <c r="I304" s="65">
        <f>IFERROR(IF('Informe Kelly'!H297=$A$3,'Informe Kelly'!F297,""),0)</f>
        <v>0.73327546296296298</v>
      </c>
      <c r="J304" s="65" t="str">
        <f>IF(IFERROR(IF(E304=E303,0,(HLOOKUP(D304,Ingreso!$AN$10:$AT$260,VLOOKUP(A304,Ingreso!$AL$11:$AM$260,2,FALSE)))/24),0)=0,"",IFERROR(IF(E304=E303,0,(HLOOKUP(D304,Ingreso!$AN$10:$AT$260,VLOOKUP(A304,Ingreso!$AL$11:$AM$260,2,FALSE)))/24),0))</f>
        <v/>
      </c>
      <c r="K304" s="65" t="str">
        <f>IF(IFERROR(IF(E304=E303,0,(HLOOKUP(C304,Ingreso!$AW$10:$BC$260,VLOOKUP(A304,Ingreso!$AL$11:$AM$260,2,FALSE)))/24),0)=0,"",IFERROR(IF(E304=E303,0,(HLOOKUP(C304,Ingreso!$AW$10:$BC$260,VLOOKUP(A304,Ingreso!$AL$11:$AM$260,2,FALSE)))/24),0))</f>
        <v/>
      </c>
      <c r="L304" s="63">
        <f t="shared" si="8"/>
        <v>0.3125</v>
      </c>
      <c r="M304" s="63" t="str">
        <f>IF(IFERROR(IF(C304=C302,0,IF(E304=E303,0,IF(C304=$R$2,HLOOKUP($R$2,Ingreso!$AW$10:$BC$260,VLOOKUP(A304,Ingreso!AL:AM,2,FALSE),FALSE)/24,""))),"")=0,"",IFERROR(IF(C304=C302,0,IF(E304=E303,0,IF(C304=$R$2,HLOOKUP($R$2,Ingreso!$AW$10:$BC$260,VLOOKUP(A304,Ingreso!AL:AM,2,FALSE),FALSE)/24,""))),""))</f>
        <v/>
      </c>
      <c r="N304" s="95" t="str">
        <f>IF(IFERROR(IF(C304=C302,0,IF(E304=E303,0,IF(C304=$R$3,HLOOKUP($R$3,Ingreso!$AW$10:$BC$260,VLOOKUP(A304,Ingreso!AL:AM,2,FALSE),FALSE)/24,""))),"")=0,"",IFERROR(IF(C304=C302,0,IF(E304=E303,0,IF(C304=$R$3,HLOOKUP($R$3,Ingreso!$AW$10:$BC$260,VLOOKUP(A304,Ingreso!AL:AM,2,FALSE),FALSE)/24,""))),""))</f>
        <v/>
      </c>
      <c r="O304" s="95" t="str">
        <f>IF(IFERROR(IF(C304=C302,0,IF(E304=E303,0,IF(C304=$R$4,HLOOKUP($R$4,Ingreso!$AW$10:$BC$260,VLOOKUP(A304,Ingreso!AL:AM,2,FALSE),FALSE)/24,""))),"")=0,"",IFERROR(IF(C304=C302,0,IF(E304=E303,0,IF(C304=$R$4,HLOOKUP($R$4,Ingreso!$AW$10:$BC$260,VLOOKUP(A304,Ingreso!AL:AM,2,FALSE),FALSE)/24,""))),""))</f>
        <v/>
      </c>
      <c r="P304" s="90"/>
      <c r="T304" t="s">
        <v>1425</v>
      </c>
      <c r="U304" t="s">
        <v>4</v>
      </c>
      <c r="V304" t="s">
        <v>1400</v>
      </c>
      <c r="W304" s="82">
        <v>353</v>
      </c>
      <c r="X304" s="71">
        <v>0.3125</v>
      </c>
      <c r="Y304" s="101">
        <v>0.29993055555555553</v>
      </c>
      <c r="Z304" s="101">
        <v>0.63341435185185191</v>
      </c>
      <c r="AA304" s="101">
        <v>0.33348379629629638</v>
      </c>
      <c r="AB304" s="101">
        <v>2.0983796296296375E-2</v>
      </c>
      <c r="AC304" s="105">
        <v>0</v>
      </c>
      <c r="AD304" s="105">
        <v>0</v>
      </c>
      <c r="AE304" s="93">
        <v>0</v>
      </c>
      <c r="AF304" s="93">
        <v>0</v>
      </c>
      <c r="AG304" s="93">
        <v>0</v>
      </c>
    </row>
    <row r="305" spans="1:33">
      <c r="A305" s="65" t="str">
        <f>IFERROR(VLOOKUP('Informe Kelly'!A298,Base!A:B,2,FALSE),"")</f>
        <v>09.832.710-K</v>
      </c>
      <c r="B305" s="65" t="str">
        <f>IFERROR(VLOOKUP('Informe Kelly'!A298,Base!A:G,7,FALSE),"")</f>
        <v>CARO RODRIGUEZ OMAR FCO</v>
      </c>
      <c r="C305" s="69" t="str">
        <f>IF(G305=$C$4,IF('Informe Kelly'!H298='Control informe Kelly'!$A$2,TEXT(((LEFT('Informe Kelly'!E298,2)*1)+1),"dd")&amp;"."&amp;MID('Informe Kelly'!E298,4,2)&amp;"."&amp;RIGHT('Informe Kelly'!E298,4),'Informe Kelly'!E298),'Informe Kelly'!E298)</f>
        <v>13.04.2011</v>
      </c>
      <c r="D305" s="69" t="str">
        <f>IF('Informe Kelly'!E298="","",'Informe Kelly'!E298)</f>
        <v>13.04.2011</v>
      </c>
      <c r="E305" s="72">
        <f t="shared" si="9"/>
        <v>152</v>
      </c>
      <c r="F305" s="72" t="str">
        <f>IFERROR(HLOOKUP(C305,Ingreso!$Q$8:$AD$9,2,FALSE),"v")</f>
        <v>Miércoles</v>
      </c>
      <c r="G305" s="65" t="str">
        <f>IFERROR(VLOOKUP(A305,Ingreso!K:P,6,FALSE),"no esta ingresado")</f>
        <v>Turno A</v>
      </c>
      <c r="H305" s="65">
        <f>IFERROR(IF('Informe Kelly'!H298=$A$2,'Informe Kelly'!F298,""),0)</f>
        <v>0.3016550925925926</v>
      </c>
      <c r="I305" s="65" t="str">
        <f>IFERROR(IF('Informe Kelly'!H298=$A$3,'Informe Kelly'!F298,""),0)</f>
        <v/>
      </c>
      <c r="J305" s="65" t="str">
        <f>IF(IFERROR(IF(E305=E304,0,(HLOOKUP(D305,Ingreso!$AN$10:$AT$260,VLOOKUP(A305,Ingreso!$AL$11:$AM$260,2,FALSE)))/24),0)=0,"",IFERROR(IF(E305=E304,0,(HLOOKUP(D305,Ingreso!$AN$10:$AT$260,VLOOKUP(A305,Ingreso!$AL$11:$AM$260,2,FALSE)))/24),0))</f>
        <v/>
      </c>
      <c r="K305" s="65" t="str">
        <f>IF(IFERROR(IF(E305=E304,0,(HLOOKUP(C305,Ingreso!$AW$10:$BC$260,VLOOKUP(A305,Ingreso!$AL$11:$AM$260,2,FALSE)))/24),0)=0,"",IFERROR(IF(E305=E304,0,(HLOOKUP(C305,Ingreso!$AW$10:$BC$260,VLOOKUP(A305,Ingreso!$AL$11:$AM$260,2,FALSE)))/24),0))</f>
        <v/>
      </c>
      <c r="L305" s="63">
        <f t="shared" si="8"/>
        <v>0</v>
      </c>
      <c r="M305" s="63" t="str">
        <f>IF(IFERROR(IF(C305=C303,0,IF(E305=E304,0,IF(C305=$R$2,HLOOKUP($R$2,Ingreso!$AW$10:$BC$260,VLOOKUP(A305,Ingreso!AL:AM,2,FALSE),FALSE)/24,""))),"")=0,"",IFERROR(IF(C305=C303,0,IF(E305=E304,0,IF(C305=$R$2,HLOOKUP($R$2,Ingreso!$AW$10:$BC$260,VLOOKUP(A305,Ingreso!AL:AM,2,FALSE),FALSE)/24,""))),""))</f>
        <v/>
      </c>
      <c r="N305" s="95" t="str">
        <f>IF(IFERROR(IF(C305=C303,0,IF(E305=E304,0,IF(C305=$R$3,HLOOKUP($R$3,Ingreso!$AW$10:$BC$260,VLOOKUP(A305,Ingreso!AL:AM,2,FALSE),FALSE)/24,""))),"")=0,"",IFERROR(IF(C305=C303,0,IF(E305=E304,0,IF(C305=$R$3,HLOOKUP($R$3,Ingreso!$AW$10:$BC$260,VLOOKUP(A305,Ingreso!AL:AM,2,FALSE),FALSE)/24,""))),""))</f>
        <v/>
      </c>
      <c r="O305" s="95" t="str">
        <f>IF(IFERROR(IF(C305=C303,0,IF(E305=E304,0,IF(C305=$R$4,HLOOKUP($R$4,Ingreso!$AW$10:$BC$260,VLOOKUP(A305,Ingreso!AL:AM,2,FALSE),FALSE)/24,""))),"")=0,"",IFERROR(IF(C305=C303,0,IF(E305=E304,0,IF(C305=$R$4,HLOOKUP($R$4,Ingreso!$AW$10:$BC$260,VLOOKUP(A305,Ingreso!AL:AM,2,FALSE),FALSE)/24,""))),""))</f>
        <v/>
      </c>
      <c r="P305" s="90"/>
      <c r="T305" t="s">
        <v>1426</v>
      </c>
      <c r="U305" t="s">
        <v>4</v>
      </c>
      <c r="V305" t="s">
        <v>1401</v>
      </c>
      <c r="W305" s="82">
        <v>354</v>
      </c>
      <c r="X305" s="71">
        <v>0.3125</v>
      </c>
      <c r="Y305" s="101">
        <v>0.29693287037037036</v>
      </c>
      <c r="Z305" s="101">
        <v>0.6390393518518519</v>
      </c>
      <c r="AA305" s="101">
        <v>0.34210648148148154</v>
      </c>
      <c r="AB305" s="101">
        <v>2.9606481481481539E-2</v>
      </c>
      <c r="AC305" s="105">
        <v>0</v>
      </c>
      <c r="AD305" s="105">
        <v>0</v>
      </c>
      <c r="AE305" s="93">
        <v>0</v>
      </c>
      <c r="AF305" s="93">
        <v>0</v>
      </c>
      <c r="AG305" s="93">
        <v>0</v>
      </c>
    </row>
    <row r="306" spans="1:33">
      <c r="A306" s="65" t="str">
        <f>IFERROR(VLOOKUP('Informe Kelly'!A299,Base!A:B,2,FALSE),"")</f>
        <v>09.832.710-K</v>
      </c>
      <c r="B306" s="65" t="str">
        <f>IFERROR(VLOOKUP('Informe Kelly'!A299,Base!A:G,7,FALSE),"")</f>
        <v>CARO RODRIGUEZ OMAR FCO</v>
      </c>
      <c r="C306" s="69" t="str">
        <f>IF(G306=$C$4,IF('Informe Kelly'!H299='Control informe Kelly'!$A$2,TEXT(((LEFT('Informe Kelly'!E299,2)*1)+1),"dd")&amp;"."&amp;MID('Informe Kelly'!E299,4,2)&amp;"."&amp;RIGHT('Informe Kelly'!E299,4),'Informe Kelly'!E299),'Informe Kelly'!E299)</f>
        <v>14.04.2011</v>
      </c>
      <c r="D306" s="69" t="str">
        <f>IF('Informe Kelly'!E299="","",'Informe Kelly'!E299)</f>
        <v>14.04.2011</v>
      </c>
      <c r="E306" s="72">
        <f t="shared" si="9"/>
        <v>153</v>
      </c>
      <c r="F306" s="72" t="str">
        <f>IFERROR(HLOOKUP(C306,Ingreso!$Q$8:$AD$9,2,FALSE),"v")</f>
        <v>Jueves</v>
      </c>
      <c r="G306" s="65" t="str">
        <f>IFERROR(VLOOKUP(A306,Ingreso!K:P,6,FALSE),"no esta ingresado")</f>
        <v>Turno A</v>
      </c>
      <c r="H306" s="65" t="str">
        <f>IFERROR(IF('Informe Kelly'!H299=$A$2,'Informe Kelly'!F299,""),0)</f>
        <v/>
      </c>
      <c r="I306" s="65">
        <f>IFERROR(IF('Informe Kelly'!H299=$A$3,'Informe Kelly'!F299,""),0)</f>
        <v>0.76453703703703713</v>
      </c>
      <c r="J306" s="65" t="str">
        <f>IF(IFERROR(IF(E306=E305,0,(HLOOKUP(D306,Ingreso!$AN$10:$AT$260,VLOOKUP(A306,Ingreso!$AL$11:$AM$260,2,FALSE)))/24),0)=0,"",IFERROR(IF(E306=E305,0,(HLOOKUP(D306,Ingreso!$AN$10:$AT$260,VLOOKUP(A306,Ingreso!$AL$11:$AM$260,2,FALSE)))/24),0))</f>
        <v/>
      </c>
      <c r="K306" s="65" t="str">
        <f>IF(IFERROR(IF(E306=E305,0,(HLOOKUP(C306,Ingreso!$AW$10:$BC$260,VLOOKUP(A306,Ingreso!$AL$11:$AM$260,2,FALSE)))/24),0)=0,"",IFERROR(IF(E306=E305,0,(HLOOKUP(C306,Ingreso!$AW$10:$BC$260,VLOOKUP(A306,Ingreso!$AL$11:$AM$260,2,FALSE)))/24),0))</f>
        <v/>
      </c>
      <c r="L306" s="63">
        <f t="shared" si="8"/>
        <v>0.3125</v>
      </c>
      <c r="M306" s="63" t="str">
        <f>IF(IFERROR(IF(C306=C304,0,IF(E306=E305,0,IF(C306=$R$2,HLOOKUP($R$2,Ingreso!$AW$10:$BC$260,VLOOKUP(A306,Ingreso!AL:AM,2,FALSE),FALSE)/24,""))),"")=0,"",IFERROR(IF(C306=C304,0,IF(E306=E305,0,IF(C306=$R$2,HLOOKUP($R$2,Ingreso!$AW$10:$BC$260,VLOOKUP(A306,Ingreso!AL:AM,2,FALSE),FALSE)/24,""))),""))</f>
        <v/>
      </c>
      <c r="N306" s="95" t="str">
        <f>IF(IFERROR(IF(C306=C304,0,IF(E306=E305,0,IF(C306=$R$3,HLOOKUP($R$3,Ingreso!$AW$10:$BC$260,VLOOKUP(A306,Ingreso!AL:AM,2,FALSE),FALSE)/24,""))),"")=0,"",IFERROR(IF(C306=C304,0,IF(E306=E305,0,IF(C306=$R$3,HLOOKUP($R$3,Ingreso!$AW$10:$BC$260,VLOOKUP(A306,Ingreso!AL:AM,2,FALSE),FALSE)/24,""))),""))</f>
        <v/>
      </c>
      <c r="O306" s="95" t="str">
        <f>IF(IFERROR(IF(C306=C304,0,IF(E306=E305,0,IF(C306=$R$4,HLOOKUP($R$4,Ingreso!$AW$10:$BC$260,VLOOKUP(A306,Ingreso!AL:AM,2,FALSE),FALSE)/24,""))),"")=0,"",IFERROR(IF(C306=C304,0,IF(E306=E305,0,IF(C306=$R$4,HLOOKUP($R$4,Ingreso!$AW$10:$BC$260,VLOOKUP(A306,Ingreso!AL:AM,2,FALSE),FALSE)/24,""))),""))</f>
        <v/>
      </c>
      <c r="P306" s="90"/>
      <c r="T306" t="s">
        <v>1427</v>
      </c>
      <c r="U306" t="s">
        <v>4</v>
      </c>
      <c r="V306" t="s">
        <v>1402</v>
      </c>
      <c r="W306" s="82">
        <v>355</v>
      </c>
      <c r="X306" s="71">
        <v>0.3125</v>
      </c>
      <c r="Y306" s="101">
        <v>0.29452546296296295</v>
      </c>
      <c r="Z306" s="101">
        <v>0.62699074074074079</v>
      </c>
      <c r="AA306" s="101">
        <v>0.33246527777777785</v>
      </c>
      <c r="AB306" s="101">
        <v>1.9965277777777846E-2</v>
      </c>
      <c r="AC306" s="105">
        <v>0</v>
      </c>
      <c r="AD306" s="105">
        <v>0</v>
      </c>
      <c r="AE306" s="93">
        <v>0</v>
      </c>
      <c r="AF306" s="93">
        <v>0</v>
      </c>
      <c r="AG306" s="93">
        <v>0</v>
      </c>
    </row>
    <row r="307" spans="1:33">
      <c r="A307" s="65" t="str">
        <f>IFERROR(VLOOKUP('Informe Kelly'!A300,Base!A:B,2,FALSE),"")</f>
        <v>09.832.710-K</v>
      </c>
      <c r="B307" s="65" t="str">
        <f>IFERROR(VLOOKUP('Informe Kelly'!A300,Base!A:G,7,FALSE),"")</f>
        <v>CARO RODRIGUEZ OMAR FCO</v>
      </c>
      <c r="C307" s="69" t="str">
        <f>IF(G307=$C$4,IF('Informe Kelly'!H300='Control informe Kelly'!$A$2,TEXT(((LEFT('Informe Kelly'!E300,2)*1)+1),"dd")&amp;"."&amp;MID('Informe Kelly'!E300,4,2)&amp;"."&amp;RIGHT('Informe Kelly'!E300,4),'Informe Kelly'!E300),'Informe Kelly'!E300)</f>
        <v>14.04.2011</v>
      </c>
      <c r="D307" s="69" t="str">
        <f>IF('Informe Kelly'!E300="","",'Informe Kelly'!E300)</f>
        <v>14.04.2011</v>
      </c>
      <c r="E307" s="72">
        <f t="shared" si="9"/>
        <v>153</v>
      </c>
      <c r="F307" s="72" t="str">
        <f>IFERROR(HLOOKUP(C307,Ingreso!$Q$8:$AD$9,2,FALSE),"v")</f>
        <v>Jueves</v>
      </c>
      <c r="G307" s="65" t="str">
        <f>IFERROR(VLOOKUP(A307,Ingreso!K:P,6,FALSE),"no esta ingresado")</f>
        <v>Turno A</v>
      </c>
      <c r="H307" s="65">
        <f>IFERROR(IF('Informe Kelly'!H300=$A$2,'Informe Kelly'!F300,""),0)</f>
        <v>0.30163194444444447</v>
      </c>
      <c r="I307" s="65" t="str">
        <f>IFERROR(IF('Informe Kelly'!H300=$A$3,'Informe Kelly'!F300,""),0)</f>
        <v/>
      </c>
      <c r="J307" s="65" t="str">
        <f>IF(IFERROR(IF(E307=E306,0,(HLOOKUP(D307,Ingreso!$AN$10:$AT$260,VLOOKUP(A307,Ingreso!$AL$11:$AM$260,2,FALSE)))/24),0)=0,"",IFERROR(IF(E307=E306,0,(HLOOKUP(D307,Ingreso!$AN$10:$AT$260,VLOOKUP(A307,Ingreso!$AL$11:$AM$260,2,FALSE)))/24),0))</f>
        <v/>
      </c>
      <c r="K307" s="65" t="str">
        <f>IF(IFERROR(IF(E307=E306,0,(HLOOKUP(C307,Ingreso!$AW$10:$BC$260,VLOOKUP(A307,Ingreso!$AL$11:$AM$260,2,FALSE)))/24),0)=0,"",IFERROR(IF(E307=E306,0,(HLOOKUP(C307,Ingreso!$AW$10:$BC$260,VLOOKUP(A307,Ingreso!$AL$11:$AM$260,2,FALSE)))/24),0))</f>
        <v/>
      </c>
      <c r="L307" s="63">
        <f t="shared" si="8"/>
        <v>0</v>
      </c>
      <c r="M307" s="63" t="str">
        <f>IF(IFERROR(IF(C307=C305,0,IF(E307=E306,0,IF(C307=$R$2,HLOOKUP($R$2,Ingreso!$AW$10:$BC$260,VLOOKUP(A307,Ingreso!AL:AM,2,FALSE),FALSE)/24,""))),"")=0,"",IFERROR(IF(C307=C305,0,IF(E307=E306,0,IF(C307=$R$2,HLOOKUP($R$2,Ingreso!$AW$10:$BC$260,VLOOKUP(A307,Ingreso!AL:AM,2,FALSE),FALSE)/24,""))),""))</f>
        <v/>
      </c>
      <c r="N307" s="95" t="str">
        <f>IF(IFERROR(IF(C307=C305,0,IF(E307=E306,0,IF(C307=$R$3,HLOOKUP($R$3,Ingreso!$AW$10:$BC$260,VLOOKUP(A307,Ingreso!AL:AM,2,FALSE),FALSE)/24,""))),"")=0,"",IFERROR(IF(C307=C305,0,IF(E307=E306,0,IF(C307=$R$3,HLOOKUP($R$3,Ingreso!$AW$10:$BC$260,VLOOKUP(A307,Ingreso!AL:AM,2,FALSE),FALSE)/24,""))),""))</f>
        <v/>
      </c>
      <c r="O307" s="95" t="str">
        <f>IF(IFERROR(IF(C307=C305,0,IF(E307=E306,0,IF(C307=$R$4,HLOOKUP($R$4,Ingreso!$AW$10:$BC$260,VLOOKUP(A307,Ingreso!AL:AM,2,FALSE),FALSE)/24,""))),"")=0,"",IFERROR(IF(C307=C305,0,IF(E307=E306,0,IF(C307=$R$4,HLOOKUP($R$4,Ingreso!$AW$10:$BC$260,VLOOKUP(A307,Ingreso!AL:AM,2,FALSE),FALSE)/24,""))),""))</f>
        <v/>
      </c>
      <c r="P307" s="90"/>
      <c r="R307" t="s">
        <v>979</v>
      </c>
      <c r="S307" t="s">
        <v>982</v>
      </c>
      <c r="T307" t="s">
        <v>1420</v>
      </c>
      <c r="U307" t="s">
        <v>1322</v>
      </c>
      <c r="V307" t="s">
        <v>1397</v>
      </c>
      <c r="W307" s="82">
        <v>356</v>
      </c>
      <c r="X307" s="71">
        <v>0.3125</v>
      </c>
      <c r="Y307" s="101">
        <v>0.60895833333333338</v>
      </c>
      <c r="Z307" s="101">
        <v>0.9425</v>
      </c>
      <c r="AA307" s="101">
        <v>0.33354166666666663</v>
      </c>
      <c r="AB307" s="101">
        <v>2.1041666666666625E-2</v>
      </c>
      <c r="AC307" s="105">
        <v>0</v>
      </c>
      <c r="AD307" s="105">
        <v>0</v>
      </c>
      <c r="AE307" s="93">
        <v>0</v>
      </c>
      <c r="AF307" s="93">
        <v>0</v>
      </c>
      <c r="AG307" s="93">
        <v>0</v>
      </c>
    </row>
    <row r="308" spans="1:33">
      <c r="A308" s="65" t="str">
        <f>IFERROR(VLOOKUP('Informe Kelly'!A301,Base!A:B,2,FALSE),"")</f>
        <v>09.832.710-K</v>
      </c>
      <c r="B308" s="65" t="str">
        <f>IFERROR(VLOOKUP('Informe Kelly'!A301,Base!A:G,7,FALSE),"")</f>
        <v>CARO RODRIGUEZ OMAR FCO</v>
      </c>
      <c r="C308" s="69" t="str">
        <f>IF(G308=$C$4,IF('Informe Kelly'!H301='Control informe Kelly'!$A$2,TEXT(((LEFT('Informe Kelly'!E301,2)*1)+1),"dd")&amp;"."&amp;MID('Informe Kelly'!E301,4,2)&amp;"."&amp;RIGHT('Informe Kelly'!E301,4),'Informe Kelly'!E301),'Informe Kelly'!E301)</f>
        <v>15.04.2011</v>
      </c>
      <c r="D308" s="69" t="str">
        <f>IF('Informe Kelly'!E301="","",'Informe Kelly'!E301)</f>
        <v>15.04.2011</v>
      </c>
      <c r="E308" s="72">
        <f t="shared" si="9"/>
        <v>154</v>
      </c>
      <c r="F308" s="72" t="str">
        <f>IFERROR(HLOOKUP(C308,Ingreso!$Q$8:$AD$9,2,FALSE),"v")</f>
        <v>Viernes</v>
      </c>
      <c r="G308" s="65" t="str">
        <f>IFERROR(VLOOKUP(A308,Ingreso!K:P,6,FALSE),"no esta ingresado")</f>
        <v>Turno A</v>
      </c>
      <c r="H308" s="65" t="str">
        <f>IFERROR(IF('Informe Kelly'!H301=$A$2,'Informe Kelly'!F301,""),0)</f>
        <v/>
      </c>
      <c r="I308" s="65">
        <f>IFERROR(IF('Informe Kelly'!H301=$A$3,'Informe Kelly'!F301,""),0)</f>
        <v>0.72233796296296304</v>
      </c>
      <c r="J308" s="65" t="str">
        <f>IF(IFERROR(IF(E308=E307,0,(HLOOKUP(D308,Ingreso!$AN$10:$AT$260,VLOOKUP(A308,Ingreso!$AL$11:$AM$260,2,FALSE)))/24),0)=0,"",IFERROR(IF(E308=E307,0,(HLOOKUP(D308,Ingreso!$AN$10:$AT$260,VLOOKUP(A308,Ingreso!$AL$11:$AM$260,2,FALSE)))/24),0))</f>
        <v/>
      </c>
      <c r="K308" s="65" t="str">
        <f>IF(IFERROR(IF(E308=E307,0,(HLOOKUP(C308,Ingreso!$AW$10:$BC$260,VLOOKUP(A308,Ingreso!$AL$11:$AM$260,2,FALSE)))/24),0)=0,"",IFERROR(IF(E308=E307,0,(HLOOKUP(C308,Ingreso!$AW$10:$BC$260,VLOOKUP(A308,Ingreso!$AL$11:$AM$260,2,FALSE)))/24),0))</f>
        <v/>
      </c>
      <c r="L308" s="63">
        <f t="shared" si="8"/>
        <v>0.3125</v>
      </c>
      <c r="M308" s="63" t="str">
        <f>IF(IFERROR(IF(C308=C306,0,IF(E308=E307,0,IF(C308=$R$2,HLOOKUP($R$2,Ingreso!$AW$10:$BC$260,VLOOKUP(A308,Ingreso!AL:AM,2,FALSE),FALSE)/24,""))),"")=0,"",IFERROR(IF(C308=C306,0,IF(E308=E307,0,IF(C308=$R$2,HLOOKUP($R$2,Ingreso!$AW$10:$BC$260,VLOOKUP(A308,Ingreso!AL:AM,2,FALSE),FALSE)/24,""))),""))</f>
        <v/>
      </c>
      <c r="N308" s="95" t="str">
        <f>IF(IFERROR(IF(C308=C306,0,IF(E308=E307,0,IF(C308=$R$3,HLOOKUP($R$3,Ingreso!$AW$10:$BC$260,VLOOKUP(A308,Ingreso!AL:AM,2,FALSE),FALSE)/24,""))),"")=0,"",IFERROR(IF(C308=C306,0,IF(E308=E307,0,IF(C308=$R$3,HLOOKUP($R$3,Ingreso!$AW$10:$BC$260,VLOOKUP(A308,Ingreso!AL:AM,2,FALSE),FALSE)/24,""))),""))</f>
        <v/>
      </c>
      <c r="O308" s="95" t="str">
        <f>IF(IFERROR(IF(C308=C306,0,IF(E308=E307,0,IF(C308=$R$4,HLOOKUP($R$4,Ingreso!$AW$10:$BC$260,VLOOKUP(A308,Ingreso!AL:AM,2,FALSE),FALSE)/24,""))),"")=0,"",IFERROR(IF(C308=C306,0,IF(E308=E307,0,IF(C308=$R$4,HLOOKUP($R$4,Ingreso!$AW$10:$BC$260,VLOOKUP(A308,Ingreso!AL:AM,2,FALSE),FALSE)/24,""))),""))</f>
        <v/>
      </c>
      <c r="P308" s="90"/>
      <c r="T308" t="s">
        <v>1423</v>
      </c>
      <c r="U308" t="s">
        <v>1322</v>
      </c>
      <c r="V308" t="s">
        <v>1398</v>
      </c>
      <c r="W308" s="82">
        <v>357</v>
      </c>
      <c r="X308" s="71">
        <v>0.3125</v>
      </c>
      <c r="Y308" s="101">
        <v>0.6050578703703704</v>
      </c>
      <c r="Z308" s="101">
        <v>0.94557870370370367</v>
      </c>
      <c r="AA308" s="101">
        <v>0.34052083333333327</v>
      </c>
      <c r="AB308" s="101">
        <v>2.8020833333333273E-2</v>
      </c>
      <c r="AC308" s="105">
        <v>0</v>
      </c>
      <c r="AD308" s="105">
        <v>0</v>
      </c>
      <c r="AE308" s="93">
        <v>0</v>
      </c>
      <c r="AF308" s="93">
        <v>0</v>
      </c>
      <c r="AG308" s="93">
        <v>0</v>
      </c>
    </row>
    <row r="309" spans="1:33">
      <c r="A309" s="65" t="str">
        <f>IFERROR(VLOOKUP('Informe Kelly'!A302,Base!A:B,2,FALSE),"")</f>
        <v>09.832.710-K</v>
      </c>
      <c r="B309" s="65" t="str">
        <f>IFERROR(VLOOKUP('Informe Kelly'!A302,Base!A:G,7,FALSE),"")</f>
        <v>CARO RODRIGUEZ OMAR FCO</v>
      </c>
      <c r="C309" s="69" t="str">
        <f>IF(G309=$C$4,IF('Informe Kelly'!H302='Control informe Kelly'!$A$2,TEXT(((LEFT('Informe Kelly'!E302,2)*1)+1),"dd")&amp;"."&amp;MID('Informe Kelly'!E302,4,2)&amp;"."&amp;RIGHT('Informe Kelly'!E302,4),'Informe Kelly'!E302),'Informe Kelly'!E302)</f>
        <v>15.04.2011</v>
      </c>
      <c r="D309" s="69" t="str">
        <f>IF('Informe Kelly'!E302="","",'Informe Kelly'!E302)</f>
        <v>15.04.2011</v>
      </c>
      <c r="E309" s="72">
        <f t="shared" si="9"/>
        <v>154</v>
      </c>
      <c r="F309" s="72" t="str">
        <f>IFERROR(HLOOKUP(C309,Ingreso!$Q$8:$AD$9,2,FALSE),"v")</f>
        <v>Viernes</v>
      </c>
      <c r="G309" s="65" t="str">
        <f>IFERROR(VLOOKUP(A309,Ingreso!K:P,6,FALSE),"no esta ingresado")</f>
        <v>Turno A</v>
      </c>
      <c r="H309" s="65">
        <f>IFERROR(IF('Informe Kelly'!H302=$A$2,'Informe Kelly'!F302,""),0)</f>
        <v>0.30671296296296297</v>
      </c>
      <c r="I309" s="65" t="str">
        <f>IFERROR(IF('Informe Kelly'!H302=$A$3,'Informe Kelly'!F302,""),0)</f>
        <v/>
      </c>
      <c r="J309" s="65" t="str">
        <f>IF(IFERROR(IF(E309=E308,0,(HLOOKUP(D309,Ingreso!$AN$10:$AT$260,VLOOKUP(A309,Ingreso!$AL$11:$AM$260,2,FALSE)))/24),0)=0,"",IFERROR(IF(E309=E308,0,(HLOOKUP(D309,Ingreso!$AN$10:$AT$260,VLOOKUP(A309,Ingreso!$AL$11:$AM$260,2,FALSE)))/24),0))</f>
        <v/>
      </c>
      <c r="K309" s="65" t="str">
        <f>IF(IFERROR(IF(E309=E308,0,(HLOOKUP(C309,Ingreso!$AW$10:$BC$260,VLOOKUP(A309,Ingreso!$AL$11:$AM$260,2,FALSE)))/24),0)=0,"",IFERROR(IF(E309=E308,0,(HLOOKUP(C309,Ingreso!$AW$10:$BC$260,VLOOKUP(A309,Ingreso!$AL$11:$AM$260,2,FALSE)))/24),0))</f>
        <v/>
      </c>
      <c r="L309" s="63">
        <f t="shared" si="8"/>
        <v>0</v>
      </c>
      <c r="M309" s="63" t="str">
        <f>IF(IFERROR(IF(C309=C307,0,IF(E309=E308,0,IF(C309=$R$2,HLOOKUP($R$2,Ingreso!$AW$10:$BC$260,VLOOKUP(A309,Ingreso!AL:AM,2,FALSE),FALSE)/24,""))),"")=0,"",IFERROR(IF(C309=C307,0,IF(E309=E308,0,IF(C309=$R$2,HLOOKUP($R$2,Ingreso!$AW$10:$BC$260,VLOOKUP(A309,Ingreso!AL:AM,2,FALSE),FALSE)/24,""))),""))</f>
        <v/>
      </c>
      <c r="N309" s="95" t="str">
        <f>IF(IFERROR(IF(C309=C307,0,IF(E309=E308,0,IF(C309=$R$3,HLOOKUP($R$3,Ingreso!$AW$10:$BC$260,VLOOKUP(A309,Ingreso!AL:AM,2,FALSE),FALSE)/24,""))),"")=0,"",IFERROR(IF(C309=C307,0,IF(E309=E308,0,IF(C309=$R$3,HLOOKUP($R$3,Ingreso!$AW$10:$BC$260,VLOOKUP(A309,Ingreso!AL:AM,2,FALSE),FALSE)/24,""))),""))</f>
        <v/>
      </c>
      <c r="O309" s="95" t="str">
        <f>IF(IFERROR(IF(C309=C307,0,IF(E309=E308,0,IF(C309=$R$4,HLOOKUP($R$4,Ingreso!$AW$10:$BC$260,VLOOKUP(A309,Ingreso!AL:AM,2,FALSE),FALSE)/24,""))),"")=0,"",IFERROR(IF(C309=C307,0,IF(E309=E308,0,IF(C309=$R$4,HLOOKUP($R$4,Ingreso!$AW$10:$BC$260,VLOOKUP(A309,Ingreso!AL:AM,2,FALSE),FALSE)/24,""))),""))</f>
        <v/>
      </c>
      <c r="P309" s="90"/>
      <c r="T309" t="s">
        <v>1424</v>
      </c>
      <c r="U309" t="s">
        <v>1322</v>
      </c>
      <c r="V309" t="s">
        <v>1399</v>
      </c>
      <c r="W309" s="82">
        <v>358</v>
      </c>
      <c r="X309" s="71">
        <v>0.3125</v>
      </c>
      <c r="Y309" s="101">
        <v>0.60796296296296293</v>
      </c>
      <c r="Z309" s="101">
        <v>0.9435069444444445</v>
      </c>
      <c r="AA309" s="101">
        <v>0.33554398148148157</v>
      </c>
      <c r="AB309" s="101">
        <v>2.3043981481481568E-2</v>
      </c>
      <c r="AC309" s="105">
        <v>0</v>
      </c>
      <c r="AD309" s="105">
        <v>0</v>
      </c>
      <c r="AE309" s="93">
        <v>0</v>
      </c>
      <c r="AF309" s="93">
        <v>0</v>
      </c>
      <c r="AG309" s="93">
        <v>0</v>
      </c>
    </row>
    <row r="310" spans="1:33" ht="12.75" customHeight="1">
      <c r="A310" s="65" t="str">
        <f>IFERROR(VLOOKUP('Informe Kelly'!A303,Base!A:B,2,FALSE),"")</f>
        <v>09.989.723-6</v>
      </c>
      <c r="B310" s="65" t="str">
        <f>IFERROR(VLOOKUP('Informe Kelly'!A303,Base!A:G,7,FALSE),"")</f>
        <v>HERNANDEZ CESPEDES FRANKLIN LEONEL</v>
      </c>
      <c r="C310" s="69" t="str">
        <f>IF(G310=$C$4,IF('Informe Kelly'!H303='Control informe Kelly'!$A$2,TEXT(((LEFT('Informe Kelly'!E303,2)*1)+1),"dd")&amp;"."&amp;MID('Informe Kelly'!E303,4,2)&amp;"."&amp;RIGHT('Informe Kelly'!E303,4),'Informe Kelly'!E303),'Informe Kelly'!E303)</f>
        <v>11.04.2011</v>
      </c>
      <c r="D310" s="69" t="str">
        <f>IF('Informe Kelly'!E303="","",'Informe Kelly'!E303)</f>
        <v>11.04.2011</v>
      </c>
      <c r="E310" s="72">
        <f t="shared" si="9"/>
        <v>155</v>
      </c>
      <c r="F310" s="72" t="str">
        <f>IFERROR(HLOOKUP(C310,Ingreso!$Q$8:$AD$9,2,FALSE),"v")</f>
        <v>Lunes</v>
      </c>
      <c r="G310" s="65" t="str">
        <f>IFERROR(VLOOKUP(A310,Ingreso!K:P,6,FALSE),"no esta ingresado")</f>
        <v>Turno A</v>
      </c>
      <c r="H310" s="65" t="str">
        <f>IFERROR(IF('Informe Kelly'!H303=$A$2,'Informe Kelly'!F303,""),0)</f>
        <v/>
      </c>
      <c r="I310" s="65">
        <f>IFERROR(IF('Informe Kelly'!H303=$A$3,'Informe Kelly'!F303,""),0)</f>
        <v>0.63119212962962956</v>
      </c>
      <c r="J310" s="65" t="str">
        <f>IF(IFERROR(IF(E310=E309,0,(HLOOKUP(D310,Ingreso!$AN$10:$AT$260,VLOOKUP(A310,Ingreso!$AL$11:$AM$260,2,FALSE)))/24),0)=0,"",IFERROR(IF(E310=E309,0,(HLOOKUP(D310,Ingreso!$AN$10:$AT$260,VLOOKUP(A310,Ingreso!$AL$11:$AM$260,2,FALSE)))/24),0))</f>
        <v/>
      </c>
      <c r="K310" s="65" t="str">
        <f>IF(IFERROR(IF(E310=E309,0,(HLOOKUP(C310,Ingreso!$AW$10:$BC$260,VLOOKUP(A310,Ingreso!$AL$11:$AM$260,2,FALSE)))/24),0)=0,"",IFERROR(IF(E310=E309,0,(HLOOKUP(C310,Ingreso!$AW$10:$BC$260,VLOOKUP(A310,Ingreso!$AL$11:$AM$260,2,FALSE)))/24),0))</f>
        <v/>
      </c>
      <c r="L310" s="63">
        <f t="shared" si="8"/>
        <v>0.3125</v>
      </c>
      <c r="M310" s="63" t="str">
        <f>IF(IFERROR(IF(C310=C308,0,IF(E310=E309,0,IF(C310=$R$2,HLOOKUP($R$2,Ingreso!$AW$10:$BC$260,VLOOKUP(A310,Ingreso!AL:AM,2,FALSE),FALSE)/24,""))),"")=0,"",IFERROR(IF(C310=C308,0,IF(E310=E309,0,IF(C310=$R$2,HLOOKUP($R$2,Ingreso!$AW$10:$BC$260,VLOOKUP(A310,Ingreso!AL:AM,2,FALSE),FALSE)/24,""))),""))</f>
        <v/>
      </c>
      <c r="N310" s="95" t="str">
        <f>IF(IFERROR(IF(C310=C308,0,IF(E310=E309,0,IF(C310=$R$3,HLOOKUP($R$3,Ingreso!$AW$10:$BC$260,VLOOKUP(A310,Ingreso!AL:AM,2,FALSE),FALSE)/24,""))),"")=0,"",IFERROR(IF(C310=C308,0,IF(E310=E309,0,IF(C310=$R$3,HLOOKUP($R$3,Ingreso!$AW$10:$BC$260,VLOOKUP(A310,Ingreso!AL:AM,2,FALSE),FALSE)/24,""))),""))</f>
        <v/>
      </c>
      <c r="O310" s="95" t="str">
        <f>IF(IFERROR(IF(C310=C308,0,IF(E310=E309,0,IF(C310=$R$4,HLOOKUP($R$4,Ingreso!$AW$10:$BC$260,VLOOKUP(A310,Ingreso!AL:AM,2,FALSE),FALSE)/24,""))),"")=0,"",IFERROR(IF(C310=C308,0,IF(E310=E309,0,IF(C310=$R$4,HLOOKUP($R$4,Ingreso!$AW$10:$BC$260,VLOOKUP(A310,Ingreso!AL:AM,2,FALSE),FALSE)/24,""))),""))</f>
        <v/>
      </c>
      <c r="P310" s="90"/>
      <c r="T310" t="s">
        <v>1425</v>
      </c>
      <c r="U310" t="s">
        <v>1322</v>
      </c>
      <c r="V310" t="s">
        <v>1400</v>
      </c>
      <c r="W310" s="82">
        <v>359</v>
      </c>
      <c r="X310" s="71">
        <v>0.3125</v>
      </c>
      <c r="Y310" s="101">
        <v>0.60704861111111108</v>
      </c>
      <c r="Z310" s="101">
        <v>0.94106481481481474</v>
      </c>
      <c r="AA310" s="101">
        <v>0.33401620370370366</v>
      </c>
      <c r="AB310" s="101">
        <v>2.1516203703703662E-2</v>
      </c>
      <c r="AC310" s="105">
        <v>0</v>
      </c>
      <c r="AD310" s="105">
        <v>0</v>
      </c>
      <c r="AE310" s="93">
        <v>0</v>
      </c>
      <c r="AF310" s="93">
        <v>0</v>
      </c>
      <c r="AG310" s="93">
        <v>0</v>
      </c>
    </row>
    <row r="311" spans="1:33">
      <c r="A311" s="65" t="str">
        <f>IFERROR(VLOOKUP('Informe Kelly'!A304,Base!A:B,2,FALSE),"")</f>
        <v>09.989.723-6</v>
      </c>
      <c r="B311" s="65" t="str">
        <f>IFERROR(VLOOKUP('Informe Kelly'!A304,Base!A:G,7,FALSE),"")</f>
        <v>HERNANDEZ CESPEDES FRANKLIN LEONEL</v>
      </c>
      <c r="C311" s="69" t="str">
        <f>IF(G311=$C$4,IF('Informe Kelly'!H304='Control informe Kelly'!$A$2,TEXT(((LEFT('Informe Kelly'!E304,2)*1)+1),"dd")&amp;"."&amp;MID('Informe Kelly'!E304,4,2)&amp;"."&amp;RIGHT('Informe Kelly'!E304,4),'Informe Kelly'!E304),'Informe Kelly'!E304)</f>
        <v>11.04.2011</v>
      </c>
      <c r="D311" s="69" t="str">
        <f>IF('Informe Kelly'!E304="","",'Informe Kelly'!E304)</f>
        <v>11.04.2011</v>
      </c>
      <c r="E311" s="72">
        <f t="shared" si="9"/>
        <v>155</v>
      </c>
      <c r="F311" s="72" t="str">
        <f>IFERROR(HLOOKUP(C311,Ingreso!$Q$8:$AD$9,2,FALSE),"v")</f>
        <v>Lunes</v>
      </c>
      <c r="G311" s="65" t="str">
        <f>IFERROR(VLOOKUP(A311,Ingreso!K:P,6,FALSE),"no esta ingresado")</f>
        <v>Turno A</v>
      </c>
      <c r="H311" s="65">
        <f>IFERROR(IF('Informe Kelly'!H304=$A$2,'Informe Kelly'!F304,""),0)</f>
        <v>0.30681712962962965</v>
      </c>
      <c r="I311" s="65" t="str">
        <f>IFERROR(IF('Informe Kelly'!H304=$A$3,'Informe Kelly'!F304,""),0)</f>
        <v/>
      </c>
      <c r="J311" s="65" t="str">
        <f>IF(IFERROR(IF(E311=E310,0,(HLOOKUP(D311,Ingreso!$AN$10:$AT$260,VLOOKUP(A311,Ingreso!$AL$11:$AM$260,2,FALSE)))/24),0)=0,"",IFERROR(IF(E311=E310,0,(HLOOKUP(D311,Ingreso!$AN$10:$AT$260,VLOOKUP(A311,Ingreso!$AL$11:$AM$260,2,FALSE)))/24),0))</f>
        <v/>
      </c>
      <c r="K311" s="65" t="str">
        <f>IF(IFERROR(IF(E311=E310,0,(HLOOKUP(C311,Ingreso!$AW$10:$BC$260,VLOOKUP(A311,Ingreso!$AL$11:$AM$260,2,FALSE)))/24),0)=0,"",IFERROR(IF(E311=E310,0,(HLOOKUP(C311,Ingreso!$AW$10:$BC$260,VLOOKUP(A311,Ingreso!$AL$11:$AM$260,2,FALSE)))/24),0))</f>
        <v/>
      </c>
      <c r="L311" s="63">
        <f t="shared" si="8"/>
        <v>0</v>
      </c>
      <c r="M311" s="63" t="str">
        <f>IF(IFERROR(IF(C311=C309,0,IF(E311=E310,0,IF(C311=$R$2,HLOOKUP($R$2,Ingreso!$AW$10:$BC$260,VLOOKUP(A311,Ingreso!AL:AM,2,FALSE),FALSE)/24,""))),"")=0,"",IFERROR(IF(C311=C309,0,IF(E311=E310,0,IF(C311=$R$2,HLOOKUP($R$2,Ingreso!$AW$10:$BC$260,VLOOKUP(A311,Ingreso!AL:AM,2,FALSE),FALSE)/24,""))),""))</f>
        <v/>
      </c>
      <c r="N311" s="95" t="str">
        <f>IF(IFERROR(IF(C311=C309,0,IF(E311=E310,0,IF(C311=$R$3,HLOOKUP($R$3,Ingreso!$AW$10:$BC$260,VLOOKUP(A311,Ingreso!AL:AM,2,FALSE),FALSE)/24,""))),"")=0,"",IFERROR(IF(C311=C309,0,IF(E311=E310,0,IF(C311=$R$3,HLOOKUP($R$3,Ingreso!$AW$10:$BC$260,VLOOKUP(A311,Ingreso!AL:AM,2,FALSE),FALSE)/24,""))),""))</f>
        <v/>
      </c>
      <c r="O311" s="95" t="str">
        <f>IF(IFERROR(IF(C311=C309,0,IF(E311=E310,0,IF(C311=$R$4,HLOOKUP($R$4,Ingreso!$AW$10:$BC$260,VLOOKUP(A311,Ingreso!AL:AM,2,FALSE),FALSE)/24,""))),"")=0,"",IFERROR(IF(C311=C309,0,IF(E311=E310,0,IF(C311=$R$4,HLOOKUP($R$4,Ingreso!$AW$10:$BC$260,VLOOKUP(A311,Ingreso!AL:AM,2,FALSE),FALSE)/24,""))),""))</f>
        <v/>
      </c>
      <c r="P311" s="90"/>
      <c r="T311" t="s">
        <v>1426</v>
      </c>
      <c r="U311" t="s">
        <v>1322</v>
      </c>
      <c r="V311" t="s">
        <v>1401</v>
      </c>
      <c r="W311" s="82">
        <v>360</v>
      </c>
      <c r="X311" s="71">
        <v>0.3125</v>
      </c>
      <c r="Y311" s="101">
        <v>0.60616898148148146</v>
      </c>
      <c r="Z311" s="101">
        <v>0.94837962962962974</v>
      </c>
      <c r="AA311" s="101">
        <v>0.34221064814814828</v>
      </c>
      <c r="AB311" s="101">
        <v>2.9710648148148278E-2</v>
      </c>
      <c r="AC311" s="105">
        <v>0</v>
      </c>
      <c r="AD311" s="105">
        <v>0</v>
      </c>
      <c r="AE311" s="93">
        <v>0</v>
      </c>
      <c r="AF311" s="93">
        <v>0</v>
      </c>
      <c r="AG311" s="93">
        <v>0</v>
      </c>
    </row>
    <row r="312" spans="1:33">
      <c r="A312" s="65" t="str">
        <f>IFERROR(VLOOKUP('Informe Kelly'!A305,Base!A:B,2,FALSE),"")</f>
        <v>09.989.723-6</v>
      </c>
      <c r="B312" s="65" t="str">
        <f>IFERROR(VLOOKUP('Informe Kelly'!A305,Base!A:G,7,FALSE),"")</f>
        <v>HERNANDEZ CESPEDES FRANKLIN LEONEL</v>
      </c>
      <c r="C312" s="69" t="str">
        <f>IF(G312=$C$4,IF('Informe Kelly'!H305='Control informe Kelly'!$A$2,TEXT(((LEFT('Informe Kelly'!E305,2)*1)+1),"dd")&amp;"."&amp;MID('Informe Kelly'!E305,4,2)&amp;"."&amp;RIGHT('Informe Kelly'!E305,4),'Informe Kelly'!E305),'Informe Kelly'!E305)</f>
        <v>12.04.2011</v>
      </c>
      <c r="D312" s="69" t="str">
        <f>IF('Informe Kelly'!E305="","",'Informe Kelly'!E305)</f>
        <v>12.04.2011</v>
      </c>
      <c r="E312" s="72">
        <f t="shared" si="9"/>
        <v>156</v>
      </c>
      <c r="F312" s="72" t="str">
        <f>IFERROR(HLOOKUP(C312,Ingreso!$Q$8:$AD$9,2,FALSE),"v")</f>
        <v>Martes</v>
      </c>
      <c r="G312" s="65" t="str">
        <f>IFERROR(VLOOKUP(A312,Ingreso!K:P,6,FALSE),"no esta ingresado")</f>
        <v>Turno A</v>
      </c>
      <c r="H312" s="65" t="str">
        <f>IFERROR(IF('Informe Kelly'!H305=$A$2,'Informe Kelly'!F305,""),0)</f>
        <v/>
      </c>
      <c r="I312" s="65">
        <f>IFERROR(IF('Informe Kelly'!H305=$A$3,'Informe Kelly'!F305,""),0)</f>
        <v>0.63511574074074073</v>
      </c>
      <c r="J312" s="65" t="str">
        <f>IF(IFERROR(IF(E312=E311,0,(HLOOKUP(D312,Ingreso!$AN$10:$AT$260,VLOOKUP(A312,Ingreso!$AL$11:$AM$260,2,FALSE)))/24),0)=0,"",IFERROR(IF(E312=E311,0,(HLOOKUP(D312,Ingreso!$AN$10:$AT$260,VLOOKUP(A312,Ingreso!$AL$11:$AM$260,2,FALSE)))/24),0))</f>
        <v/>
      </c>
      <c r="K312" s="65" t="str">
        <f>IF(IFERROR(IF(E312=E311,0,(HLOOKUP(C312,Ingreso!$AW$10:$BC$260,VLOOKUP(A312,Ingreso!$AL$11:$AM$260,2,FALSE)))/24),0)=0,"",IFERROR(IF(E312=E311,0,(HLOOKUP(C312,Ingreso!$AW$10:$BC$260,VLOOKUP(A312,Ingreso!$AL$11:$AM$260,2,FALSE)))/24),0))</f>
        <v/>
      </c>
      <c r="L312" s="63">
        <f t="shared" si="8"/>
        <v>0.3125</v>
      </c>
      <c r="M312" s="63" t="str">
        <f>IF(IFERROR(IF(C312=C310,0,IF(E312=E311,0,IF(C312=$R$2,HLOOKUP($R$2,Ingreso!$AW$10:$BC$260,VLOOKUP(A312,Ingreso!AL:AM,2,FALSE),FALSE)/24,""))),"")=0,"",IFERROR(IF(C312=C310,0,IF(E312=E311,0,IF(C312=$R$2,HLOOKUP($R$2,Ingreso!$AW$10:$BC$260,VLOOKUP(A312,Ingreso!AL:AM,2,FALSE),FALSE)/24,""))),""))</f>
        <v/>
      </c>
      <c r="N312" s="95" t="str">
        <f>IF(IFERROR(IF(C312=C310,0,IF(E312=E311,0,IF(C312=$R$3,HLOOKUP($R$3,Ingreso!$AW$10:$BC$260,VLOOKUP(A312,Ingreso!AL:AM,2,FALSE),FALSE)/24,""))),"")=0,"",IFERROR(IF(C312=C310,0,IF(E312=E311,0,IF(C312=$R$3,HLOOKUP($R$3,Ingreso!$AW$10:$BC$260,VLOOKUP(A312,Ingreso!AL:AM,2,FALSE),FALSE)/24,""))),""))</f>
        <v/>
      </c>
      <c r="O312" s="95" t="str">
        <f>IF(IFERROR(IF(C312=C310,0,IF(E312=E311,0,IF(C312=$R$4,HLOOKUP($R$4,Ingreso!$AW$10:$BC$260,VLOOKUP(A312,Ingreso!AL:AM,2,FALSE),FALSE)/24,""))),"")=0,"",IFERROR(IF(C312=C310,0,IF(E312=E311,0,IF(C312=$R$4,HLOOKUP($R$4,Ingreso!$AW$10:$BC$260,VLOOKUP(A312,Ingreso!AL:AM,2,FALSE),FALSE)/24,""))),""))</f>
        <v/>
      </c>
      <c r="P312" s="90"/>
      <c r="T312" t="s">
        <v>1427</v>
      </c>
      <c r="U312" t="s">
        <v>1322</v>
      </c>
      <c r="V312" t="s">
        <v>1402</v>
      </c>
      <c r="W312" s="82">
        <v>361</v>
      </c>
      <c r="X312" s="71">
        <v>0.3125</v>
      </c>
      <c r="Y312" s="101">
        <v>0.2946759259259259</v>
      </c>
      <c r="Z312" s="101">
        <v>0.63481481481481483</v>
      </c>
      <c r="AA312" s="101">
        <v>0.34013888888888894</v>
      </c>
      <c r="AB312" s="101">
        <v>2.7638888888888935E-2</v>
      </c>
      <c r="AC312" s="105">
        <v>0</v>
      </c>
      <c r="AD312" s="105">
        <v>0</v>
      </c>
      <c r="AE312" s="93">
        <v>0</v>
      </c>
      <c r="AF312" s="93">
        <v>0</v>
      </c>
      <c r="AG312" s="93">
        <v>0</v>
      </c>
    </row>
    <row r="313" spans="1:33">
      <c r="A313" s="65" t="str">
        <f>IFERROR(VLOOKUP('Informe Kelly'!A306,Base!A:B,2,FALSE),"")</f>
        <v>09.989.723-6</v>
      </c>
      <c r="B313" s="65" t="str">
        <f>IFERROR(VLOOKUP('Informe Kelly'!A306,Base!A:G,7,FALSE),"")</f>
        <v>HERNANDEZ CESPEDES FRANKLIN LEONEL</v>
      </c>
      <c r="C313" s="69" t="str">
        <f>IF(G313=$C$4,IF('Informe Kelly'!H306='Control informe Kelly'!$A$2,TEXT(((LEFT('Informe Kelly'!E306,2)*1)+1),"dd")&amp;"."&amp;MID('Informe Kelly'!E306,4,2)&amp;"."&amp;RIGHT('Informe Kelly'!E306,4),'Informe Kelly'!E306),'Informe Kelly'!E306)</f>
        <v>12.04.2011</v>
      </c>
      <c r="D313" s="69" t="str">
        <f>IF('Informe Kelly'!E306="","",'Informe Kelly'!E306)</f>
        <v>12.04.2011</v>
      </c>
      <c r="E313" s="72">
        <f t="shared" si="9"/>
        <v>156</v>
      </c>
      <c r="F313" s="72" t="str">
        <f>IFERROR(HLOOKUP(C313,Ingreso!$Q$8:$AD$9,2,FALSE),"v")</f>
        <v>Martes</v>
      </c>
      <c r="G313" s="65" t="str">
        <f>IFERROR(VLOOKUP(A313,Ingreso!K:P,6,FALSE),"no esta ingresado")</f>
        <v>Turno A</v>
      </c>
      <c r="H313" s="65">
        <f>IFERROR(IF('Informe Kelly'!H306=$A$2,'Informe Kelly'!F306,""),0)</f>
        <v>0.29706018518518518</v>
      </c>
      <c r="I313" s="65" t="str">
        <f>IFERROR(IF('Informe Kelly'!H306=$A$3,'Informe Kelly'!F306,""),0)</f>
        <v/>
      </c>
      <c r="J313" s="65" t="str">
        <f>IF(IFERROR(IF(E313=E312,0,(HLOOKUP(D313,Ingreso!$AN$10:$AT$260,VLOOKUP(A313,Ingreso!$AL$11:$AM$260,2,FALSE)))/24),0)=0,"",IFERROR(IF(E313=E312,0,(HLOOKUP(D313,Ingreso!$AN$10:$AT$260,VLOOKUP(A313,Ingreso!$AL$11:$AM$260,2,FALSE)))/24),0))</f>
        <v/>
      </c>
      <c r="K313" s="65" t="str">
        <f>IF(IFERROR(IF(E313=E312,0,(HLOOKUP(C313,Ingreso!$AW$10:$BC$260,VLOOKUP(A313,Ingreso!$AL$11:$AM$260,2,FALSE)))/24),0)=0,"",IFERROR(IF(E313=E312,0,(HLOOKUP(C313,Ingreso!$AW$10:$BC$260,VLOOKUP(A313,Ingreso!$AL$11:$AM$260,2,FALSE)))/24),0))</f>
        <v/>
      </c>
      <c r="L313" s="63">
        <f t="shared" si="8"/>
        <v>0</v>
      </c>
      <c r="M313" s="63" t="str">
        <f>IF(IFERROR(IF(C313=C311,0,IF(E313=E312,0,IF(C313=$R$2,HLOOKUP($R$2,Ingreso!$AW$10:$BC$260,VLOOKUP(A313,Ingreso!AL:AM,2,FALSE),FALSE)/24,""))),"")=0,"",IFERROR(IF(C313=C311,0,IF(E313=E312,0,IF(C313=$R$2,HLOOKUP($R$2,Ingreso!$AW$10:$BC$260,VLOOKUP(A313,Ingreso!AL:AM,2,FALSE),FALSE)/24,""))),""))</f>
        <v/>
      </c>
      <c r="N313" s="95" t="str">
        <f>IF(IFERROR(IF(C313=C311,0,IF(E313=E312,0,IF(C313=$R$3,HLOOKUP($R$3,Ingreso!$AW$10:$BC$260,VLOOKUP(A313,Ingreso!AL:AM,2,FALSE),FALSE)/24,""))),"")=0,"",IFERROR(IF(C313=C311,0,IF(E313=E312,0,IF(C313=$R$3,HLOOKUP($R$3,Ingreso!$AW$10:$BC$260,VLOOKUP(A313,Ingreso!AL:AM,2,FALSE),FALSE)/24,""))),""))</f>
        <v/>
      </c>
      <c r="O313" s="95" t="str">
        <f>IF(IFERROR(IF(C313=C311,0,IF(E313=E312,0,IF(C313=$R$4,HLOOKUP($R$4,Ingreso!$AW$10:$BC$260,VLOOKUP(A313,Ingreso!AL:AM,2,FALSE),FALSE)/24,""))),"")=0,"",IFERROR(IF(C313=C311,0,IF(E313=E312,0,IF(C313=$R$4,HLOOKUP($R$4,Ingreso!$AW$10:$BC$260,VLOOKUP(A313,Ingreso!AL:AM,2,FALSE),FALSE)/24,""))),""))</f>
        <v/>
      </c>
      <c r="P313" s="90"/>
      <c r="R313" t="s">
        <v>620</v>
      </c>
      <c r="S313" t="s">
        <v>623</v>
      </c>
      <c r="T313" t="s">
        <v>1420</v>
      </c>
      <c r="U313" t="s">
        <v>4</v>
      </c>
      <c r="V313" t="s">
        <v>1397</v>
      </c>
      <c r="W313" s="82">
        <v>365</v>
      </c>
      <c r="X313" s="71">
        <v>0.3125</v>
      </c>
      <c r="Y313" s="101">
        <v>0.32402777777777775</v>
      </c>
      <c r="Z313" s="101">
        <v>0.77585648148148145</v>
      </c>
      <c r="AA313" s="101">
        <v>0.4518287037037037</v>
      </c>
      <c r="AB313" s="101">
        <v>0.1393287037037037</v>
      </c>
      <c r="AC313" s="105">
        <v>8.3333333333333329E-2</v>
      </c>
      <c r="AD313" s="105">
        <v>0</v>
      </c>
      <c r="AE313" s="93">
        <v>0</v>
      </c>
      <c r="AF313" s="93">
        <v>0</v>
      </c>
      <c r="AG313" s="93">
        <v>0</v>
      </c>
    </row>
    <row r="314" spans="1:33">
      <c r="A314" s="65" t="str">
        <f>IFERROR(VLOOKUP('Informe Kelly'!A307,Base!A:B,2,FALSE),"")</f>
        <v>09.989.723-6</v>
      </c>
      <c r="B314" s="65" t="str">
        <f>IFERROR(VLOOKUP('Informe Kelly'!A307,Base!A:G,7,FALSE),"")</f>
        <v>HERNANDEZ CESPEDES FRANKLIN LEONEL</v>
      </c>
      <c r="C314" s="69" t="str">
        <f>IF(G314=$C$4,IF('Informe Kelly'!H307='Control informe Kelly'!$A$2,TEXT(((LEFT('Informe Kelly'!E307,2)*1)+1),"dd")&amp;"."&amp;MID('Informe Kelly'!E307,4,2)&amp;"."&amp;RIGHT('Informe Kelly'!E307,4),'Informe Kelly'!E307),'Informe Kelly'!E307)</f>
        <v>13.04.2011</v>
      </c>
      <c r="D314" s="69" t="str">
        <f>IF('Informe Kelly'!E307="","",'Informe Kelly'!E307)</f>
        <v>13.04.2011</v>
      </c>
      <c r="E314" s="72">
        <f t="shared" si="9"/>
        <v>157</v>
      </c>
      <c r="F314" s="72" t="str">
        <f>IFERROR(HLOOKUP(C314,Ingreso!$Q$8:$AD$9,2,FALSE),"v")</f>
        <v>Miércoles</v>
      </c>
      <c r="G314" s="65" t="str">
        <f>IFERROR(VLOOKUP(A314,Ingreso!K:P,6,FALSE),"no esta ingresado")</f>
        <v>Turno A</v>
      </c>
      <c r="H314" s="65" t="str">
        <f>IFERROR(IF('Informe Kelly'!H307=$A$2,'Informe Kelly'!F307,""),0)</f>
        <v/>
      </c>
      <c r="I314" s="65">
        <f>IFERROR(IF('Informe Kelly'!H307=$A$3,'Informe Kelly'!F307,""),0)</f>
        <v>0.63464120370370369</v>
      </c>
      <c r="J314" s="65" t="str">
        <f>IF(IFERROR(IF(E314=E313,0,(HLOOKUP(D314,Ingreso!$AN$10:$AT$260,VLOOKUP(A314,Ingreso!$AL$11:$AM$260,2,FALSE)))/24),0)=0,"",IFERROR(IF(E314=E313,0,(HLOOKUP(D314,Ingreso!$AN$10:$AT$260,VLOOKUP(A314,Ingreso!$AL$11:$AM$260,2,FALSE)))/24),0))</f>
        <v/>
      </c>
      <c r="K314" s="65" t="str">
        <f>IF(IFERROR(IF(E314=E313,0,(HLOOKUP(C314,Ingreso!$AW$10:$BC$260,VLOOKUP(A314,Ingreso!$AL$11:$AM$260,2,FALSE)))/24),0)=0,"",IFERROR(IF(E314=E313,0,(HLOOKUP(C314,Ingreso!$AW$10:$BC$260,VLOOKUP(A314,Ingreso!$AL$11:$AM$260,2,FALSE)))/24),0))</f>
        <v/>
      </c>
      <c r="L314" s="63">
        <f t="shared" si="8"/>
        <v>0.3125</v>
      </c>
      <c r="M314" s="63" t="str">
        <f>IF(IFERROR(IF(C314=C312,0,IF(E314=E313,0,IF(C314=$R$2,HLOOKUP($R$2,Ingreso!$AW$10:$BC$260,VLOOKUP(A314,Ingreso!AL:AM,2,FALSE),FALSE)/24,""))),"")=0,"",IFERROR(IF(C314=C312,0,IF(E314=E313,0,IF(C314=$R$2,HLOOKUP($R$2,Ingreso!$AW$10:$BC$260,VLOOKUP(A314,Ingreso!AL:AM,2,FALSE),FALSE)/24,""))),""))</f>
        <v/>
      </c>
      <c r="N314" s="95" t="str">
        <f>IF(IFERROR(IF(C314=C312,0,IF(E314=E313,0,IF(C314=$R$3,HLOOKUP($R$3,Ingreso!$AW$10:$BC$260,VLOOKUP(A314,Ingreso!AL:AM,2,FALSE),FALSE)/24,""))),"")=0,"",IFERROR(IF(C314=C312,0,IF(E314=E313,0,IF(C314=$R$3,HLOOKUP($R$3,Ingreso!$AW$10:$BC$260,VLOOKUP(A314,Ingreso!AL:AM,2,FALSE),FALSE)/24,""))),""))</f>
        <v/>
      </c>
      <c r="O314" s="95" t="str">
        <f>IF(IFERROR(IF(C314=C312,0,IF(E314=E313,0,IF(C314=$R$4,HLOOKUP($R$4,Ingreso!$AW$10:$BC$260,VLOOKUP(A314,Ingreso!AL:AM,2,FALSE),FALSE)/24,""))),"")=0,"",IFERROR(IF(C314=C312,0,IF(E314=E313,0,IF(C314=$R$4,HLOOKUP($R$4,Ingreso!$AW$10:$BC$260,VLOOKUP(A314,Ingreso!AL:AM,2,FALSE),FALSE)/24,""))),""))</f>
        <v/>
      </c>
      <c r="P314" s="90"/>
      <c r="T314" t="s">
        <v>1423</v>
      </c>
      <c r="U314" t="s">
        <v>4</v>
      </c>
      <c r="V314" t="s">
        <v>1398</v>
      </c>
      <c r="W314" s="82">
        <v>366</v>
      </c>
      <c r="X314" s="71">
        <v>0.3125</v>
      </c>
      <c r="Y314" s="101">
        <v>0.33493055555555556</v>
      </c>
      <c r="Z314" s="101">
        <v>0.78962962962962957</v>
      </c>
      <c r="AA314" s="101">
        <v>0.45469907407407401</v>
      </c>
      <c r="AB314" s="101">
        <v>0.14219907407407401</v>
      </c>
      <c r="AC314" s="105">
        <v>8.3333333333333329E-2</v>
      </c>
      <c r="AD314" s="105">
        <v>0</v>
      </c>
      <c r="AE314" s="93">
        <v>0</v>
      </c>
      <c r="AF314" s="93">
        <v>0</v>
      </c>
      <c r="AG314" s="93">
        <v>0</v>
      </c>
    </row>
    <row r="315" spans="1:33">
      <c r="A315" s="65" t="str">
        <f>IFERROR(VLOOKUP('Informe Kelly'!A308,Base!A:B,2,FALSE),"")</f>
        <v>09.989.723-6</v>
      </c>
      <c r="B315" s="65" t="str">
        <f>IFERROR(VLOOKUP('Informe Kelly'!A308,Base!A:G,7,FALSE),"")</f>
        <v>HERNANDEZ CESPEDES FRANKLIN LEONEL</v>
      </c>
      <c r="C315" s="69" t="str">
        <f>IF(G315=$C$4,IF('Informe Kelly'!H308='Control informe Kelly'!$A$2,TEXT(((LEFT('Informe Kelly'!E308,2)*1)+1),"dd")&amp;"."&amp;MID('Informe Kelly'!E308,4,2)&amp;"."&amp;RIGHT('Informe Kelly'!E308,4),'Informe Kelly'!E308),'Informe Kelly'!E308)</f>
        <v>13.04.2011</v>
      </c>
      <c r="D315" s="69" t="str">
        <f>IF('Informe Kelly'!E308="","",'Informe Kelly'!E308)</f>
        <v>13.04.2011</v>
      </c>
      <c r="E315" s="72">
        <f t="shared" si="9"/>
        <v>157</v>
      </c>
      <c r="F315" s="72" t="str">
        <f>IFERROR(HLOOKUP(C315,Ingreso!$Q$8:$AD$9,2,FALSE),"v")</f>
        <v>Miércoles</v>
      </c>
      <c r="G315" s="65" t="str">
        <f>IFERROR(VLOOKUP(A315,Ingreso!K:P,6,FALSE),"no esta ingresado")</f>
        <v>Turno A</v>
      </c>
      <c r="H315" s="65">
        <f>IFERROR(IF('Informe Kelly'!H308=$A$2,'Informe Kelly'!F308,""),0)</f>
        <v>0.29555555555555557</v>
      </c>
      <c r="I315" s="65" t="str">
        <f>IFERROR(IF('Informe Kelly'!H308=$A$3,'Informe Kelly'!F308,""),0)</f>
        <v/>
      </c>
      <c r="J315" s="65" t="str">
        <f>IF(IFERROR(IF(E315=E314,0,(HLOOKUP(D315,Ingreso!$AN$10:$AT$260,VLOOKUP(A315,Ingreso!$AL$11:$AM$260,2,FALSE)))/24),0)=0,"",IFERROR(IF(E315=E314,0,(HLOOKUP(D315,Ingreso!$AN$10:$AT$260,VLOOKUP(A315,Ingreso!$AL$11:$AM$260,2,FALSE)))/24),0))</f>
        <v/>
      </c>
      <c r="K315" s="65" t="str">
        <f>IF(IFERROR(IF(E315=E314,0,(HLOOKUP(C315,Ingreso!$AW$10:$BC$260,VLOOKUP(A315,Ingreso!$AL$11:$AM$260,2,FALSE)))/24),0)=0,"",IFERROR(IF(E315=E314,0,(HLOOKUP(C315,Ingreso!$AW$10:$BC$260,VLOOKUP(A315,Ingreso!$AL$11:$AM$260,2,FALSE)))/24),0))</f>
        <v/>
      </c>
      <c r="L315" s="63">
        <f t="shared" si="8"/>
        <v>0</v>
      </c>
      <c r="M315" s="63" t="str">
        <f>IF(IFERROR(IF(C315=C313,0,IF(E315=E314,0,IF(C315=$R$2,HLOOKUP($R$2,Ingreso!$AW$10:$BC$260,VLOOKUP(A315,Ingreso!AL:AM,2,FALSE),FALSE)/24,""))),"")=0,"",IFERROR(IF(C315=C313,0,IF(E315=E314,0,IF(C315=$R$2,HLOOKUP($R$2,Ingreso!$AW$10:$BC$260,VLOOKUP(A315,Ingreso!AL:AM,2,FALSE),FALSE)/24,""))),""))</f>
        <v/>
      </c>
      <c r="N315" s="95" t="str">
        <f>IF(IFERROR(IF(C315=C313,0,IF(E315=E314,0,IF(C315=$R$3,HLOOKUP($R$3,Ingreso!$AW$10:$BC$260,VLOOKUP(A315,Ingreso!AL:AM,2,FALSE),FALSE)/24,""))),"")=0,"",IFERROR(IF(C315=C313,0,IF(E315=E314,0,IF(C315=$R$3,HLOOKUP($R$3,Ingreso!$AW$10:$BC$260,VLOOKUP(A315,Ingreso!AL:AM,2,FALSE),FALSE)/24,""))),""))</f>
        <v/>
      </c>
      <c r="O315" s="95" t="str">
        <f>IF(IFERROR(IF(C315=C313,0,IF(E315=E314,0,IF(C315=$R$4,HLOOKUP($R$4,Ingreso!$AW$10:$BC$260,VLOOKUP(A315,Ingreso!AL:AM,2,FALSE),FALSE)/24,""))),"")=0,"",IFERROR(IF(C315=C313,0,IF(E315=E314,0,IF(C315=$R$4,HLOOKUP($R$4,Ingreso!$AW$10:$BC$260,VLOOKUP(A315,Ingreso!AL:AM,2,FALSE),FALSE)/24,""))),""))</f>
        <v/>
      </c>
      <c r="P315" s="90"/>
      <c r="T315" t="s">
        <v>1424</v>
      </c>
      <c r="U315" t="s">
        <v>4</v>
      </c>
      <c r="V315" t="s">
        <v>1399</v>
      </c>
      <c r="W315" s="82">
        <v>367</v>
      </c>
      <c r="X315" s="71">
        <v>0.3125</v>
      </c>
      <c r="Y315" s="101">
        <v>0.33402777777777781</v>
      </c>
      <c r="Z315" s="101">
        <v>0.78012731481481479</v>
      </c>
      <c r="AA315" s="101">
        <v>0.44609953703703698</v>
      </c>
      <c r="AB315" s="101">
        <v>0.13359953703703698</v>
      </c>
      <c r="AC315" s="105">
        <v>8.3333333333333329E-2</v>
      </c>
      <c r="AD315" s="105">
        <v>0</v>
      </c>
      <c r="AE315" s="93">
        <v>0</v>
      </c>
      <c r="AF315" s="93">
        <v>0</v>
      </c>
      <c r="AG315" s="93">
        <v>0</v>
      </c>
    </row>
    <row r="316" spans="1:33" ht="12.75" customHeight="1">
      <c r="A316" s="65" t="str">
        <f>IFERROR(VLOOKUP('Informe Kelly'!A309,Base!A:B,2,FALSE),"")</f>
        <v>09.989.723-6</v>
      </c>
      <c r="B316" s="65" t="str">
        <f>IFERROR(VLOOKUP('Informe Kelly'!A309,Base!A:G,7,FALSE),"")</f>
        <v>HERNANDEZ CESPEDES FRANKLIN LEONEL</v>
      </c>
      <c r="C316" s="69" t="str">
        <f>IF(G316=$C$4,IF('Informe Kelly'!H309='Control informe Kelly'!$A$2,TEXT(((LEFT('Informe Kelly'!E309,2)*1)+1),"dd")&amp;"."&amp;MID('Informe Kelly'!E309,4,2)&amp;"."&amp;RIGHT('Informe Kelly'!E309,4),'Informe Kelly'!E309),'Informe Kelly'!E309)</f>
        <v>14.04.2011</v>
      </c>
      <c r="D316" s="69" t="str">
        <f>IF('Informe Kelly'!E309="","",'Informe Kelly'!E309)</f>
        <v>14.04.2011</v>
      </c>
      <c r="E316" s="72">
        <f t="shared" si="9"/>
        <v>158</v>
      </c>
      <c r="F316" s="72" t="str">
        <f>IFERROR(HLOOKUP(C316,Ingreso!$Q$8:$AD$9,2,FALSE),"v")</f>
        <v>Jueves</v>
      </c>
      <c r="G316" s="65" t="str">
        <f>IFERROR(VLOOKUP(A316,Ingreso!K:P,6,FALSE),"no esta ingresado")</f>
        <v>Turno A</v>
      </c>
      <c r="H316" s="65" t="str">
        <f>IFERROR(IF('Informe Kelly'!H309=$A$2,'Informe Kelly'!F309,""),0)</f>
        <v/>
      </c>
      <c r="I316" s="65">
        <f>IFERROR(IF('Informe Kelly'!H309=$A$3,'Informe Kelly'!F309,""),0)</f>
        <v>0.62958333333333327</v>
      </c>
      <c r="J316" s="65" t="str">
        <f>IF(IFERROR(IF(E316=E315,0,(HLOOKUP(D316,Ingreso!$AN$10:$AT$260,VLOOKUP(A316,Ingreso!$AL$11:$AM$260,2,FALSE)))/24),0)=0,"",IFERROR(IF(E316=E315,0,(HLOOKUP(D316,Ingreso!$AN$10:$AT$260,VLOOKUP(A316,Ingreso!$AL$11:$AM$260,2,FALSE)))/24),0))</f>
        <v/>
      </c>
      <c r="K316" s="65" t="str">
        <f>IF(IFERROR(IF(E316=E315,0,(HLOOKUP(C316,Ingreso!$AW$10:$BC$260,VLOOKUP(A316,Ingreso!$AL$11:$AM$260,2,FALSE)))/24),0)=0,"",IFERROR(IF(E316=E315,0,(HLOOKUP(C316,Ingreso!$AW$10:$BC$260,VLOOKUP(A316,Ingreso!$AL$11:$AM$260,2,FALSE)))/24),0))</f>
        <v/>
      </c>
      <c r="L316" s="63">
        <f t="shared" si="8"/>
        <v>0.3125</v>
      </c>
      <c r="M316" s="63" t="str">
        <f>IF(IFERROR(IF(C316=C314,0,IF(E316=E315,0,IF(C316=$R$2,HLOOKUP($R$2,Ingreso!$AW$10:$BC$260,VLOOKUP(A316,Ingreso!AL:AM,2,FALSE),FALSE)/24,""))),"")=0,"",IFERROR(IF(C316=C314,0,IF(E316=E315,0,IF(C316=$R$2,HLOOKUP($R$2,Ingreso!$AW$10:$BC$260,VLOOKUP(A316,Ingreso!AL:AM,2,FALSE),FALSE)/24,""))),""))</f>
        <v/>
      </c>
      <c r="N316" s="95" t="str">
        <f>IF(IFERROR(IF(C316=C314,0,IF(E316=E315,0,IF(C316=$R$3,HLOOKUP($R$3,Ingreso!$AW$10:$BC$260,VLOOKUP(A316,Ingreso!AL:AM,2,FALSE),FALSE)/24,""))),"")=0,"",IFERROR(IF(C316=C314,0,IF(E316=E315,0,IF(C316=$R$3,HLOOKUP($R$3,Ingreso!$AW$10:$BC$260,VLOOKUP(A316,Ingreso!AL:AM,2,FALSE),FALSE)/24,""))),""))</f>
        <v/>
      </c>
      <c r="O316" s="95" t="str">
        <f>IF(IFERROR(IF(C316=C314,0,IF(E316=E315,0,IF(C316=$R$4,HLOOKUP($R$4,Ingreso!$AW$10:$BC$260,VLOOKUP(A316,Ingreso!AL:AM,2,FALSE),FALSE)/24,""))),"")=0,"",IFERROR(IF(C316=C314,0,IF(E316=E315,0,IF(C316=$R$4,HLOOKUP($R$4,Ingreso!$AW$10:$BC$260,VLOOKUP(A316,Ingreso!AL:AM,2,FALSE),FALSE)/24,""))),""))</f>
        <v/>
      </c>
      <c r="P316" s="90"/>
      <c r="T316" t="s">
        <v>1425</v>
      </c>
      <c r="U316" t="s">
        <v>4</v>
      </c>
      <c r="V316" t="s">
        <v>1400</v>
      </c>
      <c r="W316" s="82">
        <v>368</v>
      </c>
      <c r="X316" s="71">
        <v>0.3125</v>
      </c>
      <c r="Y316" s="101">
        <v>0.33357638888888891</v>
      </c>
      <c r="Z316" s="101">
        <v>0.78521990740740744</v>
      </c>
      <c r="AA316" s="101">
        <v>0.45164351851851853</v>
      </c>
      <c r="AB316" s="101">
        <v>0.13914351851851853</v>
      </c>
      <c r="AC316" s="105">
        <v>8.3333333333333329E-2</v>
      </c>
      <c r="AD316" s="105">
        <v>0</v>
      </c>
      <c r="AE316" s="93">
        <v>0</v>
      </c>
      <c r="AF316" s="93">
        <v>0</v>
      </c>
      <c r="AG316" s="93">
        <v>0</v>
      </c>
    </row>
    <row r="317" spans="1:33">
      <c r="A317" s="65" t="str">
        <f>IFERROR(VLOOKUP('Informe Kelly'!A310,Base!A:B,2,FALSE),"")</f>
        <v>09.989.723-6</v>
      </c>
      <c r="B317" s="65" t="str">
        <f>IFERROR(VLOOKUP('Informe Kelly'!A310,Base!A:G,7,FALSE),"")</f>
        <v>HERNANDEZ CESPEDES FRANKLIN LEONEL</v>
      </c>
      <c r="C317" s="69" t="str">
        <f>IF(G317=$C$4,IF('Informe Kelly'!H310='Control informe Kelly'!$A$2,TEXT(((LEFT('Informe Kelly'!E310,2)*1)+1),"dd")&amp;"."&amp;MID('Informe Kelly'!E310,4,2)&amp;"."&amp;RIGHT('Informe Kelly'!E310,4),'Informe Kelly'!E310),'Informe Kelly'!E310)</f>
        <v>14.04.2011</v>
      </c>
      <c r="D317" s="69" t="str">
        <f>IF('Informe Kelly'!E310="","",'Informe Kelly'!E310)</f>
        <v>14.04.2011</v>
      </c>
      <c r="E317" s="72">
        <f t="shared" si="9"/>
        <v>158</v>
      </c>
      <c r="F317" s="72" t="str">
        <f>IFERROR(HLOOKUP(C317,Ingreso!$Q$8:$AD$9,2,FALSE),"v")</f>
        <v>Jueves</v>
      </c>
      <c r="G317" s="65" t="str">
        <f>IFERROR(VLOOKUP(A317,Ingreso!K:P,6,FALSE),"no esta ingresado")</f>
        <v>Turno A</v>
      </c>
      <c r="H317" s="65">
        <f>IFERROR(IF('Informe Kelly'!H310=$A$2,'Informe Kelly'!F310,""),0)</f>
        <v>0.2898263888888889</v>
      </c>
      <c r="I317" s="65" t="str">
        <f>IFERROR(IF('Informe Kelly'!H310=$A$3,'Informe Kelly'!F310,""),0)</f>
        <v/>
      </c>
      <c r="J317" s="65" t="str">
        <f>IF(IFERROR(IF(E317=E316,0,(HLOOKUP(D317,Ingreso!$AN$10:$AT$260,VLOOKUP(A317,Ingreso!$AL$11:$AM$260,2,FALSE)))/24),0)=0,"",IFERROR(IF(E317=E316,0,(HLOOKUP(D317,Ingreso!$AN$10:$AT$260,VLOOKUP(A317,Ingreso!$AL$11:$AM$260,2,FALSE)))/24),0))</f>
        <v/>
      </c>
      <c r="K317" s="65" t="str">
        <f>IF(IFERROR(IF(E317=E316,0,(HLOOKUP(C317,Ingreso!$AW$10:$BC$260,VLOOKUP(A317,Ingreso!$AL$11:$AM$260,2,FALSE)))/24),0)=0,"",IFERROR(IF(E317=E316,0,(HLOOKUP(C317,Ingreso!$AW$10:$BC$260,VLOOKUP(A317,Ingreso!$AL$11:$AM$260,2,FALSE)))/24),0))</f>
        <v/>
      </c>
      <c r="L317" s="63">
        <f t="shared" si="8"/>
        <v>0</v>
      </c>
      <c r="M317" s="63" t="str">
        <f>IF(IFERROR(IF(C317=C315,0,IF(E317=E316,0,IF(C317=$R$2,HLOOKUP($R$2,Ingreso!$AW$10:$BC$260,VLOOKUP(A317,Ingreso!AL:AM,2,FALSE),FALSE)/24,""))),"")=0,"",IFERROR(IF(C317=C315,0,IF(E317=E316,0,IF(C317=$R$2,HLOOKUP($R$2,Ingreso!$AW$10:$BC$260,VLOOKUP(A317,Ingreso!AL:AM,2,FALSE),FALSE)/24,""))),""))</f>
        <v/>
      </c>
      <c r="N317" s="95" t="str">
        <f>IF(IFERROR(IF(C317=C315,0,IF(E317=E316,0,IF(C317=$R$3,HLOOKUP($R$3,Ingreso!$AW$10:$BC$260,VLOOKUP(A317,Ingreso!AL:AM,2,FALSE),FALSE)/24,""))),"")=0,"",IFERROR(IF(C317=C315,0,IF(E317=E316,0,IF(C317=$R$3,HLOOKUP($R$3,Ingreso!$AW$10:$BC$260,VLOOKUP(A317,Ingreso!AL:AM,2,FALSE),FALSE)/24,""))),""))</f>
        <v/>
      </c>
      <c r="O317" s="95" t="str">
        <f>IF(IFERROR(IF(C317=C315,0,IF(E317=E316,0,IF(C317=$R$4,HLOOKUP($R$4,Ingreso!$AW$10:$BC$260,VLOOKUP(A317,Ingreso!AL:AM,2,FALSE),FALSE)/24,""))),"")=0,"",IFERROR(IF(C317=C315,0,IF(E317=E316,0,IF(C317=$R$4,HLOOKUP($R$4,Ingreso!$AW$10:$BC$260,VLOOKUP(A317,Ingreso!AL:AM,2,FALSE),FALSE)/24,""))),""))</f>
        <v/>
      </c>
      <c r="P317" s="90"/>
      <c r="T317" t="s">
        <v>1426</v>
      </c>
      <c r="U317" t="s">
        <v>4</v>
      </c>
      <c r="V317" t="s">
        <v>1401</v>
      </c>
      <c r="W317" s="82">
        <v>369</v>
      </c>
      <c r="X317" s="71">
        <v>0.3125</v>
      </c>
      <c r="Y317" s="101">
        <v>0.33604166666666663</v>
      </c>
      <c r="Z317" s="101">
        <v>0.75075231481481486</v>
      </c>
      <c r="AA317" s="101">
        <v>0.41471064814814823</v>
      </c>
      <c r="AB317" s="101">
        <v>0.10221064814814823</v>
      </c>
      <c r="AC317" s="105">
        <v>8.3333333333333329E-2</v>
      </c>
      <c r="AD317" s="105">
        <v>0</v>
      </c>
      <c r="AE317" s="93">
        <v>0</v>
      </c>
      <c r="AF317" s="93">
        <v>0</v>
      </c>
      <c r="AG317" s="93">
        <v>0</v>
      </c>
    </row>
    <row r="318" spans="1:33">
      <c r="A318" s="65" t="str">
        <f>IFERROR(VLOOKUP('Informe Kelly'!A311,Base!A:B,2,FALSE),"")</f>
        <v>09.989.723-6</v>
      </c>
      <c r="B318" s="65" t="str">
        <f>IFERROR(VLOOKUP('Informe Kelly'!A311,Base!A:G,7,FALSE),"")</f>
        <v>HERNANDEZ CESPEDES FRANKLIN LEONEL</v>
      </c>
      <c r="C318" s="69" t="str">
        <f>IF(G318=$C$4,IF('Informe Kelly'!H311='Control informe Kelly'!$A$2,TEXT(((LEFT('Informe Kelly'!E311,2)*1)+1),"dd")&amp;"."&amp;MID('Informe Kelly'!E311,4,2)&amp;"."&amp;RIGHT('Informe Kelly'!E311,4),'Informe Kelly'!E311),'Informe Kelly'!E311)</f>
        <v>15.04.2011</v>
      </c>
      <c r="D318" s="69" t="str">
        <f>IF('Informe Kelly'!E311="","",'Informe Kelly'!E311)</f>
        <v>15.04.2011</v>
      </c>
      <c r="E318" s="72">
        <f t="shared" si="9"/>
        <v>159</v>
      </c>
      <c r="F318" s="72" t="str">
        <f>IFERROR(HLOOKUP(C318,Ingreso!$Q$8:$AD$9,2,FALSE),"v")</f>
        <v>Viernes</v>
      </c>
      <c r="G318" s="65" t="str">
        <f>IFERROR(VLOOKUP(A318,Ingreso!K:P,6,FALSE),"no esta ingresado")</f>
        <v>Turno A</v>
      </c>
      <c r="H318" s="65" t="str">
        <f>IFERROR(IF('Informe Kelly'!H311=$A$2,'Informe Kelly'!F311,""),0)</f>
        <v/>
      </c>
      <c r="I318" s="65">
        <f>IFERROR(IF('Informe Kelly'!H311=$A$3,'Informe Kelly'!F311,""),0)</f>
        <v>0.63896990740740744</v>
      </c>
      <c r="J318" s="65" t="str">
        <f>IF(IFERROR(IF(E318=E317,0,(HLOOKUP(D318,Ingreso!$AN$10:$AT$260,VLOOKUP(A318,Ingreso!$AL$11:$AM$260,2,FALSE)))/24),0)=0,"",IFERROR(IF(E318=E317,0,(HLOOKUP(D318,Ingreso!$AN$10:$AT$260,VLOOKUP(A318,Ingreso!$AL$11:$AM$260,2,FALSE)))/24),0))</f>
        <v/>
      </c>
      <c r="K318" s="65" t="str">
        <f>IF(IFERROR(IF(E318=E317,0,(HLOOKUP(C318,Ingreso!$AW$10:$BC$260,VLOOKUP(A318,Ingreso!$AL$11:$AM$260,2,FALSE)))/24),0)=0,"",IFERROR(IF(E318=E317,0,(HLOOKUP(C318,Ingreso!$AW$10:$BC$260,VLOOKUP(A318,Ingreso!$AL$11:$AM$260,2,FALSE)))/24),0))</f>
        <v/>
      </c>
      <c r="L318" s="63">
        <f t="shared" si="8"/>
        <v>0.3125</v>
      </c>
      <c r="M318" s="63" t="str">
        <f>IF(IFERROR(IF(C318=C316,0,IF(E318=E317,0,IF(C318=$R$2,HLOOKUP($R$2,Ingreso!$AW$10:$BC$260,VLOOKUP(A318,Ingreso!AL:AM,2,FALSE),FALSE)/24,""))),"")=0,"",IFERROR(IF(C318=C316,0,IF(E318=E317,0,IF(C318=$R$2,HLOOKUP($R$2,Ingreso!$AW$10:$BC$260,VLOOKUP(A318,Ingreso!AL:AM,2,FALSE),FALSE)/24,""))),""))</f>
        <v/>
      </c>
      <c r="N318" s="95" t="str">
        <f>IF(IFERROR(IF(C318=C316,0,IF(E318=E317,0,IF(C318=$R$3,HLOOKUP($R$3,Ingreso!$AW$10:$BC$260,VLOOKUP(A318,Ingreso!AL:AM,2,FALSE),FALSE)/24,""))),"")=0,"",IFERROR(IF(C318=C316,0,IF(E318=E317,0,IF(C318=$R$3,HLOOKUP($R$3,Ingreso!$AW$10:$BC$260,VLOOKUP(A318,Ingreso!AL:AM,2,FALSE),FALSE)/24,""))),""))</f>
        <v/>
      </c>
      <c r="O318" s="95" t="str">
        <f>IF(IFERROR(IF(C318=C316,0,IF(E318=E317,0,IF(C318=$R$4,HLOOKUP($R$4,Ingreso!$AW$10:$BC$260,VLOOKUP(A318,Ingreso!AL:AM,2,FALSE),FALSE)/24,""))),"")=0,"",IFERROR(IF(C318=C316,0,IF(E318=E317,0,IF(C318=$R$4,HLOOKUP($R$4,Ingreso!$AW$10:$BC$260,VLOOKUP(A318,Ingreso!AL:AM,2,FALSE),FALSE)/24,""))),""))</f>
        <v/>
      </c>
      <c r="P318" s="90"/>
      <c r="T318" t="s">
        <v>1427</v>
      </c>
      <c r="U318" t="s">
        <v>4</v>
      </c>
      <c r="V318" t="s">
        <v>1402</v>
      </c>
      <c r="W318" s="82">
        <v>370</v>
      </c>
      <c r="X318" s="71">
        <v>0.3125</v>
      </c>
      <c r="Y318" s="101">
        <v>0.29982638888888891</v>
      </c>
      <c r="Z318" s="101">
        <v>0.63504629629629628</v>
      </c>
      <c r="AA318" s="101">
        <v>0.33521990740740737</v>
      </c>
      <c r="AB318" s="101">
        <v>2.2719907407407369E-2</v>
      </c>
      <c r="AC318" s="105">
        <v>0</v>
      </c>
      <c r="AD318" s="105">
        <v>0</v>
      </c>
      <c r="AE318" s="93">
        <v>0</v>
      </c>
      <c r="AF318" s="93">
        <v>0</v>
      </c>
      <c r="AG318" s="93">
        <v>0</v>
      </c>
    </row>
    <row r="319" spans="1:33">
      <c r="A319" s="65" t="str">
        <f>IFERROR(VLOOKUP('Informe Kelly'!A312,Base!A:B,2,FALSE),"")</f>
        <v>09.989.723-6</v>
      </c>
      <c r="B319" s="65" t="str">
        <f>IFERROR(VLOOKUP('Informe Kelly'!A312,Base!A:G,7,FALSE),"")</f>
        <v>HERNANDEZ CESPEDES FRANKLIN LEONEL</v>
      </c>
      <c r="C319" s="69" t="str">
        <f>IF(G319=$C$4,IF('Informe Kelly'!H312='Control informe Kelly'!$A$2,TEXT(((LEFT('Informe Kelly'!E312,2)*1)+1),"dd")&amp;"."&amp;MID('Informe Kelly'!E312,4,2)&amp;"."&amp;RIGHT('Informe Kelly'!E312,4),'Informe Kelly'!E312),'Informe Kelly'!E312)</f>
        <v>15.04.2011</v>
      </c>
      <c r="D319" s="69" t="str">
        <f>IF('Informe Kelly'!E312="","",'Informe Kelly'!E312)</f>
        <v>15.04.2011</v>
      </c>
      <c r="E319" s="72">
        <f t="shared" si="9"/>
        <v>159</v>
      </c>
      <c r="F319" s="72" t="str">
        <f>IFERROR(HLOOKUP(C319,Ingreso!$Q$8:$AD$9,2,FALSE),"v")</f>
        <v>Viernes</v>
      </c>
      <c r="G319" s="65" t="str">
        <f>IFERROR(VLOOKUP(A319,Ingreso!K:P,6,FALSE),"no esta ingresado")</f>
        <v>Turno A</v>
      </c>
      <c r="H319" s="65">
        <f>IFERROR(IF('Informe Kelly'!H312=$A$2,'Informe Kelly'!F312,""),0)</f>
        <v>0.29567129629629629</v>
      </c>
      <c r="I319" s="65" t="str">
        <f>IFERROR(IF('Informe Kelly'!H312=$A$3,'Informe Kelly'!F312,""),0)</f>
        <v/>
      </c>
      <c r="J319" s="65" t="str">
        <f>IF(IFERROR(IF(E319=E318,0,(HLOOKUP(D319,Ingreso!$AN$10:$AT$260,VLOOKUP(A319,Ingreso!$AL$11:$AM$260,2,FALSE)))/24),0)=0,"",IFERROR(IF(E319=E318,0,(HLOOKUP(D319,Ingreso!$AN$10:$AT$260,VLOOKUP(A319,Ingreso!$AL$11:$AM$260,2,FALSE)))/24),0))</f>
        <v/>
      </c>
      <c r="K319" s="65" t="str">
        <f>IF(IFERROR(IF(E319=E318,0,(HLOOKUP(C319,Ingreso!$AW$10:$BC$260,VLOOKUP(A319,Ingreso!$AL$11:$AM$260,2,FALSE)))/24),0)=0,"",IFERROR(IF(E319=E318,0,(HLOOKUP(C319,Ingreso!$AW$10:$BC$260,VLOOKUP(A319,Ingreso!$AL$11:$AM$260,2,FALSE)))/24),0))</f>
        <v/>
      </c>
      <c r="L319" s="63">
        <f t="shared" si="8"/>
        <v>0</v>
      </c>
      <c r="M319" s="63" t="str">
        <f>IF(IFERROR(IF(C319=C317,0,IF(E319=E318,0,IF(C319=$R$2,HLOOKUP($R$2,Ingreso!$AW$10:$BC$260,VLOOKUP(A319,Ingreso!AL:AM,2,FALSE),FALSE)/24,""))),"")=0,"",IFERROR(IF(C319=C317,0,IF(E319=E318,0,IF(C319=$R$2,HLOOKUP($R$2,Ingreso!$AW$10:$BC$260,VLOOKUP(A319,Ingreso!AL:AM,2,FALSE),FALSE)/24,""))),""))</f>
        <v/>
      </c>
      <c r="N319" s="95" t="str">
        <f>IF(IFERROR(IF(C319=C317,0,IF(E319=E318,0,IF(C319=$R$3,HLOOKUP($R$3,Ingreso!$AW$10:$BC$260,VLOOKUP(A319,Ingreso!AL:AM,2,FALSE),FALSE)/24,""))),"")=0,"",IFERROR(IF(C319=C317,0,IF(E319=E318,0,IF(C319=$R$3,HLOOKUP($R$3,Ingreso!$AW$10:$BC$260,VLOOKUP(A319,Ingreso!AL:AM,2,FALSE),FALSE)/24,""))),""))</f>
        <v/>
      </c>
      <c r="O319" s="95" t="str">
        <f>IF(IFERROR(IF(C319=C317,0,IF(E319=E318,0,IF(C319=$R$4,HLOOKUP($R$4,Ingreso!$AW$10:$BC$260,VLOOKUP(A319,Ingreso!AL:AM,2,FALSE),FALSE)/24,""))),"")=0,"",IFERROR(IF(C319=C317,0,IF(E319=E318,0,IF(C319=$R$4,HLOOKUP($R$4,Ingreso!$AW$10:$BC$260,VLOOKUP(A319,Ingreso!AL:AM,2,FALSE),FALSE)/24,""))),""))</f>
        <v/>
      </c>
      <c r="P319" s="90"/>
      <c r="R319" t="s">
        <v>168</v>
      </c>
      <c r="S319" t="s">
        <v>171</v>
      </c>
      <c r="T319" t="s">
        <v>1420</v>
      </c>
      <c r="U319" t="s">
        <v>1324</v>
      </c>
      <c r="V319" t="s">
        <v>1397</v>
      </c>
      <c r="W319" s="82">
        <v>371</v>
      </c>
      <c r="X319" s="71">
        <v>0.375</v>
      </c>
      <c r="Y319" s="101">
        <v>0</v>
      </c>
      <c r="Z319" s="101">
        <v>0.31135416666666665</v>
      </c>
      <c r="AA319" s="101">
        <v>0.31135416666666665</v>
      </c>
      <c r="AB319" s="101">
        <v>-6.3645833333333346E-2</v>
      </c>
      <c r="AC319" s="105">
        <v>0</v>
      </c>
      <c r="AD319" s="105">
        <v>0.3125</v>
      </c>
      <c r="AE319" s="93">
        <v>0.3125</v>
      </c>
      <c r="AF319" s="93">
        <v>0</v>
      </c>
      <c r="AG319" s="93">
        <v>0</v>
      </c>
    </row>
    <row r="320" spans="1:33">
      <c r="A320" s="65" t="str">
        <f>IFERROR(VLOOKUP('Informe Kelly'!A313,Base!A:B,2,FALSE),"")</f>
        <v>09.989.723-6</v>
      </c>
      <c r="B320" s="65" t="str">
        <f>IFERROR(VLOOKUP('Informe Kelly'!A313,Base!A:G,7,FALSE),"")</f>
        <v>HERNANDEZ CESPEDES FRANKLIN LEONEL</v>
      </c>
      <c r="C320" s="69" t="str">
        <f>IF(G320=$C$4,IF('Informe Kelly'!H313='Control informe Kelly'!$A$2,TEXT(((LEFT('Informe Kelly'!E313,2)*1)+1),"dd")&amp;"."&amp;MID('Informe Kelly'!E313,4,2)&amp;"."&amp;RIGHT('Informe Kelly'!E313,4),'Informe Kelly'!E313),'Informe Kelly'!E313)</f>
        <v>16.04.2011</v>
      </c>
      <c r="D320" s="69" t="str">
        <f>IF('Informe Kelly'!E313="","",'Informe Kelly'!E313)</f>
        <v>16.04.2011</v>
      </c>
      <c r="E320" s="72">
        <f t="shared" si="9"/>
        <v>160</v>
      </c>
      <c r="F320" s="72" t="str">
        <f>IFERROR(HLOOKUP(C320,Ingreso!$Q$8:$AD$9,2,FALSE),"v")</f>
        <v>Sábado</v>
      </c>
      <c r="G320" s="65" t="str">
        <f>IFERROR(VLOOKUP(A320,Ingreso!K:P,6,FALSE),"no esta ingresado")</f>
        <v>Turno A</v>
      </c>
      <c r="H320" s="65" t="str">
        <f>IFERROR(IF('Informe Kelly'!H313=$A$2,'Informe Kelly'!F313,""),0)</f>
        <v/>
      </c>
      <c r="I320" s="65">
        <f>IFERROR(IF('Informe Kelly'!H313=$A$3,'Informe Kelly'!F313,""),0)</f>
        <v>0.6348611111111111</v>
      </c>
      <c r="J320" s="65" t="str">
        <f>IF(IFERROR(IF(E320=E319,0,(HLOOKUP(D320,Ingreso!$AN$10:$AT$260,VLOOKUP(A320,Ingreso!$AL$11:$AM$260,2,FALSE)))/24),0)=0,"",IFERROR(IF(E320=E319,0,(HLOOKUP(D320,Ingreso!$AN$10:$AT$260,VLOOKUP(A320,Ingreso!$AL$11:$AM$260,2,FALSE)))/24),0))</f>
        <v/>
      </c>
      <c r="K320" s="65" t="str">
        <f>IF(IFERROR(IF(E320=E319,0,(HLOOKUP(C320,Ingreso!$AW$10:$BC$260,VLOOKUP(A320,Ingreso!$AL$11:$AM$260,2,FALSE)))/24),0)=0,"",IFERROR(IF(E320=E319,0,(HLOOKUP(C320,Ingreso!$AW$10:$BC$260,VLOOKUP(A320,Ingreso!$AL$11:$AM$260,2,FALSE)))/24),0))</f>
        <v/>
      </c>
      <c r="L320" s="63">
        <f t="shared" si="8"/>
        <v>0.3125</v>
      </c>
      <c r="M320" s="63" t="str">
        <f>IF(IFERROR(IF(C320=C318,0,IF(E320=E319,0,IF(C320=$R$2,HLOOKUP($R$2,Ingreso!$AW$10:$BC$260,VLOOKUP(A320,Ingreso!AL:AM,2,FALSE),FALSE)/24,""))),"")=0,"",IFERROR(IF(C320=C318,0,IF(E320=E319,0,IF(C320=$R$2,HLOOKUP($R$2,Ingreso!$AW$10:$BC$260,VLOOKUP(A320,Ingreso!AL:AM,2,FALSE),FALSE)/24,""))),""))</f>
        <v/>
      </c>
      <c r="N320" s="95" t="str">
        <f>IF(IFERROR(IF(C320=C318,0,IF(E320=E319,0,IF(C320=$R$3,HLOOKUP($R$3,Ingreso!$AW$10:$BC$260,VLOOKUP(A320,Ingreso!AL:AM,2,FALSE),FALSE)/24,""))),"")=0,"",IFERROR(IF(C320=C318,0,IF(E320=E319,0,IF(C320=$R$3,HLOOKUP($R$3,Ingreso!$AW$10:$BC$260,VLOOKUP(A320,Ingreso!AL:AM,2,FALSE),FALSE)/24,""))),""))</f>
        <v/>
      </c>
      <c r="O320" s="95" t="str">
        <f>IF(IFERROR(IF(C320=C318,0,IF(E320=E319,0,IF(C320=$R$4,HLOOKUP($R$4,Ingreso!$AW$10:$BC$260,VLOOKUP(A320,Ingreso!AL:AM,2,FALSE),FALSE)/24,""))),"")=0,"",IFERROR(IF(C320=C318,0,IF(E320=E319,0,IF(C320=$R$4,HLOOKUP($R$4,Ingreso!$AW$10:$BC$260,VLOOKUP(A320,Ingreso!AL:AM,2,FALSE),FALSE)/24,""))),""))</f>
        <v/>
      </c>
      <c r="P320" s="90"/>
      <c r="T320" t="s">
        <v>1423</v>
      </c>
      <c r="U320" t="s">
        <v>1324</v>
      </c>
      <c r="V320" t="s">
        <v>1398</v>
      </c>
      <c r="W320" s="82">
        <v>372</v>
      </c>
      <c r="X320" s="71">
        <v>0.375</v>
      </c>
      <c r="Y320" s="101">
        <v>0.92259259259259252</v>
      </c>
      <c r="Z320" s="101">
        <v>0</v>
      </c>
      <c r="AA320" s="101">
        <v>7.740740740740748E-2</v>
      </c>
      <c r="AB320" s="101">
        <v>-0.29759259259259252</v>
      </c>
      <c r="AC320" s="105">
        <v>0</v>
      </c>
      <c r="AD320" s="105">
        <v>0</v>
      </c>
      <c r="AE320" s="93">
        <v>0</v>
      </c>
      <c r="AF320" s="93">
        <v>0</v>
      </c>
      <c r="AG320" s="93">
        <v>0</v>
      </c>
    </row>
    <row r="321" spans="1:33">
      <c r="A321" s="65" t="str">
        <f>IFERROR(VLOOKUP('Informe Kelly'!A314,Base!A:B,2,FALSE),"")</f>
        <v>09.989.723-6</v>
      </c>
      <c r="B321" s="65" t="str">
        <f>IFERROR(VLOOKUP('Informe Kelly'!A314,Base!A:G,7,FALSE),"")</f>
        <v>HERNANDEZ CESPEDES FRANKLIN LEONEL</v>
      </c>
      <c r="C321" s="69" t="str">
        <f>IF(G321=$C$4,IF('Informe Kelly'!H314='Control informe Kelly'!$A$2,TEXT(((LEFT('Informe Kelly'!E314,2)*1)+1),"dd")&amp;"."&amp;MID('Informe Kelly'!E314,4,2)&amp;"."&amp;RIGHT('Informe Kelly'!E314,4),'Informe Kelly'!E314),'Informe Kelly'!E314)</f>
        <v>16.04.2011</v>
      </c>
      <c r="D321" s="69" t="str">
        <f>IF('Informe Kelly'!E314="","",'Informe Kelly'!E314)</f>
        <v>16.04.2011</v>
      </c>
      <c r="E321" s="72">
        <f t="shared" si="9"/>
        <v>160</v>
      </c>
      <c r="F321" s="72" t="str">
        <f>IFERROR(HLOOKUP(C321,Ingreso!$Q$8:$AD$9,2,FALSE),"v")</f>
        <v>Sábado</v>
      </c>
      <c r="G321" s="65" t="str">
        <f>IFERROR(VLOOKUP(A321,Ingreso!K:P,6,FALSE),"no esta ingresado")</f>
        <v>Turno A</v>
      </c>
      <c r="H321" s="65">
        <f>IFERROR(IF('Informe Kelly'!H314=$A$2,'Informe Kelly'!F314,""),0)</f>
        <v>0.30928240740740742</v>
      </c>
      <c r="I321" s="65" t="str">
        <f>IFERROR(IF('Informe Kelly'!H314=$A$3,'Informe Kelly'!F314,""),0)</f>
        <v/>
      </c>
      <c r="J321" s="65" t="str">
        <f>IF(IFERROR(IF(E321=E320,0,(HLOOKUP(D321,Ingreso!$AN$10:$AT$260,VLOOKUP(A321,Ingreso!$AL$11:$AM$260,2,FALSE)))/24),0)=0,"",IFERROR(IF(E321=E320,0,(HLOOKUP(D321,Ingreso!$AN$10:$AT$260,VLOOKUP(A321,Ingreso!$AL$11:$AM$260,2,FALSE)))/24),0))</f>
        <v/>
      </c>
      <c r="K321" s="65" t="str">
        <f>IF(IFERROR(IF(E321=E320,0,(HLOOKUP(C321,Ingreso!$AW$10:$BC$260,VLOOKUP(A321,Ingreso!$AL$11:$AM$260,2,FALSE)))/24),0)=0,"",IFERROR(IF(E321=E320,0,(HLOOKUP(C321,Ingreso!$AW$10:$BC$260,VLOOKUP(A321,Ingreso!$AL$11:$AM$260,2,FALSE)))/24),0))</f>
        <v/>
      </c>
      <c r="L321" s="63">
        <f t="shared" si="8"/>
        <v>0</v>
      </c>
      <c r="M321" s="63" t="str">
        <f>IF(IFERROR(IF(C321=C319,0,IF(E321=E320,0,IF(C321=$R$2,HLOOKUP($R$2,Ingreso!$AW$10:$BC$260,VLOOKUP(A321,Ingreso!AL:AM,2,FALSE),FALSE)/24,""))),"")=0,"",IFERROR(IF(C321=C319,0,IF(E321=E320,0,IF(C321=$R$2,HLOOKUP($R$2,Ingreso!$AW$10:$BC$260,VLOOKUP(A321,Ingreso!AL:AM,2,FALSE),FALSE)/24,""))),""))</f>
        <v/>
      </c>
      <c r="N321" s="95" t="str">
        <f>IF(IFERROR(IF(C321=C319,0,IF(E321=E320,0,IF(C321=$R$3,HLOOKUP($R$3,Ingreso!$AW$10:$BC$260,VLOOKUP(A321,Ingreso!AL:AM,2,FALSE),FALSE)/24,""))),"")=0,"",IFERROR(IF(C321=C319,0,IF(E321=E320,0,IF(C321=$R$3,HLOOKUP($R$3,Ingreso!$AW$10:$BC$260,VLOOKUP(A321,Ingreso!AL:AM,2,FALSE),FALSE)/24,""))),""))</f>
        <v/>
      </c>
      <c r="O321" s="95" t="str">
        <f>IF(IFERROR(IF(C321=C319,0,IF(E321=E320,0,IF(C321=$R$4,HLOOKUP($R$4,Ingreso!$AW$10:$BC$260,VLOOKUP(A321,Ingreso!AL:AM,2,FALSE),FALSE)/24,""))),"")=0,"",IFERROR(IF(C321=C319,0,IF(E321=E320,0,IF(C321=$R$4,HLOOKUP($R$4,Ingreso!$AW$10:$BC$260,VLOOKUP(A321,Ingreso!AL:AM,2,FALSE),FALSE)/24,""))),""))</f>
        <v/>
      </c>
      <c r="P321" s="90"/>
      <c r="V321"/>
      <c r="W321" s="82">
        <v>373</v>
      </c>
      <c r="X321" s="71">
        <v>0</v>
      </c>
      <c r="Y321" s="101">
        <v>0</v>
      </c>
      <c r="Z321" s="101">
        <v>0.31472222222222224</v>
      </c>
      <c r="AA321" s="101">
        <v>0.31472222222222224</v>
      </c>
      <c r="AB321" s="101">
        <v>0.31472222222222224</v>
      </c>
      <c r="AC321" s="105">
        <v>0</v>
      </c>
      <c r="AD321" s="105">
        <v>0</v>
      </c>
      <c r="AE321" s="93">
        <v>0</v>
      </c>
      <c r="AF321" s="93">
        <v>0</v>
      </c>
      <c r="AG321" s="93">
        <v>0</v>
      </c>
    </row>
    <row r="322" spans="1:33" ht="12.75" customHeight="1">
      <c r="A322" s="65" t="str">
        <f>IFERROR(VLOOKUP('Informe Kelly'!A315,Base!A:B,2,FALSE),"")</f>
        <v>10.042.860-1</v>
      </c>
      <c r="B322" s="65" t="str">
        <f>IFERROR(VLOOKUP('Informe Kelly'!A315,Base!A:G,7,FALSE),"")</f>
        <v>QUIROGA GARCIA LUIS ABRAHAM</v>
      </c>
      <c r="C322" s="69" t="str">
        <f>IF(G322=$C$4,IF('Informe Kelly'!H315='Control informe Kelly'!$A$2,TEXT(((LEFT('Informe Kelly'!E315,2)*1)+1),"dd")&amp;"."&amp;MID('Informe Kelly'!E315,4,2)&amp;"."&amp;RIGHT('Informe Kelly'!E315,4),'Informe Kelly'!E315),'Informe Kelly'!E315)</f>
        <v>11.04.2011</v>
      </c>
      <c r="D322" s="69" t="str">
        <f>IF('Informe Kelly'!E315="","",'Informe Kelly'!E315)</f>
        <v>11.04.2011</v>
      </c>
      <c r="E322" s="72">
        <f t="shared" si="9"/>
        <v>161</v>
      </c>
      <c r="F322" s="72" t="str">
        <f>IFERROR(HLOOKUP(C322,Ingreso!$Q$8:$AD$9,2,FALSE),"v")</f>
        <v>Lunes</v>
      </c>
      <c r="G322" s="65" t="str">
        <f>IFERROR(VLOOKUP(A322,Ingreso!K:P,6,FALSE),"no esta ingresado")</f>
        <v>no esta ingresado</v>
      </c>
      <c r="H322" s="65" t="str">
        <f>IFERROR(IF('Informe Kelly'!H315=$A$2,'Informe Kelly'!F315,""),0)</f>
        <v/>
      </c>
      <c r="I322" s="65">
        <f>IFERROR(IF('Informe Kelly'!H315=$A$3,'Informe Kelly'!F315,""),0)</f>
        <v>0.63662037037037034</v>
      </c>
      <c r="J322" s="65" t="str">
        <f>IF(IFERROR(IF(E322=E321,0,(HLOOKUP(D322,Ingreso!$AN$10:$AT$260,VLOOKUP(A322,Ingreso!$AL$11:$AM$260,2,FALSE)))/24),0)=0,"",IFERROR(IF(E322=E321,0,(HLOOKUP(D322,Ingreso!$AN$10:$AT$260,VLOOKUP(A322,Ingreso!$AL$11:$AM$260,2,FALSE)))/24),0))</f>
        <v/>
      </c>
      <c r="K322" s="65" t="str">
        <f>IF(IFERROR(IF(E322=E321,0,(HLOOKUP(C322,Ingreso!$AW$10:$BC$260,VLOOKUP(A322,Ingreso!$AL$11:$AM$260,2,FALSE)))/24),0)=0,"",IFERROR(IF(E322=E321,0,(HLOOKUP(C322,Ingreso!$AW$10:$BC$260,VLOOKUP(A322,Ingreso!$AL$11:$AM$260,2,FALSE)))/24),0))</f>
        <v/>
      </c>
      <c r="L322" s="63" t="str">
        <f t="shared" si="8"/>
        <v/>
      </c>
      <c r="M322" s="63" t="str">
        <f>IF(IFERROR(IF(C322=C320,0,IF(E322=E321,0,IF(C322=$R$2,HLOOKUP($R$2,Ingreso!$AW$10:$BC$260,VLOOKUP(A322,Ingreso!AL:AM,2,FALSE),FALSE)/24,""))),"")=0,"",IFERROR(IF(C322=C320,0,IF(E322=E321,0,IF(C322=$R$2,HLOOKUP($R$2,Ingreso!$AW$10:$BC$260,VLOOKUP(A322,Ingreso!AL:AM,2,FALSE),FALSE)/24,""))),""))</f>
        <v/>
      </c>
      <c r="N322" s="95" t="str">
        <f>IF(IFERROR(IF(C322=C320,0,IF(E322=E321,0,IF(C322=$R$3,HLOOKUP($R$3,Ingreso!$AW$10:$BC$260,VLOOKUP(A322,Ingreso!AL:AM,2,FALSE),FALSE)/24,""))),"")=0,"",IFERROR(IF(C322=C320,0,IF(E322=E321,0,IF(C322=$R$3,HLOOKUP($R$3,Ingreso!$AW$10:$BC$260,VLOOKUP(A322,Ingreso!AL:AM,2,FALSE),FALSE)/24,""))),""))</f>
        <v/>
      </c>
      <c r="O322" s="95" t="str">
        <f>IF(IFERROR(IF(C322=C320,0,IF(E322=E321,0,IF(C322=$R$4,HLOOKUP($R$4,Ingreso!$AW$10:$BC$260,VLOOKUP(A322,Ingreso!AL:AM,2,FALSE),FALSE)/24,""))),"")=0,"",IFERROR(IF(C322=C320,0,IF(E322=E321,0,IF(C322=$R$4,HLOOKUP($R$4,Ingreso!$AW$10:$BC$260,VLOOKUP(A322,Ingreso!AL:AM,2,FALSE),FALSE)/24,""))),""))</f>
        <v/>
      </c>
      <c r="P322" s="90"/>
      <c r="T322" t="s">
        <v>1424</v>
      </c>
      <c r="U322" t="s">
        <v>1324</v>
      </c>
      <c r="V322" t="s">
        <v>1399</v>
      </c>
      <c r="W322" s="82">
        <v>374</v>
      </c>
      <c r="X322" s="71">
        <v>0.375</v>
      </c>
      <c r="Y322" s="101">
        <v>0.91983796296296294</v>
      </c>
      <c r="Z322" s="101">
        <v>0.31684027777777779</v>
      </c>
      <c r="AA322" s="101">
        <v>0.39700231481481485</v>
      </c>
      <c r="AB322" s="101">
        <v>2.200231481481485E-2</v>
      </c>
      <c r="AC322" s="105">
        <v>0</v>
      </c>
      <c r="AD322" s="105">
        <v>0</v>
      </c>
      <c r="AE322" s="93">
        <v>0</v>
      </c>
      <c r="AF322" s="93">
        <v>0</v>
      </c>
      <c r="AG322" s="93">
        <v>0</v>
      </c>
    </row>
    <row r="323" spans="1:33">
      <c r="A323" s="65" t="str">
        <f>IFERROR(VLOOKUP('Informe Kelly'!A316,Base!A:B,2,FALSE),"")</f>
        <v>10.042.860-1</v>
      </c>
      <c r="B323" s="65" t="str">
        <f>IFERROR(VLOOKUP('Informe Kelly'!A316,Base!A:G,7,FALSE),"")</f>
        <v>QUIROGA GARCIA LUIS ABRAHAM</v>
      </c>
      <c r="C323" s="69" t="str">
        <f>IF(G323=$C$4,IF('Informe Kelly'!H316='Control informe Kelly'!$A$2,TEXT(((LEFT('Informe Kelly'!E316,2)*1)+1),"dd")&amp;"."&amp;MID('Informe Kelly'!E316,4,2)&amp;"."&amp;RIGHT('Informe Kelly'!E316,4),'Informe Kelly'!E316),'Informe Kelly'!E316)</f>
        <v>11.04.2011</v>
      </c>
      <c r="D323" s="69" t="str">
        <f>IF('Informe Kelly'!E316="","",'Informe Kelly'!E316)</f>
        <v>11.04.2011</v>
      </c>
      <c r="E323" s="72">
        <f t="shared" si="9"/>
        <v>161</v>
      </c>
      <c r="F323" s="72" t="str">
        <f>IFERROR(HLOOKUP(C323,Ingreso!$Q$8:$AD$9,2,FALSE),"v")</f>
        <v>Lunes</v>
      </c>
      <c r="G323" s="65" t="str">
        <f>IFERROR(VLOOKUP(A323,Ingreso!K:P,6,FALSE),"no esta ingresado")</f>
        <v>no esta ingresado</v>
      </c>
      <c r="H323" s="65">
        <f>IFERROR(IF('Informe Kelly'!H316=$A$2,'Informe Kelly'!F316,""),0)</f>
        <v>0.29673611111111114</v>
      </c>
      <c r="I323" s="65" t="str">
        <f>IFERROR(IF('Informe Kelly'!H316=$A$3,'Informe Kelly'!F316,""),0)</f>
        <v/>
      </c>
      <c r="J323" s="65" t="str">
        <f>IF(IFERROR(IF(E323=E322,0,(HLOOKUP(D323,Ingreso!$AN$10:$AT$260,VLOOKUP(A323,Ingreso!$AL$11:$AM$260,2,FALSE)))/24),0)=0,"",IFERROR(IF(E323=E322,0,(HLOOKUP(D323,Ingreso!$AN$10:$AT$260,VLOOKUP(A323,Ingreso!$AL$11:$AM$260,2,FALSE)))/24),0))</f>
        <v/>
      </c>
      <c r="K323" s="65" t="str">
        <f>IF(IFERROR(IF(E323=E322,0,(HLOOKUP(C323,Ingreso!$AW$10:$BC$260,VLOOKUP(A323,Ingreso!$AL$11:$AM$260,2,FALSE)))/24),0)=0,"",IFERROR(IF(E323=E322,0,(HLOOKUP(C323,Ingreso!$AW$10:$BC$260,VLOOKUP(A323,Ingreso!$AL$11:$AM$260,2,FALSE)))/24),0))</f>
        <v/>
      </c>
      <c r="L323" s="63">
        <f t="shared" si="8"/>
        <v>0</v>
      </c>
      <c r="M323" s="63" t="str">
        <f>IF(IFERROR(IF(C323=C321,0,IF(E323=E322,0,IF(C323=$R$2,HLOOKUP($R$2,Ingreso!$AW$10:$BC$260,VLOOKUP(A323,Ingreso!AL:AM,2,FALSE),FALSE)/24,""))),"")=0,"",IFERROR(IF(C323=C321,0,IF(E323=E322,0,IF(C323=$R$2,HLOOKUP($R$2,Ingreso!$AW$10:$BC$260,VLOOKUP(A323,Ingreso!AL:AM,2,FALSE),FALSE)/24,""))),""))</f>
        <v/>
      </c>
      <c r="N323" s="95" t="str">
        <f>IF(IFERROR(IF(C323=C321,0,IF(E323=E322,0,IF(C323=$R$3,HLOOKUP($R$3,Ingreso!$AW$10:$BC$260,VLOOKUP(A323,Ingreso!AL:AM,2,FALSE),FALSE)/24,""))),"")=0,"",IFERROR(IF(C323=C321,0,IF(E323=E322,0,IF(C323=$R$3,HLOOKUP($R$3,Ingreso!$AW$10:$BC$260,VLOOKUP(A323,Ingreso!AL:AM,2,FALSE),FALSE)/24,""))),""))</f>
        <v/>
      </c>
      <c r="O323" s="95" t="str">
        <f>IF(IFERROR(IF(C323=C321,0,IF(E323=E322,0,IF(C323=$R$4,HLOOKUP($R$4,Ingreso!$AW$10:$BC$260,VLOOKUP(A323,Ingreso!AL:AM,2,FALSE),FALSE)/24,""))),"")=0,"",IFERROR(IF(C323=C321,0,IF(E323=E322,0,IF(C323=$R$4,HLOOKUP($R$4,Ingreso!$AW$10:$BC$260,VLOOKUP(A323,Ingreso!AL:AM,2,FALSE),FALSE)/24,""))),""))</f>
        <v/>
      </c>
      <c r="P323" s="90"/>
      <c r="T323" t="s">
        <v>1425</v>
      </c>
      <c r="U323" t="s">
        <v>1324</v>
      </c>
      <c r="V323" t="s">
        <v>1400</v>
      </c>
      <c r="W323" s="82">
        <v>375</v>
      </c>
      <c r="X323" s="71">
        <v>0.375</v>
      </c>
      <c r="Y323" s="101">
        <v>0.9215740740740741</v>
      </c>
      <c r="Z323" s="101">
        <v>0.32067129629629632</v>
      </c>
      <c r="AA323" s="101">
        <v>0.39909722222222221</v>
      </c>
      <c r="AB323" s="101">
        <v>2.4097222222222214E-2</v>
      </c>
      <c r="AC323" s="105">
        <v>0</v>
      </c>
      <c r="AD323" s="105">
        <v>0</v>
      </c>
      <c r="AE323" s="93">
        <v>0</v>
      </c>
      <c r="AF323" s="93">
        <v>0</v>
      </c>
      <c r="AG323" s="93">
        <v>0</v>
      </c>
    </row>
    <row r="324" spans="1:33">
      <c r="A324" s="65" t="str">
        <f>IFERROR(VLOOKUP('Informe Kelly'!A317,Base!A:B,2,FALSE),"")</f>
        <v>10.042.860-1</v>
      </c>
      <c r="B324" s="65" t="str">
        <f>IFERROR(VLOOKUP('Informe Kelly'!A317,Base!A:G,7,FALSE),"")</f>
        <v>QUIROGA GARCIA LUIS ABRAHAM</v>
      </c>
      <c r="C324" s="69" t="str">
        <f>IF(G324=$C$4,IF('Informe Kelly'!H317='Control informe Kelly'!$A$2,TEXT(((LEFT('Informe Kelly'!E317,2)*1)+1),"dd")&amp;"."&amp;MID('Informe Kelly'!E317,4,2)&amp;"."&amp;RIGHT('Informe Kelly'!E317,4),'Informe Kelly'!E317),'Informe Kelly'!E317)</f>
        <v>12.04.2011</v>
      </c>
      <c r="D324" s="69" t="str">
        <f>IF('Informe Kelly'!E317="","",'Informe Kelly'!E317)</f>
        <v>12.04.2011</v>
      </c>
      <c r="E324" s="72">
        <f t="shared" si="9"/>
        <v>162</v>
      </c>
      <c r="F324" s="72" t="str">
        <f>IFERROR(HLOOKUP(C324,Ingreso!$Q$8:$AD$9,2,FALSE),"v")</f>
        <v>Martes</v>
      </c>
      <c r="G324" s="65" t="str">
        <f>IFERROR(VLOOKUP(A324,Ingreso!K:P,6,FALSE),"no esta ingresado")</f>
        <v>no esta ingresado</v>
      </c>
      <c r="H324" s="65" t="str">
        <f>IFERROR(IF('Informe Kelly'!H317=$A$2,'Informe Kelly'!F317,""),0)</f>
        <v/>
      </c>
      <c r="I324" s="65">
        <f>IFERROR(IF('Informe Kelly'!H317=$A$3,'Informe Kelly'!F317,""),0)</f>
        <v>0.63623842592592594</v>
      </c>
      <c r="J324" s="65" t="str">
        <f>IF(IFERROR(IF(E324=E323,0,(HLOOKUP(D324,Ingreso!$AN$10:$AT$260,VLOOKUP(A324,Ingreso!$AL$11:$AM$260,2,FALSE)))/24),0)=0,"",IFERROR(IF(E324=E323,0,(HLOOKUP(D324,Ingreso!$AN$10:$AT$260,VLOOKUP(A324,Ingreso!$AL$11:$AM$260,2,FALSE)))/24),0))</f>
        <v/>
      </c>
      <c r="K324" s="65" t="str">
        <f>IF(IFERROR(IF(E324=E323,0,(HLOOKUP(C324,Ingreso!$AW$10:$BC$260,VLOOKUP(A324,Ingreso!$AL$11:$AM$260,2,FALSE)))/24),0)=0,"",IFERROR(IF(E324=E323,0,(HLOOKUP(C324,Ingreso!$AW$10:$BC$260,VLOOKUP(A324,Ingreso!$AL$11:$AM$260,2,FALSE)))/24),0))</f>
        <v/>
      </c>
      <c r="L324" s="63" t="str">
        <f t="shared" si="8"/>
        <v/>
      </c>
      <c r="M324" s="63" t="str">
        <f>IF(IFERROR(IF(C324=C322,0,IF(E324=E323,0,IF(C324=$R$2,HLOOKUP($R$2,Ingreso!$AW$10:$BC$260,VLOOKUP(A324,Ingreso!AL:AM,2,FALSE),FALSE)/24,""))),"")=0,"",IFERROR(IF(C324=C322,0,IF(E324=E323,0,IF(C324=$R$2,HLOOKUP($R$2,Ingreso!$AW$10:$BC$260,VLOOKUP(A324,Ingreso!AL:AM,2,FALSE),FALSE)/24,""))),""))</f>
        <v/>
      </c>
      <c r="N324" s="95" t="str">
        <f>IF(IFERROR(IF(C324=C322,0,IF(E324=E323,0,IF(C324=$R$3,HLOOKUP($R$3,Ingreso!$AW$10:$BC$260,VLOOKUP(A324,Ingreso!AL:AM,2,FALSE),FALSE)/24,""))),"")=0,"",IFERROR(IF(C324=C322,0,IF(E324=E323,0,IF(C324=$R$3,HLOOKUP($R$3,Ingreso!$AW$10:$BC$260,VLOOKUP(A324,Ingreso!AL:AM,2,FALSE),FALSE)/24,""))),""))</f>
        <v/>
      </c>
      <c r="O324" s="95" t="str">
        <f>IF(IFERROR(IF(C324=C322,0,IF(E324=E323,0,IF(C324=$R$4,HLOOKUP($R$4,Ingreso!$AW$10:$BC$260,VLOOKUP(A324,Ingreso!AL:AM,2,FALSE),FALSE)/24,""))),"")=0,"",IFERROR(IF(C324=C322,0,IF(E324=E323,0,IF(C324=$R$4,HLOOKUP($R$4,Ingreso!$AW$10:$BC$260,VLOOKUP(A324,Ingreso!AL:AM,2,FALSE),FALSE)/24,""))),""))</f>
        <v/>
      </c>
      <c r="P324" s="90"/>
      <c r="T324" t="s">
        <v>1426</v>
      </c>
      <c r="U324" t="s">
        <v>1324</v>
      </c>
      <c r="V324" t="s">
        <v>1401</v>
      </c>
      <c r="W324" s="82">
        <v>376</v>
      </c>
      <c r="X324" s="71">
        <v>0.375</v>
      </c>
      <c r="Y324" s="101">
        <v>0.92206018518518518</v>
      </c>
      <c r="Z324" s="101">
        <v>0.31702546296296297</v>
      </c>
      <c r="AA324" s="101">
        <v>0.39496527777777779</v>
      </c>
      <c r="AB324" s="101">
        <v>1.996527777777779E-2</v>
      </c>
      <c r="AC324" s="105">
        <v>0</v>
      </c>
      <c r="AD324" s="105">
        <v>0</v>
      </c>
      <c r="AE324" s="93">
        <v>0</v>
      </c>
      <c r="AF324" s="93">
        <v>0</v>
      </c>
      <c r="AG324" s="93">
        <v>0</v>
      </c>
    </row>
    <row r="325" spans="1:33">
      <c r="A325" s="65" t="str">
        <f>IFERROR(VLOOKUP('Informe Kelly'!A318,Base!A:B,2,FALSE),"")</f>
        <v>10.042.860-1</v>
      </c>
      <c r="B325" s="65" t="str">
        <f>IFERROR(VLOOKUP('Informe Kelly'!A318,Base!A:G,7,FALSE),"")</f>
        <v>QUIROGA GARCIA LUIS ABRAHAM</v>
      </c>
      <c r="C325" s="69" t="str">
        <f>IF(G325=$C$4,IF('Informe Kelly'!H318='Control informe Kelly'!$A$2,TEXT(((LEFT('Informe Kelly'!E318,2)*1)+1),"dd")&amp;"."&amp;MID('Informe Kelly'!E318,4,2)&amp;"."&amp;RIGHT('Informe Kelly'!E318,4),'Informe Kelly'!E318),'Informe Kelly'!E318)</f>
        <v>12.04.2011</v>
      </c>
      <c r="D325" s="69" t="str">
        <f>IF('Informe Kelly'!E318="","",'Informe Kelly'!E318)</f>
        <v>12.04.2011</v>
      </c>
      <c r="E325" s="72">
        <f t="shared" si="9"/>
        <v>162</v>
      </c>
      <c r="F325" s="72" t="str">
        <f>IFERROR(HLOOKUP(C325,Ingreso!$Q$8:$AD$9,2,FALSE),"v")</f>
        <v>Martes</v>
      </c>
      <c r="G325" s="65" t="str">
        <f>IFERROR(VLOOKUP(A325,Ingreso!K:P,6,FALSE),"no esta ingresado")</f>
        <v>no esta ingresado</v>
      </c>
      <c r="H325" s="65">
        <f>IFERROR(IF('Informe Kelly'!H318=$A$2,'Informe Kelly'!F318,""),0)</f>
        <v>0.29526620370370371</v>
      </c>
      <c r="I325" s="65" t="str">
        <f>IFERROR(IF('Informe Kelly'!H318=$A$3,'Informe Kelly'!F318,""),0)</f>
        <v/>
      </c>
      <c r="J325" s="65" t="str">
        <f>IF(IFERROR(IF(E325=E324,0,(HLOOKUP(D325,Ingreso!$AN$10:$AT$260,VLOOKUP(A325,Ingreso!$AL$11:$AM$260,2,FALSE)))/24),0)=0,"",IFERROR(IF(E325=E324,0,(HLOOKUP(D325,Ingreso!$AN$10:$AT$260,VLOOKUP(A325,Ingreso!$AL$11:$AM$260,2,FALSE)))/24),0))</f>
        <v/>
      </c>
      <c r="K325" s="65" t="str">
        <f>IF(IFERROR(IF(E325=E324,0,(HLOOKUP(C325,Ingreso!$AW$10:$BC$260,VLOOKUP(A325,Ingreso!$AL$11:$AM$260,2,FALSE)))/24),0)=0,"",IFERROR(IF(E325=E324,0,(HLOOKUP(C325,Ingreso!$AW$10:$BC$260,VLOOKUP(A325,Ingreso!$AL$11:$AM$260,2,FALSE)))/24),0))</f>
        <v/>
      </c>
      <c r="L325" s="63">
        <f t="shared" si="8"/>
        <v>0</v>
      </c>
      <c r="M325" s="63" t="str">
        <f>IF(IFERROR(IF(C325=C323,0,IF(E325=E324,0,IF(C325=$R$2,HLOOKUP($R$2,Ingreso!$AW$10:$BC$260,VLOOKUP(A325,Ingreso!AL:AM,2,FALSE),FALSE)/24,""))),"")=0,"",IFERROR(IF(C325=C323,0,IF(E325=E324,0,IF(C325=$R$2,HLOOKUP($R$2,Ingreso!$AW$10:$BC$260,VLOOKUP(A325,Ingreso!AL:AM,2,FALSE),FALSE)/24,""))),""))</f>
        <v/>
      </c>
      <c r="N325" s="95" t="str">
        <f>IF(IFERROR(IF(C325=C323,0,IF(E325=E324,0,IF(C325=$R$3,HLOOKUP($R$3,Ingreso!$AW$10:$BC$260,VLOOKUP(A325,Ingreso!AL:AM,2,FALSE),FALSE)/24,""))),"")=0,"",IFERROR(IF(C325=C323,0,IF(E325=E324,0,IF(C325=$R$3,HLOOKUP($R$3,Ingreso!$AW$10:$BC$260,VLOOKUP(A325,Ingreso!AL:AM,2,FALSE),FALSE)/24,""))),""))</f>
        <v/>
      </c>
      <c r="O325" s="95" t="str">
        <f>IF(IFERROR(IF(C325=C323,0,IF(E325=E324,0,IF(C325=$R$4,HLOOKUP($R$4,Ingreso!$AW$10:$BC$260,VLOOKUP(A325,Ingreso!AL:AM,2,FALSE),FALSE)/24,""))),"")=0,"",IFERROR(IF(C325=C323,0,IF(E325=E324,0,IF(C325=$R$4,HLOOKUP($R$4,Ingreso!$AW$10:$BC$260,VLOOKUP(A325,Ingreso!AL:AM,2,FALSE),FALSE)/24,""))),""))</f>
        <v/>
      </c>
      <c r="P325" s="90"/>
      <c r="T325" t="s">
        <v>1427</v>
      </c>
      <c r="U325" t="s">
        <v>1324</v>
      </c>
      <c r="V325" t="s">
        <v>1402</v>
      </c>
      <c r="W325" s="82">
        <v>377</v>
      </c>
      <c r="X325" s="71">
        <v>0.375</v>
      </c>
      <c r="Y325" s="101">
        <v>0.92115740740740737</v>
      </c>
      <c r="Z325" s="101">
        <v>0.32406249999999998</v>
      </c>
      <c r="AA325" s="101">
        <v>0.40290509259259255</v>
      </c>
      <c r="AB325" s="101">
        <v>2.7905092592592551E-2</v>
      </c>
      <c r="AC325" s="105">
        <v>0</v>
      </c>
      <c r="AD325" s="105">
        <v>0</v>
      </c>
      <c r="AE325" s="93">
        <v>0</v>
      </c>
      <c r="AF325" s="93">
        <v>0</v>
      </c>
      <c r="AG325" s="93">
        <v>0</v>
      </c>
    </row>
    <row r="326" spans="1:33">
      <c r="A326" s="65" t="str">
        <f>IFERROR(VLOOKUP('Informe Kelly'!A319,Base!A:B,2,FALSE),"")</f>
        <v>10.042.860-1</v>
      </c>
      <c r="B326" s="65" t="str">
        <f>IFERROR(VLOOKUP('Informe Kelly'!A319,Base!A:G,7,FALSE),"")</f>
        <v>QUIROGA GARCIA LUIS ABRAHAM</v>
      </c>
      <c r="C326" s="69" t="str">
        <f>IF(G326=$C$4,IF('Informe Kelly'!H319='Control informe Kelly'!$A$2,TEXT(((LEFT('Informe Kelly'!E319,2)*1)+1),"dd")&amp;"."&amp;MID('Informe Kelly'!E319,4,2)&amp;"."&amp;RIGHT('Informe Kelly'!E319,4),'Informe Kelly'!E319),'Informe Kelly'!E319)</f>
        <v>13.04.2011</v>
      </c>
      <c r="D326" s="69" t="str">
        <f>IF('Informe Kelly'!E319="","",'Informe Kelly'!E319)</f>
        <v>13.04.2011</v>
      </c>
      <c r="E326" s="72">
        <f t="shared" si="9"/>
        <v>163</v>
      </c>
      <c r="F326" s="72" t="str">
        <f>IFERROR(HLOOKUP(C326,Ingreso!$Q$8:$AD$9,2,FALSE),"v")</f>
        <v>Miércoles</v>
      </c>
      <c r="G326" s="65" t="str">
        <f>IFERROR(VLOOKUP(A326,Ingreso!K:P,6,FALSE),"no esta ingresado")</f>
        <v>no esta ingresado</v>
      </c>
      <c r="H326" s="65" t="str">
        <f>IFERROR(IF('Informe Kelly'!H319=$A$2,'Informe Kelly'!F319,""),0)</f>
        <v/>
      </c>
      <c r="I326" s="65">
        <f>IFERROR(IF('Informe Kelly'!H319=$A$3,'Informe Kelly'!F319,""),0)</f>
        <v>0.63905092592592594</v>
      </c>
      <c r="J326" s="65" t="str">
        <f>IF(IFERROR(IF(E326=E325,0,(HLOOKUP(D326,Ingreso!$AN$10:$AT$260,VLOOKUP(A326,Ingreso!$AL$11:$AM$260,2,FALSE)))/24),0)=0,"",IFERROR(IF(E326=E325,0,(HLOOKUP(D326,Ingreso!$AN$10:$AT$260,VLOOKUP(A326,Ingreso!$AL$11:$AM$260,2,FALSE)))/24),0))</f>
        <v/>
      </c>
      <c r="K326" s="65" t="str">
        <f>IF(IFERROR(IF(E326=E325,0,(HLOOKUP(C326,Ingreso!$AW$10:$BC$260,VLOOKUP(A326,Ingreso!$AL$11:$AM$260,2,FALSE)))/24),0)=0,"",IFERROR(IF(E326=E325,0,(HLOOKUP(C326,Ingreso!$AW$10:$BC$260,VLOOKUP(A326,Ingreso!$AL$11:$AM$260,2,FALSE)))/24),0))</f>
        <v/>
      </c>
      <c r="L326" s="63" t="str">
        <f t="shared" si="8"/>
        <v/>
      </c>
      <c r="M326" s="63" t="str">
        <f>IF(IFERROR(IF(C326=C324,0,IF(E326=E325,0,IF(C326=$R$2,HLOOKUP($R$2,Ingreso!$AW$10:$BC$260,VLOOKUP(A326,Ingreso!AL:AM,2,FALSE),FALSE)/24,""))),"")=0,"",IFERROR(IF(C326=C324,0,IF(E326=E325,0,IF(C326=$R$2,HLOOKUP($R$2,Ingreso!$AW$10:$BC$260,VLOOKUP(A326,Ingreso!AL:AM,2,FALSE),FALSE)/24,""))),""))</f>
        <v/>
      </c>
      <c r="N326" s="95" t="str">
        <f>IF(IFERROR(IF(C326=C324,0,IF(E326=E325,0,IF(C326=$R$3,HLOOKUP($R$3,Ingreso!$AW$10:$BC$260,VLOOKUP(A326,Ingreso!AL:AM,2,FALSE),FALSE)/24,""))),"")=0,"",IFERROR(IF(C326=C324,0,IF(E326=E325,0,IF(C326=$R$3,HLOOKUP($R$3,Ingreso!$AW$10:$BC$260,VLOOKUP(A326,Ingreso!AL:AM,2,FALSE),FALSE)/24,""))),""))</f>
        <v/>
      </c>
      <c r="O326" s="95" t="str">
        <f>IF(IFERROR(IF(C326=C324,0,IF(E326=E325,0,IF(C326=$R$4,HLOOKUP($R$4,Ingreso!$AW$10:$BC$260,VLOOKUP(A326,Ingreso!AL:AM,2,FALSE),FALSE)/24,""))),"")=0,"",IFERROR(IF(C326=C324,0,IF(E326=E325,0,IF(C326=$R$4,HLOOKUP($R$4,Ingreso!$AW$10:$BC$260,VLOOKUP(A326,Ingreso!AL:AM,2,FALSE),FALSE)/24,""))),""))</f>
        <v/>
      </c>
      <c r="P326" s="90"/>
      <c r="R326" t="s">
        <v>742</v>
      </c>
      <c r="S326" t="s">
        <v>745</v>
      </c>
      <c r="T326" t="s">
        <v>1420</v>
      </c>
      <c r="U326" t="s">
        <v>4</v>
      </c>
      <c r="V326" t="s">
        <v>1397</v>
      </c>
      <c r="W326" s="82">
        <v>384</v>
      </c>
      <c r="X326" s="71">
        <v>0.3125</v>
      </c>
      <c r="Y326" s="101">
        <v>0.3122685185185185</v>
      </c>
      <c r="Z326" s="101">
        <v>0.63633101851851859</v>
      </c>
      <c r="AA326" s="101">
        <v>0.32406250000000009</v>
      </c>
      <c r="AB326" s="101">
        <v>1.1562500000000087E-2</v>
      </c>
      <c r="AC326" s="105">
        <v>0</v>
      </c>
      <c r="AD326" s="105">
        <v>0</v>
      </c>
      <c r="AE326" s="93">
        <v>0</v>
      </c>
      <c r="AF326" s="93">
        <v>0</v>
      </c>
      <c r="AG326" s="93">
        <v>0</v>
      </c>
    </row>
    <row r="327" spans="1:33">
      <c r="A327" s="65" t="str">
        <f>IFERROR(VLOOKUP('Informe Kelly'!A320,Base!A:B,2,FALSE),"")</f>
        <v>10.042.860-1</v>
      </c>
      <c r="B327" s="65" t="str">
        <f>IFERROR(VLOOKUP('Informe Kelly'!A320,Base!A:G,7,FALSE),"")</f>
        <v>QUIROGA GARCIA LUIS ABRAHAM</v>
      </c>
      <c r="C327" s="69" t="str">
        <f>IF(G327=$C$4,IF('Informe Kelly'!H320='Control informe Kelly'!$A$2,TEXT(((LEFT('Informe Kelly'!E320,2)*1)+1),"dd")&amp;"."&amp;MID('Informe Kelly'!E320,4,2)&amp;"."&amp;RIGHT('Informe Kelly'!E320,4),'Informe Kelly'!E320),'Informe Kelly'!E320)</f>
        <v>13.04.2011</v>
      </c>
      <c r="D327" s="69" t="str">
        <f>IF('Informe Kelly'!E320="","",'Informe Kelly'!E320)</f>
        <v>13.04.2011</v>
      </c>
      <c r="E327" s="72">
        <f t="shared" si="9"/>
        <v>163</v>
      </c>
      <c r="F327" s="72" t="str">
        <f>IFERROR(HLOOKUP(C327,Ingreso!$Q$8:$AD$9,2,FALSE),"v")</f>
        <v>Miércoles</v>
      </c>
      <c r="G327" s="65" t="str">
        <f>IFERROR(VLOOKUP(A327,Ingreso!K:P,6,FALSE),"no esta ingresado")</f>
        <v>no esta ingresado</v>
      </c>
      <c r="H327" s="65">
        <f>IFERROR(IF('Informe Kelly'!H320=$A$2,'Informe Kelly'!F320,""),0)</f>
        <v>0.29547453703703702</v>
      </c>
      <c r="I327" s="65" t="str">
        <f>IFERROR(IF('Informe Kelly'!H320=$A$3,'Informe Kelly'!F320,""),0)</f>
        <v/>
      </c>
      <c r="J327" s="65" t="str">
        <f>IF(IFERROR(IF(E327=E326,0,(HLOOKUP(D327,Ingreso!$AN$10:$AT$260,VLOOKUP(A327,Ingreso!$AL$11:$AM$260,2,FALSE)))/24),0)=0,"",IFERROR(IF(E327=E326,0,(HLOOKUP(D327,Ingreso!$AN$10:$AT$260,VLOOKUP(A327,Ingreso!$AL$11:$AM$260,2,FALSE)))/24),0))</f>
        <v/>
      </c>
      <c r="K327" s="65" t="str">
        <f>IF(IFERROR(IF(E327=E326,0,(HLOOKUP(C327,Ingreso!$AW$10:$BC$260,VLOOKUP(A327,Ingreso!$AL$11:$AM$260,2,FALSE)))/24),0)=0,"",IFERROR(IF(E327=E326,0,(HLOOKUP(C327,Ingreso!$AW$10:$BC$260,VLOOKUP(A327,Ingreso!$AL$11:$AM$260,2,FALSE)))/24),0))</f>
        <v/>
      </c>
      <c r="L327" s="63">
        <f t="shared" si="8"/>
        <v>0</v>
      </c>
      <c r="M327" s="63" t="str">
        <f>IF(IFERROR(IF(C327=C325,0,IF(E327=E326,0,IF(C327=$R$2,HLOOKUP($R$2,Ingreso!$AW$10:$BC$260,VLOOKUP(A327,Ingreso!AL:AM,2,FALSE),FALSE)/24,""))),"")=0,"",IFERROR(IF(C327=C325,0,IF(E327=E326,0,IF(C327=$R$2,HLOOKUP($R$2,Ingreso!$AW$10:$BC$260,VLOOKUP(A327,Ingreso!AL:AM,2,FALSE),FALSE)/24,""))),""))</f>
        <v/>
      </c>
      <c r="N327" s="95" t="str">
        <f>IF(IFERROR(IF(C327=C325,0,IF(E327=E326,0,IF(C327=$R$3,HLOOKUP($R$3,Ingreso!$AW$10:$BC$260,VLOOKUP(A327,Ingreso!AL:AM,2,FALSE),FALSE)/24,""))),"")=0,"",IFERROR(IF(C327=C325,0,IF(E327=E326,0,IF(C327=$R$3,HLOOKUP($R$3,Ingreso!$AW$10:$BC$260,VLOOKUP(A327,Ingreso!AL:AM,2,FALSE),FALSE)/24,""))),""))</f>
        <v/>
      </c>
      <c r="O327" s="95" t="str">
        <f>IF(IFERROR(IF(C327=C325,0,IF(E327=E326,0,IF(C327=$R$4,HLOOKUP($R$4,Ingreso!$AW$10:$BC$260,VLOOKUP(A327,Ingreso!AL:AM,2,FALSE),FALSE)/24,""))),"")=0,"",IFERROR(IF(C327=C325,0,IF(E327=E326,0,IF(C327=$R$4,HLOOKUP($R$4,Ingreso!$AW$10:$BC$260,VLOOKUP(A327,Ingreso!AL:AM,2,FALSE),FALSE)/24,""))),""))</f>
        <v/>
      </c>
      <c r="P327" s="90"/>
      <c r="T327" t="s">
        <v>1423</v>
      </c>
      <c r="U327" t="s">
        <v>4</v>
      </c>
      <c r="V327" t="s">
        <v>1398</v>
      </c>
      <c r="W327" s="82">
        <v>385</v>
      </c>
      <c r="X327" s="71">
        <v>0.3125</v>
      </c>
      <c r="Y327" s="101">
        <v>0.31221064814814814</v>
      </c>
      <c r="Z327" s="101">
        <v>0.73342592592592604</v>
      </c>
      <c r="AA327" s="101">
        <v>0.4212152777777779</v>
      </c>
      <c r="AB327" s="101">
        <v>0.1087152777777779</v>
      </c>
      <c r="AC327" s="105">
        <v>0.10416666666666667</v>
      </c>
      <c r="AD327" s="105">
        <v>0</v>
      </c>
      <c r="AE327" s="93">
        <v>0</v>
      </c>
      <c r="AF327" s="93">
        <v>0</v>
      </c>
      <c r="AG327" s="93">
        <v>0</v>
      </c>
    </row>
    <row r="328" spans="1:33" ht="12.75" customHeight="1">
      <c r="A328" s="65" t="str">
        <f>IFERROR(VLOOKUP('Informe Kelly'!A321,Base!A:B,2,FALSE),"")</f>
        <v>10.042.860-1</v>
      </c>
      <c r="B328" s="65" t="str">
        <f>IFERROR(VLOOKUP('Informe Kelly'!A321,Base!A:G,7,FALSE),"")</f>
        <v>QUIROGA GARCIA LUIS ABRAHAM</v>
      </c>
      <c r="C328" s="69" t="str">
        <f>IF(G328=$C$4,IF('Informe Kelly'!H321='Control informe Kelly'!$A$2,TEXT(((LEFT('Informe Kelly'!E321,2)*1)+1),"dd")&amp;"."&amp;MID('Informe Kelly'!E321,4,2)&amp;"."&amp;RIGHT('Informe Kelly'!E321,4),'Informe Kelly'!E321),'Informe Kelly'!E321)</f>
        <v>14.04.2011</v>
      </c>
      <c r="D328" s="69" t="str">
        <f>IF('Informe Kelly'!E321="","",'Informe Kelly'!E321)</f>
        <v>14.04.2011</v>
      </c>
      <c r="E328" s="72">
        <f t="shared" si="9"/>
        <v>164</v>
      </c>
      <c r="F328" s="72" t="str">
        <f>IFERROR(HLOOKUP(C328,Ingreso!$Q$8:$AD$9,2,FALSE),"v")</f>
        <v>Jueves</v>
      </c>
      <c r="G328" s="65" t="str">
        <f>IFERROR(VLOOKUP(A328,Ingreso!K:P,6,FALSE),"no esta ingresado")</f>
        <v>no esta ingresado</v>
      </c>
      <c r="H328" s="65" t="str">
        <f>IFERROR(IF('Informe Kelly'!H321=$A$2,'Informe Kelly'!F321,""),0)</f>
        <v/>
      </c>
      <c r="I328" s="65">
        <f>IFERROR(IF('Informe Kelly'!H321=$A$3,'Informe Kelly'!F321,""),0)</f>
        <v>0.63670138888888894</v>
      </c>
      <c r="J328" s="65" t="str">
        <f>IF(IFERROR(IF(E328=E327,0,(HLOOKUP(D328,Ingreso!$AN$10:$AT$260,VLOOKUP(A328,Ingreso!$AL$11:$AM$260,2,FALSE)))/24),0)=0,"",IFERROR(IF(E328=E327,0,(HLOOKUP(D328,Ingreso!$AN$10:$AT$260,VLOOKUP(A328,Ingreso!$AL$11:$AM$260,2,FALSE)))/24),0))</f>
        <v/>
      </c>
      <c r="K328" s="65" t="str">
        <f>IF(IFERROR(IF(E328=E327,0,(HLOOKUP(C328,Ingreso!$AW$10:$BC$260,VLOOKUP(A328,Ingreso!$AL$11:$AM$260,2,FALSE)))/24),0)=0,"",IFERROR(IF(E328=E327,0,(HLOOKUP(C328,Ingreso!$AW$10:$BC$260,VLOOKUP(A328,Ingreso!$AL$11:$AM$260,2,FALSE)))/24),0))</f>
        <v/>
      </c>
      <c r="L328" s="63" t="str">
        <f t="shared" si="8"/>
        <v/>
      </c>
      <c r="M328" s="63" t="str">
        <f>IF(IFERROR(IF(C328=C326,0,IF(E328=E327,0,IF(C328=$R$2,HLOOKUP($R$2,Ingreso!$AW$10:$BC$260,VLOOKUP(A328,Ingreso!AL:AM,2,FALSE),FALSE)/24,""))),"")=0,"",IFERROR(IF(C328=C326,0,IF(E328=E327,0,IF(C328=$R$2,HLOOKUP($R$2,Ingreso!$AW$10:$BC$260,VLOOKUP(A328,Ingreso!AL:AM,2,FALSE),FALSE)/24,""))),""))</f>
        <v/>
      </c>
      <c r="N328" s="95" t="str">
        <f>IF(IFERROR(IF(C328=C326,0,IF(E328=E327,0,IF(C328=$R$3,HLOOKUP($R$3,Ingreso!$AW$10:$BC$260,VLOOKUP(A328,Ingreso!AL:AM,2,FALSE),FALSE)/24,""))),"")=0,"",IFERROR(IF(C328=C326,0,IF(E328=E327,0,IF(C328=$R$3,HLOOKUP($R$3,Ingreso!$AW$10:$BC$260,VLOOKUP(A328,Ingreso!AL:AM,2,FALSE),FALSE)/24,""))),""))</f>
        <v/>
      </c>
      <c r="O328" s="95" t="str">
        <f>IF(IFERROR(IF(C328=C326,0,IF(E328=E327,0,IF(C328=$R$4,HLOOKUP($R$4,Ingreso!$AW$10:$BC$260,VLOOKUP(A328,Ingreso!AL:AM,2,FALSE),FALSE)/24,""))),"")=0,"",IFERROR(IF(C328=C326,0,IF(E328=E327,0,IF(C328=$R$4,HLOOKUP($R$4,Ingreso!$AW$10:$BC$260,VLOOKUP(A328,Ingreso!AL:AM,2,FALSE),FALSE)/24,""))),""))</f>
        <v/>
      </c>
      <c r="P328" s="90"/>
      <c r="T328" t="s">
        <v>1424</v>
      </c>
      <c r="U328" t="s">
        <v>4</v>
      </c>
      <c r="V328" t="s">
        <v>1399</v>
      </c>
      <c r="W328" s="82">
        <v>386</v>
      </c>
      <c r="X328" s="71">
        <v>0.3125</v>
      </c>
      <c r="Y328" s="101">
        <v>0.31634259259259262</v>
      </c>
      <c r="Z328" s="101">
        <v>0.75291666666666668</v>
      </c>
      <c r="AA328" s="101">
        <v>0.43657407407407406</v>
      </c>
      <c r="AB328" s="101">
        <v>0.12407407407407406</v>
      </c>
      <c r="AC328" s="105">
        <v>8.3333333333333329E-2</v>
      </c>
      <c r="AD328" s="105">
        <v>0</v>
      </c>
      <c r="AE328" s="93">
        <v>0</v>
      </c>
      <c r="AF328" s="93">
        <v>0</v>
      </c>
      <c r="AG328" s="93">
        <v>0</v>
      </c>
    </row>
    <row r="329" spans="1:33">
      <c r="A329" s="65" t="str">
        <f>IFERROR(VLOOKUP('Informe Kelly'!A322,Base!A:B,2,FALSE),"")</f>
        <v>10.042.860-1</v>
      </c>
      <c r="B329" s="65" t="str">
        <f>IFERROR(VLOOKUP('Informe Kelly'!A322,Base!A:G,7,FALSE),"")</f>
        <v>QUIROGA GARCIA LUIS ABRAHAM</v>
      </c>
      <c r="C329" s="69" t="str">
        <f>IF(G329=$C$4,IF('Informe Kelly'!H322='Control informe Kelly'!$A$2,TEXT(((LEFT('Informe Kelly'!E322,2)*1)+1),"dd")&amp;"."&amp;MID('Informe Kelly'!E322,4,2)&amp;"."&amp;RIGHT('Informe Kelly'!E322,4),'Informe Kelly'!E322),'Informe Kelly'!E322)</f>
        <v>14.04.2011</v>
      </c>
      <c r="D329" s="69" t="str">
        <f>IF('Informe Kelly'!E322="","",'Informe Kelly'!E322)</f>
        <v>14.04.2011</v>
      </c>
      <c r="E329" s="72">
        <f t="shared" si="9"/>
        <v>164</v>
      </c>
      <c r="F329" s="72" t="str">
        <f>IFERROR(HLOOKUP(C329,Ingreso!$Q$8:$AD$9,2,FALSE),"v")</f>
        <v>Jueves</v>
      </c>
      <c r="G329" s="65" t="str">
        <f>IFERROR(VLOOKUP(A329,Ingreso!K:P,6,FALSE),"no esta ingresado")</f>
        <v>no esta ingresado</v>
      </c>
      <c r="H329" s="65">
        <f>IFERROR(IF('Informe Kelly'!H322=$A$2,'Informe Kelly'!F322,""),0)</f>
        <v>0.29462962962962963</v>
      </c>
      <c r="I329" s="65" t="str">
        <f>IFERROR(IF('Informe Kelly'!H322=$A$3,'Informe Kelly'!F322,""),0)</f>
        <v/>
      </c>
      <c r="J329" s="65" t="str">
        <f>IF(IFERROR(IF(E329=E328,0,(HLOOKUP(D329,Ingreso!$AN$10:$AT$260,VLOOKUP(A329,Ingreso!$AL$11:$AM$260,2,FALSE)))/24),0)=0,"",IFERROR(IF(E329=E328,0,(HLOOKUP(D329,Ingreso!$AN$10:$AT$260,VLOOKUP(A329,Ingreso!$AL$11:$AM$260,2,FALSE)))/24),0))</f>
        <v/>
      </c>
      <c r="K329" s="65" t="str">
        <f>IF(IFERROR(IF(E329=E328,0,(HLOOKUP(C329,Ingreso!$AW$10:$BC$260,VLOOKUP(A329,Ingreso!$AL$11:$AM$260,2,FALSE)))/24),0)=0,"",IFERROR(IF(E329=E328,0,(HLOOKUP(C329,Ingreso!$AW$10:$BC$260,VLOOKUP(A329,Ingreso!$AL$11:$AM$260,2,FALSE)))/24),0))</f>
        <v/>
      </c>
      <c r="L329" s="63">
        <f t="shared" ref="L329:L392" si="10">IFERROR(IF(C329=C327,0,IF(E329=E328,0,(VLOOKUP(G329,$C$2:$D$5,2,FALSE)))),"")</f>
        <v>0</v>
      </c>
      <c r="M329" s="63" t="str">
        <f>IF(IFERROR(IF(C329=C327,0,IF(E329=E328,0,IF(C329=$R$2,HLOOKUP($R$2,Ingreso!$AW$10:$BC$260,VLOOKUP(A329,Ingreso!AL:AM,2,FALSE),FALSE)/24,""))),"")=0,"",IFERROR(IF(C329=C327,0,IF(E329=E328,0,IF(C329=$R$2,HLOOKUP($R$2,Ingreso!$AW$10:$BC$260,VLOOKUP(A329,Ingreso!AL:AM,2,FALSE),FALSE)/24,""))),""))</f>
        <v/>
      </c>
      <c r="N329" s="95" t="str">
        <f>IF(IFERROR(IF(C329=C327,0,IF(E329=E328,0,IF(C329=$R$3,HLOOKUP($R$3,Ingreso!$AW$10:$BC$260,VLOOKUP(A329,Ingreso!AL:AM,2,FALSE),FALSE)/24,""))),"")=0,"",IFERROR(IF(C329=C327,0,IF(E329=E328,0,IF(C329=$R$3,HLOOKUP($R$3,Ingreso!$AW$10:$BC$260,VLOOKUP(A329,Ingreso!AL:AM,2,FALSE),FALSE)/24,""))),""))</f>
        <v/>
      </c>
      <c r="O329" s="95" t="str">
        <f>IF(IFERROR(IF(C329=C327,0,IF(E329=E328,0,IF(C329=$R$4,HLOOKUP($R$4,Ingreso!$AW$10:$BC$260,VLOOKUP(A329,Ingreso!AL:AM,2,FALSE),FALSE)/24,""))),"")=0,"",IFERROR(IF(C329=C327,0,IF(E329=E328,0,IF(C329=$R$4,HLOOKUP($R$4,Ingreso!$AW$10:$BC$260,VLOOKUP(A329,Ingreso!AL:AM,2,FALSE),FALSE)/24,""))),""))</f>
        <v/>
      </c>
      <c r="P329" s="90"/>
      <c r="T329" t="s">
        <v>1425</v>
      </c>
      <c r="U329" t="s">
        <v>4</v>
      </c>
      <c r="V329" t="s">
        <v>1400</v>
      </c>
      <c r="W329" s="82">
        <v>387</v>
      </c>
      <c r="X329" s="71">
        <v>0.3125</v>
      </c>
      <c r="Y329" s="101">
        <v>0.31753472222222223</v>
      </c>
      <c r="Z329" s="101">
        <v>0.67658564814814814</v>
      </c>
      <c r="AA329" s="101">
        <v>0.35905092592592591</v>
      </c>
      <c r="AB329" s="101">
        <v>4.6550925925925912E-2</v>
      </c>
      <c r="AC329" s="105">
        <v>0</v>
      </c>
      <c r="AD329" s="105">
        <v>0</v>
      </c>
      <c r="AE329" s="93">
        <v>0</v>
      </c>
      <c r="AF329" s="93">
        <v>0</v>
      </c>
      <c r="AG329" s="93">
        <v>0</v>
      </c>
    </row>
    <row r="330" spans="1:33">
      <c r="A330" s="65" t="str">
        <f>IFERROR(VLOOKUP('Informe Kelly'!A323,Base!A:B,2,FALSE),"")</f>
        <v>10.042.860-1</v>
      </c>
      <c r="B330" s="65" t="str">
        <f>IFERROR(VLOOKUP('Informe Kelly'!A323,Base!A:G,7,FALSE),"")</f>
        <v>QUIROGA GARCIA LUIS ABRAHAM</v>
      </c>
      <c r="C330" s="69" t="str">
        <f>IF(G330=$C$4,IF('Informe Kelly'!H323='Control informe Kelly'!$A$2,TEXT(((LEFT('Informe Kelly'!E323,2)*1)+1),"dd")&amp;"."&amp;MID('Informe Kelly'!E323,4,2)&amp;"."&amp;RIGHT('Informe Kelly'!E323,4),'Informe Kelly'!E323),'Informe Kelly'!E323)</f>
        <v>15.04.2011</v>
      </c>
      <c r="D330" s="69" t="str">
        <f>IF('Informe Kelly'!E323="","",'Informe Kelly'!E323)</f>
        <v>15.04.2011</v>
      </c>
      <c r="E330" s="72">
        <f t="shared" ref="E330:E393" si="11">IF(C329=C330,IF(C330=C327,E329,IF(C330=C328,E329+1,E329)),E329+1)</f>
        <v>165</v>
      </c>
      <c r="F330" s="72" t="str">
        <f>IFERROR(HLOOKUP(C330,Ingreso!$Q$8:$AD$9,2,FALSE),"v")</f>
        <v>Viernes</v>
      </c>
      <c r="G330" s="65" t="str">
        <f>IFERROR(VLOOKUP(A330,Ingreso!K:P,6,FALSE),"no esta ingresado")</f>
        <v>no esta ingresado</v>
      </c>
      <c r="H330" s="65" t="str">
        <f>IFERROR(IF('Informe Kelly'!H323=$A$2,'Informe Kelly'!F323,""),0)</f>
        <v/>
      </c>
      <c r="I330" s="65">
        <f>IFERROR(IF('Informe Kelly'!H323=$A$3,'Informe Kelly'!F323,""),0)</f>
        <v>0.64035879629629633</v>
      </c>
      <c r="J330" s="65" t="str">
        <f>IF(IFERROR(IF(E330=E329,0,(HLOOKUP(D330,Ingreso!$AN$10:$AT$260,VLOOKUP(A330,Ingreso!$AL$11:$AM$260,2,FALSE)))/24),0)=0,"",IFERROR(IF(E330=E329,0,(HLOOKUP(D330,Ingreso!$AN$10:$AT$260,VLOOKUP(A330,Ingreso!$AL$11:$AM$260,2,FALSE)))/24),0))</f>
        <v/>
      </c>
      <c r="K330" s="65" t="str">
        <f>IF(IFERROR(IF(E330=E329,0,(HLOOKUP(C330,Ingreso!$AW$10:$BC$260,VLOOKUP(A330,Ingreso!$AL$11:$AM$260,2,FALSE)))/24),0)=0,"",IFERROR(IF(E330=E329,0,(HLOOKUP(C330,Ingreso!$AW$10:$BC$260,VLOOKUP(A330,Ingreso!$AL$11:$AM$260,2,FALSE)))/24),0))</f>
        <v/>
      </c>
      <c r="L330" s="63" t="str">
        <f t="shared" si="10"/>
        <v/>
      </c>
      <c r="M330" s="63" t="str">
        <f>IF(IFERROR(IF(C330=C328,0,IF(E330=E329,0,IF(C330=$R$2,HLOOKUP($R$2,Ingreso!$AW$10:$BC$260,VLOOKUP(A330,Ingreso!AL:AM,2,FALSE),FALSE)/24,""))),"")=0,"",IFERROR(IF(C330=C328,0,IF(E330=E329,0,IF(C330=$R$2,HLOOKUP($R$2,Ingreso!$AW$10:$BC$260,VLOOKUP(A330,Ingreso!AL:AM,2,FALSE),FALSE)/24,""))),""))</f>
        <v/>
      </c>
      <c r="N330" s="95" t="str">
        <f>IF(IFERROR(IF(C330=C328,0,IF(E330=E329,0,IF(C330=$R$3,HLOOKUP($R$3,Ingreso!$AW$10:$BC$260,VLOOKUP(A330,Ingreso!AL:AM,2,FALSE),FALSE)/24,""))),"")=0,"",IFERROR(IF(C330=C328,0,IF(E330=E329,0,IF(C330=$R$3,HLOOKUP($R$3,Ingreso!$AW$10:$BC$260,VLOOKUP(A330,Ingreso!AL:AM,2,FALSE),FALSE)/24,""))),""))</f>
        <v/>
      </c>
      <c r="O330" s="95" t="str">
        <f>IF(IFERROR(IF(C330=C328,0,IF(E330=E329,0,IF(C330=$R$4,HLOOKUP($R$4,Ingreso!$AW$10:$BC$260,VLOOKUP(A330,Ingreso!AL:AM,2,FALSE),FALSE)/24,""))),"")=0,"",IFERROR(IF(C330=C328,0,IF(E330=E329,0,IF(C330=$R$4,HLOOKUP($R$4,Ingreso!$AW$10:$BC$260,VLOOKUP(A330,Ingreso!AL:AM,2,FALSE),FALSE)/24,""))),""))</f>
        <v/>
      </c>
      <c r="P330" s="90"/>
      <c r="T330" t="s">
        <v>1426</v>
      </c>
      <c r="U330" t="s">
        <v>4</v>
      </c>
      <c r="V330" t="s">
        <v>1401</v>
      </c>
      <c r="W330" s="82">
        <v>388</v>
      </c>
      <c r="X330" s="71">
        <v>0.3125</v>
      </c>
      <c r="Y330" s="101">
        <v>0.3197800925925926</v>
      </c>
      <c r="Z330" s="101">
        <v>0.65478009259259262</v>
      </c>
      <c r="AA330" s="101">
        <v>0.33500000000000002</v>
      </c>
      <c r="AB330" s="101">
        <v>2.250000000000002E-2</v>
      </c>
      <c r="AC330" s="105">
        <v>0</v>
      </c>
      <c r="AD330" s="105">
        <v>0</v>
      </c>
      <c r="AE330" s="93">
        <v>0</v>
      </c>
      <c r="AF330" s="93">
        <v>0</v>
      </c>
      <c r="AG330" s="93">
        <v>0</v>
      </c>
    </row>
    <row r="331" spans="1:33">
      <c r="A331" s="65" t="str">
        <f>IFERROR(VLOOKUP('Informe Kelly'!A324,Base!A:B,2,FALSE),"")</f>
        <v>10.042.860-1</v>
      </c>
      <c r="B331" s="65" t="str">
        <f>IFERROR(VLOOKUP('Informe Kelly'!A324,Base!A:G,7,FALSE),"")</f>
        <v>QUIROGA GARCIA LUIS ABRAHAM</v>
      </c>
      <c r="C331" s="69" t="str">
        <f>IF(G331=$C$4,IF('Informe Kelly'!H324='Control informe Kelly'!$A$2,TEXT(((LEFT('Informe Kelly'!E324,2)*1)+1),"dd")&amp;"."&amp;MID('Informe Kelly'!E324,4,2)&amp;"."&amp;RIGHT('Informe Kelly'!E324,4),'Informe Kelly'!E324),'Informe Kelly'!E324)</f>
        <v>15.04.2011</v>
      </c>
      <c r="D331" s="69" t="str">
        <f>IF('Informe Kelly'!E324="","",'Informe Kelly'!E324)</f>
        <v>15.04.2011</v>
      </c>
      <c r="E331" s="72">
        <f t="shared" si="11"/>
        <v>165</v>
      </c>
      <c r="F331" s="72" t="str">
        <f>IFERROR(HLOOKUP(C331,Ingreso!$Q$8:$AD$9,2,FALSE),"v")</f>
        <v>Viernes</v>
      </c>
      <c r="G331" s="65" t="str">
        <f>IFERROR(VLOOKUP(A331,Ingreso!K:P,6,FALSE),"no esta ingresado")</f>
        <v>no esta ingresado</v>
      </c>
      <c r="H331" s="65">
        <f>IFERROR(IF('Informe Kelly'!H324=$A$2,'Informe Kelly'!F324,""),0)</f>
        <v>0.29562499999999997</v>
      </c>
      <c r="I331" s="65" t="str">
        <f>IFERROR(IF('Informe Kelly'!H324=$A$3,'Informe Kelly'!F324,""),0)</f>
        <v/>
      </c>
      <c r="J331" s="65" t="str">
        <f>IF(IFERROR(IF(E331=E330,0,(HLOOKUP(D331,Ingreso!$AN$10:$AT$260,VLOOKUP(A331,Ingreso!$AL$11:$AM$260,2,FALSE)))/24),0)=0,"",IFERROR(IF(E331=E330,0,(HLOOKUP(D331,Ingreso!$AN$10:$AT$260,VLOOKUP(A331,Ingreso!$AL$11:$AM$260,2,FALSE)))/24),0))</f>
        <v/>
      </c>
      <c r="K331" s="65" t="str">
        <f>IF(IFERROR(IF(E331=E330,0,(HLOOKUP(C331,Ingreso!$AW$10:$BC$260,VLOOKUP(A331,Ingreso!$AL$11:$AM$260,2,FALSE)))/24),0)=0,"",IFERROR(IF(E331=E330,0,(HLOOKUP(C331,Ingreso!$AW$10:$BC$260,VLOOKUP(A331,Ingreso!$AL$11:$AM$260,2,FALSE)))/24),0))</f>
        <v/>
      </c>
      <c r="L331" s="63">
        <f t="shared" si="10"/>
        <v>0</v>
      </c>
      <c r="M331" s="63" t="str">
        <f>IF(IFERROR(IF(C331=C329,0,IF(E331=E330,0,IF(C331=$R$2,HLOOKUP($R$2,Ingreso!$AW$10:$BC$260,VLOOKUP(A331,Ingreso!AL:AM,2,FALSE),FALSE)/24,""))),"")=0,"",IFERROR(IF(C331=C329,0,IF(E331=E330,0,IF(C331=$R$2,HLOOKUP($R$2,Ingreso!$AW$10:$BC$260,VLOOKUP(A331,Ingreso!AL:AM,2,FALSE),FALSE)/24,""))),""))</f>
        <v/>
      </c>
      <c r="N331" s="95" t="str">
        <f>IF(IFERROR(IF(C331=C329,0,IF(E331=E330,0,IF(C331=$R$3,HLOOKUP($R$3,Ingreso!$AW$10:$BC$260,VLOOKUP(A331,Ingreso!AL:AM,2,FALSE),FALSE)/24,""))),"")=0,"",IFERROR(IF(C331=C329,0,IF(E331=E330,0,IF(C331=$R$3,HLOOKUP($R$3,Ingreso!$AW$10:$BC$260,VLOOKUP(A331,Ingreso!AL:AM,2,FALSE),FALSE)/24,""))),""))</f>
        <v/>
      </c>
      <c r="O331" s="95" t="str">
        <f>IF(IFERROR(IF(C331=C329,0,IF(E331=E330,0,IF(C331=$R$4,HLOOKUP($R$4,Ingreso!$AW$10:$BC$260,VLOOKUP(A331,Ingreso!AL:AM,2,FALSE),FALSE)/24,""))),"")=0,"",IFERROR(IF(C331=C329,0,IF(E331=E330,0,IF(C331=$R$4,HLOOKUP($R$4,Ingreso!$AW$10:$BC$260,VLOOKUP(A331,Ingreso!AL:AM,2,FALSE),FALSE)/24,""))),""))</f>
        <v/>
      </c>
      <c r="P331" s="90"/>
      <c r="T331" t="s">
        <v>1427</v>
      </c>
      <c r="U331" t="s">
        <v>4</v>
      </c>
      <c r="V331" t="s">
        <v>1402</v>
      </c>
      <c r="W331" s="82">
        <v>389</v>
      </c>
      <c r="X331" s="71">
        <v>0.3125</v>
      </c>
      <c r="Y331" s="101">
        <v>0.33626157407407403</v>
      </c>
      <c r="Z331" s="101">
        <v>0.55983796296296295</v>
      </c>
      <c r="AA331" s="101">
        <v>0.22357638888888892</v>
      </c>
      <c r="AB331" s="101">
        <v>-8.8923611111111078E-2</v>
      </c>
      <c r="AC331" s="105">
        <v>0</v>
      </c>
      <c r="AD331" s="105">
        <v>0</v>
      </c>
      <c r="AE331" s="93">
        <v>0</v>
      </c>
      <c r="AF331" s="93">
        <v>0</v>
      </c>
      <c r="AG331" s="93">
        <v>0</v>
      </c>
    </row>
    <row r="332" spans="1:33">
      <c r="A332" s="65" t="str">
        <f>IFERROR(VLOOKUP('Informe Kelly'!A325,Base!A:B,2,FALSE),"")</f>
        <v>10.042.860-1</v>
      </c>
      <c r="B332" s="65" t="str">
        <f>IFERROR(VLOOKUP('Informe Kelly'!A325,Base!A:G,7,FALSE),"")</f>
        <v>QUIROGA GARCIA LUIS ABRAHAM</v>
      </c>
      <c r="C332" s="69" t="str">
        <f>IF(G332=$C$4,IF('Informe Kelly'!H325='Control informe Kelly'!$A$2,TEXT(((LEFT('Informe Kelly'!E325,2)*1)+1),"dd")&amp;"."&amp;MID('Informe Kelly'!E325,4,2)&amp;"."&amp;RIGHT('Informe Kelly'!E325,4),'Informe Kelly'!E325),'Informe Kelly'!E325)</f>
        <v>16.04.2011</v>
      </c>
      <c r="D332" s="69" t="str">
        <f>IF('Informe Kelly'!E325="","",'Informe Kelly'!E325)</f>
        <v>16.04.2011</v>
      </c>
      <c r="E332" s="72">
        <f t="shared" si="11"/>
        <v>166</v>
      </c>
      <c r="F332" s="72" t="str">
        <f>IFERROR(HLOOKUP(C332,Ingreso!$Q$8:$AD$9,2,FALSE),"v")</f>
        <v>Sábado</v>
      </c>
      <c r="G332" s="65" t="str">
        <f>IFERROR(VLOOKUP(A332,Ingreso!K:P,6,FALSE),"no esta ingresado")</f>
        <v>no esta ingresado</v>
      </c>
      <c r="H332" s="65" t="str">
        <f>IFERROR(IF('Informe Kelly'!H325=$A$2,'Informe Kelly'!F325,""),0)</f>
        <v/>
      </c>
      <c r="I332" s="65">
        <f>IFERROR(IF('Informe Kelly'!H325=$A$3,'Informe Kelly'!F325,""),0)</f>
        <v>0.64041666666666663</v>
      </c>
      <c r="J332" s="65" t="str">
        <f>IF(IFERROR(IF(E332=E331,0,(HLOOKUP(D332,Ingreso!$AN$10:$AT$260,VLOOKUP(A332,Ingreso!$AL$11:$AM$260,2,FALSE)))/24),0)=0,"",IFERROR(IF(E332=E331,0,(HLOOKUP(D332,Ingreso!$AN$10:$AT$260,VLOOKUP(A332,Ingreso!$AL$11:$AM$260,2,FALSE)))/24),0))</f>
        <v/>
      </c>
      <c r="K332" s="65" t="str">
        <f>IF(IFERROR(IF(E332=E331,0,(HLOOKUP(C332,Ingreso!$AW$10:$BC$260,VLOOKUP(A332,Ingreso!$AL$11:$AM$260,2,FALSE)))/24),0)=0,"",IFERROR(IF(E332=E331,0,(HLOOKUP(C332,Ingreso!$AW$10:$BC$260,VLOOKUP(A332,Ingreso!$AL$11:$AM$260,2,FALSE)))/24),0))</f>
        <v/>
      </c>
      <c r="L332" s="63" t="str">
        <f t="shared" si="10"/>
        <v/>
      </c>
      <c r="M332" s="63" t="str">
        <f>IF(IFERROR(IF(C332=C330,0,IF(E332=E331,0,IF(C332=$R$2,HLOOKUP($R$2,Ingreso!$AW$10:$BC$260,VLOOKUP(A332,Ingreso!AL:AM,2,FALSE),FALSE)/24,""))),"")=0,"",IFERROR(IF(C332=C330,0,IF(E332=E331,0,IF(C332=$R$2,HLOOKUP($R$2,Ingreso!$AW$10:$BC$260,VLOOKUP(A332,Ingreso!AL:AM,2,FALSE),FALSE)/24,""))),""))</f>
        <v/>
      </c>
      <c r="N332" s="95" t="str">
        <f>IF(IFERROR(IF(C332=C330,0,IF(E332=E331,0,IF(C332=$R$3,HLOOKUP($R$3,Ingreso!$AW$10:$BC$260,VLOOKUP(A332,Ingreso!AL:AM,2,FALSE),FALSE)/24,""))),"")=0,"",IFERROR(IF(C332=C330,0,IF(E332=E331,0,IF(C332=$R$3,HLOOKUP($R$3,Ingreso!$AW$10:$BC$260,VLOOKUP(A332,Ingreso!AL:AM,2,FALSE),FALSE)/24,""))),""))</f>
        <v/>
      </c>
      <c r="O332" s="95" t="str">
        <f>IF(IFERROR(IF(C332=C330,0,IF(E332=E331,0,IF(C332=$R$4,HLOOKUP($R$4,Ingreso!$AW$10:$BC$260,VLOOKUP(A332,Ingreso!AL:AM,2,FALSE),FALSE)/24,""))),"")=0,"",IFERROR(IF(C332=C330,0,IF(E332=E331,0,IF(C332=$R$4,HLOOKUP($R$4,Ingreso!$AW$10:$BC$260,VLOOKUP(A332,Ingreso!AL:AM,2,FALSE),FALSE)/24,""))),""))</f>
        <v/>
      </c>
      <c r="P332" s="90"/>
      <c r="R332" t="s">
        <v>301</v>
      </c>
      <c r="S332" t="s">
        <v>306</v>
      </c>
      <c r="T332" t="s">
        <v>1423</v>
      </c>
      <c r="U332" t="s">
        <v>1324</v>
      </c>
      <c r="V332" t="s">
        <v>1398</v>
      </c>
      <c r="W332" s="82">
        <v>397</v>
      </c>
      <c r="X332" s="71">
        <v>0.375</v>
      </c>
      <c r="Y332" s="101">
        <v>0.92061342592592599</v>
      </c>
      <c r="Z332" s="101">
        <v>0.3177314814814815</v>
      </c>
      <c r="AA332" s="101">
        <v>0.39711805555555557</v>
      </c>
      <c r="AB332" s="101">
        <v>2.2118055555555571E-2</v>
      </c>
      <c r="AC332" s="105">
        <v>0</v>
      </c>
      <c r="AD332" s="105">
        <v>0</v>
      </c>
      <c r="AE332" s="93">
        <v>0</v>
      </c>
      <c r="AF332" s="93">
        <v>0</v>
      </c>
      <c r="AG332" s="93">
        <v>0</v>
      </c>
    </row>
    <row r="333" spans="1:33">
      <c r="A333" s="65" t="str">
        <f>IFERROR(VLOOKUP('Informe Kelly'!A326,Base!A:B,2,FALSE),"")</f>
        <v>10.042.860-1</v>
      </c>
      <c r="B333" s="65" t="str">
        <f>IFERROR(VLOOKUP('Informe Kelly'!A326,Base!A:G,7,FALSE),"")</f>
        <v>QUIROGA GARCIA LUIS ABRAHAM</v>
      </c>
      <c r="C333" s="69" t="str">
        <f>IF(G333=$C$4,IF('Informe Kelly'!H326='Control informe Kelly'!$A$2,TEXT(((LEFT('Informe Kelly'!E326,2)*1)+1),"dd")&amp;"."&amp;MID('Informe Kelly'!E326,4,2)&amp;"."&amp;RIGHT('Informe Kelly'!E326,4),'Informe Kelly'!E326),'Informe Kelly'!E326)</f>
        <v>16.04.2011</v>
      </c>
      <c r="D333" s="69" t="str">
        <f>IF('Informe Kelly'!E326="","",'Informe Kelly'!E326)</f>
        <v>16.04.2011</v>
      </c>
      <c r="E333" s="72">
        <f t="shared" si="11"/>
        <v>166</v>
      </c>
      <c r="F333" s="72" t="str">
        <f>IFERROR(HLOOKUP(C333,Ingreso!$Q$8:$AD$9,2,FALSE),"v")</f>
        <v>Sábado</v>
      </c>
      <c r="G333" s="65" t="str">
        <f>IFERROR(VLOOKUP(A333,Ingreso!K:P,6,FALSE),"no esta ingresado")</f>
        <v>no esta ingresado</v>
      </c>
      <c r="H333" s="65">
        <f>IFERROR(IF('Informe Kelly'!H326=$A$2,'Informe Kelly'!F326,""),0)</f>
        <v>0.29461805555555559</v>
      </c>
      <c r="I333" s="65" t="str">
        <f>IFERROR(IF('Informe Kelly'!H326=$A$3,'Informe Kelly'!F326,""),0)</f>
        <v/>
      </c>
      <c r="J333" s="65" t="str">
        <f>IF(IFERROR(IF(E333=E332,0,(HLOOKUP(D333,Ingreso!$AN$10:$AT$260,VLOOKUP(A333,Ingreso!$AL$11:$AM$260,2,FALSE)))/24),0)=0,"",IFERROR(IF(E333=E332,0,(HLOOKUP(D333,Ingreso!$AN$10:$AT$260,VLOOKUP(A333,Ingreso!$AL$11:$AM$260,2,FALSE)))/24),0))</f>
        <v/>
      </c>
      <c r="K333" s="65" t="str">
        <f>IF(IFERROR(IF(E333=E332,0,(HLOOKUP(C333,Ingreso!$AW$10:$BC$260,VLOOKUP(A333,Ingreso!$AL$11:$AM$260,2,FALSE)))/24),0)=0,"",IFERROR(IF(E333=E332,0,(HLOOKUP(C333,Ingreso!$AW$10:$BC$260,VLOOKUP(A333,Ingreso!$AL$11:$AM$260,2,FALSE)))/24),0))</f>
        <v/>
      </c>
      <c r="L333" s="63">
        <f t="shared" si="10"/>
        <v>0</v>
      </c>
      <c r="M333" s="63" t="str">
        <f>IF(IFERROR(IF(C333=C331,0,IF(E333=E332,0,IF(C333=$R$2,HLOOKUP($R$2,Ingreso!$AW$10:$BC$260,VLOOKUP(A333,Ingreso!AL:AM,2,FALSE),FALSE)/24,""))),"")=0,"",IFERROR(IF(C333=C331,0,IF(E333=E332,0,IF(C333=$R$2,HLOOKUP($R$2,Ingreso!$AW$10:$BC$260,VLOOKUP(A333,Ingreso!AL:AM,2,FALSE),FALSE)/24,""))),""))</f>
        <v/>
      </c>
      <c r="N333" s="95" t="str">
        <f>IF(IFERROR(IF(C333=C331,0,IF(E333=E332,0,IF(C333=$R$3,HLOOKUP($R$3,Ingreso!$AW$10:$BC$260,VLOOKUP(A333,Ingreso!AL:AM,2,FALSE),FALSE)/24,""))),"")=0,"",IFERROR(IF(C333=C331,0,IF(E333=E332,0,IF(C333=$R$3,HLOOKUP($R$3,Ingreso!$AW$10:$BC$260,VLOOKUP(A333,Ingreso!AL:AM,2,FALSE),FALSE)/24,""))),""))</f>
        <v/>
      </c>
      <c r="O333" s="95" t="str">
        <f>IF(IFERROR(IF(C333=C331,0,IF(E333=E332,0,IF(C333=$R$4,HLOOKUP($R$4,Ingreso!$AW$10:$BC$260,VLOOKUP(A333,Ingreso!AL:AM,2,FALSE),FALSE)/24,""))),"")=0,"",IFERROR(IF(C333=C331,0,IF(E333=E332,0,IF(C333=$R$4,HLOOKUP($R$4,Ingreso!$AW$10:$BC$260,VLOOKUP(A333,Ingreso!AL:AM,2,FALSE),FALSE)/24,""))),""))</f>
        <v/>
      </c>
      <c r="P333" s="90"/>
      <c r="T333" t="s">
        <v>1424</v>
      </c>
      <c r="U333" t="s">
        <v>1324</v>
      </c>
      <c r="V333" t="s">
        <v>1399</v>
      </c>
      <c r="W333" s="82">
        <v>398</v>
      </c>
      <c r="X333" s="71">
        <v>0.375</v>
      </c>
      <c r="Y333" s="101">
        <v>0.92034722222222232</v>
      </c>
      <c r="Z333" s="101">
        <v>0.32197916666666665</v>
      </c>
      <c r="AA333" s="101">
        <v>0.40163194444444439</v>
      </c>
      <c r="AB333" s="101">
        <v>2.6631944444444389E-2</v>
      </c>
      <c r="AC333" s="105">
        <v>0</v>
      </c>
      <c r="AD333" s="105">
        <v>0</v>
      </c>
      <c r="AE333" s="93">
        <v>0</v>
      </c>
      <c r="AF333" s="93">
        <v>0</v>
      </c>
      <c r="AG333" s="93">
        <v>0</v>
      </c>
    </row>
    <row r="334" spans="1:33" ht="12.75" customHeight="1">
      <c r="A334" s="65" t="str">
        <f>IFERROR(VLOOKUP('Informe Kelly'!A327,Base!A:B,2,FALSE),"")</f>
        <v>10.116.815-8</v>
      </c>
      <c r="B334" s="65" t="str">
        <f>IFERROR(VLOOKUP('Informe Kelly'!A327,Base!A:G,7,FALSE),"")</f>
        <v>BUSTOS JARA TERESA DE LAS NIEVES</v>
      </c>
      <c r="C334" s="69" t="str">
        <f>IF(G334=$C$4,IF('Informe Kelly'!H327='Control informe Kelly'!$A$2,TEXT(((LEFT('Informe Kelly'!E327,2)*1)+1),"dd")&amp;"."&amp;MID('Informe Kelly'!E327,4,2)&amp;"."&amp;RIGHT('Informe Kelly'!E327,4),'Informe Kelly'!E327),'Informe Kelly'!E327)</f>
        <v>11.04.2011</v>
      </c>
      <c r="D334" s="69" t="str">
        <f>IF('Informe Kelly'!E327="","",'Informe Kelly'!E327)</f>
        <v>11.04.2011</v>
      </c>
      <c r="E334" s="72">
        <f t="shared" si="11"/>
        <v>167</v>
      </c>
      <c r="F334" s="72" t="str">
        <f>IFERROR(HLOOKUP(C334,Ingreso!$Q$8:$AD$9,2,FALSE),"v")</f>
        <v>Lunes</v>
      </c>
      <c r="G334" s="65" t="str">
        <f>IFERROR(VLOOKUP(A334,Ingreso!K:P,6,FALSE),"no esta ingresado")</f>
        <v>Turno A</v>
      </c>
      <c r="H334" s="65" t="str">
        <f>IFERROR(IF('Informe Kelly'!H327=$A$2,'Informe Kelly'!F327,""),0)</f>
        <v/>
      </c>
      <c r="I334" s="65">
        <f>IFERROR(IF('Informe Kelly'!H327=$A$3,'Informe Kelly'!F327,""),0)</f>
        <v>0.63207175925925929</v>
      </c>
      <c r="J334" s="65" t="str">
        <f>IF(IFERROR(IF(E334=E333,0,(HLOOKUP(D334,Ingreso!$AN$10:$AT$260,VLOOKUP(A334,Ingreso!$AL$11:$AM$260,2,FALSE)))/24),0)=0,"",IFERROR(IF(E334=E333,0,(HLOOKUP(D334,Ingreso!$AN$10:$AT$260,VLOOKUP(A334,Ingreso!$AL$11:$AM$260,2,FALSE)))/24),0))</f>
        <v/>
      </c>
      <c r="K334" s="65" t="str">
        <f>IF(IFERROR(IF(E334=E333,0,(HLOOKUP(C334,Ingreso!$AW$10:$BC$260,VLOOKUP(A334,Ingreso!$AL$11:$AM$260,2,FALSE)))/24),0)=0,"",IFERROR(IF(E334=E333,0,(HLOOKUP(C334,Ingreso!$AW$10:$BC$260,VLOOKUP(A334,Ingreso!$AL$11:$AM$260,2,FALSE)))/24),0))</f>
        <v/>
      </c>
      <c r="L334" s="63">
        <f t="shared" si="10"/>
        <v>0.3125</v>
      </c>
      <c r="M334" s="63" t="str">
        <f>IF(IFERROR(IF(C334=C332,0,IF(E334=E333,0,IF(C334=$R$2,HLOOKUP($R$2,Ingreso!$AW$10:$BC$260,VLOOKUP(A334,Ingreso!AL:AM,2,FALSE),FALSE)/24,""))),"")=0,"",IFERROR(IF(C334=C332,0,IF(E334=E333,0,IF(C334=$R$2,HLOOKUP($R$2,Ingreso!$AW$10:$BC$260,VLOOKUP(A334,Ingreso!AL:AM,2,FALSE),FALSE)/24,""))),""))</f>
        <v/>
      </c>
      <c r="N334" s="95" t="str">
        <f>IF(IFERROR(IF(C334=C332,0,IF(E334=E333,0,IF(C334=$R$3,HLOOKUP($R$3,Ingreso!$AW$10:$BC$260,VLOOKUP(A334,Ingreso!AL:AM,2,FALSE),FALSE)/24,""))),"")=0,"",IFERROR(IF(C334=C332,0,IF(E334=E333,0,IF(C334=$R$3,HLOOKUP($R$3,Ingreso!$AW$10:$BC$260,VLOOKUP(A334,Ingreso!AL:AM,2,FALSE),FALSE)/24,""))),""))</f>
        <v/>
      </c>
      <c r="O334" s="95" t="str">
        <f>IF(IFERROR(IF(C334=C332,0,IF(E334=E333,0,IF(C334=$R$4,HLOOKUP($R$4,Ingreso!$AW$10:$BC$260,VLOOKUP(A334,Ingreso!AL:AM,2,FALSE),FALSE)/24,""))),"")=0,"",IFERROR(IF(C334=C332,0,IF(E334=E333,0,IF(C334=$R$4,HLOOKUP($R$4,Ingreso!$AW$10:$BC$260,VLOOKUP(A334,Ingreso!AL:AM,2,FALSE),FALSE)/24,""))),""))</f>
        <v/>
      </c>
      <c r="P334" s="90"/>
      <c r="T334" t="s">
        <v>1425</v>
      </c>
      <c r="U334" t="s">
        <v>1324</v>
      </c>
      <c r="V334" t="s">
        <v>1400</v>
      </c>
      <c r="W334" s="82">
        <v>399</v>
      </c>
      <c r="X334" s="71">
        <v>0.375</v>
      </c>
      <c r="Y334" s="101">
        <v>0.91972222222222222</v>
      </c>
      <c r="Z334" s="101">
        <v>0.31783564814814813</v>
      </c>
      <c r="AA334" s="101">
        <v>0.39811342592592591</v>
      </c>
      <c r="AB334" s="101">
        <v>2.3113425925925912E-2</v>
      </c>
      <c r="AC334" s="105">
        <v>0</v>
      </c>
      <c r="AD334" s="105">
        <v>0</v>
      </c>
      <c r="AE334" s="93">
        <v>0</v>
      </c>
      <c r="AF334" s="93">
        <v>0</v>
      </c>
      <c r="AG334" s="93">
        <v>0</v>
      </c>
    </row>
    <row r="335" spans="1:33">
      <c r="A335" s="65" t="str">
        <f>IFERROR(VLOOKUP('Informe Kelly'!A328,Base!A:B,2,FALSE),"")</f>
        <v>10.116.815-8</v>
      </c>
      <c r="B335" s="65" t="str">
        <f>IFERROR(VLOOKUP('Informe Kelly'!A328,Base!A:G,7,FALSE),"")</f>
        <v>BUSTOS JARA TERESA DE LAS NIEVES</v>
      </c>
      <c r="C335" s="69" t="str">
        <f>IF(G335=$C$4,IF('Informe Kelly'!H328='Control informe Kelly'!$A$2,TEXT(((LEFT('Informe Kelly'!E328,2)*1)+1),"dd")&amp;"."&amp;MID('Informe Kelly'!E328,4,2)&amp;"."&amp;RIGHT('Informe Kelly'!E328,4),'Informe Kelly'!E328),'Informe Kelly'!E328)</f>
        <v>11.04.2011</v>
      </c>
      <c r="D335" s="69" t="str">
        <f>IF('Informe Kelly'!E328="","",'Informe Kelly'!E328)</f>
        <v>11.04.2011</v>
      </c>
      <c r="E335" s="72">
        <f t="shared" si="11"/>
        <v>167</v>
      </c>
      <c r="F335" s="72" t="str">
        <f>IFERROR(HLOOKUP(C335,Ingreso!$Q$8:$AD$9,2,FALSE),"v")</f>
        <v>Lunes</v>
      </c>
      <c r="G335" s="65" t="str">
        <f>IFERROR(VLOOKUP(A335,Ingreso!K:P,6,FALSE),"no esta ingresado")</f>
        <v>Turno A</v>
      </c>
      <c r="H335" s="65">
        <f>IFERROR(IF('Informe Kelly'!H328=$A$2,'Informe Kelly'!F328,""),0)</f>
        <v>0.29061342592592593</v>
      </c>
      <c r="I335" s="65" t="str">
        <f>IFERROR(IF('Informe Kelly'!H328=$A$3,'Informe Kelly'!F328,""),0)</f>
        <v/>
      </c>
      <c r="J335" s="65" t="str">
        <f>IF(IFERROR(IF(E335=E334,0,(HLOOKUP(D335,Ingreso!$AN$10:$AT$260,VLOOKUP(A335,Ingreso!$AL$11:$AM$260,2,FALSE)))/24),0)=0,"",IFERROR(IF(E335=E334,0,(HLOOKUP(D335,Ingreso!$AN$10:$AT$260,VLOOKUP(A335,Ingreso!$AL$11:$AM$260,2,FALSE)))/24),0))</f>
        <v/>
      </c>
      <c r="K335" s="65" t="str">
        <f>IF(IFERROR(IF(E335=E334,0,(HLOOKUP(C335,Ingreso!$AW$10:$BC$260,VLOOKUP(A335,Ingreso!$AL$11:$AM$260,2,FALSE)))/24),0)=0,"",IFERROR(IF(E335=E334,0,(HLOOKUP(C335,Ingreso!$AW$10:$BC$260,VLOOKUP(A335,Ingreso!$AL$11:$AM$260,2,FALSE)))/24),0))</f>
        <v/>
      </c>
      <c r="L335" s="63">
        <f t="shared" si="10"/>
        <v>0</v>
      </c>
      <c r="M335" s="63" t="str">
        <f>IF(IFERROR(IF(C335=C333,0,IF(E335=E334,0,IF(C335=$R$2,HLOOKUP($R$2,Ingreso!$AW$10:$BC$260,VLOOKUP(A335,Ingreso!AL:AM,2,FALSE),FALSE)/24,""))),"")=0,"",IFERROR(IF(C335=C333,0,IF(E335=E334,0,IF(C335=$R$2,HLOOKUP($R$2,Ingreso!$AW$10:$BC$260,VLOOKUP(A335,Ingreso!AL:AM,2,FALSE),FALSE)/24,""))),""))</f>
        <v/>
      </c>
      <c r="N335" s="95" t="str">
        <f>IF(IFERROR(IF(C335=C333,0,IF(E335=E334,0,IF(C335=$R$3,HLOOKUP($R$3,Ingreso!$AW$10:$BC$260,VLOOKUP(A335,Ingreso!AL:AM,2,FALSE),FALSE)/24,""))),"")=0,"",IFERROR(IF(C335=C333,0,IF(E335=E334,0,IF(C335=$R$3,HLOOKUP($R$3,Ingreso!$AW$10:$BC$260,VLOOKUP(A335,Ingreso!AL:AM,2,FALSE),FALSE)/24,""))),""))</f>
        <v/>
      </c>
      <c r="O335" s="95" t="str">
        <f>IF(IFERROR(IF(C335=C333,0,IF(E335=E334,0,IF(C335=$R$4,HLOOKUP($R$4,Ingreso!$AW$10:$BC$260,VLOOKUP(A335,Ingreso!AL:AM,2,FALSE),FALSE)/24,""))),"")=0,"",IFERROR(IF(C335=C333,0,IF(E335=E334,0,IF(C335=$R$4,HLOOKUP($R$4,Ingreso!$AW$10:$BC$260,VLOOKUP(A335,Ingreso!AL:AM,2,FALSE),FALSE)/24,""))),""))</f>
        <v/>
      </c>
      <c r="P335" s="90"/>
      <c r="T335" t="s">
        <v>1426</v>
      </c>
      <c r="U335" t="s">
        <v>1324</v>
      </c>
      <c r="V335" t="s">
        <v>1401</v>
      </c>
      <c r="W335" s="82">
        <v>400</v>
      </c>
      <c r="X335" s="71">
        <v>0.375</v>
      </c>
      <c r="Y335" s="101">
        <v>0.92179398148148151</v>
      </c>
      <c r="Z335" s="101">
        <v>0.31498842592592591</v>
      </c>
      <c r="AA335" s="101">
        <v>0.3931944444444444</v>
      </c>
      <c r="AB335" s="101">
        <v>1.8194444444444402E-2</v>
      </c>
      <c r="AC335" s="105">
        <v>0</v>
      </c>
      <c r="AD335" s="105">
        <v>0</v>
      </c>
      <c r="AE335" s="93">
        <v>0</v>
      </c>
      <c r="AF335" s="93">
        <v>0</v>
      </c>
      <c r="AG335" s="93">
        <v>0</v>
      </c>
    </row>
    <row r="336" spans="1:33">
      <c r="A336" s="65" t="str">
        <f>IFERROR(VLOOKUP('Informe Kelly'!A329,Base!A:B,2,FALSE),"")</f>
        <v>10.116.815-8</v>
      </c>
      <c r="B336" s="65" t="str">
        <f>IFERROR(VLOOKUP('Informe Kelly'!A329,Base!A:G,7,FALSE),"")</f>
        <v>BUSTOS JARA TERESA DE LAS NIEVES</v>
      </c>
      <c r="C336" s="69" t="str">
        <f>IF(G336=$C$4,IF('Informe Kelly'!H329='Control informe Kelly'!$A$2,TEXT(((LEFT('Informe Kelly'!E329,2)*1)+1),"dd")&amp;"."&amp;MID('Informe Kelly'!E329,4,2)&amp;"."&amp;RIGHT('Informe Kelly'!E329,4),'Informe Kelly'!E329),'Informe Kelly'!E329)</f>
        <v>12.04.2011</v>
      </c>
      <c r="D336" s="69" t="str">
        <f>IF('Informe Kelly'!E329="","",'Informe Kelly'!E329)</f>
        <v>12.04.2011</v>
      </c>
      <c r="E336" s="72">
        <f t="shared" si="11"/>
        <v>168</v>
      </c>
      <c r="F336" s="72" t="str">
        <f>IFERROR(HLOOKUP(C336,Ingreso!$Q$8:$AD$9,2,FALSE),"v")</f>
        <v>Martes</v>
      </c>
      <c r="G336" s="65" t="str">
        <f>IFERROR(VLOOKUP(A336,Ingreso!K:P,6,FALSE),"no esta ingresado")</f>
        <v>Turno A</v>
      </c>
      <c r="H336" s="65" t="str">
        <f>IFERROR(IF('Informe Kelly'!H329=$A$2,'Informe Kelly'!F329,""),0)</f>
        <v/>
      </c>
      <c r="I336" s="65">
        <f>IFERROR(IF('Informe Kelly'!H329=$A$3,'Informe Kelly'!F329,""),0)</f>
        <v>0.6341782407407407</v>
      </c>
      <c r="J336" s="65" t="str">
        <f>IF(IFERROR(IF(E336=E335,0,(HLOOKUP(D336,Ingreso!$AN$10:$AT$260,VLOOKUP(A336,Ingreso!$AL$11:$AM$260,2,FALSE)))/24),0)=0,"",IFERROR(IF(E336=E335,0,(HLOOKUP(D336,Ingreso!$AN$10:$AT$260,VLOOKUP(A336,Ingreso!$AL$11:$AM$260,2,FALSE)))/24),0))</f>
        <v/>
      </c>
      <c r="K336" s="65" t="str">
        <f>IF(IFERROR(IF(E336=E335,0,(HLOOKUP(C336,Ingreso!$AW$10:$BC$260,VLOOKUP(A336,Ingreso!$AL$11:$AM$260,2,FALSE)))/24),0)=0,"",IFERROR(IF(E336=E335,0,(HLOOKUP(C336,Ingreso!$AW$10:$BC$260,VLOOKUP(A336,Ingreso!$AL$11:$AM$260,2,FALSE)))/24),0))</f>
        <v/>
      </c>
      <c r="L336" s="63">
        <f t="shared" si="10"/>
        <v>0.3125</v>
      </c>
      <c r="M336" s="63" t="str">
        <f>IF(IFERROR(IF(C336=C334,0,IF(E336=E335,0,IF(C336=$R$2,HLOOKUP($R$2,Ingreso!$AW$10:$BC$260,VLOOKUP(A336,Ingreso!AL:AM,2,FALSE),FALSE)/24,""))),"")=0,"",IFERROR(IF(C336=C334,0,IF(E336=E335,0,IF(C336=$R$2,HLOOKUP($R$2,Ingreso!$AW$10:$BC$260,VLOOKUP(A336,Ingreso!AL:AM,2,FALSE),FALSE)/24,""))),""))</f>
        <v/>
      </c>
      <c r="N336" s="95" t="str">
        <f>IF(IFERROR(IF(C336=C334,0,IF(E336=E335,0,IF(C336=$R$3,HLOOKUP($R$3,Ingreso!$AW$10:$BC$260,VLOOKUP(A336,Ingreso!AL:AM,2,FALSE),FALSE)/24,""))),"")=0,"",IFERROR(IF(C336=C334,0,IF(E336=E335,0,IF(C336=$R$3,HLOOKUP($R$3,Ingreso!$AW$10:$BC$260,VLOOKUP(A336,Ingreso!AL:AM,2,FALSE),FALSE)/24,""))),""))</f>
        <v/>
      </c>
      <c r="O336" s="95" t="str">
        <f>IF(IFERROR(IF(C336=C334,0,IF(E336=E335,0,IF(C336=$R$4,HLOOKUP($R$4,Ingreso!$AW$10:$BC$260,VLOOKUP(A336,Ingreso!AL:AM,2,FALSE),FALSE)/24,""))),"")=0,"",IFERROR(IF(C336=C334,0,IF(E336=E335,0,IF(C336=$R$4,HLOOKUP($R$4,Ingreso!$AW$10:$BC$260,VLOOKUP(A336,Ingreso!AL:AM,2,FALSE),FALSE)/24,""))),""))</f>
        <v/>
      </c>
      <c r="P336" s="90"/>
      <c r="T336" t="s">
        <v>1427</v>
      </c>
      <c r="U336" t="s">
        <v>1324</v>
      </c>
      <c r="V336" t="s">
        <v>1402</v>
      </c>
      <c r="W336" s="82">
        <v>401</v>
      </c>
      <c r="X336" s="71">
        <v>0.375</v>
      </c>
      <c r="Y336" s="101">
        <v>0.92148148148148146</v>
      </c>
      <c r="Z336" s="101">
        <v>0.31837962962962962</v>
      </c>
      <c r="AA336" s="101">
        <v>0.39689814814814817</v>
      </c>
      <c r="AB336" s="101">
        <v>2.1898148148148167E-2</v>
      </c>
      <c r="AC336" s="105">
        <v>0</v>
      </c>
      <c r="AD336" s="105">
        <v>0</v>
      </c>
      <c r="AE336" s="93">
        <v>0</v>
      </c>
      <c r="AF336" s="93">
        <v>0</v>
      </c>
      <c r="AG336" s="93">
        <v>0</v>
      </c>
    </row>
    <row r="337" spans="1:33">
      <c r="A337" s="65" t="str">
        <f>IFERROR(VLOOKUP('Informe Kelly'!A330,Base!A:B,2,FALSE),"")</f>
        <v>10.116.815-8</v>
      </c>
      <c r="B337" s="65" t="str">
        <f>IFERROR(VLOOKUP('Informe Kelly'!A330,Base!A:G,7,FALSE),"")</f>
        <v>BUSTOS JARA TERESA DE LAS NIEVES</v>
      </c>
      <c r="C337" s="69" t="str">
        <f>IF(G337=$C$4,IF('Informe Kelly'!H330='Control informe Kelly'!$A$2,TEXT(((LEFT('Informe Kelly'!E330,2)*1)+1),"dd")&amp;"."&amp;MID('Informe Kelly'!E330,4,2)&amp;"."&amp;RIGHT('Informe Kelly'!E330,4),'Informe Kelly'!E330),'Informe Kelly'!E330)</f>
        <v>12.04.2011</v>
      </c>
      <c r="D337" s="69" t="str">
        <f>IF('Informe Kelly'!E330="","",'Informe Kelly'!E330)</f>
        <v>12.04.2011</v>
      </c>
      <c r="E337" s="72">
        <f t="shared" si="11"/>
        <v>168</v>
      </c>
      <c r="F337" s="72" t="str">
        <f>IFERROR(HLOOKUP(C337,Ingreso!$Q$8:$AD$9,2,FALSE),"v")</f>
        <v>Martes</v>
      </c>
      <c r="G337" s="65" t="str">
        <f>IFERROR(VLOOKUP(A337,Ingreso!K:P,6,FALSE),"no esta ingresado")</f>
        <v>Turno A</v>
      </c>
      <c r="H337" s="65">
        <f>IFERROR(IF('Informe Kelly'!H330=$A$2,'Informe Kelly'!F330,""),0)</f>
        <v>0.29063657407407406</v>
      </c>
      <c r="I337" s="65" t="str">
        <f>IFERROR(IF('Informe Kelly'!H330=$A$3,'Informe Kelly'!F330,""),0)</f>
        <v/>
      </c>
      <c r="J337" s="65" t="str">
        <f>IF(IFERROR(IF(E337=E336,0,(HLOOKUP(D337,Ingreso!$AN$10:$AT$260,VLOOKUP(A337,Ingreso!$AL$11:$AM$260,2,FALSE)))/24),0)=0,"",IFERROR(IF(E337=E336,0,(HLOOKUP(D337,Ingreso!$AN$10:$AT$260,VLOOKUP(A337,Ingreso!$AL$11:$AM$260,2,FALSE)))/24),0))</f>
        <v/>
      </c>
      <c r="K337" s="65" t="str">
        <f>IF(IFERROR(IF(E337=E336,0,(HLOOKUP(C337,Ingreso!$AW$10:$BC$260,VLOOKUP(A337,Ingreso!$AL$11:$AM$260,2,FALSE)))/24),0)=0,"",IFERROR(IF(E337=E336,0,(HLOOKUP(C337,Ingreso!$AW$10:$BC$260,VLOOKUP(A337,Ingreso!$AL$11:$AM$260,2,FALSE)))/24),0))</f>
        <v/>
      </c>
      <c r="L337" s="63">
        <f t="shared" si="10"/>
        <v>0</v>
      </c>
      <c r="M337" s="63" t="str">
        <f>IF(IFERROR(IF(C337=C335,0,IF(E337=E336,0,IF(C337=$R$2,HLOOKUP($R$2,Ingreso!$AW$10:$BC$260,VLOOKUP(A337,Ingreso!AL:AM,2,FALSE),FALSE)/24,""))),"")=0,"",IFERROR(IF(C337=C335,0,IF(E337=E336,0,IF(C337=$R$2,HLOOKUP($R$2,Ingreso!$AW$10:$BC$260,VLOOKUP(A337,Ingreso!AL:AM,2,FALSE),FALSE)/24,""))),""))</f>
        <v/>
      </c>
      <c r="N337" s="95" t="str">
        <f>IF(IFERROR(IF(C337=C335,0,IF(E337=E336,0,IF(C337=$R$3,HLOOKUP($R$3,Ingreso!$AW$10:$BC$260,VLOOKUP(A337,Ingreso!AL:AM,2,FALSE),FALSE)/24,""))),"")=0,"",IFERROR(IF(C337=C335,0,IF(E337=E336,0,IF(C337=$R$3,HLOOKUP($R$3,Ingreso!$AW$10:$BC$260,VLOOKUP(A337,Ingreso!AL:AM,2,FALSE),FALSE)/24,""))),""))</f>
        <v/>
      </c>
      <c r="O337" s="95" t="str">
        <f>IF(IFERROR(IF(C337=C335,0,IF(E337=E336,0,IF(C337=$R$4,HLOOKUP($R$4,Ingreso!$AW$10:$BC$260,VLOOKUP(A337,Ingreso!AL:AM,2,FALSE),FALSE)/24,""))),"")=0,"",IFERROR(IF(C337=C335,0,IF(E337=E336,0,IF(C337=$R$4,HLOOKUP($R$4,Ingreso!$AW$10:$BC$260,VLOOKUP(A337,Ingreso!AL:AM,2,FALSE),FALSE)/24,""))),""))</f>
        <v/>
      </c>
      <c r="P337" s="90"/>
      <c r="R337" t="s">
        <v>876</v>
      </c>
      <c r="S337" t="s">
        <v>879</v>
      </c>
      <c r="T337" t="s">
        <v>1420</v>
      </c>
      <c r="U337" t="s">
        <v>1322</v>
      </c>
      <c r="V337" t="s">
        <v>1397</v>
      </c>
      <c r="W337" s="82">
        <v>402</v>
      </c>
      <c r="X337" s="71">
        <v>0.3125</v>
      </c>
      <c r="Y337" s="101">
        <v>0.61427083333333332</v>
      </c>
      <c r="Z337" s="101">
        <v>0.94415509259259256</v>
      </c>
      <c r="AA337" s="101">
        <v>0.32988425925925924</v>
      </c>
      <c r="AB337" s="101">
        <v>1.7384259259259238E-2</v>
      </c>
      <c r="AC337" s="105">
        <v>0</v>
      </c>
      <c r="AD337" s="105">
        <v>0</v>
      </c>
      <c r="AE337" s="93">
        <v>0</v>
      </c>
      <c r="AF337" s="93">
        <v>0</v>
      </c>
      <c r="AG337" s="93">
        <v>0</v>
      </c>
    </row>
    <row r="338" spans="1:33">
      <c r="A338" s="65" t="str">
        <f>IFERROR(VLOOKUP('Informe Kelly'!A331,Base!A:B,2,FALSE),"")</f>
        <v>10.116.815-8</v>
      </c>
      <c r="B338" s="65" t="str">
        <f>IFERROR(VLOOKUP('Informe Kelly'!A331,Base!A:G,7,FALSE),"")</f>
        <v>BUSTOS JARA TERESA DE LAS NIEVES</v>
      </c>
      <c r="C338" s="69" t="str">
        <f>IF(G338=$C$4,IF('Informe Kelly'!H331='Control informe Kelly'!$A$2,TEXT(((LEFT('Informe Kelly'!E331,2)*1)+1),"dd")&amp;"."&amp;MID('Informe Kelly'!E331,4,2)&amp;"."&amp;RIGHT('Informe Kelly'!E331,4),'Informe Kelly'!E331),'Informe Kelly'!E331)</f>
        <v>13.04.2011</v>
      </c>
      <c r="D338" s="69" t="str">
        <f>IF('Informe Kelly'!E331="","",'Informe Kelly'!E331)</f>
        <v>13.04.2011</v>
      </c>
      <c r="E338" s="72">
        <f t="shared" si="11"/>
        <v>169</v>
      </c>
      <c r="F338" s="72" t="str">
        <f>IFERROR(HLOOKUP(C338,Ingreso!$Q$8:$AD$9,2,FALSE),"v")</f>
        <v>Miércoles</v>
      </c>
      <c r="G338" s="65" t="str">
        <f>IFERROR(VLOOKUP(A338,Ingreso!K:P,6,FALSE),"no esta ingresado")</f>
        <v>Turno A</v>
      </c>
      <c r="H338" s="65" t="str">
        <f>IFERROR(IF('Informe Kelly'!H331=$A$2,'Informe Kelly'!F331,""),0)</f>
        <v/>
      </c>
      <c r="I338" s="65">
        <f>IFERROR(IF('Informe Kelly'!H331=$A$3,'Informe Kelly'!F331,""),0)</f>
        <v>0.63579861111111113</v>
      </c>
      <c r="J338" s="65" t="str">
        <f>IF(IFERROR(IF(E338=E337,0,(HLOOKUP(D338,Ingreso!$AN$10:$AT$260,VLOOKUP(A338,Ingreso!$AL$11:$AM$260,2,FALSE)))/24),0)=0,"",IFERROR(IF(E338=E337,0,(HLOOKUP(D338,Ingreso!$AN$10:$AT$260,VLOOKUP(A338,Ingreso!$AL$11:$AM$260,2,FALSE)))/24),0))</f>
        <v/>
      </c>
      <c r="K338" s="65" t="str">
        <f>IF(IFERROR(IF(E338=E337,0,(HLOOKUP(C338,Ingreso!$AW$10:$BC$260,VLOOKUP(A338,Ingreso!$AL$11:$AM$260,2,FALSE)))/24),0)=0,"",IFERROR(IF(E338=E337,0,(HLOOKUP(C338,Ingreso!$AW$10:$BC$260,VLOOKUP(A338,Ingreso!$AL$11:$AM$260,2,FALSE)))/24),0))</f>
        <v/>
      </c>
      <c r="L338" s="63">
        <f t="shared" si="10"/>
        <v>0.3125</v>
      </c>
      <c r="M338" s="63" t="str">
        <f>IF(IFERROR(IF(C338=C336,0,IF(E338=E337,0,IF(C338=$R$2,HLOOKUP($R$2,Ingreso!$AW$10:$BC$260,VLOOKUP(A338,Ingreso!AL:AM,2,FALSE),FALSE)/24,""))),"")=0,"",IFERROR(IF(C338=C336,0,IF(E338=E337,0,IF(C338=$R$2,HLOOKUP($R$2,Ingreso!$AW$10:$BC$260,VLOOKUP(A338,Ingreso!AL:AM,2,FALSE),FALSE)/24,""))),""))</f>
        <v/>
      </c>
      <c r="N338" s="95" t="str">
        <f>IF(IFERROR(IF(C338=C336,0,IF(E338=E337,0,IF(C338=$R$3,HLOOKUP($R$3,Ingreso!$AW$10:$BC$260,VLOOKUP(A338,Ingreso!AL:AM,2,FALSE),FALSE)/24,""))),"")=0,"",IFERROR(IF(C338=C336,0,IF(E338=E337,0,IF(C338=$R$3,HLOOKUP($R$3,Ingreso!$AW$10:$BC$260,VLOOKUP(A338,Ingreso!AL:AM,2,FALSE),FALSE)/24,""))),""))</f>
        <v/>
      </c>
      <c r="O338" s="95" t="str">
        <f>IF(IFERROR(IF(C338=C336,0,IF(E338=E337,0,IF(C338=$R$4,HLOOKUP($R$4,Ingreso!$AW$10:$BC$260,VLOOKUP(A338,Ingreso!AL:AM,2,FALSE),FALSE)/24,""))),"")=0,"",IFERROR(IF(C338=C336,0,IF(E338=E337,0,IF(C338=$R$4,HLOOKUP($R$4,Ingreso!$AW$10:$BC$260,VLOOKUP(A338,Ingreso!AL:AM,2,FALSE),FALSE)/24,""))),""))</f>
        <v/>
      </c>
      <c r="P338" s="90"/>
      <c r="T338" t="s">
        <v>1423</v>
      </c>
      <c r="U338" t="s">
        <v>1322</v>
      </c>
      <c r="V338" t="s">
        <v>1398</v>
      </c>
      <c r="W338" s="82">
        <v>403</v>
      </c>
      <c r="X338" s="71">
        <v>0.3125</v>
      </c>
      <c r="Y338" s="101">
        <v>0.61346064814814816</v>
      </c>
      <c r="Z338" s="101">
        <v>0.94187500000000002</v>
      </c>
      <c r="AA338" s="101">
        <v>0.32841435185185186</v>
      </c>
      <c r="AB338" s="101">
        <v>1.591435185185186E-2</v>
      </c>
      <c r="AC338" s="105">
        <v>0</v>
      </c>
      <c r="AD338" s="105">
        <v>0</v>
      </c>
      <c r="AE338" s="93">
        <v>0</v>
      </c>
      <c r="AF338" s="93">
        <v>0</v>
      </c>
      <c r="AG338" s="93">
        <v>0</v>
      </c>
    </row>
    <row r="339" spans="1:33">
      <c r="A339" s="65" t="str">
        <f>IFERROR(VLOOKUP('Informe Kelly'!A332,Base!A:B,2,FALSE),"")</f>
        <v>10.116.815-8</v>
      </c>
      <c r="B339" s="65" t="str">
        <f>IFERROR(VLOOKUP('Informe Kelly'!A332,Base!A:G,7,FALSE),"")</f>
        <v>BUSTOS JARA TERESA DE LAS NIEVES</v>
      </c>
      <c r="C339" s="69" t="str">
        <f>IF(G339=$C$4,IF('Informe Kelly'!H332='Control informe Kelly'!$A$2,TEXT(((LEFT('Informe Kelly'!E332,2)*1)+1),"dd")&amp;"."&amp;MID('Informe Kelly'!E332,4,2)&amp;"."&amp;RIGHT('Informe Kelly'!E332,4),'Informe Kelly'!E332),'Informe Kelly'!E332)</f>
        <v>13.04.2011</v>
      </c>
      <c r="D339" s="69" t="str">
        <f>IF('Informe Kelly'!E332="","",'Informe Kelly'!E332)</f>
        <v>13.04.2011</v>
      </c>
      <c r="E339" s="72">
        <f t="shared" si="11"/>
        <v>169</v>
      </c>
      <c r="F339" s="72" t="str">
        <f>IFERROR(HLOOKUP(C339,Ingreso!$Q$8:$AD$9,2,FALSE),"v")</f>
        <v>Miércoles</v>
      </c>
      <c r="G339" s="65" t="str">
        <f>IFERROR(VLOOKUP(A339,Ingreso!K:P,6,FALSE),"no esta ingresado")</f>
        <v>Turno A</v>
      </c>
      <c r="H339" s="65">
        <f>IFERROR(IF('Informe Kelly'!H332=$A$2,'Informe Kelly'!F332,""),0)</f>
        <v>0.28903935185185187</v>
      </c>
      <c r="I339" s="65" t="str">
        <f>IFERROR(IF('Informe Kelly'!H332=$A$3,'Informe Kelly'!F332,""),0)</f>
        <v/>
      </c>
      <c r="J339" s="65" t="str">
        <f>IF(IFERROR(IF(E339=E338,0,(HLOOKUP(D339,Ingreso!$AN$10:$AT$260,VLOOKUP(A339,Ingreso!$AL$11:$AM$260,2,FALSE)))/24),0)=0,"",IFERROR(IF(E339=E338,0,(HLOOKUP(D339,Ingreso!$AN$10:$AT$260,VLOOKUP(A339,Ingreso!$AL$11:$AM$260,2,FALSE)))/24),0))</f>
        <v/>
      </c>
      <c r="K339" s="65" t="str">
        <f>IF(IFERROR(IF(E339=E338,0,(HLOOKUP(C339,Ingreso!$AW$10:$BC$260,VLOOKUP(A339,Ingreso!$AL$11:$AM$260,2,FALSE)))/24),0)=0,"",IFERROR(IF(E339=E338,0,(HLOOKUP(C339,Ingreso!$AW$10:$BC$260,VLOOKUP(A339,Ingreso!$AL$11:$AM$260,2,FALSE)))/24),0))</f>
        <v/>
      </c>
      <c r="L339" s="63">
        <f t="shared" si="10"/>
        <v>0</v>
      </c>
      <c r="M339" s="63" t="str">
        <f>IF(IFERROR(IF(C339=C337,0,IF(E339=E338,0,IF(C339=$R$2,HLOOKUP($R$2,Ingreso!$AW$10:$BC$260,VLOOKUP(A339,Ingreso!AL:AM,2,FALSE),FALSE)/24,""))),"")=0,"",IFERROR(IF(C339=C337,0,IF(E339=E338,0,IF(C339=$R$2,HLOOKUP($R$2,Ingreso!$AW$10:$BC$260,VLOOKUP(A339,Ingreso!AL:AM,2,FALSE),FALSE)/24,""))),""))</f>
        <v/>
      </c>
      <c r="N339" s="95" t="str">
        <f>IF(IFERROR(IF(C339=C337,0,IF(E339=E338,0,IF(C339=$R$3,HLOOKUP($R$3,Ingreso!$AW$10:$BC$260,VLOOKUP(A339,Ingreso!AL:AM,2,FALSE),FALSE)/24,""))),"")=0,"",IFERROR(IF(C339=C337,0,IF(E339=E338,0,IF(C339=$R$3,HLOOKUP($R$3,Ingreso!$AW$10:$BC$260,VLOOKUP(A339,Ingreso!AL:AM,2,FALSE),FALSE)/24,""))),""))</f>
        <v/>
      </c>
      <c r="O339" s="95" t="str">
        <f>IF(IFERROR(IF(C339=C337,0,IF(E339=E338,0,IF(C339=$R$4,HLOOKUP($R$4,Ingreso!$AW$10:$BC$260,VLOOKUP(A339,Ingreso!AL:AM,2,FALSE),FALSE)/24,""))),"")=0,"",IFERROR(IF(C339=C337,0,IF(E339=E338,0,IF(C339=$R$4,HLOOKUP($R$4,Ingreso!$AW$10:$BC$260,VLOOKUP(A339,Ingreso!AL:AM,2,FALSE),FALSE)/24,""))),""))</f>
        <v/>
      </c>
      <c r="P339" s="90"/>
      <c r="T339" t="s">
        <v>1424</v>
      </c>
      <c r="U339" t="s">
        <v>1322</v>
      </c>
      <c r="V339" t="s">
        <v>1399</v>
      </c>
      <c r="W339" s="82">
        <v>404</v>
      </c>
      <c r="X339" s="71">
        <v>0.3125</v>
      </c>
      <c r="Y339" s="101">
        <v>0.61510416666666667</v>
      </c>
      <c r="Z339" s="101">
        <v>0.94302083333333331</v>
      </c>
      <c r="AA339" s="101">
        <v>0.32791666666666663</v>
      </c>
      <c r="AB339" s="101">
        <v>1.5416666666666634E-2</v>
      </c>
      <c r="AC339" s="105">
        <v>0</v>
      </c>
      <c r="AD339" s="105">
        <v>0</v>
      </c>
      <c r="AE339" s="93">
        <v>0</v>
      </c>
      <c r="AF339" s="93">
        <v>0</v>
      </c>
      <c r="AG339" s="93">
        <v>0</v>
      </c>
    </row>
    <row r="340" spans="1:33" ht="12.75" customHeight="1">
      <c r="A340" s="65" t="str">
        <f>IFERROR(VLOOKUP('Informe Kelly'!A333,Base!A:B,2,FALSE),"")</f>
        <v>10.116.815-8</v>
      </c>
      <c r="B340" s="65" t="str">
        <f>IFERROR(VLOOKUP('Informe Kelly'!A333,Base!A:G,7,FALSE),"")</f>
        <v>BUSTOS JARA TERESA DE LAS NIEVES</v>
      </c>
      <c r="C340" s="69" t="str">
        <f>IF(G340=$C$4,IF('Informe Kelly'!H333='Control informe Kelly'!$A$2,TEXT(((LEFT('Informe Kelly'!E333,2)*1)+1),"dd")&amp;"."&amp;MID('Informe Kelly'!E333,4,2)&amp;"."&amp;RIGHT('Informe Kelly'!E333,4),'Informe Kelly'!E333),'Informe Kelly'!E333)</f>
        <v>14.04.2011</v>
      </c>
      <c r="D340" s="69" t="str">
        <f>IF('Informe Kelly'!E333="","",'Informe Kelly'!E333)</f>
        <v>14.04.2011</v>
      </c>
      <c r="E340" s="72">
        <f t="shared" si="11"/>
        <v>170</v>
      </c>
      <c r="F340" s="72" t="str">
        <f>IFERROR(HLOOKUP(C340,Ingreso!$Q$8:$AD$9,2,FALSE),"v")</f>
        <v>Jueves</v>
      </c>
      <c r="G340" s="65" t="str">
        <f>IFERROR(VLOOKUP(A340,Ingreso!K:P,6,FALSE),"no esta ingresado")</f>
        <v>Turno A</v>
      </c>
      <c r="H340" s="65" t="str">
        <f>IFERROR(IF('Informe Kelly'!H333=$A$2,'Informe Kelly'!F333,""),0)</f>
        <v/>
      </c>
      <c r="I340" s="65">
        <f>IFERROR(IF('Informe Kelly'!H333=$A$3,'Informe Kelly'!F333,""),0)</f>
        <v>0.63277777777777777</v>
      </c>
      <c r="J340" s="65" t="str">
        <f>IF(IFERROR(IF(E340=E339,0,(HLOOKUP(D340,Ingreso!$AN$10:$AT$260,VLOOKUP(A340,Ingreso!$AL$11:$AM$260,2,FALSE)))/24),0)=0,"",IFERROR(IF(E340=E339,0,(HLOOKUP(D340,Ingreso!$AN$10:$AT$260,VLOOKUP(A340,Ingreso!$AL$11:$AM$260,2,FALSE)))/24),0))</f>
        <v/>
      </c>
      <c r="K340" s="65" t="str">
        <f>IF(IFERROR(IF(E340=E339,0,(HLOOKUP(C340,Ingreso!$AW$10:$BC$260,VLOOKUP(A340,Ingreso!$AL$11:$AM$260,2,FALSE)))/24),0)=0,"",IFERROR(IF(E340=E339,0,(HLOOKUP(C340,Ingreso!$AW$10:$BC$260,VLOOKUP(A340,Ingreso!$AL$11:$AM$260,2,FALSE)))/24),0))</f>
        <v/>
      </c>
      <c r="L340" s="63">
        <f t="shared" si="10"/>
        <v>0.3125</v>
      </c>
      <c r="M340" s="63" t="str">
        <f>IF(IFERROR(IF(C340=C338,0,IF(E340=E339,0,IF(C340=$R$2,HLOOKUP($R$2,Ingreso!$AW$10:$BC$260,VLOOKUP(A340,Ingreso!AL:AM,2,FALSE),FALSE)/24,""))),"")=0,"",IFERROR(IF(C340=C338,0,IF(E340=E339,0,IF(C340=$R$2,HLOOKUP($R$2,Ingreso!$AW$10:$BC$260,VLOOKUP(A340,Ingreso!AL:AM,2,FALSE),FALSE)/24,""))),""))</f>
        <v/>
      </c>
      <c r="N340" s="95" t="str">
        <f>IF(IFERROR(IF(C340=C338,0,IF(E340=E339,0,IF(C340=$R$3,HLOOKUP($R$3,Ingreso!$AW$10:$BC$260,VLOOKUP(A340,Ingreso!AL:AM,2,FALSE),FALSE)/24,""))),"")=0,"",IFERROR(IF(C340=C338,0,IF(E340=E339,0,IF(C340=$R$3,HLOOKUP($R$3,Ingreso!$AW$10:$BC$260,VLOOKUP(A340,Ingreso!AL:AM,2,FALSE),FALSE)/24,""))),""))</f>
        <v/>
      </c>
      <c r="O340" s="95" t="str">
        <f>IF(IFERROR(IF(C340=C338,0,IF(E340=E339,0,IF(C340=$R$4,HLOOKUP($R$4,Ingreso!$AW$10:$BC$260,VLOOKUP(A340,Ingreso!AL:AM,2,FALSE),FALSE)/24,""))),"")=0,"",IFERROR(IF(C340=C338,0,IF(E340=E339,0,IF(C340=$R$4,HLOOKUP($R$4,Ingreso!$AW$10:$BC$260,VLOOKUP(A340,Ingreso!AL:AM,2,FALSE),FALSE)/24,""))),""))</f>
        <v/>
      </c>
      <c r="P340" s="90"/>
      <c r="T340" t="s">
        <v>1425</v>
      </c>
      <c r="U340" t="s">
        <v>1322</v>
      </c>
      <c r="V340" t="s">
        <v>1400</v>
      </c>
      <c r="W340" s="82">
        <v>405</v>
      </c>
      <c r="X340" s="71">
        <v>0.3125</v>
      </c>
      <c r="Y340" s="101">
        <v>0.61974537037037036</v>
      </c>
      <c r="Z340" s="101">
        <v>0.94271990740740741</v>
      </c>
      <c r="AA340" s="101">
        <v>0.32297453703703705</v>
      </c>
      <c r="AB340" s="101">
        <v>1.0474537037037046E-2</v>
      </c>
      <c r="AC340" s="105">
        <v>0</v>
      </c>
      <c r="AD340" s="105">
        <v>0</v>
      </c>
      <c r="AE340" s="93">
        <v>0</v>
      </c>
      <c r="AF340" s="93">
        <v>0</v>
      </c>
      <c r="AG340" s="93">
        <v>0</v>
      </c>
    </row>
    <row r="341" spans="1:33">
      <c r="A341" s="65" t="str">
        <f>IFERROR(VLOOKUP('Informe Kelly'!A334,Base!A:B,2,FALSE),"")</f>
        <v>10.116.815-8</v>
      </c>
      <c r="B341" s="65" t="str">
        <f>IFERROR(VLOOKUP('Informe Kelly'!A334,Base!A:G,7,FALSE),"")</f>
        <v>BUSTOS JARA TERESA DE LAS NIEVES</v>
      </c>
      <c r="C341" s="69" t="str">
        <f>IF(G341=$C$4,IF('Informe Kelly'!H334='Control informe Kelly'!$A$2,TEXT(((LEFT('Informe Kelly'!E334,2)*1)+1),"dd")&amp;"."&amp;MID('Informe Kelly'!E334,4,2)&amp;"."&amp;RIGHT('Informe Kelly'!E334,4),'Informe Kelly'!E334),'Informe Kelly'!E334)</f>
        <v>14.04.2011</v>
      </c>
      <c r="D341" s="69" t="str">
        <f>IF('Informe Kelly'!E334="","",'Informe Kelly'!E334)</f>
        <v>14.04.2011</v>
      </c>
      <c r="E341" s="72">
        <f t="shared" si="11"/>
        <v>170</v>
      </c>
      <c r="F341" s="72" t="str">
        <f>IFERROR(HLOOKUP(C341,Ingreso!$Q$8:$AD$9,2,FALSE),"v")</f>
        <v>Jueves</v>
      </c>
      <c r="G341" s="65" t="str">
        <f>IFERROR(VLOOKUP(A341,Ingreso!K:P,6,FALSE),"no esta ingresado")</f>
        <v>Turno A</v>
      </c>
      <c r="H341" s="65">
        <f>IFERROR(IF('Informe Kelly'!H334=$A$2,'Informe Kelly'!F334,""),0)</f>
        <v>0.29942129629629627</v>
      </c>
      <c r="I341" s="65" t="str">
        <f>IFERROR(IF('Informe Kelly'!H334=$A$3,'Informe Kelly'!F334,""),0)</f>
        <v/>
      </c>
      <c r="J341" s="65" t="str">
        <f>IF(IFERROR(IF(E341=E340,0,(HLOOKUP(D341,Ingreso!$AN$10:$AT$260,VLOOKUP(A341,Ingreso!$AL$11:$AM$260,2,FALSE)))/24),0)=0,"",IFERROR(IF(E341=E340,0,(HLOOKUP(D341,Ingreso!$AN$10:$AT$260,VLOOKUP(A341,Ingreso!$AL$11:$AM$260,2,FALSE)))/24),0))</f>
        <v/>
      </c>
      <c r="K341" s="65" t="str">
        <f>IF(IFERROR(IF(E341=E340,0,(HLOOKUP(C341,Ingreso!$AW$10:$BC$260,VLOOKUP(A341,Ingreso!$AL$11:$AM$260,2,FALSE)))/24),0)=0,"",IFERROR(IF(E341=E340,0,(HLOOKUP(C341,Ingreso!$AW$10:$BC$260,VLOOKUP(A341,Ingreso!$AL$11:$AM$260,2,FALSE)))/24),0))</f>
        <v/>
      </c>
      <c r="L341" s="63">
        <f t="shared" si="10"/>
        <v>0</v>
      </c>
      <c r="M341" s="63" t="str">
        <f>IF(IFERROR(IF(C341=C339,0,IF(E341=E340,0,IF(C341=$R$2,HLOOKUP($R$2,Ingreso!$AW$10:$BC$260,VLOOKUP(A341,Ingreso!AL:AM,2,FALSE),FALSE)/24,""))),"")=0,"",IFERROR(IF(C341=C339,0,IF(E341=E340,0,IF(C341=$R$2,HLOOKUP($R$2,Ingreso!$AW$10:$BC$260,VLOOKUP(A341,Ingreso!AL:AM,2,FALSE),FALSE)/24,""))),""))</f>
        <v/>
      </c>
      <c r="N341" s="95" t="str">
        <f>IF(IFERROR(IF(C341=C339,0,IF(E341=E340,0,IF(C341=$R$3,HLOOKUP($R$3,Ingreso!$AW$10:$BC$260,VLOOKUP(A341,Ingreso!AL:AM,2,FALSE),FALSE)/24,""))),"")=0,"",IFERROR(IF(C341=C339,0,IF(E341=E340,0,IF(C341=$R$3,HLOOKUP($R$3,Ingreso!$AW$10:$BC$260,VLOOKUP(A341,Ingreso!AL:AM,2,FALSE),FALSE)/24,""))),""))</f>
        <v/>
      </c>
      <c r="O341" s="95" t="str">
        <f>IF(IFERROR(IF(C341=C339,0,IF(E341=E340,0,IF(C341=$R$4,HLOOKUP($R$4,Ingreso!$AW$10:$BC$260,VLOOKUP(A341,Ingreso!AL:AM,2,FALSE),FALSE)/24,""))),"")=0,"",IFERROR(IF(C341=C339,0,IF(E341=E340,0,IF(C341=$R$4,HLOOKUP($R$4,Ingreso!$AW$10:$BC$260,VLOOKUP(A341,Ingreso!AL:AM,2,FALSE),FALSE)/24,""))),""))</f>
        <v/>
      </c>
      <c r="P341" s="90"/>
      <c r="T341" t="s">
        <v>1426</v>
      </c>
      <c r="U341" t="s">
        <v>1322</v>
      </c>
      <c r="V341" t="s">
        <v>1401</v>
      </c>
      <c r="W341" s="82">
        <v>406</v>
      </c>
      <c r="X341" s="71">
        <v>0.3125</v>
      </c>
      <c r="Y341" s="101">
        <v>0.6170254629629629</v>
      </c>
      <c r="Z341" s="101">
        <v>0.94420138888888883</v>
      </c>
      <c r="AA341" s="101">
        <v>0.32717592592592593</v>
      </c>
      <c r="AB341" s="101">
        <v>1.4675925925925926E-2</v>
      </c>
      <c r="AC341" s="105">
        <v>0</v>
      </c>
      <c r="AD341" s="105">
        <v>0</v>
      </c>
      <c r="AE341" s="93">
        <v>0</v>
      </c>
      <c r="AF341" s="93">
        <v>0</v>
      </c>
      <c r="AG341" s="93">
        <v>0</v>
      </c>
    </row>
    <row r="342" spans="1:33">
      <c r="A342" s="65" t="str">
        <f>IFERROR(VLOOKUP('Informe Kelly'!A335,Base!A:B,2,FALSE),"")</f>
        <v>10.116.815-8</v>
      </c>
      <c r="B342" s="65" t="str">
        <f>IFERROR(VLOOKUP('Informe Kelly'!A335,Base!A:G,7,FALSE),"")</f>
        <v>BUSTOS JARA TERESA DE LAS NIEVES</v>
      </c>
      <c r="C342" s="69" t="str">
        <f>IF(G342=$C$4,IF('Informe Kelly'!H335='Control informe Kelly'!$A$2,TEXT(((LEFT('Informe Kelly'!E335,2)*1)+1),"dd")&amp;"."&amp;MID('Informe Kelly'!E335,4,2)&amp;"."&amp;RIGHT('Informe Kelly'!E335,4),'Informe Kelly'!E335),'Informe Kelly'!E335)</f>
        <v>15.04.2011</v>
      </c>
      <c r="D342" s="69" t="str">
        <f>IF('Informe Kelly'!E335="","",'Informe Kelly'!E335)</f>
        <v>15.04.2011</v>
      </c>
      <c r="E342" s="72">
        <f t="shared" si="11"/>
        <v>171</v>
      </c>
      <c r="F342" s="72" t="str">
        <f>IFERROR(HLOOKUP(C342,Ingreso!$Q$8:$AD$9,2,FALSE),"v")</f>
        <v>Viernes</v>
      </c>
      <c r="G342" s="65" t="str">
        <f>IFERROR(VLOOKUP(A342,Ingreso!K:P,6,FALSE),"no esta ingresado")</f>
        <v>Turno A</v>
      </c>
      <c r="H342" s="65" t="str">
        <f>IFERROR(IF('Informe Kelly'!H335=$A$2,'Informe Kelly'!F335,""),0)</f>
        <v/>
      </c>
      <c r="I342" s="65">
        <f>IFERROR(IF('Informe Kelly'!H335=$A$3,'Informe Kelly'!F335,""),0)</f>
        <v>0.63629629629629625</v>
      </c>
      <c r="J342" s="65" t="str">
        <f>IF(IFERROR(IF(E342=E341,0,(HLOOKUP(D342,Ingreso!$AN$10:$AT$260,VLOOKUP(A342,Ingreso!$AL$11:$AM$260,2,FALSE)))/24),0)=0,"",IFERROR(IF(E342=E341,0,(HLOOKUP(D342,Ingreso!$AN$10:$AT$260,VLOOKUP(A342,Ingreso!$AL$11:$AM$260,2,FALSE)))/24),0))</f>
        <v/>
      </c>
      <c r="K342" s="65" t="str">
        <f>IF(IFERROR(IF(E342=E341,0,(HLOOKUP(C342,Ingreso!$AW$10:$BC$260,VLOOKUP(A342,Ingreso!$AL$11:$AM$260,2,FALSE)))/24),0)=0,"",IFERROR(IF(E342=E341,0,(HLOOKUP(C342,Ingreso!$AW$10:$BC$260,VLOOKUP(A342,Ingreso!$AL$11:$AM$260,2,FALSE)))/24),0))</f>
        <v/>
      </c>
      <c r="L342" s="63">
        <f t="shared" si="10"/>
        <v>0.3125</v>
      </c>
      <c r="M342" s="63" t="str">
        <f>IF(IFERROR(IF(C342=C340,0,IF(E342=E341,0,IF(C342=$R$2,HLOOKUP($R$2,Ingreso!$AW$10:$BC$260,VLOOKUP(A342,Ingreso!AL:AM,2,FALSE),FALSE)/24,""))),"")=0,"",IFERROR(IF(C342=C340,0,IF(E342=E341,0,IF(C342=$R$2,HLOOKUP($R$2,Ingreso!$AW$10:$BC$260,VLOOKUP(A342,Ingreso!AL:AM,2,FALSE),FALSE)/24,""))),""))</f>
        <v/>
      </c>
      <c r="N342" s="95" t="str">
        <f>IF(IFERROR(IF(C342=C340,0,IF(E342=E341,0,IF(C342=$R$3,HLOOKUP($R$3,Ingreso!$AW$10:$BC$260,VLOOKUP(A342,Ingreso!AL:AM,2,FALSE),FALSE)/24,""))),"")=0,"",IFERROR(IF(C342=C340,0,IF(E342=E341,0,IF(C342=$R$3,HLOOKUP($R$3,Ingreso!$AW$10:$BC$260,VLOOKUP(A342,Ingreso!AL:AM,2,FALSE),FALSE)/24,""))),""))</f>
        <v/>
      </c>
      <c r="O342" s="95" t="str">
        <f>IF(IFERROR(IF(C342=C340,0,IF(E342=E341,0,IF(C342=$R$4,HLOOKUP($R$4,Ingreso!$AW$10:$BC$260,VLOOKUP(A342,Ingreso!AL:AM,2,FALSE),FALSE)/24,""))),"")=0,"",IFERROR(IF(C342=C340,0,IF(E342=E341,0,IF(C342=$R$4,HLOOKUP($R$4,Ingreso!$AW$10:$BC$260,VLOOKUP(A342,Ingreso!AL:AM,2,FALSE),FALSE)/24,""))),""))</f>
        <v/>
      </c>
      <c r="P342" s="90"/>
      <c r="T342" t="s">
        <v>1427</v>
      </c>
      <c r="U342" t="s">
        <v>1322</v>
      </c>
      <c r="V342" t="s">
        <v>1402</v>
      </c>
      <c r="W342" s="82">
        <v>407</v>
      </c>
      <c r="X342" s="71">
        <v>0.3125</v>
      </c>
      <c r="Y342" s="101">
        <v>0.30542824074074076</v>
      </c>
      <c r="Z342" s="101">
        <v>0.63031249999999994</v>
      </c>
      <c r="AA342" s="101">
        <v>0.32488425925925918</v>
      </c>
      <c r="AB342" s="101">
        <v>1.2384259259259178E-2</v>
      </c>
      <c r="AC342" s="105">
        <v>0</v>
      </c>
      <c r="AD342" s="105">
        <v>0</v>
      </c>
      <c r="AE342" s="93">
        <v>0</v>
      </c>
      <c r="AF342" s="93">
        <v>0</v>
      </c>
      <c r="AG342" s="93">
        <v>0</v>
      </c>
    </row>
    <row r="343" spans="1:33">
      <c r="A343" s="65" t="str">
        <f>IFERROR(VLOOKUP('Informe Kelly'!A336,Base!A:B,2,FALSE),"")</f>
        <v>10.116.815-8</v>
      </c>
      <c r="B343" s="65" t="str">
        <f>IFERROR(VLOOKUP('Informe Kelly'!A336,Base!A:G,7,FALSE),"")</f>
        <v>BUSTOS JARA TERESA DE LAS NIEVES</v>
      </c>
      <c r="C343" s="69" t="str">
        <f>IF(G343=$C$4,IF('Informe Kelly'!H336='Control informe Kelly'!$A$2,TEXT(((LEFT('Informe Kelly'!E336,2)*1)+1),"dd")&amp;"."&amp;MID('Informe Kelly'!E336,4,2)&amp;"."&amp;RIGHT('Informe Kelly'!E336,4),'Informe Kelly'!E336),'Informe Kelly'!E336)</f>
        <v>15.04.2011</v>
      </c>
      <c r="D343" s="69" t="str">
        <f>IF('Informe Kelly'!E336="","",'Informe Kelly'!E336)</f>
        <v>15.04.2011</v>
      </c>
      <c r="E343" s="72">
        <f t="shared" si="11"/>
        <v>171</v>
      </c>
      <c r="F343" s="72" t="str">
        <f>IFERROR(HLOOKUP(C343,Ingreso!$Q$8:$AD$9,2,FALSE),"v")</f>
        <v>Viernes</v>
      </c>
      <c r="G343" s="65" t="str">
        <f>IFERROR(VLOOKUP(A343,Ingreso!K:P,6,FALSE),"no esta ingresado")</f>
        <v>Turno A</v>
      </c>
      <c r="H343" s="65">
        <f>IFERROR(IF('Informe Kelly'!H336=$A$2,'Informe Kelly'!F336,""),0)</f>
        <v>0.29344907407407406</v>
      </c>
      <c r="I343" s="65" t="str">
        <f>IFERROR(IF('Informe Kelly'!H336=$A$3,'Informe Kelly'!F336,""),0)</f>
        <v/>
      </c>
      <c r="J343" s="65" t="str">
        <f>IF(IFERROR(IF(E343=E342,0,(HLOOKUP(D343,Ingreso!$AN$10:$AT$260,VLOOKUP(A343,Ingreso!$AL$11:$AM$260,2,FALSE)))/24),0)=0,"",IFERROR(IF(E343=E342,0,(HLOOKUP(D343,Ingreso!$AN$10:$AT$260,VLOOKUP(A343,Ingreso!$AL$11:$AM$260,2,FALSE)))/24),0))</f>
        <v/>
      </c>
      <c r="K343" s="65" t="str">
        <f>IF(IFERROR(IF(E343=E342,0,(HLOOKUP(C343,Ingreso!$AW$10:$BC$260,VLOOKUP(A343,Ingreso!$AL$11:$AM$260,2,FALSE)))/24),0)=0,"",IFERROR(IF(E343=E342,0,(HLOOKUP(C343,Ingreso!$AW$10:$BC$260,VLOOKUP(A343,Ingreso!$AL$11:$AM$260,2,FALSE)))/24),0))</f>
        <v/>
      </c>
      <c r="L343" s="63">
        <f t="shared" si="10"/>
        <v>0</v>
      </c>
      <c r="M343" s="63" t="str">
        <f>IF(IFERROR(IF(C343=C341,0,IF(E343=E342,0,IF(C343=$R$2,HLOOKUP($R$2,Ingreso!$AW$10:$BC$260,VLOOKUP(A343,Ingreso!AL:AM,2,FALSE),FALSE)/24,""))),"")=0,"",IFERROR(IF(C343=C341,0,IF(E343=E342,0,IF(C343=$R$2,HLOOKUP($R$2,Ingreso!$AW$10:$BC$260,VLOOKUP(A343,Ingreso!AL:AM,2,FALSE),FALSE)/24,""))),""))</f>
        <v/>
      </c>
      <c r="N343" s="95" t="str">
        <f>IF(IFERROR(IF(C343=C341,0,IF(E343=E342,0,IF(C343=$R$3,HLOOKUP($R$3,Ingreso!$AW$10:$BC$260,VLOOKUP(A343,Ingreso!AL:AM,2,FALSE),FALSE)/24,""))),"")=0,"",IFERROR(IF(C343=C341,0,IF(E343=E342,0,IF(C343=$R$3,HLOOKUP($R$3,Ingreso!$AW$10:$BC$260,VLOOKUP(A343,Ingreso!AL:AM,2,FALSE),FALSE)/24,""))),""))</f>
        <v/>
      </c>
      <c r="O343" s="95" t="str">
        <f>IF(IFERROR(IF(C343=C341,0,IF(E343=E342,0,IF(C343=$R$4,HLOOKUP($R$4,Ingreso!$AW$10:$BC$260,VLOOKUP(A343,Ingreso!AL:AM,2,FALSE),FALSE)/24,""))),"")=0,"",IFERROR(IF(C343=C341,0,IF(E343=E342,0,IF(C343=$R$4,HLOOKUP($R$4,Ingreso!$AW$10:$BC$260,VLOOKUP(A343,Ingreso!AL:AM,2,FALSE),FALSE)/24,""))),""))</f>
        <v/>
      </c>
      <c r="P343" s="90"/>
      <c r="R343" t="s">
        <v>488</v>
      </c>
      <c r="S343" t="s">
        <v>491</v>
      </c>
      <c r="T343" t="s">
        <v>1420</v>
      </c>
      <c r="U343" t="s">
        <v>1324</v>
      </c>
      <c r="V343" t="s">
        <v>1397</v>
      </c>
      <c r="W343" s="82">
        <v>408</v>
      </c>
      <c r="X343" s="71">
        <v>0.375</v>
      </c>
      <c r="Y343" s="101">
        <v>0</v>
      </c>
      <c r="Z343" s="101">
        <v>0.32226851851851851</v>
      </c>
      <c r="AA343" s="101">
        <v>0.32226851851851851</v>
      </c>
      <c r="AB343" s="101">
        <v>-5.273148148148149E-2</v>
      </c>
      <c r="AC343" s="105">
        <v>0</v>
      </c>
      <c r="AD343" s="105">
        <v>0.3125</v>
      </c>
      <c r="AE343" s="93">
        <v>0.3125</v>
      </c>
      <c r="AF343" s="93">
        <v>0</v>
      </c>
      <c r="AG343" s="93">
        <v>0</v>
      </c>
    </row>
    <row r="344" spans="1:33">
      <c r="A344" s="65" t="str">
        <f>IFERROR(VLOOKUP('Informe Kelly'!A337,Base!A:B,2,FALSE),"")</f>
        <v>10.116.815-8</v>
      </c>
      <c r="B344" s="65" t="str">
        <f>IFERROR(VLOOKUP('Informe Kelly'!A337,Base!A:G,7,FALSE),"")</f>
        <v>BUSTOS JARA TERESA DE LAS NIEVES</v>
      </c>
      <c r="C344" s="69" t="str">
        <f>IF(G344=$C$4,IF('Informe Kelly'!H337='Control informe Kelly'!$A$2,TEXT(((LEFT('Informe Kelly'!E337,2)*1)+1),"dd")&amp;"."&amp;MID('Informe Kelly'!E337,4,2)&amp;"."&amp;RIGHT('Informe Kelly'!E337,4),'Informe Kelly'!E337),'Informe Kelly'!E337)</f>
        <v>16.04.2011</v>
      </c>
      <c r="D344" s="69" t="str">
        <f>IF('Informe Kelly'!E337="","",'Informe Kelly'!E337)</f>
        <v>16.04.2011</v>
      </c>
      <c r="E344" s="72">
        <f t="shared" si="11"/>
        <v>172</v>
      </c>
      <c r="F344" s="72" t="str">
        <f>IFERROR(HLOOKUP(C344,Ingreso!$Q$8:$AD$9,2,FALSE),"v")</f>
        <v>Sábado</v>
      </c>
      <c r="G344" s="65" t="str">
        <f>IFERROR(VLOOKUP(A344,Ingreso!K:P,6,FALSE),"no esta ingresado")</f>
        <v>Turno A</v>
      </c>
      <c r="H344" s="65" t="str">
        <f>IFERROR(IF('Informe Kelly'!H337=$A$2,'Informe Kelly'!F337,""),0)</f>
        <v/>
      </c>
      <c r="I344" s="65">
        <f>IFERROR(IF('Informe Kelly'!H337=$A$3,'Informe Kelly'!F337,""),0)</f>
        <v>0.63747685185185188</v>
      </c>
      <c r="J344" s="65" t="str">
        <f>IF(IFERROR(IF(E344=E343,0,(HLOOKUP(D344,Ingreso!$AN$10:$AT$260,VLOOKUP(A344,Ingreso!$AL$11:$AM$260,2,FALSE)))/24),0)=0,"",IFERROR(IF(E344=E343,0,(HLOOKUP(D344,Ingreso!$AN$10:$AT$260,VLOOKUP(A344,Ingreso!$AL$11:$AM$260,2,FALSE)))/24),0))</f>
        <v/>
      </c>
      <c r="K344" s="65" t="str">
        <f>IF(IFERROR(IF(E344=E343,0,(HLOOKUP(C344,Ingreso!$AW$10:$BC$260,VLOOKUP(A344,Ingreso!$AL$11:$AM$260,2,FALSE)))/24),0)=0,"",IFERROR(IF(E344=E343,0,(HLOOKUP(C344,Ingreso!$AW$10:$BC$260,VLOOKUP(A344,Ingreso!$AL$11:$AM$260,2,FALSE)))/24),0))</f>
        <v/>
      </c>
      <c r="L344" s="63">
        <f t="shared" si="10"/>
        <v>0.3125</v>
      </c>
      <c r="M344" s="63" t="str">
        <f>IF(IFERROR(IF(C344=C342,0,IF(E344=E343,0,IF(C344=$R$2,HLOOKUP($R$2,Ingreso!$AW$10:$BC$260,VLOOKUP(A344,Ingreso!AL:AM,2,FALSE),FALSE)/24,""))),"")=0,"",IFERROR(IF(C344=C342,0,IF(E344=E343,0,IF(C344=$R$2,HLOOKUP($R$2,Ingreso!$AW$10:$BC$260,VLOOKUP(A344,Ingreso!AL:AM,2,FALSE),FALSE)/24,""))),""))</f>
        <v/>
      </c>
      <c r="N344" s="95" t="str">
        <f>IF(IFERROR(IF(C344=C342,0,IF(E344=E343,0,IF(C344=$R$3,HLOOKUP($R$3,Ingreso!$AW$10:$BC$260,VLOOKUP(A344,Ingreso!AL:AM,2,FALSE),FALSE)/24,""))),"")=0,"",IFERROR(IF(C344=C342,0,IF(E344=E343,0,IF(C344=$R$3,HLOOKUP($R$3,Ingreso!$AW$10:$BC$260,VLOOKUP(A344,Ingreso!AL:AM,2,FALSE),FALSE)/24,""))),""))</f>
        <v/>
      </c>
      <c r="O344" s="95" t="str">
        <f>IF(IFERROR(IF(C344=C342,0,IF(E344=E343,0,IF(C344=$R$4,HLOOKUP($R$4,Ingreso!$AW$10:$BC$260,VLOOKUP(A344,Ingreso!AL:AM,2,FALSE),FALSE)/24,""))),"")=0,"",IFERROR(IF(C344=C342,0,IF(E344=E343,0,IF(C344=$R$4,HLOOKUP($R$4,Ingreso!$AW$10:$BC$260,VLOOKUP(A344,Ingreso!AL:AM,2,FALSE),FALSE)/24,""))),""))</f>
        <v/>
      </c>
      <c r="P344" s="90"/>
      <c r="T344" t="s">
        <v>1423</v>
      </c>
      <c r="U344" t="s">
        <v>1324</v>
      </c>
      <c r="V344" t="s">
        <v>1398</v>
      </c>
      <c r="W344" s="82">
        <v>409</v>
      </c>
      <c r="X344" s="71">
        <v>0.375</v>
      </c>
      <c r="Y344" s="101">
        <v>0.92590277777777785</v>
      </c>
      <c r="Z344" s="101">
        <v>0.30138888888888887</v>
      </c>
      <c r="AA344" s="101">
        <v>0.37548611111111108</v>
      </c>
      <c r="AB344" s="101">
        <v>4.8611111111107608E-4</v>
      </c>
      <c r="AC344" s="105">
        <v>0</v>
      </c>
      <c r="AD344" s="105">
        <v>0</v>
      </c>
      <c r="AE344" s="93">
        <v>0</v>
      </c>
      <c r="AF344" s="93">
        <v>0</v>
      </c>
      <c r="AG344" s="93">
        <v>0</v>
      </c>
    </row>
    <row r="345" spans="1:33">
      <c r="A345" s="65" t="str">
        <f>IFERROR(VLOOKUP('Informe Kelly'!A338,Base!A:B,2,FALSE),"")</f>
        <v>10.116.815-8</v>
      </c>
      <c r="B345" s="65" t="str">
        <f>IFERROR(VLOOKUP('Informe Kelly'!A338,Base!A:G,7,FALSE),"")</f>
        <v>BUSTOS JARA TERESA DE LAS NIEVES</v>
      </c>
      <c r="C345" s="69" t="str">
        <f>IF(G345=$C$4,IF('Informe Kelly'!H338='Control informe Kelly'!$A$2,TEXT(((LEFT('Informe Kelly'!E338,2)*1)+1),"dd")&amp;"."&amp;MID('Informe Kelly'!E338,4,2)&amp;"."&amp;RIGHT('Informe Kelly'!E338,4),'Informe Kelly'!E338),'Informe Kelly'!E338)</f>
        <v>16.04.2011</v>
      </c>
      <c r="D345" s="69" t="str">
        <f>IF('Informe Kelly'!E338="","",'Informe Kelly'!E338)</f>
        <v>16.04.2011</v>
      </c>
      <c r="E345" s="72">
        <f t="shared" si="11"/>
        <v>172</v>
      </c>
      <c r="F345" s="72" t="str">
        <f>IFERROR(HLOOKUP(C345,Ingreso!$Q$8:$AD$9,2,FALSE),"v")</f>
        <v>Sábado</v>
      </c>
      <c r="G345" s="65" t="str">
        <f>IFERROR(VLOOKUP(A345,Ingreso!K:P,6,FALSE),"no esta ingresado")</f>
        <v>Turno A</v>
      </c>
      <c r="H345" s="65">
        <f>IFERROR(IF('Informe Kelly'!H338=$A$2,'Informe Kelly'!F338,""),0)</f>
        <v>0.29163194444444446</v>
      </c>
      <c r="I345" s="65" t="str">
        <f>IFERROR(IF('Informe Kelly'!H338=$A$3,'Informe Kelly'!F338,""),0)</f>
        <v/>
      </c>
      <c r="J345" s="65" t="str">
        <f>IF(IFERROR(IF(E345=E344,0,(HLOOKUP(D345,Ingreso!$AN$10:$AT$260,VLOOKUP(A345,Ingreso!$AL$11:$AM$260,2,FALSE)))/24),0)=0,"",IFERROR(IF(E345=E344,0,(HLOOKUP(D345,Ingreso!$AN$10:$AT$260,VLOOKUP(A345,Ingreso!$AL$11:$AM$260,2,FALSE)))/24),0))</f>
        <v/>
      </c>
      <c r="K345" s="65" t="str">
        <f>IF(IFERROR(IF(E345=E344,0,(HLOOKUP(C345,Ingreso!$AW$10:$BC$260,VLOOKUP(A345,Ingreso!$AL$11:$AM$260,2,FALSE)))/24),0)=0,"",IFERROR(IF(E345=E344,0,(HLOOKUP(C345,Ingreso!$AW$10:$BC$260,VLOOKUP(A345,Ingreso!$AL$11:$AM$260,2,FALSE)))/24),0))</f>
        <v/>
      </c>
      <c r="L345" s="63">
        <f t="shared" si="10"/>
        <v>0</v>
      </c>
      <c r="M345" s="63" t="str">
        <f>IF(IFERROR(IF(C345=C343,0,IF(E345=E344,0,IF(C345=$R$2,HLOOKUP($R$2,Ingreso!$AW$10:$BC$260,VLOOKUP(A345,Ingreso!AL:AM,2,FALSE),FALSE)/24,""))),"")=0,"",IFERROR(IF(C345=C343,0,IF(E345=E344,0,IF(C345=$R$2,HLOOKUP($R$2,Ingreso!$AW$10:$BC$260,VLOOKUP(A345,Ingreso!AL:AM,2,FALSE),FALSE)/24,""))),""))</f>
        <v/>
      </c>
      <c r="N345" s="95" t="str">
        <f>IF(IFERROR(IF(C345=C343,0,IF(E345=E344,0,IF(C345=$R$3,HLOOKUP($R$3,Ingreso!$AW$10:$BC$260,VLOOKUP(A345,Ingreso!AL:AM,2,FALSE),FALSE)/24,""))),"")=0,"",IFERROR(IF(C345=C343,0,IF(E345=E344,0,IF(C345=$R$3,HLOOKUP($R$3,Ingreso!$AW$10:$BC$260,VLOOKUP(A345,Ingreso!AL:AM,2,FALSE),FALSE)/24,""))),""))</f>
        <v/>
      </c>
      <c r="O345" s="95" t="str">
        <f>IF(IFERROR(IF(C345=C343,0,IF(E345=E344,0,IF(C345=$R$4,HLOOKUP($R$4,Ingreso!$AW$10:$BC$260,VLOOKUP(A345,Ingreso!AL:AM,2,FALSE),FALSE)/24,""))),"")=0,"",IFERROR(IF(C345=C343,0,IF(E345=E344,0,IF(C345=$R$4,HLOOKUP($R$4,Ingreso!$AW$10:$BC$260,VLOOKUP(A345,Ingreso!AL:AM,2,FALSE),FALSE)/24,""))),""))</f>
        <v/>
      </c>
      <c r="P345" s="90"/>
      <c r="T345" t="s">
        <v>1424</v>
      </c>
      <c r="U345" t="s">
        <v>1324</v>
      </c>
      <c r="V345" t="s">
        <v>1399</v>
      </c>
      <c r="W345" s="82">
        <v>410</v>
      </c>
      <c r="X345" s="71">
        <v>0.375</v>
      </c>
      <c r="Y345" s="101">
        <v>0.92158564814814825</v>
      </c>
      <c r="Z345" s="101">
        <v>0.30432870370370374</v>
      </c>
      <c r="AA345" s="101">
        <v>0.38274305555555543</v>
      </c>
      <c r="AB345" s="101">
        <v>7.7430555555554337E-3</v>
      </c>
      <c r="AC345" s="105">
        <v>0</v>
      </c>
      <c r="AD345" s="105">
        <v>0</v>
      </c>
      <c r="AE345" s="93">
        <v>0</v>
      </c>
      <c r="AF345" s="93">
        <v>0</v>
      </c>
      <c r="AG345" s="93">
        <v>0</v>
      </c>
    </row>
    <row r="346" spans="1:33" ht="12.75" customHeight="1">
      <c r="A346" s="65" t="str">
        <f>IFERROR(VLOOKUP('Informe Kelly'!A339,Base!A:B,2,FALSE),"")</f>
        <v>10.168.958-1</v>
      </c>
      <c r="B346" s="65" t="str">
        <f>IFERROR(VLOOKUP('Informe Kelly'!A339,Base!A:G,7,FALSE),"")</f>
        <v>RAMIREZ VASQUEZ RAUL</v>
      </c>
      <c r="C346" s="69" t="str">
        <f>IF(G346=$C$4,IF('Informe Kelly'!H339='Control informe Kelly'!$A$2,TEXT(((LEFT('Informe Kelly'!E339,2)*1)+1),"dd")&amp;"."&amp;MID('Informe Kelly'!E339,4,2)&amp;"."&amp;RIGHT('Informe Kelly'!E339,4),'Informe Kelly'!E339),'Informe Kelly'!E339)</f>
        <v>11.04.2011</v>
      </c>
      <c r="D346" s="69" t="str">
        <f>IF('Informe Kelly'!E339="","",'Informe Kelly'!E339)</f>
        <v>11.04.2011</v>
      </c>
      <c r="E346" s="72">
        <f t="shared" si="11"/>
        <v>173</v>
      </c>
      <c r="F346" s="72" t="str">
        <f>IFERROR(HLOOKUP(C346,Ingreso!$Q$8:$AD$9,2,FALSE),"v")</f>
        <v>Lunes</v>
      </c>
      <c r="G346" s="65" t="str">
        <f>IFERROR(VLOOKUP(A346,Ingreso!K:P,6,FALSE),"no esta ingresado")</f>
        <v>Turno B</v>
      </c>
      <c r="H346" s="65" t="str">
        <f>IFERROR(IF('Informe Kelly'!H339=$A$2,'Informe Kelly'!F339,""),0)</f>
        <v/>
      </c>
      <c r="I346" s="65">
        <f>IFERROR(IF('Informe Kelly'!H339=$A$3,'Informe Kelly'!F339,""),0)</f>
        <v>0.94569444444444439</v>
      </c>
      <c r="J346" s="65" t="str">
        <f>IF(IFERROR(IF(E346=E345,0,(HLOOKUP(D346,Ingreso!$AN$10:$AT$260,VLOOKUP(A346,Ingreso!$AL$11:$AM$260,2,FALSE)))/24),0)=0,"",IFERROR(IF(E346=E345,0,(HLOOKUP(D346,Ingreso!$AN$10:$AT$260,VLOOKUP(A346,Ingreso!$AL$11:$AM$260,2,FALSE)))/24),0))</f>
        <v/>
      </c>
      <c r="K346" s="65" t="str">
        <f>IF(IFERROR(IF(E346=E345,0,(HLOOKUP(C346,Ingreso!$AW$10:$BC$260,VLOOKUP(A346,Ingreso!$AL$11:$AM$260,2,FALSE)))/24),0)=0,"",IFERROR(IF(E346=E345,0,(HLOOKUP(C346,Ingreso!$AW$10:$BC$260,VLOOKUP(A346,Ingreso!$AL$11:$AM$260,2,FALSE)))/24),0))</f>
        <v/>
      </c>
      <c r="L346" s="63">
        <f t="shared" si="10"/>
        <v>0.3125</v>
      </c>
      <c r="M346" s="63" t="str">
        <f>IF(IFERROR(IF(C346=C344,0,IF(E346=E345,0,IF(C346=$R$2,HLOOKUP($R$2,Ingreso!$AW$10:$BC$260,VLOOKUP(A346,Ingreso!AL:AM,2,FALSE),FALSE)/24,""))),"")=0,"",IFERROR(IF(C346=C344,0,IF(E346=E345,0,IF(C346=$R$2,HLOOKUP($R$2,Ingreso!$AW$10:$BC$260,VLOOKUP(A346,Ingreso!AL:AM,2,FALSE),FALSE)/24,""))),""))</f>
        <v/>
      </c>
      <c r="N346" s="95" t="str">
        <f>IF(IFERROR(IF(C346=C344,0,IF(E346=E345,0,IF(C346=$R$3,HLOOKUP($R$3,Ingreso!$AW$10:$BC$260,VLOOKUP(A346,Ingreso!AL:AM,2,FALSE),FALSE)/24,""))),"")=0,"",IFERROR(IF(C346=C344,0,IF(E346=E345,0,IF(C346=$R$3,HLOOKUP($R$3,Ingreso!$AW$10:$BC$260,VLOOKUP(A346,Ingreso!AL:AM,2,FALSE),FALSE)/24,""))),""))</f>
        <v/>
      </c>
      <c r="O346" s="95" t="str">
        <f>IF(IFERROR(IF(C346=C344,0,IF(E346=E345,0,IF(C346=$R$4,HLOOKUP($R$4,Ingreso!$AW$10:$BC$260,VLOOKUP(A346,Ingreso!AL:AM,2,FALSE),FALSE)/24,""))),"")=0,"",IFERROR(IF(C346=C344,0,IF(E346=E345,0,IF(C346=$R$4,HLOOKUP($R$4,Ingreso!$AW$10:$BC$260,VLOOKUP(A346,Ingreso!AL:AM,2,FALSE),FALSE)/24,""))),""))</f>
        <v/>
      </c>
      <c r="P346" s="90"/>
      <c r="T346" t="s">
        <v>1425</v>
      </c>
      <c r="U346" t="s">
        <v>1324</v>
      </c>
      <c r="V346" t="s">
        <v>1400</v>
      </c>
      <c r="W346" s="82">
        <v>411</v>
      </c>
      <c r="X346" s="71">
        <v>0.375</v>
      </c>
      <c r="Y346" s="101">
        <v>0.9252893518518519</v>
      </c>
      <c r="Z346" s="101">
        <v>0.3059027777777778</v>
      </c>
      <c r="AA346" s="101">
        <v>0.38061342592592595</v>
      </c>
      <c r="AB346" s="101">
        <v>5.6134259259259522E-3</v>
      </c>
      <c r="AC346" s="105">
        <v>0</v>
      </c>
      <c r="AD346" s="105">
        <v>0</v>
      </c>
      <c r="AE346" s="93">
        <v>0</v>
      </c>
      <c r="AF346" s="93">
        <v>0</v>
      </c>
      <c r="AG346" s="93">
        <v>0</v>
      </c>
    </row>
    <row r="347" spans="1:33">
      <c r="A347" s="65" t="str">
        <f>IFERROR(VLOOKUP('Informe Kelly'!A340,Base!A:B,2,FALSE),"")</f>
        <v>10.168.958-1</v>
      </c>
      <c r="B347" s="65" t="str">
        <f>IFERROR(VLOOKUP('Informe Kelly'!A340,Base!A:G,7,FALSE),"")</f>
        <v>RAMIREZ VASQUEZ RAUL</v>
      </c>
      <c r="C347" s="69" t="str">
        <f>IF(G347=$C$4,IF('Informe Kelly'!H340='Control informe Kelly'!$A$2,TEXT(((LEFT('Informe Kelly'!E340,2)*1)+1),"dd")&amp;"."&amp;MID('Informe Kelly'!E340,4,2)&amp;"."&amp;RIGHT('Informe Kelly'!E340,4),'Informe Kelly'!E340),'Informe Kelly'!E340)</f>
        <v>11.04.2011</v>
      </c>
      <c r="D347" s="69" t="str">
        <f>IF('Informe Kelly'!E340="","",'Informe Kelly'!E340)</f>
        <v>11.04.2011</v>
      </c>
      <c r="E347" s="72">
        <f t="shared" si="11"/>
        <v>173</v>
      </c>
      <c r="F347" s="72" t="str">
        <f>IFERROR(HLOOKUP(C347,Ingreso!$Q$8:$AD$9,2,FALSE),"v")</f>
        <v>Lunes</v>
      </c>
      <c r="G347" s="65" t="str">
        <f>IFERROR(VLOOKUP(A347,Ingreso!K:P,6,FALSE),"no esta ingresado")</f>
        <v>Turno B</v>
      </c>
      <c r="H347" s="65">
        <f>IFERROR(IF('Informe Kelly'!H340=$A$2,'Informe Kelly'!F340,""),0)</f>
        <v>0.60730324074074071</v>
      </c>
      <c r="I347" s="65" t="str">
        <f>IFERROR(IF('Informe Kelly'!H340=$A$3,'Informe Kelly'!F340,""),0)</f>
        <v/>
      </c>
      <c r="J347" s="65" t="str">
        <f>IF(IFERROR(IF(E347=E346,0,(HLOOKUP(D347,Ingreso!$AN$10:$AT$260,VLOOKUP(A347,Ingreso!$AL$11:$AM$260,2,FALSE)))/24),0)=0,"",IFERROR(IF(E347=E346,0,(HLOOKUP(D347,Ingreso!$AN$10:$AT$260,VLOOKUP(A347,Ingreso!$AL$11:$AM$260,2,FALSE)))/24),0))</f>
        <v/>
      </c>
      <c r="K347" s="65" t="str">
        <f>IF(IFERROR(IF(E347=E346,0,(HLOOKUP(C347,Ingreso!$AW$10:$BC$260,VLOOKUP(A347,Ingreso!$AL$11:$AM$260,2,FALSE)))/24),0)=0,"",IFERROR(IF(E347=E346,0,(HLOOKUP(C347,Ingreso!$AW$10:$BC$260,VLOOKUP(A347,Ingreso!$AL$11:$AM$260,2,FALSE)))/24),0))</f>
        <v/>
      </c>
      <c r="L347" s="63">
        <f t="shared" si="10"/>
        <v>0</v>
      </c>
      <c r="M347" s="63" t="str">
        <f>IF(IFERROR(IF(C347=C345,0,IF(E347=E346,0,IF(C347=$R$2,HLOOKUP($R$2,Ingreso!$AW$10:$BC$260,VLOOKUP(A347,Ingreso!AL:AM,2,FALSE),FALSE)/24,""))),"")=0,"",IFERROR(IF(C347=C345,0,IF(E347=E346,0,IF(C347=$R$2,HLOOKUP($R$2,Ingreso!$AW$10:$BC$260,VLOOKUP(A347,Ingreso!AL:AM,2,FALSE),FALSE)/24,""))),""))</f>
        <v/>
      </c>
      <c r="N347" s="95" t="str">
        <f>IF(IFERROR(IF(C347=C345,0,IF(E347=E346,0,IF(C347=$R$3,HLOOKUP($R$3,Ingreso!$AW$10:$BC$260,VLOOKUP(A347,Ingreso!AL:AM,2,FALSE),FALSE)/24,""))),"")=0,"",IFERROR(IF(C347=C345,0,IF(E347=E346,0,IF(C347=$R$3,HLOOKUP($R$3,Ingreso!$AW$10:$BC$260,VLOOKUP(A347,Ingreso!AL:AM,2,FALSE),FALSE)/24,""))),""))</f>
        <v/>
      </c>
      <c r="O347" s="95" t="str">
        <f>IF(IFERROR(IF(C347=C345,0,IF(E347=E346,0,IF(C347=$R$4,HLOOKUP($R$4,Ingreso!$AW$10:$BC$260,VLOOKUP(A347,Ingreso!AL:AM,2,FALSE),FALSE)/24,""))),"")=0,"",IFERROR(IF(C347=C345,0,IF(E347=E346,0,IF(C347=$R$4,HLOOKUP($R$4,Ingreso!$AW$10:$BC$260,VLOOKUP(A347,Ingreso!AL:AM,2,FALSE),FALSE)/24,""))),""))</f>
        <v/>
      </c>
      <c r="P347" s="90"/>
      <c r="T347" t="s">
        <v>1426</v>
      </c>
      <c r="U347" t="s">
        <v>1324</v>
      </c>
      <c r="V347" t="s">
        <v>1401</v>
      </c>
      <c r="W347" s="82">
        <v>412</v>
      </c>
      <c r="X347" s="71">
        <v>0.375</v>
      </c>
      <c r="Y347" s="101">
        <v>0.9284027777777778</v>
      </c>
      <c r="Z347" s="101">
        <v>0.31287037037037035</v>
      </c>
      <c r="AA347" s="101">
        <v>0.38446759259259256</v>
      </c>
      <c r="AB347" s="101">
        <v>9.4675925925925553E-3</v>
      </c>
      <c r="AC347" s="105">
        <v>0</v>
      </c>
      <c r="AD347" s="105">
        <v>0</v>
      </c>
      <c r="AE347" s="93">
        <v>0</v>
      </c>
      <c r="AF347" s="93">
        <v>0</v>
      </c>
      <c r="AG347" s="93">
        <v>0</v>
      </c>
    </row>
    <row r="348" spans="1:33">
      <c r="A348" s="65" t="str">
        <f>IFERROR(VLOOKUP('Informe Kelly'!A341,Base!A:B,2,FALSE),"")</f>
        <v>10.168.958-1</v>
      </c>
      <c r="B348" s="65" t="str">
        <f>IFERROR(VLOOKUP('Informe Kelly'!A341,Base!A:G,7,FALSE),"")</f>
        <v>RAMIREZ VASQUEZ RAUL</v>
      </c>
      <c r="C348" s="69" t="str">
        <f>IF(G348=$C$4,IF('Informe Kelly'!H341='Control informe Kelly'!$A$2,TEXT(((LEFT('Informe Kelly'!E341,2)*1)+1),"dd")&amp;"."&amp;MID('Informe Kelly'!E341,4,2)&amp;"."&amp;RIGHT('Informe Kelly'!E341,4),'Informe Kelly'!E341),'Informe Kelly'!E341)</f>
        <v>12.04.2011</v>
      </c>
      <c r="D348" s="69" t="str">
        <f>IF('Informe Kelly'!E341="","",'Informe Kelly'!E341)</f>
        <v>12.04.2011</v>
      </c>
      <c r="E348" s="72">
        <f t="shared" si="11"/>
        <v>174</v>
      </c>
      <c r="F348" s="72" t="str">
        <f>IFERROR(HLOOKUP(C348,Ingreso!$Q$8:$AD$9,2,FALSE),"v")</f>
        <v>Martes</v>
      </c>
      <c r="G348" s="65" t="str">
        <f>IFERROR(VLOOKUP(A348,Ingreso!K:P,6,FALSE),"no esta ingresado")</f>
        <v>Turno B</v>
      </c>
      <c r="H348" s="65" t="str">
        <f>IFERROR(IF('Informe Kelly'!H341=$A$2,'Informe Kelly'!F341,""),0)</f>
        <v/>
      </c>
      <c r="I348" s="65">
        <f>IFERROR(IF('Informe Kelly'!H341=$A$3,'Informe Kelly'!F341,""),0)</f>
        <v>0.9471180555555555</v>
      </c>
      <c r="J348" s="65" t="str">
        <f>IF(IFERROR(IF(E348=E347,0,(HLOOKUP(D348,Ingreso!$AN$10:$AT$260,VLOOKUP(A348,Ingreso!$AL$11:$AM$260,2,FALSE)))/24),0)=0,"",IFERROR(IF(E348=E347,0,(HLOOKUP(D348,Ingreso!$AN$10:$AT$260,VLOOKUP(A348,Ingreso!$AL$11:$AM$260,2,FALSE)))/24),0))</f>
        <v/>
      </c>
      <c r="K348" s="65" t="str">
        <f>IF(IFERROR(IF(E348=E347,0,(HLOOKUP(C348,Ingreso!$AW$10:$BC$260,VLOOKUP(A348,Ingreso!$AL$11:$AM$260,2,FALSE)))/24),0)=0,"",IFERROR(IF(E348=E347,0,(HLOOKUP(C348,Ingreso!$AW$10:$BC$260,VLOOKUP(A348,Ingreso!$AL$11:$AM$260,2,FALSE)))/24),0))</f>
        <v/>
      </c>
      <c r="L348" s="63">
        <f t="shared" si="10"/>
        <v>0.3125</v>
      </c>
      <c r="M348" s="63" t="str">
        <f>IF(IFERROR(IF(C348=C346,0,IF(E348=E347,0,IF(C348=$R$2,HLOOKUP($R$2,Ingreso!$AW$10:$BC$260,VLOOKUP(A348,Ingreso!AL:AM,2,FALSE),FALSE)/24,""))),"")=0,"",IFERROR(IF(C348=C346,0,IF(E348=E347,0,IF(C348=$R$2,HLOOKUP($R$2,Ingreso!$AW$10:$BC$260,VLOOKUP(A348,Ingreso!AL:AM,2,FALSE),FALSE)/24,""))),""))</f>
        <v/>
      </c>
      <c r="N348" s="95" t="str">
        <f>IF(IFERROR(IF(C348=C346,0,IF(E348=E347,0,IF(C348=$R$3,HLOOKUP($R$3,Ingreso!$AW$10:$BC$260,VLOOKUP(A348,Ingreso!AL:AM,2,FALSE),FALSE)/24,""))),"")=0,"",IFERROR(IF(C348=C346,0,IF(E348=E347,0,IF(C348=$R$3,HLOOKUP($R$3,Ingreso!$AW$10:$BC$260,VLOOKUP(A348,Ingreso!AL:AM,2,FALSE),FALSE)/24,""))),""))</f>
        <v/>
      </c>
      <c r="O348" s="95" t="str">
        <f>IF(IFERROR(IF(C348=C346,0,IF(E348=E347,0,IF(C348=$R$4,HLOOKUP($R$4,Ingreso!$AW$10:$BC$260,VLOOKUP(A348,Ingreso!AL:AM,2,FALSE),FALSE)/24,""))),"")=0,"",IFERROR(IF(C348=C346,0,IF(E348=E347,0,IF(C348=$R$4,HLOOKUP($R$4,Ingreso!$AW$10:$BC$260,VLOOKUP(A348,Ingreso!AL:AM,2,FALSE),FALSE)/24,""))),""))</f>
        <v/>
      </c>
      <c r="P348" s="90"/>
      <c r="T348" t="s">
        <v>1427</v>
      </c>
      <c r="U348" t="s">
        <v>1324</v>
      </c>
      <c r="V348" t="s">
        <v>1402</v>
      </c>
      <c r="W348" s="82">
        <v>413</v>
      </c>
      <c r="X348" s="71">
        <v>0.375</v>
      </c>
      <c r="Y348" s="101">
        <v>0.92721064814814813</v>
      </c>
      <c r="Z348" s="101">
        <v>0.31425925925925924</v>
      </c>
      <c r="AA348" s="101">
        <v>0.38704861111111111</v>
      </c>
      <c r="AB348" s="101">
        <v>1.2048611111111107E-2</v>
      </c>
      <c r="AC348" s="105">
        <v>0</v>
      </c>
      <c r="AD348" s="105">
        <v>0</v>
      </c>
      <c r="AE348" s="93">
        <v>0</v>
      </c>
      <c r="AF348" s="93">
        <v>0</v>
      </c>
      <c r="AG348" s="93">
        <v>0</v>
      </c>
    </row>
    <row r="349" spans="1:33">
      <c r="A349" s="65" t="str">
        <f>IFERROR(VLOOKUP('Informe Kelly'!A342,Base!A:B,2,FALSE),"")</f>
        <v>10.168.958-1</v>
      </c>
      <c r="B349" s="65" t="str">
        <f>IFERROR(VLOOKUP('Informe Kelly'!A342,Base!A:G,7,FALSE),"")</f>
        <v>RAMIREZ VASQUEZ RAUL</v>
      </c>
      <c r="C349" s="69" t="str">
        <f>IF(G349=$C$4,IF('Informe Kelly'!H342='Control informe Kelly'!$A$2,TEXT(((LEFT('Informe Kelly'!E342,2)*1)+1),"dd")&amp;"."&amp;MID('Informe Kelly'!E342,4,2)&amp;"."&amp;RIGHT('Informe Kelly'!E342,4),'Informe Kelly'!E342),'Informe Kelly'!E342)</f>
        <v>12.04.2011</v>
      </c>
      <c r="D349" s="69" t="str">
        <f>IF('Informe Kelly'!E342="","",'Informe Kelly'!E342)</f>
        <v>12.04.2011</v>
      </c>
      <c r="E349" s="72">
        <f t="shared" si="11"/>
        <v>174</v>
      </c>
      <c r="F349" s="72" t="str">
        <f>IFERROR(HLOOKUP(C349,Ingreso!$Q$8:$AD$9,2,FALSE),"v")</f>
        <v>Martes</v>
      </c>
      <c r="G349" s="65" t="str">
        <f>IFERROR(VLOOKUP(A349,Ingreso!K:P,6,FALSE),"no esta ingresado")</f>
        <v>Turno B</v>
      </c>
      <c r="H349" s="65">
        <f>IFERROR(IF('Informe Kelly'!H342=$A$2,'Informe Kelly'!F342,""),0)</f>
        <v>0.60673611111111114</v>
      </c>
      <c r="I349" s="65" t="str">
        <f>IFERROR(IF('Informe Kelly'!H342=$A$3,'Informe Kelly'!F342,""),0)</f>
        <v/>
      </c>
      <c r="J349" s="65" t="str">
        <f>IF(IFERROR(IF(E349=E348,0,(HLOOKUP(D349,Ingreso!$AN$10:$AT$260,VLOOKUP(A349,Ingreso!$AL$11:$AM$260,2,FALSE)))/24),0)=0,"",IFERROR(IF(E349=E348,0,(HLOOKUP(D349,Ingreso!$AN$10:$AT$260,VLOOKUP(A349,Ingreso!$AL$11:$AM$260,2,FALSE)))/24),0))</f>
        <v/>
      </c>
      <c r="K349" s="65" t="str">
        <f>IF(IFERROR(IF(E349=E348,0,(HLOOKUP(C349,Ingreso!$AW$10:$BC$260,VLOOKUP(A349,Ingreso!$AL$11:$AM$260,2,FALSE)))/24),0)=0,"",IFERROR(IF(E349=E348,0,(HLOOKUP(C349,Ingreso!$AW$10:$BC$260,VLOOKUP(A349,Ingreso!$AL$11:$AM$260,2,FALSE)))/24),0))</f>
        <v/>
      </c>
      <c r="L349" s="63">
        <f t="shared" si="10"/>
        <v>0</v>
      </c>
      <c r="M349" s="63" t="str">
        <f>IF(IFERROR(IF(C349=C347,0,IF(E349=E348,0,IF(C349=$R$2,HLOOKUP($R$2,Ingreso!$AW$10:$BC$260,VLOOKUP(A349,Ingreso!AL:AM,2,FALSE),FALSE)/24,""))),"")=0,"",IFERROR(IF(C349=C347,0,IF(E349=E348,0,IF(C349=$R$2,HLOOKUP($R$2,Ingreso!$AW$10:$BC$260,VLOOKUP(A349,Ingreso!AL:AM,2,FALSE),FALSE)/24,""))),""))</f>
        <v/>
      </c>
      <c r="N349" s="95" t="str">
        <f>IF(IFERROR(IF(C349=C347,0,IF(E349=E348,0,IF(C349=$R$3,HLOOKUP($R$3,Ingreso!$AW$10:$BC$260,VLOOKUP(A349,Ingreso!AL:AM,2,FALSE),FALSE)/24,""))),"")=0,"",IFERROR(IF(C349=C347,0,IF(E349=E348,0,IF(C349=$R$3,HLOOKUP($R$3,Ingreso!$AW$10:$BC$260,VLOOKUP(A349,Ingreso!AL:AM,2,FALSE),FALSE)/24,""))),""))</f>
        <v/>
      </c>
      <c r="O349" s="95" t="str">
        <f>IF(IFERROR(IF(C349=C347,0,IF(E349=E348,0,IF(C349=$R$4,HLOOKUP($R$4,Ingreso!$AW$10:$BC$260,VLOOKUP(A349,Ingreso!AL:AM,2,FALSE),FALSE)/24,""))),"")=0,"",IFERROR(IF(C349=C347,0,IF(E349=E348,0,IF(C349=$R$4,HLOOKUP($R$4,Ingreso!$AW$10:$BC$260,VLOOKUP(A349,Ingreso!AL:AM,2,FALSE),FALSE)/24,""))),""))</f>
        <v/>
      </c>
      <c r="P349" s="90"/>
      <c r="T349" t="s">
        <v>1433</v>
      </c>
      <c r="U349" t="s">
        <v>1324</v>
      </c>
      <c r="V349" t="s">
        <v>1436</v>
      </c>
      <c r="W349" s="82">
        <v>414</v>
      </c>
      <c r="X349" s="71">
        <v>0.375</v>
      </c>
      <c r="Y349" s="101">
        <v>0.98758101851851843</v>
      </c>
      <c r="Z349" s="101">
        <v>0</v>
      </c>
      <c r="AA349" s="101">
        <v>1.2418981481481572E-2</v>
      </c>
      <c r="AB349" s="101">
        <v>-0.36258101851851843</v>
      </c>
      <c r="AC349" s="105">
        <v>0</v>
      </c>
      <c r="AD349" s="105">
        <v>0</v>
      </c>
      <c r="AE349" s="93">
        <v>0</v>
      </c>
      <c r="AF349" s="93">
        <v>0</v>
      </c>
      <c r="AG349" s="93">
        <v>0</v>
      </c>
    </row>
    <row r="350" spans="1:33">
      <c r="A350" s="65" t="str">
        <f>IFERROR(VLOOKUP('Informe Kelly'!A343,Base!A:B,2,FALSE),"")</f>
        <v>10.168.958-1</v>
      </c>
      <c r="B350" s="65" t="str">
        <f>IFERROR(VLOOKUP('Informe Kelly'!A343,Base!A:G,7,FALSE),"")</f>
        <v>RAMIREZ VASQUEZ RAUL</v>
      </c>
      <c r="C350" s="69" t="str">
        <f>IF(G350=$C$4,IF('Informe Kelly'!H343='Control informe Kelly'!$A$2,TEXT(((LEFT('Informe Kelly'!E343,2)*1)+1),"dd")&amp;"."&amp;MID('Informe Kelly'!E343,4,2)&amp;"."&amp;RIGHT('Informe Kelly'!E343,4),'Informe Kelly'!E343),'Informe Kelly'!E343)</f>
        <v>13.04.2011</v>
      </c>
      <c r="D350" s="69" t="str">
        <f>IF('Informe Kelly'!E343="","",'Informe Kelly'!E343)</f>
        <v>13.04.2011</v>
      </c>
      <c r="E350" s="72">
        <f t="shared" si="11"/>
        <v>175</v>
      </c>
      <c r="F350" s="72" t="str">
        <f>IFERROR(HLOOKUP(C350,Ingreso!$Q$8:$AD$9,2,FALSE),"v")</f>
        <v>Miércoles</v>
      </c>
      <c r="G350" s="65" t="str">
        <f>IFERROR(VLOOKUP(A350,Ingreso!K:P,6,FALSE),"no esta ingresado")</f>
        <v>Turno B</v>
      </c>
      <c r="H350" s="65" t="str">
        <f>IFERROR(IF('Informe Kelly'!H343=$A$2,'Informe Kelly'!F343,""),0)</f>
        <v/>
      </c>
      <c r="I350" s="65">
        <f>IFERROR(IF('Informe Kelly'!H343=$A$3,'Informe Kelly'!F343,""),0)</f>
        <v>0.94635416666666661</v>
      </c>
      <c r="J350" s="65" t="str">
        <f>IF(IFERROR(IF(E350=E349,0,(HLOOKUP(D350,Ingreso!$AN$10:$AT$260,VLOOKUP(A350,Ingreso!$AL$11:$AM$260,2,FALSE)))/24),0)=0,"",IFERROR(IF(E350=E349,0,(HLOOKUP(D350,Ingreso!$AN$10:$AT$260,VLOOKUP(A350,Ingreso!$AL$11:$AM$260,2,FALSE)))/24),0))</f>
        <v/>
      </c>
      <c r="K350" s="65" t="str">
        <f>IF(IFERROR(IF(E350=E349,0,(HLOOKUP(C350,Ingreso!$AW$10:$BC$260,VLOOKUP(A350,Ingreso!$AL$11:$AM$260,2,FALSE)))/24),0)=0,"",IFERROR(IF(E350=E349,0,(HLOOKUP(C350,Ingreso!$AW$10:$BC$260,VLOOKUP(A350,Ingreso!$AL$11:$AM$260,2,FALSE)))/24),0))</f>
        <v/>
      </c>
      <c r="L350" s="63">
        <f t="shared" si="10"/>
        <v>0.3125</v>
      </c>
      <c r="M350" s="63" t="str">
        <f>IF(IFERROR(IF(C350=C348,0,IF(E350=E349,0,IF(C350=$R$2,HLOOKUP($R$2,Ingreso!$AW$10:$BC$260,VLOOKUP(A350,Ingreso!AL:AM,2,FALSE),FALSE)/24,""))),"")=0,"",IFERROR(IF(C350=C348,0,IF(E350=E349,0,IF(C350=$R$2,HLOOKUP($R$2,Ingreso!$AW$10:$BC$260,VLOOKUP(A350,Ingreso!AL:AM,2,FALSE),FALSE)/24,""))),""))</f>
        <v/>
      </c>
      <c r="N350" s="95" t="str">
        <f>IF(IFERROR(IF(C350=C348,0,IF(E350=E349,0,IF(C350=$R$3,HLOOKUP($R$3,Ingreso!$AW$10:$BC$260,VLOOKUP(A350,Ingreso!AL:AM,2,FALSE),FALSE)/24,""))),"")=0,"",IFERROR(IF(C350=C348,0,IF(E350=E349,0,IF(C350=$R$3,HLOOKUP($R$3,Ingreso!$AW$10:$BC$260,VLOOKUP(A350,Ingreso!AL:AM,2,FALSE),FALSE)/24,""))),""))</f>
        <v/>
      </c>
      <c r="O350" s="95" t="str">
        <f>IF(IFERROR(IF(C350=C348,0,IF(E350=E349,0,IF(C350=$R$4,HLOOKUP($R$4,Ingreso!$AW$10:$BC$260,VLOOKUP(A350,Ingreso!AL:AM,2,FALSE),FALSE)/24,""))),"")=0,"",IFERROR(IF(C350=C348,0,IF(E350=E349,0,IF(C350=$R$4,HLOOKUP($R$4,Ingreso!$AW$10:$BC$260,VLOOKUP(A350,Ingreso!AL:AM,2,FALSE),FALSE)/24,""))),""))</f>
        <v/>
      </c>
      <c r="P350" s="90"/>
      <c r="R350" t="s">
        <v>679</v>
      </c>
      <c r="S350" t="s">
        <v>684</v>
      </c>
      <c r="T350" t="s">
        <v>1420</v>
      </c>
      <c r="U350" t="s">
        <v>1338</v>
      </c>
      <c r="V350" t="s">
        <v>1397</v>
      </c>
      <c r="W350" s="82">
        <v>427</v>
      </c>
      <c r="X350" s="71">
        <v>0.41666666666666669</v>
      </c>
      <c r="Y350" s="101">
        <v>0.35378472222222218</v>
      </c>
      <c r="Z350" s="101">
        <v>0.73265046296296299</v>
      </c>
      <c r="AA350" s="101">
        <v>0.37886574074074081</v>
      </c>
      <c r="AB350" s="101">
        <v>-3.7800925925925877E-2</v>
      </c>
      <c r="AC350" s="105">
        <v>0</v>
      </c>
      <c r="AD350" s="105">
        <v>0</v>
      </c>
      <c r="AE350" s="93">
        <v>0</v>
      </c>
      <c r="AF350" s="93">
        <v>0</v>
      </c>
      <c r="AG350" s="93">
        <v>0</v>
      </c>
    </row>
    <row r="351" spans="1:33">
      <c r="A351" s="65" t="str">
        <f>IFERROR(VLOOKUP('Informe Kelly'!A344,Base!A:B,2,FALSE),"")</f>
        <v>10.168.958-1</v>
      </c>
      <c r="B351" s="65" t="str">
        <f>IFERROR(VLOOKUP('Informe Kelly'!A344,Base!A:G,7,FALSE),"")</f>
        <v>RAMIREZ VASQUEZ RAUL</v>
      </c>
      <c r="C351" s="69" t="str">
        <f>IF(G351=$C$4,IF('Informe Kelly'!H344='Control informe Kelly'!$A$2,TEXT(((LEFT('Informe Kelly'!E344,2)*1)+1),"dd")&amp;"."&amp;MID('Informe Kelly'!E344,4,2)&amp;"."&amp;RIGHT('Informe Kelly'!E344,4),'Informe Kelly'!E344),'Informe Kelly'!E344)</f>
        <v>13.04.2011</v>
      </c>
      <c r="D351" s="69" t="str">
        <f>IF('Informe Kelly'!E344="","",'Informe Kelly'!E344)</f>
        <v>13.04.2011</v>
      </c>
      <c r="E351" s="72">
        <f t="shared" si="11"/>
        <v>175</v>
      </c>
      <c r="F351" s="72" t="str">
        <f>IFERROR(HLOOKUP(C351,Ingreso!$Q$8:$AD$9,2,FALSE),"v")</f>
        <v>Miércoles</v>
      </c>
      <c r="G351" s="65" t="str">
        <f>IFERROR(VLOOKUP(A351,Ingreso!K:P,6,FALSE),"no esta ingresado")</f>
        <v>Turno B</v>
      </c>
      <c r="H351" s="65">
        <f>IFERROR(IF('Informe Kelly'!H344=$A$2,'Informe Kelly'!F344,""),0)</f>
        <v>0.62677083333333339</v>
      </c>
      <c r="I351" s="65" t="str">
        <f>IFERROR(IF('Informe Kelly'!H344=$A$3,'Informe Kelly'!F344,""),0)</f>
        <v/>
      </c>
      <c r="J351" s="65" t="str">
        <f>IF(IFERROR(IF(E351=E350,0,(HLOOKUP(D351,Ingreso!$AN$10:$AT$260,VLOOKUP(A351,Ingreso!$AL$11:$AM$260,2,FALSE)))/24),0)=0,"",IFERROR(IF(E351=E350,0,(HLOOKUP(D351,Ingreso!$AN$10:$AT$260,VLOOKUP(A351,Ingreso!$AL$11:$AM$260,2,FALSE)))/24),0))</f>
        <v/>
      </c>
      <c r="K351" s="65" t="str">
        <f>IF(IFERROR(IF(E351=E350,0,(HLOOKUP(C351,Ingreso!$AW$10:$BC$260,VLOOKUP(A351,Ingreso!$AL$11:$AM$260,2,FALSE)))/24),0)=0,"",IFERROR(IF(E351=E350,0,(HLOOKUP(C351,Ingreso!$AW$10:$BC$260,VLOOKUP(A351,Ingreso!$AL$11:$AM$260,2,FALSE)))/24),0))</f>
        <v/>
      </c>
      <c r="L351" s="63">
        <f t="shared" si="10"/>
        <v>0</v>
      </c>
      <c r="M351" s="63" t="str">
        <f>IF(IFERROR(IF(C351=C349,0,IF(E351=E350,0,IF(C351=$R$2,HLOOKUP($R$2,Ingreso!$AW$10:$BC$260,VLOOKUP(A351,Ingreso!AL:AM,2,FALSE),FALSE)/24,""))),"")=0,"",IFERROR(IF(C351=C349,0,IF(E351=E350,0,IF(C351=$R$2,HLOOKUP($R$2,Ingreso!$AW$10:$BC$260,VLOOKUP(A351,Ingreso!AL:AM,2,FALSE),FALSE)/24,""))),""))</f>
        <v/>
      </c>
      <c r="N351" s="95" t="str">
        <f>IF(IFERROR(IF(C351=C349,0,IF(E351=E350,0,IF(C351=$R$3,HLOOKUP($R$3,Ingreso!$AW$10:$BC$260,VLOOKUP(A351,Ingreso!AL:AM,2,FALSE),FALSE)/24,""))),"")=0,"",IFERROR(IF(C351=C349,0,IF(E351=E350,0,IF(C351=$R$3,HLOOKUP($R$3,Ingreso!$AW$10:$BC$260,VLOOKUP(A351,Ingreso!AL:AM,2,FALSE),FALSE)/24,""))),""))</f>
        <v/>
      </c>
      <c r="O351" s="95" t="str">
        <f>IF(IFERROR(IF(C351=C349,0,IF(E351=E350,0,IF(C351=$R$4,HLOOKUP($R$4,Ingreso!$AW$10:$BC$260,VLOOKUP(A351,Ingreso!AL:AM,2,FALSE),FALSE)/24,""))),"")=0,"",IFERROR(IF(C351=C349,0,IF(E351=E350,0,IF(C351=$R$4,HLOOKUP($R$4,Ingreso!$AW$10:$BC$260,VLOOKUP(A351,Ingreso!AL:AM,2,FALSE),FALSE)/24,""))),""))</f>
        <v/>
      </c>
      <c r="P351" s="90"/>
      <c r="T351" t="s">
        <v>1423</v>
      </c>
      <c r="U351" t="s">
        <v>1338</v>
      </c>
      <c r="V351" t="s">
        <v>1398</v>
      </c>
      <c r="W351" s="82">
        <v>428</v>
      </c>
      <c r="X351" s="71">
        <v>0.41666666666666669</v>
      </c>
      <c r="Y351" s="101">
        <v>0.34534722222222225</v>
      </c>
      <c r="Z351" s="101">
        <v>0.73062499999999997</v>
      </c>
      <c r="AA351" s="101">
        <v>0.38527777777777772</v>
      </c>
      <c r="AB351" s="101">
        <v>-3.1388888888888966E-2</v>
      </c>
      <c r="AC351" s="105">
        <v>0</v>
      </c>
      <c r="AD351" s="105">
        <v>0</v>
      </c>
      <c r="AE351" s="93">
        <v>0</v>
      </c>
      <c r="AF351" s="93">
        <v>0</v>
      </c>
      <c r="AG351" s="93">
        <v>0</v>
      </c>
    </row>
    <row r="352" spans="1:33" ht="12.75" customHeight="1">
      <c r="A352" s="65" t="str">
        <f>IFERROR(VLOOKUP('Informe Kelly'!A345,Base!A:B,2,FALSE),"")</f>
        <v>10.168.958-1</v>
      </c>
      <c r="B352" s="65" t="str">
        <f>IFERROR(VLOOKUP('Informe Kelly'!A345,Base!A:G,7,FALSE),"")</f>
        <v>RAMIREZ VASQUEZ RAUL</v>
      </c>
      <c r="C352" s="69" t="str">
        <f>IF(G352=$C$4,IF('Informe Kelly'!H345='Control informe Kelly'!$A$2,TEXT(((LEFT('Informe Kelly'!E345,2)*1)+1),"dd")&amp;"."&amp;MID('Informe Kelly'!E345,4,2)&amp;"."&amp;RIGHT('Informe Kelly'!E345,4),'Informe Kelly'!E345),'Informe Kelly'!E345)</f>
        <v>14.04.2011</v>
      </c>
      <c r="D352" s="69" t="str">
        <f>IF('Informe Kelly'!E345="","",'Informe Kelly'!E345)</f>
        <v>14.04.2011</v>
      </c>
      <c r="E352" s="72">
        <f t="shared" si="11"/>
        <v>176</v>
      </c>
      <c r="F352" s="72" t="str">
        <f>IFERROR(HLOOKUP(C352,Ingreso!$Q$8:$AD$9,2,FALSE),"v")</f>
        <v>Jueves</v>
      </c>
      <c r="G352" s="65" t="str">
        <f>IFERROR(VLOOKUP(A352,Ingreso!K:P,6,FALSE),"no esta ingresado")</f>
        <v>Turno B</v>
      </c>
      <c r="H352" s="65" t="str">
        <f>IFERROR(IF('Informe Kelly'!H345=$A$2,'Informe Kelly'!F345,""),0)</f>
        <v/>
      </c>
      <c r="I352" s="65">
        <f>IFERROR(IF('Informe Kelly'!H345=$A$3,'Informe Kelly'!F345,""),0)</f>
        <v>0.95089120370370372</v>
      </c>
      <c r="J352" s="65" t="str">
        <f>IF(IFERROR(IF(E352=E351,0,(HLOOKUP(D352,Ingreso!$AN$10:$AT$260,VLOOKUP(A352,Ingreso!$AL$11:$AM$260,2,FALSE)))/24),0)=0,"",IFERROR(IF(E352=E351,0,(HLOOKUP(D352,Ingreso!$AN$10:$AT$260,VLOOKUP(A352,Ingreso!$AL$11:$AM$260,2,FALSE)))/24),0))</f>
        <v/>
      </c>
      <c r="K352" s="65" t="str">
        <f>IF(IFERROR(IF(E352=E351,0,(HLOOKUP(C352,Ingreso!$AW$10:$BC$260,VLOOKUP(A352,Ingreso!$AL$11:$AM$260,2,FALSE)))/24),0)=0,"",IFERROR(IF(E352=E351,0,(HLOOKUP(C352,Ingreso!$AW$10:$BC$260,VLOOKUP(A352,Ingreso!$AL$11:$AM$260,2,FALSE)))/24),0))</f>
        <v/>
      </c>
      <c r="L352" s="63">
        <f t="shared" si="10"/>
        <v>0.3125</v>
      </c>
      <c r="M352" s="63" t="str">
        <f>IF(IFERROR(IF(C352=C350,0,IF(E352=E351,0,IF(C352=$R$2,HLOOKUP($R$2,Ingreso!$AW$10:$BC$260,VLOOKUP(A352,Ingreso!AL:AM,2,FALSE),FALSE)/24,""))),"")=0,"",IFERROR(IF(C352=C350,0,IF(E352=E351,0,IF(C352=$R$2,HLOOKUP($R$2,Ingreso!$AW$10:$BC$260,VLOOKUP(A352,Ingreso!AL:AM,2,FALSE),FALSE)/24,""))),""))</f>
        <v/>
      </c>
      <c r="N352" s="95" t="str">
        <f>IF(IFERROR(IF(C352=C350,0,IF(E352=E351,0,IF(C352=$R$3,HLOOKUP($R$3,Ingreso!$AW$10:$BC$260,VLOOKUP(A352,Ingreso!AL:AM,2,FALSE),FALSE)/24,""))),"")=0,"",IFERROR(IF(C352=C350,0,IF(E352=E351,0,IF(C352=$R$3,HLOOKUP($R$3,Ingreso!$AW$10:$BC$260,VLOOKUP(A352,Ingreso!AL:AM,2,FALSE),FALSE)/24,""))),""))</f>
        <v/>
      </c>
      <c r="O352" s="95" t="str">
        <f>IF(IFERROR(IF(C352=C350,0,IF(E352=E351,0,IF(C352=$R$4,HLOOKUP($R$4,Ingreso!$AW$10:$BC$260,VLOOKUP(A352,Ingreso!AL:AM,2,FALSE),FALSE)/24,""))),"")=0,"",IFERROR(IF(C352=C350,0,IF(E352=E351,0,IF(C352=$R$4,HLOOKUP($R$4,Ingreso!$AW$10:$BC$260,VLOOKUP(A352,Ingreso!AL:AM,2,FALSE),FALSE)/24,""))),""))</f>
        <v/>
      </c>
      <c r="P352" s="90"/>
      <c r="T352" t="s">
        <v>1424</v>
      </c>
      <c r="U352" t="s">
        <v>1338</v>
      </c>
      <c r="V352" t="s">
        <v>1399</v>
      </c>
      <c r="W352" s="82">
        <v>429</v>
      </c>
      <c r="X352" s="71">
        <v>0.41666666666666669</v>
      </c>
      <c r="Y352" s="101">
        <v>0.34967592592592595</v>
      </c>
      <c r="Z352" s="101">
        <v>0.73314814814814822</v>
      </c>
      <c r="AA352" s="101">
        <v>0.38347222222222227</v>
      </c>
      <c r="AB352" s="101">
        <v>-3.3194444444444415E-2</v>
      </c>
      <c r="AC352" s="105">
        <v>0</v>
      </c>
      <c r="AD352" s="105">
        <v>0</v>
      </c>
      <c r="AE352" s="93">
        <v>0</v>
      </c>
      <c r="AF352" s="93">
        <v>0</v>
      </c>
      <c r="AG352" s="93">
        <v>0</v>
      </c>
    </row>
    <row r="353" spans="1:33">
      <c r="A353" s="65" t="str">
        <f>IFERROR(VLOOKUP('Informe Kelly'!A346,Base!A:B,2,FALSE),"")</f>
        <v>10.168.958-1</v>
      </c>
      <c r="B353" s="65" t="str">
        <f>IFERROR(VLOOKUP('Informe Kelly'!A346,Base!A:G,7,FALSE),"")</f>
        <v>RAMIREZ VASQUEZ RAUL</v>
      </c>
      <c r="C353" s="69" t="str">
        <f>IF(G353=$C$4,IF('Informe Kelly'!H346='Control informe Kelly'!$A$2,TEXT(((LEFT('Informe Kelly'!E346,2)*1)+1),"dd")&amp;"."&amp;MID('Informe Kelly'!E346,4,2)&amp;"."&amp;RIGHT('Informe Kelly'!E346,4),'Informe Kelly'!E346),'Informe Kelly'!E346)</f>
        <v>14.04.2011</v>
      </c>
      <c r="D353" s="69" t="str">
        <f>IF('Informe Kelly'!E346="","",'Informe Kelly'!E346)</f>
        <v>14.04.2011</v>
      </c>
      <c r="E353" s="72">
        <f t="shared" si="11"/>
        <v>176</v>
      </c>
      <c r="F353" s="72" t="str">
        <f>IFERROR(HLOOKUP(C353,Ingreso!$Q$8:$AD$9,2,FALSE),"v")</f>
        <v>Jueves</v>
      </c>
      <c r="G353" s="65" t="str">
        <f>IFERROR(VLOOKUP(A353,Ingreso!K:P,6,FALSE),"no esta ingresado")</f>
        <v>Turno B</v>
      </c>
      <c r="H353" s="65">
        <f>IFERROR(IF('Informe Kelly'!H346=$A$2,'Informe Kelly'!F346,""),0)</f>
        <v>0.60780092592592594</v>
      </c>
      <c r="I353" s="65" t="str">
        <f>IFERROR(IF('Informe Kelly'!H346=$A$3,'Informe Kelly'!F346,""),0)</f>
        <v/>
      </c>
      <c r="J353" s="65" t="str">
        <f>IF(IFERROR(IF(E353=E352,0,(HLOOKUP(D353,Ingreso!$AN$10:$AT$260,VLOOKUP(A353,Ingreso!$AL$11:$AM$260,2,FALSE)))/24),0)=0,"",IFERROR(IF(E353=E352,0,(HLOOKUP(D353,Ingreso!$AN$10:$AT$260,VLOOKUP(A353,Ingreso!$AL$11:$AM$260,2,FALSE)))/24),0))</f>
        <v/>
      </c>
      <c r="K353" s="65" t="str">
        <f>IF(IFERROR(IF(E353=E352,0,(HLOOKUP(C353,Ingreso!$AW$10:$BC$260,VLOOKUP(A353,Ingreso!$AL$11:$AM$260,2,FALSE)))/24),0)=0,"",IFERROR(IF(E353=E352,0,(HLOOKUP(C353,Ingreso!$AW$10:$BC$260,VLOOKUP(A353,Ingreso!$AL$11:$AM$260,2,FALSE)))/24),0))</f>
        <v/>
      </c>
      <c r="L353" s="63">
        <f t="shared" si="10"/>
        <v>0</v>
      </c>
      <c r="M353" s="63" t="str">
        <f>IF(IFERROR(IF(C353=C351,0,IF(E353=E352,0,IF(C353=$R$2,HLOOKUP($R$2,Ingreso!$AW$10:$BC$260,VLOOKUP(A353,Ingreso!AL:AM,2,FALSE),FALSE)/24,""))),"")=0,"",IFERROR(IF(C353=C351,0,IF(E353=E352,0,IF(C353=$R$2,HLOOKUP($R$2,Ingreso!$AW$10:$BC$260,VLOOKUP(A353,Ingreso!AL:AM,2,FALSE),FALSE)/24,""))),""))</f>
        <v/>
      </c>
      <c r="N353" s="95" t="str">
        <f>IF(IFERROR(IF(C353=C351,0,IF(E353=E352,0,IF(C353=$R$3,HLOOKUP($R$3,Ingreso!$AW$10:$BC$260,VLOOKUP(A353,Ingreso!AL:AM,2,FALSE),FALSE)/24,""))),"")=0,"",IFERROR(IF(C353=C351,0,IF(E353=E352,0,IF(C353=$R$3,HLOOKUP($R$3,Ingreso!$AW$10:$BC$260,VLOOKUP(A353,Ingreso!AL:AM,2,FALSE),FALSE)/24,""))),""))</f>
        <v/>
      </c>
      <c r="O353" s="95" t="str">
        <f>IF(IFERROR(IF(C353=C351,0,IF(E353=E352,0,IF(C353=$R$4,HLOOKUP($R$4,Ingreso!$AW$10:$BC$260,VLOOKUP(A353,Ingreso!AL:AM,2,FALSE),FALSE)/24,""))),"")=0,"",IFERROR(IF(C353=C351,0,IF(E353=E352,0,IF(C353=$R$4,HLOOKUP($R$4,Ingreso!$AW$10:$BC$260,VLOOKUP(A353,Ingreso!AL:AM,2,FALSE),FALSE)/24,""))),""))</f>
        <v/>
      </c>
      <c r="P353" s="90"/>
      <c r="T353" t="s">
        <v>1425</v>
      </c>
      <c r="U353" t="s">
        <v>1338</v>
      </c>
      <c r="V353" t="s">
        <v>1400</v>
      </c>
      <c r="W353" s="82">
        <v>430</v>
      </c>
      <c r="X353" s="71">
        <v>0.41666666666666669</v>
      </c>
      <c r="Y353" s="101">
        <v>0.3478472222222222</v>
      </c>
      <c r="Z353" s="101">
        <v>0.73568287037037028</v>
      </c>
      <c r="AA353" s="101">
        <v>0.38783564814814808</v>
      </c>
      <c r="AB353" s="101">
        <v>-2.8831018518518603E-2</v>
      </c>
      <c r="AC353" s="105">
        <v>0</v>
      </c>
      <c r="AD353" s="105">
        <v>0</v>
      </c>
      <c r="AE353" s="93">
        <v>0</v>
      </c>
      <c r="AF353" s="93">
        <v>0</v>
      </c>
      <c r="AG353" s="93">
        <v>0</v>
      </c>
    </row>
    <row r="354" spans="1:33">
      <c r="A354" s="65" t="str">
        <f>IFERROR(VLOOKUP('Informe Kelly'!A347,Base!A:B,2,FALSE),"")</f>
        <v>10.168.958-1</v>
      </c>
      <c r="B354" s="65" t="str">
        <f>IFERROR(VLOOKUP('Informe Kelly'!A347,Base!A:G,7,FALSE),"")</f>
        <v>RAMIREZ VASQUEZ RAUL</v>
      </c>
      <c r="C354" s="69" t="str">
        <f>IF(G354=$C$4,IF('Informe Kelly'!H347='Control informe Kelly'!$A$2,TEXT(((LEFT('Informe Kelly'!E347,2)*1)+1),"dd")&amp;"."&amp;MID('Informe Kelly'!E347,4,2)&amp;"."&amp;RIGHT('Informe Kelly'!E347,4),'Informe Kelly'!E347),'Informe Kelly'!E347)</f>
        <v>15.04.2011</v>
      </c>
      <c r="D354" s="69" t="str">
        <f>IF('Informe Kelly'!E347="","",'Informe Kelly'!E347)</f>
        <v>15.04.2011</v>
      </c>
      <c r="E354" s="72">
        <f t="shared" si="11"/>
        <v>177</v>
      </c>
      <c r="F354" s="72" t="str">
        <f>IFERROR(HLOOKUP(C354,Ingreso!$Q$8:$AD$9,2,FALSE),"v")</f>
        <v>Viernes</v>
      </c>
      <c r="G354" s="65" t="str">
        <f>IFERROR(VLOOKUP(A354,Ingreso!K:P,6,FALSE),"no esta ingresado")</f>
        <v>Turno B</v>
      </c>
      <c r="H354" s="65" t="str">
        <f>IFERROR(IF('Informe Kelly'!H347=$A$2,'Informe Kelly'!F347,""),0)</f>
        <v/>
      </c>
      <c r="I354" s="65">
        <f>IFERROR(IF('Informe Kelly'!H347=$A$3,'Informe Kelly'!F347,""),0)</f>
        <v>0.94721064814814815</v>
      </c>
      <c r="J354" s="65" t="str">
        <f>IF(IFERROR(IF(E354=E353,0,(HLOOKUP(D354,Ingreso!$AN$10:$AT$260,VLOOKUP(A354,Ingreso!$AL$11:$AM$260,2,FALSE)))/24),0)=0,"",IFERROR(IF(E354=E353,0,(HLOOKUP(D354,Ingreso!$AN$10:$AT$260,VLOOKUP(A354,Ingreso!$AL$11:$AM$260,2,FALSE)))/24),0))</f>
        <v/>
      </c>
      <c r="K354" s="65" t="str">
        <f>IF(IFERROR(IF(E354=E353,0,(HLOOKUP(C354,Ingreso!$AW$10:$BC$260,VLOOKUP(A354,Ingreso!$AL$11:$AM$260,2,FALSE)))/24),0)=0,"",IFERROR(IF(E354=E353,0,(HLOOKUP(C354,Ingreso!$AW$10:$BC$260,VLOOKUP(A354,Ingreso!$AL$11:$AM$260,2,FALSE)))/24),0))</f>
        <v/>
      </c>
      <c r="L354" s="63">
        <f t="shared" si="10"/>
        <v>0.3125</v>
      </c>
      <c r="M354" s="63" t="str">
        <f>IF(IFERROR(IF(C354=C352,0,IF(E354=E353,0,IF(C354=$R$2,HLOOKUP($R$2,Ingreso!$AW$10:$BC$260,VLOOKUP(A354,Ingreso!AL:AM,2,FALSE),FALSE)/24,""))),"")=0,"",IFERROR(IF(C354=C352,0,IF(E354=E353,0,IF(C354=$R$2,HLOOKUP($R$2,Ingreso!$AW$10:$BC$260,VLOOKUP(A354,Ingreso!AL:AM,2,FALSE),FALSE)/24,""))),""))</f>
        <v/>
      </c>
      <c r="N354" s="95" t="str">
        <f>IF(IFERROR(IF(C354=C352,0,IF(E354=E353,0,IF(C354=$R$3,HLOOKUP($R$3,Ingreso!$AW$10:$BC$260,VLOOKUP(A354,Ingreso!AL:AM,2,FALSE),FALSE)/24,""))),"")=0,"",IFERROR(IF(C354=C352,0,IF(E354=E353,0,IF(C354=$R$3,HLOOKUP($R$3,Ingreso!$AW$10:$BC$260,VLOOKUP(A354,Ingreso!AL:AM,2,FALSE),FALSE)/24,""))),""))</f>
        <v/>
      </c>
      <c r="O354" s="95" t="str">
        <f>IF(IFERROR(IF(C354=C352,0,IF(E354=E353,0,IF(C354=$R$4,HLOOKUP($R$4,Ingreso!$AW$10:$BC$260,VLOOKUP(A354,Ingreso!AL:AM,2,FALSE),FALSE)/24,""))),"")=0,"",IFERROR(IF(C354=C352,0,IF(E354=E353,0,IF(C354=$R$4,HLOOKUP($R$4,Ingreso!$AW$10:$BC$260,VLOOKUP(A354,Ingreso!AL:AM,2,FALSE),FALSE)/24,""))),""))</f>
        <v/>
      </c>
      <c r="P354" s="90"/>
      <c r="T354" t="s">
        <v>1426</v>
      </c>
      <c r="U354" t="s">
        <v>1338</v>
      </c>
      <c r="V354" t="s">
        <v>1401</v>
      </c>
      <c r="W354" s="82">
        <v>431</v>
      </c>
      <c r="X354" s="71">
        <v>0.41666666666666669</v>
      </c>
      <c r="Y354" s="101">
        <v>0.34766203703703707</v>
      </c>
      <c r="Z354" s="101">
        <v>0.73166666666666658</v>
      </c>
      <c r="AA354" s="101">
        <v>0.3840046296296295</v>
      </c>
      <c r="AB354" s="101">
        <v>-3.2662037037037184E-2</v>
      </c>
      <c r="AC354" s="105">
        <v>0</v>
      </c>
      <c r="AD354" s="105">
        <v>0</v>
      </c>
      <c r="AE354" s="93">
        <v>0</v>
      </c>
      <c r="AF354" s="93">
        <v>0</v>
      </c>
      <c r="AG354" s="93">
        <v>0</v>
      </c>
    </row>
    <row r="355" spans="1:33">
      <c r="A355" s="65" t="str">
        <f>IFERROR(VLOOKUP('Informe Kelly'!A348,Base!A:B,2,FALSE),"")</f>
        <v>10.168.958-1</v>
      </c>
      <c r="B355" s="65" t="str">
        <f>IFERROR(VLOOKUP('Informe Kelly'!A348,Base!A:G,7,FALSE),"")</f>
        <v>RAMIREZ VASQUEZ RAUL</v>
      </c>
      <c r="C355" s="69" t="str">
        <f>IF(G355=$C$4,IF('Informe Kelly'!H348='Control informe Kelly'!$A$2,TEXT(((LEFT('Informe Kelly'!E348,2)*1)+1),"dd")&amp;"."&amp;MID('Informe Kelly'!E348,4,2)&amp;"."&amp;RIGHT('Informe Kelly'!E348,4),'Informe Kelly'!E348),'Informe Kelly'!E348)</f>
        <v>15.04.2011</v>
      </c>
      <c r="D355" s="69" t="str">
        <f>IF('Informe Kelly'!E348="","",'Informe Kelly'!E348)</f>
        <v>15.04.2011</v>
      </c>
      <c r="E355" s="72">
        <f t="shared" si="11"/>
        <v>177</v>
      </c>
      <c r="F355" s="72" t="str">
        <f>IFERROR(HLOOKUP(C355,Ingreso!$Q$8:$AD$9,2,FALSE),"v")</f>
        <v>Viernes</v>
      </c>
      <c r="G355" s="65" t="str">
        <f>IFERROR(VLOOKUP(A355,Ingreso!K:P,6,FALSE),"no esta ingresado")</f>
        <v>Turno B</v>
      </c>
      <c r="H355" s="65">
        <f>IFERROR(IF('Informe Kelly'!H348=$A$2,'Informe Kelly'!F348,""),0)</f>
        <v>0.60913194444444441</v>
      </c>
      <c r="I355" s="65" t="str">
        <f>IFERROR(IF('Informe Kelly'!H348=$A$3,'Informe Kelly'!F348,""),0)</f>
        <v/>
      </c>
      <c r="J355" s="65" t="str">
        <f>IF(IFERROR(IF(E355=E354,0,(HLOOKUP(D355,Ingreso!$AN$10:$AT$260,VLOOKUP(A355,Ingreso!$AL$11:$AM$260,2,FALSE)))/24),0)=0,"",IFERROR(IF(E355=E354,0,(HLOOKUP(D355,Ingreso!$AN$10:$AT$260,VLOOKUP(A355,Ingreso!$AL$11:$AM$260,2,FALSE)))/24),0))</f>
        <v/>
      </c>
      <c r="K355" s="65" t="str">
        <f>IF(IFERROR(IF(E355=E354,0,(HLOOKUP(C355,Ingreso!$AW$10:$BC$260,VLOOKUP(A355,Ingreso!$AL$11:$AM$260,2,FALSE)))/24),0)=0,"",IFERROR(IF(E355=E354,0,(HLOOKUP(C355,Ingreso!$AW$10:$BC$260,VLOOKUP(A355,Ingreso!$AL$11:$AM$260,2,FALSE)))/24),0))</f>
        <v/>
      </c>
      <c r="L355" s="63">
        <f t="shared" si="10"/>
        <v>0</v>
      </c>
      <c r="M355" s="63" t="str">
        <f>IF(IFERROR(IF(C355=C353,0,IF(E355=E354,0,IF(C355=$R$2,HLOOKUP($R$2,Ingreso!$AW$10:$BC$260,VLOOKUP(A355,Ingreso!AL:AM,2,FALSE),FALSE)/24,""))),"")=0,"",IFERROR(IF(C355=C353,0,IF(E355=E354,0,IF(C355=$R$2,HLOOKUP($R$2,Ingreso!$AW$10:$BC$260,VLOOKUP(A355,Ingreso!AL:AM,2,FALSE),FALSE)/24,""))),""))</f>
        <v/>
      </c>
      <c r="N355" s="95" t="str">
        <f>IF(IFERROR(IF(C355=C353,0,IF(E355=E354,0,IF(C355=$R$3,HLOOKUP($R$3,Ingreso!$AW$10:$BC$260,VLOOKUP(A355,Ingreso!AL:AM,2,FALSE),FALSE)/24,""))),"")=0,"",IFERROR(IF(C355=C353,0,IF(E355=E354,0,IF(C355=$R$3,HLOOKUP($R$3,Ingreso!$AW$10:$BC$260,VLOOKUP(A355,Ingreso!AL:AM,2,FALSE),FALSE)/24,""))),""))</f>
        <v/>
      </c>
      <c r="O355" s="95" t="str">
        <f>IF(IFERROR(IF(C355=C353,0,IF(E355=E354,0,IF(C355=$R$4,HLOOKUP($R$4,Ingreso!$AW$10:$BC$260,VLOOKUP(A355,Ingreso!AL:AM,2,FALSE),FALSE)/24,""))),"")=0,"",IFERROR(IF(C355=C353,0,IF(E355=E354,0,IF(C355=$R$4,HLOOKUP($R$4,Ingreso!$AW$10:$BC$260,VLOOKUP(A355,Ingreso!AL:AM,2,FALSE),FALSE)/24,""))),""))</f>
        <v/>
      </c>
      <c r="P355" s="90"/>
      <c r="T355" t="s">
        <v>1427</v>
      </c>
      <c r="U355" t="s">
        <v>1338</v>
      </c>
      <c r="V355" t="s">
        <v>1402</v>
      </c>
      <c r="W355" s="82">
        <v>432</v>
      </c>
      <c r="X355" s="71">
        <v>0.41666666666666669</v>
      </c>
      <c r="Y355" s="101">
        <v>0.35677083333333331</v>
      </c>
      <c r="Z355" s="101">
        <v>0.60563657407407401</v>
      </c>
      <c r="AA355" s="101">
        <v>0.24886574074074069</v>
      </c>
      <c r="AB355" s="101">
        <v>-0.16780092592592599</v>
      </c>
      <c r="AC355" s="105">
        <v>0.25</v>
      </c>
      <c r="AD355" s="105">
        <v>0</v>
      </c>
      <c r="AE355" s="93">
        <v>0</v>
      </c>
      <c r="AF355" s="93">
        <v>0</v>
      </c>
      <c r="AG355" s="93">
        <v>0</v>
      </c>
    </row>
    <row r="356" spans="1:33">
      <c r="A356" s="65" t="str">
        <f>IFERROR(VLOOKUP('Informe Kelly'!A349,Base!A:B,2,FALSE),"")</f>
        <v>10.173.910-4</v>
      </c>
      <c r="B356" s="65" t="str">
        <f>IFERROR(VLOOKUP('Informe Kelly'!A349,Base!A:G,7,FALSE),"")</f>
        <v>ARSENDIGA PALMA FELIX EXEQUIEL</v>
      </c>
      <c r="C356" s="69" t="str">
        <f>IF(G356=$C$4,IF('Informe Kelly'!H349='Control informe Kelly'!$A$2,TEXT(((LEFT('Informe Kelly'!E349,2)*1)+1),"dd")&amp;"."&amp;MID('Informe Kelly'!E349,4,2)&amp;"."&amp;RIGHT('Informe Kelly'!E349,4),'Informe Kelly'!E349),'Informe Kelly'!E349)</f>
        <v>11.04.2011</v>
      </c>
      <c r="D356" s="69" t="str">
        <f>IF('Informe Kelly'!E349="","",'Informe Kelly'!E349)</f>
        <v>11.04.2011</v>
      </c>
      <c r="E356" s="72">
        <f t="shared" si="11"/>
        <v>178</v>
      </c>
      <c r="F356" s="72" t="str">
        <f>IFERROR(HLOOKUP(C356,Ingreso!$Q$8:$AD$9,2,FALSE),"v")</f>
        <v>Lunes</v>
      </c>
      <c r="G356" s="65" t="str">
        <f>IFERROR(VLOOKUP(A356,Ingreso!K:P,6,FALSE),"no esta ingresado")</f>
        <v>Turno B</v>
      </c>
      <c r="H356" s="65" t="str">
        <f>IFERROR(IF('Informe Kelly'!H349=$A$2,'Informe Kelly'!F349,""),0)</f>
        <v/>
      </c>
      <c r="I356" s="65">
        <f>IFERROR(IF('Informe Kelly'!H349=$A$3,'Informe Kelly'!F349,""),0)</f>
        <v>0.93787037037037047</v>
      </c>
      <c r="J356" s="65" t="str">
        <f>IF(IFERROR(IF(E356=E355,0,(HLOOKUP(D356,Ingreso!$AN$10:$AT$260,VLOOKUP(A356,Ingreso!$AL$11:$AM$260,2,FALSE)))/24),0)=0,"",IFERROR(IF(E356=E355,0,(HLOOKUP(D356,Ingreso!$AN$10:$AT$260,VLOOKUP(A356,Ingreso!$AL$11:$AM$260,2,FALSE)))/24),0))</f>
        <v/>
      </c>
      <c r="K356" s="65" t="str">
        <f>IF(IFERROR(IF(E356=E355,0,(HLOOKUP(C356,Ingreso!$AW$10:$BC$260,VLOOKUP(A356,Ingreso!$AL$11:$AM$260,2,FALSE)))/24),0)=0,"",IFERROR(IF(E356=E355,0,(HLOOKUP(C356,Ingreso!$AW$10:$BC$260,VLOOKUP(A356,Ingreso!$AL$11:$AM$260,2,FALSE)))/24),0))</f>
        <v/>
      </c>
      <c r="L356" s="63">
        <f t="shared" si="10"/>
        <v>0.3125</v>
      </c>
      <c r="M356" s="63" t="str">
        <f>IF(IFERROR(IF(C356=C354,0,IF(E356=E355,0,IF(C356=$R$2,HLOOKUP($R$2,Ingreso!$AW$10:$BC$260,VLOOKUP(A356,Ingreso!AL:AM,2,FALSE),FALSE)/24,""))),"")=0,"",IFERROR(IF(C356=C354,0,IF(E356=E355,0,IF(C356=$R$2,HLOOKUP($R$2,Ingreso!$AW$10:$BC$260,VLOOKUP(A356,Ingreso!AL:AM,2,FALSE),FALSE)/24,""))),""))</f>
        <v/>
      </c>
      <c r="N356" s="95" t="str">
        <f>IF(IFERROR(IF(C356=C354,0,IF(E356=E355,0,IF(C356=$R$3,HLOOKUP($R$3,Ingreso!$AW$10:$BC$260,VLOOKUP(A356,Ingreso!AL:AM,2,FALSE),FALSE)/24,""))),"")=0,"",IFERROR(IF(C356=C354,0,IF(E356=E355,0,IF(C356=$R$3,HLOOKUP($R$3,Ingreso!$AW$10:$BC$260,VLOOKUP(A356,Ingreso!AL:AM,2,FALSE),FALSE)/24,""))),""))</f>
        <v/>
      </c>
      <c r="O356" s="95" t="str">
        <f>IF(IFERROR(IF(C356=C354,0,IF(E356=E355,0,IF(C356=$R$4,HLOOKUP($R$4,Ingreso!$AW$10:$BC$260,VLOOKUP(A356,Ingreso!AL:AM,2,FALSE),FALSE)/24,""))),"")=0,"",IFERROR(IF(C356=C354,0,IF(E356=E355,0,IF(C356=$R$4,HLOOKUP($R$4,Ingreso!$AW$10:$BC$260,VLOOKUP(A356,Ingreso!AL:AM,2,FALSE),FALSE)/24,""))),""))</f>
        <v/>
      </c>
      <c r="P356" s="90"/>
      <c r="R356" t="s">
        <v>819</v>
      </c>
      <c r="S356" t="s">
        <v>822</v>
      </c>
      <c r="T356" t="s">
        <v>1423</v>
      </c>
      <c r="U356" t="s">
        <v>1324</v>
      </c>
      <c r="V356" t="s">
        <v>1398</v>
      </c>
      <c r="W356" s="82">
        <v>443</v>
      </c>
      <c r="X356" s="71">
        <v>0.375</v>
      </c>
      <c r="Y356" s="101">
        <v>0.93306712962962957</v>
      </c>
      <c r="Z356" s="101">
        <v>0.31768518518518518</v>
      </c>
      <c r="AA356" s="101">
        <v>0.38461805555555562</v>
      </c>
      <c r="AB356" s="101">
        <v>9.6180555555556158E-3</v>
      </c>
      <c r="AC356" s="105">
        <v>0</v>
      </c>
      <c r="AD356" s="105">
        <v>0</v>
      </c>
      <c r="AE356" s="93">
        <v>0</v>
      </c>
      <c r="AF356" s="93">
        <v>0</v>
      </c>
      <c r="AG356" s="93">
        <v>0</v>
      </c>
    </row>
    <row r="357" spans="1:33">
      <c r="A357" s="65" t="str">
        <f>IFERROR(VLOOKUP('Informe Kelly'!A350,Base!A:B,2,FALSE),"")</f>
        <v>10.173.910-4</v>
      </c>
      <c r="B357" s="65" t="str">
        <f>IFERROR(VLOOKUP('Informe Kelly'!A350,Base!A:G,7,FALSE),"")</f>
        <v>ARSENDIGA PALMA FELIX EXEQUIEL</v>
      </c>
      <c r="C357" s="69" t="str">
        <f>IF(G357=$C$4,IF('Informe Kelly'!H350='Control informe Kelly'!$A$2,TEXT(((LEFT('Informe Kelly'!E350,2)*1)+1),"dd")&amp;"."&amp;MID('Informe Kelly'!E350,4,2)&amp;"."&amp;RIGHT('Informe Kelly'!E350,4),'Informe Kelly'!E350),'Informe Kelly'!E350)</f>
        <v>11.04.2011</v>
      </c>
      <c r="D357" s="69" t="str">
        <f>IF('Informe Kelly'!E350="","",'Informe Kelly'!E350)</f>
        <v>11.04.2011</v>
      </c>
      <c r="E357" s="72">
        <f t="shared" si="11"/>
        <v>178</v>
      </c>
      <c r="F357" s="72" t="str">
        <f>IFERROR(HLOOKUP(C357,Ingreso!$Q$8:$AD$9,2,FALSE),"v")</f>
        <v>Lunes</v>
      </c>
      <c r="G357" s="65" t="str">
        <f>IFERROR(VLOOKUP(A357,Ingreso!K:P,6,FALSE),"no esta ingresado")</f>
        <v>Turno B</v>
      </c>
      <c r="H357" s="65">
        <f>IFERROR(IF('Informe Kelly'!H350=$A$2,'Informe Kelly'!F350,""),0)</f>
        <v>0.614375</v>
      </c>
      <c r="I357" s="65" t="str">
        <f>IFERROR(IF('Informe Kelly'!H350=$A$3,'Informe Kelly'!F350,""),0)</f>
        <v/>
      </c>
      <c r="J357" s="65" t="str">
        <f>IF(IFERROR(IF(E357=E356,0,(HLOOKUP(D357,Ingreso!$AN$10:$AT$260,VLOOKUP(A357,Ingreso!$AL$11:$AM$260,2,FALSE)))/24),0)=0,"",IFERROR(IF(E357=E356,0,(HLOOKUP(D357,Ingreso!$AN$10:$AT$260,VLOOKUP(A357,Ingreso!$AL$11:$AM$260,2,FALSE)))/24),0))</f>
        <v/>
      </c>
      <c r="K357" s="65" t="str">
        <f>IF(IFERROR(IF(E357=E356,0,(HLOOKUP(C357,Ingreso!$AW$10:$BC$260,VLOOKUP(A357,Ingreso!$AL$11:$AM$260,2,FALSE)))/24),0)=0,"",IFERROR(IF(E357=E356,0,(HLOOKUP(C357,Ingreso!$AW$10:$BC$260,VLOOKUP(A357,Ingreso!$AL$11:$AM$260,2,FALSE)))/24),0))</f>
        <v/>
      </c>
      <c r="L357" s="63">
        <f t="shared" si="10"/>
        <v>0</v>
      </c>
      <c r="M357" s="63" t="str">
        <f>IF(IFERROR(IF(C357=C355,0,IF(E357=E356,0,IF(C357=$R$2,HLOOKUP($R$2,Ingreso!$AW$10:$BC$260,VLOOKUP(A357,Ingreso!AL:AM,2,FALSE),FALSE)/24,""))),"")=0,"",IFERROR(IF(C357=C355,0,IF(E357=E356,0,IF(C357=$R$2,HLOOKUP($R$2,Ingreso!$AW$10:$BC$260,VLOOKUP(A357,Ingreso!AL:AM,2,FALSE),FALSE)/24,""))),""))</f>
        <v/>
      </c>
      <c r="N357" s="95" t="str">
        <f>IF(IFERROR(IF(C357=C355,0,IF(E357=E356,0,IF(C357=$R$3,HLOOKUP($R$3,Ingreso!$AW$10:$BC$260,VLOOKUP(A357,Ingreso!AL:AM,2,FALSE),FALSE)/24,""))),"")=0,"",IFERROR(IF(C357=C355,0,IF(E357=E356,0,IF(C357=$R$3,HLOOKUP($R$3,Ingreso!$AW$10:$BC$260,VLOOKUP(A357,Ingreso!AL:AM,2,FALSE),FALSE)/24,""))),""))</f>
        <v/>
      </c>
      <c r="O357" s="95" t="str">
        <f>IF(IFERROR(IF(C357=C355,0,IF(E357=E356,0,IF(C357=$R$4,HLOOKUP($R$4,Ingreso!$AW$10:$BC$260,VLOOKUP(A357,Ingreso!AL:AM,2,FALSE),FALSE)/24,""))),"")=0,"",IFERROR(IF(C357=C355,0,IF(E357=E356,0,IF(C357=$R$4,HLOOKUP($R$4,Ingreso!$AW$10:$BC$260,VLOOKUP(A357,Ingreso!AL:AM,2,FALSE),FALSE)/24,""))),""))</f>
        <v/>
      </c>
      <c r="P357" s="90"/>
      <c r="T357" t="s">
        <v>1424</v>
      </c>
      <c r="U357" t="s">
        <v>1324</v>
      </c>
      <c r="V357" t="s">
        <v>1399</v>
      </c>
      <c r="W357" s="82">
        <v>444</v>
      </c>
      <c r="X357" s="71">
        <v>0.375</v>
      </c>
      <c r="Y357" s="101">
        <v>0.93319444444444455</v>
      </c>
      <c r="Z357" s="101">
        <v>0.32193287037037038</v>
      </c>
      <c r="AA357" s="101">
        <v>0.38873842592592578</v>
      </c>
      <c r="AB357" s="101">
        <v>1.3738425925925779E-2</v>
      </c>
      <c r="AC357" s="105">
        <v>0</v>
      </c>
      <c r="AD357" s="105">
        <v>0</v>
      </c>
      <c r="AE357" s="93">
        <v>0</v>
      </c>
      <c r="AF357" s="93">
        <v>0</v>
      </c>
      <c r="AG357" s="93">
        <v>0</v>
      </c>
    </row>
    <row r="358" spans="1:33">
      <c r="A358" s="65" t="str">
        <f>IFERROR(VLOOKUP('Informe Kelly'!A351,Base!A:B,2,FALSE),"")</f>
        <v>10.173.910-4</v>
      </c>
      <c r="B358" s="65" t="str">
        <f>IFERROR(VLOOKUP('Informe Kelly'!A351,Base!A:G,7,FALSE),"")</f>
        <v>ARSENDIGA PALMA FELIX EXEQUIEL</v>
      </c>
      <c r="C358" s="69" t="str">
        <f>IF(G358=$C$4,IF('Informe Kelly'!H351='Control informe Kelly'!$A$2,TEXT(((LEFT('Informe Kelly'!E351,2)*1)+1),"dd")&amp;"."&amp;MID('Informe Kelly'!E351,4,2)&amp;"."&amp;RIGHT('Informe Kelly'!E351,4),'Informe Kelly'!E351),'Informe Kelly'!E351)</f>
        <v>12.04.2011</v>
      </c>
      <c r="D358" s="69" t="str">
        <f>IF('Informe Kelly'!E351="","",'Informe Kelly'!E351)</f>
        <v>12.04.2011</v>
      </c>
      <c r="E358" s="72">
        <f t="shared" si="11"/>
        <v>179</v>
      </c>
      <c r="F358" s="72" t="str">
        <f>IFERROR(HLOOKUP(C358,Ingreso!$Q$8:$AD$9,2,FALSE),"v")</f>
        <v>Martes</v>
      </c>
      <c r="G358" s="65" t="str">
        <f>IFERROR(VLOOKUP(A358,Ingreso!K:P,6,FALSE),"no esta ingresado")</f>
        <v>Turno B</v>
      </c>
      <c r="H358" s="65" t="str">
        <f>IFERROR(IF('Informe Kelly'!H351=$A$2,'Informe Kelly'!F351,""),0)</f>
        <v/>
      </c>
      <c r="I358" s="65">
        <f>IFERROR(IF('Informe Kelly'!H351=$A$3,'Informe Kelly'!F351,""),0)</f>
        <v>0.93579861111111118</v>
      </c>
      <c r="J358" s="65" t="str">
        <f>IF(IFERROR(IF(E358=E357,0,(HLOOKUP(D358,Ingreso!$AN$10:$AT$260,VLOOKUP(A358,Ingreso!$AL$11:$AM$260,2,FALSE)))/24),0)=0,"",IFERROR(IF(E358=E357,0,(HLOOKUP(D358,Ingreso!$AN$10:$AT$260,VLOOKUP(A358,Ingreso!$AL$11:$AM$260,2,FALSE)))/24),0))</f>
        <v/>
      </c>
      <c r="K358" s="65" t="str">
        <f>IF(IFERROR(IF(E358=E357,0,(HLOOKUP(C358,Ingreso!$AW$10:$BC$260,VLOOKUP(A358,Ingreso!$AL$11:$AM$260,2,FALSE)))/24),0)=0,"",IFERROR(IF(E358=E357,0,(HLOOKUP(C358,Ingreso!$AW$10:$BC$260,VLOOKUP(A358,Ingreso!$AL$11:$AM$260,2,FALSE)))/24),0))</f>
        <v/>
      </c>
      <c r="L358" s="63">
        <f t="shared" si="10"/>
        <v>0.3125</v>
      </c>
      <c r="M358" s="63" t="str">
        <f>IF(IFERROR(IF(C358=C356,0,IF(E358=E357,0,IF(C358=$R$2,HLOOKUP($R$2,Ingreso!$AW$10:$BC$260,VLOOKUP(A358,Ingreso!AL:AM,2,FALSE),FALSE)/24,""))),"")=0,"",IFERROR(IF(C358=C356,0,IF(E358=E357,0,IF(C358=$R$2,HLOOKUP($R$2,Ingreso!$AW$10:$BC$260,VLOOKUP(A358,Ingreso!AL:AM,2,FALSE),FALSE)/24,""))),""))</f>
        <v/>
      </c>
      <c r="N358" s="95" t="str">
        <f>IF(IFERROR(IF(C358=C356,0,IF(E358=E357,0,IF(C358=$R$3,HLOOKUP($R$3,Ingreso!$AW$10:$BC$260,VLOOKUP(A358,Ingreso!AL:AM,2,FALSE),FALSE)/24,""))),"")=0,"",IFERROR(IF(C358=C356,0,IF(E358=E357,0,IF(C358=$R$3,HLOOKUP($R$3,Ingreso!$AW$10:$BC$260,VLOOKUP(A358,Ingreso!AL:AM,2,FALSE),FALSE)/24,""))),""))</f>
        <v/>
      </c>
      <c r="O358" s="95" t="str">
        <f>IF(IFERROR(IF(C358=C356,0,IF(E358=E357,0,IF(C358=$R$4,HLOOKUP($R$4,Ingreso!$AW$10:$BC$260,VLOOKUP(A358,Ingreso!AL:AM,2,FALSE),FALSE)/24,""))),"")=0,"",IFERROR(IF(C358=C356,0,IF(E358=E357,0,IF(C358=$R$4,HLOOKUP($R$4,Ingreso!$AW$10:$BC$260,VLOOKUP(A358,Ingreso!AL:AM,2,FALSE),FALSE)/24,""))),""))</f>
        <v/>
      </c>
      <c r="P358" s="90"/>
      <c r="T358" t="s">
        <v>1425</v>
      </c>
      <c r="U358" t="s">
        <v>1324</v>
      </c>
      <c r="V358" t="s">
        <v>1400</v>
      </c>
      <c r="W358" s="82">
        <v>445</v>
      </c>
      <c r="X358" s="71">
        <v>0.375</v>
      </c>
      <c r="Y358" s="101">
        <v>0.92903935185185194</v>
      </c>
      <c r="Z358" s="101">
        <v>0.31777777777777777</v>
      </c>
      <c r="AA358" s="101">
        <v>0.38873842592592578</v>
      </c>
      <c r="AB358" s="101">
        <v>1.3738425925925779E-2</v>
      </c>
      <c r="AC358" s="105">
        <v>0</v>
      </c>
      <c r="AD358" s="105">
        <v>0</v>
      </c>
      <c r="AE358" s="93">
        <v>0</v>
      </c>
      <c r="AF358" s="93">
        <v>0</v>
      </c>
      <c r="AG358" s="93">
        <v>0</v>
      </c>
    </row>
    <row r="359" spans="1:33">
      <c r="A359" s="65" t="str">
        <f>IFERROR(VLOOKUP('Informe Kelly'!A352,Base!A:B,2,FALSE),"")</f>
        <v>10.173.910-4</v>
      </c>
      <c r="B359" s="65" t="str">
        <f>IFERROR(VLOOKUP('Informe Kelly'!A352,Base!A:G,7,FALSE),"")</f>
        <v>ARSENDIGA PALMA FELIX EXEQUIEL</v>
      </c>
      <c r="C359" s="69" t="str">
        <f>IF(G359=$C$4,IF('Informe Kelly'!H352='Control informe Kelly'!$A$2,TEXT(((LEFT('Informe Kelly'!E352,2)*1)+1),"dd")&amp;"."&amp;MID('Informe Kelly'!E352,4,2)&amp;"."&amp;RIGHT('Informe Kelly'!E352,4),'Informe Kelly'!E352),'Informe Kelly'!E352)</f>
        <v>12.04.2011</v>
      </c>
      <c r="D359" s="69" t="str">
        <f>IF('Informe Kelly'!E352="","",'Informe Kelly'!E352)</f>
        <v>12.04.2011</v>
      </c>
      <c r="E359" s="72">
        <f t="shared" si="11"/>
        <v>179</v>
      </c>
      <c r="F359" s="72" t="str">
        <f>IFERROR(HLOOKUP(C359,Ingreso!$Q$8:$AD$9,2,FALSE),"v")</f>
        <v>Martes</v>
      </c>
      <c r="G359" s="65" t="str">
        <f>IFERROR(VLOOKUP(A359,Ingreso!K:P,6,FALSE),"no esta ingresado")</f>
        <v>Turno B</v>
      </c>
      <c r="H359" s="65">
        <f>IFERROR(IF('Informe Kelly'!H352=$A$2,'Informe Kelly'!F352,""),0)</f>
        <v>0.61709490740740736</v>
      </c>
      <c r="I359" s="65" t="str">
        <f>IFERROR(IF('Informe Kelly'!H352=$A$3,'Informe Kelly'!F352,""),0)</f>
        <v/>
      </c>
      <c r="J359" s="65" t="str">
        <f>IF(IFERROR(IF(E359=E358,0,(HLOOKUP(D359,Ingreso!$AN$10:$AT$260,VLOOKUP(A359,Ingreso!$AL$11:$AM$260,2,FALSE)))/24),0)=0,"",IFERROR(IF(E359=E358,0,(HLOOKUP(D359,Ingreso!$AN$10:$AT$260,VLOOKUP(A359,Ingreso!$AL$11:$AM$260,2,FALSE)))/24),0))</f>
        <v/>
      </c>
      <c r="K359" s="65" t="str">
        <f>IF(IFERROR(IF(E359=E358,0,(HLOOKUP(C359,Ingreso!$AW$10:$BC$260,VLOOKUP(A359,Ingreso!$AL$11:$AM$260,2,FALSE)))/24),0)=0,"",IFERROR(IF(E359=E358,0,(HLOOKUP(C359,Ingreso!$AW$10:$BC$260,VLOOKUP(A359,Ingreso!$AL$11:$AM$260,2,FALSE)))/24),0))</f>
        <v/>
      </c>
      <c r="L359" s="63">
        <f t="shared" si="10"/>
        <v>0</v>
      </c>
      <c r="M359" s="63" t="str">
        <f>IF(IFERROR(IF(C359=C357,0,IF(E359=E358,0,IF(C359=$R$2,HLOOKUP($R$2,Ingreso!$AW$10:$BC$260,VLOOKUP(A359,Ingreso!AL:AM,2,FALSE),FALSE)/24,""))),"")=0,"",IFERROR(IF(C359=C357,0,IF(E359=E358,0,IF(C359=$R$2,HLOOKUP($R$2,Ingreso!$AW$10:$BC$260,VLOOKUP(A359,Ingreso!AL:AM,2,FALSE),FALSE)/24,""))),""))</f>
        <v/>
      </c>
      <c r="N359" s="95" t="str">
        <f>IF(IFERROR(IF(C359=C357,0,IF(E359=E358,0,IF(C359=$R$3,HLOOKUP($R$3,Ingreso!$AW$10:$BC$260,VLOOKUP(A359,Ingreso!AL:AM,2,FALSE),FALSE)/24,""))),"")=0,"",IFERROR(IF(C359=C357,0,IF(E359=E358,0,IF(C359=$R$3,HLOOKUP($R$3,Ingreso!$AW$10:$BC$260,VLOOKUP(A359,Ingreso!AL:AM,2,FALSE),FALSE)/24,""))),""))</f>
        <v/>
      </c>
      <c r="O359" s="95" t="str">
        <f>IF(IFERROR(IF(C359=C357,0,IF(E359=E358,0,IF(C359=$R$4,HLOOKUP($R$4,Ingreso!$AW$10:$BC$260,VLOOKUP(A359,Ingreso!AL:AM,2,FALSE),FALSE)/24,""))),"")=0,"",IFERROR(IF(C359=C357,0,IF(E359=E358,0,IF(C359=$R$4,HLOOKUP($R$4,Ingreso!$AW$10:$BC$260,VLOOKUP(A359,Ingreso!AL:AM,2,FALSE),FALSE)/24,""))),""))</f>
        <v/>
      </c>
      <c r="P359" s="90"/>
      <c r="T359" t="s">
        <v>1426</v>
      </c>
      <c r="U359" t="s">
        <v>1324</v>
      </c>
      <c r="V359" t="s">
        <v>1401</v>
      </c>
      <c r="W359" s="82">
        <v>446</v>
      </c>
      <c r="X359" s="71">
        <v>0.375</v>
      </c>
      <c r="Y359" s="101">
        <v>0.93417824074074074</v>
      </c>
      <c r="Z359" s="101">
        <v>0.31493055555555555</v>
      </c>
      <c r="AA359" s="101">
        <v>0.38075231481481475</v>
      </c>
      <c r="AB359" s="101">
        <v>5.7523148148147518E-3</v>
      </c>
      <c r="AC359" s="105">
        <v>0</v>
      </c>
      <c r="AD359" s="105">
        <v>0</v>
      </c>
      <c r="AE359" s="93">
        <v>0</v>
      </c>
      <c r="AF359" s="93">
        <v>0</v>
      </c>
      <c r="AG359" s="93">
        <v>0</v>
      </c>
    </row>
    <row r="360" spans="1:33">
      <c r="A360" s="65" t="str">
        <f>IFERROR(VLOOKUP('Informe Kelly'!A353,Base!A:B,2,FALSE),"")</f>
        <v>10.173.910-4</v>
      </c>
      <c r="B360" s="65" t="str">
        <f>IFERROR(VLOOKUP('Informe Kelly'!A353,Base!A:G,7,FALSE),"")</f>
        <v>ARSENDIGA PALMA FELIX EXEQUIEL</v>
      </c>
      <c r="C360" s="69" t="str">
        <f>IF(G360=$C$4,IF('Informe Kelly'!H353='Control informe Kelly'!$A$2,TEXT(((LEFT('Informe Kelly'!E353,2)*1)+1),"dd")&amp;"."&amp;MID('Informe Kelly'!E353,4,2)&amp;"."&amp;RIGHT('Informe Kelly'!E353,4),'Informe Kelly'!E353),'Informe Kelly'!E353)</f>
        <v>13.04.2011</v>
      </c>
      <c r="D360" s="69" t="str">
        <f>IF('Informe Kelly'!E353="","",'Informe Kelly'!E353)</f>
        <v>13.04.2011</v>
      </c>
      <c r="E360" s="72">
        <f t="shared" si="11"/>
        <v>180</v>
      </c>
      <c r="F360" s="72" t="str">
        <f>IFERROR(HLOOKUP(C360,Ingreso!$Q$8:$AD$9,2,FALSE),"v")</f>
        <v>Miércoles</v>
      </c>
      <c r="G360" s="65" t="str">
        <f>IFERROR(VLOOKUP(A360,Ingreso!K:P,6,FALSE),"no esta ingresado")</f>
        <v>Turno B</v>
      </c>
      <c r="H360" s="65" t="str">
        <f>IFERROR(IF('Informe Kelly'!H353=$A$2,'Informe Kelly'!F353,""),0)</f>
        <v/>
      </c>
      <c r="I360" s="65">
        <f>IFERROR(IF('Informe Kelly'!H353=$A$3,'Informe Kelly'!F353,""),0)</f>
        <v>0.93407407407407417</v>
      </c>
      <c r="J360" s="65" t="str">
        <f>IF(IFERROR(IF(E360=E359,0,(HLOOKUP(D360,Ingreso!$AN$10:$AT$260,VLOOKUP(A360,Ingreso!$AL$11:$AM$260,2,FALSE)))/24),0)=0,"",IFERROR(IF(E360=E359,0,(HLOOKUP(D360,Ingreso!$AN$10:$AT$260,VLOOKUP(A360,Ingreso!$AL$11:$AM$260,2,FALSE)))/24),0))</f>
        <v/>
      </c>
      <c r="K360" s="65" t="str">
        <f>IF(IFERROR(IF(E360=E359,0,(HLOOKUP(C360,Ingreso!$AW$10:$BC$260,VLOOKUP(A360,Ingreso!$AL$11:$AM$260,2,FALSE)))/24),0)=0,"",IFERROR(IF(E360=E359,0,(HLOOKUP(C360,Ingreso!$AW$10:$BC$260,VLOOKUP(A360,Ingreso!$AL$11:$AM$260,2,FALSE)))/24),0))</f>
        <v/>
      </c>
      <c r="L360" s="63">
        <f t="shared" si="10"/>
        <v>0.3125</v>
      </c>
      <c r="M360" s="63" t="str">
        <f>IF(IFERROR(IF(C360=C358,0,IF(E360=E359,0,IF(C360=$R$2,HLOOKUP($R$2,Ingreso!$AW$10:$BC$260,VLOOKUP(A360,Ingreso!AL:AM,2,FALSE),FALSE)/24,""))),"")=0,"",IFERROR(IF(C360=C358,0,IF(E360=E359,0,IF(C360=$R$2,HLOOKUP($R$2,Ingreso!$AW$10:$BC$260,VLOOKUP(A360,Ingreso!AL:AM,2,FALSE),FALSE)/24,""))),""))</f>
        <v/>
      </c>
      <c r="N360" s="95" t="str">
        <f>IF(IFERROR(IF(C360=C358,0,IF(E360=E359,0,IF(C360=$R$3,HLOOKUP($R$3,Ingreso!$AW$10:$BC$260,VLOOKUP(A360,Ingreso!AL:AM,2,FALSE),FALSE)/24,""))),"")=0,"",IFERROR(IF(C360=C358,0,IF(E360=E359,0,IF(C360=$R$3,HLOOKUP($R$3,Ingreso!$AW$10:$BC$260,VLOOKUP(A360,Ingreso!AL:AM,2,FALSE),FALSE)/24,""))),""))</f>
        <v/>
      </c>
      <c r="O360" s="95" t="str">
        <f>IF(IFERROR(IF(C360=C358,0,IF(E360=E359,0,IF(C360=$R$4,HLOOKUP($R$4,Ingreso!$AW$10:$BC$260,VLOOKUP(A360,Ingreso!AL:AM,2,FALSE),FALSE)/24,""))),"")=0,"",IFERROR(IF(C360=C358,0,IF(E360=E359,0,IF(C360=$R$4,HLOOKUP($R$4,Ingreso!$AW$10:$BC$260,VLOOKUP(A360,Ingreso!AL:AM,2,FALSE),FALSE)/24,""))),""))</f>
        <v/>
      </c>
      <c r="P360" s="90"/>
      <c r="T360" t="s">
        <v>1427</v>
      </c>
      <c r="U360" t="s">
        <v>1324</v>
      </c>
      <c r="V360" t="s">
        <v>1402</v>
      </c>
      <c r="W360" s="82">
        <v>447</v>
      </c>
      <c r="X360" s="71">
        <v>0.375</v>
      </c>
      <c r="Y360" s="101">
        <v>0.95870370370370372</v>
      </c>
      <c r="Z360" s="101">
        <v>0.31848379629629631</v>
      </c>
      <c r="AA360" s="101">
        <v>0.35978009259259258</v>
      </c>
      <c r="AB360" s="101">
        <v>-1.5219907407407418E-2</v>
      </c>
      <c r="AC360" s="105">
        <v>0</v>
      </c>
      <c r="AD360" s="105">
        <v>0</v>
      </c>
      <c r="AE360" s="93">
        <v>0</v>
      </c>
      <c r="AF360" s="93">
        <v>0</v>
      </c>
      <c r="AG360" s="93">
        <v>0</v>
      </c>
    </row>
    <row r="361" spans="1:33">
      <c r="A361" s="65" t="str">
        <f>IFERROR(VLOOKUP('Informe Kelly'!A354,Base!A:B,2,FALSE),"")</f>
        <v>10.173.910-4</v>
      </c>
      <c r="B361" s="65" t="str">
        <f>IFERROR(VLOOKUP('Informe Kelly'!A354,Base!A:G,7,FALSE),"")</f>
        <v>ARSENDIGA PALMA FELIX EXEQUIEL</v>
      </c>
      <c r="C361" s="69" t="str">
        <f>IF(G361=$C$4,IF('Informe Kelly'!H354='Control informe Kelly'!$A$2,TEXT(((LEFT('Informe Kelly'!E354,2)*1)+1),"dd")&amp;"."&amp;MID('Informe Kelly'!E354,4,2)&amp;"."&amp;RIGHT('Informe Kelly'!E354,4),'Informe Kelly'!E354),'Informe Kelly'!E354)</f>
        <v>13.04.2011</v>
      </c>
      <c r="D361" s="69" t="str">
        <f>IF('Informe Kelly'!E354="","",'Informe Kelly'!E354)</f>
        <v>13.04.2011</v>
      </c>
      <c r="E361" s="72">
        <f t="shared" si="11"/>
        <v>180</v>
      </c>
      <c r="F361" s="72" t="str">
        <f>IFERROR(HLOOKUP(C361,Ingreso!$Q$8:$AD$9,2,FALSE),"v")</f>
        <v>Miércoles</v>
      </c>
      <c r="G361" s="65" t="str">
        <f>IFERROR(VLOOKUP(A361,Ingreso!K:P,6,FALSE),"no esta ingresado")</f>
        <v>Turno B</v>
      </c>
      <c r="H361" s="65">
        <f>IFERROR(IF('Informe Kelly'!H354=$A$2,'Informe Kelly'!F354,""),0)</f>
        <v>0.61859953703703707</v>
      </c>
      <c r="I361" s="65" t="str">
        <f>IFERROR(IF('Informe Kelly'!H354=$A$3,'Informe Kelly'!F354,""),0)</f>
        <v/>
      </c>
      <c r="J361" s="65" t="str">
        <f>IF(IFERROR(IF(E361=E360,0,(HLOOKUP(D361,Ingreso!$AN$10:$AT$260,VLOOKUP(A361,Ingreso!$AL$11:$AM$260,2,FALSE)))/24),0)=0,"",IFERROR(IF(E361=E360,0,(HLOOKUP(D361,Ingreso!$AN$10:$AT$260,VLOOKUP(A361,Ingreso!$AL$11:$AM$260,2,FALSE)))/24),0))</f>
        <v/>
      </c>
      <c r="K361" s="65" t="str">
        <f>IF(IFERROR(IF(E361=E360,0,(HLOOKUP(C361,Ingreso!$AW$10:$BC$260,VLOOKUP(A361,Ingreso!$AL$11:$AM$260,2,FALSE)))/24),0)=0,"",IFERROR(IF(E361=E360,0,(HLOOKUP(C361,Ingreso!$AW$10:$BC$260,VLOOKUP(A361,Ingreso!$AL$11:$AM$260,2,FALSE)))/24),0))</f>
        <v/>
      </c>
      <c r="L361" s="63">
        <f t="shared" si="10"/>
        <v>0</v>
      </c>
      <c r="M361" s="63" t="str">
        <f>IF(IFERROR(IF(C361=C359,0,IF(E361=E360,0,IF(C361=$R$2,HLOOKUP($R$2,Ingreso!$AW$10:$BC$260,VLOOKUP(A361,Ingreso!AL:AM,2,FALSE),FALSE)/24,""))),"")=0,"",IFERROR(IF(C361=C359,0,IF(E361=E360,0,IF(C361=$R$2,HLOOKUP($R$2,Ingreso!$AW$10:$BC$260,VLOOKUP(A361,Ingreso!AL:AM,2,FALSE),FALSE)/24,""))),""))</f>
        <v/>
      </c>
      <c r="N361" s="95" t="str">
        <f>IF(IFERROR(IF(C361=C359,0,IF(E361=E360,0,IF(C361=$R$3,HLOOKUP($R$3,Ingreso!$AW$10:$BC$260,VLOOKUP(A361,Ingreso!AL:AM,2,FALSE),FALSE)/24,""))),"")=0,"",IFERROR(IF(C361=C359,0,IF(E361=E360,0,IF(C361=$R$3,HLOOKUP($R$3,Ingreso!$AW$10:$BC$260,VLOOKUP(A361,Ingreso!AL:AM,2,FALSE),FALSE)/24,""))),""))</f>
        <v/>
      </c>
      <c r="O361" s="95" t="str">
        <f>IF(IFERROR(IF(C361=C359,0,IF(E361=E360,0,IF(C361=$R$4,HLOOKUP($R$4,Ingreso!$AW$10:$BC$260,VLOOKUP(A361,Ingreso!AL:AM,2,FALSE),FALSE)/24,""))),"")=0,"",IFERROR(IF(C361=C359,0,IF(E361=E360,0,IF(C361=$R$4,HLOOKUP($R$4,Ingreso!$AW$10:$BC$260,VLOOKUP(A361,Ingreso!AL:AM,2,FALSE),FALSE)/24,""))),""))</f>
        <v/>
      </c>
      <c r="P361" s="90"/>
      <c r="R361" t="s">
        <v>968</v>
      </c>
      <c r="S361" t="s">
        <v>971</v>
      </c>
      <c r="T361" t="s">
        <v>1420</v>
      </c>
      <c r="U361" t="s">
        <v>4</v>
      </c>
      <c r="V361" t="s">
        <v>1397</v>
      </c>
      <c r="W361" s="82">
        <v>461</v>
      </c>
      <c r="X361" s="71">
        <v>0.3125</v>
      </c>
      <c r="Y361" s="101">
        <v>0.31711805555555556</v>
      </c>
      <c r="Z361" s="101">
        <v>0.63336805555555553</v>
      </c>
      <c r="AA361" s="101">
        <v>0.31624999999999998</v>
      </c>
      <c r="AB361" s="101">
        <v>3.7499999999999756E-3</v>
      </c>
      <c r="AC361" s="105">
        <v>0</v>
      </c>
      <c r="AD361" s="105">
        <v>0</v>
      </c>
      <c r="AE361" s="93">
        <v>0</v>
      </c>
      <c r="AF361" s="93">
        <v>0</v>
      </c>
      <c r="AG361" s="93">
        <v>0</v>
      </c>
    </row>
    <row r="362" spans="1:33">
      <c r="A362" s="65" t="str">
        <f>IFERROR(VLOOKUP('Informe Kelly'!A355,Base!A:B,2,FALSE),"")</f>
        <v>10.173.910-4</v>
      </c>
      <c r="B362" s="65" t="str">
        <f>IFERROR(VLOOKUP('Informe Kelly'!A355,Base!A:G,7,FALSE),"")</f>
        <v>ARSENDIGA PALMA FELIX EXEQUIEL</v>
      </c>
      <c r="C362" s="69" t="str">
        <f>IF(G362=$C$4,IF('Informe Kelly'!H355='Control informe Kelly'!$A$2,TEXT(((LEFT('Informe Kelly'!E355,2)*1)+1),"dd")&amp;"."&amp;MID('Informe Kelly'!E355,4,2)&amp;"."&amp;RIGHT('Informe Kelly'!E355,4),'Informe Kelly'!E355),'Informe Kelly'!E355)</f>
        <v>14.04.2011</v>
      </c>
      <c r="D362" s="69" t="str">
        <f>IF('Informe Kelly'!E355="","",'Informe Kelly'!E355)</f>
        <v>14.04.2011</v>
      </c>
      <c r="E362" s="72">
        <f t="shared" si="11"/>
        <v>181</v>
      </c>
      <c r="F362" s="72" t="str">
        <f>IFERROR(HLOOKUP(C362,Ingreso!$Q$8:$AD$9,2,FALSE),"v")</f>
        <v>Jueves</v>
      </c>
      <c r="G362" s="65" t="str">
        <f>IFERROR(VLOOKUP(A362,Ingreso!K:P,6,FALSE),"no esta ingresado")</f>
        <v>Turno B</v>
      </c>
      <c r="H362" s="65" t="str">
        <f>IFERROR(IF('Informe Kelly'!H355=$A$2,'Informe Kelly'!F355,""),0)</f>
        <v/>
      </c>
      <c r="I362" s="65">
        <f>IFERROR(IF('Informe Kelly'!H355=$A$3,'Informe Kelly'!F355,""),0)</f>
        <v>0.935613425925926</v>
      </c>
      <c r="J362" s="65" t="str">
        <f>IF(IFERROR(IF(E362=E361,0,(HLOOKUP(D362,Ingreso!$AN$10:$AT$260,VLOOKUP(A362,Ingreso!$AL$11:$AM$260,2,FALSE)))/24),0)=0,"",IFERROR(IF(E362=E361,0,(HLOOKUP(D362,Ingreso!$AN$10:$AT$260,VLOOKUP(A362,Ingreso!$AL$11:$AM$260,2,FALSE)))/24),0))</f>
        <v/>
      </c>
      <c r="K362" s="65" t="str">
        <f>IF(IFERROR(IF(E362=E361,0,(HLOOKUP(C362,Ingreso!$AW$10:$BC$260,VLOOKUP(A362,Ingreso!$AL$11:$AM$260,2,FALSE)))/24),0)=0,"",IFERROR(IF(E362=E361,0,(HLOOKUP(C362,Ingreso!$AW$10:$BC$260,VLOOKUP(A362,Ingreso!$AL$11:$AM$260,2,FALSE)))/24),0))</f>
        <v/>
      </c>
      <c r="L362" s="63">
        <f t="shared" si="10"/>
        <v>0.3125</v>
      </c>
      <c r="M362" s="63" t="str">
        <f>IF(IFERROR(IF(C362=C360,0,IF(E362=E361,0,IF(C362=$R$2,HLOOKUP($R$2,Ingreso!$AW$10:$BC$260,VLOOKUP(A362,Ingreso!AL:AM,2,FALSE),FALSE)/24,""))),"")=0,"",IFERROR(IF(C362=C360,0,IF(E362=E361,0,IF(C362=$R$2,HLOOKUP($R$2,Ingreso!$AW$10:$BC$260,VLOOKUP(A362,Ingreso!AL:AM,2,FALSE),FALSE)/24,""))),""))</f>
        <v/>
      </c>
      <c r="N362" s="95" t="str">
        <f>IF(IFERROR(IF(C362=C360,0,IF(E362=E361,0,IF(C362=$R$3,HLOOKUP($R$3,Ingreso!$AW$10:$BC$260,VLOOKUP(A362,Ingreso!AL:AM,2,FALSE),FALSE)/24,""))),"")=0,"",IFERROR(IF(C362=C360,0,IF(E362=E361,0,IF(C362=$R$3,HLOOKUP($R$3,Ingreso!$AW$10:$BC$260,VLOOKUP(A362,Ingreso!AL:AM,2,FALSE),FALSE)/24,""))),""))</f>
        <v/>
      </c>
      <c r="O362" s="95" t="str">
        <f>IF(IFERROR(IF(C362=C360,0,IF(E362=E361,0,IF(C362=$R$4,HLOOKUP($R$4,Ingreso!$AW$10:$BC$260,VLOOKUP(A362,Ingreso!AL:AM,2,FALSE),FALSE)/24,""))),"")=0,"",IFERROR(IF(C362=C360,0,IF(E362=E361,0,IF(C362=$R$4,HLOOKUP($R$4,Ingreso!$AW$10:$BC$260,VLOOKUP(A362,Ingreso!AL:AM,2,FALSE),FALSE)/24,""))),""))</f>
        <v/>
      </c>
      <c r="P362" s="90"/>
      <c r="T362" t="s">
        <v>1423</v>
      </c>
      <c r="U362" t="s">
        <v>4</v>
      </c>
      <c r="V362" t="s">
        <v>1398</v>
      </c>
      <c r="W362" s="82">
        <v>462</v>
      </c>
      <c r="X362" s="71">
        <v>0.3125</v>
      </c>
      <c r="Y362" s="101">
        <v>0.31069444444444444</v>
      </c>
      <c r="Z362" s="101">
        <v>0.71466435185185195</v>
      </c>
      <c r="AA362" s="101">
        <v>0.40396990740740751</v>
      </c>
      <c r="AB362" s="101">
        <v>9.1469907407407514E-2</v>
      </c>
      <c r="AC362" s="105">
        <v>0.10416666666666667</v>
      </c>
      <c r="AD362" s="105">
        <v>0</v>
      </c>
      <c r="AE362" s="93">
        <v>0</v>
      </c>
      <c r="AF362" s="93">
        <v>0</v>
      </c>
      <c r="AG362" s="93">
        <v>0</v>
      </c>
    </row>
    <row r="363" spans="1:33" ht="12.75" customHeight="1">
      <c r="A363" s="65" t="str">
        <f>IFERROR(VLOOKUP('Informe Kelly'!A356,Base!A:B,2,FALSE),"")</f>
        <v>10.173.910-4</v>
      </c>
      <c r="B363" s="65" t="str">
        <f>IFERROR(VLOOKUP('Informe Kelly'!A356,Base!A:G,7,FALSE),"")</f>
        <v>ARSENDIGA PALMA FELIX EXEQUIEL</v>
      </c>
      <c r="C363" s="69" t="str">
        <f>IF(G363=$C$4,IF('Informe Kelly'!H356='Control informe Kelly'!$A$2,TEXT(((LEFT('Informe Kelly'!E356,2)*1)+1),"dd")&amp;"."&amp;MID('Informe Kelly'!E356,4,2)&amp;"."&amp;RIGHT('Informe Kelly'!E356,4),'Informe Kelly'!E356),'Informe Kelly'!E356)</f>
        <v>14.04.2011</v>
      </c>
      <c r="D363" s="69" t="str">
        <f>IF('Informe Kelly'!E356="","",'Informe Kelly'!E356)</f>
        <v>14.04.2011</v>
      </c>
      <c r="E363" s="72">
        <f t="shared" si="11"/>
        <v>181</v>
      </c>
      <c r="F363" s="72" t="str">
        <f>IFERROR(HLOOKUP(C363,Ingreso!$Q$8:$AD$9,2,FALSE),"v")</f>
        <v>Jueves</v>
      </c>
      <c r="G363" s="65" t="str">
        <f>IFERROR(VLOOKUP(A363,Ingreso!K:P,6,FALSE),"no esta ingresado")</f>
        <v>Turno B</v>
      </c>
      <c r="H363" s="65">
        <f>IFERROR(IF('Informe Kelly'!H356=$A$2,'Informe Kelly'!F356,""),0)</f>
        <v>0.61990740740740746</v>
      </c>
      <c r="I363" s="65" t="str">
        <f>IFERROR(IF('Informe Kelly'!H356=$A$3,'Informe Kelly'!F356,""),0)</f>
        <v/>
      </c>
      <c r="J363" s="65" t="str">
        <f>IF(IFERROR(IF(E363=E362,0,(HLOOKUP(D363,Ingreso!$AN$10:$AT$260,VLOOKUP(A363,Ingreso!$AL$11:$AM$260,2,FALSE)))/24),0)=0,"",IFERROR(IF(E363=E362,0,(HLOOKUP(D363,Ingreso!$AN$10:$AT$260,VLOOKUP(A363,Ingreso!$AL$11:$AM$260,2,FALSE)))/24),0))</f>
        <v/>
      </c>
      <c r="K363" s="65" t="str">
        <f>IF(IFERROR(IF(E363=E362,0,(HLOOKUP(C363,Ingreso!$AW$10:$BC$260,VLOOKUP(A363,Ingreso!$AL$11:$AM$260,2,FALSE)))/24),0)=0,"",IFERROR(IF(E363=E362,0,(HLOOKUP(C363,Ingreso!$AW$10:$BC$260,VLOOKUP(A363,Ingreso!$AL$11:$AM$260,2,FALSE)))/24),0))</f>
        <v/>
      </c>
      <c r="L363" s="63">
        <f t="shared" si="10"/>
        <v>0</v>
      </c>
      <c r="M363" s="63" t="str">
        <f>IF(IFERROR(IF(C363=C361,0,IF(E363=E362,0,IF(C363=$R$2,HLOOKUP($R$2,Ingreso!$AW$10:$BC$260,VLOOKUP(A363,Ingreso!AL:AM,2,FALSE),FALSE)/24,""))),"")=0,"",IFERROR(IF(C363=C361,0,IF(E363=E362,0,IF(C363=$R$2,HLOOKUP($R$2,Ingreso!$AW$10:$BC$260,VLOOKUP(A363,Ingreso!AL:AM,2,FALSE),FALSE)/24,""))),""))</f>
        <v/>
      </c>
      <c r="N363" s="95" t="str">
        <f>IF(IFERROR(IF(C363=C361,0,IF(E363=E362,0,IF(C363=$R$3,HLOOKUP($R$3,Ingreso!$AW$10:$BC$260,VLOOKUP(A363,Ingreso!AL:AM,2,FALSE),FALSE)/24,""))),"")=0,"",IFERROR(IF(C363=C361,0,IF(E363=E362,0,IF(C363=$R$3,HLOOKUP($R$3,Ingreso!$AW$10:$BC$260,VLOOKUP(A363,Ingreso!AL:AM,2,FALSE),FALSE)/24,""))),""))</f>
        <v/>
      </c>
      <c r="O363" s="95" t="str">
        <f>IF(IFERROR(IF(C363=C361,0,IF(E363=E362,0,IF(C363=$R$4,HLOOKUP($R$4,Ingreso!$AW$10:$BC$260,VLOOKUP(A363,Ingreso!AL:AM,2,FALSE),FALSE)/24,""))),"")=0,"",IFERROR(IF(C363=C361,0,IF(E363=E362,0,IF(C363=$R$4,HLOOKUP($R$4,Ingreso!$AW$10:$BC$260,VLOOKUP(A363,Ingreso!AL:AM,2,FALSE),FALSE)/24,""))),""))</f>
        <v/>
      </c>
      <c r="P363" s="90"/>
      <c r="T363" t="s">
        <v>1424</v>
      </c>
      <c r="U363" t="s">
        <v>4</v>
      </c>
      <c r="V363" t="s">
        <v>1399</v>
      </c>
      <c r="W363" s="82">
        <v>463</v>
      </c>
      <c r="X363" s="71">
        <v>0.3125</v>
      </c>
      <c r="Y363" s="101">
        <v>0.31155092592592593</v>
      </c>
      <c r="Z363" s="101">
        <v>0.71090277777777777</v>
      </c>
      <c r="AA363" s="101">
        <v>0.39935185185185185</v>
      </c>
      <c r="AB363" s="101">
        <v>8.6851851851851847E-2</v>
      </c>
      <c r="AC363" s="105">
        <v>0.10416666666666667</v>
      </c>
      <c r="AD363" s="105">
        <v>0</v>
      </c>
      <c r="AE363" s="93">
        <v>0</v>
      </c>
      <c r="AF363" s="93">
        <v>0</v>
      </c>
      <c r="AG363" s="93">
        <v>0</v>
      </c>
    </row>
    <row r="364" spans="1:33">
      <c r="A364" s="65" t="str">
        <f>IFERROR(VLOOKUP('Informe Kelly'!A357,Base!A:B,2,FALSE),"")</f>
        <v>10.173.910-4</v>
      </c>
      <c r="B364" s="65" t="str">
        <f>IFERROR(VLOOKUP('Informe Kelly'!A357,Base!A:G,7,FALSE),"")</f>
        <v>ARSENDIGA PALMA FELIX EXEQUIEL</v>
      </c>
      <c r="C364" s="69" t="str">
        <f>IF(G364=$C$4,IF('Informe Kelly'!H357='Control informe Kelly'!$A$2,TEXT(((LEFT('Informe Kelly'!E357,2)*1)+1),"dd")&amp;"."&amp;MID('Informe Kelly'!E357,4,2)&amp;"."&amp;RIGHT('Informe Kelly'!E357,4),'Informe Kelly'!E357),'Informe Kelly'!E357)</f>
        <v>15.04.2011</v>
      </c>
      <c r="D364" s="69" t="str">
        <f>IF('Informe Kelly'!E357="","",'Informe Kelly'!E357)</f>
        <v>15.04.2011</v>
      </c>
      <c r="E364" s="72">
        <f t="shared" si="11"/>
        <v>182</v>
      </c>
      <c r="F364" s="72" t="str">
        <f>IFERROR(HLOOKUP(C364,Ingreso!$Q$8:$AD$9,2,FALSE),"v")</f>
        <v>Viernes</v>
      </c>
      <c r="G364" s="65" t="str">
        <f>IFERROR(VLOOKUP(A364,Ingreso!K:P,6,FALSE),"no esta ingresado")</f>
        <v>Turno B</v>
      </c>
      <c r="H364" s="65" t="str">
        <f>IFERROR(IF('Informe Kelly'!H357=$A$2,'Informe Kelly'!F357,""),0)</f>
        <v/>
      </c>
      <c r="I364" s="65">
        <f>IFERROR(IF('Informe Kelly'!H357=$A$3,'Informe Kelly'!F357,""),0)</f>
        <v>0.93451388888888898</v>
      </c>
      <c r="J364" s="65" t="str">
        <f>IF(IFERROR(IF(E364=E363,0,(HLOOKUP(D364,Ingreso!$AN$10:$AT$260,VLOOKUP(A364,Ingreso!$AL$11:$AM$260,2,FALSE)))/24),0)=0,"",IFERROR(IF(E364=E363,0,(HLOOKUP(D364,Ingreso!$AN$10:$AT$260,VLOOKUP(A364,Ingreso!$AL$11:$AM$260,2,FALSE)))/24),0))</f>
        <v/>
      </c>
      <c r="K364" s="65" t="str">
        <f>IF(IFERROR(IF(E364=E363,0,(HLOOKUP(C364,Ingreso!$AW$10:$BC$260,VLOOKUP(A364,Ingreso!$AL$11:$AM$260,2,FALSE)))/24),0)=0,"",IFERROR(IF(E364=E363,0,(HLOOKUP(C364,Ingreso!$AW$10:$BC$260,VLOOKUP(A364,Ingreso!$AL$11:$AM$260,2,FALSE)))/24),0))</f>
        <v/>
      </c>
      <c r="L364" s="63">
        <f t="shared" si="10"/>
        <v>0.3125</v>
      </c>
      <c r="M364" s="63" t="str">
        <f>IF(IFERROR(IF(C364=C362,0,IF(E364=E363,0,IF(C364=$R$2,HLOOKUP($R$2,Ingreso!$AW$10:$BC$260,VLOOKUP(A364,Ingreso!AL:AM,2,FALSE),FALSE)/24,""))),"")=0,"",IFERROR(IF(C364=C362,0,IF(E364=E363,0,IF(C364=$R$2,HLOOKUP($R$2,Ingreso!$AW$10:$BC$260,VLOOKUP(A364,Ingreso!AL:AM,2,FALSE),FALSE)/24,""))),""))</f>
        <v/>
      </c>
      <c r="N364" s="95" t="str">
        <f>IF(IFERROR(IF(C364=C362,0,IF(E364=E363,0,IF(C364=$R$3,HLOOKUP($R$3,Ingreso!$AW$10:$BC$260,VLOOKUP(A364,Ingreso!AL:AM,2,FALSE),FALSE)/24,""))),"")=0,"",IFERROR(IF(C364=C362,0,IF(E364=E363,0,IF(C364=$R$3,HLOOKUP($R$3,Ingreso!$AW$10:$BC$260,VLOOKUP(A364,Ingreso!AL:AM,2,FALSE),FALSE)/24,""))),""))</f>
        <v/>
      </c>
      <c r="O364" s="95" t="str">
        <f>IF(IFERROR(IF(C364=C362,0,IF(E364=E363,0,IF(C364=$R$4,HLOOKUP($R$4,Ingreso!$AW$10:$BC$260,VLOOKUP(A364,Ingreso!AL:AM,2,FALSE),FALSE)/24,""))),"")=0,"",IFERROR(IF(C364=C362,0,IF(E364=E363,0,IF(C364=$R$4,HLOOKUP($R$4,Ingreso!$AW$10:$BC$260,VLOOKUP(A364,Ingreso!AL:AM,2,FALSE),FALSE)/24,""))),""))</f>
        <v/>
      </c>
      <c r="P364" s="90"/>
      <c r="T364" t="s">
        <v>1426</v>
      </c>
      <c r="U364" t="s">
        <v>4</v>
      </c>
      <c r="V364" t="s">
        <v>1401</v>
      </c>
      <c r="W364" s="82">
        <v>464</v>
      </c>
      <c r="X364" s="71">
        <v>0.3125</v>
      </c>
      <c r="Y364" s="101">
        <v>0.32341435185185186</v>
      </c>
      <c r="Z364" s="101">
        <v>0.62523148148148155</v>
      </c>
      <c r="AA364" s="101">
        <v>0.3018171296296297</v>
      </c>
      <c r="AB364" s="101">
        <v>-1.0682870370370301E-2</v>
      </c>
      <c r="AC364" s="105">
        <v>0</v>
      </c>
      <c r="AD364" s="105">
        <v>0</v>
      </c>
      <c r="AE364" s="93">
        <v>0</v>
      </c>
      <c r="AF364" s="93">
        <v>0</v>
      </c>
      <c r="AG364" s="93">
        <v>0</v>
      </c>
    </row>
    <row r="365" spans="1:33">
      <c r="A365" s="65" t="str">
        <f>IFERROR(VLOOKUP('Informe Kelly'!A358,Base!A:B,2,FALSE),"")</f>
        <v>10.173.910-4</v>
      </c>
      <c r="B365" s="65" t="str">
        <f>IFERROR(VLOOKUP('Informe Kelly'!A358,Base!A:G,7,FALSE),"")</f>
        <v>ARSENDIGA PALMA FELIX EXEQUIEL</v>
      </c>
      <c r="C365" s="69" t="str">
        <f>IF(G365=$C$4,IF('Informe Kelly'!H358='Control informe Kelly'!$A$2,TEXT(((LEFT('Informe Kelly'!E358,2)*1)+1),"dd")&amp;"."&amp;MID('Informe Kelly'!E358,4,2)&amp;"."&amp;RIGHT('Informe Kelly'!E358,4),'Informe Kelly'!E358),'Informe Kelly'!E358)</f>
        <v>15.04.2011</v>
      </c>
      <c r="D365" s="69" t="str">
        <f>IF('Informe Kelly'!E358="","",'Informe Kelly'!E358)</f>
        <v>15.04.2011</v>
      </c>
      <c r="E365" s="72">
        <f t="shared" si="11"/>
        <v>182</v>
      </c>
      <c r="F365" s="72" t="str">
        <f>IFERROR(HLOOKUP(C365,Ingreso!$Q$8:$AD$9,2,FALSE),"v")</f>
        <v>Viernes</v>
      </c>
      <c r="G365" s="65" t="str">
        <f>IFERROR(VLOOKUP(A365,Ingreso!K:P,6,FALSE),"no esta ingresado")</f>
        <v>Turno B</v>
      </c>
      <c r="H365" s="65">
        <f>IFERROR(IF('Informe Kelly'!H358=$A$2,'Informe Kelly'!F358,""),0)</f>
        <v>0.6189351851851852</v>
      </c>
      <c r="I365" s="65" t="str">
        <f>IFERROR(IF('Informe Kelly'!H358=$A$3,'Informe Kelly'!F358,""),0)</f>
        <v/>
      </c>
      <c r="J365" s="65" t="str">
        <f>IF(IFERROR(IF(E365=E364,0,(HLOOKUP(D365,Ingreso!$AN$10:$AT$260,VLOOKUP(A365,Ingreso!$AL$11:$AM$260,2,FALSE)))/24),0)=0,"",IFERROR(IF(E365=E364,0,(HLOOKUP(D365,Ingreso!$AN$10:$AT$260,VLOOKUP(A365,Ingreso!$AL$11:$AM$260,2,FALSE)))/24),0))</f>
        <v/>
      </c>
      <c r="K365" s="65" t="str">
        <f>IF(IFERROR(IF(E365=E364,0,(HLOOKUP(C365,Ingreso!$AW$10:$BC$260,VLOOKUP(A365,Ingreso!$AL$11:$AM$260,2,FALSE)))/24),0)=0,"",IFERROR(IF(E365=E364,0,(HLOOKUP(C365,Ingreso!$AW$10:$BC$260,VLOOKUP(A365,Ingreso!$AL$11:$AM$260,2,FALSE)))/24),0))</f>
        <v/>
      </c>
      <c r="L365" s="63">
        <f t="shared" si="10"/>
        <v>0</v>
      </c>
      <c r="M365" s="63" t="str">
        <f>IF(IFERROR(IF(C365=C363,0,IF(E365=E364,0,IF(C365=$R$2,HLOOKUP($R$2,Ingreso!$AW$10:$BC$260,VLOOKUP(A365,Ingreso!AL:AM,2,FALSE),FALSE)/24,""))),"")=0,"",IFERROR(IF(C365=C363,0,IF(E365=E364,0,IF(C365=$R$2,HLOOKUP($R$2,Ingreso!$AW$10:$BC$260,VLOOKUP(A365,Ingreso!AL:AM,2,FALSE),FALSE)/24,""))),""))</f>
        <v/>
      </c>
      <c r="N365" s="95" t="str">
        <f>IF(IFERROR(IF(C365=C363,0,IF(E365=E364,0,IF(C365=$R$3,HLOOKUP($R$3,Ingreso!$AW$10:$BC$260,VLOOKUP(A365,Ingreso!AL:AM,2,FALSE),FALSE)/24,""))),"")=0,"",IFERROR(IF(C365=C363,0,IF(E365=E364,0,IF(C365=$R$3,HLOOKUP($R$3,Ingreso!$AW$10:$BC$260,VLOOKUP(A365,Ingreso!AL:AM,2,FALSE),FALSE)/24,""))),""))</f>
        <v/>
      </c>
      <c r="O365" s="95" t="str">
        <f>IF(IFERROR(IF(C365=C363,0,IF(E365=E364,0,IF(C365=$R$4,HLOOKUP($R$4,Ingreso!$AW$10:$BC$260,VLOOKUP(A365,Ingreso!AL:AM,2,FALSE),FALSE)/24,""))),"")=0,"",IFERROR(IF(C365=C363,0,IF(E365=E364,0,IF(C365=$R$4,HLOOKUP($R$4,Ingreso!$AW$10:$BC$260,VLOOKUP(A365,Ingreso!AL:AM,2,FALSE),FALSE)/24,""))),""))</f>
        <v/>
      </c>
      <c r="P365" s="90"/>
      <c r="T365" t="s">
        <v>1427</v>
      </c>
      <c r="U365" t="s">
        <v>4</v>
      </c>
      <c r="V365" t="s">
        <v>1402</v>
      </c>
      <c r="W365" s="82">
        <v>465</v>
      </c>
      <c r="X365" s="71">
        <v>0.3125</v>
      </c>
      <c r="Y365" s="101">
        <v>0.32061342592592595</v>
      </c>
      <c r="Z365" s="101">
        <v>0.63129629629629636</v>
      </c>
      <c r="AA365" s="101">
        <v>0.3106828703703704</v>
      </c>
      <c r="AB365" s="101">
        <v>-1.8171296296295991E-3</v>
      </c>
      <c r="AC365" s="105">
        <v>0</v>
      </c>
      <c r="AD365" s="105">
        <v>0</v>
      </c>
      <c r="AE365" s="93">
        <v>0</v>
      </c>
      <c r="AF365" s="93">
        <v>0</v>
      </c>
      <c r="AG365" s="93">
        <v>0</v>
      </c>
    </row>
    <row r="366" spans="1:33">
      <c r="A366" s="65" t="str">
        <f>IFERROR(VLOOKUP('Informe Kelly'!A359,Base!A:B,2,FALSE),"")</f>
        <v>10.173.910-4</v>
      </c>
      <c r="B366" s="65" t="str">
        <f>IFERROR(VLOOKUP('Informe Kelly'!A359,Base!A:G,7,FALSE),"")</f>
        <v>ARSENDIGA PALMA FELIX EXEQUIEL</v>
      </c>
      <c r="C366" s="69" t="str">
        <f>IF(G366=$C$4,IF('Informe Kelly'!H359='Control informe Kelly'!$A$2,TEXT(((LEFT('Informe Kelly'!E359,2)*1)+1),"dd")&amp;"."&amp;MID('Informe Kelly'!E359,4,2)&amp;"."&amp;RIGHT('Informe Kelly'!E359,4),'Informe Kelly'!E359),'Informe Kelly'!E359)</f>
        <v>16.04.2011</v>
      </c>
      <c r="D366" s="69" t="str">
        <f>IF('Informe Kelly'!E359="","",'Informe Kelly'!E359)</f>
        <v>16.04.2011</v>
      </c>
      <c r="E366" s="72">
        <f t="shared" si="11"/>
        <v>183</v>
      </c>
      <c r="F366" s="72" t="str">
        <f>IFERROR(HLOOKUP(C366,Ingreso!$Q$8:$AD$9,2,FALSE),"v")</f>
        <v>Sábado</v>
      </c>
      <c r="G366" s="65" t="str">
        <f>IFERROR(VLOOKUP(A366,Ingreso!K:P,6,FALSE),"no esta ingresado")</f>
        <v>Turno B</v>
      </c>
      <c r="H366" s="65" t="str">
        <f>IFERROR(IF('Informe Kelly'!H359=$A$2,'Informe Kelly'!F359,""),0)</f>
        <v/>
      </c>
      <c r="I366" s="65">
        <f>IFERROR(IF('Informe Kelly'!H359=$A$3,'Informe Kelly'!F359,""),0)</f>
        <v>0.93439814814814814</v>
      </c>
      <c r="J366" s="65" t="str">
        <f>IF(IFERROR(IF(E366=E365,0,(HLOOKUP(D366,Ingreso!$AN$10:$AT$260,VLOOKUP(A366,Ingreso!$AL$11:$AM$260,2,FALSE)))/24),0)=0,"",IFERROR(IF(E366=E365,0,(HLOOKUP(D366,Ingreso!$AN$10:$AT$260,VLOOKUP(A366,Ingreso!$AL$11:$AM$260,2,FALSE)))/24),0))</f>
        <v/>
      </c>
      <c r="K366" s="65" t="str">
        <f>IF(IFERROR(IF(E366=E365,0,(HLOOKUP(C366,Ingreso!$AW$10:$BC$260,VLOOKUP(A366,Ingreso!$AL$11:$AM$260,2,FALSE)))/24),0)=0,"",IFERROR(IF(E366=E365,0,(HLOOKUP(C366,Ingreso!$AW$10:$BC$260,VLOOKUP(A366,Ingreso!$AL$11:$AM$260,2,FALSE)))/24),0))</f>
        <v/>
      </c>
      <c r="L366" s="63">
        <f t="shared" si="10"/>
        <v>0.3125</v>
      </c>
      <c r="M366" s="63" t="str">
        <f>IF(IFERROR(IF(C366=C364,0,IF(E366=E365,0,IF(C366=$R$2,HLOOKUP($R$2,Ingreso!$AW$10:$BC$260,VLOOKUP(A366,Ingreso!AL:AM,2,FALSE),FALSE)/24,""))),"")=0,"",IFERROR(IF(C366=C364,0,IF(E366=E365,0,IF(C366=$R$2,HLOOKUP($R$2,Ingreso!$AW$10:$BC$260,VLOOKUP(A366,Ingreso!AL:AM,2,FALSE),FALSE)/24,""))),""))</f>
        <v/>
      </c>
      <c r="N366" s="95" t="str">
        <f>IF(IFERROR(IF(C366=C364,0,IF(E366=E365,0,IF(C366=$R$3,HLOOKUP($R$3,Ingreso!$AW$10:$BC$260,VLOOKUP(A366,Ingreso!AL:AM,2,FALSE),FALSE)/24,""))),"")=0,"",IFERROR(IF(C366=C364,0,IF(E366=E365,0,IF(C366=$R$3,HLOOKUP($R$3,Ingreso!$AW$10:$BC$260,VLOOKUP(A366,Ingreso!AL:AM,2,FALSE),FALSE)/24,""))),""))</f>
        <v/>
      </c>
      <c r="O366" s="95" t="str">
        <f>IF(IFERROR(IF(C366=C364,0,IF(E366=E365,0,IF(C366=$R$4,HLOOKUP($R$4,Ingreso!$AW$10:$BC$260,VLOOKUP(A366,Ingreso!AL:AM,2,FALSE),FALSE)/24,""))),"")=0,"",IFERROR(IF(C366=C364,0,IF(E366=E365,0,IF(C366=$R$4,HLOOKUP($R$4,Ingreso!$AW$10:$BC$260,VLOOKUP(A366,Ingreso!AL:AM,2,FALSE),FALSE)/24,""))),""))</f>
        <v/>
      </c>
      <c r="P366" s="90"/>
      <c r="R366" t="s">
        <v>372</v>
      </c>
      <c r="S366" t="s">
        <v>375</v>
      </c>
      <c r="T366" t="s">
        <v>1420</v>
      </c>
      <c r="U366" t="s">
        <v>4</v>
      </c>
      <c r="V366" t="s">
        <v>1397</v>
      </c>
      <c r="W366" s="82">
        <v>466</v>
      </c>
      <c r="X366" s="71">
        <v>0.3125</v>
      </c>
      <c r="Y366" s="101">
        <v>0.29099537037037038</v>
      </c>
      <c r="Z366" s="101">
        <v>0.63254629629629633</v>
      </c>
      <c r="AA366" s="101">
        <v>0.34155092592592595</v>
      </c>
      <c r="AB366" s="101">
        <v>2.9050925925925952E-2</v>
      </c>
      <c r="AC366" s="105">
        <v>0</v>
      </c>
      <c r="AD366" s="105">
        <v>0</v>
      </c>
      <c r="AE366" s="93">
        <v>0</v>
      </c>
      <c r="AF366" s="93">
        <v>0</v>
      </c>
      <c r="AG366" s="93">
        <v>0</v>
      </c>
    </row>
    <row r="367" spans="1:33">
      <c r="A367" s="65" t="str">
        <f>IFERROR(VLOOKUP('Informe Kelly'!A360,Base!A:B,2,FALSE),"")</f>
        <v>10.173.910-4</v>
      </c>
      <c r="B367" s="65" t="str">
        <f>IFERROR(VLOOKUP('Informe Kelly'!A360,Base!A:G,7,FALSE),"")</f>
        <v>ARSENDIGA PALMA FELIX EXEQUIEL</v>
      </c>
      <c r="C367" s="69" t="str">
        <f>IF(G367=$C$4,IF('Informe Kelly'!H360='Control informe Kelly'!$A$2,TEXT(((LEFT('Informe Kelly'!E360,2)*1)+1),"dd")&amp;"."&amp;MID('Informe Kelly'!E360,4,2)&amp;"."&amp;RIGHT('Informe Kelly'!E360,4),'Informe Kelly'!E360),'Informe Kelly'!E360)</f>
        <v>16.04.2011</v>
      </c>
      <c r="D367" s="69" t="str">
        <f>IF('Informe Kelly'!E360="","",'Informe Kelly'!E360)</f>
        <v>16.04.2011</v>
      </c>
      <c r="E367" s="72">
        <f t="shared" si="11"/>
        <v>183</v>
      </c>
      <c r="F367" s="72" t="str">
        <f>IFERROR(HLOOKUP(C367,Ingreso!$Q$8:$AD$9,2,FALSE),"v")</f>
        <v>Sábado</v>
      </c>
      <c r="G367" s="65" t="str">
        <f>IFERROR(VLOOKUP(A367,Ingreso!K:P,6,FALSE),"no esta ingresado")</f>
        <v>Turno B</v>
      </c>
      <c r="H367" s="65">
        <f>IFERROR(IF('Informe Kelly'!H360=$A$2,'Informe Kelly'!F360,""),0)</f>
        <v>0.6178703703703704</v>
      </c>
      <c r="I367" s="65" t="str">
        <f>IFERROR(IF('Informe Kelly'!H360=$A$3,'Informe Kelly'!F360,""),0)</f>
        <v/>
      </c>
      <c r="J367" s="65" t="str">
        <f>IF(IFERROR(IF(E367=E366,0,(HLOOKUP(D367,Ingreso!$AN$10:$AT$260,VLOOKUP(A367,Ingreso!$AL$11:$AM$260,2,FALSE)))/24),0)=0,"",IFERROR(IF(E367=E366,0,(HLOOKUP(D367,Ingreso!$AN$10:$AT$260,VLOOKUP(A367,Ingreso!$AL$11:$AM$260,2,FALSE)))/24),0))</f>
        <v/>
      </c>
      <c r="K367" s="65" t="str">
        <f>IF(IFERROR(IF(E367=E366,0,(HLOOKUP(C367,Ingreso!$AW$10:$BC$260,VLOOKUP(A367,Ingreso!$AL$11:$AM$260,2,FALSE)))/24),0)=0,"",IFERROR(IF(E367=E366,0,(HLOOKUP(C367,Ingreso!$AW$10:$BC$260,VLOOKUP(A367,Ingreso!$AL$11:$AM$260,2,FALSE)))/24),0))</f>
        <v/>
      </c>
      <c r="L367" s="63">
        <f t="shared" si="10"/>
        <v>0</v>
      </c>
      <c r="M367" s="63" t="str">
        <f>IF(IFERROR(IF(C367=C365,0,IF(E367=E366,0,IF(C367=$R$2,HLOOKUP($R$2,Ingreso!$AW$10:$BC$260,VLOOKUP(A367,Ingreso!AL:AM,2,FALSE),FALSE)/24,""))),"")=0,"",IFERROR(IF(C367=C365,0,IF(E367=E366,0,IF(C367=$R$2,HLOOKUP($R$2,Ingreso!$AW$10:$BC$260,VLOOKUP(A367,Ingreso!AL:AM,2,FALSE),FALSE)/24,""))),""))</f>
        <v/>
      </c>
      <c r="N367" s="95" t="str">
        <f>IF(IFERROR(IF(C367=C365,0,IF(E367=E366,0,IF(C367=$R$3,HLOOKUP($R$3,Ingreso!$AW$10:$BC$260,VLOOKUP(A367,Ingreso!AL:AM,2,FALSE),FALSE)/24,""))),"")=0,"",IFERROR(IF(C367=C365,0,IF(E367=E366,0,IF(C367=$R$3,HLOOKUP($R$3,Ingreso!$AW$10:$BC$260,VLOOKUP(A367,Ingreso!AL:AM,2,FALSE),FALSE)/24,""))),""))</f>
        <v/>
      </c>
      <c r="O367" s="95" t="str">
        <f>IF(IFERROR(IF(C367=C365,0,IF(E367=E366,0,IF(C367=$R$4,HLOOKUP($R$4,Ingreso!$AW$10:$BC$260,VLOOKUP(A367,Ingreso!AL:AM,2,FALSE),FALSE)/24,""))),"")=0,"",IFERROR(IF(C367=C365,0,IF(E367=E366,0,IF(C367=$R$4,HLOOKUP($R$4,Ingreso!$AW$10:$BC$260,VLOOKUP(A367,Ingreso!AL:AM,2,FALSE),FALSE)/24,""))),""))</f>
        <v/>
      </c>
      <c r="P367" s="90"/>
      <c r="T367" t="s">
        <v>1423</v>
      </c>
      <c r="U367" t="s">
        <v>4</v>
      </c>
      <c r="V367" t="s">
        <v>1398</v>
      </c>
      <c r="W367" s="82">
        <v>467</v>
      </c>
      <c r="X367" s="71">
        <v>0.3125</v>
      </c>
      <c r="Y367" s="101">
        <v>0.29658564814814814</v>
      </c>
      <c r="Z367" s="101">
        <v>0.62417824074074069</v>
      </c>
      <c r="AA367" s="101">
        <v>0.32759259259259255</v>
      </c>
      <c r="AB367" s="101">
        <v>1.5092592592592546E-2</v>
      </c>
      <c r="AC367" s="105">
        <v>0</v>
      </c>
      <c r="AD367" s="105">
        <v>0</v>
      </c>
      <c r="AE367" s="93">
        <v>0</v>
      </c>
      <c r="AF367" s="93">
        <v>0</v>
      </c>
      <c r="AG367" s="93">
        <v>0</v>
      </c>
    </row>
    <row r="368" spans="1:33">
      <c r="A368" s="65" t="str">
        <f>IFERROR(VLOOKUP('Informe Kelly'!A361,Base!A:B,2,FALSE),"")</f>
        <v>10.199.755-3</v>
      </c>
      <c r="B368" s="65" t="str">
        <f>IFERROR(VLOOKUP('Informe Kelly'!A361,Base!A:G,7,FALSE),"")</f>
        <v>HERNANDEZ GONZALEZ QUINTIN ROBERTO</v>
      </c>
      <c r="C368" s="69" t="str">
        <f>IF(G368=$C$4,IF('Informe Kelly'!H361='Control informe Kelly'!$A$2,TEXT(((LEFT('Informe Kelly'!E361,2)*1)+1),"dd")&amp;"."&amp;MID('Informe Kelly'!E361,4,2)&amp;"."&amp;RIGHT('Informe Kelly'!E361,4),'Informe Kelly'!E361),'Informe Kelly'!E361)</f>
        <v>12.04.2011</v>
      </c>
      <c r="D368" s="69" t="str">
        <f>IF('Informe Kelly'!E361="","",'Informe Kelly'!E361)</f>
        <v>11.04.2011</v>
      </c>
      <c r="E368" s="72">
        <f t="shared" si="11"/>
        <v>184</v>
      </c>
      <c r="F368" s="72" t="str">
        <f>IFERROR(HLOOKUP(C368,Ingreso!$Q$8:$AD$9,2,FALSE),"v")</f>
        <v>Martes</v>
      </c>
      <c r="G368" s="65" t="str">
        <f>IFERROR(VLOOKUP(A368,Ingreso!K:P,6,FALSE),"no esta ingresado")</f>
        <v>Turno C</v>
      </c>
      <c r="H368" s="65">
        <f>IFERROR(IF('Informe Kelly'!H361=$A$2,'Informe Kelly'!F361,""),0)</f>
        <v>0.9212731481481482</v>
      </c>
      <c r="I368" s="65" t="str">
        <f>IFERROR(IF('Informe Kelly'!H361=$A$3,'Informe Kelly'!F361,""),0)</f>
        <v/>
      </c>
      <c r="J368" s="65" t="str">
        <f>IF(IFERROR(IF(E368=E367,0,(HLOOKUP(D368,Ingreso!$AN$10:$AT$260,VLOOKUP(A368,Ingreso!$AL$11:$AM$260,2,FALSE)))/24),0)=0,"",IFERROR(IF(E368=E367,0,(HLOOKUP(D368,Ingreso!$AN$10:$AT$260,VLOOKUP(A368,Ingreso!$AL$11:$AM$260,2,FALSE)))/24),0))</f>
        <v/>
      </c>
      <c r="K368" s="65" t="str">
        <f>IF(IFERROR(IF(E368=E367,0,(HLOOKUP(C368,Ingreso!$AW$10:$BC$260,VLOOKUP(A368,Ingreso!$AL$11:$AM$260,2,FALSE)))/24),0)=0,"",IFERROR(IF(E368=E367,0,(HLOOKUP(C368,Ingreso!$AW$10:$BC$260,VLOOKUP(A368,Ingreso!$AL$11:$AM$260,2,FALSE)))/24),0))</f>
        <v/>
      </c>
      <c r="L368" s="63">
        <f t="shared" si="10"/>
        <v>0.375</v>
      </c>
      <c r="M368" s="63" t="str">
        <f>IF(IFERROR(IF(C368=C366,0,IF(E368=E367,0,IF(C368=$R$2,HLOOKUP($R$2,Ingreso!$AW$10:$BC$260,VLOOKUP(A368,Ingreso!AL:AM,2,FALSE),FALSE)/24,""))),"")=0,"",IFERROR(IF(C368=C366,0,IF(E368=E367,0,IF(C368=$R$2,HLOOKUP($R$2,Ingreso!$AW$10:$BC$260,VLOOKUP(A368,Ingreso!AL:AM,2,FALSE),FALSE)/24,""))),""))</f>
        <v/>
      </c>
      <c r="N368" s="95" t="str">
        <f>IF(IFERROR(IF(C368=C366,0,IF(E368=E367,0,IF(C368=$R$3,HLOOKUP($R$3,Ingreso!$AW$10:$BC$260,VLOOKUP(A368,Ingreso!AL:AM,2,FALSE),FALSE)/24,""))),"")=0,"",IFERROR(IF(C368=C366,0,IF(E368=E367,0,IF(C368=$R$3,HLOOKUP($R$3,Ingreso!$AW$10:$BC$260,VLOOKUP(A368,Ingreso!AL:AM,2,FALSE),FALSE)/24,""))),""))</f>
        <v/>
      </c>
      <c r="O368" s="95" t="str">
        <f>IF(IFERROR(IF(C368=C366,0,IF(E368=E367,0,IF(C368=$R$4,HLOOKUP($R$4,Ingreso!$AW$10:$BC$260,VLOOKUP(A368,Ingreso!AL:AM,2,FALSE),FALSE)/24,""))),"")=0,"",IFERROR(IF(C368=C366,0,IF(E368=E367,0,IF(C368=$R$4,HLOOKUP($R$4,Ingreso!$AW$10:$BC$260,VLOOKUP(A368,Ingreso!AL:AM,2,FALSE),FALSE)/24,""))),""))</f>
        <v/>
      </c>
      <c r="P368" s="90"/>
      <c r="T368" t="s">
        <v>1424</v>
      </c>
      <c r="U368" t="s">
        <v>4</v>
      </c>
      <c r="V368" t="s">
        <v>1399</v>
      </c>
      <c r="W368" s="82">
        <v>468</v>
      </c>
      <c r="X368" s="71">
        <v>0.3125</v>
      </c>
      <c r="Y368" s="101">
        <v>0.29635416666666664</v>
      </c>
      <c r="Z368" s="101">
        <v>0.63276620370370373</v>
      </c>
      <c r="AA368" s="101">
        <v>0.33641203703703709</v>
      </c>
      <c r="AB368" s="101">
        <v>2.3912037037037093E-2</v>
      </c>
      <c r="AC368" s="105">
        <v>0</v>
      </c>
      <c r="AD368" s="105">
        <v>0</v>
      </c>
      <c r="AE368" s="93">
        <v>0</v>
      </c>
      <c r="AF368" s="93">
        <v>0</v>
      </c>
      <c r="AG368" s="93">
        <v>0</v>
      </c>
    </row>
    <row r="369" spans="1:33" ht="12.75" customHeight="1">
      <c r="A369" s="65" t="str">
        <f>IFERROR(VLOOKUP('Informe Kelly'!A362,Base!A:B,2,FALSE),"")</f>
        <v>10.199.755-3</v>
      </c>
      <c r="B369" s="65" t="str">
        <f>IFERROR(VLOOKUP('Informe Kelly'!A362,Base!A:G,7,FALSE),"")</f>
        <v>HERNANDEZ GONZALEZ QUINTIN ROBERTO</v>
      </c>
      <c r="C369" s="69" t="str">
        <f>IF(G369=$C$4,IF('Informe Kelly'!H362='Control informe Kelly'!$A$2,TEXT(((LEFT('Informe Kelly'!E362,2)*1)+1),"dd")&amp;"."&amp;MID('Informe Kelly'!E362,4,2)&amp;"."&amp;RIGHT('Informe Kelly'!E362,4),'Informe Kelly'!E362),'Informe Kelly'!E362)</f>
        <v>12.04.2011</v>
      </c>
      <c r="D369" s="69" t="str">
        <f>IF('Informe Kelly'!E362="","",'Informe Kelly'!E362)</f>
        <v>12.04.2011</v>
      </c>
      <c r="E369" s="72">
        <f t="shared" si="11"/>
        <v>184</v>
      </c>
      <c r="F369" s="72" t="str">
        <f>IFERROR(HLOOKUP(C369,Ingreso!$Q$8:$AD$9,2,FALSE),"v")</f>
        <v>Martes</v>
      </c>
      <c r="G369" s="65" t="str">
        <f>IFERROR(VLOOKUP(A369,Ingreso!K:P,6,FALSE),"no esta ingresado")</f>
        <v>Turno C</v>
      </c>
      <c r="H369" s="65" t="str">
        <f>IFERROR(IF('Informe Kelly'!H362=$A$2,'Informe Kelly'!F362,""),0)</f>
        <v/>
      </c>
      <c r="I369" s="65">
        <f>IFERROR(IF('Informe Kelly'!H362=$A$3,'Informe Kelly'!F362,""),0)</f>
        <v>0.32465277777777779</v>
      </c>
      <c r="J369" s="65" t="str">
        <f>IF(IFERROR(IF(E369=E368,0,(HLOOKUP(D369,Ingreso!$AN$10:$AT$260,VLOOKUP(A369,Ingreso!$AL$11:$AM$260,2,FALSE)))/24),0)=0,"",IFERROR(IF(E369=E368,0,(HLOOKUP(D369,Ingreso!$AN$10:$AT$260,VLOOKUP(A369,Ingreso!$AL$11:$AM$260,2,FALSE)))/24),0))</f>
        <v/>
      </c>
      <c r="K369" s="65" t="str">
        <f>IF(IFERROR(IF(E369=E368,0,(HLOOKUP(C369,Ingreso!$AW$10:$BC$260,VLOOKUP(A369,Ingreso!$AL$11:$AM$260,2,FALSE)))/24),0)=0,"",IFERROR(IF(E369=E368,0,(HLOOKUP(C369,Ingreso!$AW$10:$BC$260,VLOOKUP(A369,Ingreso!$AL$11:$AM$260,2,FALSE)))/24),0))</f>
        <v/>
      </c>
      <c r="L369" s="63">
        <f t="shared" si="10"/>
        <v>0</v>
      </c>
      <c r="M369" s="63" t="str">
        <f>IF(IFERROR(IF(C369=C367,0,IF(E369=E368,0,IF(C369=$R$2,HLOOKUP($R$2,Ingreso!$AW$10:$BC$260,VLOOKUP(A369,Ingreso!AL:AM,2,FALSE),FALSE)/24,""))),"")=0,"",IFERROR(IF(C369=C367,0,IF(E369=E368,0,IF(C369=$R$2,HLOOKUP($R$2,Ingreso!$AW$10:$BC$260,VLOOKUP(A369,Ingreso!AL:AM,2,FALSE),FALSE)/24,""))),""))</f>
        <v/>
      </c>
      <c r="N369" s="95" t="str">
        <f>IF(IFERROR(IF(C369=C367,0,IF(E369=E368,0,IF(C369=$R$3,HLOOKUP($R$3,Ingreso!$AW$10:$BC$260,VLOOKUP(A369,Ingreso!AL:AM,2,FALSE),FALSE)/24,""))),"")=0,"",IFERROR(IF(C369=C367,0,IF(E369=E368,0,IF(C369=$R$3,HLOOKUP($R$3,Ingreso!$AW$10:$BC$260,VLOOKUP(A369,Ingreso!AL:AM,2,FALSE),FALSE)/24,""))),""))</f>
        <v/>
      </c>
      <c r="O369" s="95" t="str">
        <f>IF(IFERROR(IF(C369=C367,0,IF(E369=E368,0,IF(C369=$R$4,HLOOKUP($R$4,Ingreso!$AW$10:$BC$260,VLOOKUP(A369,Ingreso!AL:AM,2,FALSE),FALSE)/24,""))),"")=0,"",IFERROR(IF(C369=C367,0,IF(E369=E368,0,IF(C369=$R$4,HLOOKUP($R$4,Ingreso!$AW$10:$BC$260,VLOOKUP(A369,Ingreso!AL:AM,2,FALSE),FALSE)/24,""))),""))</f>
        <v/>
      </c>
      <c r="P369" s="90"/>
      <c r="T369" t="s">
        <v>1425</v>
      </c>
      <c r="U369" t="s">
        <v>4</v>
      </c>
      <c r="V369" t="s">
        <v>1400</v>
      </c>
      <c r="W369" s="82">
        <v>469</v>
      </c>
      <c r="X369" s="71">
        <v>0.3125</v>
      </c>
      <c r="Y369" s="101">
        <v>0.29668981481481482</v>
      </c>
      <c r="Z369" s="101">
        <v>0.63611111111111118</v>
      </c>
      <c r="AA369" s="101">
        <v>0.33942129629629636</v>
      </c>
      <c r="AB369" s="101">
        <v>2.692129629629636E-2</v>
      </c>
      <c r="AC369" s="105">
        <v>0</v>
      </c>
      <c r="AD369" s="105">
        <v>0</v>
      </c>
      <c r="AE369" s="93">
        <v>0</v>
      </c>
      <c r="AF369" s="93">
        <v>0</v>
      </c>
      <c r="AG369" s="93">
        <v>0</v>
      </c>
    </row>
    <row r="370" spans="1:33">
      <c r="A370" s="65" t="str">
        <f>IFERROR(VLOOKUP('Informe Kelly'!A363,Base!A:B,2,FALSE),"")</f>
        <v>10.199.755-3</v>
      </c>
      <c r="B370" s="65" t="str">
        <f>IFERROR(VLOOKUP('Informe Kelly'!A363,Base!A:G,7,FALSE),"")</f>
        <v>HERNANDEZ GONZALEZ QUINTIN ROBERTO</v>
      </c>
      <c r="C370" s="69" t="str">
        <f>IF(G370=$C$4,IF('Informe Kelly'!H363='Control informe Kelly'!$A$2,TEXT(((LEFT('Informe Kelly'!E363,2)*1)+1),"dd")&amp;"."&amp;MID('Informe Kelly'!E363,4,2)&amp;"."&amp;RIGHT('Informe Kelly'!E363,4),'Informe Kelly'!E363),'Informe Kelly'!E363)</f>
        <v>13.04.2011</v>
      </c>
      <c r="D370" s="69" t="str">
        <f>IF('Informe Kelly'!E363="","",'Informe Kelly'!E363)</f>
        <v>12.04.2011</v>
      </c>
      <c r="E370" s="72">
        <f t="shared" si="11"/>
        <v>185</v>
      </c>
      <c r="F370" s="72" t="str">
        <f>IFERROR(HLOOKUP(C370,Ingreso!$Q$8:$AD$9,2,FALSE),"v")</f>
        <v>Miércoles</v>
      </c>
      <c r="G370" s="65" t="str">
        <f>IFERROR(VLOOKUP(A370,Ingreso!K:P,6,FALSE),"no esta ingresado")</f>
        <v>Turno C</v>
      </c>
      <c r="H370" s="65">
        <f>IFERROR(IF('Informe Kelly'!H363=$A$2,'Informe Kelly'!F363,""),0)</f>
        <v>0.91899305555555555</v>
      </c>
      <c r="I370" s="65" t="str">
        <f>IFERROR(IF('Informe Kelly'!H363=$A$3,'Informe Kelly'!F363,""),0)</f>
        <v/>
      </c>
      <c r="J370" s="65" t="str">
        <f>IF(IFERROR(IF(E370=E369,0,(HLOOKUP(D370,Ingreso!$AN$10:$AT$260,VLOOKUP(A370,Ingreso!$AL$11:$AM$260,2,FALSE)))/24),0)=0,"",IFERROR(IF(E370=E369,0,(HLOOKUP(D370,Ingreso!$AN$10:$AT$260,VLOOKUP(A370,Ingreso!$AL$11:$AM$260,2,FALSE)))/24),0))</f>
        <v/>
      </c>
      <c r="K370" s="65" t="str">
        <f>IF(IFERROR(IF(E370=E369,0,(HLOOKUP(C370,Ingreso!$AW$10:$BC$260,VLOOKUP(A370,Ingreso!$AL$11:$AM$260,2,FALSE)))/24),0)=0,"",IFERROR(IF(E370=E369,0,(HLOOKUP(C370,Ingreso!$AW$10:$BC$260,VLOOKUP(A370,Ingreso!$AL$11:$AM$260,2,FALSE)))/24),0))</f>
        <v/>
      </c>
      <c r="L370" s="63">
        <f t="shared" si="10"/>
        <v>0.375</v>
      </c>
      <c r="M370" s="63" t="str">
        <f>IF(IFERROR(IF(C370=C368,0,IF(E370=E369,0,IF(C370=$R$2,HLOOKUP($R$2,Ingreso!$AW$10:$BC$260,VLOOKUP(A370,Ingreso!AL:AM,2,FALSE),FALSE)/24,""))),"")=0,"",IFERROR(IF(C370=C368,0,IF(E370=E369,0,IF(C370=$R$2,HLOOKUP($R$2,Ingreso!$AW$10:$BC$260,VLOOKUP(A370,Ingreso!AL:AM,2,FALSE),FALSE)/24,""))),""))</f>
        <v/>
      </c>
      <c r="N370" s="95" t="str">
        <f>IF(IFERROR(IF(C370=C368,0,IF(E370=E369,0,IF(C370=$R$3,HLOOKUP($R$3,Ingreso!$AW$10:$BC$260,VLOOKUP(A370,Ingreso!AL:AM,2,FALSE),FALSE)/24,""))),"")=0,"",IFERROR(IF(C370=C368,0,IF(E370=E369,0,IF(C370=$R$3,HLOOKUP($R$3,Ingreso!$AW$10:$BC$260,VLOOKUP(A370,Ingreso!AL:AM,2,FALSE),FALSE)/24,""))),""))</f>
        <v/>
      </c>
      <c r="O370" s="95" t="str">
        <f>IF(IFERROR(IF(C370=C368,0,IF(E370=E369,0,IF(C370=$R$4,HLOOKUP($R$4,Ingreso!$AW$10:$BC$260,VLOOKUP(A370,Ingreso!AL:AM,2,FALSE),FALSE)/24,""))),"")=0,"",IFERROR(IF(C370=C368,0,IF(E370=E369,0,IF(C370=$R$4,HLOOKUP($R$4,Ingreso!$AW$10:$BC$260,VLOOKUP(A370,Ingreso!AL:AM,2,FALSE),FALSE)/24,""))),""))</f>
        <v/>
      </c>
      <c r="P370" s="90"/>
      <c r="T370" t="s">
        <v>1426</v>
      </c>
      <c r="U370" t="s">
        <v>4</v>
      </c>
      <c r="V370" t="s">
        <v>1401</v>
      </c>
      <c r="W370" s="82">
        <v>470</v>
      </c>
      <c r="X370" s="71">
        <v>0.3125</v>
      </c>
      <c r="Y370" s="101">
        <v>0.29649305555555555</v>
      </c>
      <c r="Z370" s="101">
        <v>0.63396990740740744</v>
      </c>
      <c r="AA370" s="101">
        <v>0.33747685185185189</v>
      </c>
      <c r="AB370" s="101">
        <v>2.4976851851851889E-2</v>
      </c>
      <c r="AC370" s="105">
        <v>0</v>
      </c>
      <c r="AD370" s="105">
        <v>0</v>
      </c>
      <c r="AE370" s="93">
        <v>0</v>
      </c>
      <c r="AF370" s="93">
        <v>0</v>
      </c>
      <c r="AG370" s="93">
        <v>0</v>
      </c>
    </row>
    <row r="371" spans="1:33">
      <c r="A371" s="65" t="str">
        <f>IFERROR(VLOOKUP('Informe Kelly'!A364,Base!A:B,2,FALSE),"")</f>
        <v>10.199.755-3</v>
      </c>
      <c r="B371" s="65" t="str">
        <f>IFERROR(VLOOKUP('Informe Kelly'!A364,Base!A:G,7,FALSE),"")</f>
        <v>HERNANDEZ GONZALEZ QUINTIN ROBERTO</v>
      </c>
      <c r="C371" s="69" t="str">
        <f>IF(G371=$C$4,IF('Informe Kelly'!H364='Control informe Kelly'!$A$2,TEXT(((LEFT('Informe Kelly'!E364,2)*1)+1),"dd")&amp;"."&amp;MID('Informe Kelly'!E364,4,2)&amp;"."&amp;RIGHT('Informe Kelly'!E364,4),'Informe Kelly'!E364),'Informe Kelly'!E364)</f>
        <v>13.04.2011</v>
      </c>
      <c r="D371" s="69" t="str">
        <f>IF('Informe Kelly'!E364="","",'Informe Kelly'!E364)</f>
        <v>13.04.2011</v>
      </c>
      <c r="E371" s="72">
        <f t="shared" si="11"/>
        <v>185</v>
      </c>
      <c r="F371" s="72" t="str">
        <f>IFERROR(HLOOKUP(C371,Ingreso!$Q$8:$AD$9,2,FALSE),"v")</f>
        <v>Miércoles</v>
      </c>
      <c r="G371" s="65" t="str">
        <f>IFERROR(VLOOKUP(A371,Ingreso!K:P,6,FALSE),"no esta ingresado")</f>
        <v>Turno C</v>
      </c>
      <c r="H371" s="65" t="str">
        <f>IFERROR(IF('Informe Kelly'!H364=$A$2,'Informe Kelly'!F364,""),0)</f>
        <v/>
      </c>
      <c r="I371" s="65">
        <f>IFERROR(IF('Informe Kelly'!H364=$A$3,'Informe Kelly'!F364,""),0)</f>
        <v>0.32504629629629628</v>
      </c>
      <c r="J371" s="65" t="str">
        <f>IF(IFERROR(IF(E371=E370,0,(HLOOKUP(D371,Ingreso!$AN$10:$AT$260,VLOOKUP(A371,Ingreso!$AL$11:$AM$260,2,FALSE)))/24),0)=0,"",IFERROR(IF(E371=E370,0,(HLOOKUP(D371,Ingreso!$AN$10:$AT$260,VLOOKUP(A371,Ingreso!$AL$11:$AM$260,2,FALSE)))/24),0))</f>
        <v/>
      </c>
      <c r="K371" s="65" t="str">
        <f>IF(IFERROR(IF(E371=E370,0,(HLOOKUP(C371,Ingreso!$AW$10:$BC$260,VLOOKUP(A371,Ingreso!$AL$11:$AM$260,2,FALSE)))/24),0)=0,"",IFERROR(IF(E371=E370,0,(HLOOKUP(C371,Ingreso!$AW$10:$BC$260,VLOOKUP(A371,Ingreso!$AL$11:$AM$260,2,FALSE)))/24),0))</f>
        <v/>
      </c>
      <c r="L371" s="63">
        <f t="shared" si="10"/>
        <v>0</v>
      </c>
      <c r="M371" s="63" t="str">
        <f>IF(IFERROR(IF(C371=C369,0,IF(E371=E370,0,IF(C371=$R$2,HLOOKUP($R$2,Ingreso!$AW$10:$BC$260,VLOOKUP(A371,Ingreso!AL:AM,2,FALSE),FALSE)/24,""))),"")=0,"",IFERROR(IF(C371=C369,0,IF(E371=E370,0,IF(C371=$R$2,HLOOKUP($R$2,Ingreso!$AW$10:$BC$260,VLOOKUP(A371,Ingreso!AL:AM,2,FALSE),FALSE)/24,""))),""))</f>
        <v/>
      </c>
      <c r="N371" s="95" t="str">
        <f>IF(IFERROR(IF(C371=C369,0,IF(E371=E370,0,IF(C371=$R$3,HLOOKUP($R$3,Ingreso!$AW$10:$BC$260,VLOOKUP(A371,Ingreso!AL:AM,2,FALSE),FALSE)/24,""))),"")=0,"",IFERROR(IF(C371=C369,0,IF(E371=E370,0,IF(C371=$R$3,HLOOKUP($R$3,Ingreso!$AW$10:$BC$260,VLOOKUP(A371,Ingreso!AL:AM,2,FALSE),FALSE)/24,""))),""))</f>
        <v/>
      </c>
      <c r="O371" s="95" t="str">
        <f>IF(IFERROR(IF(C371=C369,0,IF(E371=E370,0,IF(C371=$R$4,HLOOKUP($R$4,Ingreso!$AW$10:$BC$260,VLOOKUP(A371,Ingreso!AL:AM,2,FALSE),FALSE)/24,""))),"")=0,"",IFERROR(IF(C371=C369,0,IF(E371=E370,0,IF(C371=$R$4,HLOOKUP($R$4,Ingreso!$AW$10:$BC$260,VLOOKUP(A371,Ingreso!AL:AM,2,FALSE),FALSE)/24,""))),""))</f>
        <v/>
      </c>
      <c r="P371" s="90"/>
      <c r="T371" t="s">
        <v>1427</v>
      </c>
      <c r="U371" t="s">
        <v>4</v>
      </c>
      <c r="V371" t="s">
        <v>1402</v>
      </c>
      <c r="W371" s="82">
        <v>471</v>
      </c>
      <c r="X371" s="71">
        <v>0.3125</v>
      </c>
      <c r="Y371" s="101">
        <v>0.29293981481481485</v>
      </c>
      <c r="Z371" s="101">
        <v>0.63657407407407407</v>
      </c>
      <c r="AA371" s="101">
        <v>0.34363425925925922</v>
      </c>
      <c r="AB371" s="101">
        <v>3.1134259259259223E-2</v>
      </c>
      <c r="AC371" s="105">
        <v>0</v>
      </c>
      <c r="AD371" s="105">
        <v>0</v>
      </c>
      <c r="AE371" s="93">
        <v>0</v>
      </c>
      <c r="AF371" s="93">
        <v>0</v>
      </c>
      <c r="AG371" s="93">
        <v>0</v>
      </c>
    </row>
    <row r="372" spans="1:33">
      <c r="A372" s="65" t="str">
        <f>IFERROR(VLOOKUP('Informe Kelly'!A365,Base!A:B,2,FALSE),"")</f>
        <v>10.199.755-3</v>
      </c>
      <c r="B372" s="65" t="str">
        <f>IFERROR(VLOOKUP('Informe Kelly'!A365,Base!A:G,7,FALSE),"")</f>
        <v>HERNANDEZ GONZALEZ QUINTIN ROBERTO</v>
      </c>
      <c r="C372" s="69" t="str">
        <f>IF(G372=$C$4,IF('Informe Kelly'!H365='Control informe Kelly'!$A$2,TEXT(((LEFT('Informe Kelly'!E365,2)*1)+1),"dd")&amp;"."&amp;MID('Informe Kelly'!E365,4,2)&amp;"."&amp;RIGHT('Informe Kelly'!E365,4),'Informe Kelly'!E365),'Informe Kelly'!E365)</f>
        <v>14.04.2011</v>
      </c>
      <c r="D372" s="69" t="str">
        <f>IF('Informe Kelly'!E365="","",'Informe Kelly'!E365)</f>
        <v>13.04.2011</v>
      </c>
      <c r="E372" s="72">
        <f t="shared" si="11"/>
        <v>186</v>
      </c>
      <c r="F372" s="72" t="str">
        <f>IFERROR(HLOOKUP(C372,Ingreso!$Q$8:$AD$9,2,FALSE),"v")</f>
        <v>Jueves</v>
      </c>
      <c r="G372" s="65" t="str">
        <f>IFERROR(VLOOKUP(A372,Ingreso!K:P,6,FALSE),"no esta ingresado")</f>
        <v>Turno C</v>
      </c>
      <c r="H372" s="65">
        <f>IFERROR(IF('Informe Kelly'!H365=$A$2,'Informe Kelly'!F365,""),0)</f>
        <v>0.92133101851851851</v>
      </c>
      <c r="I372" s="65" t="str">
        <f>IFERROR(IF('Informe Kelly'!H365=$A$3,'Informe Kelly'!F365,""),0)</f>
        <v/>
      </c>
      <c r="J372" s="65" t="str">
        <f>IF(IFERROR(IF(E372=E371,0,(HLOOKUP(D372,Ingreso!$AN$10:$AT$260,VLOOKUP(A372,Ingreso!$AL$11:$AM$260,2,FALSE)))/24),0)=0,"",IFERROR(IF(E372=E371,0,(HLOOKUP(D372,Ingreso!$AN$10:$AT$260,VLOOKUP(A372,Ingreso!$AL$11:$AM$260,2,FALSE)))/24),0))</f>
        <v/>
      </c>
      <c r="K372" s="65" t="str">
        <f>IF(IFERROR(IF(E372=E371,0,(HLOOKUP(C372,Ingreso!$AW$10:$BC$260,VLOOKUP(A372,Ingreso!$AL$11:$AM$260,2,FALSE)))/24),0)=0,"",IFERROR(IF(E372=E371,0,(HLOOKUP(C372,Ingreso!$AW$10:$BC$260,VLOOKUP(A372,Ingreso!$AL$11:$AM$260,2,FALSE)))/24),0))</f>
        <v/>
      </c>
      <c r="L372" s="63">
        <f t="shared" si="10"/>
        <v>0.375</v>
      </c>
      <c r="M372" s="63" t="str">
        <f>IF(IFERROR(IF(C372=C370,0,IF(E372=E371,0,IF(C372=$R$2,HLOOKUP($R$2,Ingreso!$AW$10:$BC$260,VLOOKUP(A372,Ingreso!AL:AM,2,FALSE),FALSE)/24,""))),"")=0,"",IFERROR(IF(C372=C370,0,IF(E372=E371,0,IF(C372=$R$2,HLOOKUP($R$2,Ingreso!$AW$10:$BC$260,VLOOKUP(A372,Ingreso!AL:AM,2,FALSE),FALSE)/24,""))),""))</f>
        <v/>
      </c>
      <c r="N372" s="95" t="str">
        <f>IF(IFERROR(IF(C372=C370,0,IF(E372=E371,0,IF(C372=$R$3,HLOOKUP($R$3,Ingreso!$AW$10:$BC$260,VLOOKUP(A372,Ingreso!AL:AM,2,FALSE),FALSE)/24,""))),"")=0,"",IFERROR(IF(C372=C370,0,IF(E372=E371,0,IF(C372=$R$3,HLOOKUP($R$3,Ingreso!$AW$10:$BC$260,VLOOKUP(A372,Ingreso!AL:AM,2,FALSE),FALSE)/24,""))),""))</f>
        <v/>
      </c>
      <c r="O372" s="95" t="str">
        <f>IF(IFERROR(IF(C372=C370,0,IF(E372=E371,0,IF(C372=$R$4,HLOOKUP($R$4,Ingreso!$AW$10:$BC$260,VLOOKUP(A372,Ingreso!AL:AM,2,FALSE),FALSE)/24,""))),"")=0,"",IFERROR(IF(C372=C370,0,IF(E372=E371,0,IF(C372=$R$4,HLOOKUP($R$4,Ingreso!$AW$10:$BC$260,VLOOKUP(A372,Ingreso!AL:AM,2,FALSE),FALSE)/24,""))),""))</f>
        <v/>
      </c>
      <c r="P372" s="90"/>
      <c r="R372" t="s">
        <v>423</v>
      </c>
      <c r="S372" t="s">
        <v>427</v>
      </c>
      <c r="T372" t="s">
        <v>1420</v>
      </c>
      <c r="U372" t="s">
        <v>4</v>
      </c>
      <c r="V372" t="s">
        <v>1397</v>
      </c>
      <c r="W372" s="82">
        <v>472</v>
      </c>
      <c r="X372" s="71">
        <v>0.3125</v>
      </c>
      <c r="Y372" s="101">
        <v>0.30380787037037038</v>
      </c>
      <c r="Z372" s="101">
        <v>0.62672453703703701</v>
      </c>
      <c r="AA372" s="101">
        <v>0.32291666666666663</v>
      </c>
      <c r="AB372" s="101">
        <v>1.041666666666663E-2</v>
      </c>
      <c r="AC372" s="105">
        <v>0</v>
      </c>
      <c r="AD372" s="105">
        <v>0</v>
      </c>
      <c r="AE372" s="93">
        <v>0</v>
      </c>
      <c r="AF372" s="93">
        <v>0</v>
      </c>
      <c r="AG372" s="93">
        <v>0</v>
      </c>
    </row>
    <row r="373" spans="1:33">
      <c r="A373" s="65" t="str">
        <f>IFERROR(VLOOKUP('Informe Kelly'!A366,Base!A:B,2,FALSE),"")</f>
        <v>10.199.755-3</v>
      </c>
      <c r="B373" s="65" t="str">
        <f>IFERROR(VLOOKUP('Informe Kelly'!A366,Base!A:G,7,FALSE),"")</f>
        <v>HERNANDEZ GONZALEZ QUINTIN ROBERTO</v>
      </c>
      <c r="C373" s="69" t="str">
        <f>IF(G373=$C$4,IF('Informe Kelly'!H366='Control informe Kelly'!$A$2,TEXT(((LEFT('Informe Kelly'!E366,2)*1)+1),"dd")&amp;"."&amp;MID('Informe Kelly'!E366,4,2)&amp;"."&amp;RIGHT('Informe Kelly'!E366,4),'Informe Kelly'!E366),'Informe Kelly'!E366)</f>
        <v>14.04.2011</v>
      </c>
      <c r="D373" s="69" t="str">
        <f>IF('Informe Kelly'!E366="","",'Informe Kelly'!E366)</f>
        <v>14.04.2011</v>
      </c>
      <c r="E373" s="72">
        <f t="shared" si="11"/>
        <v>186</v>
      </c>
      <c r="F373" s="72" t="str">
        <f>IFERROR(HLOOKUP(C373,Ingreso!$Q$8:$AD$9,2,FALSE),"v")</f>
        <v>Jueves</v>
      </c>
      <c r="G373" s="65" t="str">
        <f>IFERROR(VLOOKUP(A373,Ingreso!K:P,6,FALSE),"no esta ingresado")</f>
        <v>Turno C</v>
      </c>
      <c r="H373" s="65" t="str">
        <f>IFERROR(IF('Informe Kelly'!H366=$A$2,'Informe Kelly'!F366,""),0)</f>
        <v/>
      </c>
      <c r="I373" s="65">
        <f>IFERROR(IF('Informe Kelly'!H366=$A$3,'Informe Kelly'!F366,""),0)</f>
        <v>0.32642361111111112</v>
      </c>
      <c r="J373" s="65" t="str">
        <f>IF(IFERROR(IF(E373=E372,0,(HLOOKUP(D373,Ingreso!$AN$10:$AT$260,VLOOKUP(A373,Ingreso!$AL$11:$AM$260,2,FALSE)))/24),0)=0,"",IFERROR(IF(E373=E372,0,(HLOOKUP(D373,Ingreso!$AN$10:$AT$260,VLOOKUP(A373,Ingreso!$AL$11:$AM$260,2,FALSE)))/24),0))</f>
        <v/>
      </c>
      <c r="K373" s="65" t="str">
        <f>IF(IFERROR(IF(E373=E372,0,(HLOOKUP(C373,Ingreso!$AW$10:$BC$260,VLOOKUP(A373,Ingreso!$AL$11:$AM$260,2,FALSE)))/24),0)=0,"",IFERROR(IF(E373=E372,0,(HLOOKUP(C373,Ingreso!$AW$10:$BC$260,VLOOKUP(A373,Ingreso!$AL$11:$AM$260,2,FALSE)))/24),0))</f>
        <v/>
      </c>
      <c r="L373" s="63">
        <f t="shared" si="10"/>
        <v>0</v>
      </c>
      <c r="M373" s="63" t="str">
        <f>IF(IFERROR(IF(C373=C371,0,IF(E373=E372,0,IF(C373=$R$2,HLOOKUP($R$2,Ingreso!$AW$10:$BC$260,VLOOKUP(A373,Ingreso!AL:AM,2,FALSE),FALSE)/24,""))),"")=0,"",IFERROR(IF(C373=C371,0,IF(E373=E372,0,IF(C373=$R$2,HLOOKUP($R$2,Ingreso!$AW$10:$BC$260,VLOOKUP(A373,Ingreso!AL:AM,2,FALSE),FALSE)/24,""))),""))</f>
        <v/>
      </c>
      <c r="N373" s="95" t="str">
        <f>IF(IFERROR(IF(C373=C371,0,IF(E373=E372,0,IF(C373=$R$3,HLOOKUP($R$3,Ingreso!$AW$10:$BC$260,VLOOKUP(A373,Ingreso!AL:AM,2,FALSE),FALSE)/24,""))),"")=0,"",IFERROR(IF(C373=C371,0,IF(E373=E372,0,IF(C373=$R$3,HLOOKUP($R$3,Ingreso!$AW$10:$BC$260,VLOOKUP(A373,Ingreso!AL:AM,2,FALSE),FALSE)/24,""))),""))</f>
        <v/>
      </c>
      <c r="O373" s="95" t="str">
        <f>IF(IFERROR(IF(C373=C371,0,IF(E373=E372,0,IF(C373=$R$4,HLOOKUP($R$4,Ingreso!$AW$10:$BC$260,VLOOKUP(A373,Ingreso!AL:AM,2,FALSE),FALSE)/24,""))),"")=0,"",IFERROR(IF(C373=C371,0,IF(E373=E372,0,IF(C373=$R$4,HLOOKUP($R$4,Ingreso!$AW$10:$BC$260,VLOOKUP(A373,Ingreso!AL:AM,2,FALSE),FALSE)/24,""))),""))</f>
        <v/>
      </c>
      <c r="P373" s="90"/>
      <c r="T373" t="s">
        <v>1423</v>
      </c>
      <c r="U373" t="s">
        <v>4</v>
      </c>
      <c r="V373" t="s">
        <v>1398</v>
      </c>
      <c r="W373" s="82">
        <v>473</v>
      </c>
      <c r="X373" s="71">
        <v>0.3125</v>
      </c>
      <c r="Y373" s="101">
        <v>0.2986921296296296</v>
      </c>
      <c r="Z373" s="101">
        <v>0.63392361111111117</v>
      </c>
      <c r="AA373" s="101">
        <v>0.33523148148148157</v>
      </c>
      <c r="AB373" s="101">
        <v>2.2731481481481575E-2</v>
      </c>
      <c r="AC373" s="105">
        <v>0</v>
      </c>
      <c r="AD373" s="105">
        <v>0</v>
      </c>
      <c r="AE373" s="93">
        <v>0</v>
      </c>
      <c r="AF373" s="93">
        <v>0</v>
      </c>
      <c r="AG373" s="93">
        <v>0</v>
      </c>
    </row>
    <row r="374" spans="1:33">
      <c r="A374" s="65" t="str">
        <f>IFERROR(VLOOKUP('Informe Kelly'!A367,Base!A:B,2,FALSE),"")</f>
        <v>10.199.755-3</v>
      </c>
      <c r="B374" s="65" t="str">
        <f>IFERROR(VLOOKUP('Informe Kelly'!A367,Base!A:G,7,FALSE),"")</f>
        <v>HERNANDEZ GONZALEZ QUINTIN ROBERTO</v>
      </c>
      <c r="C374" s="69" t="str">
        <f>IF(G374=$C$4,IF('Informe Kelly'!H367='Control informe Kelly'!$A$2,TEXT(((LEFT('Informe Kelly'!E367,2)*1)+1),"dd")&amp;"."&amp;MID('Informe Kelly'!E367,4,2)&amp;"."&amp;RIGHT('Informe Kelly'!E367,4),'Informe Kelly'!E367),'Informe Kelly'!E367)</f>
        <v>15.04.2011</v>
      </c>
      <c r="D374" s="69" t="str">
        <f>IF('Informe Kelly'!E367="","",'Informe Kelly'!E367)</f>
        <v>14.04.2011</v>
      </c>
      <c r="E374" s="72">
        <f t="shared" si="11"/>
        <v>187</v>
      </c>
      <c r="F374" s="72" t="str">
        <f>IFERROR(HLOOKUP(C374,Ingreso!$Q$8:$AD$9,2,FALSE),"v")</f>
        <v>Viernes</v>
      </c>
      <c r="G374" s="65" t="str">
        <f>IFERROR(VLOOKUP(A374,Ingreso!K:P,6,FALSE),"no esta ingresado")</f>
        <v>Turno C</v>
      </c>
      <c r="H374" s="65">
        <f>IFERROR(IF('Informe Kelly'!H367=$A$2,'Informe Kelly'!F367,""),0)</f>
        <v>0.92009259259259257</v>
      </c>
      <c r="I374" s="65" t="str">
        <f>IFERROR(IF('Informe Kelly'!H367=$A$3,'Informe Kelly'!F367,""),0)</f>
        <v/>
      </c>
      <c r="J374" s="65" t="str">
        <f>IF(IFERROR(IF(E374=E373,0,(HLOOKUP(D374,Ingreso!$AN$10:$AT$260,VLOOKUP(A374,Ingreso!$AL$11:$AM$260,2,FALSE)))/24),0)=0,"",IFERROR(IF(E374=E373,0,(HLOOKUP(D374,Ingreso!$AN$10:$AT$260,VLOOKUP(A374,Ingreso!$AL$11:$AM$260,2,FALSE)))/24),0))</f>
        <v/>
      </c>
      <c r="K374" s="65" t="str">
        <f>IF(IFERROR(IF(E374=E373,0,(HLOOKUP(C374,Ingreso!$AW$10:$BC$260,VLOOKUP(A374,Ingreso!$AL$11:$AM$260,2,FALSE)))/24),0)=0,"",IFERROR(IF(E374=E373,0,(HLOOKUP(C374,Ingreso!$AW$10:$BC$260,VLOOKUP(A374,Ingreso!$AL$11:$AM$260,2,FALSE)))/24),0))</f>
        <v/>
      </c>
      <c r="L374" s="63">
        <f t="shared" si="10"/>
        <v>0.375</v>
      </c>
      <c r="M374" s="63" t="str">
        <f>IF(IFERROR(IF(C374=C372,0,IF(E374=E373,0,IF(C374=$R$2,HLOOKUP($R$2,Ingreso!$AW$10:$BC$260,VLOOKUP(A374,Ingreso!AL:AM,2,FALSE),FALSE)/24,""))),"")=0,"",IFERROR(IF(C374=C372,0,IF(E374=E373,0,IF(C374=$R$2,HLOOKUP($R$2,Ingreso!$AW$10:$BC$260,VLOOKUP(A374,Ingreso!AL:AM,2,FALSE),FALSE)/24,""))),""))</f>
        <v/>
      </c>
      <c r="N374" s="95" t="str">
        <f>IF(IFERROR(IF(C374=C372,0,IF(E374=E373,0,IF(C374=$R$3,HLOOKUP($R$3,Ingreso!$AW$10:$BC$260,VLOOKUP(A374,Ingreso!AL:AM,2,FALSE),FALSE)/24,""))),"")=0,"",IFERROR(IF(C374=C372,0,IF(E374=E373,0,IF(C374=$R$3,HLOOKUP($R$3,Ingreso!$AW$10:$BC$260,VLOOKUP(A374,Ingreso!AL:AM,2,FALSE),FALSE)/24,""))),""))</f>
        <v/>
      </c>
      <c r="O374" s="95" t="str">
        <f>IF(IFERROR(IF(C374=C372,0,IF(E374=E373,0,IF(C374=$R$4,HLOOKUP($R$4,Ingreso!$AW$10:$BC$260,VLOOKUP(A374,Ingreso!AL:AM,2,FALSE),FALSE)/24,""))),"")=0,"",IFERROR(IF(C374=C372,0,IF(E374=E373,0,IF(C374=$R$4,HLOOKUP($R$4,Ingreso!$AW$10:$BC$260,VLOOKUP(A374,Ingreso!AL:AM,2,FALSE),FALSE)/24,""))),""))</f>
        <v/>
      </c>
      <c r="P374" s="90"/>
      <c r="T374" t="s">
        <v>1424</v>
      </c>
      <c r="U374" t="s">
        <v>4</v>
      </c>
      <c r="V374" t="s">
        <v>1399</v>
      </c>
      <c r="W374" s="82">
        <v>474</v>
      </c>
      <c r="X374" s="71">
        <v>0.3125</v>
      </c>
      <c r="Y374" s="101">
        <v>0.3038541666666667</v>
      </c>
      <c r="Z374" s="101">
        <v>0.6308449074074074</v>
      </c>
      <c r="AA374" s="101">
        <v>0.32699074074074069</v>
      </c>
      <c r="AB374" s="101">
        <v>1.4490740740740693E-2</v>
      </c>
      <c r="AC374" s="105">
        <v>0</v>
      </c>
      <c r="AD374" s="105">
        <v>0</v>
      </c>
      <c r="AE374" s="93">
        <v>0</v>
      </c>
      <c r="AF374" s="93">
        <v>0</v>
      </c>
      <c r="AG374" s="93">
        <v>0</v>
      </c>
    </row>
    <row r="375" spans="1:33">
      <c r="A375" s="65" t="str">
        <f>IFERROR(VLOOKUP('Informe Kelly'!A368,Base!A:B,2,FALSE),"")</f>
        <v>10.199.755-3</v>
      </c>
      <c r="B375" s="65" t="str">
        <f>IFERROR(VLOOKUP('Informe Kelly'!A368,Base!A:G,7,FALSE),"")</f>
        <v>HERNANDEZ GONZALEZ QUINTIN ROBERTO</v>
      </c>
      <c r="C375" s="69" t="str">
        <f>IF(G375=$C$4,IF('Informe Kelly'!H368='Control informe Kelly'!$A$2,TEXT(((LEFT('Informe Kelly'!E368,2)*1)+1),"dd")&amp;"."&amp;MID('Informe Kelly'!E368,4,2)&amp;"."&amp;RIGHT('Informe Kelly'!E368,4),'Informe Kelly'!E368),'Informe Kelly'!E368)</f>
        <v>15.04.2011</v>
      </c>
      <c r="D375" s="69" t="str">
        <f>IF('Informe Kelly'!E368="","",'Informe Kelly'!E368)</f>
        <v>15.04.2011</v>
      </c>
      <c r="E375" s="72">
        <f t="shared" si="11"/>
        <v>187</v>
      </c>
      <c r="F375" s="72" t="str">
        <f>IFERROR(HLOOKUP(C375,Ingreso!$Q$8:$AD$9,2,FALSE),"v")</f>
        <v>Viernes</v>
      </c>
      <c r="G375" s="65" t="str">
        <f>IFERROR(VLOOKUP(A375,Ingreso!K:P,6,FALSE),"no esta ingresado")</f>
        <v>Turno C</v>
      </c>
      <c r="H375" s="65" t="str">
        <f>IFERROR(IF('Informe Kelly'!H368=$A$2,'Informe Kelly'!F368,""),0)</f>
        <v/>
      </c>
      <c r="I375" s="65">
        <f>IFERROR(IF('Informe Kelly'!H368=$A$3,'Informe Kelly'!F368,""),0)</f>
        <v>0.32622685185185185</v>
      </c>
      <c r="J375" s="65" t="str">
        <f>IF(IFERROR(IF(E375=E374,0,(HLOOKUP(D375,Ingreso!$AN$10:$AT$260,VLOOKUP(A375,Ingreso!$AL$11:$AM$260,2,FALSE)))/24),0)=0,"",IFERROR(IF(E375=E374,0,(HLOOKUP(D375,Ingreso!$AN$10:$AT$260,VLOOKUP(A375,Ingreso!$AL$11:$AM$260,2,FALSE)))/24),0))</f>
        <v/>
      </c>
      <c r="K375" s="65" t="str">
        <f>IF(IFERROR(IF(E375=E374,0,(HLOOKUP(C375,Ingreso!$AW$10:$BC$260,VLOOKUP(A375,Ingreso!$AL$11:$AM$260,2,FALSE)))/24),0)=0,"",IFERROR(IF(E375=E374,0,(HLOOKUP(C375,Ingreso!$AW$10:$BC$260,VLOOKUP(A375,Ingreso!$AL$11:$AM$260,2,FALSE)))/24),0))</f>
        <v/>
      </c>
      <c r="L375" s="63">
        <f t="shared" si="10"/>
        <v>0</v>
      </c>
      <c r="M375" s="63" t="str">
        <f>IF(IFERROR(IF(C375=C373,0,IF(E375=E374,0,IF(C375=$R$2,HLOOKUP($R$2,Ingreso!$AW$10:$BC$260,VLOOKUP(A375,Ingreso!AL:AM,2,FALSE),FALSE)/24,""))),"")=0,"",IFERROR(IF(C375=C373,0,IF(E375=E374,0,IF(C375=$R$2,HLOOKUP($R$2,Ingreso!$AW$10:$BC$260,VLOOKUP(A375,Ingreso!AL:AM,2,FALSE),FALSE)/24,""))),""))</f>
        <v/>
      </c>
      <c r="N375" s="95" t="str">
        <f>IF(IFERROR(IF(C375=C373,0,IF(E375=E374,0,IF(C375=$R$3,HLOOKUP($R$3,Ingreso!$AW$10:$BC$260,VLOOKUP(A375,Ingreso!AL:AM,2,FALSE),FALSE)/24,""))),"")=0,"",IFERROR(IF(C375=C373,0,IF(E375=E374,0,IF(C375=$R$3,HLOOKUP($R$3,Ingreso!$AW$10:$BC$260,VLOOKUP(A375,Ingreso!AL:AM,2,FALSE),FALSE)/24,""))),""))</f>
        <v/>
      </c>
      <c r="O375" s="95" t="str">
        <f>IF(IFERROR(IF(C375=C373,0,IF(E375=E374,0,IF(C375=$R$4,HLOOKUP($R$4,Ingreso!$AW$10:$BC$260,VLOOKUP(A375,Ingreso!AL:AM,2,FALSE),FALSE)/24,""))),"")=0,"",IFERROR(IF(C375=C373,0,IF(E375=E374,0,IF(C375=$R$4,HLOOKUP($R$4,Ingreso!$AW$10:$BC$260,VLOOKUP(A375,Ingreso!AL:AM,2,FALSE),FALSE)/24,""))),""))</f>
        <v/>
      </c>
      <c r="P375" s="90"/>
      <c r="T375" t="s">
        <v>1425</v>
      </c>
      <c r="U375" t="s">
        <v>4</v>
      </c>
      <c r="V375" t="s">
        <v>1400</v>
      </c>
      <c r="W375" s="82">
        <v>475</v>
      </c>
      <c r="X375" s="71">
        <v>0.3125</v>
      </c>
      <c r="Y375" s="101">
        <v>0.31121527777777774</v>
      </c>
      <c r="Z375" s="101">
        <v>0.62832175925925926</v>
      </c>
      <c r="AA375" s="101">
        <v>0.31710648148148152</v>
      </c>
      <c r="AB375" s="101">
        <v>4.6064814814815169E-3</v>
      </c>
      <c r="AC375" s="105">
        <v>0</v>
      </c>
      <c r="AD375" s="105">
        <v>0</v>
      </c>
      <c r="AE375" s="93">
        <v>0</v>
      </c>
      <c r="AF375" s="93">
        <v>0</v>
      </c>
      <c r="AG375" s="93">
        <v>0</v>
      </c>
    </row>
    <row r="376" spans="1:33">
      <c r="A376" s="65" t="str">
        <f>IFERROR(VLOOKUP('Informe Kelly'!A369,Base!A:B,2,FALSE),"")</f>
        <v>10.199.755-3</v>
      </c>
      <c r="B376" s="65" t="str">
        <f>IFERROR(VLOOKUP('Informe Kelly'!A369,Base!A:G,7,FALSE),"")</f>
        <v>HERNANDEZ GONZALEZ QUINTIN ROBERTO</v>
      </c>
      <c r="C376" s="69" t="str">
        <f>IF(G376=$C$4,IF('Informe Kelly'!H369='Control informe Kelly'!$A$2,TEXT(((LEFT('Informe Kelly'!E369,2)*1)+1),"dd")&amp;"."&amp;MID('Informe Kelly'!E369,4,2)&amp;"."&amp;RIGHT('Informe Kelly'!E369,4),'Informe Kelly'!E369),'Informe Kelly'!E369)</f>
        <v>16.04.2011</v>
      </c>
      <c r="D376" s="69" t="str">
        <f>IF('Informe Kelly'!E369="","",'Informe Kelly'!E369)</f>
        <v>15.04.2011</v>
      </c>
      <c r="E376" s="72">
        <f t="shared" si="11"/>
        <v>188</v>
      </c>
      <c r="F376" s="72" t="str">
        <f>IFERROR(HLOOKUP(C376,Ingreso!$Q$8:$AD$9,2,FALSE),"v")</f>
        <v>Sábado</v>
      </c>
      <c r="G376" s="65" t="str">
        <f>IFERROR(VLOOKUP(A376,Ingreso!K:P,6,FALSE),"no esta ingresado")</f>
        <v>Turno C</v>
      </c>
      <c r="H376" s="65">
        <f>IFERROR(IF('Informe Kelly'!H369=$A$2,'Informe Kelly'!F369,""),0)</f>
        <v>0.9200694444444445</v>
      </c>
      <c r="I376" s="65" t="str">
        <f>IFERROR(IF('Informe Kelly'!H369=$A$3,'Informe Kelly'!F369,""),0)</f>
        <v/>
      </c>
      <c r="J376" s="65" t="str">
        <f>IF(IFERROR(IF(E376=E375,0,(HLOOKUP(D376,Ingreso!$AN$10:$AT$260,VLOOKUP(A376,Ingreso!$AL$11:$AM$260,2,FALSE)))/24),0)=0,"",IFERROR(IF(E376=E375,0,(HLOOKUP(D376,Ingreso!$AN$10:$AT$260,VLOOKUP(A376,Ingreso!$AL$11:$AM$260,2,FALSE)))/24),0))</f>
        <v/>
      </c>
      <c r="K376" s="65" t="str">
        <f>IF(IFERROR(IF(E376=E375,0,(HLOOKUP(C376,Ingreso!$AW$10:$BC$260,VLOOKUP(A376,Ingreso!$AL$11:$AM$260,2,FALSE)))/24),0)=0,"",IFERROR(IF(E376=E375,0,(HLOOKUP(C376,Ingreso!$AW$10:$BC$260,VLOOKUP(A376,Ingreso!$AL$11:$AM$260,2,FALSE)))/24),0))</f>
        <v/>
      </c>
      <c r="L376" s="63">
        <f t="shared" si="10"/>
        <v>0.375</v>
      </c>
      <c r="M376" s="63" t="str">
        <f>IF(IFERROR(IF(C376=C374,0,IF(E376=E375,0,IF(C376=$R$2,HLOOKUP($R$2,Ingreso!$AW$10:$BC$260,VLOOKUP(A376,Ingreso!AL:AM,2,FALSE),FALSE)/24,""))),"")=0,"",IFERROR(IF(C376=C374,0,IF(E376=E375,0,IF(C376=$R$2,HLOOKUP($R$2,Ingreso!$AW$10:$BC$260,VLOOKUP(A376,Ingreso!AL:AM,2,FALSE),FALSE)/24,""))),""))</f>
        <v/>
      </c>
      <c r="N376" s="95" t="str">
        <f>IF(IFERROR(IF(C376=C374,0,IF(E376=E375,0,IF(C376=$R$3,HLOOKUP($R$3,Ingreso!$AW$10:$BC$260,VLOOKUP(A376,Ingreso!AL:AM,2,FALSE),FALSE)/24,""))),"")=0,"",IFERROR(IF(C376=C374,0,IF(E376=E375,0,IF(C376=$R$3,HLOOKUP($R$3,Ingreso!$AW$10:$BC$260,VLOOKUP(A376,Ingreso!AL:AM,2,FALSE),FALSE)/24,""))),""))</f>
        <v/>
      </c>
      <c r="O376" s="95" t="str">
        <f>IF(IFERROR(IF(C376=C374,0,IF(E376=E375,0,IF(C376=$R$4,HLOOKUP($R$4,Ingreso!$AW$10:$BC$260,VLOOKUP(A376,Ingreso!AL:AM,2,FALSE),FALSE)/24,""))),"")=0,"",IFERROR(IF(C376=C374,0,IF(E376=E375,0,IF(C376=$R$4,HLOOKUP($R$4,Ingreso!$AW$10:$BC$260,VLOOKUP(A376,Ingreso!AL:AM,2,FALSE),FALSE)/24,""))),""))</f>
        <v/>
      </c>
      <c r="P376" s="90"/>
      <c r="T376" t="s">
        <v>1426</v>
      </c>
      <c r="U376" t="s">
        <v>4</v>
      </c>
      <c r="V376" t="s">
        <v>1401</v>
      </c>
      <c r="W376" s="82">
        <v>476</v>
      </c>
      <c r="X376" s="71">
        <v>0.3125</v>
      </c>
      <c r="Y376" s="101">
        <v>0.30528935185185185</v>
      </c>
      <c r="Z376" s="101">
        <v>0.63760416666666664</v>
      </c>
      <c r="AA376" s="101">
        <v>0.33231481481481479</v>
      </c>
      <c r="AB376" s="101">
        <v>1.9814814814814785E-2</v>
      </c>
      <c r="AC376" s="105">
        <v>0</v>
      </c>
      <c r="AD376" s="105">
        <v>0</v>
      </c>
      <c r="AE376" s="93">
        <v>0</v>
      </c>
      <c r="AF376" s="93">
        <v>0</v>
      </c>
      <c r="AG376" s="93">
        <v>0</v>
      </c>
    </row>
    <row r="377" spans="1:33">
      <c r="A377" s="65" t="str">
        <f>IFERROR(VLOOKUP('Informe Kelly'!A370,Base!A:B,2,FALSE),"")</f>
        <v>10.199.755-3</v>
      </c>
      <c r="B377" s="65" t="str">
        <f>IFERROR(VLOOKUP('Informe Kelly'!A370,Base!A:G,7,FALSE),"")</f>
        <v>HERNANDEZ GONZALEZ QUINTIN ROBERTO</v>
      </c>
      <c r="C377" s="69" t="str">
        <f>IF(G377=$C$4,IF('Informe Kelly'!H370='Control informe Kelly'!$A$2,TEXT(((LEFT('Informe Kelly'!E370,2)*1)+1),"dd")&amp;"."&amp;MID('Informe Kelly'!E370,4,2)&amp;"."&amp;RIGHT('Informe Kelly'!E370,4),'Informe Kelly'!E370),'Informe Kelly'!E370)</f>
        <v>16.04.2011</v>
      </c>
      <c r="D377" s="69" t="str">
        <f>IF('Informe Kelly'!E370="","",'Informe Kelly'!E370)</f>
        <v>16.04.2011</v>
      </c>
      <c r="E377" s="72">
        <f t="shared" si="11"/>
        <v>188</v>
      </c>
      <c r="F377" s="72" t="str">
        <f>IFERROR(HLOOKUP(C377,Ingreso!$Q$8:$AD$9,2,FALSE),"v")</f>
        <v>Sábado</v>
      </c>
      <c r="G377" s="65" t="str">
        <f>IFERROR(VLOOKUP(A377,Ingreso!K:P,6,FALSE),"no esta ingresado")</f>
        <v>Turno C</v>
      </c>
      <c r="H377" s="65" t="str">
        <f>IFERROR(IF('Informe Kelly'!H370=$A$2,'Informe Kelly'!F370,""),0)</f>
        <v/>
      </c>
      <c r="I377" s="65">
        <f>IFERROR(IF('Informe Kelly'!H370=$A$3,'Informe Kelly'!F370,""),0)</f>
        <v>0.32681712962962961</v>
      </c>
      <c r="J377" s="65" t="str">
        <f>IF(IFERROR(IF(E377=E376,0,(HLOOKUP(D377,Ingreso!$AN$10:$AT$260,VLOOKUP(A377,Ingreso!$AL$11:$AM$260,2,FALSE)))/24),0)=0,"",IFERROR(IF(E377=E376,0,(HLOOKUP(D377,Ingreso!$AN$10:$AT$260,VLOOKUP(A377,Ingreso!$AL$11:$AM$260,2,FALSE)))/24),0))</f>
        <v/>
      </c>
      <c r="K377" s="65" t="str">
        <f>IF(IFERROR(IF(E377=E376,0,(HLOOKUP(C377,Ingreso!$AW$10:$BC$260,VLOOKUP(A377,Ingreso!$AL$11:$AM$260,2,FALSE)))/24),0)=0,"",IFERROR(IF(E377=E376,0,(HLOOKUP(C377,Ingreso!$AW$10:$BC$260,VLOOKUP(A377,Ingreso!$AL$11:$AM$260,2,FALSE)))/24),0))</f>
        <v/>
      </c>
      <c r="L377" s="63">
        <f t="shared" si="10"/>
        <v>0</v>
      </c>
      <c r="M377" s="63" t="str">
        <f>IF(IFERROR(IF(C377=C375,0,IF(E377=E376,0,IF(C377=$R$2,HLOOKUP($R$2,Ingreso!$AW$10:$BC$260,VLOOKUP(A377,Ingreso!AL:AM,2,FALSE),FALSE)/24,""))),"")=0,"",IFERROR(IF(C377=C375,0,IF(E377=E376,0,IF(C377=$R$2,HLOOKUP($R$2,Ingreso!$AW$10:$BC$260,VLOOKUP(A377,Ingreso!AL:AM,2,FALSE),FALSE)/24,""))),""))</f>
        <v/>
      </c>
      <c r="N377" s="95" t="str">
        <f>IF(IFERROR(IF(C377=C375,0,IF(E377=E376,0,IF(C377=$R$3,HLOOKUP($R$3,Ingreso!$AW$10:$BC$260,VLOOKUP(A377,Ingreso!AL:AM,2,FALSE),FALSE)/24,""))),"")=0,"",IFERROR(IF(C377=C375,0,IF(E377=E376,0,IF(C377=$R$3,HLOOKUP($R$3,Ingreso!$AW$10:$BC$260,VLOOKUP(A377,Ingreso!AL:AM,2,FALSE),FALSE)/24,""))),""))</f>
        <v/>
      </c>
      <c r="O377" s="95" t="str">
        <f>IF(IFERROR(IF(C377=C375,0,IF(E377=E376,0,IF(C377=$R$4,HLOOKUP($R$4,Ingreso!$AW$10:$BC$260,VLOOKUP(A377,Ingreso!AL:AM,2,FALSE),FALSE)/24,""))),"")=0,"",IFERROR(IF(C377=C375,0,IF(E377=E376,0,IF(C377=$R$4,HLOOKUP($R$4,Ingreso!$AW$10:$BC$260,VLOOKUP(A377,Ingreso!AL:AM,2,FALSE),FALSE)/24,""))),""))</f>
        <v/>
      </c>
      <c r="P377" s="90"/>
      <c r="T377" t="s">
        <v>1427</v>
      </c>
      <c r="U377" t="s">
        <v>4</v>
      </c>
      <c r="V377" t="s">
        <v>1402</v>
      </c>
      <c r="W377" s="82">
        <v>477</v>
      </c>
      <c r="X377" s="71">
        <v>0.3125</v>
      </c>
      <c r="Y377" s="101">
        <v>0.3144675925925926</v>
      </c>
      <c r="Z377" s="101">
        <v>0.6396412037037037</v>
      </c>
      <c r="AA377" s="101">
        <v>0.32517361111111109</v>
      </c>
      <c r="AB377" s="101">
        <v>1.2673611111111094E-2</v>
      </c>
      <c r="AC377" s="105">
        <v>0</v>
      </c>
      <c r="AD377" s="105">
        <v>0</v>
      </c>
      <c r="AE377" s="93">
        <v>0</v>
      </c>
      <c r="AF377" s="93">
        <v>0</v>
      </c>
      <c r="AG377" s="93">
        <v>0</v>
      </c>
    </row>
    <row r="378" spans="1:33">
      <c r="A378" s="65" t="str">
        <f>IFERROR(VLOOKUP('Informe Kelly'!A371,Base!A:B,2,FALSE),"")</f>
        <v>10.311.290-7</v>
      </c>
      <c r="B378" s="65" t="str">
        <f>IFERROR(VLOOKUP('Informe Kelly'!A371,Base!A:G,7,FALSE),"")</f>
        <v>VIDAL  ATENAS,RICARDO V.</v>
      </c>
      <c r="C378" s="69" t="str">
        <f>IF(G378=$C$4,IF('Informe Kelly'!H371='Control informe Kelly'!$A$2,TEXT(((LEFT('Informe Kelly'!E371,2)*1)+1),"dd")&amp;"."&amp;MID('Informe Kelly'!E371,4,2)&amp;"."&amp;RIGHT('Informe Kelly'!E371,4),'Informe Kelly'!E371),'Informe Kelly'!E371)</f>
        <v>11.04.2011</v>
      </c>
      <c r="D378" s="69" t="str">
        <f>IF('Informe Kelly'!E371="","",'Informe Kelly'!E371)</f>
        <v>11.04.2011</v>
      </c>
      <c r="E378" s="72">
        <f t="shared" si="11"/>
        <v>189</v>
      </c>
      <c r="F378" s="72" t="str">
        <f>IFERROR(HLOOKUP(C378,Ingreso!$Q$8:$AD$9,2,FALSE),"v")</f>
        <v>Lunes</v>
      </c>
      <c r="G378" s="65" t="str">
        <f>IFERROR(VLOOKUP(A378,Ingreso!K:P,6,FALSE),"no esta ingresado")</f>
        <v>no esta ingresado</v>
      </c>
      <c r="H378" s="65" t="str">
        <f>IFERROR(IF('Informe Kelly'!H371=$A$2,'Informe Kelly'!F371,""),0)</f>
        <v/>
      </c>
      <c r="I378" s="65">
        <f>IFERROR(IF('Informe Kelly'!H371=$A$3,'Informe Kelly'!F371,""),0)</f>
        <v>0.94700231481481489</v>
      </c>
      <c r="J378" s="65" t="str">
        <f>IF(IFERROR(IF(E378=E377,0,(HLOOKUP(D378,Ingreso!$AN$10:$AT$260,VLOOKUP(A378,Ingreso!$AL$11:$AM$260,2,FALSE)))/24),0)=0,"",IFERROR(IF(E378=E377,0,(HLOOKUP(D378,Ingreso!$AN$10:$AT$260,VLOOKUP(A378,Ingreso!$AL$11:$AM$260,2,FALSE)))/24),0))</f>
        <v/>
      </c>
      <c r="K378" s="65" t="str">
        <f>IF(IFERROR(IF(E378=E377,0,(HLOOKUP(C378,Ingreso!$AW$10:$BC$260,VLOOKUP(A378,Ingreso!$AL$11:$AM$260,2,FALSE)))/24),0)=0,"",IFERROR(IF(E378=E377,0,(HLOOKUP(C378,Ingreso!$AW$10:$BC$260,VLOOKUP(A378,Ingreso!$AL$11:$AM$260,2,FALSE)))/24),0))</f>
        <v/>
      </c>
      <c r="L378" s="63" t="str">
        <f t="shared" si="10"/>
        <v/>
      </c>
      <c r="M378" s="63" t="str">
        <f>IF(IFERROR(IF(C378=C376,0,IF(E378=E377,0,IF(C378=$R$2,HLOOKUP($R$2,Ingreso!$AW$10:$BC$260,VLOOKUP(A378,Ingreso!AL:AM,2,FALSE),FALSE)/24,""))),"")=0,"",IFERROR(IF(C378=C376,0,IF(E378=E377,0,IF(C378=$R$2,HLOOKUP($R$2,Ingreso!$AW$10:$BC$260,VLOOKUP(A378,Ingreso!AL:AM,2,FALSE),FALSE)/24,""))),""))</f>
        <v/>
      </c>
      <c r="N378" s="95" t="str">
        <f>IF(IFERROR(IF(C378=C376,0,IF(E378=E377,0,IF(C378=$R$3,HLOOKUP($R$3,Ingreso!$AW$10:$BC$260,VLOOKUP(A378,Ingreso!AL:AM,2,FALSE),FALSE)/24,""))),"")=0,"",IFERROR(IF(C378=C376,0,IF(E378=E377,0,IF(C378=$R$3,HLOOKUP($R$3,Ingreso!$AW$10:$BC$260,VLOOKUP(A378,Ingreso!AL:AM,2,FALSE),FALSE)/24,""))),""))</f>
        <v/>
      </c>
      <c r="O378" s="95" t="str">
        <f>IF(IFERROR(IF(C378=C376,0,IF(E378=E377,0,IF(C378=$R$4,HLOOKUP($R$4,Ingreso!$AW$10:$BC$260,VLOOKUP(A378,Ingreso!AL:AM,2,FALSE),FALSE)/24,""))),"")=0,"",IFERROR(IF(C378=C376,0,IF(E378=E377,0,IF(C378=$R$4,HLOOKUP($R$4,Ingreso!$AW$10:$BC$260,VLOOKUP(A378,Ingreso!AL:AM,2,FALSE),FALSE)/24,""))),""))</f>
        <v/>
      </c>
      <c r="P378" s="90"/>
      <c r="R378" t="s">
        <v>784</v>
      </c>
      <c r="S378" t="s">
        <v>789</v>
      </c>
      <c r="T378" t="s">
        <v>1420</v>
      </c>
      <c r="U378" t="s">
        <v>4</v>
      </c>
      <c r="V378" t="s">
        <v>1397</v>
      </c>
      <c r="W378" s="82">
        <v>490</v>
      </c>
      <c r="X378" s="71">
        <v>0.3125</v>
      </c>
      <c r="Y378" s="101">
        <v>0.30194444444444446</v>
      </c>
      <c r="Z378" s="101">
        <v>0.72682870370370367</v>
      </c>
      <c r="AA378" s="101">
        <v>0.42488425925925921</v>
      </c>
      <c r="AB378" s="101">
        <v>0.11238425925925921</v>
      </c>
      <c r="AC378" s="105">
        <v>8.3333333333333329E-2</v>
      </c>
      <c r="AD378" s="105">
        <v>0</v>
      </c>
      <c r="AE378" s="93">
        <v>0</v>
      </c>
      <c r="AF378" s="93">
        <v>0</v>
      </c>
      <c r="AG378" s="93">
        <v>0</v>
      </c>
    </row>
    <row r="379" spans="1:33">
      <c r="A379" s="65" t="str">
        <f>IFERROR(VLOOKUP('Informe Kelly'!A372,Base!A:B,2,FALSE),"")</f>
        <v>10.311.290-7</v>
      </c>
      <c r="B379" s="65" t="str">
        <f>IFERROR(VLOOKUP('Informe Kelly'!A372,Base!A:G,7,FALSE),"")</f>
        <v>VIDAL  ATENAS,RICARDO V.</v>
      </c>
      <c r="C379" s="69" t="str">
        <f>IF(G379=$C$4,IF('Informe Kelly'!H372='Control informe Kelly'!$A$2,TEXT(((LEFT('Informe Kelly'!E372,2)*1)+1),"dd")&amp;"."&amp;MID('Informe Kelly'!E372,4,2)&amp;"."&amp;RIGHT('Informe Kelly'!E372,4),'Informe Kelly'!E372),'Informe Kelly'!E372)</f>
        <v>11.04.2011</v>
      </c>
      <c r="D379" s="69" t="str">
        <f>IF('Informe Kelly'!E372="","",'Informe Kelly'!E372)</f>
        <v>11.04.2011</v>
      </c>
      <c r="E379" s="72">
        <f t="shared" si="11"/>
        <v>189</v>
      </c>
      <c r="F379" s="72" t="str">
        <f>IFERROR(HLOOKUP(C379,Ingreso!$Q$8:$AD$9,2,FALSE),"v")</f>
        <v>Lunes</v>
      </c>
      <c r="G379" s="65" t="str">
        <f>IFERROR(VLOOKUP(A379,Ingreso!K:P,6,FALSE),"no esta ingresado")</f>
        <v>no esta ingresado</v>
      </c>
      <c r="H379" s="65">
        <f>IFERROR(IF('Informe Kelly'!H372=$A$2,'Informe Kelly'!F372,""),0)</f>
        <v>0.60641203703703705</v>
      </c>
      <c r="I379" s="65" t="str">
        <f>IFERROR(IF('Informe Kelly'!H372=$A$3,'Informe Kelly'!F372,""),0)</f>
        <v/>
      </c>
      <c r="J379" s="65" t="str">
        <f>IF(IFERROR(IF(E379=E378,0,(HLOOKUP(D379,Ingreso!$AN$10:$AT$260,VLOOKUP(A379,Ingreso!$AL$11:$AM$260,2,FALSE)))/24),0)=0,"",IFERROR(IF(E379=E378,0,(HLOOKUP(D379,Ingreso!$AN$10:$AT$260,VLOOKUP(A379,Ingreso!$AL$11:$AM$260,2,FALSE)))/24),0))</f>
        <v/>
      </c>
      <c r="K379" s="65" t="str">
        <f>IF(IFERROR(IF(E379=E378,0,(HLOOKUP(C379,Ingreso!$AW$10:$BC$260,VLOOKUP(A379,Ingreso!$AL$11:$AM$260,2,FALSE)))/24),0)=0,"",IFERROR(IF(E379=E378,0,(HLOOKUP(C379,Ingreso!$AW$10:$BC$260,VLOOKUP(A379,Ingreso!$AL$11:$AM$260,2,FALSE)))/24),0))</f>
        <v/>
      </c>
      <c r="L379" s="63">
        <f t="shared" si="10"/>
        <v>0</v>
      </c>
      <c r="M379" s="63" t="str">
        <f>IF(IFERROR(IF(C379=C377,0,IF(E379=E378,0,IF(C379=$R$2,HLOOKUP($R$2,Ingreso!$AW$10:$BC$260,VLOOKUP(A379,Ingreso!AL:AM,2,FALSE),FALSE)/24,""))),"")=0,"",IFERROR(IF(C379=C377,0,IF(E379=E378,0,IF(C379=$R$2,HLOOKUP($R$2,Ingreso!$AW$10:$BC$260,VLOOKUP(A379,Ingreso!AL:AM,2,FALSE),FALSE)/24,""))),""))</f>
        <v/>
      </c>
      <c r="N379" s="95" t="str">
        <f>IF(IFERROR(IF(C379=C377,0,IF(E379=E378,0,IF(C379=$R$3,HLOOKUP($R$3,Ingreso!$AW$10:$BC$260,VLOOKUP(A379,Ingreso!AL:AM,2,FALSE),FALSE)/24,""))),"")=0,"",IFERROR(IF(C379=C377,0,IF(E379=E378,0,IF(C379=$R$3,HLOOKUP($R$3,Ingreso!$AW$10:$BC$260,VLOOKUP(A379,Ingreso!AL:AM,2,FALSE),FALSE)/24,""))),""))</f>
        <v/>
      </c>
      <c r="O379" s="95" t="str">
        <f>IF(IFERROR(IF(C379=C377,0,IF(E379=E378,0,IF(C379=$R$4,HLOOKUP($R$4,Ingreso!$AW$10:$BC$260,VLOOKUP(A379,Ingreso!AL:AM,2,FALSE),FALSE)/24,""))),"")=0,"",IFERROR(IF(C379=C377,0,IF(E379=E378,0,IF(C379=$R$4,HLOOKUP($R$4,Ingreso!$AW$10:$BC$260,VLOOKUP(A379,Ingreso!AL:AM,2,FALSE),FALSE)/24,""))),""))</f>
        <v/>
      </c>
      <c r="P379" s="90"/>
      <c r="T379" t="s">
        <v>1423</v>
      </c>
      <c r="U379" t="s">
        <v>4</v>
      </c>
      <c r="V379" t="s">
        <v>1398</v>
      </c>
      <c r="W379" s="82">
        <v>491</v>
      </c>
      <c r="X379" s="71">
        <v>0.3125</v>
      </c>
      <c r="Y379" s="101">
        <v>0.30587962962962961</v>
      </c>
      <c r="Z379" s="101">
        <v>0.71965277777777781</v>
      </c>
      <c r="AA379" s="101">
        <v>0.4137731481481482</v>
      </c>
      <c r="AB379" s="101">
        <v>0.1012731481481482</v>
      </c>
      <c r="AC379" s="105">
        <v>8.3333333333333329E-2</v>
      </c>
      <c r="AD379" s="105">
        <v>0</v>
      </c>
      <c r="AE379" s="93">
        <v>0</v>
      </c>
      <c r="AF379" s="93">
        <v>0</v>
      </c>
      <c r="AG379" s="93">
        <v>0</v>
      </c>
    </row>
    <row r="380" spans="1:33">
      <c r="A380" s="65" t="str">
        <f>IFERROR(VLOOKUP('Informe Kelly'!A373,Base!A:B,2,FALSE),"")</f>
        <v>10.311.290-7</v>
      </c>
      <c r="B380" s="65" t="str">
        <f>IFERROR(VLOOKUP('Informe Kelly'!A373,Base!A:G,7,FALSE),"")</f>
        <v>VIDAL  ATENAS,RICARDO V.</v>
      </c>
      <c r="C380" s="69" t="str">
        <f>IF(G380=$C$4,IF('Informe Kelly'!H373='Control informe Kelly'!$A$2,TEXT(((LEFT('Informe Kelly'!E373,2)*1)+1),"dd")&amp;"."&amp;MID('Informe Kelly'!E373,4,2)&amp;"."&amp;RIGHT('Informe Kelly'!E373,4),'Informe Kelly'!E373),'Informe Kelly'!E373)</f>
        <v>12.04.2011</v>
      </c>
      <c r="D380" s="69" t="str">
        <f>IF('Informe Kelly'!E373="","",'Informe Kelly'!E373)</f>
        <v>12.04.2011</v>
      </c>
      <c r="E380" s="72">
        <f t="shared" si="11"/>
        <v>190</v>
      </c>
      <c r="F380" s="72" t="str">
        <f>IFERROR(HLOOKUP(C380,Ingreso!$Q$8:$AD$9,2,FALSE),"v")</f>
        <v>Martes</v>
      </c>
      <c r="G380" s="65" t="str">
        <f>IFERROR(VLOOKUP(A380,Ingreso!K:P,6,FALSE),"no esta ingresado")</f>
        <v>no esta ingresado</v>
      </c>
      <c r="H380" s="65" t="str">
        <f>IFERROR(IF('Informe Kelly'!H373=$A$2,'Informe Kelly'!F373,""),0)</f>
        <v/>
      </c>
      <c r="I380" s="65">
        <f>IFERROR(IF('Informe Kelly'!H373=$A$3,'Informe Kelly'!F373,""),0)</f>
        <v>0.94582175925925915</v>
      </c>
      <c r="J380" s="65" t="str">
        <f>IF(IFERROR(IF(E380=E379,0,(HLOOKUP(D380,Ingreso!$AN$10:$AT$260,VLOOKUP(A380,Ingreso!$AL$11:$AM$260,2,FALSE)))/24),0)=0,"",IFERROR(IF(E380=E379,0,(HLOOKUP(D380,Ingreso!$AN$10:$AT$260,VLOOKUP(A380,Ingreso!$AL$11:$AM$260,2,FALSE)))/24),0))</f>
        <v/>
      </c>
      <c r="K380" s="65" t="str">
        <f>IF(IFERROR(IF(E380=E379,0,(HLOOKUP(C380,Ingreso!$AW$10:$BC$260,VLOOKUP(A380,Ingreso!$AL$11:$AM$260,2,FALSE)))/24),0)=0,"",IFERROR(IF(E380=E379,0,(HLOOKUP(C380,Ingreso!$AW$10:$BC$260,VLOOKUP(A380,Ingreso!$AL$11:$AM$260,2,FALSE)))/24),0))</f>
        <v/>
      </c>
      <c r="L380" s="63" t="str">
        <f t="shared" si="10"/>
        <v/>
      </c>
      <c r="M380" s="63" t="str">
        <f>IF(IFERROR(IF(C380=C378,0,IF(E380=E379,0,IF(C380=$R$2,HLOOKUP($R$2,Ingreso!$AW$10:$BC$260,VLOOKUP(A380,Ingreso!AL:AM,2,FALSE),FALSE)/24,""))),"")=0,"",IFERROR(IF(C380=C378,0,IF(E380=E379,0,IF(C380=$R$2,HLOOKUP($R$2,Ingreso!$AW$10:$BC$260,VLOOKUP(A380,Ingreso!AL:AM,2,FALSE),FALSE)/24,""))),""))</f>
        <v/>
      </c>
      <c r="N380" s="95" t="str">
        <f>IF(IFERROR(IF(C380=C378,0,IF(E380=E379,0,IF(C380=$R$3,HLOOKUP($R$3,Ingreso!$AW$10:$BC$260,VLOOKUP(A380,Ingreso!AL:AM,2,FALSE),FALSE)/24,""))),"")=0,"",IFERROR(IF(C380=C378,0,IF(E380=E379,0,IF(C380=$R$3,HLOOKUP($R$3,Ingreso!$AW$10:$BC$260,VLOOKUP(A380,Ingreso!AL:AM,2,FALSE),FALSE)/24,""))),""))</f>
        <v/>
      </c>
      <c r="O380" s="95" t="str">
        <f>IF(IFERROR(IF(C380=C378,0,IF(E380=E379,0,IF(C380=$R$4,HLOOKUP($R$4,Ingreso!$AW$10:$BC$260,VLOOKUP(A380,Ingreso!AL:AM,2,FALSE),FALSE)/24,""))),"")=0,"",IFERROR(IF(C380=C378,0,IF(E380=E379,0,IF(C380=$R$4,HLOOKUP($R$4,Ingreso!$AW$10:$BC$260,VLOOKUP(A380,Ingreso!AL:AM,2,FALSE),FALSE)/24,""))),""))</f>
        <v/>
      </c>
      <c r="P380" s="90"/>
      <c r="T380" t="s">
        <v>1424</v>
      </c>
      <c r="U380" t="s">
        <v>4</v>
      </c>
      <c r="V380" t="s">
        <v>1399</v>
      </c>
      <c r="W380" s="82">
        <v>492</v>
      </c>
      <c r="X380" s="71">
        <v>0.3125</v>
      </c>
      <c r="Y380" s="101">
        <v>0.30599537037037033</v>
      </c>
      <c r="Z380" s="101">
        <v>0.65881944444444451</v>
      </c>
      <c r="AA380" s="101">
        <v>0.35282407407407418</v>
      </c>
      <c r="AB380" s="101">
        <v>4.0324074074074179E-2</v>
      </c>
      <c r="AC380" s="105">
        <v>0</v>
      </c>
      <c r="AD380" s="105">
        <v>0</v>
      </c>
      <c r="AE380" s="93">
        <v>0</v>
      </c>
      <c r="AF380" s="93">
        <v>0</v>
      </c>
      <c r="AG380" s="93">
        <v>0</v>
      </c>
    </row>
    <row r="381" spans="1:33">
      <c r="A381" s="65" t="str">
        <f>IFERROR(VLOOKUP('Informe Kelly'!A374,Base!A:B,2,FALSE),"")</f>
        <v>10.311.290-7</v>
      </c>
      <c r="B381" s="65" t="str">
        <f>IFERROR(VLOOKUP('Informe Kelly'!A374,Base!A:G,7,FALSE),"")</f>
        <v>VIDAL  ATENAS,RICARDO V.</v>
      </c>
      <c r="C381" s="69" t="str">
        <f>IF(G381=$C$4,IF('Informe Kelly'!H374='Control informe Kelly'!$A$2,TEXT(((LEFT('Informe Kelly'!E374,2)*1)+1),"dd")&amp;"."&amp;MID('Informe Kelly'!E374,4,2)&amp;"."&amp;RIGHT('Informe Kelly'!E374,4),'Informe Kelly'!E374),'Informe Kelly'!E374)</f>
        <v>12.04.2011</v>
      </c>
      <c r="D381" s="69" t="str">
        <f>IF('Informe Kelly'!E374="","",'Informe Kelly'!E374)</f>
        <v>12.04.2011</v>
      </c>
      <c r="E381" s="72">
        <f t="shared" si="11"/>
        <v>190</v>
      </c>
      <c r="F381" s="72" t="str">
        <f>IFERROR(HLOOKUP(C381,Ingreso!$Q$8:$AD$9,2,FALSE),"v")</f>
        <v>Martes</v>
      </c>
      <c r="G381" s="65" t="str">
        <f>IFERROR(VLOOKUP(A381,Ingreso!K:P,6,FALSE),"no esta ingresado")</f>
        <v>no esta ingresado</v>
      </c>
      <c r="H381" s="65">
        <f>IFERROR(IF('Informe Kelly'!H374=$A$2,'Informe Kelly'!F374,""),0)</f>
        <v>0.60631944444444441</v>
      </c>
      <c r="I381" s="65" t="str">
        <f>IFERROR(IF('Informe Kelly'!H374=$A$3,'Informe Kelly'!F374,""),0)</f>
        <v/>
      </c>
      <c r="J381" s="65" t="str">
        <f>IF(IFERROR(IF(E381=E380,0,(HLOOKUP(D381,Ingreso!$AN$10:$AT$260,VLOOKUP(A381,Ingreso!$AL$11:$AM$260,2,FALSE)))/24),0)=0,"",IFERROR(IF(E381=E380,0,(HLOOKUP(D381,Ingreso!$AN$10:$AT$260,VLOOKUP(A381,Ingreso!$AL$11:$AM$260,2,FALSE)))/24),0))</f>
        <v/>
      </c>
      <c r="K381" s="65" t="str">
        <f>IF(IFERROR(IF(E381=E380,0,(HLOOKUP(C381,Ingreso!$AW$10:$BC$260,VLOOKUP(A381,Ingreso!$AL$11:$AM$260,2,FALSE)))/24),0)=0,"",IFERROR(IF(E381=E380,0,(HLOOKUP(C381,Ingreso!$AW$10:$BC$260,VLOOKUP(A381,Ingreso!$AL$11:$AM$260,2,FALSE)))/24),0))</f>
        <v/>
      </c>
      <c r="L381" s="63">
        <f t="shared" si="10"/>
        <v>0</v>
      </c>
      <c r="M381" s="63" t="str">
        <f>IF(IFERROR(IF(C381=C379,0,IF(E381=E380,0,IF(C381=$R$2,HLOOKUP($R$2,Ingreso!$AW$10:$BC$260,VLOOKUP(A381,Ingreso!AL:AM,2,FALSE),FALSE)/24,""))),"")=0,"",IFERROR(IF(C381=C379,0,IF(E381=E380,0,IF(C381=$R$2,HLOOKUP($R$2,Ingreso!$AW$10:$BC$260,VLOOKUP(A381,Ingreso!AL:AM,2,FALSE),FALSE)/24,""))),""))</f>
        <v/>
      </c>
      <c r="N381" s="95" t="str">
        <f>IF(IFERROR(IF(C381=C379,0,IF(E381=E380,0,IF(C381=$R$3,HLOOKUP($R$3,Ingreso!$AW$10:$BC$260,VLOOKUP(A381,Ingreso!AL:AM,2,FALSE),FALSE)/24,""))),"")=0,"",IFERROR(IF(C381=C379,0,IF(E381=E380,0,IF(C381=$R$3,HLOOKUP($R$3,Ingreso!$AW$10:$BC$260,VLOOKUP(A381,Ingreso!AL:AM,2,FALSE),FALSE)/24,""))),""))</f>
        <v/>
      </c>
      <c r="O381" s="95" t="str">
        <f>IF(IFERROR(IF(C381=C379,0,IF(E381=E380,0,IF(C381=$R$4,HLOOKUP($R$4,Ingreso!$AW$10:$BC$260,VLOOKUP(A381,Ingreso!AL:AM,2,FALSE),FALSE)/24,""))),"")=0,"",IFERROR(IF(C381=C379,0,IF(E381=E380,0,IF(C381=$R$4,HLOOKUP($R$4,Ingreso!$AW$10:$BC$260,VLOOKUP(A381,Ingreso!AL:AM,2,FALSE),FALSE)/24,""))),""))</f>
        <v/>
      </c>
      <c r="P381" s="90"/>
      <c r="T381" t="s">
        <v>1425</v>
      </c>
      <c r="U381" t="s">
        <v>4</v>
      </c>
      <c r="V381" t="s">
        <v>1400</v>
      </c>
      <c r="W381" s="82">
        <v>493</v>
      </c>
      <c r="X381" s="71">
        <v>0.3125</v>
      </c>
      <c r="Y381" s="101">
        <v>0.30092592592592593</v>
      </c>
      <c r="Z381" s="101">
        <v>0.72461805555555558</v>
      </c>
      <c r="AA381" s="101">
        <v>0.42369212962962965</v>
      </c>
      <c r="AB381" s="101">
        <v>0.11119212962962965</v>
      </c>
      <c r="AC381" s="105">
        <v>8.3333333333333329E-2</v>
      </c>
      <c r="AD381" s="105">
        <v>0</v>
      </c>
      <c r="AE381" s="93">
        <v>0</v>
      </c>
      <c r="AF381" s="93">
        <v>0</v>
      </c>
      <c r="AG381" s="93">
        <v>0</v>
      </c>
    </row>
    <row r="382" spans="1:33">
      <c r="A382" s="65" t="str">
        <f>IFERROR(VLOOKUP('Informe Kelly'!A375,Base!A:B,2,FALSE),"")</f>
        <v>10.311.290-7</v>
      </c>
      <c r="B382" s="65" t="str">
        <f>IFERROR(VLOOKUP('Informe Kelly'!A375,Base!A:G,7,FALSE),"")</f>
        <v>VIDAL  ATENAS,RICARDO V.</v>
      </c>
      <c r="C382" s="69" t="str">
        <f>IF(G382=$C$4,IF('Informe Kelly'!H375='Control informe Kelly'!$A$2,TEXT(((LEFT('Informe Kelly'!E375,2)*1)+1),"dd")&amp;"."&amp;MID('Informe Kelly'!E375,4,2)&amp;"."&amp;RIGHT('Informe Kelly'!E375,4),'Informe Kelly'!E375),'Informe Kelly'!E375)</f>
        <v>13.04.2011</v>
      </c>
      <c r="D382" s="69" t="str">
        <f>IF('Informe Kelly'!E375="","",'Informe Kelly'!E375)</f>
        <v>13.04.2011</v>
      </c>
      <c r="E382" s="72">
        <f t="shared" si="11"/>
        <v>191</v>
      </c>
      <c r="F382" s="72" t="str">
        <f>IFERROR(HLOOKUP(C382,Ingreso!$Q$8:$AD$9,2,FALSE),"v")</f>
        <v>Miércoles</v>
      </c>
      <c r="G382" s="65" t="str">
        <f>IFERROR(VLOOKUP(A382,Ingreso!K:P,6,FALSE),"no esta ingresado")</f>
        <v>no esta ingresado</v>
      </c>
      <c r="H382" s="65" t="str">
        <f>IFERROR(IF('Informe Kelly'!H375=$A$2,'Informe Kelly'!F375,""),0)</f>
        <v/>
      </c>
      <c r="I382" s="65">
        <f>IFERROR(IF('Informe Kelly'!H375=$A$3,'Informe Kelly'!F375,""),0)</f>
        <v>0.94675925925925919</v>
      </c>
      <c r="J382" s="65" t="str">
        <f>IF(IFERROR(IF(E382=E381,0,(HLOOKUP(D382,Ingreso!$AN$10:$AT$260,VLOOKUP(A382,Ingreso!$AL$11:$AM$260,2,FALSE)))/24),0)=0,"",IFERROR(IF(E382=E381,0,(HLOOKUP(D382,Ingreso!$AN$10:$AT$260,VLOOKUP(A382,Ingreso!$AL$11:$AM$260,2,FALSE)))/24),0))</f>
        <v/>
      </c>
      <c r="K382" s="65" t="str">
        <f>IF(IFERROR(IF(E382=E381,0,(HLOOKUP(C382,Ingreso!$AW$10:$BC$260,VLOOKUP(A382,Ingreso!$AL$11:$AM$260,2,FALSE)))/24),0)=0,"",IFERROR(IF(E382=E381,0,(HLOOKUP(C382,Ingreso!$AW$10:$BC$260,VLOOKUP(A382,Ingreso!$AL$11:$AM$260,2,FALSE)))/24),0))</f>
        <v/>
      </c>
      <c r="L382" s="63" t="str">
        <f t="shared" si="10"/>
        <v/>
      </c>
      <c r="M382" s="63" t="str">
        <f>IF(IFERROR(IF(C382=C380,0,IF(E382=E381,0,IF(C382=$R$2,HLOOKUP($R$2,Ingreso!$AW$10:$BC$260,VLOOKUP(A382,Ingreso!AL:AM,2,FALSE),FALSE)/24,""))),"")=0,"",IFERROR(IF(C382=C380,0,IF(E382=E381,0,IF(C382=$R$2,HLOOKUP($R$2,Ingreso!$AW$10:$BC$260,VLOOKUP(A382,Ingreso!AL:AM,2,FALSE),FALSE)/24,""))),""))</f>
        <v/>
      </c>
      <c r="N382" s="95" t="str">
        <f>IF(IFERROR(IF(C382=C380,0,IF(E382=E381,0,IF(C382=$R$3,HLOOKUP($R$3,Ingreso!$AW$10:$BC$260,VLOOKUP(A382,Ingreso!AL:AM,2,FALSE),FALSE)/24,""))),"")=0,"",IFERROR(IF(C382=C380,0,IF(E382=E381,0,IF(C382=$R$3,HLOOKUP($R$3,Ingreso!$AW$10:$BC$260,VLOOKUP(A382,Ingreso!AL:AM,2,FALSE),FALSE)/24,""))),""))</f>
        <v/>
      </c>
      <c r="O382" s="95" t="str">
        <f>IF(IFERROR(IF(C382=C380,0,IF(E382=E381,0,IF(C382=$R$4,HLOOKUP($R$4,Ingreso!$AW$10:$BC$260,VLOOKUP(A382,Ingreso!AL:AM,2,FALSE),FALSE)/24,""))),"")=0,"",IFERROR(IF(C382=C380,0,IF(E382=E381,0,IF(C382=$R$4,HLOOKUP($R$4,Ingreso!$AW$10:$BC$260,VLOOKUP(A382,Ingreso!AL:AM,2,FALSE),FALSE)/24,""))),""))</f>
        <v/>
      </c>
      <c r="P382" s="90"/>
      <c r="T382" t="s">
        <v>1426</v>
      </c>
      <c r="U382" t="s">
        <v>4</v>
      </c>
      <c r="V382" t="s">
        <v>1401</v>
      </c>
      <c r="W382" s="82">
        <v>494</v>
      </c>
      <c r="X382" s="71">
        <v>0.3125</v>
      </c>
      <c r="Y382" s="101">
        <v>0.31216435185185182</v>
      </c>
      <c r="Z382" s="101">
        <v>0.71805555555555556</v>
      </c>
      <c r="AA382" s="101">
        <v>0.40589120370370374</v>
      </c>
      <c r="AB382" s="101">
        <v>9.339120370370374E-2</v>
      </c>
      <c r="AC382" s="105">
        <v>8.3333333333333329E-2</v>
      </c>
      <c r="AD382" s="105">
        <v>0</v>
      </c>
      <c r="AE382" s="93">
        <v>0</v>
      </c>
      <c r="AF382" s="93">
        <v>0</v>
      </c>
      <c r="AG382" s="93">
        <v>0</v>
      </c>
    </row>
    <row r="383" spans="1:33">
      <c r="A383" s="65" t="str">
        <f>IFERROR(VLOOKUP('Informe Kelly'!A376,Base!A:B,2,FALSE),"")</f>
        <v>10.311.290-7</v>
      </c>
      <c r="B383" s="65" t="str">
        <f>IFERROR(VLOOKUP('Informe Kelly'!A376,Base!A:G,7,FALSE),"")</f>
        <v>VIDAL  ATENAS,RICARDO V.</v>
      </c>
      <c r="C383" s="69" t="str">
        <f>IF(G383=$C$4,IF('Informe Kelly'!H376='Control informe Kelly'!$A$2,TEXT(((LEFT('Informe Kelly'!E376,2)*1)+1),"dd")&amp;"."&amp;MID('Informe Kelly'!E376,4,2)&amp;"."&amp;RIGHT('Informe Kelly'!E376,4),'Informe Kelly'!E376),'Informe Kelly'!E376)</f>
        <v>13.04.2011</v>
      </c>
      <c r="D383" s="69" t="str">
        <f>IF('Informe Kelly'!E376="","",'Informe Kelly'!E376)</f>
        <v>13.04.2011</v>
      </c>
      <c r="E383" s="72">
        <f t="shared" si="11"/>
        <v>191</v>
      </c>
      <c r="F383" s="72" t="str">
        <f>IFERROR(HLOOKUP(C383,Ingreso!$Q$8:$AD$9,2,FALSE),"v")</f>
        <v>Miércoles</v>
      </c>
      <c r="G383" s="65" t="str">
        <f>IFERROR(VLOOKUP(A383,Ingreso!K:P,6,FALSE),"no esta ingresado")</f>
        <v>no esta ingresado</v>
      </c>
      <c r="H383" s="65">
        <f>IFERROR(IF('Informe Kelly'!H376=$A$2,'Informe Kelly'!F376,""),0)</f>
        <v>0.60854166666666665</v>
      </c>
      <c r="I383" s="65" t="str">
        <f>IFERROR(IF('Informe Kelly'!H376=$A$3,'Informe Kelly'!F376,""),0)</f>
        <v/>
      </c>
      <c r="J383" s="65" t="str">
        <f>IF(IFERROR(IF(E383=E382,0,(HLOOKUP(D383,Ingreso!$AN$10:$AT$260,VLOOKUP(A383,Ingreso!$AL$11:$AM$260,2,FALSE)))/24),0)=0,"",IFERROR(IF(E383=E382,0,(HLOOKUP(D383,Ingreso!$AN$10:$AT$260,VLOOKUP(A383,Ingreso!$AL$11:$AM$260,2,FALSE)))/24),0))</f>
        <v/>
      </c>
      <c r="K383" s="65" t="str">
        <f>IF(IFERROR(IF(E383=E382,0,(HLOOKUP(C383,Ingreso!$AW$10:$BC$260,VLOOKUP(A383,Ingreso!$AL$11:$AM$260,2,FALSE)))/24),0)=0,"",IFERROR(IF(E383=E382,0,(HLOOKUP(C383,Ingreso!$AW$10:$BC$260,VLOOKUP(A383,Ingreso!$AL$11:$AM$260,2,FALSE)))/24),0))</f>
        <v/>
      </c>
      <c r="L383" s="63">
        <f t="shared" si="10"/>
        <v>0</v>
      </c>
      <c r="M383" s="63" t="str">
        <f>IF(IFERROR(IF(C383=C381,0,IF(E383=E382,0,IF(C383=$R$2,HLOOKUP($R$2,Ingreso!$AW$10:$BC$260,VLOOKUP(A383,Ingreso!AL:AM,2,FALSE),FALSE)/24,""))),"")=0,"",IFERROR(IF(C383=C381,0,IF(E383=E382,0,IF(C383=$R$2,HLOOKUP($R$2,Ingreso!$AW$10:$BC$260,VLOOKUP(A383,Ingreso!AL:AM,2,FALSE),FALSE)/24,""))),""))</f>
        <v/>
      </c>
      <c r="N383" s="95" t="str">
        <f>IF(IFERROR(IF(C383=C381,0,IF(E383=E382,0,IF(C383=$R$3,HLOOKUP($R$3,Ingreso!$AW$10:$BC$260,VLOOKUP(A383,Ingreso!AL:AM,2,FALSE),FALSE)/24,""))),"")=0,"",IFERROR(IF(C383=C381,0,IF(E383=E382,0,IF(C383=$R$3,HLOOKUP($R$3,Ingreso!$AW$10:$BC$260,VLOOKUP(A383,Ingreso!AL:AM,2,FALSE),FALSE)/24,""))),""))</f>
        <v/>
      </c>
      <c r="O383" s="95" t="str">
        <f>IF(IFERROR(IF(C383=C381,0,IF(E383=E382,0,IF(C383=$R$4,HLOOKUP($R$4,Ingreso!$AW$10:$BC$260,VLOOKUP(A383,Ingreso!AL:AM,2,FALSE),FALSE)/24,""))),"")=0,"",IFERROR(IF(C383=C381,0,IF(E383=E382,0,IF(C383=$R$4,HLOOKUP($R$4,Ingreso!$AW$10:$BC$260,VLOOKUP(A383,Ingreso!AL:AM,2,FALSE),FALSE)/24,""))),""))</f>
        <v/>
      </c>
      <c r="P383" s="90"/>
      <c r="T383" t="s">
        <v>1427</v>
      </c>
      <c r="U383" t="s">
        <v>4</v>
      </c>
      <c r="V383" t="s">
        <v>1402</v>
      </c>
      <c r="W383" s="82">
        <v>495</v>
      </c>
      <c r="X383" s="71">
        <v>0.3125</v>
      </c>
      <c r="Y383" s="101">
        <v>0.31350694444444444</v>
      </c>
      <c r="Z383" s="101">
        <v>0.63164351851851852</v>
      </c>
      <c r="AA383" s="101">
        <v>0.31813657407407409</v>
      </c>
      <c r="AB383" s="101">
        <v>5.6365740740740855E-3</v>
      </c>
      <c r="AC383" s="105">
        <v>0</v>
      </c>
      <c r="AD383" s="105">
        <v>0</v>
      </c>
      <c r="AE383" s="93">
        <v>0</v>
      </c>
      <c r="AF383" s="93">
        <v>0</v>
      </c>
      <c r="AG383" s="93">
        <v>0</v>
      </c>
    </row>
    <row r="384" spans="1:33">
      <c r="A384" s="65" t="str">
        <f>IFERROR(VLOOKUP('Informe Kelly'!A377,Base!A:B,2,FALSE),"")</f>
        <v>10.311.290-7</v>
      </c>
      <c r="B384" s="65" t="str">
        <f>IFERROR(VLOOKUP('Informe Kelly'!A377,Base!A:G,7,FALSE),"")</f>
        <v>VIDAL  ATENAS,RICARDO V.</v>
      </c>
      <c r="C384" s="69" t="str">
        <f>IF(G384=$C$4,IF('Informe Kelly'!H377='Control informe Kelly'!$A$2,TEXT(((LEFT('Informe Kelly'!E377,2)*1)+1),"dd")&amp;"."&amp;MID('Informe Kelly'!E377,4,2)&amp;"."&amp;RIGHT('Informe Kelly'!E377,4),'Informe Kelly'!E377),'Informe Kelly'!E377)</f>
        <v>14.04.2011</v>
      </c>
      <c r="D384" s="69" t="str">
        <f>IF('Informe Kelly'!E377="","",'Informe Kelly'!E377)</f>
        <v>14.04.2011</v>
      </c>
      <c r="E384" s="72">
        <f t="shared" si="11"/>
        <v>192</v>
      </c>
      <c r="F384" s="72" t="str">
        <f>IFERROR(HLOOKUP(C384,Ingreso!$Q$8:$AD$9,2,FALSE),"v")</f>
        <v>Jueves</v>
      </c>
      <c r="G384" s="65" t="str">
        <f>IFERROR(VLOOKUP(A384,Ingreso!K:P,6,FALSE),"no esta ingresado")</f>
        <v>no esta ingresado</v>
      </c>
      <c r="H384" s="65" t="str">
        <f>IFERROR(IF('Informe Kelly'!H377=$A$2,'Informe Kelly'!F377,""),0)</f>
        <v/>
      </c>
      <c r="I384" s="65">
        <f>IFERROR(IF('Informe Kelly'!H377=$A$3,'Informe Kelly'!F377,""),0)</f>
        <v>0.94903935185185195</v>
      </c>
      <c r="J384" s="65" t="str">
        <f>IF(IFERROR(IF(E384=E383,0,(HLOOKUP(D384,Ingreso!$AN$10:$AT$260,VLOOKUP(A384,Ingreso!$AL$11:$AM$260,2,FALSE)))/24),0)=0,"",IFERROR(IF(E384=E383,0,(HLOOKUP(D384,Ingreso!$AN$10:$AT$260,VLOOKUP(A384,Ingreso!$AL$11:$AM$260,2,FALSE)))/24),0))</f>
        <v/>
      </c>
      <c r="K384" s="65" t="str">
        <f>IF(IFERROR(IF(E384=E383,0,(HLOOKUP(C384,Ingreso!$AW$10:$BC$260,VLOOKUP(A384,Ingreso!$AL$11:$AM$260,2,FALSE)))/24),0)=0,"",IFERROR(IF(E384=E383,0,(HLOOKUP(C384,Ingreso!$AW$10:$BC$260,VLOOKUP(A384,Ingreso!$AL$11:$AM$260,2,FALSE)))/24),0))</f>
        <v/>
      </c>
      <c r="L384" s="63" t="str">
        <f t="shared" si="10"/>
        <v/>
      </c>
      <c r="M384" s="63" t="str">
        <f>IF(IFERROR(IF(C384=C382,0,IF(E384=E383,0,IF(C384=$R$2,HLOOKUP($R$2,Ingreso!$AW$10:$BC$260,VLOOKUP(A384,Ingreso!AL:AM,2,FALSE),FALSE)/24,""))),"")=0,"",IFERROR(IF(C384=C382,0,IF(E384=E383,0,IF(C384=$R$2,HLOOKUP($R$2,Ingreso!$AW$10:$BC$260,VLOOKUP(A384,Ingreso!AL:AM,2,FALSE),FALSE)/24,""))),""))</f>
        <v/>
      </c>
      <c r="N384" s="95" t="str">
        <f>IF(IFERROR(IF(C384=C382,0,IF(E384=E383,0,IF(C384=$R$3,HLOOKUP($R$3,Ingreso!$AW$10:$BC$260,VLOOKUP(A384,Ingreso!AL:AM,2,FALSE),FALSE)/24,""))),"")=0,"",IFERROR(IF(C384=C382,0,IF(E384=E383,0,IF(C384=$R$3,HLOOKUP($R$3,Ingreso!$AW$10:$BC$260,VLOOKUP(A384,Ingreso!AL:AM,2,FALSE),FALSE)/24,""))),""))</f>
        <v/>
      </c>
      <c r="O384" s="95" t="str">
        <f>IF(IFERROR(IF(C384=C382,0,IF(E384=E383,0,IF(C384=$R$4,HLOOKUP($R$4,Ingreso!$AW$10:$BC$260,VLOOKUP(A384,Ingreso!AL:AM,2,FALSE),FALSE)/24,""))),"")=0,"",IFERROR(IF(C384=C382,0,IF(E384=E383,0,IF(C384=$R$4,HLOOKUP($R$4,Ingreso!$AW$10:$BC$260,VLOOKUP(A384,Ingreso!AL:AM,2,FALSE),FALSE)/24,""))),""))</f>
        <v/>
      </c>
      <c r="P384" s="90"/>
      <c r="R384" t="s">
        <v>1362</v>
      </c>
      <c r="S384" t="s">
        <v>417</v>
      </c>
      <c r="T384" t="s">
        <v>1420</v>
      </c>
      <c r="U384" t="s">
        <v>1322</v>
      </c>
      <c r="V384" t="s">
        <v>1397</v>
      </c>
      <c r="W384" s="82">
        <v>502</v>
      </c>
      <c r="X384" s="71">
        <v>0.3125</v>
      </c>
      <c r="Y384" s="101">
        <v>0.61869212962962961</v>
      </c>
      <c r="Z384" s="101">
        <v>0.94054398148148144</v>
      </c>
      <c r="AA384" s="101">
        <v>0.32185185185185183</v>
      </c>
      <c r="AB384" s="101">
        <v>9.3518518518518334E-3</v>
      </c>
      <c r="AC384" s="105">
        <v>0</v>
      </c>
      <c r="AD384" s="105">
        <v>0</v>
      </c>
      <c r="AE384" s="93">
        <v>0</v>
      </c>
      <c r="AF384" s="93">
        <v>0</v>
      </c>
      <c r="AG384" s="93">
        <v>0</v>
      </c>
    </row>
    <row r="385" spans="1:33" ht="12.75" customHeight="1">
      <c r="A385" s="65" t="str">
        <f>IFERROR(VLOOKUP('Informe Kelly'!A378,Base!A:B,2,FALSE),"")</f>
        <v>10.311.290-7</v>
      </c>
      <c r="B385" s="65" t="str">
        <f>IFERROR(VLOOKUP('Informe Kelly'!A378,Base!A:G,7,FALSE),"")</f>
        <v>VIDAL  ATENAS,RICARDO V.</v>
      </c>
      <c r="C385" s="69" t="str">
        <f>IF(G385=$C$4,IF('Informe Kelly'!H378='Control informe Kelly'!$A$2,TEXT(((LEFT('Informe Kelly'!E378,2)*1)+1),"dd")&amp;"."&amp;MID('Informe Kelly'!E378,4,2)&amp;"."&amp;RIGHT('Informe Kelly'!E378,4),'Informe Kelly'!E378),'Informe Kelly'!E378)</f>
        <v>14.04.2011</v>
      </c>
      <c r="D385" s="69" t="str">
        <f>IF('Informe Kelly'!E378="","",'Informe Kelly'!E378)</f>
        <v>14.04.2011</v>
      </c>
      <c r="E385" s="72">
        <f t="shared" si="11"/>
        <v>192</v>
      </c>
      <c r="F385" s="72" t="str">
        <f>IFERROR(HLOOKUP(C385,Ingreso!$Q$8:$AD$9,2,FALSE),"v")</f>
        <v>Jueves</v>
      </c>
      <c r="G385" s="65" t="str">
        <f>IFERROR(VLOOKUP(A385,Ingreso!K:P,6,FALSE),"no esta ingresado")</f>
        <v>no esta ingresado</v>
      </c>
      <c r="H385" s="65">
        <f>IFERROR(IF('Informe Kelly'!H378=$A$2,'Informe Kelly'!F378,""),0)</f>
        <v>0.60657407407407404</v>
      </c>
      <c r="I385" s="65" t="str">
        <f>IFERROR(IF('Informe Kelly'!H378=$A$3,'Informe Kelly'!F378,""),0)</f>
        <v/>
      </c>
      <c r="J385" s="65" t="str">
        <f>IF(IFERROR(IF(E385=E384,0,(HLOOKUP(D385,Ingreso!$AN$10:$AT$260,VLOOKUP(A385,Ingreso!$AL$11:$AM$260,2,FALSE)))/24),0)=0,"",IFERROR(IF(E385=E384,0,(HLOOKUP(D385,Ingreso!$AN$10:$AT$260,VLOOKUP(A385,Ingreso!$AL$11:$AM$260,2,FALSE)))/24),0))</f>
        <v/>
      </c>
      <c r="K385" s="65" t="str">
        <f>IF(IFERROR(IF(E385=E384,0,(HLOOKUP(C385,Ingreso!$AW$10:$BC$260,VLOOKUP(A385,Ingreso!$AL$11:$AM$260,2,FALSE)))/24),0)=0,"",IFERROR(IF(E385=E384,0,(HLOOKUP(C385,Ingreso!$AW$10:$BC$260,VLOOKUP(A385,Ingreso!$AL$11:$AM$260,2,FALSE)))/24),0))</f>
        <v/>
      </c>
      <c r="L385" s="63">
        <f t="shared" si="10"/>
        <v>0</v>
      </c>
      <c r="M385" s="63" t="str">
        <f>IF(IFERROR(IF(C385=C383,0,IF(E385=E384,0,IF(C385=$R$2,HLOOKUP($R$2,Ingreso!$AW$10:$BC$260,VLOOKUP(A385,Ingreso!AL:AM,2,FALSE),FALSE)/24,""))),"")=0,"",IFERROR(IF(C385=C383,0,IF(E385=E384,0,IF(C385=$R$2,HLOOKUP($R$2,Ingreso!$AW$10:$BC$260,VLOOKUP(A385,Ingreso!AL:AM,2,FALSE),FALSE)/24,""))),""))</f>
        <v/>
      </c>
      <c r="N385" s="95" t="str">
        <f>IF(IFERROR(IF(C385=C383,0,IF(E385=E384,0,IF(C385=$R$3,HLOOKUP($R$3,Ingreso!$AW$10:$BC$260,VLOOKUP(A385,Ingreso!AL:AM,2,FALSE),FALSE)/24,""))),"")=0,"",IFERROR(IF(C385=C383,0,IF(E385=E384,0,IF(C385=$R$3,HLOOKUP($R$3,Ingreso!$AW$10:$BC$260,VLOOKUP(A385,Ingreso!AL:AM,2,FALSE),FALSE)/24,""))),""))</f>
        <v/>
      </c>
      <c r="O385" s="95" t="str">
        <f>IF(IFERROR(IF(C385=C383,0,IF(E385=E384,0,IF(C385=$R$4,HLOOKUP($R$4,Ingreso!$AW$10:$BC$260,VLOOKUP(A385,Ingreso!AL:AM,2,FALSE),FALSE)/24,""))),"")=0,"",IFERROR(IF(C385=C383,0,IF(E385=E384,0,IF(C385=$R$4,HLOOKUP($R$4,Ingreso!$AW$10:$BC$260,VLOOKUP(A385,Ingreso!AL:AM,2,FALSE),FALSE)/24,""))),""))</f>
        <v/>
      </c>
      <c r="P385" s="90"/>
      <c r="T385" t="s">
        <v>1423</v>
      </c>
      <c r="U385" t="s">
        <v>1322</v>
      </c>
      <c r="V385" t="s">
        <v>1398</v>
      </c>
      <c r="W385" s="82">
        <v>503</v>
      </c>
      <c r="X385" s="71">
        <v>0.3125</v>
      </c>
      <c r="Y385" s="101">
        <v>0.6144560185185185</v>
      </c>
      <c r="Z385" s="101">
        <v>0.94627314814814811</v>
      </c>
      <c r="AA385" s="101">
        <v>0.33181712962962961</v>
      </c>
      <c r="AB385" s="101">
        <v>1.9317129629629615E-2</v>
      </c>
      <c r="AC385" s="105">
        <v>0</v>
      </c>
      <c r="AD385" s="105">
        <v>0</v>
      </c>
      <c r="AE385" s="93">
        <v>0</v>
      </c>
      <c r="AF385" s="93">
        <v>0</v>
      </c>
      <c r="AG385" s="93">
        <v>0</v>
      </c>
    </row>
    <row r="386" spans="1:33">
      <c r="A386" s="65" t="str">
        <f>IFERROR(VLOOKUP('Informe Kelly'!A379,Base!A:B,2,FALSE),"")</f>
        <v>10.311.290-7</v>
      </c>
      <c r="B386" s="65" t="str">
        <f>IFERROR(VLOOKUP('Informe Kelly'!A379,Base!A:G,7,FALSE),"")</f>
        <v>VIDAL  ATENAS,RICARDO V.</v>
      </c>
      <c r="C386" s="69" t="str">
        <f>IF(G386=$C$4,IF('Informe Kelly'!H379='Control informe Kelly'!$A$2,TEXT(((LEFT('Informe Kelly'!E379,2)*1)+1),"dd")&amp;"."&amp;MID('Informe Kelly'!E379,4,2)&amp;"."&amp;RIGHT('Informe Kelly'!E379,4),'Informe Kelly'!E379),'Informe Kelly'!E379)</f>
        <v>15.04.2011</v>
      </c>
      <c r="D386" s="69" t="str">
        <f>IF('Informe Kelly'!E379="","",'Informe Kelly'!E379)</f>
        <v>15.04.2011</v>
      </c>
      <c r="E386" s="72">
        <f t="shared" si="11"/>
        <v>193</v>
      </c>
      <c r="F386" s="72" t="str">
        <f>IFERROR(HLOOKUP(C386,Ingreso!$Q$8:$AD$9,2,FALSE),"v")</f>
        <v>Viernes</v>
      </c>
      <c r="G386" s="65" t="str">
        <f>IFERROR(VLOOKUP(A386,Ingreso!K:P,6,FALSE),"no esta ingresado")</f>
        <v>no esta ingresado</v>
      </c>
      <c r="H386" s="65" t="str">
        <f>IFERROR(IF('Informe Kelly'!H379=$A$2,'Informe Kelly'!F379,""),0)</f>
        <v/>
      </c>
      <c r="I386" s="65">
        <f>IFERROR(IF('Informe Kelly'!H379=$A$3,'Informe Kelly'!F379,""),0)</f>
        <v>0.94726851851851857</v>
      </c>
      <c r="J386" s="65" t="str">
        <f>IF(IFERROR(IF(E386=E385,0,(HLOOKUP(D386,Ingreso!$AN$10:$AT$260,VLOOKUP(A386,Ingreso!$AL$11:$AM$260,2,FALSE)))/24),0)=0,"",IFERROR(IF(E386=E385,0,(HLOOKUP(D386,Ingreso!$AN$10:$AT$260,VLOOKUP(A386,Ingreso!$AL$11:$AM$260,2,FALSE)))/24),0))</f>
        <v/>
      </c>
      <c r="K386" s="65" t="str">
        <f>IF(IFERROR(IF(E386=E385,0,(HLOOKUP(C386,Ingreso!$AW$10:$BC$260,VLOOKUP(A386,Ingreso!$AL$11:$AM$260,2,FALSE)))/24),0)=0,"",IFERROR(IF(E386=E385,0,(HLOOKUP(C386,Ingreso!$AW$10:$BC$260,VLOOKUP(A386,Ingreso!$AL$11:$AM$260,2,FALSE)))/24),0))</f>
        <v/>
      </c>
      <c r="L386" s="63" t="str">
        <f t="shared" si="10"/>
        <v/>
      </c>
      <c r="M386" s="63" t="str">
        <f>IF(IFERROR(IF(C386=C384,0,IF(E386=E385,0,IF(C386=$R$2,HLOOKUP($R$2,Ingreso!$AW$10:$BC$260,VLOOKUP(A386,Ingreso!AL:AM,2,FALSE),FALSE)/24,""))),"")=0,"",IFERROR(IF(C386=C384,0,IF(E386=E385,0,IF(C386=$R$2,HLOOKUP($R$2,Ingreso!$AW$10:$BC$260,VLOOKUP(A386,Ingreso!AL:AM,2,FALSE),FALSE)/24,""))),""))</f>
        <v/>
      </c>
      <c r="N386" s="95" t="str">
        <f>IF(IFERROR(IF(C386=C384,0,IF(E386=E385,0,IF(C386=$R$3,HLOOKUP($R$3,Ingreso!$AW$10:$BC$260,VLOOKUP(A386,Ingreso!AL:AM,2,FALSE),FALSE)/24,""))),"")=0,"",IFERROR(IF(C386=C384,0,IF(E386=E385,0,IF(C386=$R$3,HLOOKUP($R$3,Ingreso!$AW$10:$BC$260,VLOOKUP(A386,Ingreso!AL:AM,2,FALSE),FALSE)/24,""))),""))</f>
        <v/>
      </c>
      <c r="O386" s="95" t="str">
        <f>IF(IFERROR(IF(C386=C384,0,IF(E386=E385,0,IF(C386=$R$4,HLOOKUP($R$4,Ingreso!$AW$10:$BC$260,VLOOKUP(A386,Ingreso!AL:AM,2,FALSE),FALSE)/24,""))),"")=0,"",IFERROR(IF(C386=C384,0,IF(E386=E385,0,IF(C386=$R$4,HLOOKUP($R$4,Ingreso!$AW$10:$BC$260,VLOOKUP(A386,Ingreso!AL:AM,2,FALSE),FALSE)/24,""))),""))</f>
        <v/>
      </c>
      <c r="P386" s="90"/>
      <c r="T386" t="s">
        <v>1424</v>
      </c>
      <c r="U386" t="s">
        <v>1322</v>
      </c>
      <c r="V386" t="s">
        <v>1399</v>
      </c>
      <c r="W386" s="82">
        <v>504</v>
      </c>
      <c r="X386" s="71">
        <v>0.3125</v>
      </c>
      <c r="Y386" s="101">
        <v>0.61228009259259253</v>
      </c>
      <c r="Z386" s="101">
        <v>0.94113425925925931</v>
      </c>
      <c r="AA386" s="101">
        <v>0.32885416666666678</v>
      </c>
      <c r="AB386" s="101">
        <v>1.6354166666666781E-2</v>
      </c>
      <c r="AC386" s="105">
        <v>0</v>
      </c>
      <c r="AD386" s="105">
        <v>0</v>
      </c>
      <c r="AE386" s="93">
        <v>0</v>
      </c>
      <c r="AF386" s="93">
        <v>0</v>
      </c>
      <c r="AG386" s="93">
        <v>0</v>
      </c>
    </row>
    <row r="387" spans="1:33">
      <c r="A387" s="65" t="str">
        <f>IFERROR(VLOOKUP('Informe Kelly'!A380,Base!A:B,2,FALSE),"")</f>
        <v>10.311.290-7</v>
      </c>
      <c r="B387" s="65" t="str">
        <f>IFERROR(VLOOKUP('Informe Kelly'!A380,Base!A:G,7,FALSE),"")</f>
        <v>VIDAL  ATENAS,RICARDO V.</v>
      </c>
      <c r="C387" s="69" t="str">
        <f>IF(G387=$C$4,IF('Informe Kelly'!H380='Control informe Kelly'!$A$2,TEXT(((LEFT('Informe Kelly'!E380,2)*1)+1),"dd")&amp;"."&amp;MID('Informe Kelly'!E380,4,2)&amp;"."&amp;RIGHT('Informe Kelly'!E380,4),'Informe Kelly'!E380),'Informe Kelly'!E380)</f>
        <v>15.04.2011</v>
      </c>
      <c r="D387" s="69" t="str">
        <f>IF('Informe Kelly'!E380="","",'Informe Kelly'!E380)</f>
        <v>15.04.2011</v>
      </c>
      <c r="E387" s="72">
        <f t="shared" si="11"/>
        <v>193</v>
      </c>
      <c r="F387" s="72" t="str">
        <f>IFERROR(HLOOKUP(C387,Ingreso!$Q$8:$AD$9,2,FALSE),"v")</f>
        <v>Viernes</v>
      </c>
      <c r="G387" s="65" t="str">
        <f>IFERROR(VLOOKUP(A387,Ingreso!K:P,6,FALSE),"no esta ingresado")</f>
        <v>no esta ingresado</v>
      </c>
      <c r="H387" s="65">
        <f>IFERROR(IF('Informe Kelly'!H380=$A$2,'Informe Kelly'!F380,""),0)</f>
        <v>0.60898148148148146</v>
      </c>
      <c r="I387" s="65" t="str">
        <f>IFERROR(IF('Informe Kelly'!H380=$A$3,'Informe Kelly'!F380,""),0)</f>
        <v/>
      </c>
      <c r="J387" s="65" t="str">
        <f>IF(IFERROR(IF(E387=E386,0,(HLOOKUP(D387,Ingreso!$AN$10:$AT$260,VLOOKUP(A387,Ingreso!$AL$11:$AM$260,2,FALSE)))/24),0)=0,"",IFERROR(IF(E387=E386,0,(HLOOKUP(D387,Ingreso!$AN$10:$AT$260,VLOOKUP(A387,Ingreso!$AL$11:$AM$260,2,FALSE)))/24),0))</f>
        <v/>
      </c>
      <c r="K387" s="65" t="str">
        <f>IF(IFERROR(IF(E387=E386,0,(HLOOKUP(C387,Ingreso!$AW$10:$BC$260,VLOOKUP(A387,Ingreso!$AL$11:$AM$260,2,FALSE)))/24),0)=0,"",IFERROR(IF(E387=E386,0,(HLOOKUP(C387,Ingreso!$AW$10:$BC$260,VLOOKUP(A387,Ingreso!$AL$11:$AM$260,2,FALSE)))/24),0))</f>
        <v/>
      </c>
      <c r="L387" s="63">
        <f t="shared" si="10"/>
        <v>0</v>
      </c>
      <c r="M387" s="63" t="str">
        <f>IF(IFERROR(IF(C387=C385,0,IF(E387=E386,0,IF(C387=$R$2,HLOOKUP($R$2,Ingreso!$AW$10:$BC$260,VLOOKUP(A387,Ingreso!AL:AM,2,FALSE),FALSE)/24,""))),"")=0,"",IFERROR(IF(C387=C385,0,IF(E387=E386,0,IF(C387=$R$2,HLOOKUP($R$2,Ingreso!$AW$10:$BC$260,VLOOKUP(A387,Ingreso!AL:AM,2,FALSE),FALSE)/24,""))),""))</f>
        <v/>
      </c>
      <c r="N387" s="95" t="str">
        <f>IF(IFERROR(IF(C387=C385,0,IF(E387=E386,0,IF(C387=$R$3,HLOOKUP($R$3,Ingreso!$AW$10:$BC$260,VLOOKUP(A387,Ingreso!AL:AM,2,FALSE),FALSE)/24,""))),"")=0,"",IFERROR(IF(C387=C385,0,IF(E387=E386,0,IF(C387=$R$3,HLOOKUP($R$3,Ingreso!$AW$10:$BC$260,VLOOKUP(A387,Ingreso!AL:AM,2,FALSE),FALSE)/24,""))),""))</f>
        <v/>
      </c>
      <c r="O387" s="95" t="str">
        <f>IF(IFERROR(IF(C387=C385,0,IF(E387=E386,0,IF(C387=$R$4,HLOOKUP($R$4,Ingreso!$AW$10:$BC$260,VLOOKUP(A387,Ingreso!AL:AM,2,FALSE),FALSE)/24,""))),"")=0,"",IFERROR(IF(C387=C385,0,IF(E387=E386,0,IF(C387=$R$4,HLOOKUP($R$4,Ingreso!$AW$10:$BC$260,VLOOKUP(A387,Ingreso!AL:AM,2,FALSE),FALSE)/24,""))),""))</f>
        <v/>
      </c>
      <c r="P387" s="90"/>
      <c r="T387" t="s">
        <v>1425</v>
      </c>
      <c r="U387" t="s">
        <v>1322</v>
      </c>
      <c r="V387" t="s">
        <v>1400</v>
      </c>
      <c r="W387" s="82">
        <v>505</v>
      </c>
      <c r="X387" s="71">
        <v>0.3125</v>
      </c>
      <c r="Y387" s="101">
        <v>0.61744212962962963</v>
      </c>
      <c r="Z387" s="101">
        <v>0.94459490740740737</v>
      </c>
      <c r="AA387" s="101">
        <v>0.32715277777777774</v>
      </c>
      <c r="AB387" s="101">
        <v>1.4652777777777737E-2</v>
      </c>
      <c r="AC387" s="105">
        <v>0</v>
      </c>
      <c r="AD387" s="105">
        <v>0</v>
      </c>
      <c r="AE387" s="93">
        <v>0</v>
      </c>
      <c r="AF387" s="93">
        <v>0</v>
      </c>
      <c r="AG387" s="93">
        <v>0</v>
      </c>
    </row>
    <row r="388" spans="1:33">
      <c r="A388" s="65" t="str">
        <f>IFERROR(VLOOKUP('Informe Kelly'!A381,Base!A:B,2,FALSE),"")</f>
        <v>10.311.290-7</v>
      </c>
      <c r="B388" s="65" t="str">
        <f>IFERROR(VLOOKUP('Informe Kelly'!A381,Base!A:G,7,FALSE),"")</f>
        <v>VIDAL  ATENAS,RICARDO V.</v>
      </c>
      <c r="C388" s="69" t="str">
        <f>IF(G388=$C$4,IF('Informe Kelly'!H381='Control informe Kelly'!$A$2,TEXT(((LEFT('Informe Kelly'!E381,2)*1)+1),"dd")&amp;"."&amp;MID('Informe Kelly'!E381,4,2)&amp;"."&amp;RIGHT('Informe Kelly'!E381,4),'Informe Kelly'!E381),'Informe Kelly'!E381)</f>
        <v>16.04.2011</v>
      </c>
      <c r="D388" s="69" t="str">
        <f>IF('Informe Kelly'!E381="","",'Informe Kelly'!E381)</f>
        <v>16.04.2011</v>
      </c>
      <c r="E388" s="72">
        <f t="shared" si="11"/>
        <v>194</v>
      </c>
      <c r="F388" s="72" t="str">
        <f>IFERROR(HLOOKUP(C388,Ingreso!$Q$8:$AD$9,2,FALSE),"v")</f>
        <v>Sábado</v>
      </c>
      <c r="G388" s="65" t="str">
        <f>IFERROR(VLOOKUP(A388,Ingreso!K:P,6,FALSE),"no esta ingresado")</f>
        <v>no esta ingresado</v>
      </c>
      <c r="H388" s="65" t="str">
        <f>IFERROR(IF('Informe Kelly'!H381=$A$2,'Informe Kelly'!F381,""),0)</f>
        <v/>
      </c>
      <c r="I388" s="65">
        <f>IFERROR(IF('Informe Kelly'!H381=$A$3,'Informe Kelly'!F381,""),0)</f>
        <v>0.95010416666666664</v>
      </c>
      <c r="J388" s="65" t="str">
        <f>IF(IFERROR(IF(E388=E387,0,(HLOOKUP(D388,Ingreso!$AN$10:$AT$260,VLOOKUP(A388,Ingreso!$AL$11:$AM$260,2,FALSE)))/24),0)=0,"",IFERROR(IF(E388=E387,0,(HLOOKUP(D388,Ingreso!$AN$10:$AT$260,VLOOKUP(A388,Ingreso!$AL$11:$AM$260,2,FALSE)))/24),0))</f>
        <v/>
      </c>
      <c r="K388" s="65" t="str">
        <f>IF(IFERROR(IF(E388=E387,0,(HLOOKUP(C388,Ingreso!$AW$10:$BC$260,VLOOKUP(A388,Ingreso!$AL$11:$AM$260,2,FALSE)))/24),0)=0,"",IFERROR(IF(E388=E387,0,(HLOOKUP(C388,Ingreso!$AW$10:$BC$260,VLOOKUP(A388,Ingreso!$AL$11:$AM$260,2,FALSE)))/24),0))</f>
        <v/>
      </c>
      <c r="L388" s="63" t="str">
        <f t="shared" si="10"/>
        <v/>
      </c>
      <c r="M388" s="63" t="str">
        <f>IF(IFERROR(IF(C388=C386,0,IF(E388=E387,0,IF(C388=$R$2,HLOOKUP($R$2,Ingreso!$AW$10:$BC$260,VLOOKUP(A388,Ingreso!AL:AM,2,FALSE),FALSE)/24,""))),"")=0,"",IFERROR(IF(C388=C386,0,IF(E388=E387,0,IF(C388=$R$2,HLOOKUP($R$2,Ingreso!$AW$10:$BC$260,VLOOKUP(A388,Ingreso!AL:AM,2,FALSE),FALSE)/24,""))),""))</f>
        <v/>
      </c>
      <c r="N388" s="95" t="str">
        <f>IF(IFERROR(IF(C388=C386,0,IF(E388=E387,0,IF(C388=$R$3,HLOOKUP($R$3,Ingreso!$AW$10:$BC$260,VLOOKUP(A388,Ingreso!AL:AM,2,FALSE),FALSE)/24,""))),"")=0,"",IFERROR(IF(C388=C386,0,IF(E388=E387,0,IF(C388=$R$3,HLOOKUP($R$3,Ingreso!$AW$10:$BC$260,VLOOKUP(A388,Ingreso!AL:AM,2,FALSE),FALSE)/24,""))),""))</f>
        <v/>
      </c>
      <c r="O388" s="95" t="str">
        <f>IF(IFERROR(IF(C388=C386,0,IF(E388=E387,0,IF(C388=$R$4,HLOOKUP($R$4,Ingreso!$AW$10:$BC$260,VLOOKUP(A388,Ingreso!AL:AM,2,FALSE),FALSE)/24,""))),"")=0,"",IFERROR(IF(C388=C386,0,IF(E388=E387,0,IF(C388=$R$4,HLOOKUP($R$4,Ingreso!$AW$10:$BC$260,VLOOKUP(A388,Ingreso!AL:AM,2,FALSE),FALSE)/24,""))),""))</f>
        <v/>
      </c>
      <c r="P388" s="90"/>
      <c r="T388" t="s">
        <v>1426</v>
      </c>
      <c r="U388" t="s">
        <v>1322</v>
      </c>
      <c r="V388" t="s">
        <v>1401</v>
      </c>
      <c r="W388" s="82">
        <v>506</v>
      </c>
      <c r="X388" s="71">
        <v>0.3125</v>
      </c>
      <c r="Y388" s="101">
        <v>0.61966435185185187</v>
      </c>
      <c r="Z388" s="101">
        <v>0.94481481481481477</v>
      </c>
      <c r="AA388" s="101">
        <v>0.32515046296296291</v>
      </c>
      <c r="AB388" s="101">
        <v>1.2650462962962905E-2</v>
      </c>
      <c r="AC388" s="105">
        <v>0</v>
      </c>
      <c r="AD388" s="105">
        <v>0</v>
      </c>
      <c r="AE388" s="93">
        <v>0</v>
      </c>
      <c r="AF388" s="93">
        <v>0</v>
      </c>
      <c r="AG388" s="93">
        <v>0</v>
      </c>
    </row>
    <row r="389" spans="1:33">
      <c r="A389" s="65" t="str">
        <f>IFERROR(VLOOKUP('Informe Kelly'!A382,Base!A:B,2,FALSE),"")</f>
        <v>10.311.290-7</v>
      </c>
      <c r="B389" s="65" t="str">
        <f>IFERROR(VLOOKUP('Informe Kelly'!A382,Base!A:G,7,FALSE),"")</f>
        <v>VIDAL  ATENAS,RICARDO V.</v>
      </c>
      <c r="C389" s="69" t="str">
        <f>IF(G389=$C$4,IF('Informe Kelly'!H382='Control informe Kelly'!$A$2,TEXT(((LEFT('Informe Kelly'!E382,2)*1)+1),"dd")&amp;"."&amp;MID('Informe Kelly'!E382,4,2)&amp;"."&amp;RIGHT('Informe Kelly'!E382,4),'Informe Kelly'!E382),'Informe Kelly'!E382)</f>
        <v>16.04.2011</v>
      </c>
      <c r="D389" s="69" t="str">
        <f>IF('Informe Kelly'!E382="","",'Informe Kelly'!E382)</f>
        <v>16.04.2011</v>
      </c>
      <c r="E389" s="72">
        <f t="shared" si="11"/>
        <v>194</v>
      </c>
      <c r="F389" s="72" t="str">
        <f>IFERROR(HLOOKUP(C389,Ingreso!$Q$8:$AD$9,2,FALSE),"v")</f>
        <v>Sábado</v>
      </c>
      <c r="G389" s="65" t="str">
        <f>IFERROR(VLOOKUP(A389,Ingreso!K:P,6,FALSE),"no esta ingresado")</f>
        <v>no esta ingresado</v>
      </c>
      <c r="H389" s="65">
        <f>IFERROR(IF('Informe Kelly'!H382=$A$2,'Informe Kelly'!F382,""),0)</f>
        <v>0.61687499999999995</v>
      </c>
      <c r="I389" s="65" t="str">
        <f>IFERROR(IF('Informe Kelly'!H382=$A$3,'Informe Kelly'!F382,""),0)</f>
        <v/>
      </c>
      <c r="J389" s="65" t="str">
        <f>IF(IFERROR(IF(E389=E388,0,(HLOOKUP(D389,Ingreso!$AN$10:$AT$260,VLOOKUP(A389,Ingreso!$AL$11:$AM$260,2,FALSE)))/24),0)=0,"",IFERROR(IF(E389=E388,0,(HLOOKUP(D389,Ingreso!$AN$10:$AT$260,VLOOKUP(A389,Ingreso!$AL$11:$AM$260,2,FALSE)))/24),0))</f>
        <v/>
      </c>
      <c r="K389" s="65" t="str">
        <f>IF(IFERROR(IF(E389=E388,0,(HLOOKUP(C389,Ingreso!$AW$10:$BC$260,VLOOKUP(A389,Ingreso!$AL$11:$AM$260,2,FALSE)))/24),0)=0,"",IFERROR(IF(E389=E388,0,(HLOOKUP(C389,Ingreso!$AW$10:$BC$260,VLOOKUP(A389,Ingreso!$AL$11:$AM$260,2,FALSE)))/24),0))</f>
        <v/>
      </c>
      <c r="L389" s="63">
        <f t="shared" si="10"/>
        <v>0</v>
      </c>
      <c r="M389" s="63" t="str">
        <f>IF(IFERROR(IF(C389=C387,0,IF(E389=E388,0,IF(C389=$R$2,HLOOKUP($R$2,Ingreso!$AW$10:$BC$260,VLOOKUP(A389,Ingreso!AL:AM,2,FALSE),FALSE)/24,""))),"")=0,"",IFERROR(IF(C389=C387,0,IF(E389=E388,0,IF(C389=$R$2,HLOOKUP($R$2,Ingreso!$AW$10:$BC$260,VLOOKUP(A389,Ingreso!AL:AM,2,FALSE),FALSE)/24,""))),""))</f>
        <v/>
      </c>
      <c r="N389" s="95" t="str">
        <f>IF(IFERROR(IF(C389=C387,0,IF(E389=E388,0,IF(C389=$R$3,HLOOKUP($R$3,Ingreso!$AW$10:$BC$260,VLOOKUP(A389,Ingreso!AL:AM,2,FALSE),FALSE)/24,""))),"")=0,"",IFERROR(IF(C389=C387,0,IF(E389=E388,0,IF(C389=$R$3,HLOOKUP($R$3,Ingreso!$AW$10:$BC$260,VLOOKUP(A389,Ingreso!AL:AM,2,FALSE),FALSE)/24,""))),""))</f>
        <v/>
      </c>
      <c r="O389" s="95" t="str">
        <f>IF(IFERROR(IF(C389=C387,0,IF(E389=E388,0,IF(C389=$R$4,HLOOKUP($R$4,Ingreso!$AW$10:$BC$260,VLOOKUP(A389,Ingreso!AL:AM,2,FALSE),FALSE)/24,""))),"")=0,"",IFERROR(IF(C389=C387,0,IF(E389=E388,0,IF(C389=$R$4,HLOOKUP($R$4,Ingreso!$AW$10:$BC$260,VLOOKUP(A389,Ingreso!AL:AM,2,FALSE),FALSE)/24,""))),""))</f>
        <v/>
      </c>
      <c r="P389" s="90"/>
      <c r="T389" t="s">
        <v>1427</v>
      </c>
      <c r="U389" t="s">
        <v>1322</v>
      </c>
      <c r="V389" t="s">
        <v>1402</v>
      </c>
      <c r="W389" s="82">
        <v>507</v>
      </c>
      <c r="X389" s="71">
        <v>0.3125</v>
      </c>
      <c r="Y389" s="101">
        <v>0.49791666666666662</v>
      </c>
      <c r="Z389" s="101">
        <v>0.82162037037037028</v>
      </c>
      <c r="AA389" s="101">
        <v>0.32370370370370366</v>
      </c>
      <c r="AB389" s="101">
        <v>1.120370370370366E-2</v>
      </c>
      <c r="AC389" s="105">
        <v>0</v>
      </c>
      <c r="AD389" s="105">
        <v>0</v>
      </c>
      <c r="AE389" s="93">
        <v>0</v>
      </c>
      <c r="AF389" s="93">
        <v>0</v>
      </c>
      <c r="AG389" s="93">
        <v>0</v>
      </c>
    </row>
    <row r="390" spans="1:33">
      <c r="A390" s="65" t="str">
        <f>IFERROR(VLOOKUP('Informe Kelly'!A383,Base!A:B,2,FALSE),"")</f>
        <v>10.407.614-9</v>
      </c>
      <c r="B390" s="65" t="str">
        <f>IFERROR(VLOOKUP('Informe Kelly'!A383,Base!A:G,7,FALSE),"")</f>
        <v>MORA MORA CARLOS ALEJANDRO</v>
      </c>
      <c r="C390" s="69" t="str">
        <f>IF(G390=$C$4,IF('Informe Kelly'!H383='Control informe Kelly'!$A$2,TEXT(((LEFT('Informe Kelly'!E383,2)*1)+1),"dd")&amp;"."&amp;MID('Informe Kelly'!E383,4,2)&amp;"."&amp;RIGHT('Informe Kelly'!E383,4),'Informe Kelly'!E383),'Informe Kelly'!E383)</f>
        <v>12.04.2011</v>
      </c>
      <c r="D390" s="69" t="str">
        <f>IF('Informe Kelly'!E383="","",'Informe Kelly'!E383)</f>
        <v>11.04.2011</v>
      </c>
      <c r="E390" s="72">
        <f t="shared" si="11"/>
        <v>195</v>
      </c>
      <c r="F390" s="72" t="str">
        <f>IFERROR(HLOOKUP(C390,Ingreso!$Q$8:$AD$9,2,FALSE),"v")</f>
        <v>Martes</v>
      </c>
      <c r="G390" s="65" t="str">
        <f>IFERROR(VLOOKUP(A390,Ingreso!K:P,6,FALSE),"no esta ingresado")</f>
        <v>Turno C</v>
      </c>
      <c r="H390" s="65">
        <f>IFERROR(IF('Informe Kelly'!H383=$A$2,'Informe Kelly'!F383,""),0)</f>
        <v>0.91611111111111121</v>
      </c>
      <c r="I390" s="65" t="str">
        <f>IFERROR(IF('Informe Kelly'!H383=$A$3,'Informe Kelly'!F383,""),0)</f>
        <v/>
      </c>
      <c r="J390" s="65" t="str">
        <f>IF(IFERROR(IF(E390=E389,0,(HLOOKUP(D390,Ingreso!$AN$10:$AT$260,VLOOKUP(A390,Ingreso!$AL$11:$AM$260,2,FALSE)))/24),0)=0,"",IFERROR(IF(E390=E389,0,(HLOOKUP(D390,Ingreso!$AN$10:$AT$260,VLOOKUP(A390,Ingreso!$AL$11:$AM$260,2,FALSE)))/24),0))</f>
        <v/>
      </c>
      <c r="K390" s="65" t="str">
        <f>IF(IFERROR(IF(E390=E389,0,(HLOOKUP(C390,Ingreso!$AW$10:$BC$260,VLOOKUP(A390,Ingreso!$AL$11:$AM$260,2,FALSE)))/24),0)=0,"",IFERROR(IF(E390=E389,0,(HLOOKUP(C390,Ingreso!$AW$10:$BC$260,VLOOKUP(A390,Ingreso!$AL$11:$AM$260,2,FALSE)))/24),0))</f>
        <v/>
      </c>
      <c r="L390" s="63">
        <f t="shared" si="10"/>
        <v>0.375</v>
      </c>
      <c r="M390" s="63" t="str">
        <f>IF(IFERROR(IF(C390=C388,0,IF(E390=E389,0,IF(C390=$R$2,HLOOKUP($R$2,Ingreso!$AW$10:$BC$260,VLOOKUP(A390,Ingreso!AL:AM,2,FALSE),FALSE)/24,""))),"")=0,"",IFERROR(IF(C390=C388,0,IF(E390=E389,0,IF(C390=$R$2,HLOOKUP($R$2,Ingreso!$AW$10:$BC$260,VLOOKUP(A390,Ingreso!AL:AM,2,FALSE),FALSE)/24,""))),""))</f>
        <v/>
      </c>
      <c r="N390" s="95" t="str">
        <f>IF(IFERROR(IF(C390=C388,0,IF(E390=E389,0,IF(C390=$R$3,HLOOKUP($R$3,Ingreso!$AW$10:$BC$260,VLOOKUP(A390,Ingreso!AL:AM,2,FALSE),FALSE)/24,""))),"")=0,"",IFERROR(IF(C390=C388,0,IF(E390=E389,0,IF(C390=$R$3,HLOOKUP($R$3,Ingreso!$AW$10:$BC$260,VLOOKUP(A390,Ingreso!AL:AM,2,FALSE),FALSE)/24,""))),""))</f>
        <v/>
      </c>
      <c r="O390" s="95" t="str">
        <f>IF(IFERROR(IF(C390=C388,0,IF(E390=E389,0,IF(C390=$R$4,HLOOKUP($R$4,Ingreso!$AW$10:$BC$260,VLOOKUP(A390,Ingreso!AL:AM,2,FALSE),FALSE)/24,""))),"")=0,"",IFERROR(IF(C390=C388,0,IF(E390=E389,0,IF(C390=$R$4,HLOOKUP($R$4,Ingreso!$AW$10:$BC$260,VLOOKUP(A390,Ingreso!AL:AM,2,FALSE),FALSE)/24,""))),""))</f>
        <v/>
      </c>
      <c r="P390" s="90"/>
      <c r="R390" t="s">
        <v>183</v>
      </c>
      <c r="S390" t="s">
        <v>188</v>
      </c>
      <c r="T390" t="s">
        <v>1420</v>
      </c>
      <c r="U390" t="s">
        <v>4</v>
      </c>
      <c r="V390" t="s">
        <v>1397</v>
      </c>
      <c r="W390" s="82">
        <v>514</v>
      </c>
      <c r="X390" s="71">
        <v>0.3125</v>
      </c>
      <c r="Y390" s="101">
        <v>0.31903935185185184</v>
      </c>
      <c r="Z390" s="101">
        <v>0.62644675925925919</v>
      </c>
      <c r="AA390" s="101">
        <v>0.30740740740740735</v>
      </c>
      <c r="AB390" s="101">
        <v>-5.0925925925926485E-3</v>
      </c>
      <c r="AC390" s="105">
        <v>0</v>
      </c>
      <c r="AD390" s="105">
        <v>0</v>
      </c>
      <c r="AE390" s="93">
        <v>0</v>
      </c>
      <c r="AF390" s="93">
        <v>0</v>
      </c>
      <c r="AG390" s="93">
        <v>0</v>
      </c>
    </row>
    <row r="391" spans="1:33">
      <c r="A391" s="65" t="str">
        <f>IFERROR(VLOOKUP('Informe Kelly'!A384,Base!A:B,2,FALSE),"")</f>
        <v>10.407.614-9</v>
      </c>
      <c r="B391" s="65" t="str">
        <f>IFERROR(VLOOKUP('Informe Kelly'!A384,Base!A:G,7,FALSE),"")</f>
        <v>MORA MORA CARLOS ALEJANDRO</v>
      </c>
      <c r="C391" s="69" t="str">
        <f>IF(G391=$C$4,IF('Informe Kelly'!H384='Control informe Kelly'!$A$2,TEXT(((LEFT('Informe Kelly'!E384,2)*1)+1),"dd")&amp;"."&amp;MID('Informe Kelly'!E384,4,2)&amp;"."&amp;RIGHT('Informe Kelly'!E384,4),'Informe Kelly'!E384),'Informe Kelly'!E384)</f>
        <v>12.04.2011</v>
      </c>
      <c r="D391" s="69" t="str">
        <f>IF('Informe Kelly'!E384="","",'Informe Kelly'!E384)</f>
        <v>12.04.2011</v>
      </c>
      <c r="E391" s="72">
        <f t="shared" si="11"/>
        <v>195</v>
      </c>
      <c r="F391" s="72" t="str">
        <f>IFERROR(HLOOKUP(C391,Ingreso!$Q$8:$AD$9,2,FALSE),"v")</f>
        <v>Martes</v>
      </c>
      <c r="G391" s="65" t="str">
        <f>IFERROR(VLOOKUP(A391,Ingreso!K:P,6,FALSE),"no esta ingresado")</f>
        <v>Turno C</v>
      </c>
      <c r="H391" s="65" t="str">
        <f>IFERROR(IF('Informe Kelly'!H384=$A$2,'Informe Kelly'!F384,""),0)</f>
        <v/>
      </c>
      <c r="I391" s="65">
        <f>IFERROR(IF('Informe Kelly'!H384=$A$3,'Informe Kelly'!F384,""),0)</f>
        <v>0.31640046296296293</v>
      </c>
      <c r="J391" s="65" t="str">
        <f>IF(IFERROR(IF(E391=E390,0,(HLOOKUP(D391,Ingreso!$AN$10:$AT$260,VLOOKUP(A391,Ingreso!$AL$11:$AM$260,2,FALSE)))/24),0)=0,"",IFERROR(IF(E391=E390,0,(HLOOKUP(D391,Ingreso!$AN$10:$AT$260,VLOOKUP(A391,Ingreso!$AL$11:$AM$260,2,FALSE)))/24),0))</f>
        <v/>
      </c>
      <c r="K391" s="65" t="str">
        <f>IF(IFERROR(IF(E391=E390,0,(HLOOKUP(C391,Ingreso!$AW$10:$BC$260,VLOOKUP(A391,Ingreso!$AL$11:$AM$260,2,FALSE)))/24),0)=0,"",IFERROR(IF(E391=E390,0,(HLOOKUP(C391,Ingreso!$AW$10:$BC$260,VLOOKUP(A391,Ingreso!$AL$11:$AM$260,2,FALSE)))/24),0))</f>
        <v/>
      </c>
      <c r="L391" s="63">
        <f t="shared" si="10"/>
        <v>0</v>
      </c>
      <c r="M391" s="63" t="str">
        <f>IF(IFERROR(IF(C391=C389,0,IF(E391=E390,0,IF(C391=$R$2,HLOOKUP($R$2,Ingreso!$AW$10:$BC$260,VLOOKUP(A391,Ingreso!AL:AM,2,FALSE),FALSE)/24,""))),"")=0,"",IFERROR(IF(C391=C389,0,IF(E391=E390,0,IF(C391=$R$2,HLOOKUP($R$2,Ingreso!$AW$10:$BC$260,VLOOKUP(A391,Ingreso!AL:AM,2,FALSE),FALSE)/24,""))),""))</f>
        <v/>
      </c>
      <c r="N391" s="95" t="str">
        <f>IF(IFERROR(IF(C391=C389,0,IF(E391=E390,0,IF(C391=$R$3,HLOOKUP($R$3,Ingreso!$AW$10:$BC$260,VLOOKUP(A391,Ingreso!AL:AM,2,FALSE),FALSE)/24,""))),"")=0,"",IFERROR(IF(C391=C389,0,IF(E391=E390,0,IF(C391=$R$3,HLOOKUP($R$3,Ingreso!$AW$10:$BC$260,VLOOKUP(A391,Ingreso!AL:AM,2,FALSE),FALSE)/24,""))),""))</f>
        <v/>
      </c>
      <c r="O391" s="95" t="str">
        <f>IF(IFERROR(IF(C391=C389,0,IF(E391=E390,0,IF(C391=$R$4,HLOOKUP($R$4,Ingreso!$AW$10:$BC$260,VLOOKUP(A391,Ingreso!AL:AM,2,FALSE),FALSE)/24,""))),"")=0,"",IFERROR(IF(C391=C389,0,IF(E391=E390,0,IF(C391=$R$4,HLOOKUP($R$4,Ingreso!$AW$10:$BC$260,VLOOKUP(A391,Ingreso!AL:AM,2,FALSE),FALSE)/24,""))),""))</f>
        <v/>
      </c>
      <c r="P391" s="90"/>
      <c r="T391" t="s">
        <v>1423</v>
      </c>
      <c r="U391" t="s">
        <v>4</v>
      </c>
      <c r="V391" t="s">
        <v>1398</v>
      </c>
      <c r="W391" s="82">
        <v>515</v>
      </c>
      <c r="X391" s="71">
        <v>0.3125</v>
      </c>
      <c r="Y391" s="101">
        <v>0.30959490740740742</v>
      </c>
      <c r="Z391" s="101">
        <v>0.62511574074074072</v>
      </c>
      <c r="AA391" s="101">
        <v>0.31552083333333331</v>
      </c>
      <c r="AB391" s="101">
        <v>3.0208333333333059E-3</v>
      </c>
      <c r="AC391" s="105">
        <v>0</v>
      </c>
      <c r="AD391" s="105">
        <v>0</v>
      </c>
      <c r="AE391" s="93">
        <v>0</v>
      </c>
      <c r="AF391" s="93">
        <v>0</v>
      </c>
      <c r="AG391" s="93">
        <v>0</v>
      </c>
    </row>
    <row r="392" spans="1:33">
      <c r="A392" s="65" t="str">
        <f>IFERROR(VLOOKUP('Informe Kelly'!A385,Base!A:B,2,FALSE),"")</f>
        <v>10.407.614-9</v>
      </c>
      <c r="B392" s="65" t="str">
        <f>IFERROR(VLOOKUP('Informe Kelly'!A385,Base!A:G,7,FALSE),"")</f>
        <v>MORA MORA CARLOS ALEJANDRO</v>
      </c>
      <c r="C392" s="69" t="str">
        <f>IF(G392=$C$4,IF('Informe Kelly'!H385='Control informe Kelly'!$A$2,TEXT(((LEFT('Informe Kelly'!E385,2)*1)+1),"dd")&amp;"."&amp;MID('Informe Kelly'!E385,4,2)&amp;"."&amp;RIGHT('Informe Kelly'!E385,4),'Informe Kelly'!E385),'Informe Kelly'!E385)</f>
        <v>13.04.2011</v>
      </c>
      <c r="D392" s="69" t="str">
        <f>IF('Informe Kelly'!E385="","",'Informe Kelly'!E385)</f>
        <v>12.04.2011</v>
      </c>
      <c r="E392" s="72">
        <f t="shared" si="11"/>
        <v>196</v>
      </c>
      <c r="F392" s="72" t="str">
        <f>IFERROR(HLOOKUP(C392,Ingreso!$Q$8:$AD$9,2,FALSE),"v")</f>
        <v>Miércoles</v>
      </c>
      <c r="G392" s="65" t="str">
        <f>IFERROR(VLOOKUP(A392,Ingreso!K:P,6,FALSE),"no esta ingresado")</f>
        <v>Turno C</v>
      </c>
      <c r="H392" s="65">
        <f>IFERROR(IF('Informe Kelly'!H385=$A$2,'Informe Kelly'!F385,""),0)</f>
        <v>0.91314814814814815</v>
      </c>
      <c r="I392" s="65" t="str">
        <f>IFERROR(IF('Informe Kelly'!H385=$A$3,'Informe Kelly'!F385,""),0)</f>
        <v/>
      </c>
      <c r="J392" s="65" t="str">
        <f>IF(IFERROR(IF(E392=E391,0,(HLOOKUP(D392,Ingreso!$AN$10:$AT$260,VLOOKUP(A392,Ingreso!$AL$11:$AM$260,2,FALSE)))/24),0)=0,"",IFERROR(IF(E392=E391,0,(HLOOKUP(D392,Ingreso!$AN$10:$AT$260,VLOOKUP(A392,Ingreso!$AL$11:$AM$260,2,FALSE)))/24),0))</f>
        <v/>
      </c>
      <c r="K392" s="65" t="str">
        <f>IF(IFERROR(IF(E392=E391,0,(HLOOKUP(C392,Ingreso!$AW$10:$BC$260,VLOOKUP(A392,Ingreso!$AL$11:$AM$260,2,FALSE)))/24),0)=0,"",IFERROR(IF(E392=E391,0,(HLOOKUP(C392,Ingreso!$AW$10:$BC$260,VLOOKUP(A392,Ingreso!$AL$11:$AM$260,2,FALSE)))/24),0))</f>
        <v/>
      </c>
      <c r="L392" s="63">
        <f t="shared" si="10"/>
        <v>0.375</v>
      </c>
      <c r="M392" s="63" t="str">
        <f>IF(IFERROR(IF(C392=C390,0,IF(E392=E391,0,IF(C392=$R$2,HLOOKUP($R$2,Ingreso!$AW$10:$BC$260,VLOOKUP(A392,Ingreso!AL:AM,2,FALSE),FALSE)/24,""))),"")=0,"",IFERROR(IF(C392=C390,0,IF(E392=E391,0,IF(C392=$R$2,HLOOKUP($R$2,Ingreso!$AW$10:$BC$260,VLOOKUP(A392,Ingreso!AL:AM,2,FALSE),FALSE)/24,""))),""))</f>
        <v/>
      </c>
      <c r="N392" s="95" t="str">
        <f>IF(IFERROR(IF(C392=C390,0,IF(E392=E391,0,IF(C392=$R$3,HLOOKUP($R$3,Ingreso!$AW$10:$BC$260,VLOOKUP(A392,Ingreso!AL:AM,2,FALSE),FALSE)/24,""))),"")=0,"",IFERROR(IF(C392=C390,0,IF(E392=E391,0,IF(C392=$R$3,HLOOKUP($R$3,Ingreso!$AW$10:$BC$260,VLOOKUP(A392,Ingreso!AL:AM,2,FALSE),FALSE)/24,""))),""))</f>
        <v/>
      </c>
      <c r="O392" s="95" t="str">
        <f>IF(IFERROR(IF(C392=C390,0,IF(E392=E391,0,IF(C392=$R$4,HLOOKUP($R$4,Ingreso!$AW$10:$BC$260,VLOOKUP(A392,Ingreso!AL:AM,2,FALSE),FALSE)/24,""))),"")=0,"",IFERROR(IF(C392=C390,0,IF(E392=E391,0,IF(C392=$R$4,HLOOKUP($R$4,Ingreso!$AW$10:$BC$260,VLOOKUP(A392,Ingreso!AL:AM,2,FALSE),FALSE)/24,""))),""))</f>
        <v/>
      </c>
      <c r="P392" s="90"/>
      <c r="T392" t="s">
        <v>1424</v>
      </c>
      <c r="U392" t="s">
        <v>4</v>
      </c>
      <c r="V392" t="s">
        <v>1399</v>
      </c>
      <c r="W392" s="82">
        <v>516</v>
      </c>
      <c r="X392" s="71">
        <v>0.3125</v>
      </c>
      <c r="Y392" s="101">
        <v>0.31618055555555552</v>
      </c>
      <c r="Z392" s="101">
        <v>0.63962962962962966</v>
      </c>
      <c r="AA392" s="101">
        <v>0.32344907407407414</v>
      </c>
      <c r="AB392" s="101">
        <v>1.0949074074074139E-2</v>
      </c>
      <c r="AC392" s="105">
        <v>0</v>
      </c>
      <c r="AD392" s="105">
        <v>0</v>
      </c>
      <c r="AE392" s="93">
        <v>0</v>
      </c>
      <c r="AF392" s="93">
        <v>0</v>
      </c>
      <c r="AG392" s="93">
        <v>0</v>
      </c>
    </row>
    <row r="393" spans="1:33">
      <c r="A393" s="65" t="str">
        <f>IFERROR(VLOOKUP('Informe Kelly'!A386,Base!A:B,2,FALSE),"")</f>
        <v>10.407.614-9</v>
      </c>
      <c r="B393" s="65" t="str">
        <f>IFERROR(VLOOKUP('Informe Kelly'!A386,Base!A:G,7,FALSE),"")</f>
        <v>MORA MORA CARLOS ALEJANDRO</v>
      </c>
      <c r="C393" s="69" t="str">
        <f>IF(G393=$C$4,IF('Informe Kelly'!H386='Control informe Kelly'!$A$2,TEXT(((LEFT('Informe Kelly'!E386,2)*1)+1),"dd")&amp;"."&amp;MID('Informe Kelly'!E386,4,2)&amp;"."&amp;RIGHT('Informe Kelly'!E386,4),'Informe Kelly'!E386),'Informe Kelly'!E386)</f>
        <v>13.04.2011</v>
      </c>
      <c r="D393" s="69" t="str">
        <f>IF('Informe Kelly'!E386="","",'Informe Kelly'!E386)</f>
        <v>13.04.2011</v>
      </c>
      <c r="E393" s="72">
        <f t="shared" si="11"/>
        <v>196</v>
      </c>
      <c r="F393" s="72" t="str">
        <f>IFERROR(HLOOKUP(C393,Ingreso!$Q$8:$AD$9,2,FALSE),"v")</f>
        <v>Miércoles</v>
      </c>
      <c r="G393" s="65" t="str">
        <f>IFERROR(VLOOKUP(A393,Ingreso!K:P,6,FALSE),"no esta ingresado")</f>
        <v>Turno C</v>
      </c>
      <c r="H393" s="65" t="str">
        <f>IFERROR(IF('Informe Kelly'!H386=$A$2,'Informe Kelly'!F386,""),0)</f>
        <v/>
      </c>
      <c r="I393" s="65">
        <f>IFERROR(IF('Informe Kelly'!H386=$A$3,'Informe Kelly'!F386,""),0)</f>
        <v>0.31687500000000002</v>
      </c>
      <c r="J393" s="65" t="str">
        <f>IF(IFERROR(IF(E393=E392,0,(HLOOKUP(D393,Ingreso!$AN$10:$AT$260,VLOOKUP(A393,Ingreso!$AL$11:$AM$260,2,FALSE)))/24),0)=0,"",IFERROR(IF(E393=E392,0,(HLOOKUP(D393,Ingreso!$AN$10:$AT$260,VLOOKUP(A393,Ingreso!$AL$11:$AM$260,2,FALSE)))/24),0))</f>
        <v/>
      </c>
      <c r="K393" s="65" t="str">
        <f>IF(IFERROR(IF(E393=E392,0,(HLOOKUP(C393,Ingreso!$AW$10:$BC$260,VLOOKUP(A393,Ingreso!$AL$11:$AM$260,2,FALSE)))/24),0)=0,"",IFERROR(IF(E393=E392,0,(HLOOKUP(C393,Ingreso!$AW$10:$BC$260,VLOOKUP(A393,Ingreso!$AL$11:$AM$260,2,FALSE)))/24),0))</f>
        <v/>
      </c>
      <c r="L393" s="63">
        <f t="shared" ref="L393:L456" si="12">IFERROR(IF(C393=C391,0,IF(E393=E392,0,(VLOOKUP(G393,$C$2:$D$5,2,FALSE)))),"")</f>
        <v>0</v>
      </c>
      <c r="M393" s="63" t="str">
        <f>IF(IFERROR(IF(C393=C391,0,IF(E393=E392,0,IF(C393=$R$2,HLOOKUP($R$2,Ingreso!$AW$10:$BC$260,VLOOKUP(A393,Ingreso!AL:AM,2,FALSE),FALSE)/24,""))),"")=0,"",IFERROR(IF(C393=C391,0,IF(E393=E392,0,IF(C393=$R$2,HLOOKUP($R$2,Ingreso!$AW$10:$BC$260,VLOOKUP(A393,Ingreso!AL:AM,2,FALSE),FALSE)/24,""))),""))</f>
        <v/>
      </c>
      <c r="N393" s="95" t="str">
        <f>IF(IFERROR(IF(C393=C391,0,IF(E393=E392,0,IF(C393=$R$3,HLOOKUP($R$3,Ingreso!$AW$10:$BC$260,VLOOKUP(A393,Ingreso!AL:AM,2,FALSE),FALSE)/24,""))),"")=0,"",IFERROR(IF(C393=C391,0,IF(E393=E392,0,IF(C393=$R$3,HLOOKUP($R$3,Ingreso!$AW$10:$BC$260,VLOOKUP(A393,Ingreso!AL:AM,2,FALSE),FALSE)/24,""))),""))</f>
        <v/>
      </c>
      <c r="O393" s="95" t="str">
        <f>IF(IFERROR(IF(C393=C391,0,IF(E393=E392,0,IF(C393=$R$4,HLOOKUP($R$4,Ingreso!$AW$10:$BC$260,VLOOKUP(A393,Ingreso!AL:AM,2,FALSE),FALSE)/24,""))),"")=0,"",IFERROR(IF(C393=C391,0,IF(E393=E392,0,IF(C393=$R$4,HLOOKUP($R$4,Ingreso!$AW$10:$BC$260,VLOOKUP(A393,Ingreso!AL:AM,2,FALSE),FALSE)/24,""))),""))</f>
        <v/>
      </c>
      <c r="P393" s="90"/>
      <c r="T393" t="s">
        <v>1425</v>
      </c>
      <c r="U393" t="s">
        <v>4</v>
      </c>
      <c r="V393" t="s">
        <v>1400</v>
      </c>
      <c r="W393" s="82">
        <v>517</v>
      </c>
      <c r="X393" s="71">
        <v>0.3125</v>
      </c>
      <c r="Y393" s="101">
        <v>0.31724537037037037</v>
      </c>
      <c r="Z393" s="101">
        <v>0.62822916666666673</v>
      </c>
      <c r="AA393" s="101">
        <v>0.31098379629629636</v>
      </c>
      <c r="AB393" s="101">
        <v>-1.5162037037036447E-3</v>
      </c>
      <c r="AC393" s="105">
        <v>0</v>
      </c>
      <c r="AD393" s="105">
        <v>0</v>
      </c>
      <c r="AE393" s="93">
        <v>0</v>
      </c>
      <c r="AF393" s="93">
        <v>0</v>
      </c>
      <c r="AG393" s="93">
        <v>0</v>
      </c>
    </row>
    <row r="394" spans="1:33">
      <c r="A394" s="65" t="str">
        <f>IFERROR(VLOOKUP('Informe Kelly'!A387,Base!A:B,2,FALSE),"")</f>
        <v>10.407.614-9</v>
      </c>
      <c r="B394" s="65" t="str">
        <f>IFERROR(VLOOKUP('Informe Kelly'!A387,Base!A:G,7,FALSE),"")</f>
        <v>MORA MORA CARLOS ALEJANDRO</v>
      </c>
      <c r="C394" s="69" t="str">
        <f>IF(G394=$C$4,IF('Informe Kelly'!H387='Control informe Kelly'!$A$2,TEXT(((LEFT('Informe Kelly'!E387,2)*1)+1),"dd")&amp;"."&amp;MID('Informe Kelly'!E387,4,2)&amp;"."&amp;RIGHT('Informe Kelly'!E387,4),'Informe Kelly'!E387),'Informe Kelly'!E387)</f>
        <v>14.04.2011</v>
      </c>
      <c r="D394" s="69" t="str">
        <f>IF('Informe Kelly'!E387="","",'Informe Kelly'!E387)</f>
        <v>13.04.2011</v>
      </c>
      <c r="E394" s="72">
        <f t="shared" ref="E394:E457" si="13">IF(C393=C394,IF(C394=C391,E393,IF(C394=C392,E393+1,E393)),E393+1)</f>
        <v>197</v>
      </c>
      <c r="F394" s="72" t="str">
        <f>IFERROR(HLOOKUP(C394,Ingreso!$Q$8:$AD$9,2,FALSE),"v")</f>
        <v>Jueves</v>
      </c>
      <c r="G394" s="65" t="str">
        <f>IFERROR(VLOOKUP(A394,Ingreso!K:P,6,FALSE),"no esta ingresado")</f>
        <v>Turno C</v>
      </c>
      <c r="H394" s="65">
        <f>IFERROR(IF('Informe Kelly'!H387=$A$2,'Informe Kelly'!F387,""),0)</f>
        <v>0.91276620370370365</v>
      </c>
      <c r="I394" s="65" t="str">
        <f>IFERROR(IF('Informe Kelly'!H387=$A$3,'Informe Kelly'!F387,""),0)</f>
        <v/>
      </c>
      <c r="J394" s="65" t="str">
        <f>IF(IFERROR(IF(E394=E393,0,(HLOOKUP(D394,Ingreso!$AN$10:$AT$260,VLOOKUP(A394,Ingreso!$AL$11:$AM$260,2,FALSE)))/24),0)=0,"",IFERROR(IF(E394=E393,0,(HLOOKUP(D394,Ingreso!$AN$10:$AT$260,VLOOKUP(A394,Ingreso!$AL$11:$AM$260,2,FALSE)))/24),0))</f>
        <v/>
      </c>
      <c r="K394" s="65" t="str">
        <f>IF(IFERROR(IF(E394=E393,0,(HLOOKUP(C394,Ingreso!$AW$10:$BC$260,VLOOKUP(A394,Ingreso!$AL$11:$AM$260,2,FALSE)))/24),0)=0,"",IFERROR(IF(E394=E393,0,(HLOOKUP(C394,Ingreso!$AW$10:$BC$260,VLOOKUP(A394,Ingreso!$AL$11:$AM$260,2,FALSE)))/24),0))</f>
        <v/>
      </c>
      <c r="L394" s="63">
        <f t="shared" si="12"/>
        <v>0.375</v>
      </c>
      <c r="M394" s="63" t="str">
        <f>IF(IFERROR(IF(C394=C392,0,IF(E394=E393,0,IF(C394=$R$2,HLOOKUP($R$2,Ingreso!$AW$10:$BC$260,VLOOKUP(A394,Ingreso!AL:AM,2,FALSE),FALSE)/24,""))),"")=0,"",IFERROR(IF(C394=C392,0,IF(E394=E393,0,IF(C394=$R$2,HLOOKUP($R$2,Ingreso!$AW$10:$BC$260,VLOOKUP(A394,Ingreso!AL:AM,2,FALSE),FALSE)/24,""))),""))</f>
        <v/>
      </c>
      <c r="N394" s="95" t="str">
        <f>IF(IFERROR(IF(C394=C392,0,IF(E394=E393,0,IF(C394=$R$3,HLOOKUP($R$3,Ingreso!$AW$10:$BC$260,VLOOKUP(A394,Ingreso!AL:AM,2,FALSE),FALSE)/24,""))),"")=0,"",IFERROR(IF(C394=C392,0,IF(E394=E393,0,IF(C394=$R$3,HLOOKUP($R$3,Ingreso!$AW$10:$BC$260,VLOOKUP(A394,Ingreso!AL:AM,2,FALSE),FALSE)/24,""))),""))</f>
        <v/>
      </c>
      <c r="O394" s="95" t="str">
        <f>IF(IFERROR(IF(C394=C392,0,IF(E394=E393,0,IF(C394=$R$4,HLOOKUP($R$4,Ingreso!$AW$10:$BC$260,VLOOKUP(A394,Ingreso!AL:AM,2,FALSE),FALSE)/24,""))),"")=0,"",IFERROR(IF(C394=C392,0,IF(E394=E393,0,IF(C394=$R$4,HLOOKUP($R$4,Ingreso!$AW$10:$BC$260,VLOOKUP(A394,Ingreso!AL:AM,2,FALSE),FALSE)/24,""))),""))</f>
        <v/>
      </c>
      <c r="P394" s="90"/>
      <c r="T394" t="s">
        <v>1426</v>
      </c>
      <c r="U394" t="s">
        <v>4</v>
      </c>
      <c r="V394" t="s">
        <v>1401</v>
      </c>
      <c r="W394" s="82">
        <v>518</v>
      </c>
      <c r="X394" s="71">
        <v>0.3125</v>
      </c>
      <c r="Y394" s="101">
        <v>0.31767361111111109</v>
      </c>
      <c r="Z394" s="101">
        <v>0.62652777777777779</v>
      </c>
      <c r="AA394" s="101">
        <v>0.30885416666666671</v>
      </c>
      <c r="AB394" s="101">
        <v>-3.6458333333332926E-3</v>
      </c>
      <c r="AC394" s="105">
        <v>0</v>
      </c>
      <c r="AD394" s="105">
        <v>0</v>
      </c>
      <c r="AE394" s="93">
        <v>0</v>
      </c>
      <c r="AF394" s="93">
        <v>0</v>
      </c>
      <c r="AG394" s="93">
        <v>0</v>
      </c>
    </row>
    <row r="395" spans="1:33">
      <c r="A395" s="65" t="str">
        <f>IFERROR(VLOOKUP('Informe Kelly'!A388,Base!A:B,2,FALSE),"")</f>
        <v>10.407.614-9</v>
      </c>
      <c r="B395" s="65" t="str">
        <f>IFERROR(VLOOKUP('Informe Kelly'!A388,Base!A:G,7,FALSE),"")</f>
        <v>MORA MORA CARLOS ALEJANDRO</v>
      </c>
      <c r="C395" s="69" t="str">
        <f>IF(G395=$C$4,IF('Informe Kelly'!H388='Control informe Kelly'!$A$2,TEXT(((LEFT('Informe Kelly'!E388,2)*1)+1),"dd")&amp;"."&amp;MID('Informe Kelly'!E388,4,2)&amp;"."&amp;RIGHT('Informe Kelly'!E388,4),'Informe Kelly'!E388),'Informe Kelly'!E388)</f>
        <v>14.04.2011</v>
      </c>
      <c r="D395" s="69" t="str">
        <f>IF('Informe Kelly'!E388="","",'Informe Kelly'!E388)</f>
        <v>14.04.2011</v>
      </c>
      <c r="E395" s="72">
        <f t="shared" si="13"/>
        <v>197</v>
      </c>
      <c r="F395" s="72" t="str">
        <f>IFERROR(HLOOKUP(C395,Ingreso!$Q$8:$AD$9,2,FALSE),"v")</f>
        <v>Jueves</v>
      </c>
      <c r="G395" s="65" t="str">
        <f>IFERROR(VLOOKUP(A395,Ingreso!K:P,6,FALSE),"no esta ingresado")</f>
        <v>Turno C</v>
      </c>
      <c r="H395" s="65" t="str">
        <f>IFERROR(IF('Informe Kelly'!H388=$A$2,'Informe Kelly'!F388,""),0)</f>
        <v/>
      </c>
      <c r="I395" s="65">
        <f>IFERROR(IF('Informe Kelly'!H388=$A$3,'Informe Kelly'!F388,""),0)</f>
        <v>0.32039351851851855</v>
      </c>
      <c r="J395" s="65" t="str">
        <f>IF(IFERROR(IF(E395=E394,0,(HLOOKUP(D395,Ingreso!$AN$10:$AT$260,VLOOKUP(A395,Ingreso!$AL$11:$AM$260,2,FALSE)))/24),0)=0,"",IFERROR(IF(E395=E394,0,(HLOOKUP(D395,Ingreso!$AN$10:$AT$260,VLOOKUP(A395,Ingreso!$AL$11:$AM$260,2,FALSE)))/24),0))</f>
        <v/>
      </c>
      <c r="K395" s="65" t="str">
        <f>IF(IFERROR(IF(E395=E394,0,(HLOOKUP(C395,Ingreso!$AW$10:$BC$260,VLOOKUP(A395,Ingreso!$AL$11:$AM$260,2,FALSE)))/24),0)=0,"",IFERROR(IF(E395=E394,0,(HLOOKUP(C395,Ingreso!$AW$10:$BC$260,VLOOKUP(A395,Ingreso!$AL$11:$AM$260,2,FALSE)))/24),0))</f>
        <v/>
      </c>
      <c r="L395" s="63">
        <f t="shared" si="12"/>
        <v>0</v>
      </c>
      <c r="M395" s="63" t="str">
        <f>IF(IFERROR(IF(C395=C393,0,IF(E395=E394,0,IF(C395=$R$2,HLOOKUP($R$2,Ingreso!$AW$10:$BC$260,VLOOKUP(A395,Ingreso!AL:AM,2,FALSE),FALSE)/24,""))),"")=0,"",IFERROR(IF(C395=C393,0,IF(E395=E394,0,IF(C395=$R$2,HLOOKUP($R$2,Ingreso!$AW$10:$BC$260,VLOOKUP(A395,Ingreso!AL:AM,2,FALSE),FALSE)/24,""))),""))</f>
        <v/>
      </c>
      <c r="N395" s="95" t="str">
        <f>IF(IFERROR(IF(C395=C393,0,IF(E395=E394,0,IF(C395=$R$3,HLOOKUP($R$3,Ingreso!$AW$10:$BC$260,VLOOKUP(A395,Ingreso!AL:AM,2,FALSE),FALSE)/24,""))),"")=0,"",IFERROR(IF(C395=C393,0,IF(E395=E394,0,IF(C395=$R$3,HLOOKUP($R$3,Ingreso!$AW$10:$BC$260,VLOOKUP(A395,Ingreso!AL:AM,2,FALSE),FALSE)/24,""))),""))</f>
        <v/>
      </c>
      <c r="O395" s="95" t="str">
        <f>IF(IFERROR(IF(C395=C393,0,IF(E395=E394,0,IF(C395=$R$4,HLOOKUP($R$4,Ingreso!$AW$10:$BC$260,VLOOKUP(A395,Ingreso!AL:AM,2,FALSE),FALSE)/24,""))),"")=0,"",IFERROR(IF(C395=C393,0,IF(E395=E394,0,IF(C395=$R$4,HLOOKUP($R$4,Ingreso!$AW$10:$BC$260,VLOOKUP(A395,Ingreso!AL:AM,2,FALSE),FALSE)/24,""))),""))</f>
        <v/>
      </c>
      <c r="P395" s="90"/>
      <c r="T395" t="s">
        <v>1427</v>
      </c>
      <c r="U395" t="s">
        <v>4</v>
      </c>
      <c r="V395" t="s">
        <v>1402</v>
      </c>
      <c r="W395" s="82">
        <v>519</v>
      </c>
      <c r="X395" s="71">
        <v>0.3125</v>
      </c>
      <c r="Y395" s="101">
        <v>0.31440972222222224</v>
      </c>
      <c r="Z395" s="101">
        <v>0.62703703703703706</v>
      </c>
      <c r="AA395" s="101">
        <v>0.31262731481481482</v>
      </c>
      <c r="AB395" s="101">
        <v>1.2731481481481621E-4</v>
      </c>
      <c r="AC395" s="105">
        <v>0</v>
      </c>
      <c r="AD395" s="105">
        <v>0</v>
      </c>
      <c r="AE395" s="93">
        <v>0</v>
      </c>
      <c r="AF395" s="93">
        <v>0</v>
      </c>
      <c r="AG395" s="93">
        <v>0</v>
      </c>
    </row>
    <row r="396" spans="1:33">
      <c r="A396" s="65" t="str">
        <f>IFERROR(VLOOKUP('Informe Kelly'!A389,Base!A:B,2,FALSE),"")</f>
        <v>10.407.614-9</v>
      </c>
      <c r="B396" s="65" t="str">
        <f>IFERROR(VLOOKUP('Informe Kelly'!A389,Base!A:G,7,FALSE),"")</f>
        <v>MORA MORA CARLOS ALEJANDRO</v>
      </c>
      <c r="C396" s="69" t="str">
        <f>IF(G396=$C$4,IF('Informe Kelly'!H389='Control informe Kelly'!$A$2,TEXT(((LEFT('Informe Kelly'!E389,2)*1)+1),"dd")&amp;"."&amp;MID('Informe Kelly'!E389,4,2)&amp;"."&amp;RIGHT('Informe Kelly'!E389,4),'Informe Kelly'!E389),'Informe Kelly'!E389)</f>
        <v>15.04.2011</v>
      </c>
      <c r="D396" s="69" t="str">
        <f>IF('Informe Kelly'!E389="","",'Informe Kelly'!E389)</f>
        <v>14.04.2011</v>
      </c>
      <c r="E396" s="72">
        <f t="shared" si="13"/>
        <v>198</v>
      </c>
      <c r="F396" s="72" t="str">
        <f>IFERROR(HLOOKUP(C396,Ingreso!$Q$8:$AD$9,2,FALSE),"v")</f>
        <v>Viernes</v>
      </c>
      <c r="G396" s="65" t="str">
        <f>IFERROR(VLOOKUP(A396,Ingreso!K:P,6,FALSE),"no esta ingresado")</f>
        <v>Turno C</v>
      </c>
      <c r="H396" s="65">
        <f>IFERROR(IF('Informe Kelly'!H389=$A$2,'Informe Kelly'!F389,""),0)</f>
        <v>0.91437500000000005</v>
      </c>
      <c r="I396" s="65" t="str">
        <f>IFERROR(IF('Informe Kelly'!H389=$A$3,'Informe Kelly'!F389,""),0)</f>
        <v/>
      </c>
      <c r="J396" s="65" t="str">
        <f>IF(IFERROR(IF(E396=E395,0,(HLOOKUP(D396,Ingreso!$AN$10:$AT$260,VLOOKUP(A396,Ingreso!$AL$11:$AM$260,2,FALSE)))/24),0)=0,"",IFERROR(IF(E396=E395,0,(HLOOKUP(D396,Ingreso!$AN$10:$AT$260,VLOOKUP(A396,Ingreso!$AL$11:$AM$260,2,FALSE)))/24),0))</f>
        <v/>
      </c>
      <c r="K396" s="65" t="str">
        <f>IF(IFERROR(IF(E396=E395,0,(HLOOKUP(C396,Ingreso!$AW$10:$BC$260,VLOOKUP(A396,Ingreso!$AL$11:$AM$260,2,FALSE)))/24),0)=0,"",IFERROR(IF(E396=E395,0,(HLOOKUP(C396,Ingreso!$AW$10:$BC$260,VLOOKUP(A396,Ingreso!$AL$11:$AM$260,2,FALSE)))/24),0))</f>
        <v/>
      </c>
      <c r="L396" s="63">
        <f t="shared" si="12"/>
        <v>0.375</v>
      </c>
      <c r="M396" s="63" t="str">
        <f>IF(IFERROR(IF(C396=C394,0,IF(E396=E395,0,IF(C396=$R$2,HLOOKUP($R$2,Ingreso!$AW$10:$BC$260,VLOOKUP(A396,Ingreso!AL:AM,2,FALSE),FALSE)/24,""))),"")=0,"",IFERROR(IF(C396=C394,0,IF(E396=E395,0,IF(C396=$R$2,HLOOKUP($R$2,Ingreso!$AW$10:$BC$260,VLOOKUP(A396,Ingreso!AL:AM,2,FALSE),FALSE)/24,""))),""))</f>
        <v/>
      </c>
      <c r="N396" s="95" t="str">
        <f>IF(IFERROR(IF(C396=C394,0,IF(E396=E395,0,IF(C396=$R$3,HLOOKUP($R$3,Ingreso!$AW$10:$BC$260,VLOOKUP(A396,Ingreso!AL:AM,2,FALSE),FALSE)/24,""))),"")=0,"",IFERROR(IF(C396=C394,0,IF(E396=E395,0,IF(C396=$R$3,HLOOKUP($R$3,Ingreso!$AW$10:$BC$260,VLOOKUP(A396,Ingreso!AL:AM,2,FALSE),FALSE)/24,""))),""))</f>
        <v/>
      </c>
      <c r="O396" s="95" t="str">
        <f>IF(IFERROR(IF(C396=C394,0,IF(E396=E395,0,IF(C396=$R$4,HLOOKUP($R$4,Ingreso!$AW$10:$BC$260,VLOOKUP(A396,Ingreso!AL:AM,2,FALSE),FALSE)/24,""))),"")=0,"",IFERROR(IF(C396=C394,0,IF(E396=E395,0,IF(C396=$R$4,HLOOKUP($R$4,Ingreso!$AW$10:$BC$260,VLOOKUP(A396,Ingreso!AL:AM,2,FALSE),FALSE)/24,""))),""))</f>
        <v/>
      </c>
      <c r="P396" s="90"/>
      <c r="R396" t="s">
        <v>991</v>
      </c>
      <c r="S396" t="s">
        <v>995</v>
      </c>
      <c r="T396" t="s">
        <v>1420</v>
      </c>
      <c r="U396" t="s">
        <v>4</v>
      </c>
      <c r="V396" t="s">
        <v>1397</v>
      </c>
      <c r="W396" s="82">
        <v>525</v>
      </c>
      <c r="X396" s="71">
        <v>0.3125</v>
      </c>
      <c r="Y396" s="101">
        <v>0.29619212962962965</v>
      </c>
      <c r="Z396" s="101">
        <v>0.63236111111111104</v>
      </c>
      <c r="AA396" s="101">
        <v>0.33616898148148139</v>
      </c>
      <c r="AB396" s="101">
        <v>2.3668981481481388E-2</v>
      </c>
      <c r="AC396" s="105">
        <v>0</v>
      </c>
      <c r="AD396" s="105">
        <v>0</v>
      </c>
      <c r="AE396" s="93">
        <v>0</v>
      </c>
      <c r="AF396" s="93">
        <v>0</v>
      </c>
      <c r="AG396" s="93">
        <v>0</v>
      </c>
    </row>
    <row r="397" spans="1:33" ht="12.75" customHeight="1">
      <c r="A397" s="65" t="str">
        <f>IFERROR(VLOOKUP('Informe Kelly'!A390,Base!A:B,2,FALSE),"")</f>
        <v>10.407.614-9</v>
      </c>
      <c r="B397" s="65" t="str">
        <f>IFERROR(VLOOKUP('Informe Kelly'!A390,Base!A:G,7,FALSE),"")</f>
        <v>MORA MORA CARLOS ALEJANDRO</v>
      </c>
      <c r="C397" s="69" t="str">
        <f>IF(G397=$C$4,IF('Informe Kelly'!H390='Control informe Kelly'!$A$2,TEXT(((LEFT('Informe Kelly'!E390,2)*1)+1),"dd")&amp;"."&amp;MID('Informe Kelly'!E390,4,2)&amp;"."&amp;RIGHT('Informe Kelly'!E390,4),'Informe Kelly'!E390),'Informe Kelly'!E390)</f>
        <v>15.04.2011</v>
      </c>
      <c r="D397" s="69" t="str">
        <f>IF('Informe Kelly'!E390="","",'Informe Kelly'!E390)</f>
        <v>15.04.2011</v>
      </c>
      <c r="E397" s="72">
        <f t="shared" si="13"/>
        <v>198</v>
      </c>
      <c r="F397" s="72" t="str">
        <f>IFERROR(HLOOKUP(C397,Ingreso!$Q$8:$AD$9,2,FALSE),"v")</f>
        <v>Viernes</v>
      </c>
      <c r="G397" s="65" t="str">
        <f>IFERROR(VLOOKUP(A397,Ingreso!K:P,6,FALSE),"no esta ingresado")</f>
        <v>Turno C</v>
      </c>
      <c r="H397" s="65" t="str">
        <f>IFERROR(IF('Informe Kelly'!H390=$A$2,'Informe Kelly'!F390,""),0)</f>
        <v/>
      </c>
      <c r="I397" s="65">
        <f>IFERROR(IF('Informe Kelly'!H390=$A$3,'Informe Kelly'!F390,""),0)</f>
        <v>0.32021990740740741</v>
      </c>
      <c r="J397" s="65" t="str">
        <f>IF(IFERROR(IF(E397=E396,0,(HLOOKUP(D397,Ingreso!$AN$10:$AT$260,VLOOKUP(A397,Ingreso!$AL$11:$AM$260,2,FALSE)))/24),0)=0,"",IFERROR(IF(E397=E396,0,(HLOOKUP(D397,Ingreso!$AN$10:$AT$260,VLOOKUP(A397,Ingreso!$AL$11:$AM$260,2,FALSE)))/24),0))</f>
        <v/>
      </c>
      <c r="K397" s="65" t="str">
        <f>IF(IFERROR(IF(E397=E396,0,(HLOOKUP(C397,Ingreso!$AW$10:$BC$260,VLOOKUP(A397,Ingreso!$AL$11:$AM$260,2,FALSE)))/24),0)=0,"",IFERROR(IF(E397=E396,0,(HLOOKUP(C397,Ingreso!$AW$10:$BC$260,VLOOKUP(A397,Ingreso!$AL$11:$AM$260,2,FALSE)))/24),0))</f>
        <v/>
      </c>
      <c r="L397" s="63">
        <f t="shared" si="12"/>
        <v>0</v>
      </c>
      <c r="M397" s="63" t="str">
        <f>IF(IFERROR(IF(C397=C395,0,IF(E397=E396,0,IF(C397=$R$2,HLOOKUP($R$2,Ingreso!$AW$10:$BC$260,VLOOKUP(A397,Ingreso!AL:AM,2,FALSE),FALSE)/24,""))),"")=0,"",IFERROR(IF(C397=C395,0,IF(E397=E396,0,IF(C397=$R$2,HLOOKUP($R$2,Ingreso!$AW$10:$BC$260,VLOOKUP(A397,Ingreso!AL:AM,2,FALSE),FALSE)/24,""))),""))</f>
        <v/>
      </c>
      <c r="N397" s="95" t="str">
        <f>IF(IFERROR(IF(C397=C395,0,IF(E397=E396,0,IF(C397=$R$3,HLOOKUP($R$3,Ingreso!$AW$10:$BC$260,VLOOKUP(A397,Ingreso!AL:AM,2,FALSE),FALSE)/24,""))),"")=0,"",IFERROR(IF(C397=C395,0,IF(E397=E396,0,IF(C397=$R$3,HLOOKUP($R$3,Ingreso!$AW$10:$BC$260,VLOOKUP(A397,Ingreso!AL:AM,2,FALSE),FALSE)/24,""))),""))</f>
        <v/>
      </c>
      <c r="O397" s="95" t="str">
        <f>IF(IFERROR(IF(C397=C395,0,IF(E397=E396,0,IF(C397=$R$4,HLOOKUP($R$4,Ingreso!$AW$10:$BC$260,VLOOKUP(A397,Ingreso!AL:AM,2,FALSE),FALSE)/24,""))),"")=0,"",IFERROR(IF(C397=C395,0,IF(E397=E396,0,IF(C397=$R$4,HLOOKUP($R$4,Ingreso!$AW$10:$BC$260,VLOOKUP(A397,Ingreso!AL:AM,2,FALSE),FALSE)/24,""))),""))</f>
        <v/>
      </c>
      <c r="P397" s="90"/>
      <c r="T397" t="s">
        <v>1423</v>
      </c>
      <c r="U397" t="s">
        <v>4</v>
      </c>
      <c r="V397" t="s">
        <v>1398</v>
      </c>
      <c r="W397" s="82">
        <v>526</v>
      </c>
      <c r="X397" s="71">
        <v>0.3125</v>
      </c>
      <c r="Y397" s="101">
        <v>0.29084490740740737</v>
      </c>
      <c r="Z397" s="101">
        <v>0.63239583333333338</v>
      </c>
      <c r="AA397" s="101">
        <v>0.34155092592592601</v>
      </c>
      <c r="AB397" s="101">
        <v>2.9050925925926008E-2</v>
      </c>
      <c r="AC397" s="105">
        <v>0</v>
      </c>
      <c r="AD397" s="105">
        <v>0</v>
      </c>
      <c r="AE397" s="93">
        <v>0</v>
      </c>
      <c r="AF397" s="93">
        <v>0</v>
      </c>
      <c r="AG397" s="93">
        <v>0</v>
      </c>
    </row>
    <row r="398" spans="1:33">
      <c r="A398" s="65" t="str">
        <f>IFERROR(VLOOKUP('Informe Kelly'!A391,Base!A:B,2,FALSE),"")</f>
        <v>10.407.614-9</v>
      </c>
      <c r="B398" s="65" t="str">
        <f>IFERROR(VLOOKUP('Informe Kelly'!A391,Base!A:G,7,FALSE),"")</f>
        <v>MORA MORA CARLOS ALEJANDRO</v>
      </c>
      <c r="C398" s="69" t="str">
        <f>IF(G398=$C$4,IF('Informe Kelly'!H391='Control informe Kelly'!$A$2,TEXT(((LEFT('Informe Kelly'!E391,2)*1)+1),"dd")&amp;"."&amp;MID('Informe Kelly'!E391,4,2)&amp;"."&amp;RIGHT('Informe Kelly'!E391,4),'Informe Kelly'!E391),'Informe Kelly'!E391)</f>
        <v>16.04.2011</v>
      </c>
      <c r="D398" s="69" t="str">
        <f>IF('Informe Kelly'!E391="","",'Informe Kelly'!E391)</f>
        <v>15.04.2011</v>
      </c>
      <c r="E398" s="72">
        <f t="shared" si="13"/>
        <v>199</v>
      </c>
      <c r="F398" s="72" t="str">
        <f>IFERROR(HLOOKUP(C398,Ingreso!$Q$8:$AD$9,2,FALSE),"v")</f>
        <v>Sábado</v>
      </c>
      <c r="G398" s="65" t="str">
        <f>IFERROR(VLOOKUP(A398,Ingreso!K:P,6,FALSE),"no esta ingresado")</f>
        <v>Turno C</v>
      </c>
      <c r="H398" s="65">
        <f>IFERROR(IF('Informe Kelly'!H391=$A$2,'Informe Kelly'!F391,""),0)</f>
        <v>0.91745370370370372</v>
      </c>
      <c r="I398" s="65" t="str">
        <f>IFERROR(IF('Informe Kelly'!H391=$A$3,'Informe Kelly'!F391,""),0)</f>
        <v/>
      </c>
      <c r="J398" s="65" t="str">
        <f>IF(IFERROR(IF(E398=E397,0,(HLOOKUP(D398,Ingreso!$AN$10:$AT$260,VLOOKUP(A398,Ingreso!$AL$11:$AM$260,2,FALSE)))/24),0)=0,"",IFERROR(IF(E398=E397,0,(HLOOKUP(D398,Ingreso!$AN$10:$AT$260,VLOOKUP(A398,Ingreso!$AL$11:$AM$260,2,FALSE)))/24),0))</f>
        <v/>
      </c>
      <c r="K398" s="65" t="str">
        <f>IF(IFERROR(IF(E398=E397,0,(HLOOKUP(C398,Ingreso!$AW$10:$BC$260,VLOOKUP(A398,Ingreso!$AL$11:$AM$260,2,FALSE)))/24),0)=0,"",IFERROR(IF(E398=E397,0,(HLOOKUP(C398,Ingreso!$AW$10:$BC$260,VLOOKUP(A398,Ingreso!$AL$11:$AM$260,2,FALSE)))/24),0))</f>
        <v/>
      </c>
      <c r="L398" s="63">
        <f t="shared" si="12"/>
        <v>0.375</v>
      </c>
      <c r="M398" s="63" t="str">
        <f>IF(IFERROR(IF(C398=C396,0,IF(E398=E397,0,IF(C398=$R$2,HLOOKUP($R$2,Ingreso!$AW$10:$BC$260,VLOOKUP(A398,Ingreso!AL:AM,2,FALSE),FALSE)/24,""))),"")=0,"",IFERROR(IF(C398=C396,0,IF(E398=E397,0,IF(C398=$R$2,HLOOKUP($R$2,Ingreso!$AW$10:$BC$260,VLOOKUP(A398,Ingreso!AL:AM,2,FALSE),FALSE)/24,""))),""))</f>
        <v/>
      </c>
      <c r="N398" s="95" t="str">
        <f>IF(IFERROR(IF(C398=C396,0,IF(E398=E397,0,IF(C398=$R$3,HLOOKUP($R$3,Ingreso!$AW$10:$BC$260,VLOOKUP(A398,Ingreso!AL:AM,2,FALSE),FALSE)/24,""))),"")=0,"",IFERROR(IF(C398=C396,0,IF(E398=E397,0,IF(C398=$R$3,HLOOKUP($R$3,Ingreso!$AW$10:$BC$260,VLOOKUP(A398,Ingreso!AL:AM,2,FALSE),FALSE)/24,""))),""))</f>
        <v/>
      </c>
      <c r="O398" s="95" t="str">
        <f>IF(IFERROR(IF(C398=C396,0,IF(E398=E397,0,IF(C398=$R$4,HLOOKUP($R$4,Ingreso!$AW$10:$BC$260,VLOOKUP(A398,Ingreso!AL:AM,2,FALSE),FALSE)/24,""))),"")=0,"",IFERROR(IF(C398=C396,0,IF(E398=E397,0,IF(C398=$R$4,HLOOKUP($R$4,Ingreso!$AW$10:$BC$260,VLOOKUP(A398,Ingreso!AL:AM,2,FALSE),FALSE)/24,""))),""))</f>
        <v/>
      </c>
      <c r="P398" s="90"/>
      <c r="T398" t="s">
        <v>1424</v>
      </c>
      <c r="U398" t="s">
        <v>4</v>
      </c>
      <c r="V398" t="s">
        <v>1399</v>
      </c>
      <c r="W398" s="82">
        <v>527</v>
      </c>
      <c r="X398" s="71">
        <v>0.3125</v>
      </c>
      <c r="Y398" s="101">
        <v>0.28917824074074078</v>
      </c>
      <c r="Z398" s="101">
        <v>0.63270833333333332</v>
      </c>
      <c r="AA398" s="101">
        <v>0.34353009259259254</v>
      </c>
      <c r="AB398" s="101">
        <v>3.103009259259254E-2</v>
      </c>
      <c r="AC398" s="105">
        <v>0</v>
      </c>
      <c r="AD398" s="105">
        <v>0</v>
      </c>
      <c r="AE398" s="93">
        <v>0</v>
      </c>
      <c r="AF398" s="93">
        <v>0</v>
      </c>
      <c r="AG398" s="93">
        <v>0</v>
      </c>
    </row>
    <row r="399" spans="1:33">
      <c r="A399" s="65" t="str">
        <f>IFERROR(VLOOKUP('Informe Kelly'!A392,Base!A:B,2,FALSE),"")</f>
        <v>10.407.614-9</v>
      </c>
      <c r="B399" s="65" t="str">
        <f>IFERROR(VLOOKUP('Informe Kelly'!A392,Base!A:G,7,FALSE),"")</f>
        <v>MORA MORA CARLOS ALEJANDRO</v>
      </c>
      <c r="C399" s="69" t="str">
        <f>IF(G399=$C$4,IF('Informe Kelly'!H392='Control informe Kelly'!$A$2,TEXT(((LEFT('Informe Kelly'!E392,2)*1)+1),"dd")&amp;"."&amp;MID('Informe Kelly'!E392,4,2)&amp;"."&amp;RIGHT('Informe Kelly'!E392,4),'Informe Kelly'!E392),'Informe Kelly'!E392)</f>
        <v>16.04.2011</v>
      </c>
      <c r="D399" s="69" t="str">
        <f>IF('Informe Kelly'!E392="","",'Informe Kelly'!E392)</f>
        <v>16.04.2011</v>
      </c>
      <c r="E399" s="72">
        <f t="shared" si="13"/>
        <v>199</v>
      </c>
      <c r="F399" s="72" t="str">
        <f>IFERROR(HLOOKUP(C399,Ingreso!$Q$8:$AD$9,2,FALSE),"v")</f>
        <v>Sábado</v>
      </c>
      <c r="G399" s="65" t="str">
        <f>IFERROR(VLOOKUP(A399,Ingreso!K:P,6,FALSE),"no esta ingresado")</f>
        <v>Turno C</v>
      </c>
      <c r="H399" s="65" t="str">
        <f>IFERROR(IF('Informe Kelly'!H392=$A$2,'Informe Kelly'!F392,""),0)</f>
        <v/>
      </c>
      <c r="I399" s="65">
        <f>IFERROR(IF('Informe Kelly'!H392=$A$3,'Informe Kelly'!F392,""),0)</f>
        <v>0.3205324074074074</v>
      </c>
      <c r="J399" s="65" t="str">
        <f>IF(IFERROR(IF(E399=E398,0,(HLOOKUP(D399,Ingreso!$AN$10:$AT$260,VLOOKUP(A399,Ingreso!$AL$11:$AM$260,2,FALSE)))/24),0)=0,"",IFERROR(IF(E399=E398,0,(HLOOKUP(D399,Ingreso!$AN$10:$AT$260,VLOOKUP(A399,Ingreso!$AL$11:$AM$260,2,FALSE)))/24),0))</f>
        <v/>
      </c>
      <c r="K399" s="65" t="str">
        <f>IF(IFERROR(IF(E399=E398,0,(HLOOKUP(C399,Ingreso!$AW$10:$BC$260,VLOOKUP(A399,Ingreso!$AL$11:$AM$260,2,FALSE)))/24),0)=0,"",IFERROR(IF(E399=E398,0,(HLOOKUP(C399,Ingreso!$AW$10:$BC$260,VLOOKUP(A399,Ingreso!$AL$11:$AM$260,2,FALSE)))/24),0))</f>
        <v/>
      </c>
      <c r="L399" s="63">
        <f t="shared" si="12"/>
        <v>0</v>
      </c>
      <c r="M399" s="63" t="str">
        <f>IF(IFERROR(IF(C399=C397,0,IF(E399=E398,0,IF(C399=$R$2,HLOOKUP($R$2,Ingreso!$AW$10:$BC$260,VLOOKUP(A399,Ingreso!AL:AM,2,FALSE),FALSE)/24,""))),"")=0,"",IFERROR(IF(C399=C397,0,IF(E399=E398,0,IF(C399=$R$2,HLOOKUP($R$2,Ingreso!$AW$10:$BC$260,VLOOKUP(A399,Ingreso!AL:AM,2,FALSE),FALSE)/24,""))),""))</f>
        <v/>
      </c>
      <c r="N399" s="95" t="str">
        <f>IF(IFERROR(IF(C399=C397,0,IF(E399=E398,0,IF(C399=$R$3,HLOOKUP($R$3,Ingreso!$AW$10:$BC$260,VLOOKUP(A399,Ingreso!AL:AM,2,FALSE),FALSE)/24,""))),"")=0,"",IFERROR(IF(C399=C397,0,IF(E399=E398,0,IF(C399=$R$3,HLOOKUP($R$3,Ingreso!$AW$10:$BC$260,VLOOKUP(A399,Ingreso!AL:AM,2,FALSE),FALSE)/24,""))),""))</f>
        <v/>
      </c>
      <c r="O399" s="95" t="str">
        <f>IF(IFERROR(IF(C399=C397,0,IF(E399=E398,0,IF(C399=$R$4,HLOOKUP($R$4,Ingreso!$AW$10:$BC$260,VLOOKUP(A399,Ingreso!AL:AM,2,FALSE),FALSE)/24,""))),"")=0,"",IFERROR(IF(C399=C397,0,IF(E399=E398,0,IF(C399=$R$4,HLOOKUP($R$4,Ingreso!$AW$10:$BC$260,VLOOKUP(A399,Ingreso!AL:AM,2,FALSE),FALSE)/24,""))),""))</f>
        <v/>
      </c>
      <c r="P399" s="90"/>
      <c r="T399" t="s">
        <v>1425</v>
      </c>
      <c r="U399" t="s">
        <v>4</v>
      </c>
      <c r="V399" t="s">
        <v>1400</v>
      </c>
      <c r="W399" s="82">
        <v>528</v>
      </c>
      <c r="X399" s="71">
        <v>0.3125</v>
      </c>
      <c r="Y399" s="101">
        <v>0.299375</v>
      </c>
      <c r="Z399" s="101">
        <v>0.63214120370370364</v>
      </c>
      <c r="AA399" s="101">
        <v>0.33276620370370363</v>
      </c>
      <c r="AB399" s="101">
        <v>2.0266203703703634E-2</v>
      </c>
      <c r="AC399" s="105">
        <v>0</v>
      </c>
      <c r="AD399" s="105">
        <v>0</v>
      </c>
      <c r="AE399" s="93">
        <v>0</v>
      </c>
      <c r="AF399" s="93">
        <v>0</v>
      </c>
      <c r="AG399" s="93">
        <v>0</v>
      </c>
    </row>
    <row r="400" spans="1:33">
      <c r="A400" s="65" t="str">
        <f>IFERROR(VLOOKUP('Informe Kelly'!A393,Base!A:B,2,FALSE),"")</f>
        <v>10.572.816-6</v>
      </c>
      <c r="B400" s="65" t="str">
        <f>IFERROR(VLOOKUP('Informe Kelly'!A393,Base!A:G,7,FALSE),"")</f>
        <v>VARGAS MORENO MARCO ANTONIO</v>
      </c>
      <c r="C400" s="69" t="str">
        <f>IF(G400=$C$4,IF('Informe Kelly'!H393='Control informe Kelly'!$A$2,TEXT(((LEFT('Informe Kelly'!E393,2)*1)+1),"dd")&amp;"."&amp;MID('Informe Kelly'!E393,4,2)&amp;"."&amp;RIGHT('Informe Kelly'!E393,4),'Informe Kelly'!E393),'Informe Kelly'!E393)</f>
        <v>11.04.2011</v>
      </c>
      <c r="D400" s="69" t="str">
        <f>IF('Informe Kelly'!E393="","",'Informe Kelly'!E393)</f>
        <v>11.04.2011</v>
      </c>
      <c r="E400" s="72">
        <f t="shared" si="13"/>
        <v>200</v>
      </c>
      <c r="F400" s="72" t="str">
        <f>IFERROR(HLOOKUP(C400,Ingreso!$Q$8:$AD$9,2,FALSE),"v")</f>
        <v>Lunes</v>
      </c>
      <c r="G400" s="65" t="str">
        <f>IFERROR(VLOOKUP(A400,Ingreso!K:P,6,FALSE),"no esta ingresado")</f>
        <v>Turno B</v>
      </c>
      <c r="H400" s="65" t="str">
        <f>IFERROR(IF('Informe Kelly'!H393=$A$2,'Informe Kelly'!F393,""),0)</f>
        <v/>
      </c>
      <c r="I400" s="65">
        <f>IFERROR(IF('Informe Kelly'!H393=$A$3,'Informe Kelly'!F393,""),0)</f>
        <v>0.9518402777777778</v>
      </c>
      <c r="J400" s="65" t="str">
        <f>IF(IFERROR(IF(E400=E399,0,(HLOOKUP(D400,Ingreso!$AN$10:$AT$260,VLOOKUP(A400,Ingreso!$AL$11:$AM$260,2,FALSE)))/24),0)=0,"",IFERROR(IF(E400=E399,0,(HLOOKUP(D400,Ingreso!$AN$10:$AT$260,VLOOKUP(A400,Ingreso!$AL$11:$AM$260,2,FALSE)))/24),0))</f>
        <v/>
      </c>
      <c r="K400" s="65" t="str">
        <f>IF(IFERROR(IF(E400=E399,0,(HLOOKUP(C400,Ingreso!$AW$10:$BC$260,VLOOKUP(A400,Ingreso!$AL$11:$AM$260,2,FALSE)))/24),0)=0,"",IFERROR(IF(E400=E399,0,(HLOOKUP(C400,Ingreso!$AW$10:$BC$260,VLOOKUP(A400,Ingreso!$AL$11:$AM$260,2,FALSE)))/24),0))</f>
        <v/>
      </c>
      <c r="L400" s="63">
        <f t="shared" si="12"/>
        <v>0.3125</v>
      </c>
      <c r="M400" s="63" t="str">
        <f>IF(IFERROR(IF(C400=C398,0,IF(E400=E399,0,IF(C400=$R$2,HLOOKUP($R$2,Ingreso!$AW$10:$BC$260,VLOOKUP(A400,Ingreso!AL:AM,2,FALSE),FALSE)/24,""))),"")=0,"",IFERROR(IF(C400=C398,0,IF(E400=E399,0,IF(C400=$R$2,HLOOKUP($R$2,Ingreso!$AW$10:$BC$260,VLOOKUP(A400,Ingreso!AL:AM,2,FALSE),FALSE)/24,""))),""))</f>
        <v/>
      </c>
      <c r="N400" s="95" t="str">
        <f>IF(IFERROR(IF(C400=C398,0,IF(E400=E399,0,IF(C400=$R$3,HLOOKUP($R$3,Ingreso!$AW$10:$BC$260,VLOOKUP(A400,Ingreso!AL:AM,2,FALSE),FALSE)/24,""))),"")=0,"",IFERROR(IF(C400=C398,0,IF(E400=E399,0,IF(C400=$R$3,HLOOKUP($R$3,Ingreso!$AW$10:$BC$260,VLOOKUP(A400,Ingreso!AL:AM,2,FALSE),FALSE)/24,""))),""))</f>
        <v/>
      </c>
      <c r="O400" s="95" t="str">
        <f>IF(IFERROR(IF(C400=C398,0,IF(E400=E399,0,IF(C400=$R$4,HLOOKUP($R$4,Ingreso!$AW$10:$BC$260,VLOOKUP(A400,Ingreso!AL:AM,2,FALSE),FALSE)/24,""))),"")=0,"",IFERROR(IF(C400=C398,0,IF(E400=E399,0,IF(C400=$R$4,HLOOKUP($R$4,Ingreso!$AW$10:$BC$260,VLOOKUP(A400,Ingreso!AL:AM,2,FALSE),FALSE)/24,""))),""))</f>
        <v/>
      </c>
      <c r="P400" s="90"/>
      <c r="T400" t="s">
        <v>1426</v>
      </c>
      <c r="U400" t="s">
        <v>4</v>
      </c>
      <c r="V400" t="s">
        <v>1401</v>
      </c>
      <c r="W400" s="82">
        <v>529</v>
      </c>
      <c r="X400" s="71">
        <v>0.3125</v>
      </c>
      <c r="Y400" s="101">
        <v>0.29365740740740742</v>
      </c>
      <c r="Z400" s="101">
        <v>0.63254629629629633</v>
      </c>
      <c r="AA400" s="101">
        <v>0.33888888888888891</v>
      </c>
      <c r="AB400" s="101">
        <v>2.6388888888888906E-2</v>
      </c>
      <c r="AC400" s="105">
        <v>0</v>
      </c>
      <c r="AD400" s="105">
        <v>0</v>
      </c>
      <c r="AE400" s="93">
        <v>0</v>
      </c>
      <c r="AF400" s="93">
        <v>0</v>
      </c>
      <c r="AG400" s="93">
        <v>0</v>
      </c>
    </row>
    <row r="401" spans="1:33">
      <c r="A401" s="65" t="str">
        <f>IFERROR(VLOOKUP('Informe Kelly'!A394,Base!A:B,2,FALSE),"")</f>
        <v>10.572.816-6</v>
      </c>
      <c r="B401" s="65" t="str">
        <f>IFERROR(VLOOKUP('Informe Kelly'!A394,Base!A:G,7,FALSE),"")</f>
        <v>VARGAS MORENO MARCO ANTONIO</v>
      </c>
      <c r="C401" s="69" t="str">
        <f>IF(G401=$C$4,IF('Informe Kelly'!H394='Control informe Kelly'!$A$2,TEXT(((LEFT('Informe Kelly'!E394,2)*1)+1),"dd")&amp;"."&amp;MID('Informe Kelly'!E394,4,2)&amp;"."&amp;RIGHT('Informe Kelly'!E394,4),'Informe Kelly'!E394),'Informe Kelly'!E394)</f>
        <v>11.04.2011</v>
      </c>
      <c r="D401" s="69" t="str">
        <f>IF('Informe Kelly'!E394="","",'Informe Kelly'!E394)</f>
        <v>11.04.2011</v>
      </c>
      <c r="E401" s="72">
        <f t="shared" si="13"/>
        <v>200</v>
      </c>
      <c r="F401" s="72" t="str">
        <f>IFERROR(HLOOKUP(C401,Ingreso!$Q$8:$AD$9,2,FALSE),"v")</f>
        <v>Lunes</v>
      </c>
      <c r="G401" s="65" t="str">
        <f>IFERROR(VLOOKUP(A401,Ingreso!K:P,6,FALSE),"no esta ingresado")</f>
        <v>Turno B</v>
      </c>
      <c r="H401" s="65">
        <f>IFERROR(IF('Informe Kelly'!H394=$A$2,'Informe Kelly'!F394,""),0)</f>
        <v>0.60702546296296289</v>
      </c>
      <c r="I401" s="65" t="str">
        <f>IFERROR(IF('Informe Kelly'!H394=$A$3,'Informe Kelly'!F394,""),0)</f>
        <v/>
      </c>
      <c r="J401" s="65" t="str">
        <f>IF(IFERROR(IF(E401=E400,0,(HLOOKUP(D401,Ingreso!$AN$10:$AT$260,VLOOKUP(A401,Ingreso!$AL$11:$AM$260,2,FALSE)))/24),0)=0,"",IFERROR(IF(E401=E400,0,(HLOOKUP(D401,Ingreso!$AN$10:$AT$260,VLOOKUP(A401,Ingreso!$AL$11:$AM$260,2,FALSE)))/24),0))</f>
        <v/>
      </c>
      <c r="K401" s="65" t="str">
        <f>IF(IFERROR(IF(E401=E400,0,(HLOOKUP(C401,Ingreso!$AW$10:$BC$260,VLOOKUP(A401,Ingreso!$AL$11:$AM$260,2,FALSE)))/24),0)=0,"",IFERROR(IF(E401=E400,0,(HLOOKUP(C401,Ingreso!$AW$10:$BC$260,VLOOKUP(A401,Ingreso!$AL$11:$AM$260,2,FALSE)))/24),0))</f>
        <v/>
      </c>
      <c r="L401" s="63">
        <f t="shared" si="12"/>
        <v>0</v>
      </c>
      <c r="M401" s="63" t="str">
        <f>IF(IFERROR(IF(C401=C399,0,IF(E401=E400,0,IF(C401=$R$2,HLOOKUP($R$2,Ingreso!$AW$10:$BC$260,VLOOKUP(A401,Ingreso!AL:AM,2,FALSE),FALSE)/24,""))),"")=0,"",IFERROR(IF(C401=C399,0,IF(E401=E400,0,IF(C401=$R$2,HLOOKUP($R$2,Ingreso!$AW$10:$BC$260,VLOOKUP(A401,Ingreso!AL:AM,2,FALSE),FALSE)/24,""))),""))</f>
        <v/>
      </c>
      <c r="N401" s="95" t="str">
        <f>IF(IFERROR(IF(C401=C399,0,IF(E401=E400,0,IF(C401=$R$3,HLOOKUP($R$3,Ingreso!$AW$10:$BC$260,VLOOKUP(A401,Ingreso!AL:AM,2,FALSE),FALSE)/24,""))),"")=0,"",IFERROR(IF(C401=C399,0,IF(E401=E400,0,IF(C401=$R$3,HLOOKUP($R$3,Ingreso!$AW$10:$BC$260,VLOOKUP(A401,Ingreso!AL:AM,2,FALSE),FALSE)/24,""))),""))</f>
        <v/>
      </c>
      <c r="O401" s="95" t="str">
        <f>IF(IFERROR(IF(C401=C399,0,IF(E401=E400,0,IF(C401=$R$4,HLOOKUP($R$4,Ingreso!$AW$10:$BC$260,VLOOKUP(A401,Ingreso!AL:AM,2,FALSE),FALSE)/24,""))),"")=0,"",IFERROR(IF(C401=C399,0,IF(E401=E400,0,IF(C401=$R$4,HLOOKUP($R$4,Ingreso!$AW$10:$BC$260,VLOOKUP(A401,Ingreso!AL:AM,2,FALSE),FALSE)/24,""))),""))</f>
        <v/>
      </c>
      <c r="P401" s="90"/>
      <c r="T401" t="s">
        <v>1428</v>
      </c>
      <c r="U401" t="s">
        <v>4</v>
      </c>
      <c r="V401" t="s">
        <v>1403</v>
      </c>
      <c r="W401" s="82">
        <v>530</v>
      </c>
      <c r="X401" s="71">
        <v>0.3125</v>
      </c>
      <c r="Y401" s="101">
        <v>0.99840277777777775</v>
      </c>
      <c r="Z401" s="101">
        <v>0</v>
      </c>
      <c r="AA401" s="101">
        <v>1.5972222222222499E-3</v>
      </c>
      <c r="AB401" s="101">
        <v>-0.31090277777777775</v>
      </c>
      <c r="AC401" s="105">
        <v>0</v>
      </c>
      <c r="AD401" s="105">
        <v>0</v>
      </c>
      <c r="AE401" s="93">
        <v>0</v>
      </c>
      <c r="AF401" s="93">
        <v>0</v>
      </c>
      <c r="AG401" s="93">
        <v>0</v>
      </c>
    </row>
    <row r="402" spans="1:33">
      <c r="A402" s="65" t="str">
        <f>IFERROR(VLOOKUP('Informe Kelly'!A395,Base!A:B,2,FALSE),"")</f>
        <v>10.572.816-6</v>
      </c>
      <c r="B402" s="65" t="str">
        <f>IFERROR(VLOOKUP('Informe Kelly'!A395,Base!A:G,7,FALSE),"")</f>
        <v>VARGAS MORENO MARCO ANTONIO</v>
      </c>
      <c r="C402" s="69" t="str">
        <f>IF(G402=$C$4,IF('Informe Kelly'!H395='Control informe Kelly'!$A$2,TEXT(((LEFT('Informe Kelly'!E395,2)*1)+1),"dd")&amp;"."&amp;MID('Informe Kelly'!E395,4,2)&amp;"."&amp;RIGHT('Informe Kelly'!E395,4),'Informe Kelly'!E395),'Informe Kelly'!E395)</f>
        <v>12.04.2011</v>
      </c>
      <c r="D402" s="69" t="str">
        <f>IF('Informe Kelly'!E395="","",'Informe Kelly'!E395)</f>
        <v>12.04.2011</v>
      </c>
      <c r="E402" s="72">
        <f t="shared" si="13"/>
        <v>201</v>
      </c>
      <c r="F402" s="72" t="str">
        <f>IFERROR(HLOOKUP(C402,Ingreso!$Q$8:$AD$9,2,FALSE),"v")</f>
        <v>Martes</v>
      </c>
      <c r="G402" s="65" t="str">
        <f>IFERROR(VLOOKUP(A402,Ingreso!K:P,6,FALSE),"no esta ingresado")</f>
        <v>Turno B</v>
      </c>
      <c r="H402" s="65" t="str">
        <f>IFERROR(IF('Informe Kelly'!H395=$A$2,'Informe Kelly'!F395,""),0)</f>
        <v/>
      </c>
      <c r="I402" s="65">
        <f>IFERROR(IF('Informe Kelly'!H395=$A$3,'Informe Kelly'!F395,""),0)</f>
        <v>0.9483449074074074</v>
      </c>
      <c r="J402" s="65" t="str">
        <f>IF(IFERROR(IF(E402=E401,0,(HLOOKUP(D402,Ingreso!$AN$10:$AT$260,VLOOKUP(A402,Ingreso!$AL$11:$AM$260,2,FALSE)))/24),0)=0,"",IFERROR(IF(E402=E401,0,(HLOOKUP(D402,Ingreso!$AN$10:$AT$260,VLOOKUP(A402,Ingreso!$AL$11:$AM$260,2,FALSE)))/24),0))</f>
        <v/>
      </c>
      <c r="K402" s="65" t="str">
        <f>IF(IFERROR(IF(E402=E401,0,(HLOOKUP(C402,Ingreso!$AW$10:$BC$260,VLOOKUP(A402,Ingreso!$AL$11:$AM$260,2,FALSE)))/24),0)=0,"",IFERROR(IF(E402=E401,0,(HLOOKUP(C402,Ingreso!$AW$10:$BC$260,VLOOKUP(A402,Ingreso!$AL$11:$AM$260,2,FALSE)))/24),0))</f>
        <v/>
      </c>
      <c r="L402" s="63">
        <f t="shared" si="12"/>
        <v>0.3125</v>
      </c>
      <c r="M402" s="63" t="str">
        <f>IF(IFERROR(IF(C402=C400,0,IF(E402=E401,0,IF(C402=$R$2,HLOOKUP($R$2,Ingreso!$AW$10:$BC$260,VLOOKUP(A402,Ingreso!AL:AM,2,FALSE),FALSE)/24,""))),"")=0,"",IFERROR(IF(C402=C400,0,IF(E402=E401,0,IF(C402=$R$2,HLOOKUP($R$2,Ingreso!$AW$10:$BC$260,VLOOKUP(A402,Ingreso!AL:AM,2,FALSE),FALSE)/24,""))),""))</f>
        <v/>
      </c>
      <c r="N402" s="95" t="str">
        <f>IF(IFERROR(IF(C402=C400,0,IF(E402=E401,0,IF(C402=$R$3,HLOOKUP($R$3,Ingreso!$AW$10:$BC$260,VLOOKUP(A402,Ingreso!AL:AM,2,FALSE),FALSE)/24,""))),"")=0,"",IFERROR(IF(C402=C400,0,IF(E402=E401,0,IF(C402=$R$3,HLOOKUP($R$3,Ingreso!$AW$10:$BC$260,VLOOKUP(A402,Ingreso!AL:AM,2,FALSE),FALSE)/24,""))),""))</f>
        <v/>
      </c>
      <c r="O402" s="95" t="str">
        <f>IF(IFERROR(IF(C402=C400,0,IF(E402=E401,0,IF(C402=$R$4,HLOOKUP($R$4,Ingreso!$AW$10:$BC$260,VLOOKUP(A402,Ingreso!AL:AM,2,FALSE),FALSE)/24,""))),"")=0,"",IFERROR(IF(C402=C400,0,IF(E402=E401,0,IF(C402=$R$4,HLOOKUP($R$4,Ingreso!$AW$10:$BC$260,VLOOKUP(A402,Ingreso!AL:AM,2,FALSE),FALSE)/24,""))),""))</f>
        <v/>
      </c>
      <c r="P402" s="90"/>
      <c r="R402" t="s">
        <v>872</v>
      </c>
      <c r="S402" t="s">
        <v>875</v>
      </c>
      <c r="T402" t="s">
        <v>1420</v>
      </c>
      <c r="U402" t="s">
        <v>1322</v>
      </c>
      <c r="V402" t="s">
        <v>1397</v>
      </c>
      <c r="W402" s="82">
        <v>531</v>
      </c>
      <c r="X402" s="71">
        <v>0.3125</v>
      </c>
      <c r="Y402" s="101">
        <v>0.62024305555555559</v>
      </c>
      <c r="Z402" s="101">
        <v>0.94037037037037041</v>
      </c>
      <c r="AA402" s="101">
        <v>0.32012731481481482</v>
      </c>
      <c r="AB402" s="101">
        <v>7.6273148148148229E-3</v>
      </c>
      <c r="AC402" s="105">
        <v>0</v>
      </c>
      <c r="AD402" s="105">
        <v>0</v>
      </c>
      <c r="AE402" s="93">
        <v>0</v>
      </c>
      <c r="AF402" s="93">
        <v>0</v>
      </c>
      <c r="AG402" s="93">
        <v>0</v>
      </c>
    </row>
    <row r="403" spans="1:33" ht="12.75" customHeight="1">
      <c r="A403" s="65" t="str">
        <f>IFERROR(VLOOKUP('Informe Kelly'!A396,Base!A:B,2,FALSE),"")</f>
        <v>10.572.816-6</v>
      </c>
      <c r="B403" s="65" t="str">
        <f>IFERROR(VLOOKUP('Informe Kelly'!A396,Base!A:G,7,FALSE),"")</f>
        <v>VARGAS MORENO MARCO ANTONIO</v>
      </c>
      <c r="C403" s="69" t="str">
        <f>IF(G403=$C$4,IF('Informe Kelly'!H396='Control informe Kelly'!$A$2,TEXT(((LEFT('Informe Kelly'!E396,2)*1)+1),"dd")&amp;"."&amp;MID('Informe Kelly'!E396,4,2)&amp;"."&amp;RIGHT('Informe Kelly'!E396,4),'Informe Kelly'!E396),'Informe Kelly'!E396)</f>
        <v>12.04.2011</v>
      </c>
      <c r="D403" s="69" t="str">
        <f>IF('Informe Kelly'!E396="","",'Informe Kelly'!E396)</f>
        <v>12.04.2011</v>
      </c>
      <c r="E403" s="72">
        <f t="shared" si="13"/>
        <v>201</v>
      </c>
      <c r="F403" s="72" t="str">
        <f>IFERROR(HLOOKUP(C403,Ingreso!$Q$8:$AD$9,2,FALSE),"v")</f>
        <v>Martes</v>
      </c>
      <c r="G403" s="65" t="str">
        <f>IFERROR(VLOOKUP(A403,Ingreso!K:P,6,FALSE),"no esta ingresado")</f>
        <v>Turno B</v>
      </c>
      <c r="H403" s="65">
        <f>IFERROR(IF('Informe Kelly'!H396=$A$2,'Informe Kelly'!F396,""),0)</f>
        <v>0.6068634259259259</v>
      </c>
      <c r="I403" s="65" t="str">
        <f>IFERROR(IF('Informe Kelly'!H396=$A$3,'Informe Kelly'!F396,""),0)</f>
        <v/>
      </c>
      <c r="J403" s="65" t="str">
        <f>IF(IFERROR(IF(E403=E402,0,(HLOOKUP(D403,Ingreso!$AN$10:$AT$260,VLOOKUP(A403,Ingreso!$AL$11:$AM$260,2,FALSE)))/24),0)=0,"",IFERROR(IF(E403=E402,0,(HLOOKUP(D403,Ingreso!$AN$10:$AT$260,VLOOKUP(A403,Ingreso!$AL$11:$AM$260,2,FALSE)))/24),0))</f>
        <v/>
      </c>
      <c r="K403" s="65" t="str">
        <f>IF(IFERROR(IF(E403=E402,0,(HLOOKUP(C403,Ingreso!$AW$10:$BC$260,VLOOKUP(A403,Ingreso!$AL$11:$AM$260,2,FALSE)))/24),0)=0,"",IFERROR(IF(E403=E402,0,(HLOOKUP(C403,Ingreso!$AW$10:$BC$260,VLOOKUP(A403,Ingreso!$AL$11:$AM$260,2,FALSE)))/24),0))</f>
        <v/>
      </c>
      <c r="L403" s="63">
        <f t="shared" si="12"/>
        <v>0</v>
      </c>
      <c r="M403" s="63" t="str">
        <f>IF(IFERROR(IF(C403=C401,0,IF(E403=E402,0,IF(C403=$R$2,HLOOKUP($R$2,Ingreso!$AW$10:$BC$260,VLOOKUP(A403,Ingreso!AL:AM,2,FALSE),FALSE)/24,""))),"")=0,"",IFERROR(IF(C403=C401,0,IF(E403=E402,0,IF(C403=$R$2,HLOOKUP($R$2,Ingreso!$AW$10:$BC$260,VLOOKUP(A403,Ingreso!AL:AM,2,FALSE),FALSE)/24,""))),""))</f>
        <v/>
      </c>
      <c r="N403" s="95" t="str">
        <f>IF(IFERROR(IF(C403=C401,0,IF(E403=E402,0,IF(C403=$R$3,HLOOKUP($R$3,Ingreso!$AW$10:$BC$260,VLOOKUP(A403,Ingreso!AL:AM,2,FALSE),FALSE)/24,""))),"")=0,"",IFERROR(IF(C403=C401,0,IF(E403=E402,0,IF(C403=$R$3,HLOOKUP($R$3,Ingreso!$AW$10:$BC$260,VLOOKUP(A403,Ingreso!AL:AM,2,FALSE),FALSE)/24,""))),""))</f>
        <v/>
      </c>
      <c r="O403" s="95" t="str">
        <f>IF(IFERROR(IF(C403=C401,0,IF(E403=E402,0,IF(C403=$R$4,HLOOKUP($R$4,Ingreso!$AW$10:$BC$260,VLOOKUP(A403,Ingreso!AL:AM,2,FALSE),FALSE)/24,""))),"")=0,"",IFERROR(IF(C403=C401,0,IF(E403=E402,0,IF(C403=$R$4,HLOOKUP($R$4,Ingreso!$AW$10:$BC$260,VLOOKUP(A403,Ingreso!AL:AM,2,FALSE),FALSE)/24,""))),""))</f>
        <v/>
      </c>
      <c r="P403" s="90"/>
      <c r="T403" t="s">
        <v>1423</v>
      </c>
      <c r="U403" t="s">
        <v>1322</v>
      </c>
      <c r="V403" t="s">
        <v>1398</v>
      </c>
      <c r="W403" s="82">
        <v>532</v>
      </c>
      <c r="X403" s="71">
        <v>0.3125</v>
      </c>
      <c r="Y403" s="101">
        <v>0.61870370370370364</v>
      </c>
      <c r="Z403" s="101">
        <v>0.94675925925925919</v>
      </c>
      <c r="AA403" s="101">
        <v>0.32805555555555554</v>
      </c>
      <c r="AB403" s="101">
        <v>1.5555555555555545E-2</v>
      </c>
      <c r="AC403" s="105">
        <v>0</v>
      </c>
      <c r="AD403" s="105">
        <v>0</v>
      </c>
      <c r="AE403" s="93">
        <v>0</v>
      </c>
      <c r="AF403" s="93">
        <v>0</v>
      </c>
      <c r="AG403" s="93">
        <v>0</v>
      </c>
    </row>
    <row r="404" spans="1:33">
      <c r="A404" s="65" t="str">
        <f>IFERROR(VLOOKUP('Informe Kelly'!A397,Base!A:B,2,FALSE),"")</f>
        <v>10.572.816-6</v>
      </c>
      <c r="B404" s="65" t="str">
        <f>IFERROR(VLOOKUP('Informe Kelly'!A397,Base!A:G,7,FALSE),"")</f>
        <v>VARGAS MORENO MARCO ANTONIO</v>
      </c>
      <c r="C404" s="69" t="str">
        <f>IF(G404=$C$4,IF('Informe Kelly'!H397='Control informe Kelly'!$A$2,TEXT(((LEFT('Informe Kelly'!E397,2)*1)+1),"dd")&amp;"."&amp;MID('Informe Kelly'!E397,4,2)&amp;"."&amp;RIGHT('Informe Kelly'!E397,4),'Informe Kelly'!E397),'Informe Kelly'!E397)</f>
        <v>13.04.2011</v>
      </c>
      <c r="D404" s="69" t="str">
        <f>IF('Informe Kelly'!E397="","",'Informe Kelly'!E397)</f>
        <v>13.04.2011</v>
      </c>
      <c r="E404" s="72">
        <f t="shared" si="13"/>
        <v>202</v>
      </c>
      <c r="F404" s="72" t="str">
        <f>IFERROR(HLOOKUP(C404,Ingreso!$Q$8:$AD$9,2,FALSE),"v")</f>
        <v>Miércoles</v>
      </c>
      <c r="G404" s="65" t="str">
        <f>IFERROR(VLOOKUP(A404,Ingreso!K:P,6,FALSE),"no esta ingresado")</f>
        <v>Turno B</v>
      </c>
      <c r="H404" s="65" t="str">
        <f>IFERROR(IF('Informe Kelly'!H397=$A$2,'Informe Kelly'!F397,""),0)</f>
        <v/>
      </c>
      <c r="I404" s="65">
        <f>IFERROR(IF('Informe Kelly'!H397=$A$3,'Informe Kelly'!F397,""),0)</f>
        <v>0.94733796296296291</v>
      </c>
      <c r="J404" s="65" t="str">
        <f>IF(IFERROR(IF(E404=E403,0,(HLOOKUP(D404,Ingreso!$AN$10:$AT$260,VLOOKUP(A404,Ingreso!$AL$11:$AM$260,2,FALSE)))/24),0)=0,"",IFERROR(IF(E404=E403,0,(HLOOKUP(D404,Ingreso!$AN$10:$AT$260,VLOOKUP(A404,Ingreso!$AL$11:$AM$260,2,FALSE)))/24),0))</f>
        <v/>
      </c>
      <c r="K404" s="65" t="str">
        <f>IF(IFERROR(IF(E404=E403,0,(HLOOKUP(C404,Ingreso!$AW$10:$BC$260,VLOOKUP(A404,Ingreso!$AL$11:$AM$260,2,FALSE)))/24),0)=0,"",IFERROR(IF(E404=E403,0,(HLOOKUP(C404,Ingreso!$AW$10:$BC$260,VLOOKUP(A404,Ingreso!$AL$11:$AM$260,2,FALSE)))/24),0))</f>
        <v/>
      </c>
      <c r="L404" s="63">
        <f t="shared" si="12"/>
        <v>0.3125</v>
      </c>
      <c r="M404" s="63" t="str">
        <f>IF(IFERROR(IF(C404=C402,0,IF(E404=E403,0,IF(C404=$R$2,HLOOKUP($R$2,Ingreso!$AW$10:$BC$260,VLOOKUP(A404,Ingreso!AL:AM,2,FALSE),FALSE)/24,""))),"")=0,"",IFERROR(IF(C404=C402,0,IF(E404=E403,0,IF(C404=$R$2,HLOOKUP($R$2,Ingreso!$AW$10:$BC$260,VLOOKUP(A404,Ingreso!AL:AM,2,FALSE),FALSE)/24,""))),""))</f>
        <v/>
      </c>
      <c r="N404" s="95" t="str">
        <f>IF(IFERROR(IF(C404=C402,0,IF(E404=E403,0,IF(C404=$R$3,HLOOKUP($R$3,Ingreso!$AW$10:$BC$260,VLOOKUP(A404,Ingreso!AL:AM,2,FALSE),FALSE)/24,""))),"")=0,"",IFERROR(IF(C404=C402,0,IF(E404=E403,0,IF(C404=$R$3,HLOOKUP($R$3,Ingreso!$AW$10:$BC$260,VLOOKUP(A404,Ingreso!AL:AM,2,FALSE),FALSE)/24,""))),""))</f>
        <v/>
      </c>
      <c r="O404" s="95" t="str">
        <f>IF(IFERROR(IF(C404=C402,0,IF(E404=E403,0,IF(C404=$R$4,HLOOKUP($R$4,Ingreso!$AW$10:$BC$260,VLOOKUP(A404,Ingreso!AL:AM,2,FALSE),FALSE)/24,""))),"")=0,"",IFERROR(IF(C404=C402,0,IF(E404=E403,0,IF(C404=$R$4,HLOOKUP($R$4,Ingreso!$AW$10:$BC$260,VLOOKUP(A404,Ingreso!AL:AM,2,FALSE),FALSE)/24,""))),""))</f>
        <v/>
      </c>
      <c r="P404" s="90"/>
      <c r="T404" t="s">
        <v>1424</v>
      </c>
      <c r="U404" t="s">
        <v>1322</v>
      </c>
      <c r="V404" t="s">
        <v>1399</v>
      </c>
      <c r="W404" s="82">
        <v>533</v>
      </c>
      <c r="X404" s="71">
        <v>0.3125</v>
      </c>
      <c r="Y404" s="101">
        <v>0.6165046296296296</v>
      </c>
      <c r="Z404" s="101">
        <v>0.94405092592592599</v>
      </c>
      <c r="AA404" s="101">
        <v>0.32754629629629639</v>
      </c>
      <c r="AB404" s="101">
        <v>1.5046296296296391E-2</v>
      </c>
      <c r="AC404" s="105">
        <v>0</v>
      </c>
      <c r="AD404" s="105">
        <v>0</v>
      </c>
      <c r="AE404" s="93">
        <v>0</v>
      </c>
      <c r="AF404" s="93">
        <v>0</v>
      </c>
      <c r="AG404" s="93">
        <v>0</v>
      </c>
    </row>
    <row r="405" spans="1:33">
      <c r="A405" s="65" t="str">
        <f>IFERROR(VLOOKUP('Informe Kelly'!A398,Base!A:B,2,FALSE),"")</f>
        <v>10.572.816-6</v>
      </c>
      <c r="B405" s="65" t="str">
        <f>IFERROR(VLOOKUP('Informe Kelly'!A398,Base!A:G,7,FALSE),"")</f>
        <v>VARGAS MORENO MARCO ANTONIO</v>
      </c>
      <c r="C405" s="69" t="str">
        <f>IF(G405=$C$4,IF('Informe Kelly'!H398='Control informe Kelly'!$A$2,TEXT(((LEFT('Informe Kelly'!E398,2)*1)+1),"dd")&amp;"."&amp;MID('Informe Kelly'!E398,4,2)&amp;"."&amp;RIGHT('Informe Kelly'!E398,4),'Informe Kelly'!E398),'Informe Kelly'!E398)</f>
        <v>13.04.2011</v>
      </c>
      <c r="D405" s="69" t="str">
        <f>IF('Informe Kelly'!E398="","",'Informe Kelly'!E398)</f>
        <v>13.04.2011</v>
      </c>
      <c r="E405" s="72">
        <f t="shared" si="13"/>
        <v>202</v>
      </c>
      <c r="F405" s="72" t="str">
        <f>IFERROR(HLOOKUP(C405,Ingreso!$Q$8:$AD$9,2,FALSE),"v")</f>
        <v>Miércoles</v>
      </c>
      <c r="G405" s="65" t="str">
        <f>IFERROR(VLOOKUP(A405,Ingreso!K:P,6,FALSE),"no esta ingresado")</f>
        <v>Turno B</v>
      </c>
      <c r="H405" s="65">
        <f>IFERROR(IF('Informe Kelly'!H398=$A$2,'Informe Kelly'!F398,""),0)</f>
        <v>0.60883101851851851</v>
      </c>
      <c r="I405" s="65" t="str">
        <f>IFERROR(IF('Informe Kelly'!H398=$A$3,'Informe Kelly'!F398,""),0)</f>
        <v/>
      </c>
      <c r="J405" s="65" t="str">
        <f>IF(IFERROR(IF(E405=E404,0,(HLOOKUP(D405,Ingreso!$AN$10:$AT$260,VLOOKUP(A405,Ingreso!$AL$11:$AM$260,2,FALSE)))/24),0)=0,"",IFERROR(IF(E405=E404,0,(HLOOKUP(D405,Ingreso!$AN$10:$AT$260,VLOOKUP(A405,Ingreso!$AL$11:$AM$260,2,FALSE)))/24),0))</f>
        <v/>
      </c>
      <c r="K405" s="65" t="str">
        <f>IF(IFERROR(IF(E405=E404,0,(HLOOKUP(C405,Ingreso!$AW$10:$BC$260,VLOOKUP(A405,Ingreso!$AL$11:$AM$260,2,FALSE)))/24),0)=0,"",IFERROR(IF(E405=E404,0,(HLOOKUP(C405,Ingreso!$AW$10:$BC$260,VLOOKUP(A405,Ingreso!$AL$11:$AM$260,2,FALSE)))/24),0))</f>
        <v/>
      </c>
      <c r="L405" s="63">
        <f t="shared" si="12"/>
        <v>0</v>
      </c>
      <c r="M405" s="63" t="str">
        <f>IF(IFERROR(IF(C405=C403,0,IF(E405=E404,0,IF(C405=$R$2,HLOOKUP($R$2,Ingreso!$AW$10:$BC$260,VLOOKUP(A405,Ingreso!AL:AM,2,FALSE),FALSE)/24,""))),"")=0,"",IFERROR(IF(C405=C403,0,IF(E405=E404,0,IF(C405=$R$2,HLOOKUP($R$2,Ingreso!$AW$10:$BC$260,VLOOKUP(A405,Ingreso!AL:AM,2,FALSE),FALSE)/24,""))),""))</f>
        <v/>
      </c>
      <c r="N405" s="95" t="str">
        <f>IF(IFERROR(IF(C405=C403,0,IF(E405=E404,0,IF(C405=$R$3,HLOOKUP($R$3,Ingreso!$AW$10:$BC$260,VLOOKUP(A405,Ingreso!AL:AM,2,FALSE),FALSE)/24,""))),"")=0,"",IFERROR(IF(C405=C403,0,IF(E405=E404,0,IF(C405=$R$3,HLOOKUP($R$3,Ingreso!$AW$10:$BC$260,VLOOKUP(A405,Ingreso!AL:AM,2,FALSE),FALSE)/24,""))),""))</f>
        <v/>
      </c>
      <c r="O405" s="95" t="str">
        <f>IF(IFERROR(IF(C405=C403,0,IF(E405=E404,0,IF(C405=$R$4,HLOOKUP($R$4,Ingreso!$AW$10:$BC$260,VLOOKUP(A405,Ingreso!AL:AM,2,FALSE),FALSE)/24,""))),"")=0,"",IFERROR(IF(C405=C403,0,IF(E405=E404,0,IF(C405=$R$4,HLOOKUP($R$4,Ingreso!$AW$10:$BC$260,VLOOKUP(A405,Ingreso!AL:AM,2,FALSE),FALSE)/24,""))),""))</f>
        <v/>
      </c>
      <c r="P405" s="90"/>
      <c r="T405" t="s">
        <v>1425</v>
      </c>
      <c r="U405" t="s">
        <v>1322</v>
      </c>
      <c r="V405" t="s">
        <v>1400</v>
      </c>
      <c r="W405" s="82">
        <v>534</v>
      </c>
      <c r="X405" s="71">
        <v>0.3125</v>
      </c>
      <c r="Y405" s="101">
        <v>0.62523148148148155</v>
      </c>
      <c r="Z405" s="101">
        <v>0.94763888888888881</v>
      </c>
      <c r="AA405" s="101">
        <v>0.32240740740740725</v>
      </c>
      <c r="AB405" s="101">
        <v>9.9074074074072538E-3</v>
      </c>
      <c r="AC405" s="105">
        <v>0</v>
      </c>
      <c r="AD405" s="105">
        <v>0</v>
      </c>
      <c r="AE405" s="93">
        <v>0</v>
      </c>
      <c r="AF405" s="93">
        <v>0</v>
      </c>
      <c r="AG405" s="93">
        <v>0</v>
      </c>
    </row>
    <row r="406" spans="1:33">
      <c r="A406" s="65" t="str">
        <f>IFERROR(VLOOKUP('Informe Kelly'!A399,Base!A:B,2,FALSE),"")</f>
        <v>10.572.816-6</v>
      </c>
      <c r="B406" s="65" t="str">
        <f>IFERROR(VLOOKUP('Informe Kelly'!A399,Base!A:G,7,FALSE),"")</f>
        <v>VARGAS MORENO MARCO ANTONIO</v>
      </c>
      <c r="C406" s="69" t="str">
        <f>IF(G406=$C$4,IF('Informe Kelly'!H399='Control informe Kelly'!$A$2,TEXT(((LEFT('Informe Kelly'!E399,2)*1)+1),"dd")&amp;"."&amp;MID('Informe Kelly'!E399,4,2)&amp;"."&amp;RIGHT('Informe Kelly'!E399,4),'Informe Kelly'!E399),'Informe Kelly'!E399)</f>
        <v>14.04.2011</v>
      </c>
      <c r="D406" s="69" t="str">
        <f>IF('Informe Kelly'!E399="","",'Informe Kelly'!E399)</f>
        <v>14.04.2011</v>
      </c>
      <c r="E406" s="72">
        <f t="shared" si="13"/>
        <v>203</v>
      </c>
      <c r="F406" s="72" t="str">
        <f>IFERROR(HLOOKUP(C406,Ingreso!$Q$8:$AD$9,2,FALSE),"v")</f>
        <v>Jueves</v>
      </c>
      <c r="G406" s="65" t="str">
        <f>IFERROR(VLOOKUP(A406,Ingreso!K:P,6,FALSE),"no esta ingresado")</f>
        <v>Turno B</v>
      </c>
      <c r="H406" s="65" t="str">
        <f>IFERROR(IF('Informe Kelly'!H399=$A$2,'Informe Kelly'!F399,""),0)</f>
        <v/>
      </c>
      <c r="I406" s="65">
        <f>IFERROR(IF('Informe Kelly'!H399=$A$3,'Informe Kelly'!F399,""),0)</f>
        <v>0.94734953703703706</v>
      </c>
      <c r="J406" s="65" t="str">
        <f>IF(IFERROR(IF(E406=E405,0,(HLOOKUP(D406,Ingreso!$AN$10:$AT$260,VLOOKUP(A406,Ingreso!$AL$11:$AM$260,2,FALSE)))/24),0)=0,"",IFERROR(IF(E406=E405,0,(HLOOKUP(D406,Ingreso!$AN$10:$AT$260,VLOOKUP(A406,Ingreso!$AL$11:$AM$260,2,FALSE)))/24),0))</f>
        <v/>
      </c>
      <c r="K406" s="65" t="str">
        <f>IF(IFERROR(IF(E406=E405,0,(HLOOKUP(C406,Ingreso!$AW$10:$BC$260,VLOOKUP(A406,Ingreso!$AL$11:$AM$260,2,FALSE)))/24),0)=0,"",IFERROR(IF(E406=E405,0,(HLOOKUP(C406,Ingreso!$AW$10:$BC$260,VLOOKUP(A406,Ingreso!$AL$11:$AM$260,2,FALSE)))/24),0))</f>
        <v/>
      </c>
      <c r="L406" s="63">
        <f t="shared" si="12"/>
        <v>0.3125</v>
      </c>
      <c r="M406" s="63" t="str">
        <f>IF(IFERROR(IF(C406=C404,0,IF(E406=E405,0,IF(C406=$R$2,HLOOKUP($R$2,Ingreso!$AW$10:$BC$260,VLOOKUP(A406,Ingreso!AL:AM,2,FALSE),FALSE)/24,""))),"")=0,"",IFERROR(IF(C406=C404,0,IF(E406=E405,0,IF(C406=$R$2,HLOOKUP($R$2,Ingreso!$AW$10:$BC$260,VLOOKUP(A406,Ingreso!AL:AM,2,FALSE),FALSE)/24,""))),""))</f>
        <v/>
      </c>
      <c r="N406" s="95" t="str">
        <f>IF(IFERROR(IF(C406=C404,0,IF(E406=E405,0,IF(C406=$R$3,HLOOKUP($R$3,Ingreso!$AW$10:$BC$260,VLOOKUP(A406,Ingreso!AL:AM,2,FALSE),FALSE)/24,""))),"")=0,"",IFERROR(IF(C406=C404,0,IF(E406=E405,0,IF(C406=$R$3,HLOOKUP($R$3,Ingreso!$AW$10:$BC$260,VLOOKUP(A406,Ingreso!AL:AM,2,FALSE),FALSE)/24,""))),""))</f>
        <v/>
      </c>
      <c r="O406" s="95" t="str">
        <f>IF(IFERROR(IF(C406=C404,0,IF(E406=E405,0,IF(C406=$R$4,HLOOKUP($R$4,Ingreso!$AW$10:$BC$260,VLOOKUP(A406,Ingreso!AL:AM,2,FALSE),FALSE)/24,""))),"")=0,"",IFERROR(IF(C406=C404,0,IF(E406=E405,0,IF(C406=$R$4,HLOOKUP($R$4,Ingreso!$AW$10:$BC$260,VLOOKUP(A406,Ingreso!AL:AM,2,FALSE),FALSE)/24,""))),""))</f>
        <v/>
      </c>
      <c r="P406" s="90"/>
      <c r="T406" t="s">
        <v>1426</v>
      </c>
      <c r="U406" t="s">
        <v>1322</v>
      </c>
      <c r="V406" t="s">
        <v>1401</v>
      </c>
      <c r="W406" s="82">
        <v>535</v>
      </c>
      <c r="X406" s="71">
        <v>0.3125</v>
      </c>
      <c r="Y406" s="101">
        <v>0.62320601851851853</v>
      </c>
      <c r="Z406" s="101">
        <v>0.94552083333333325</v>
      </c>
      <c r="AA406" s="101">
        <v>0.32231481481481472</v>
      </c>
      <c r="AB406" s="101">
        <v>9.8148148148147207E-3</v>
      </c>
      <c r="AC406" s="105">
        <v>0</v>
      </c>
      <c r="AD406" s="105">
        <v>0</v>
      </c>
      <c r="AE406" s="93">
        <v>0</v>
      </c>
      <c r="AF406" s="93">
        <v>0</v>
      </c>
      <c r="AG406" s="93">
        <v>0</v>
      </c>
    </row>
    <row r="407" spans="1:33">
      <c r="A407" s="65" t="str">
        <f>IFERROR(VLOOKUP('Informe Kelly'!A400,Base!A:B,2,FALSE),"")</f>
        <v>10.572.816-6</v>
      </c>
      <c r="B407" s="65" t="str">
        <f>IFERROR(VLOOKUP('Informe Kelly'!A400,Base!A:G,7,FALSE),"")</f>
        <v>VARGAS MORENO MARCO ANTONIO</v>
      </c>
      <c r="C407" s="69" t="str">
        <f>IF(G407=$C$4,IF('Informe Kelly'!H400='Control informe Kelly'!$A$2,TEXT(((LEFT('Informe Kelly'!E400,2)*1)+1),"dd")&amp;"."&amp;MID('Informe Kelly'!E400,4,2)&amp;"."&amp;RIGHT('Informe Kelly'!E400,4),'Informe Kelly'!E400),'Informe Kelly'!E400)</f>
        <v>14.04.2011</v>
      </c>
      <c r="D407" s="69" t="str">
        <f>IF('Informe Kelly'!E400="","",'Informe Kelly'!E400)</f>
        <v>14.04.2011</v>
      </c>
      <c r="E407" s="72">
        <f t="shared" si="13"/>
        <v>203</v>
      </c>
      <c r="F407" s="72" t="str">
        <f>IFERROR(HLOOKUP(C407,Ingreso!$Q$8:$AD$9,2,FALSE),"v")</f>
        <v>Jueves</v>
      </c>
      <c r="G407" s="65" t="str">
        <f>IFERROR(VLOOKUP(A407,Ingreso!K:P,6,FALSE),"no esta ingresado")</f>
        <v>Turno B</v>
      </c>
      <c r="H407" s="65">
        <f>IFERROR(IF('Informe Kelly'!H400=$A$2,'Informe Kelly'!F400,""),0)</f>
        <v>0.60792824074074081</v>
      </c>
      <c r="I407" s="65" t="str">
        <f>IFERROR(IF('Informe Kelly'!H400=$A$3,'Informe Kelly'!F400,""),0)</f>
        <v/>
      </c>
      <c r="J407" s="65" t="str">
        <f>IF(IFERROR(IF(E407=E406,0,(HLOOKUP(D407,Ingreso!$AN$10:$AT$260,VLOOKUP(A407,Ingreso!$AL$11:$AM$260,2,FALSE)))/24),0)=0,"",IFERROR(IF(E407=E406,0,(HLOOKUP(D407,Ingreso!$AN$10:$AT$260,VLOOKUP(A407,Ingreso!$AL$11:$AM$260,2,FALSE)))/24),0))</f>
        <v/>
      </c>
      <c r="K407" s="65" t="str">
        <f>IF(IFERROR(IF(E407=E406,0,(HLOOKUP(C407,Ingreso!$AW$10:$BC$260,VLOOKUP(A407,Ingreso!$AL$11:$AM$260,2,FALSE)))/24),0)=0,"",IFERROR(IF(E407=E406,0,(HLOOKUP(C407,Ingreso!$AW$10:$BC$260,VLOOKUP(A407,Ingreso!$AL$11:$AM$260,2,FALSE)))/24),0))</f>
        <v/>
      </c>
      <c r="L407" s="63">
        <f t="shared" si="12"/>
        <v>0</v>
      </c>
      <c r="M407" s="63" t="str">
        <f>IF(IFERROR(IF(C407=C405,0,IF(E407=E406,0,IF(C407=$R$2,HLOOKUP($R$2,Ingreso!$AW$10:$BC$260,VLOOKUP(A407,Ingreso!AL:AM,2,FALSE),FALSE)/24,""))),"")=0,"",IFERROR(IF(C407=C405,0,IF(E407=E406,0,IF(C407=$R$2,HLOOKUP($R$2,Ingreso!$AW$10:$BC$260,VLOOKUP(A407,Ingreso!AL:AM,2,FALSE),FALSE)/24,""))),""))</f>
        <v/>
      </c>
      <c r="N407" s="95" t="str">
        <f>IF(IFERROR(IF(C407=C405,0,IF(E407=E406,0,IF(C407=$R$3,HLOOKUP($R$3,Ingreso!$AW$10:$BC$260,VLOOKUP(A407,Ingreso!AL:AM,2,FALSE),FALSE)/24,""))),"")=0,"",IFERROR(IF(C407=C405,0,IF(E407=E406,0,IF(C407=$R$3,HLOOKUP($R$3,Ingreso!$AW$10:$BC$260,VLOOKUP(A407,Ingreso!AL:AM,2,FALSE),FALSE)/24,""))),""))</f>
        <v/>
      </c>
      <c r="O407" s="95" t="str">
        <f>IF(IFERROR(IF(C407=C405,0,IF(E407=E406,0,IF(C407=$R$4,HLOOKUP($R$4,Ingreso!$AW$10:$BC$260,VLOOKUP(A407,Ingreso!AL:AM,2,FALSE),FALSE)/24,""))),"")=0,"",IFERROR(IF(C407=C405,0,IF(E407=E406,0,IF(C407=$R$4,HLOOKUP($R$4,Ingreso!$AW$10:$BC$260,VLOOKUP(A407,Ingreso!AL:AM,2,FALSE),FALSE)/24,""))),""))</f>
        <v/>
      </c>
      <c r="P407" s="90"/>
      <c r="T407" t="s">
        <v>1427</v>
      </c>
      <c r="U407" t="s">
        <v>1322</v>
      </c>
      <c r="V407" t="s">
        <v>1402</v>
      </c>
      <c r="W407" s="82">
        <v>536</v>
      </c>
      <c r="X407" s="71">
        <v>0.3125</v>
      </c>
      <c r="Y407" s="101">
        <v>0.62219907407407404</v>
      </c>
      <c r="Z407" s="101">
        <v>0.9223958333333333</v>
      </c>
      <c r="AA407" s="101">
        <v>0.30019675925925926</v>
      </c>
      <c r="AB407" s="101">
        <v>-1.230324074074074E-2</v>
      </c>
      <c r="AC407" s="105">
        <v>0</v>
      </c>
      <c r="AD407" s="105">
        <v>0</v>
      </c>
      <c r="AE407" s="93">
        <v>0</v>
      </c>
      <c r="AF407" s="93">
        <v>0</v>
      </c>
      <c r="AG407" s="93">
        <v>0</v>
      </c>
    </row>
    <row r="408" spans="1:33">
      <c r="A408" s="65" t="str">
        <f>IFERROR(VLOOKUP('Informe Kelly'!A401,Base!A:B,2,FALSE),"")</f>
        <v>10.572.816-6</v>
      </c>
      <c r="B408" s="65" t="str">
        <f>IFERROR(VLOOKUP('Informe Kelly'!A401,Base!A:G,7,FALSE),"")</f>
        <v>VARGAS MORENO MARCO ANTONIO</v>
      </c>
      <c r="C408" s="69" t="str">
        <f>IF(G408=$C$4,IF('Informe Kelly'!H401='Control informe Kelly'!$A$2,TEXT(((LEFT('Informe Kelly'!E401,2)*1)+1),"dd")&amp;"."&amp;MID('Informe Kelly'!E401,4,2)&amp;"."&amp;RIGHT('Informe Kelly'!E401,4),'Informe Kelly'!E401),'Informe Kelly'!E401)</f>
        <v>15.04.2011</v>
      </c>
      <c r="D408" s="69" t="str">
        <f>IF('Informe Kelly'!E401="","",'Informe Kelly'!E401)</f>
        <v>15.04.2011</v>
      </c>
      <c r="E408" s="72">
        <f t="shared" si="13"/>
        <v>204</v>
      </c>
      <c r="F408" s="72" t="str">
        <f>IFERROR(HLOOKUP(C408,Ingreso!$Q$8:$AD$9,2,FALSE),"v")</f>
        <v>Viernes</v>
      </c>
      <c r="G408" s="65" t="str">
        <f>IFERROR(VLOOKUP(A408,Ingreso!K:P,6,FALSE),"no esta ingresado")</f>
        <v>Turno B</v>
      </c>
      <c r="H408" s="65" t="str">
        <f>IFERROR(IF('Informe Kelly'!H401=$A$2,'Informe Kelly'!F401,""),0)</f>
        <v/>
      </c>
      <c r="I408" s="65">
        <f>IFERROR(IF('Informe Kelly'!H401=$A$3,'Informe Kelly'!F401,""),0)</f>
        <v>0.94944444444444442</v>
      </c>
      <c r="J408" s="65" t="str">
        <f>IF(IFERROR(IF(E408=E407,0,(HLOOKUP(D408,Ingreso!$AN$10:$AT$260,VLOOKUP(A408,Ingreso!$AL$11:$AM$260,2,FALSE)))/24),0)=0,"",IFERROR(IF(E408=E407,0,(HLOOKUP(D408,Ingreso!$AN$10:$AT$260,VLOOKUP(A408,Ingreso!$AL$11:$AM$260,2,FALSE)))/24),0))</f>
        <v/>
      </c>
      <c r="K408" s="65" t="str">
        <f>IF(IFERROR(IF(E408=E407,0,(HLOOKUP(C408,Ingreso!$AW$10:$BC$260,VLOOKUP(A408,Ingreso!$AL$11:$AM$260,2,FALSE)))/24),0)=0,"",IFERROR(IF(E408=E407,0,(HLOOKUP(C408,Ingreso!$AW$10:$BC$260,VLOOKUP(A408,Ingreso!$AL$11:$AM$260,2,FALSE)))/24),0))</f>
        <v/>
      </c>
      <c r="L408" s="63">
        <f t="shared" si="12"/>
        <v>0.3125</v>
      </c>
      <c r="M408" s="63" t="str">
        <f>IF(IFERROR(IF(C408=C406,0,IF(E408=E407,0,IF(C408=$R$2,HLOOKUP($R$2,Ingreso!$AW$10:$BC$260,VLOOKUP(A408,Ingreso!AL:AM,2,FALSE),FALSE)/24,""))),"")=0,"",IFERROR(IF(C408=C406,0,IF(E408=E407,0,IF(C408=$R$2,HLOOKUP($R$2,Ingreso!$AW$10:$BC$260,VLOOKUP(A408,Ingreso!AL:AM,2,FALSE),FALSE)/24,""))),""))</f>
        <v/>
      </c>
      <c r="N408" s="95" t="str">
        <f>IF(IFERROR(IF(C408=C406,0,IF(E408=E407,0,IF(C408=$R$3,HLOOKUP($R$3,Ingreso!$AW$10:$BC$260,VLOOKUP(A408,Ingreso!AL:AM,2,FALSE),FALSE)/24,""))),"")=0,"",IFERROR(IF(C408=C406,0,IF(E408=E407,0,IF(C408=$R$3,HLOOKUP($R$3,Ingreso!$AW$10:$BC$260,VLOOKUP(A408,Ingreso!AL:AM,2,FALSE),FALSE)/24,""))),""))</f>
        <v/>
      </c>
      <c r="O408" s="95" t="str">
        <f>IF(IFERROR(IF(C408=C406,0,IF(E408=E407,0,IF(C408=$R$4,HLOOKUP($R$4,Ingreso!$AW$10:$BC$260,VLOOKUP(A408,Ingreso!AL:AM,2,FALSE),FALSE)/24,""))),"")=0,"",IFERROR(IF(C408=C406,0,IF(E408=E407,0,IF(C408=$R$4,HLOOKUP($R$4,Ingreso!$AW$10:$BC$260,VLOOKUP(A408,Ingreso!AL:AM,2,FALSE),FALSE)/24,""))),""))</f>
        <v/>
      </c>
      <c r="P408" s="90"/>
      <c r="R408" t="s">
        <v>437</v>
      </c>
      <c r="S408" t="s">
        <v>441</v>
      </c>
      <c r="T408" t="s">
        <v>1423</v>
      </c>
      <c r="U408" t="s">
        <v>1324</v>
      </c>
      <c r="V408" t="s">
        <v>1398</v>
      </c>
      <c r="W408" s="82">
        <v>537</v>
      </c>
      <c r="X408" s="71">
        <v>0.375</v>
      </c>
      <c r="Y408" s="101">
        <v>0.9387847222222222</v>
      </c>
      <c r="Z408" s="101">
        <v>0.3208449074074074</v>
      </c>
      <c r="AA408" s="101">
        <v>0.38206018518518514</v>
      </c>
      <c r="AB408" s="101">
        <v>7.0601851851851416E-3</v>
      </c>
      <c r="AC408" s="105">
        <v>0</v>
      </c>
      <c r="AD408" s="105">
        <v>0</v>
      </c>
      <c r="AE408" s="93">
        <v>0</v>
      </c>
      <c r="AF408" s="93">
        <v>0</v>
      </c>
      <c r="AG408" s="93">
        <v>0</v>
      </c>
    </row>
    <row r="409" spans="1:33" ht="12.75" customHeight="1">
      <c r="A409" s="65" t="str">
        <f>IFERROR(VLOOKUP('Informe Kelly'!A402,Base!A:B,2,FALSE),"")</f>
        <v>10.572.816-6</v>
      </c>
      <c r="B409" s="65" t="str">
        <f>IFERROR(VLOOKUP('Informe Kelly'!A402,Base!A:G,7,FALSE),"")</f>
        <v>VARGAS MORENO MARCO ANTONIO</v>
      </c>
      <c r="C409" s="69" t="str">
        <f>IF(G409=$C$4,IF('Informe Kelly'!H402='Control informe Kelly'!$A$2,TEXT(((LEFT('Informe Kelly'!E402,2)*1)+1),"dd")&amp;"."&amp;MID('Informe Kelly'!E402,4,2)&amp;"."&amp;RIGHT('Informe Kelly'!E402,4),'Informe Kelly'!E402),'Informe Kelly'!E402)</f>
        <v>15.04.2011</v>
      </c>
      <c r="D409" s="69" t="str">
        <f>IF('Informe Kelly'!E402="","",'Informe Kelly'!E402)</f>
        <v>15.04.2011</v>
      </c>
      <c r="E409" s="72">
        <f t="shared" si="13"/>
        <v>204</v>
      </c>
      <c r="F409" s="72" t="str">
        <f>IFERROR(HLOOKUP(C409,Ingreso!$Q$8:$AD$9,2,FALSE),"v")</f>
        <v>Viernes</v>
      </c>
      <c r="G409" s="65" t="str">
        <f>IFERROR(VLOOKUP(A409,Ingreso!K:P,6,FALSE),"no esta ingresado")</f>
        <v>Turno B</v>
      </c>
      <c r="H409" s="65">
        <f>IFERROR(IF('Informe Kelly'!H402=$A$2,'Informe Kelly'!F402,""),0)</f>
        <v>0.609375</v>
      </c>
      <c r="I409" s="65" t="str">
        <f>IFERROR(IF('Informe Kelly'!H402=$A$3,'Informe Kelly'!F402,""),0)</f>
        <v/>
      </c>
      <c r="J409" s="65" t="str">
        <f>IF(IFERROR(IF(E409=E408,0,(HLOOKUP(D409,Ingreso!$AN$10:$AT$260,VLOOKUP(A409,Ingreso!$AL$11:$AM$260,2,FALSE)))/24),0)=0,"",IFERROR(IF(E409=E408,0,(HLOOKUP(D409,Ingreso!$AN$10:$AT$260,VLOOKUP(A409,Ingreso!$AL$11:$AM$260,2,FALSE)))/24),0))</f>
        <v/>
      </c>
      <c r="K409" s="65" t="str">
        <f>IF(IFERROR(IF(E409=E408,0,(HLOOKUP(C409,Ingreso!$AW$10:$BC$260,VLOOKUP(A409,Ingreso!$AL$11:$AM$260,2,FALSE)))/24),0)=0,"",IFERROR(IF(E409=E408,0,(HLOOKUP(C409,Ingreso!$AW$10:$BC$260,VLOOKUP(A409,Ingreso!$AL$11:$AM$260,2,FALSE)))/24),0))</f>
        <v/>
      </c>
      <c r="L409" s="63">
        <f t="shared" si="12"/>
        <v>0</v>
      </c>
      <c r="M409" s="63" t="str">
        <f>IF(IFERROR(IF(C409=C407,0,IF(E409=E408,0,IF(C409=$R$2,HLOOKUP($R$2,Ingreso!$AW$10:$BC$260,VLOOKUP(A409,Ingreso!AL:AM,2,FALSE),FALSE)/24,""))),"")=0,"",IFERROR(IF(C409=C407,0,IF(E409=E408,0,IF(C409=$R$2,HLOOKUP($R$2,Ingreso!$AW$10:$BC$260,VLOOKUP(A409,Ingreso!AL:AM,2,FALSE),FALSE)/24,""))),""))</f>
        <v/>
      </c>
      <c r="N409" s="95" t="str">
        <f>IF(IFERROR(IF(C409=C407,0,IF(E409=E408,0,IF(C409=$R$3,HLOOKUP($R$3,Ingreso!$AW$10:$BC$260,VLOOKUP(A409,Ingreso!AL:AM,2,FALSE),FALSE)/24,""))),"")=0,"",IFERROR(IF(C409=C407,0,IF(E409=E408,0,IF(C409=$R$3,HLOOKUP($R$3,Ingreso!$AW$10:$BC$260,VLOOKUP(A409,Ingreso!AL:AM,2,FALSE),FALSE)/24,""))),""))</f>
        <v/>
      </c>
      <c r="O409" s="95" t="str">
        <f>IF(IFERROR(IF(C409=C407,0,IF(E409=E408,0,IF(C409=$R$4,HLOOKUP($R$4,Ingreso!$AW$10:$BC$260,VLOOKUP(A409,Ingreso!AL:AM,2,FALSE),FALSE)/24,""))),"")=0,"",IFERROR(IF(C409=C407,0,IF(E409=E408,0,IF(C409=$R$4,HLOOKUP($R$4,Ingreso!$AW$10:$BC$260,VLOOKUP(A409,Ingreso!AL:AM,2,FALSE),FALSE)/24,""))),""))</f>
        <v/>
      </c>
      <c r="P409" s="90"/>
      <c r="T409" t="s">
        <v>1424</v>
      </c>
      <c r="U409" t="s">
        <v>1324</v>
      </c>
      <c r="V409" t="s">
        <v>1399</v>
      </c>
      <c r="W409" s="82">
        <v>538</v>
      </c>
      <c r="X409" s="71">
        <v>0.375</v>
      </c>
      <c r="Y409" s="101">
        <v>0.93059027777777781</v>
      </c>
      <c r="Z409" s="101">
        <v>0.32973379629629629</v>
      </c>
      <c r="AA409" s="101">
        <v>0.39914351851851848</v>
      </c>
      <c r="AB409" s="101">
        <v>2.4143518518518481E-2</v>
      </c>
      <c r="AC409" s="105">
        <v>0</v>
      </c>
      <c r="AD409" s="105">
        <v>0</v>
      </c>
      <c r="AE409" s="93">
        <v>0</v>
      </c>
      <c r="AF409" s="93">
        <v>0</v>
      </c>
      <c r="AG409" s="93">
        <v>0</v>
      </c>
    </row>
    <row r="410" spans="1:33">
      <c r="A410" s="65" t="str">
        <f>IFERROR(VLOOKUP('Informe Kelly'!A403,Base!A:B,2,FALSE),"")</f>
        <v>10.572.816-6</v>
      </c>
      <c r="B410" s="65" t="str">
        <f>IFERROR(VLOOKUP('Informe Kelly'!A403,Base!A:G,7,FALSE),"")</f>
        <v>VARGAS MORENO MARCO ANTONIO</v>
      </c>
      <c r="C410" s="69" t="str">
        <f>IF(G410=$C$4,IF('Informe Kelly'!H403='Control informe Kelly'!$A$2,TEXT(((LEFT('Informe Kelly'!E403,2)*1)+1),"dd")&amp;"."&amp;MID('Informe Kelly'!E403,4,2)&amp;"."&amp;RIGHT('Informe Kelly'!E403,4),'Informe Kelly'!E403),'Informe Kelly'!E403)</f>
        <v>16.04.2011</v>
      </c>
      <c r="D410" s="69" t="str">
        <f>IF('Informe Kelly'!E403="","",'Informe Kelly'!E403)</f>
        <v>16.04.2011</v>
      </c>
      <c r="E410" s="72">
        <f t="shared" si="13"/>
        <v>205</v>
      </c>
      <c r="F410" s="72" t="str">
        <f>IFERROR(HLOOKUP(C410,Ingreso!$Q$8:$AD$9,2,FALSE),"v")</f>
        <v>Sábado</v>
      </c>
      <c r="G410" s="65" t="str">
        <f>IFERROR(VLOOKUP(A410,Ingreso!K:P,6,FALSE),"no esta ingresado")</f>
        <v>Turno B</v>
      </c>
      <c r="H410" s="65" t="str">
        <f>IFERROR(IF('Informe Kelly'!H403=$A$2,'Informe Kelly'!F403,""),0)</f>
        <v/>
      </c>
      <c r="I410" s="65">
        <f>IFERROR(IF('Informe Kelly'!H403=$A$3,'Informe Kelly'!F403,""),0)</f>
        <v>0.94820601851851849</v>
      </c>
      <c r="J410" s="65" t="str">
        <f>IF(IFERROR(IF(E410=E409,0,(HLOOKUP(D410,Ingreso!$AN$10:$AT$260,VLOOKUP(A410,Ingreso!$AL$11:$AM$260,2,FALSE)))/24),0)=0,"",IFERROR(IF(E410=E409,0,(HLOOKUP(D410,Ingreso!$AN$10:$AT$260,VLOOKUP(A410,Ingreso!$AL$11:$AM$260,2,FALSE)))/24),0))</f>
        <v/>
      </c>
      <c r="K410" s="65" t="str">
        <f>IF(IFERROR(IF(E410=E409,0,(HLOOKUP(C410,Ingreso!$AW$10:$BC$260,VLOOKUP(A410,Ingreso!$AL$11:$AM$260,2,FALSE)))/24),0)=0,"",IFERROR(IF(E410=E409,0,(HLOOKUP(C410,Ingreso!$AW$10:$BC$260,VLOOKUP(A410,Ingreso!$AL$11:$AM$260,2,FALSE)))/24),0))</f>
        <v/>
      </c>
      <c r="L410" s="63">
        <f t="shared" si="12"/>
        <v>0.3125</v>
      </c>
      <c r="M410" s="63" t="str">
        <f>IF(IFERROR(IF(C410=C408,0,IF(E410=E409,0,IF(C410=$R$2,HLOOKUP($R$2,Ingreso!$AW$10:$BC$260,VLOOKUP(A410,Ingreso!AL:AM,2,FALSE),FALSE)/24,""))),"")=0,"",IFERROR(IF(C410=C408,0,IF(E410=E409,0,IF(C410=$R$2,HLOOKUP($R$2,Ingreso!$AW$10:$BC$260,VLOOKUP(A410,Ingreso!AL:AM,2,FALSE),FALSE)/24,""))),""))</f>
        <v/>
      </c>
      <c r="N410" s="95" t="str">
        <f>IF(IFERROR(IF(C410=C408,0,IF(E410=E409,0,IF(C410=$R$3,HLOOKUP($R$3,Ingreso!$AW$10:$BC$260,VLOOKUP(A410,Ingreso!AL:AM,2,FALSE),FALSE)/24,""))),"")=0,"",IFERROR(IF(C410=C408,0,IF(E410=E409,0,IF(C410=$R$3,HLOOKUP($R$3,Ingreso!$AW$10:$BC$260,VLOOKUP(A410,Ingreso!AL:AM,2,FALSE),FALSE)/24,""))),""))</f>
        <v/>
      </c>
      <c r="O410" s="95" t="str">
        <f>IF(IFERROR(IF(C410=C408,0,IF(E410=E409,0,IF(C410=$R$4,HLOOKUP($R$4,Ingreso!$AW$10:$BC$260,VLOOKUP(A410,Ingreso!AL:AM,2,FALSE),FALSE)/24,""))),"")=0,"",IFERROR(IF(C410=C408,0,IF(E410=E409,0,IF(C410=$R$4,HLOOKUP($R$4,Ingreso!$AW$10:$BC$260,VLOOKUP(A410,Ingreso!AL:AM,2,FALSE),FALSE)/24,""))),""))</f>
        <v/>
      </c>
      <c r="P410" s="90"/>
      <c r="T410" t="s">
        <v>1425</v>
      </c>
      <c r="U410" t="s">
        <v>1324</v>
      </c>
      <c r="V410" t="s">
        <v>1400</v>
      </c>
      <c r="W410" s="82">
        <v>539</v>
      </c>
      <c r="X410" s="71">
        <v>0.375</v>
      </c>
      <c r="Y410" s="101">
        <v>0.92776620370370377</v>
      </c>
      <c r="Z410" s="101">
        <v>0.32793981481481482</v>
      </c>
      <c r="AA410" s="101">
        <v>0.40017361111111105</v>
      </c>
      <c r="AB410" s="101">
        <v>2.5173611111111049E-2</v>
      </c>
      <c r="AC410" s="105">
        <v>0</v>
      </c>
      <c r="AD410" s="105">
        <v>0</v>
      </c>
      <c r="AE410" s="93">
        <v>0</v>
      </c>
      <c r="AF410" s="93">
        <v>0</v>
      </c>
      <c r="AG410" s="93">
        <v>0</v>
      </c>
    </row>
    <row r="411" spans="1:33">
      <c r="A411" s="65" t="str">
        <f>IFERROR(VLOOKUP('Informe Kelly'!A404,Base!A:B,2,FALSE),"")</f>
        <v>10.572.816-6</v>
      </c>
      <c r="B411" s="65" t="str">
        <f>IFERROR(VLOOKUP('Informe Kelly'!A404,Base!A:G,7,FALSE),"")</f>
        <v>VARGAS MORENO MARCO ANTONIO</v>
      </c>
      <c r="C411" s="69" t="str">
        <f>IF(G411=$C$4,IF('Informe Kelly'!H404='Control informe Kelly'!$A$2,TEXT(((LEFT('Informe Kelly'!E404,2)*1)+1),"dd")&amp;"."&amp;MID('Informe Kelly'!E404,4,2)&amp;"."&amp;RIGHT('Informe Kelly'!E404,4),'Informe Kelly'!E404),'Informe Kelly'!E404)</f>
        <v>16.04.2011</v>
      </c>
      <c r="D411" s="69" t="str">
        <f>IF('Informe Kelly'!E404="","",'Informe Kelly'!E404)</f>
        <v>16.04.2011</v>
      </c>
      <c r="E411" s="72">
        <f t="shared" si="13"/>
        <v>205</v>
      </c>
      <c r="F411" s="72" t="str">
        <f>IFERROR(HLOOKUP(C411,Ingreso!$Q$8:$AD$9,2,FALSE),"v")</f>
        <v>Sábado</v>
      </c>
      <c r="G411" s="65" t="str">
        <f>IFERROR(VLOOKUP(A411,Ingreso!K:P,6,FALSE),"no esta ingresado")</f>
        <v>Turno B</v>
      </c>
      <c r="H411" s="65">
        <f>IFERROR(IF('Informe Kelly'!H404=$A$2,'Informe Kelly'!F404,""),0)</f>
        <v>0.61692129629629633</v>
      </c>
      <c r="I411" s="65" t="str">
        <f>IFERROR(IF('Informe Kelly'!H404=$A$3,'Informe Kelly'!F404,""),0)</f>
        <v/>
      </c>
      <c r="J411" s="65" t="str">
        <f>IF(IFERROR(IF(E411=E410,0,(HLOOKUP(D411,Ingreso!$AN$10:$AT$260,VLOOKUP(A411,Ingreso!$AL$11:$AM$260,2,FALSE)))/24),0)=0,"",IFERROR(IF(E411=E410,0,(HLOOKUP(D411,Ingreso!$AN$10:$AT$260,VLOOKUP(A411,Ingreso!$AL$11:$AM$260,2,FALSE)))/24),0))</f>
        <v/>
      </c>
      <c r="K411" s="65" t="str">
        <f>IF(IFERROR(IF(E411=E410,0,(HLOOKUP(C411,Ingreso!$AW$10:$BC$260,VLOOKUP(A411,Ingreso!$AL$11:$AM$260,2,FALSE)))/24),0)=0,"",IFERROR(IF(E411=E410,0,(HLOOKUP(C411,Ingreso!$AW$10:$BC$260,VLOOKUP(A411,Ingreso!$AL$11:$AM$260,2,FALSE)))/24),0))</f>
        <v/>
      </c>
      <c r="L411" s="63">
        <f t="shared" si="12"/>
        <v>0</v>
      </c>
      <c r="M411" s="63" t="str">
        <f>IF(IFERROR(IF(C411=C409,0,IF(E411=E410,0,IF(C411=$R$2,HLOOKUP($R$2,Ingreso!$AW$10:$BC$260,VLOOKUP(A411,Ingreso!AL:AM,2,FALSE),FALSE)/24,""))),"")=0,"",IFERROR(IF(C411=C409,0,IF(E411=E410,0,IF(C411=$R$2,HLOOKUP($R$2,Ingreso!$AW$10:$BC$260,VLOOKUP(A411,Ingreso!AL:AM,2,FALSE),FALSE)/24,""))),""))</f>
        <v/>
      </c>
      <c r="N411" s="95" t="str">
        <f>IF(IFERROR(IF(C411=C409,0,IF(E411=E410,0,IF(C411=$R$3,HLOOKUP($R$3,Ingreso!$AW$10:$BC$260,VLOOKUP(A411,Ingreso!AL:AM,2,FALSE),FALSE)/24,""))),"")=0,"",IFERROR(IF(C411=C409,0,IF(E411=E410,0,IF(C411=$R$3,HLOOKUP($R$3,Ingreso!$AW$10:$BC$260,VLOOKUP(A411,Ingreso!AL:AM,2,FALSE),FALSE)/24,""))),""))</f>
        <v/>
      </c>
      <c r="O411" s="95" t="str">
        <f>IF(IFERROR(IF(C411=C409,0,IF(E411=E410,0,IF(C411=$R$4,HLOOKUP($R$4,Ingreso!$AW$10:$BC$260,VLOOKUP(A411,Ingreso!AL:AM,2,FALSE),FALSE)/24,""))),"")=0,"",IFERROR(IF(C411=C409,0,IF(E411=E410,0,IF(C411=$R$4,HLOOKUP($R$4,Ingreso!$AW$10:$BC$260,VLOOKUP(A411,Ingreso!AL:AM,2,FALSE),FALSE)/24,""))),""))</f>
        <v/>
      </c>
      <c r="P411" s="90"/>
      <c r="T411" t="s">
        <v>1426</v>
      </c>
      <c r="U411" t="s">
        <v>1324</v>
      </c>
      <c r="V411" t="s">
        <v>1401</v>
      </c>
      <c r="W411" s="82">
        <v>540</v>
      </c>
      <c r="X411" s="71">
        <v>0.375</v>
      </c>
      <c r="Y411" s="101">
        <v>0.9293865740740741</v>
      </c>
      <c r="Z411" s="101">
        <v>0.32817129629629632</v>
      </c>
      <c r="AA411" s="101">
        <v>0.39878472222222228</v>
      </c>
      <c r="AB411" s="101">
        <v>2.3784722222222276E-2</v>
      </c>
      <c r="AC411" s="105">
        <v>0</v>
      </c>
      <c r="AD411" s="105">
        <v>0</v>
      </c>
      <c r="AE411" s="93">
        <v>0</v>
      </c>
      <c r="AF411" s="93">
        <v>0</v>
      </c>
      <c r="AG411" s="93">
        <v>0</v>
      </c>
    </row>
    <row r="412" spans="1:33">
      <c r="A412" s="65" t="str">
        <f>IFERROR(VLOOKUP('Informe Kelly'!A405,Base!A:B,2,FALSE),"")</f>
        <v>10.835.391-0</v>
      </c>
      <c r="B412" s="65" t="str">
        <f>IFERROR(VLOOKUP('Informe Kelly'!A405,Base!A:G,7,FALSE),"")</f>
        <v>SANCHEZ VASQUEZ DANIEL PATRICIO</v>
      </c>
      <c r="C412" s="69" t="str">
        <f>IF(G412=$C$4,IF('Informe Kelly'!H405='Control informe Kelly'!$A$2,TEXT(((LEFT('Informe Kelly'!E405,2)*1)+1),"dd")&amp;"."&amp;MID('Informe Kelly'!E405,4,2)&amp;"."&amp;RIGHT('Informe Kelly'!E405,4),'Informe Kelly'!E405),'Informe Kelly'!E405)</f>
        <v>11.04.2011</v>
      </c>
      <c r="D412" s="69" t="str">
        <f>IF('Informe Kelly'!E405="","",'Informe Kelly'!E405)</f>
        <v>11.04.2011</v>
      </c>
      <c r="E412" s="72">
        <f t="shared" si="13"/>
        <v>206</v>
      </c>
      <c r="F412" s="72" t="str">
        <f>IFERROR(HLOOKUP(C412,Ingreso!$Q$8:$AD$9,2,FALSE),"v")</f>
        <v>Lunes</v>
      </c>
      <c r="G412" s="65" t="str">
        <f>IFERROR(VLOOKUP(A412,Ingreso!K:P,6,FALSE),"no esta ingresado")</f>
        <v>Turno A</v>
      </c>
      <c r="H412" s="65" t="str">
        <f>IFERROR(IF('Informe Kelly'!H405=$A$2,'Informe Kelly'!F405,""),0)</f>
        <v/>
      </c>
      <c r="I412" s="65">
        <f>IFERROR(IF('Informe Kelly'!H405=$A$3,'Informe Kelly'!F405,""),0)</f>
        <v>0.6337962962962963</v>
      </c>
      <c r="J412" s="65" t="str">
        <f>IF(IFERROR(IF(E412=E411,0,(HLOOKUP(D412,Ingreso!$AN$10:$AT$260,VLOOKUP(A412,Ingreso!$AL$11:$AM$260,2,FALSE)))/24),0)=0,"",IFERROR(IF(E412=E411,0,(HLOOKUP(D412,Ingreso!$AN$10:$AT$260,VLOOKUP(A412,Ingreso!$AL$11:$AM$260,2,FALSE)))/24),0))</f>
        <v/>
      </c>
      <c r="K412" s="65" t="str">
        <f>IF(IFERROR(IF(E412=E411,0,(HLOOKUP(C412,Ingreso!$AW$10:$BC$260,VLOOKUP(A412,Ingreso!$AL$11:$AM$260,2,FALSE)))/24),0)=0,"",IFERROR(IF(E412=E411,0,(HLOOKUP(C412,Ingreso!$AW$10:$BC$260,VLOOKUP(A412,Ingreso!$AL$11:$AM$260,2,FALSE)))/24),0))</f>
        <v/>
      </c>
      <c r="L412" s="63">
        <f t="shared" si="12"/>
        <v>0.3125</v>
      </c>
      <c r="M412" s="63" t="str">
        <f>IF(IFERROR(IF(C412=C410,0,IF(E412=E411,0,IF(C412=$R$2,HLOOKUP($R$2,Ingreso!$AW$10:$BC$260,VLOOKUP(A412,Ingreso!AL:AM,2,FALSE),FALSE)/24,""))),"")=0,"",IFERROR(IF(C412=C410,0,IF(E412=E411,0,IF(C412=$R$2,HLOOKUP($R$2,Ingreso!$AW$10:$BC$260,VLOOKUP(A412,Ingreso!AL:AM,2,FALSE),FALSE)/24,""))),""))</f>
        <v/>
      </c>
      <c r="N412" s="95" t="str">
        <f>IF(IFERROR(IF(C412=C410,0,IF(E412=E411,0,IF(C412=$R$3,HLOOKUP($R$3,Ingreso!$AW$10:$BC$260,VLOOKUP(A412,Ingreso!AL:AM,2,FALSE),FALSE)/24,""))),"")=0,"",IFERROR(IF(C412=C410,0,IF(E412=E411,0,IF(C412=$R$3,HLOOKUP($R$3,Ingreso!$AW$10:$BC$260,VLOOKUP(A412,Ingreso!AL:AM,2,FALSE),FALSE)/24,""))),""))</f>
        <v/>
      </c>
      <c r="O412" s="95" t="str">
        <f>IF(IFERROR(IF(C412=C410,0,IF(E412=E411,0,IF(C412=$R$4,HLOOKUP($R$4,Ingreso!$AW$10:$BC$260,VLOOKUP(A412,Ingreso!AL:AM,2,FALSE),FALSE)/24,""))),"")=0,"",IFERROR(IF(C412=C410,0,IF(E412=E411,0,IF(C412=$R$4,HLOOKUP($R$4,Ingreso!$AW$10:$BC$260,VLOOKUP(A412,Ingreso!AL:AM,2,FALSE),FALSE)/24,""))),""))</f>
        <v/>
      </c>
      <c r="P412" s="90"/>
      <c r="T412" t="s">
        <v>1427</v>
      </c>
      <c r="U412" t="s">
        <v>1324</v>
      </c>
      <c r="V412" t="s">
        <v>1402</v>
      </c>
      <c r="W412" s="82">
        <v>541</v>
      </c>
      <c r="X412" s="71">
        <v>0.375</v>
      </c>
      <c r="Y412" s="101">
        <v>0.92643518518518519</v>
      </c>
      <c r="Z412" s="101">
        <v>0.32981481481481484</v>
      </c>
      <c r="AA412" s="101">
        <v>0.40337962962962959</v>
      </c>
      <c r="AB412" s="101">
        <v>2.8379629629629588E-2</v>
      </c>
      <c r="AC412" s="105">
        <v>0</v>
      </c>
      <c r="AD412" s="105">
        <v>0</v>
      </c>
      <c r="AE412" s="93">
        <v>0</v>
      </c>
      <c r="AF412" s="93">
        <v>0</v>
      </c>
      <c r="AG412" s="93">
        <v>0</v>
      </c>
    </row>
    <row r="413" spans="1:33">
      <c r="A413" s="65" t="str">
        <f>IFERROR(VLOOKUP('Informe Kelly'!A406,Base!A:B,2,FALSE),"")</f>
        <v>10.835.391-0</v>
      </c>
      <c r="B413" s="65" t="str">
        <f>IFERROR(VLOOKUP('Informe Kelly'!A406,Base!A:G,7,FALSE),"")</f>
        <v>SANCHEZ VASQUEZ DANIEL PATRICIO</v>
      </c>
      <c r="C413" s="69" t="str">
        <f>IF(G413=$C$4,IF('Informe Kelly'!H406='Control informe Kelly'!$A$2,TEXT(((LEFT('Informe Kelly'!E406,2)*1)+1),"dd")&amp;"."&amp;MID('Informe Kelly'!E406,4,2)&amp;"."&amp;RIGHT('Informe Kelly'!E406,4),'Informe Kelly'!E406),'Informe Kelly'!E406)</f>
        <v>11.04.2011</v>
      </c>
      <c r="D413" s="69" t="str">
        <f>IF('Informe Kelly'!E406="","",'Informe Kelly'!E406)</f>
        <v>11.04.2011</v>
      </c>
      <c r="E413" s="72">
        <f t="shared" si="13"/>
        <v>206</v>
      </c>
      <c r="F413" s="72" t="str">
        <f>IFERROR(HLOOKUP(C413,Ingreso!$Q$8:$AD$9,2,FALSE),"v")</f>
        <v>Lunes</v>
      </c>
      <c r="G413" s="65" t="str">
        <f>IFERROR(VLOOKUP(A413,Ingreso!K:P,6,FALSE),"no esta ingresado")</f>
        <v>Turno A</v>
      </c>
      <c r="H413" s="65">
        <f>IFERROR(IF('Informe Kelly'!H406=$A$2,'Informe Kelly'!F406,""),0)</f>
        <v>0.33281250000000001</v>
      </c>
      <c r="I413" s="65" t="str">
        <f>IFERROR(IF('Informe Kelly'!H406=$A$3,'Informe Kelly'!F406,""),0)</f>
        <v/>
      </c>
      <c r="J413" s="65" t="str">
        <f>IF(IFERROR(IF(E413=E412,0,(HLOOKUP(D413,Ingreso!$AN$10:$AT$260,VLOOKUP(A413,Ingreso!$AL$11:$AM$260,2,FALSE)))/24),0)=0,"",IFERROR(IF(E413=E412,0,(HLOOKUP(D413,Ingreso!$AN$10:$AT$260,VLOOKUP(A413,Ingreso!$AL$11:$AM$260,2,FALSE)))/24),0))</f>
        <v/>
      </c>
      <c r="K413" s="65" t="str">
        <f>IF(IFERROR(IF(E413=E412,0,(HLOOKUP(C413,Ingreso!$AW$10:$BC$260,VLOOKUP(A413,Ingreso!$AL$11:$AM$260,2,FALSE)))/24),0)=0,"",IFERROR(IF(E413=E412,0,(HLOOKUP(C413,Ingreso!$AW$10:$BC$260,VLOOKUP(A413,Ingreso!$AL$11:$AM$260,2,FALSE)))/24),0))</f>
        <v/>
      </c>
      <c r="L413" s="63">
        <f t="shared" si="12"/>
        <v>0</v>
      </c>
      <c r="M413" s="63" t="str">
        <f>IF(IFERROR(IF(C413=C411,0,IF(E413=E412,0,IF(C413=$R$2,HLOOKUP($R$2,Ingreso!$AW$10:$BC$260,VLOOKUP(A413,Ingreso!AL:AM,2,FALSE),FALSE)/24,""))),"")=0,"",IFERROR(IF(C413=C411,0,IF(E413=E412,0,IF(C413=$R$2,HLOOKUP($R$2,Ingreso!$AW$10:$BC$260,VLOOKUP(A413,Ingreso!AL:AM,2,FALSE),FALSE)/24,""))),""))</f>
        <v/>
      </c>
      <c r="N413" s="95" t="str">
        <f>IF(IFERROR(IF(C413=C411,0,IF(E413=E412,0,IF(C413=$R$3,HLOOKUP($R$3,Ingreso!$AW$10:$BC$260,VLOOKUP(A413,Ingreso!AL:AM,2,FALSE),FALSE)/24,""))),"")=0,"",IFERROR(IF(C413=C411,0,IF(E413=E412,0,IF(C413=$R$3,HLOOKUP($R$3,Ingreso!$AW$10:$BC$260,VLOOKUP(A413,Ingreso!AL:AM,2,FALSE),FALSE)/24,""))),""))</f>
        <v/>
      </c>
      <c r="O413" s="95" t="str">
        <f>IF(IFERROR(IF(C413=C411,0,IF(E413=E412,0,IF(C413=$R$4,HLOOKUP($R$4,Ingreso!$AW$10:$BC$260,VLOOKUP(A413,Ingreso!AL:AM,2,FALSE),FALSE)/24,""))),"")=0,"",IFERROR(IF(C413=C411,0,IF(E413=E412,0,IF(C413=$R$4,HLOOKUP($R$4,Ingreso!$AW$10:$BC$260,VLOOKUP(A413,Ingreso!AL:AM,2,FALSE),FALSE)/24,""))),""))</f>
        <v/>
      </c>
      <c r="P413" s="90"/>
      <c r="R413" t="s">
        <v>433</v>
      </c>
      <c r="S413" t="s">
        <v>436</v>
      </c>
      <c r="T413" t="s">
        <v>1420</v>
      </c>
      <c r="U413" t="s">
        <v>4</v>
      </c>
      <c r="V413" t="s">
        <v>1397</v>
      </c>
      <c r="W413" s="82">
        <v>542</v>
      </c>
      <c r="X413" s="71">
        <v>0.3125</v>
      </c>
      <c r="Y413" s="101">
        <v>0.32563657407407409</v>
      </c>
      <c r="Z413" s="101">
        <v>0.62557870370370372</v>
      </c>
      <c r="AA413" s="101">
        <v>0.29994212962962963</v>
      </c>
      <c r="AB413" s="101">
        <v>-1.2557870370370372E-2</v>
      </c>
      <c r="AC413" s="105">
        <v>0</v>
      </c>
      <c r="AD413" s="105">
        <v>0</v>
      </c>
      <c r="AE413" s="93">
        <v>0</v>
      </c>
      <c r="AF413" s="93">
        <v>0</v>
      </c>
      <c r="AG413" s="93">
        <v>0</v>
      </c>
    </row>
    <row r="414" spans="1:33">
      <c r="A414" s="65" t="str">
        <f>IFERROR(VLOOKUP('Informe Kelly'!A407,Base!A:B,2,FALSE),"")</f>
        <v>10.835.391-0</v>
      </c>
      <c r="B414" s="65" t="str">
        <f>IFERROR(VLOOKUP('Informe Kelly'!A407,Base!A:G,7,FALSE),"")</f>
        <v>SANCHEZ VASQUEZ DANIEL PATRICIO</v>
      </c>
      <c r="C414" s="69" t="str">
        <f>IF(G414=$C$4,IF('Informe Kelly'!H407='Control informe Kelly'!$A$2,TEXT(((LEFT('Informe Kelly'!E407,2)*1)+1),"dd")&amp;"."&amp;MID('Informe Kelly'!E407,4,2)&amp;"."&amp;RIGHT('Informe Kelly'!E407,4),'Informe Kelly'!E407),'Informe Kelly'!E407)</f>
        <v>12.04.2011</v>
      </c>
      <c r="D414" s="69" t="str">
        <f>IF('Informe Kelly'!E407="","",'Informe Kelly'!E407)</f>
        <v>12.04.2011</v>
      </c>
      <c r="E414" s="72">
        <f t="shared" si="13"/>
        <v>207</v>
      </c>
      <c r="F414" s="72" t="str">
        <f>IFERROR(HLOOKUP(C414,Ingreso!$Q$8:$AD$9,2,FALSE),"v")</f>
        <v>Martes</v>
      </c>
      <c r="G414" s="65" t="str">
        <f>IFERROR(VLOOKUP(A414,Ingreso!K:P,6,FALSE),"no esta ingresado")</f>
        <v>Turno A</v>
      </c>
      <c r="H414" s="65" t="str">
        <f>IFERROR(IF('Informe Kelly'!H407=$A$2,'Informe Kelly'!F407,""),0)</f>
        <v/>
      </c>
      <c r="I414" s="65">
        <f>IFERROR(IF('Informe Kelly'!H407=$A$3,'Informe Kelly'!F407,""),0)</f>
        <v>0.62672453703703701</v>
      </c>
      <c r="J414" s="65" t="str">
        <f>IF(IFERROR(IF(E414=E413,0,(HLOOKUP(D414,Ingreso!$AN$10:$AT$260,VLOOKUP(A414,Ingreso!$AL$11:$AM$260,2,FALSE)))/24),0)=0,"",IFERROR(IF(E414=E413,0,(HLOOKUP(D414,Ingreso!$AN$10:$AT$260,VLOOKUP(A414,Ingreso!$AL$11:$AM$260,2,FALSE)))/24),0))</f>
        <v/>
      </c>
      <c r="K414" s="65" t="str">
        <f>IF(IFERROR(IF(E414=E413,0,(HLOOKUP(C414,Ingreso!$AW$10:$BC$260,VLOOKUP(A414,Ingreso!$AL$11:$AM$260,2,FALSE)))/24),0)=0,"",IFERROR(IF(E414=E413,0,(HLOOKUP(C414,Ingreso!$AW$10:$BC$260,VLOOKUP(A414,Ingreso!$AL$11:$AM$260,2,FALSE)))/24),0))</f>
        <v/>
      </c>
      <c r="L414" s="63">
        <f t="shared" si="12"/>
        <v>0.3125</v>
      </c>
      <c r="M414" s="63" t="str">
        <f>IF(IFERROR(IF(C414=C412,0,IF(E414=E413,0,IF(C414=$R$2,HLOOKUP($R$2,Ingreso!$AW$10:$BC$260,VLOOKUP(A414,Ingreso!AL:AM,2,FALSE),FALSE)/24,""))),"")=0,"",IFERROR(IF(C414=C412,0,IF(E414=E413,0,IF(C414=$R$2,HLOOKUP($R$2,Ingreso!$AW$10:$BC$260,VLOOKUP(A414,Ingreso!AL:AM,2,FALSE),FALSE)/24,""))),""))</f>
        <v/>
      </c>
      <c r="N414" s="95" t="str">
        <f>IF(IFERROR(IF(C414=C412,0,IF(E414=E413,0,IF(C414=$R$3,HLOOKUP($R$3,Ingreso!$AW$10:$BC$260,VLOOKUP(A414,Ingreso!AL:AM,2,FALSE),FALSE)/24,""))),"")=0,"",IFERROR(IF(C414=C412,0,IF(E414=E413,0,IF(C414=$R$3,HLOOKUP($R$3,Ingreso!$AW$10:$BC$260,VLOOKUP(A414,Ingreso!AL:AM,2,FALSE),FALSE)/24,""))),""))</f>
        <v/>
      </c>
      <c r="O414" s="95" t="str">
        <f>IF(IFERROR(IF(C414=C412,0,IF(E414=E413,0,IF(C414=$R$4,HLOOKUP($R$4,Ingreso!$AW$10:$BC$260,VLOOKUP(A414,Ingreso!AL:AM,2,FALSE),FALSE)/24,""))),"")=0,"",IFERROR(IF(C414=C412,0,IF(E414=E413,0,IF(C414=$R$4,HLOOKUP($R$4,Ingreso!$AW$10:$BC$260,VLOOKUP(A414,Ingreso!AL:AM,2,FALSE),FALSE)/24,""))),""))</f>
        <v/>
      </c>
      <c r="P414" s="90"/>
      <c r="T414" t="s">
        <v>1423</v>
      </c>
      <c r="U414" t="s">
        <v>4</v>
      </c>
      <c r="V414" t="s">
        <v>1398</v>
      </c>
      <c r="W414" s="82">
        <v>543</v>
      </c>
      <c r="X414" s="71">
        <v>0.3125</v>
      </c>
      <c r="Y414" s="101">
        <v>0.55927083333333327</v>
      </c>
      <c r="Z414" s="101">
        <v>0.62969907407407411</v>
      </c>
      <c r="AA414" s="101">
        <v>7.0428240740740833E-2</v>
      </c>
      <c r="AB414" s="101">
        <v>-0.24207175925925917</v>
      </c>
      <c r="AC414" s="105">
        <v>0</v>
      </c>
      <c r="AD414" s="105">
        <v>0</v>
      </c>
      <c r="AE414" s="93">
        <v>0</v>
      </c>
      <c r="AF414" s="93">
        <v>0</v>
      </c>
      <c r="AG414" s="93">
        <v>0</v>
      </c>
    </row>
    <row r="415" spans="1:33" ht="12.75" customHeight="1">
      <c r="A415" s="65" t="str">
        <f>IFERROR(VLOOKUP('Informe Kelly'!A408,Base!A:B,2,FALSE),"")</f>
        <v>10.835.391-0</v>
      </c>
      <c r="B415" s="65" t="str">
        <f>IFERROR(VLOOKUP('Informe Kelly'!A408,Base!A:G,7,FALSE),"")</f>
        <v>SANCHEZ VASQUEZ DANIEL PATRICIO</v>
      </c>
      <c r="C415" s="69" t="str">
        <f>IF(G415=$C$4,IF('Informe Kelly'!H408='Control informe Kelly'!$A$2,TEXT(((LEFT('Informe Kelly'!E408,2)*1)+1),"dd")&amp;"."&amp;MID('Informe Kelly'!E408,4,2)&amp;"."&amp;RIGHT('Informe Kelly'!E408,4),'Informe Kelly'!E408),'Informe Kelly'!E408)</f>
        <v>12.04.2011</v>
      </c>
      <c r="D415" s="69" t="str">
        <f>IF('Informe Kelly'!E408="","",'Informe Kelly'!E408)</f>
        <v>12.04.2011</v>
      </c>
      <c r="E415" s="72">
        <f t="shared" si="13"/>
        <v>207</v>
      </c>
      <c r="F415" s="72" t="str">
        <f>IFERROR(HLOOKUP(C415,Ingreso!$Q$8:$AD$9,2,FALSE),"v")</f>
        <v>Martes</v>
      </c>
      <c r="G415" s="65" t="str">
        <f>IFERROR(VLOOKUP(A415,Ingreso!K:P,6,FALSE),"no esta ingresado")</f>
        <v>Turno A</v>
      </c>
      <c r="H415" s="65">
        <f>IFERROR(IF('Informe Kelly'!H408=$A$2,'Informe Kelly'!F408,""),0)</f>
        <v>0.30464120370370368</v>
      </c>
      <c r="I415" s="65" t="str">
        <f>IFERROR(IF('Informe Kelly'!H408=$A$3,'Informe Kelly'!F408,""),0)</f>
        <v/>
      </c>
      <c r="J415" s="65" t="str">
        <f>IF(IFERROR(IF(E415=E414,0,(HLOOKUP(D415,Ingreso!$AN$10:$AT$260,VLOOKUP(A415,Ingreso!$AL$11:$AM$260,2,FALSE)))/24),0)=0,"",IFERROR(IF(E415=E414,0,(HLOOKUP(D415,Ingreso!$AN$10:$AT$260,VLOOKUP(A415,Ingreso!$AL$11:$AM$260,2,FALSE)))/24),0))</f>
        <v/>
      </c>
      <c r="K415" s="65" t="str">
        <f>IF(IFERROR(IF(E415=E414,0,(HLOOKUP(C415,Ingreso!$AW$10:$BC$260,VLOOKUP(A415,Ingreso!$AL$11:$AM$260,2,FALSE)))/24),0)=0,"",IFERROR(IF(E415=E414,0,(HLOOKUP(C415,Ingreso!$AW$10:$BC$260,VLOOKUP(A415,Ingreso!$AL$11:$AM$260,2,FALSE)))/24),0))</f>
        <v/>
      </c>
      <c r="L415" s="63">
        <f t="shared" si="12"/>
        <v>0</v>
      </c>
      <c r="M415" s="63" t="str">
        <f>IF(IFERROR(IF(C415=C413,0,IF(E415=E414,0,IF(C415=$R$2,HLOOKUP($R$2,Ingreso!$AW$10:$BC$260,VLOOKUP(A415,Ingreso!AL:AM,2,FALSE),FALSE)/24,""))),"")=0,"",IFERROR(IF(C415=C413,0,IF(E415=E414,0,IF(C415=$R$2,HLOOKUP($R$2,Ingreso!$AW$10:$BC$260,VLOOKUP(A415,Ingreso!AL:AM,2,FALSE),FALSE)/24,""))),""))</f>
        <v/>
      </c>
      <c r="N415" s="95" t="str">
        <f>IF(IFERROR(IF(C415=C413,0,IF(E415=E414,0,IF(C415=$R$3,HLOOKUP($R$3,Ingreso!$AW$10:$BC$260,VLOOKUP(A415,Ingreso!AL:AM,2,FALSE),FALSE)/24,""))),"")=0,"",IFERROR(IF(C415=C413,0,IF(E415=E414,0,IF(C415=$R$3,HLOOKUP($R$3,Ingreso!$AW$10:$BC$260,VLOOKUP(A415,Ingreso!AL:AM,2,FALSE),FALSE)/24,""))),""))</f>
        <v/>
      </c>
      <c r="O415" s="95" t="str">
        <f>IF(IFERROR(IF(C415=C413,0,IF(E415=E414,0,IF(C415=$R$4,HLOOKUP($R$4,Ingreso!$AW$10:$BC$260,VLOOKUP(A415,Ingreso!AL:AM,2,FALSE),FALSE)/24,""))),"")=0,"",IFERROR(IF(C415=C413,0,IF(E415=E414,0,IF(C415=$R$4,HLOOKUP($R$4,Ingreso!$AW$10:$BC$260,VLOOKUP(A415,Ingreso!AL:AM,2,FALSE),FALSE)/24,""))),""))</f>
        <v/>
      </c>
      <c r="P415" s="90"/>
      <c r="T415" t="s">
        <v>1424</v>
      </c>
      <c r="U415" t="s">
        <v>4</v>
      </c>
      <c r="V415" t="s">
        <v>1399</v>
      </c>
      <c r="W415" s="82">
        <v>544</v>
      </c>
      <c r="X415" s="71">
        <v>0.3125</v>
      </c>
      <c r="Y415" s="101">
        <v>0.33030092592592591</v>
      </c>
      <c r="Z415" s="101">
        <v>0.64563657407407404</v>
      </c>
      <c r="AA415" s="101">
        <v>0.31533564814814813</v>
      </c>
      <c r="AB415" s="101">
        <v>2.8356481481481288E-3</v>
      </c>
      <c r="AC415" s="105">
        <v>0</v>
      </c>
      <c r="AD415" s="105">
        <v>0</v>
      </c>
      <c r="AE415" s="93">
        <v>0</v>
      </c>
      <c r="AF415" s="93">
        <v>0</v>
      </c>
      <c r="AG415" s="93">
        <v>0</v>
      </c>
    </row>
    <row r="416" spans="1:33">
      <c r="A416" s="65" t="str">
        <f>IFERROR(VLOOKUP('Informe Kelly'!A409,Base!A:B,2,FALSE),"")</f>
        <v>10.835.391-0</v>
      </c>
      <c r="B416" s="65" t="str">
        <f>IFERROR(VLOOKUP('Informe Kelly'!A409,Base!A:G,7,FALSE),"")</f>
        <v>SANCHEZ VASQUEZ DANIEL PATRICIO</v>
      </c>
      <c r="C416" s="69" t="str">
        <f>IF(G416=$C$4,IF('Informe Kelly'!H409='Control informe Kelly'!$A$2,TEXT(((LEFT('Informe Kelly'!E409,2)*1)+1),"dd")&amp;"."&amp;MID('Informe Kelly'!E409,4,2)&amp;"."&amp;RIGHT('Informe Kelly'!E409,4),'Informe Kelly'!E409),'Informe Kelly'!E409)</f>
        <v>13.04.2011</v>
      </c>
      <c r="D416" s="69" t="str">
        <f>IF('Informe Kelly'!E409="","",'Informe Kelly'!E409)</f>
        <v>13.04.2011</v>
      </c>
      <c r="E416" s="72">
        <f t="shared" si="13"/>
        <v>208</v>
      </c>
      <c r="F416" s="72" t="str">
        <f>IFERROR(HLOOKUP(C416,Ingreso!$Q$8:$AD$9,2,FALSE),"v")</f>
        <v>Miércoles</v>
      </c>
      <c r="G416" s="65" t="str">
        <f>IFERROR(VLOOKUP(A416,Ingreso!K:P,6,FALSE),"no esta ingresado")</f>
        <v>Turno A</v>
      </c>
      <c r="H416" s="65" t="str">
        <f>IFERROR(IF('Informe Kelly'!H409=$A$2,'Informe Kelly'!F409,""),0)</f>
        <v/>
      </c>
      <c r="I416" s="65">
        <f>IFERROR(IF('Informe Kelly'!H409=$A$3,'Informe Kelly'!F409,""),0)</f>
        <v>0.64013888888888892</v>
      </c>
      <c r="J416" s="65" t="str">
        <f>IF(IFERROR(IF(E416=E415,0,(HLOOKUP(D416,Ingreso!$AN$10:$AT$260,VLOOKUP(A416,Ingreso!$AL$11:$AM$260,2,FALSE)))/24),0)=0,"",IFERROR(IF(E416=E415,0,(HLOOKUP(D416,Ingreso!$AN$10:$AT$260,VLOOKUP(A416,Ingreso!$AL$11:$AM$260,2,FALSE)))/24),0))</f>
        <v/>
      </c>
      <c r="K416" s="65" t="str">
        <f>IF(IFERROR(IF(E416=E415,0,(HLOOKUP(C416,Ingreso!$AW$10:$BC$260,VLOOKUP(A416,Ingreso!$AL$11:$AM$260,2,FALSE)))/24),0)=0,"",IFERROR(IF(E416=E415,0,(HLOOKUP(C416,Ingreso!$AW$10:$BC$260,VLOOKUP(A416,Ingreso!$AL$11:$AM$260,2,FALSE)))/24),0))</f>
        <v/>
      </c>
      <c r="L416" s="63">
        <f t="shared" si="12"/>
        <v>0.3125</v>
      </c>
      <c r="M416" s="63" t="str">
        <f>IF(IFERROR(IF(C416=C414,0,IF(E416=E415,0,IF(C416=$R$2,HLOOKUP($R$2,Ingreso!$AW$10:$BC$260,VLOOKUP(A416,Ingreso!AL:AM,2,FALSE),FALSE)/24,""))),"")=0,"",IFERROR(IF(C416=C414,0,IF(E416=E415,0,IF(C416=$R$2,HLOOKUP($R$2,Ingreso!$AW$10:$BC$260,VLOOKUP(A416,Ingreso!AL:AM,2,FALSE),FALSE)/24,""))),""))</f>
        <v/>
      </c>
      <c r="N416" s="95" t="str">
        <f>IF(IFERROR(IF(C416=C414,0,IF(E416=E415,0,IF(C416=$R$3,HLOOKUP($R$3,Ingreso!$AW$10:$BC$260,VLOOKUP(A416,Ingreso!AL:AM,2,FALSE),FALSE)/24,""))),"")=0,"",IFERROR(IF(C416=C414,0,IF(E416=E415,0,IF(C416=$R$3,HLOOKUP($R$3,Ingreso!$AW$10:$BC$260,VLOOKUP(A416,Ingreso!AL:AM,2,FALSE),FALSE)/24,""))),""))</f>
        <v/>
      </c>
      <c r="O416" s="95" t="str">
        <f>IF(IFERROR(IF(C416=C414,0,IF(E416=E415,0,IF(C416=$R$4,HLOOKUP($R$4,Ingreso!$AW$10:$BC$260,VLOOKUP(A416,Ingreso!AL:AM,2,FALSE),FALSE)/24,""))),"")=0,"",IFERROR(IF(C416=C414,0,IF(E416=E415,0,IF(C416=$R$4,HLOOKUP($R$4,Ingreso!$AW$10:$BC$260,VLOOKUP(A416,Ingreso!AL:AM,2,FALSE),FALSE)/24,""))),""))</f>
        <v/>
      </c>
      <c r="P416" s="90"/>
      <c r="T416" t="s">
        <v>1425</v>
      </c>
      <c r="U416" t="s">
        <v>4</v>
      </c>
      <c r="V416" t="s">
        <v>1400</v>
      </c>
      <c r="W416" s="82">
        <v>545</v>
      </c>
      <c r="X416" s="71">
        <v>0.3125</v>
      </c>
      <c r="Y416" s="101">
        <v>0.32474537037037038</v>
      </c>
      <c r="Z416" s="101">
        <v>0.62827546296296299</v>
      </c>
      <c r="AA416" s="101">
        <v>0.30353009259259262</v>
      </c>
      <c r="AB416" s="101">
        <v>-8.9699074074073848E-3</v>
      </c>
      <c r="AC416" s="105">
        <v>0</v>
      </c>
      <c r="AD416" s="105">
        <v>0</v>
      </c>
      <c r="AE416" s="93">
        <v>0</v>
      </c>
      <c r="AF416" s="93">
        <v>0</v>
      </c>
      <c r="AG416" s="93">
        <v>0</v>
      </c>
    </row>
    <row r="417" spans="1:33">
      <c r="A417" s="65" t="str">
        <f>IFERROR(VLOOKUP('Informe Kelly'!A410,Base!A:B,2,FALSE),"")</f>
        <v>10.835.391-0</v>
      </c>
      <c r="B417" s="65" t="str">
        <f>IFERROR(VLOOKUP('Informe Kelly'!A410,Base!A:G,7,FALSE),"")</f>
        <v>SANCHEZ VASQUEZ DANIEL PATRICIO</v>
      </c>
      <c r="C417" s="69" t="str">
        <f>IF(G417=$C$4,IF('Informe Kelly'!H410='Control informe Kelly'!$A$2,TEXT(((LEFT('Informe Kelly'!E410,2)*1)+1),"dd")&amp;"."&amp;MID('Informe Kelly'!E410,4,2)&amp;"."&amp;RIGHT('Informe Kelly'!E410,4),'Informe Kelly'!E410),'Informe Kelly'!E410)</f>
        <v>13.04.2011</v>
      </c>
      <c r="D417" s="69" t="str">
        <f>IF('Informe Kelly'!E410="","",'Informe Kelly'!E410)</f>
        <v>13.04.2011</v>
      </c>
      <c r="E417" s="72">
        <f t="shared" si="13"/>
        <v>208</v>
      </c>
      <c r="F417" s="72" t="str">
        <f>IFERROR(HLOOKUP(C417,Ingreso!$Q$8:$AD$9,2,FALSE),"v")</f>
        <v>Miércoles</v>
      </c>
      <c r="G417" s="65" t="str">
        <f>IFERROR(VLOOKUP(A417,Ingreso!K:P,6,FALSE),"no esta ingresado")</f>
        <v>Turno A</v>
      </c>
      <c r="H417" s="65">
        <f>IFERROR(IF('Informe Kelly'!H410=$A$2,'Informe Kelly'!F410,""),0)</f>
        <v>0.30350694444444443</v>
      </c>
      <c r="I417" s="65" t="str">
        <f>IFERROR(IF('Informe Kelly'!H410=$A$3,'Informe Kelly'!F410,""),0)</f>
        <v/>
      </c>
      <c r="J417" s="65" t="str">
        <f>IF(IFERROR(IF(E417=E416,0,(HLOOKUP(D417,Ingreso!$AN$10:$AT$260,VLOOKUP(A417,Ingreso!$AL$11:$AM$260,2,FALSE)))/24),0)=0,"",IFERROR(IF(E417=E416,0,(HLOOKUP(D417,Ingreso!$AN$10:$AT$260,VLOOKUP(A417,Ingreso!$AL$11:$AM$260,2,FALSE)))/24),0))</f>
        <v/>
      </c>
      <c r="K417" s="65" t="str">
        <f>IF(IFERROR(IF(E417=E416,0,(HLOOKUP(C417,Ingreso!$AW$10:$BC$260,VLOOKUP(A417,Ingreso!$AL$11:$AM$260,2,FALSE)))/24),0)=0,"",IFERROR(IF(E417=E416,0,(HLOOKUP(C417,Ingreso!$AW$10:$BC$260,VLOOKUP(A417,Ingreso!$AL$11:$AM$260,2,FALSE)))/24),0))</f>
        <v/>
      </c>
      <c r="L417" s="63">
        <f t="shared" si="12"/>
        <v>0</v>
      </c>
      <c r="M417" s="63" t="str">
        <f>IF(IFERROR(IF(C417=C415,0,IF(E417=E416,0,IF(C417=$R$2,HLOOKUP($R$2,Ingreso!$AW$10:$BC$260,VLOOKUP(A417,Ingreso!AL:AM,2,FALSE),FALSE)/24,""))),"")=0,"",IFERROR(IF(C417=C415,0,IF(E417=E416,0,IF(C417=$R$2,HLOOKUP($R$2,Ingreso!$AW$10:$BC$260,VLOOKUP(A417,Ingreso!AL:AM,2,FALSE),FALSE)/24,""))),""))</f>
        <v/>
      </c>
      <c r="N417" s="95" t="str">
        <f>IF(IFERROR(IF(C417=C415,0,IF(E417=E416,0,IF(C417=$R$3,HLOOKUP($R$3,Ingreso!$AW$10:$BC$260,VLOOKUP(A417,Ingreso!AL:AM,2,FALSE),FALSE)/24,""))),"")=0,"",IFERROR(IF(C417=C415,0,IF(E417=E416,0,IF(C417=$R$3,HLOOKUP($R$3,Ingreso!$AW$10:$BC$260,VLOOKUP(A417,Ingreso!AL:AM,2,FALSE),FALSE)/24,""))),""))</f>
        <v/>
      </c>
      <c r="O417" s="95" t="str">
        <f>IF(IFERROR(IF(C417=C415,0,IF(E417=E416,0,IF(C417=$R$4,HLOOKUP($R$4,Ingreso!$AW$10:$BC$260,VLOOKUP(A417,Ingreso!AL:AM,2,FALSE),FALSE)/24,""))),"")=0,"",IFERROR(IF(C417=C415,0,IF(E417=E416,0,IF(C417=$R$4,HLOOKUP($R$4,Ingreso!$AW$10:$BC$260,VLOOKUP(A417,Ingreso!AL:AM,2,FALSE),FALSE)/24,""))),""))</f>
        <v/>
      </c>
      <c r="P417" s="90"/>
      <c r="T417" t="s">
        <v>1426</v>
      </c>
      <c r="U417" t="s">
        <v>4</v>
      </c>
      <c r="V417" t="s">
        <v>1401</v>
      </c>
      <c r="W417" s="82">
        <v>546</v>
      </c>
      <c r="X417" s="71">
        <v>0.3125</v>
      </c>
      <c r="Y417" s="101">
        <v>0.33680555555555558</v>
      </c>
      <c r="Z417" s="101">
        <v>0.6407870370370371</v>
      </c>
      <c r="AA417" s="101">
        <v>0.30398148148148152</v>
      </c>
      <c r="AB417" s="101">
        <v>-8.5185185185184809E-3</v>
      </c>
      <c r="AC417" s="105">
        <v>0</v>
      </c>
      <c r="AD417" s="105">
        <v>0</v>
      </c>
      <c r="AE417" s="93">
        <v>0</v>
      </c>
      <c r="AF417" s="93">
        <v>0</v>
      </c>
      <c r="AG417" s="93">
        <v>0</v>
      </c>
    </row>
    <row r="418" spans="1:33">
      <c r="A418" s="65" t="str">
        <f>IFERROR(VLOOKUP('Informe Kelly'!A411,Base!A:B,2,FALSE),"")</f>
        <v>10.835.391-0</v>
      </c>
      <c r="B418" s="65" t="str">
        <f>IFERROR(VLOOKUP('Informe Kelly'!A411,Base!A:G,7,FALSE),"")</f>
        <v>SANCHEZ VASQUEZ DANIEL PATRICIO</v>
      </c>
      <c r="C418" s="69" t="str">
        <f>IF(G418=$C$4,IF('Informe Kelly'!H411='Control informe Kelly'!$A$2,TEXT(((LEFT('Informe Kelly'!E411,2)*1)+1),"dd")&amp;"."&amp;MID('Informe Kelly'!E411,4,2)&amp;"."&amp;RIGHT('Informe Kelly'!E411,4),'Informe Kelly'!E411),'Informe Kelly'!E411)</f>
        <v>14.04.2011</v>
      </c>
      <c r="D418" s="69" t="str">
        <f>IF('Informe Kelly'!E411="","",'Informe Kelly'!E411)</f>
        <v>14.04.2011</v>
      </c>
      <c r="E418" s="72">
        <f t="shared" si="13"/>
        <v>209</v>
      </c>
      <c r="F418" s="72" t="str">
        <f>IFERROR(HLOOKUP(C418,Ingreso!$Q$8:$AD$9,2,FALSE),"v")</f>
        <v>Jueves</v>
      </c>
      <c r="G418" s="65" t="str">
        <f>IFERROR(VLOOKUP(A418,Ingreso!K:P,6,FALSE),"no esta ingresado")</f>
        <v>Turno A</v>
      </c>
      <c r="H418" s="65" t="str">
        <f>IFERROR(IF('Informe Kelly'!H411=$A$2,'Informe Kelly'!F411,""),0)</f>
        <v/>
      </c>
      <c r="I418" s="65">
        <f>IFERROR(IF('Informe Kelly'!H411=$A$3,'Informe Kelly'!F411,""),0)</f>
        <v>0.63626157407407413</v>
      </c>
      <c r="J418" s="65" t="str">
        <f>IF(IFERROR(IF(E418=E417,0,(HLOOKUP(D418,Ingreso!$AN$10:$AT$260,VLOOKUP(A418,Ingreso!$AL$11:$AM$260,2,FALSE)))/24),0)=0,"",IFERROR(IF(E418=E417,0,(HLOOKUP(D418,Ingreso!$AN$10:$AT$260,VLOOKUP(A418,Ingreso!$AL$11:$AM$260,2,FALSE)))/24),0))</f>
        <v/>
      </c>
      <c r="K418" s="65" t="str">
        <f>IF(IFERROR(IF(E418=E417,0,(HLOOKUP(C418,Ingreso!$AW$10:$BC$260,VLOOKUP(A418,Ingreso!$AL$11:$AM$260,2,FALSE)))/24),0)=0,"",IFERROR(IF(E418=E417,0,(HLOOKUP(C418,Ingreso!$AW$10:$BC$260,VLOOKUP(A418,Ingreso!$AL$11:$AM$260,2,FALSE)))/24),0))</f>
        <v/>
      </c>
      <c r="L418" s="63">
        <f t="shared" si="12"/>
        <v>0.3125</v>
      </c>
      <c r="M418" s="63" t="str">
        <f>IF(IFERROR(IF(C418=C416,0,IF(E418=E417,0,IF(C418=$R$2,HLOOKUP($R$2,Ingreso!$AW$10:$BC$260,VLOOKUP(A418,Ingreso!AL:AM,2,FALSE),FALSE)/24,""))),"")=0,"",IFERROR(IF(C418=C416,0,IF(E418=E417,0,IF(C418=$R$2,HLOOKUP($R$2,Ingreso!$AW$10:$BC$260,VLOOKUP(A418,Ingreso!AL:AM,2,FALSE),FALSE)/24,""))),""))</f>
        <v/>
      </c>
      <c r="N418" s="95" t="str">
        <f>IF(IFERROR(IF(C418=C416,0,IF(E418=E417,0,IF(C418=$R$3,HLOOKUP($R$3,Ingreso!$AW$10:$BC$260,VLOOKUP(A418,Ingreso!AL:AM,2,FALSE),FALSE)/24,""))),"")=0,"",IFERROR(IF(C418=C416,0,IF(E418=E417,0,IF(C418=$R$3,HLOOKUP($R$3,Ingreso!$AW$10:$BC$260,VLOOKUP(A418,Ingreso!AL:AM,2,FALSE),FALSE)/24,""))),""))</f>
        <v/>
      </c>
      <c r="O418" s="95" t="str">
        <f>IF(IFERROR(IF(C418=C416,0,IF(E418=E417,0,IF(C418=$R$4,HLOOKUP($R$4,Ingreso!$AW$10:$BC$260,VLOOKUP(A418,Ingreso!AL:AM,2,FALSE),FALSE)/24,""))),"")=0,"",IFERROR(IF(C418=C416,0,IF(E418=E417,0,IF(C418=$R$4,HLOOKUP($R$4,Ingreso!$AW$10:$BC$260,VLOOKUP(A418,Ingreso!AL:AM,2,FALSE),FALSE)/24,""))),""))</f>
        <v/>
      </c>
      <c r="P418" s="90"/>
      <c r="T418" t="s">
        <v>1427</v>
      </c>
      <c r="U418" t="s">
        <v>4</v>
      </c>
      <c r="V418" t="s">
        <v>1402</v>
      </c>
      <c r="W418" s="82">
        <v>547</v>
      </c>
      <c r="X418" s="71">
        <v>0.3125</v>
      </c>
      <c r="Y418" s="101">
        <v>0.63384259259259257</v>
      </c>
      <c r="Z418" s="101">
        <v>0.91767361111111112</v>
      </c>
      <c r="AA418" s="101">
        <v>0.28383101851851855</v>
      </c>
      <c r="AB418" s="101">
        <v>-2.8668981481481448E-2</v>
      </c>
      <c r="AC418" s="105">
        <v>0</v>
      </c>
      <c r="AD418" s="105">
        <v>0</v>
      </c>
      <c r="AE418" s="93">
        <v>0</v>
      </c>
      <c r="AF418" s="93">
        <v>0</v>
      </c>
      <c r="AG418" s="93">
        <v>0</v>
      </c>
    </row>
    <row r="419" spans="1:33">
      <c r="A419" s="65" t="str">
        <f>IFERROR(VLOOKUP('Informe Kelly'!A412,Base!A:B,2,FALSE),"")</f>
        <v>10.835.391-0</v>
      </c>
      <c r="B419" s="65" t="str">
        <f>IFERROR(VLOOKUP('Informe Kelly'!A412,Base!A:G,7,FALSE),"")</f>
        <v>SANCHEZ VASQUEZ DANIEL PATRICIO</v>
      </c>
      <c r="C419" s="69" t="str">
        <f>IF(G419=$C$4,IF('Informe Kelly'!H412='Control informe Kelly'!$A$2,TEXT(((LEFT('Informe Kelly'!E412,2)*1)+1),"dd")&amp;"."&amp;MID('Informe Kelly'!E412,4,2)&amp;"."&amp;RIGHT('Informe Kelly'!E412,4),'Informe Kelly'!E412),'Informe Kelly'!E412)</f>
        <v>14.04.2011</v>
      </c>
      <c r="D419" s="69" t="str">
        <f>IF('Informe Kelly'!E412="","",'Informe Kelly'!E412)</f>
        <v>14.04.2011</v>
      </c>
      <c r="E419" s="72">
        <f t="shared" si="13"/>
        <v>209</v>
      </c>
      <c r="F419" s="72" t="str">
        <f>IFERROR(HLOOKUP(C419,Ingreso!$Q$8:$AD$9,2,FALSE),"v")</f>
        <v>Jueves</v>
      </c>
      <c r="G419" s="65" t="str">
        <f>IFERROR(VLOOKUP(A419,Ingreso!K:P,6,FALSE),"no esta ingresado")</f>
        <v>Turno A</v>
      </c>
      <c r="H419" s="65">
        <f>IFERROR(IF('Informe Kelly'!H412=$A$2,'Informe Kelly'!F412,""),0)</f>
        <v>0.30040509259259257</v>
      </c>
      <c r="I419" s="65" t="str">
        <f>IFERROR(IF('Informe Kelly'!H412=$A$3,'Informe Kelly'!F412,""),0)</f>
        <v/>
      </c>
      <c r="J419" s="65" t="str">
        <f>IF(IFERROR(IF(E419=E418,0,(HLOOKUP(D419,Ingreso!$AN$10:$AT$260,VLOOKUP(A419,Ingreso!$AL$11:$AM$260,2,FALSE)))/24),0)=0,"",IFERROR(IF(E419=E418,0,(HLOOKUP(D419,Ingreso!$AN$10:$AT$260,VLOOKUP(A419,Ingreso!$AL$11:$AM$260,2,FALSE)))/24),0))</f>
        <v/>
      </c>
      <c r="K419" s="65" t="str">
        <f>IF(IFERROR(IF(E419=E418,0,(HLOOKUP(C419,Ingreso!$AW$10:$BC$260,VLOOKUP(A419,Ingreso!$AL$11:$AM$260,2,FALSE)))/24),0)=0,"",IFERROR(IF(E419=E418,0,(HLOOKUP(C419,Ingreso!$AW$10:$BC$260,VLOOKUP(A419,Ingreso!$AL$11:$AM$260,2,FALSE)))/24),0))</f>
        <v/>
      </c>
      <c r="L419" s="63">
        <f t="shared" si="12"/>
        <v>0</v>
      </c>
      <c r="M419" s="63" t="str">
        <f>IF(IFERROR(IF(C419=C417,0,IF(E419=E418,0,IF(C419=$R$2,HLOOKUP($R$2,Ingreso!$AW$10:$BC$260,VLOOKUP(A419,Ingreso!AL:AM,2,FALSE),FALSE)/24,""))),"")=0,"",IFERROR(IF(C419=C417,0,IF(E419=E418,0,IF(C419=$R$2,HLOOKUP($R$2,Ingreso!$AW$10:$BC$260,VLOOKUP(A419,Ingreso!AL:AM,2,FALSE),FALSE)/24,""))),""))</f>
        <v/>
      </c>
      <c r="N419" s="95" t="str">
        <f>IF(IFERROR(IF(C419=C417,0,IF(E419=E418,0,IF(C419=$R$3,HLOOKUP($R$3,Ingreso!$AW$10:$BC$260,VLOOKUP(A419,Ingreso!AL:AM,2,FALSE),FALSE)/24,""))),"")=0,"",IFERROR(IF(C419=C417,0,IF(E419=E418,0,IF(C419=$R$3,HLOOKUP($R$3,Ingreso!$AW$10:$BC$260,VLOOKUP(A419,Ingreso!AL:AM,2,FALSE),FALSE)/24,""))),""))</f>
        <v/>
      </c>
      <c r="O419" s="95" t="str">
        <f>IF(IFERROR(IF(C419=C417,0,IF(E419=E418,0,IF(C419=$R$4,HLOOKUP($R$4,Ingreso!$AW$10:$BC$260,VLOOKUP(A419,Ingreso!AL:AM,2,FALSE),FALSE)/24,""))),"")=0,"",IFERROR(IF(C419=C417,0,IF(E419=E418,0,IF(C419=$R$4,HLOOKUP($R$4,Ingreso!$AW$10:$BC$260,VLOOKUP(A419,Ingreso!AL:AM,2,FALSE),FALSE)/24,""))),""))</f>
        <v/>
      </c>
      <c r="P419" s="90"/>
      <c r="R419" t="s">
        <v>925</v>
      </c>
      <c r="S419" t="s">
        <v>928</v>
      </c>
      <c r="T419" t="s">
        <v>1420</v>
      </c>
      <c r="U419" t="s">
        <v>1338</v>
      </c>
      <c r="V419" t="s">
        <v>1397</v>
      </c>
      <c r="W419" s="82">
        <v>548</v>
      </c>
      <c r="X419" s="71">
        <v>0.41666666666666669</v>
      </c>
      <c r="Y419" s="101">
        <v>0.32055555555555554</v>
      </c>
      <c r="Z419" s="101">
        <v>0.73329861111111105</v>
      </c>
      <c r="AA419" s="101">
        <v>0.41274305555555552</v>
      </c>
      <c r="AB419" s="101">
        <v>-3.9236111111111693E-3</v>
      </c>
      <c r="AC419" s="105">
        <v>0</v>
      </c>
      <c r="AD419" s="105">
        <v>0</v>
      </c>
      <c r="AE419" s="93">
        <v>0</v>
      </c>
      <c r="AF419" s="93">
        <v>0</v>
      </c>
      <c r="AG419" s="93">
        <v>0</v>
      </c>
    </row>
    <row r="420" spans="1:33">
      <c r="A420" s="65" t="str">
        <f>IFERROR(VLOOKUP('Informe Kelly'!A413,Base!A:B,2,FALSE),"")</f>
        <v>10.835.391-0</v>
      </c>
      <c r="B420" s="65" t="str">
        <f>IFERROR(VLOOKUP('Informe Kelly'!A413,Base!A:G,7,FALSE),"")</f>
        <v>SANCHEZ VASQUEZ DANIEL PATRICIO</v>
      </c>
      <c r="C420" s="69" t="str">
        <f>IF(G420=$C$4,IF('Informe Kelly'!H413='Control informe Kelly'!$A$2,TEXT(((LEFT('Informe Kelly'!E413,2)*1)+1),"dd")&amp;"."&amp;MID('Informe Kelly'!E413,4,2)&amp;"."&amp;RIGHT('Informe Kelly'!E413,4),'Informe Kelly'!E413),'Informe Kelly'!E413)</f>
        <v>15.04.2011</v>
      </c>
      <c r="D420" s="69" t="str">
        <f>IF('Informe Kelly'!E413="","",'Informe Kelly'!E413)</f>
        <v>15.04.2011</v>
      </c>
      <c r="E420" s="72">
        <f t="shared" si="13"/>
        <v>210</v>
      </c>
      <c r="F420" s="72" t="str">
        <f>IFERROR(HLOOKUP(C420,Ingreso!$Q$8:$AD$9,2,FALSE),"v")</f>
        <v>Viernes</v>
      </c>
      <c r="G420" s="65" t="str">
        <f>IFERROR(VLOOKUP(A420,Ingreso!K:P,6,FALSE),"no esta ingresado")</f>
        <v>Turno A</v>
      </c>
      <c r="H420" s="65" t="str">
        <f>IFERROR(IF('Informe Kelly'!H413=$A$2,'Informe Kelly'!F413,""),0)</f>
        <v/>
      </c>
      <c r="I420" s="65">
        <f>IFERROR(IF('Informe Kelly'!H413=$A$3,'Informe Kelly'!F413,""),0)</f>
        <v>0.63063657407407414</v>
      </c>
      <c r="J420" s="65" t="str">
        <f>IF(IFERROR(IF(E420=E419,0,(HLOOKUP(D420,Ingreso!$AN$10:$AT$260,VLOOKUP(A420,Ingreso!$AL$11:$AM$260,2,FALSE)))/24),0)=0,"",IFERROR(IF(E420=E419,0,(HLOOKUP(D420,Ingreso!$AN$10:$AT$260,VLOOKUP(A420,Ingreso!$AL$11:$AM$260,2,FALSE)))/24),0))</f>
        <v/>
      </c>
      <c r="K420" s="65" t="str">
        <f>IF(IFERROR(IF(E420=E419,0,(HLOOKUP(C420,Ingreso!$AW$10:$BC$260,VLOOKUP(A420,Ingreso!$AL$11:$AM$260,2,FALSE)))/24),0)=0,"",IFERROR(IF(E420=E419,0,(HLOOKUP(C420,Ingreso!$AW$10:$BC$260,VLOOKUP(A420,Ingreso!$AL$11:$AM$260,2,FALSE)))/24),0))</f>
        <v/>
      </c>
      <c r="L420" s="63">
        <f t="shared" si="12"/>
        <v>0.3125</v>
      </c>
      <c r="M420" s="63" t="str">
        <f>IF(IFERROR(IF(C420=C418,0,IF(E420=E419,0,IF(C420=$R$2,HLOOKUP($R$2,Ingreso!$AW$10:$BC$260,VLOOKUP(A420,Ingreso!AL:AM,2,FALSE),FALSE)/24,""))),"")=0,"",IFERROR(IF(C420=C418,0,IF(E420=E419,0,IF(C420=$R$2,HLOOKUP($R$2,Ingreso!$AW$10:$BC$260,VLOOKUP(A420,Ingreso!AL:AM,2,FALSE),FALSE)/24,""))),""))</f>
        <v/>
      </c>
      <c r="N420" s="95" t="str">
        <f>IF(IFERROR(IF(C420=C418,0,IF(E420=E419,0,IF(C420=$R$3,HLOOKUP($R$3,Ingreso!$AW$10:$BC$260,VLOOKUP(A420,Ingreso!AL:AM,2,FALSE),FALSE)/24,""))),"")=0,"",IFERROR(IF(C420=C418,0,IF(E420=E419,0,IF(C420=$R$3,HLOOKUP($R$3,Ingreso!$AW$10:$BC$260,VLOOKUP(A420,Ingreso!AL:AM,2,FALSE),FALSE)/24,""))),""))</f>
        <v/>
      </c>
      <c r="O420" s="95" t="str">
        <f>IF(IFERROR(IF(C420=C418,0,IF(E420=E419,0,IF(C420=$R$4,HLOOKUP($R$4,Ingreso!$AW$10:$BC$260,VLOOKUP(A420,Ingreso!AL:AM,2,FALSE),FALSE)/24,""))),"")=0,"",IFERROR(IF(C420=C418,0,IF(E420=E419,0,IF(C420=$R$4,HLOOKUP($R$4,Ingreso!$AW$10:$BC$260,VLOOKUP(A420,Ingreso!AL:AM,2,FALSE),FALSE)/24,""))),""))</f>
        <v/>
      </c>
      <c r="P420" s="90"/>
      <c r="T420" t="s">
        <v>1423</v>
      </c>
      <c r="U420" t="s">
        <v>1338</v>
      </c>
      <c r="V420" t="s">
        <v>1398</v>
      </c>
      <c r="W420" s="82">
        <v>549</v>
      </c>
      <c r="X420" s="71">
        <v>0.41666666666666669</v>
      </c>
      <c r="Y420" s="101">
        <v>0.32245370370370369</v>
      </c>
      <c r="Z420" s="101">
        <v>0.73111111111111116</v>
      </c>
      <c r="AA420" s="101">
        <v>0.40865740740740747</v>
      </c>
      <c r="AB420" s="101">
        <v>-8.009259259259216E-3</v>
      </c>
      <c r="AC420" s="105">
        <v>0</v>
      </c>
      <c r="AD420" s="105">
        <v>0</v>
      </c>
      <c r="AE420" s="93">
        <v>0</v>
      </c>
      <c r="AF420" s="93">
        <v>0</v>
      </c>
      <c r="AG420" s="93">
        <v>0</v>
      </c>
    </row>
    <row r="421" spans="1:33" ht="12.75" customHeight="1">
      <c r="A421" s="65" t="str">
        <f>IFERROR(VLOOKUP('Informe Kelly'!A414,Base!A:B,2,FALSE),"")</f>
        <v>10.835.391-0</v>
      </c>
      <c r="B421" s="65" t="str">
        <f>IFERROR(VLOOKUP('Informe Kelly'!A414,Base!A:G,7,FALSE),"")</f>
        <v>SANCHEZ VASQUEZ DANIEL PATRICIO</v>
      </c>
      <c r="C421" s="69" t="str">
        <f>IF(G421=$C$4,IF('Informe Kelly'!H414='Control informe Kelly'!$A$2,TEXT(((LEFT('Informe Kelly'!E414,2)*1)+1),"dd")&amp;"."&amp;MID('Informe Kelly'!E414,4,2)&amp;"."&amp;RIGHT('Informe Kelly'!E414,4),'Informe Kelly'!E414),'Informe Kelly'!E414)</f>
        <v>15.04.2011</v>
      </c>
      <c r="D421" s="69" t="str">
        <f>IF('Informe Kelly'!E414="","",'Informe Kelly'!E414)</f>
        <v>15.04.2011</v>
      </c>
      <c r="E421" s="72">
        <f t="shared" si="13"/>
        <v>210</v>
      </c>
      <c r="F421" s="72" t="str">
        <f>IFERROR(HLOOKUP(C421,Ingreso!$Q$8:$AD$9,2,FALSE),"v")</f>
        <v>Viernes</v>
      </c>
      <c r="G421" s="65" t="str">
        <f>IFERROR(VLOOKUP(A421,Ingreso!K:P,6,FALSE),"no esta ingresado")</f>
        <v>Turno A</v>
      </c>
      <c r="H421" s="65">
        <f>IFERROR(IF('Informe Kelly'!H414=$A$2,'Informe Kelly'!F414,""),0)</f>
        <v>0.33862268518518518</v>
      </c>
      <c r="I421" s="65" t="str">
        <f>IFERROR(IF('Informe Kelly'!H414=$A$3,'Informe Kelly'!F414,""),0)</f>
        <v/>
      </c>
      <c r="J421" s="65" t="str">
        <f>IF(IFERROR(IF(E421=E420,0,(HLOOKUP(D421,Ingreso!$AN$10:$AT$260,VLOOKUP(A421,Ingreso!$AL$11:$AM$260,2,FALSE)))/24),0)=0,"",IFERROR(IF(E421=E420,0,(HLOOKUP(D421,Ingreso!$AN$10:$AT$260,VLOOKUP(A421,Ingreso!$AL$11:$AM$260,2,FALSE)))/24),0))</f>
        <v/>
      </c>
      <c r="K421" s="65" t="str">
        <f>IF(IFERROR(IF(E421=E420,0,(HLOOKUP(C421,Ingreso!$AW$10:$BC$260,VLOOKUP(A421,Ingreso!$AL$11:$AM$260,2,FALSE)))/24),0)=0,"",IFERROR(IF(E421=E420,0,(HLOOKUP(C421,Ingreso!$AW$10:$BC$260,VLOOKUP(A421,Ingreso!$AL$11:$AM$260,2,FALSE)))/24),0))</f>
        <v/>
      </c>
      <c r="L421" s="63">
        <f t="shared" si="12"/>
        <v>0</v>
      </c>
      <c r="M421" s="63" t="str">
        <f>IF(IFERROR(IF(C421=C419,0,IF(E421=E420,0,IF(C421=$R$2,HLOOKUP($R$2,Ingreso!$AW$10:$BC$260,VLOOKUP(A421,Ingreso!AL:AM,2,FALSE),FALSE)/24,""))),"")=0,"",IFERROR(IF(C421=C419,0,IF(E421=E420,0,IF(C421=$R$2,HLOOKUP($R$2,Ingreso!$AW$10:$BC$260,VLOOKUP(A421,Ingreso!AL:AM,2,FALSE),FALSE)/24,""))),""))</f>
        <v/>
      </c>
      <c r="N421" s="95" t="str">
        <f>IF(IFERROR(IF(C421=C419,0,IF(E421=E420,0,IF(C421=$R$3,HLOOKUP($R$3,Ingreso!$AW$10:$BC$260,VLOOKUP(A421,Ingreso!AL:AM,2,FALSE),FALSE)/24,""))),"")=0,"",IFERROR(IF(C421=C419,0,IF(E421=E420,0,IF(C421=$R$3,HLOOKUP($R$3,Ingreso!$AW$10:$BC$260,VLOOKUP(A421,Ingreso!AL:AM,2,FALSE),FALSE)/24,""))),""))</f>
        <v/>
      </c>
      <c r="O421" s="95" t="str">
        <f>IF(IFERROR(IF(C421=C419,0,IF(E421=E420,0,IF(C421=$R$4,HLOOKUP($R$4,Ingreso!$AW$10:$BC$260,VLOOKUP(A421,Ingreso!AL:AM,2,FALSE),FALSE)/24,""))),"")=0,"",IFERROR(IF(C421=C419,0,IF(E421=E420,0,IF(C421=$R$4,HLOOKUP($R$4,Ingreso!$AW$10:$BC$260,VLOOKUP(A421,Ingreso!AL:AM,2,FALSE),FALSE)/24,""))),""))</f>
        <v/>
      </c>
      <c r="P421" s="90"/>
      <c r="T421" t="s">
        <v>1424</v>
      </c>
      <c r="U421" t="s">
        <v>1338</v>
      </c>
      <c r="V421" t="s">
        <v>1399</v>
      </c>
      <c r="W421" s="82">
        <v>550</v>
      </c>
      <c r="X421" s="71">
        <v>0.41666666666666669</v>
      </c>
      <c r="Y421" s="101">
        <v>0.30034722222222221</v>
      </c>
      <c r="Z421" s="101">
        <v>0.45249999999999996</v>
      </c>
      <c r="AA421" s="101">
        <v>0.15215277777777775</v>
      </c>
      <c r="AB421" s="101">
        <v>-0.26451388888888894</v>
      </c>
      <c r="AC421" s="105">
        <v>0</v>
      </c>
      <c r="AD421" s="105">
        <v>0</v>
      </c>
      <c r="AE421" s="93">
        <v>0</v>
      </c>
      <c r="AF421" s="93">
        <v>0</v>
      </c>
      <c r="AG421" s="93">
        <v>0</v>
      </c>
    </row>
    <row r="422" spans="1:33">
      <c r="A422" s="65" t="str">
        <f>IFERROR(VLOOKUP('Informe Kelly'!A415,Base!A:B,2,FALSE),"")</f>
        <v>10.835.391-0</v>
      </c>
      <c r="B422" s="65" t="str">
        <f>IFERROR(VLOOKUP('Informe Kelly'!A415,Base!A:G,7,FALSE),"")</f>
        <v>SANCHEZ VASQUEZ DANIEL PATRICIO</v>
      </c>
      <c r="C422" s="69" t="str">
        <f>IF(G422=$C$4,IF('Informe Kelly'!H415='Control informe Kelly'!$A$2,TEXT(((LEFT('Informe Kelly'!E415,2)*1)+1),"dd")&amp;"."&amp;MID('Informe Kelly'!E415,4,2)&amp;"."&amp;RIGHT('Informe Kelly'!E415,4),'Informe Kelly'!E415),'Informe Kelly'!E415)</f>
        <v>16.04.2011</v>
      </c>
      <c r="D422" s="69" t="str">
        <f>IF('Informe Kelly'!E415="","",'Informe Kelly'!E415)</f>
        <v>16.04.2011</v>
      </c>
      <c r="E422" s="72">
        <f t="shared" si="13"/>
        <v>211</v>
      </c>
      <c r="F422" s="72" t="str">
        <f>IFERROR(HLOOKUP(C422,Ingreso!$Q$8:$AD$9,2,FALSE),"v")</f>
        <v>Sábado</v>
      </c>
      <c r="G422" s="65" t="str">
        <f>IFERROR(VLOOKUP(A422,Ingreso!K:P,6,FALSE),"no esta ingresado")</f>
        <v>Turno A</v>
      </c>
      <c r="H422" s="65" t="str">
        <f>IFERROR(IF('Informe Kelly'!H415=$A$2,'Informe Kelly'!F415,""),0)</f>
        <v/>
      </c>
      <c r="I422" s="65">
        <f>IFERROR(IF('Informe Kelly'!H415=$A$3,'Informe Kelly'!F415,""),0)</f>
        <v>0.62766203703703705</v>
      </c>
      <c r="J422" s="65" t="str">
        <f>IF(IFERROR(IF(E422=E421,0,(HLOOKUP(D422,Ingreso!$AN$10:$AT$260,VLOOKUP(A422,Ingreso!$AL$11:$AM$260,2,FALSE)))/24),0)=0,"",IFERROR(IF(E422=E421,0,(HLOOKUP(D422,Ingreso!$AN$10:$AT$260,VLOOKUP(A422,Ingreso!$AL$11:$AM$260,2,FALSE)))/24),0))</f>
        <v/>
      </c>
      <c r="K422" s="65" t="str">
        <f>IF(IFERROR(IF(E422=E421,0,(HLOOKUP(C422,Ingreso!$AW$10:$BC$260,VLOOKUP(A422,Ingreso!$AL$11:$AM$260,2,FALSE)))/24),0)=0,"",IFERROR(IF(E422=E421,0,(HLOOKUP(C422,Ingreso!$AW$10:$BC$260,VLOOKUP(A422,Ingreso!$AL$11:$AM$260,2,FALSE)))/24),0))</f>
        <v/>
      </c>
      <c r="L422" s="63">
        <f t="shared" si="12"/>
        <v>0.3125</v>
      </c>
      <c r="M422" s="63" t="str">
        <f>IF(IFERROR(IF(C422=C420,0,IF(E422=E421,0,IF(C422=$R$2,HLOOKUP($R$2,Ingreso!$AW$10:$BC$260,VLOOKUP(A422,Ingreso!AL:AM,2,FALSE),FALSE)/24,""))),"")=0,"",IFERROR(IF(C422=C420,0,IF(E422=E421,0,IF(C422=$R$2,HLOOKUP($R$2,Ingreso!$AW$10:$BC$260,VLOOKUP(A422,Ingreso!AL:AM,2,FALSE),FALSE)/24,""))),""))</f>
        <v/>
      </c>
      <c r="N422" s="95" t="str">
        <f>IF(IFERROR(IF(C422=C420,0,IF(E422=E421,0,IF(C422=$R$3,HLOOKUP($R$3,Ingreso!$AW$10:$BC$260,VLOOKUP(A422,Ingreso!AL:AM,2,FALSE),FALSE)/24,""))),"")=0,"",IFERROR(IF(C422=C420,0,IF(E422=E421,0,IF(C422=$R$3,HLOOKUP($R$3,Ingreso!$AW$10:$BC$260,VLOOKUP(A422,Ingreso!AL:AM,2,FALSE),FALSE)/24,""))),""))</f>
        <v/>
      </c>
      <c r="O422" s="95" t="str">
        <f>IF(IFERROR(IF(C422=C420,0,IF(E422=E421,0,IF(C422=$R$4,HLOOKUP($R$4,Ingreso!$AW$10:$BC$260,VLOOKUP(A422,Ingreso!AL:AM,2,FALSE),FALSE)/24,""))),"")=0,"",IFERROR(IF(C422=C420,0,IF(E422=E421,0,IF(C422=$R$4,HLOOKUP($R$4,Ingreso!$AW$10:$BC$260,VLOOKUP(A422,Ingreso!AL:AM,2,FALSE),FALSE)/24,""))),""))</f>
        <v/>
      </c>
      <c r="P422" s="90"/>
      <c r="T422" t="s">
        <v>1425</v>
      </c>
      <c r="U422" t="s">
        <v>1338</v>
      </c>
      <c r="V422" t="s">
        <v>1400</v>
      </c>
      <c r="W422" s="82">
        <v>551</v>
      </c>
      <c r="X422" s="71">
        <v>0.41666666666666669</v>
      </c>
      <c r="Y422" s="101">
        <v>0.29866898148148147</v>
      </c>
      <c r="Z422" s="101">
        <v>0.73560185185185178</v>
      </c>
      <c r="AA422" s="101">
        <v>0.43693287037037032</v>
      </c>
      <c r="AB422" s="101">
        <v>2.0266203703703634E-2</v>
      </c>
      <c r="AC422" s="105">
        <v>0</v>
      </c>
      <c r="AD422" s="105">
        <v>0</v>
      </c>
      <c r="AE422" s="93">
        <v>0</v>
      </c>
      <c r="AF422" s="93">
        <v>0</v>
      </c>
      <c r="AG422" s="93">
        <v>0</v>
      </c>
    </row>
    <row r="423" spans="1:33">
      <c r="A423" s="65" t="str">
        <f>IFERROR(VLOOKUP('Informe Kelly'!A416,Base!A:B,2,FALSE),"")</f>
        <v>10.835.391-0</v>
      </c>
      <c r="B423" s="65" t="str">
        <f>IFERROR(VLOOKUP('Informe Kelly'!A416,Base!A:G,7,FALSE),"")</f>
        <v>SANCHEZ VASQUEZ DANIEL PATRICIO</v>
      </c>
      <c r="C423" s="69" t="str">
        <f>IF(G423=$C$4,IF('Informe Kelly'!H416='Control informe Kelly'!$A$2,TEXT(((LEFT('Informe Kelly'!E416,2)*1)+1),"dd")&amp;"."&amp;MID('Informe Kelly'!E416,4,2)&amp;"."&amp;RIGHT('Informe Kelly'!E416,4),'Informe Kelly'!E416),'Informe Kelly'!E416)</f>
        <v>16.04.2011</v>
      </c>
      <c r="D423" s="69" t="str">
        <f>IF('Informe Kelly'!E416="","",'Informe Kelly'!E416)</f>
        <v>16.04.2011</v>
      </c>
      <c r="E423" s="72">
        <f t="shared" si="13"/>
        <v>211</v>
      </c>
      <c r="F423" s="72" t="str">
        <f>IFERROR(HLOOKUP(C423,Ingreso!$Q$8:$AD$9,2,FALSE),"v")</f>
        <v>Sábado</v>
      </c>
      <c r="G423" s="65" t="str">
        <f>IFERROR(VLOOKUP(A423,Ingreso!K:P,6,FALSE),"no esta ingresado")</f>
        <v>Turno A</v>
      </c>
      <c r="H423" s="65">
        <f>IFERROR(IF('Informe Kelly'!H416=$A$2,'Informe Kelly'!F416,""),0)</f>
        <v>0.30953703703703705</v>
      </c>
      <c r="I423" s="65" t="str">
        <f>IFERROR(IF('Informe Kelly'!H416=$A$3,'Informe Kelly'!F416,""),0)</f>
        <v/>
      </c>
      <c r="J423" s="65" t="str">
        <f>IF(IFERROR(IF(E423=E422,0,(HLOOKUP(D423,Ingreso!$AN$10:$AT$260,VLOOKUP(A423,Ingreso!$AL$11:$AM$260,2,FALSE)))/24),0)=0,"",IFERROR(IF(E423=E422,0,(HLOOKUP(D423,Ingreso!$AN$10:$AT$260,VLOOKUP(A423,Ingreso!$AL$11:$AM$260,2,FALSE)))/24),0))</f>
        <v/>
      </c>
      <c r="K423" s="65" t="str">
        <f>IF(IFERROR(IF(E423=E422,0,(HLOOKUP(C423,Ingreso!$AW$10:$BC$260,VLOOKUP(A423,Ingreso!$AL$11:$AM$260,2,FALSE)))/24),0)=0,"",IFERROR(IF(E423=E422,0,(HLOOKUP(C423,Ingreso!$AW$10:$BC$260,VLOOKUP(A423,Ingreso!$AL$11:$AM$260,2,FALSE)))/24),0))</f>
        <v/>
      </c>
      <c r="L423" s="63">
        <f t="shared" si="12"/>
        <v>0</v>
      </c>
      <c r="M423" s="63" t="str">
        <f>IF(IFERROR(IF(C423=C421,0,IF(E423=E422,0,IF(C423=$R$2,HLOOKUP($R$2,Ingreso!$AW$10:$BC$260,VLOOKUP(A423,Ingreso!AL:AM,2,FALSE),FALSE)/24,""))),"")=0,"",IFERROR(IF(C423=C421,0,IF(E423=E422,0,IF(C423=$R$2,HLOOKUP($R$2,Ingreso!$AW$10:$BC$260,VLOOKUP(A423,Ingreso!AL:AM,2,FALSE),FALSE)/24,""))),""))</f>
        <v/>
      </c>
      <c r="N423" s="95" t="str">
        <f>IF(IFERROR(IF(C423=C421,0,IF(E423=E422,0,IF(C423=$R$3,HLOOKUP($R$3,Ingreso!$AW$10:$BC$260,VLOOKUP(A423,Ingreso!AL:AM,2,FALSE),FALSE)/24,""))),"")=0,"",IFERROR(IF(C423=C421,0,IF(E423=E422,0,IF(C423=$R$3,HLOOKUP($R$3,Ingreso!$AW$10:$BC$260,VLOOKUP(A423,Ingreso!AL:AM,2,FALSE),FALSE)/24,""))),""))</f>
        <v/>
      </c>
      <c r="O423" s="95" t="str">
        <f>IF(IFERROR(IF(C423=C421,0,IF(E423=E422,0,IF(C423=$R$4,HLOOKUP($R$4,Ingreso!$AW$10:$BC$260,VLOOKUP(A423,Ingreso!AL:AM,2,FALSE),FALSE)/24,""))),"")=0,"",IFERROR(IF(C423=C421,0,IF(E423=E422,0,IF(C423=$R$4,HLOOKUP($R$4,Ingreso!$AW$10:$BC$260,VLOOKUP(A423,Ingreso!AL:AM,2,FALSE),FALSE)/24,""))),""))</f>
        <v/>
      </c>
      <c r="P423" s="90"/>
      <c r="T423" t="s">
        <v>1426</v>
      </c>
      <c r="U423" t="s">
        <v>1338</v>
      </c>
      <c r="V423" t="s">
        <v>1401</v>
      </c>
      <c r="W423" s="82">
        <v>552</v>
      </c>
      <c r="X423" s="71">
        <v>0.41666666666666669</v>
      </c>
      <c r="Y423" s="101">
        <v>0.29704861111111108</v>
      </c>
      <c r="Z423" s="101">
        <v>0.73589120370370376</v>
      </c>
      <c r="AA423" s="101">
        <v>0.43884259259259267</v>
      </c>
      <c r="AB423" s="101">
        <v>2.2175925925925988E-2</v>
      </c>
      <c r="AC423" s="105">
        <v>0</v>
      </c>
      <c r="AD423" s="105">
        <v>0</v>
      </c>
      <c r="AE423" s="93">
        <v>0</v>
      </c>
      <c r="AF423" s="93">
        <v>0</v>
      </c>
      <c r="AG423" s="93">
        <v>0</v>
      </c>
    </row>
    <row r="424" spans="1:33">
      <c r="A424" s="65" t="str">
        <f>IFERROR(VLOOKUP('Informe Kelly'!A417,Base!A:B,2,FALSE),"")</f>
        <v>10.849.486-7</v>
      </c>
      <c r="B424" s="65" t="str">
        <f>IFERROR(VLOOKUP('Informe Kelly'!A417,Base!A:G,7,FALSE),"")</f>
        <v>VALDENEGRO  GARRIDO, ELVIO</v>
      </c>
      <c r="C424" s="69" t="str">
        <f>IF(G424=$C$4,IF('Informe Kelly'!H417='Control informe Kelly'!$A$2,TEXT(((LEFT('Informe Kelly'!E417,2)*1)+1),"dd")&amp;"."&amp;MID('Informe Kelly'!E417,4,2)&amp;"."&amp;RIGHT('Informe Kelly'!E417,4),'Informe Kelly'!E417),'Informe Kelly'!E417)</f>
        <v>11.04.2011</v>
      </c>
      <c r="D424" s="69" t="str">
        <f>IF('Informe Kelly'!E417="","",'Informe Kelly'!E417)</f>
        <v>11.04.2011</v>
      </c>
      <c r="E424" s="72">
        <f t="shared" si="13"/>
        <v>212</v>
      </c>
      <c r="F424" s="72" t="str">
        <f>IFERROR(HLOOKUP(C424,Ingreso!$Q$8:$AD$9,2,FALSE),"v")</f>
        <v>Lunes</v>
      </c>
      <c r="G424" s="65" t="str">
        <f>IFERROR(VLOOKUP(A424,Ingreso!K:P,6,FALSE),"no esta ingresado")</f>
        <v>no esta ingresado</v>
      </c>
      <c r="H424" s="65" t="str">
        <f>IFERROR(IF('Informe Kelly'!H417=$A$2,'Informe Kelly'!F417,""),0)</f>
        <v/>
      </c>
      <c r="I424" s="65">
        <f>IFERROR(IF('Informe Kelly'!H417=$A$3,'Informe Kelly'!F417,""),0)</f>
        <v>0.94922453703703702</v>
      </c>
      <c r="J424" s="65" t="str">
        <f>IF(IFERROR(IF(E424=E423,0,(HLOOKUP(D424,Ingreso!$AN$10:$AT$260,VLOOKUP(A424,Ingreso!$AL$11:$AM$260,2,FALSE)))/24),0)=0,"",IFERROR(IF(E424=E423,0,(HLOOKUP(D424,Ingreso!$AN$10:$AT$260,VLOOKUP(A424,Ingreso!$AL$11:$AM$260,2,FALSE)))/24),0))</f>
        <v/>
      </c>
      <c r="K424" s="65" t="str">
        <f>IF(IFERROR(IF(E424=E423,0,(HLOOKUP(C424,Ingreso!$AW$10:$BC$260,VLOOKUP(A424,Ingreso!$AL$11:$AM$260,2,FALSE)))/24),0)=0,"",IFERROR(IF(E424=E423,0,(HLOOKUP(C424,Ingreso!$AW$10:$BC$260,VLOOKUP(A424,Ingreso!$AL$11:$AM$260,2,FALSE)))/24),0))</f>
        <v/>
      </c>
      <c r="L424" s="63" t="str">
        <f t="shared" si="12"/>
        <v/>
      </c>
      <c r="M424" s="63" t="str">
        <f>IF(IFERROR(IF(C424=C422,0,IF(E424=E423,0,IF(C424=$R$2,HLOOKUP($R$2,Ingreso!$AW$10:$BC$260,VLOOKUP(A424,Ingreso!AL:AM,2,FALSE),FALSE)/24,""))),"")=0,"",IFERROR(IF(C424=C422,0,IF(E424=E423,0,IF(C424=$R$2,HLOOKUP($R$2,Ingreso!$AW$10:$BC$260,VLOOKUP(A424,Ingreso!AL:AM,2,FALSE),FALSE)/24,""))),""))</f>
        <v/>
      </c>
      <c r="N424" s="95" t="str">
        <f>IF(IFERROR(IF(C424=C422,0,IF(E424=E423,0,IF(C424=$R$3,HLOOKUP($R$3,Ingreso!$AW$10:$BC$260,VLOOKUP(A424,Ingreso!AL:AM,2,FALSE),FALSE)/24,""))),"")=0,"",IFERROR(IF(C424=C422,0,IF(E424=E423,0,IF(C424=$R$3,HLOOKUP($R$3,Ingreso!$AW$10:$BC$260,VLOOKUP(A424,Ingreso!AL:AM,2,FALSE),FALSE)/24,""))),""))</f>
        <v/>
      </c>
      <c r="O424" s="95" t="str">
        <f>IF(IFERROR(IF(C424=C422,0,IF(E424=E423,0,IF(C424=$R$4,HLOOKUP($R$4,Ingreso!$AW$10:$BC$260,VLOOKUP(A424,Ingreso!AL:AM,2,FALSE),FALSE)/24,""))),"")=0,"",IFERROR(IF(C424=C422,0,IF(E424=E423,0,IF(C424=$R$4,HLOOKUP($R$4,Ingreso!$AW$10:$BC$260,VLOOKUP(A424,Ingreso!AL:AM,2,FALSE),FALSE)/24,""))),""))</f>
        <v/>
      </c>
      <c r="P424" s="90"/>
      <c r="R424" t="s">
        <v>236</v>
      </c>
      <c r="S424" t="s">
        <v>241</v>
      </c>
      <c r="T424" t="s">
        <v>1420</v>
      </c>
      <c r="U424" t="s">
        <v>1324</v>
      </c>
      <c r="V424" t="s">
        <v>1397</v>
      </c>
      <c r="W424" s="82">
        <v>553</v>
      </c>
      <c r="X424" s="71">
        <v>0.375</v>
      </c>
      <c r="Y424" s="101">
        <v>0</v>
      </c>
      <c r="Z424" s="101">
        <v>0.33907407407407408</v>
      </c>
      <c r="AA424" s="101">
        <v>0.33907407407407408</v>
      </c>
      <c r="AB424" s="101">
        <v>-3.5925925925925917E-2</v>
      </c>
      <c r="AC424" s="105">
        <v>0</v>
      </c>
      <c r="AD424" s="105">
        <v>0.3125</v>
      </c>
      <c r="AE424" s="93">
        <v>0.3125</v>
      </c>
      <c r="AF424" s="93">
        <v>0</v>
      </c>
      <c r="AG424" s="93">
        <v>0</v>
      </c>
    </row>
    <row r="425" spans="1:33" ht="12.75" customHeight="1">
      <c r="A425" s="65" t="str">
        <f>IFERROR(VLOOKUP('Informe Kelly'!A418,Base!A:B,2,FALSE),"")</f>
        <v>10.849.486-7</v>
      </c>
      <c r="B425" s="65" t="str">
        <f>IFERROR(VLOOKUP('Informe Kelly'!A418,Base!A:G,7,FALSE),"")</f>
        <v>VALDENEGRO  GARRIDO, ELVIO</v>
      </c>
      <c r="C425" s="69" t="str">
        <f>IF(G425=$C$4,IF('Informe Kelly'!H418='Control informe Kelly'!$A$2,TEXT(((LEFT('Informe Kelly'!E418,2)*1)+1),"dd")&amp;"."&amp;MID('Informe Kelly'!E418,4,2)&amp;"."&amp;RIGHT('Informe Kelly'!E418,4),'Informe Kelly'!E418),'Informe Kelly'!E418)</f>
        <v>11.04.2011</v>
      </c>
      <c r="D425" s="69" t="str">
        <f>IF('Informe Kelly'!E418="","",'Informe Kelly'!E418)</f>
        <v>11.04.2011</v>
      </c>
      <c r="E425" s="72">
        <f t="shared" si="13"/>
        <v>212</v>
      </c>
      <c r="F425" s="72" t="str">
        <f>IFERROR(HLOOKUP(C425,Ingreso!$Q$8:$AD$9,2,FALSE),"v")</f>
        <v>Lunes</v>
      </c>
      <c r="G425" s="65" t="str">
        <f>IFERROR(VLOOKUP(A425,Ingreso!K:P,6,FALSE),"no esta ingresado")</f>
        <v>no esta ingresado</v>
      </c>
      <c r="H425" s="65">
        <f>IFERROR(IF('Informe Kelly'!H418=$A$2,'Informe Kelly'!F418,""),0)</f>
        <v>0.60629629629629633</v>
      </c>
      <c r="I425" s="65" t="str">
        <f>IFERROR(IF('Informe Kelly'!H418=$A$3,'Informe Kelly'!F418,""),0)</f>
        <v/>
      </c>
      <c r="J425" s="65" t="str">
        <f>IF(IFERROR(IF(E425=E424,0,(HLOOKUP(D425,Ingreso!$AN$10:$AT$260,VLOOKUP(A425,Ingreso!$AL$11:$AM$260,2,FALSE)))/24),0)=0,"",IFERROR(IF(E425=E424,0,(HLOOKUP(D425,Ingreso!$AN$10:$AT$260,VLOOKUP(A425,Ingreso!$AL$11:$AM$260,2,FALSE)))/24),0))</f>
        <v/>
      </c>
      <c r="K425" s="65" t="str">
        <f>IF(IFERROR(IF(E425=E424,0,(HLOOKUP(C425,Ingreso!$AW$10:$BC$260,VLOOKUP(A425,Ingreso!$AL$11:$AM$260,2,FALSE)))/24),0)=0,"",IFERROR(IF(E425=E424,0,(HLOOKUP(C425,Ingreso!$AW$10:$BC$260,VLOOKUP(A425,Ingreso!$AL$11:$AM$260,2,FALSE)))/24),0))</f>
        <v/>
      </c>
      <c r="L425" s="63">
        <f t="shared" si="12"/>
        <v>0</v>
      </c>
      <c r="M425" s="63" t="str">
        <f>IF(IFERROR(IF(C425=C423,0,IF(E425=E424,0,IF(C425=$R$2,HLOOKUP($R$2,Ingreso!$AW$10:$BC$260,VLOOKUP(A425,Ingreso!AL:AM,2,FALSE),FALSE)/24,""))),"")=0,"",IFERROR(IF(C425=C423,0,IF(E425=E424,0,IF(C425=$R$2,HLOOKUP($R$2,Ingreso!$AW$10:$BC$260,VLOOKUP(A425,Ingreso!AL:AM,2,FALSE),FALSE)/24,""))),""))</f>
        <v/>
      </c>
      <c r="N425" s="95" t="str">
        <f>IF(IFERROR(IF(C425=C423,0,IF(E425=E424,0,IF(C425=$R$3,HLOOKUP($R$3,Ingreso!$AW$10:$BC$260,VLOOKUP(A425,Ingreso!AL:AM,2,FALSE),FALSE)/24,""))),"")=0,"",IFERROR(IF(C425=C423,0,IF(E425=E424,0,IF(C425=$R$3,HLOOKUP($R$3,Ingreso!$AW$10:$BC$260,VLOOKUP(A425,Ingreso!AL:AM,2,FALSE),FALSE)/24,""))),""))</f>
        <v/>
      </c>
      <c r="O425" s="95" t="str">
        <f>IF(IFERROR(IF(C425=C423,0,IF(E425=E424,0,IF(C425=$R$4,HLOOKUP($R$4,Ingreso!$AW$10:$BC$260,VLOOKUP(A425,Ingreso!AL:AM,2,FALSE),FALSE)/24,""))),"")=0,"",IFERROR(IF(C425=C423,0,IF(E425=E424,0,IF(C425=$R$4,HLOOKUP($R$4,Ingreso!$AW$10:$BC$260,VLOOKUP(A425,Ingreso!AL:AM,2,FALSE),FALSE)/24,""))),""))</f>
        <v/>
      </c>
      <c r="P425" s="90"/>
      <c r="T425" t="s">
        <v>1423</v>
      </c>
      <c r="U425" t="s">
        <v>1324</v>
      </c>
      <c r="V425" t="s">
        <v>1398</v>
      </c>
      <c r="W425" s="82">
        <v>554</v>
      </c>
      <c r="X425" s="71">
        <v>0.375</v>
      </c>
      <c r="Y425" s="101">
        <v>0.93061342592592589</v>
      </c>
      <c r="Z425" s="101">
        <v>0</v>
      </c>
      <c r="AA425" s="101">
        <v>6.9386574074074114E-2</v>
      </c>
      <c r="AB425" s="101">
        <v>-0.30561342592592589</v>
      </c>
      <c r="AC425" s="105">
        <v>0</v>
      </c>
      <c r="AD425" s="105">
        <v>0</v>
      </c>
      <c r="AE425" s="93">
        <v>0</v>
      </c>
      <c r="AF425" s="93">
        <v>0</v>
      </c>
      <c r="AG425" s="93">
        <v>0</v>
      </c>
    </row>
    <row r="426" spans="1:33">
      <c r="A426" s="65" t="str">
        <f>IFERROR(VLOOKUP('Informe Kelly'!A419,Base!A:B,2,FALSE),"")</f>
        <v>10.849.486-7</v>
      </c>
      <c r="B426" s="65" t="str">
        <f>IFERROR(VLOOKUP('Informe Kelly'!A419,Base!A:G,7,FALSE),"")</f>
        <v>VALDENEGRO  GARRIDO, ELVIO</v>
      </c>
      <c r="C426" s="69" t="str">
        <f>IF(G426=$C$4,IF('Informe Kelly'!H419='Control informe Kelly'!$A$2,TEXT(((LEFT('Informe Kelly'!E419,2)*1)+1),"dd")&amp;"."&amp;MID('Informe Kelly'!E419,4,2)&amp;"."&amp;RIGHT('Informe Kelly'!E419,4),'Informe Kelly'!E419),'Informe Kelly'!E419)</f>
        <v>12.04.2011</v>
      </c>
      <c r="D426" s="69" t="str">
        <f>IF('Informe Kelly'!E419="","",'Informe Kelly'!E419)</f>
        <v>12.04.2011</v>
      </c>
      <c r="E426" s="72">
        <f t="shared" si="13"/>
        <v>213</v>
      </c>
      <c r="F426" s="72" t="str">
        <f>IFERROR(HLOOKUP(C426,Ingreso!$Q$8:$AD$9,2,FALSE),"v")</f>
        <v>Martes</v>
      </c>
      <c r="G426" s="65" t="str">
        <f>IFERROR(VLOOKUP(A426,Ingreso!K:P,6,FALSE),"no esta ingresado")</f>
        <v>no esta ingresado</v>
      </c>
      <c r="H426" s="65" t="str">
        <f>IFERROR(IF('Informe Kelly'!H419=$A$2,'Informe Kelly'!F419,""),0)</f>
        <v/>
      </c>
      <c r="I426" s="65">
        <f>IFERROR(IF('Informe Kelly'!H419=$A$3,'Informe Kelly'!F419,""),0)</f>
        <v>0.94848379629629631</v>
      </c>
      <c r="J426" s="65" t="str">
        <f>IF(IFERROR(IF(E426=E425,0,(HLOOKUP(D426,Ingreso!$AN$10:$AT$260,VLOOKUP(A426,Ingreso!$AL$11:$AM$260,2,FALSE)))/24),0)=0,"",IFERROR(IF(E426=E425,0,(HLOOKUP(D426,Ingreso!$AN$10:$AT$260,VLOOKUP(A426,Ingreso!$AL$11:$AM$260,2,FALSE)))/24),0))</f>
        <v/>
      </c>
      <c r="K426" s="65" t="str">
        <f>IF(IFERROR(IF(E426=E425,0,(HLOOKUP(C426,Ingreso!$AW$10:$BC$260,VLOOKUP(A426,Ingreso!$AL$11:$AM$260,2,FALSE)))/24),0)=0,"",IFERROR(IF(E426=E425,0,(HLOOKUP(C426,Ingreso!$AW$10:$BC$260,VLOOKUP(A426,Ingreso!$AL$11:$AM$260,2,FALSE)))/24),0))</f>
        <v/>
      </c>
      <c r="L426" s="63" t="str">
        <f t="shared" si="12"/>
        <v/>
      </c>
      <c r="M426" s="63" t="str">
        <f>IF(IFERROR(IF(C426=C424,0,IF(E426=E425,0,IF(C426=$R$2,HLOOKUP($R$2,Ingreso!$AW$10:$BC$260,VLOOKUP(A426,Ingreso!AL:AM,2,FALSE),FALSE)/24,""))),"")=0,"",IFERROR(IF(C426=C424,0,IF(E426=E425,0,IF(C426=$R$2,HLOOKUP($R$2,Ingreso!$AW$10:$BC$260,VLOOKUP(A426,Ingreso!AL:AM,2,FALSE),FALSE)/24,""))),""))</f>
        <v/>
      </c>
      <c r="N426" s="95" t="str">
        <f>IF(IFERROR(IF(C426=C424,0,IF(E426=E425,0,IF(C426=$R$3,HLOOKUP($R$3,Ingreso!$AW$10:$BC$260,VLOOKUP(A426,Ingreso!AL:AM,2,FALSE),FALSE)/24,""))),"")=0,"",IFERROR(IF(C426=C424,0,IF(E426=E425,0,IF(C426=$R$3,HLOOKUP($R$3,Ingreso!$AW$10:$BC$260,VLOOKUP(A426,Ingreso!AL:AM,2,FALSE),FALSE)/24,""))),""))</f>
        <v/>
      </c>
      <c r="O426" s="95" t="str">
        <f>IF(IFERROR(IF(C426=C424,0,IF(E426=E425,0,IF(C426=$R$4,HLOOKUP($R$4,Ingreso!$AW$10:$BC$260,VLOOKUP(A426,Ingreso!AL:AM,2,FALSE),FALSE)/24,""))),"")=0,"",IFERROR(IF(C426=C424,0,IF(E426=E425,0,IF(C426=$R$4,HLOOKUP($R$4,Ingreso!$AW$10:$BC$260,VLOOKUP(A426,Ingreso!AL:AM,2,FALSE),FALSE)/24,""))),""))</f>
        <v/>
      </c>
      <c r="P426" s="90"/>
      <c r="V426"/>
      <c r="W426" s="82">
        <v>555</v>
      </c>
      <c r="X426" s="71">
        <v>0</v>
      </c>
      <c r="Y426" s="101">
        <v>0</v>
      </c>
      <c r="Z426" s="101">
        <v>0.3263078703703704</v>
      </c>
      <c r="AA426" s="101">
        <v>0.3263078703703704</v>
      </c>
      <c r="AB426" s="101">
        <v>0.3263078703703704</v>
      </c>
      <c r="AC426" s="105">
        <v>0</v>
      </c>
      <c r="AD426" s="105">
        <v>0</v>
      </c>
      <c r="AE426" s="93">
        <v>0</v>
      </c>
      <c r="AF426" s="93">
        <v>0</v>
      </c>
      <c r="AG426" s="93">
        <v>0</v>
      </c>
    </row>
    <row r="427" spans="1:33">
      <c r="A427" s="65" t="str">
        <f>IFERROR(VLOOKUP('Informe Kelly'!A420,Base!A:B,2,FALSE),"")</f>
        <v>10.849.486-7</v>
      </c>
      <c r="B427" s="65" t="str">
        <f>IFERROR(VLOOKUP('Informe Kelly'!A420,Base!A:G,7,FALSE),"")</f>
        <v>VALDENEGRO  GARRIDO, ELVIO</v>
      </c>
      <c r="C427" s="69" t="str">
        <f>IF(G427=$C$4,IF('Informe Kelly'!H420='Control informe Kelly'!$A$2,TEXT(((LEFT('Informe Kelly'!E420,2)*1)+1),"dd")&amp;"."&amp;MID('Informe Kelly'!E420,4,2)&amp;"."&amp;RIGHT('Informe Kelly'!E420,4),'Informe Kelly'!E420),'Informe Kelly'!E420)</f>
        <v>12.04.2011</v>
      </c>
      <c r="D427" s="69" t="str">
        <f>IF('Informe Kelly'!E420="","",'Informe Kelly'!E420)</f>
        <v>12.04.2011</v>
      </c>
      <c r="E427" s="72">
        <f t="shared" si="13"/>
        <v>213</v>
      </c>
      <c r="F427" s="72" t="str">
        <f>IFERROR(HLOOKUP(C427,Ingreso!$Q$8:$AD$9,2,FALSE),"v")</f>
        <v>Martes</v>
      </c>
      <c r="G427" s="65" t="str">
        <f>IFERROR(VLOOKUP(A427,Ingreso!K:P,6,FALSE),"no esta ingresado")</f>
        <v>no esta ingresado</v>
      </c>
      <c r="H427" s="65">
        <f>IFERROR(IF('Informe Kelly'!H420=$A$2,'Informe Kelly'!F420,""),0)</f>
        <v>0.60417824074074067</v>
      </c>
      <c r="I427" s="65" t="str">
        <f>IFERROR(IF('Informe Kelly'!H420=$A$3,'Informe Kelly'!F420,""),0)</f>
        <v/>
      </c>
      <c r="J427" s="65" t="str">
        <f>IF(IFERROR(IF(E427=E426,0,(HLOOKUP(D427,Ingreso!$AN$10:$AT$260,VLOOKUP(A427,Ingreso!$AL$11:$AM$260,2,FALSE)))/24),0)=0,"",IFERROR(IF(E427=E426,0,(HLOOKUP(D427,Ingreso!$AN$10:$AT$260,VLOOKUP(A427,Ingreso!$AL$11:$AM$260,2,FALSE)))/24),0))</f>
        <v/>
      </c>
      <c r="K427" s="65" t="str">
        <f>IF(IFERROR(IF(E427=E426,0,(HLOOKUP(C427,Ingreso!$AW$10:$BC$260,VLOOKUP(A427,Ingreso!$AL$11:$AM$260,2,FALSE)))/24),0)=0,"",IFERROR(IF(E427=E426,0,(HLOOKUP(C427,Ingreso!$AW$10:$BC$260,VLOOKUP(A427,Ingreso!$AL$11:$AM$260,2,FALSE)))/24),0))</f>
        <v/>
      </c>
      <c r="L427" s="63">
        <f t="shared" si="12"/>
        <v>0</v>
      </c>
      <c r="M427" s="63" t="str">
        <f>IF(IFERROR(IF(C427=C425,0,IF(E427=E426,0,IF(C427=$R$2,HLOOKUP($R$2,Ingreso!$AW$10:$BC$260,VLOOKUP(A427,Ingreso!AL:AM,2,FALSE),FALSE)/24,""))),"")=0,"",IFERROR(IF(C427=C425,0,IF(E427=E426,0,IF(C427=$R$2,HLOOKUP($R$2,Ingreso!$AW$10:$BC$260,VLOOKUP(A427,Ingreso!AL:AM,2,FALSE),FALSE)/24,""))),""))</f>
        <v/>
      </c>
      <c r="N427" s="95" t="str">
        <f>IF(IFERROR(IF(C427=C425,0,IF(E427=E426,0,IF(C427=$R$3,HLOOKUP($R$3,Ingreso!$AW$10:$BC$260,VLOOKUP(A427,Ingreso!AL:AM,2,FALSE),FALSE)/24,""))),"")=0,"",IFERROR(IF(C427=C425,0,IF(E427=E426,0,IF(C427=$R$3,HLOOKUP($R$3,Ingreso!$AW$10:$BC$260,VLOOKUP(A427,Ingreso!AL:AM,2,FALSE),FALSE)/24,""))),""))</f>
        <v/>
      </c>
      <c r="O427" s="95" t="str">
        <f>IF(IFERROR(IF(C427=C425,0,IF(E427=E426,0,IF(C427=$R$4,HLOOKUP($R$4,Ingreso!$AW$10:$BC$260,VLOOKUP(A427,Ingreso!AL:AM,2,FALSE),FALSE)/24,""))),"")=0,"",IFERROR(IF(C427=C425,0,IF(E427=E426,0,IF(C427=$R$4,HLOOKUP($R$4,Ingreso!$AW$10:$BC$260,VLOOKUP(A427,Ingreso!AL:AM,2,FALSE),FALSE)/24,""))),""))</f>
        <v/>
      </c>
      <c r="P427" s="90"/>
      <c r="T427" t="s">
        <v>1424</v>
      </c>
      <c r="U427" t="s">
        <v>1324</v>
      </c>
      <c r="V427" t="s">
        <v>1399</v>
      </c>
      <c r="W427" s="82">
        <v>556</v>
      </c>
      <c r="X427" s="71">
        <v>0.375</v>
      </c>
      <c r="Y427" s="101">
        <v>0.91952546296296289</v>
      </c>
      <c r="Z427" s="101">
        <v>0.32657407407407407</v>
      </c>
      <c r="AA427" s="101">
        <v>0.40704861111111124</v>
      </c>
      <c r="AB427" s="101">
        <v>3.2048611111111236E-2</v>
      </c>
      <c r="AC427" s="105">
        <v>0</v>
      </c>
      <c r="AD427" s="105">
        <v>0</v>
      </c>
      <c r="AE427" s="93">
        <v>0</v>
      </c>
      <c r="AF427" s="93">
        <v>0</v>
      </c>
      <c r="AG427" s="93">
        <v>0</v>
      </c>
    </row>
    <row r="428" spans="1:33">
      <c r="A428" s="65" t="str">
        <f>IFERROR(VLOOKUP('Informe Kelly'!A421,Base!A:B,2,FALSE),"")</f>
        <v>10.849.486-7</v>
      </c>
      <c r="B428" s="65" t="str">
        <f>IFERROR(VLOOKUP('Informe Kelly'!A421,Base!A:G,7,FALSE),"")</f>
        <v>VALDENEGRO  GARRIDO, ELVIO</v>
      </c>
      <c r="C428" s="69" t="str">
        <f>IF(G428=$C$4,IF('Informe Kelly'!H421='Control informe Kelly'!$A$2,TEXT(((LEFT('Informe Kelly'!E421,2)*1)+1),"dd")&amp;"."&amp;MID('Informe Kelly'!E421,4,2)&amp;"."&amp;RIGHT('Informe Kelly'!E421,4),'Informe Kelly'!E421),'Informe Kelly'!E421)</f>
        <v>13.04.2011</v>
      </c>
      <c r="D428" s="69" t="str">
        <f>IF('Informe Kelly'!E421="","",'Informe Kelly'!E421)</f>
        <v>13.04.2011</v>
      </c>
      <c r="E428" s="72">
        <f t="shared" si="13"/>
        <v>214</v>
      </c>
      <c r="F428" s="72" t="str">
        <f>IFERROR(HLOOKUP(C428,Ingreso!$Q$8:$AD$9,2,FALSE),"v")</f>
        <v>Miércoles</v>
      </c>
      <c r="G428" s="65" t="str">
        <f>IFERROR(VLOOKUP(A428,Ingreso!K:P,6,FALSE),"no esta ingresado")</f>
        <v>no esta ingresado</v>
      </c>
      <c r="H428" s="65" t="str">
        <f>IFERROR(IF('Informe Kelly'!H421=$A$2,'Informe Kelly'!F421,""),0)</f>
        <v/>
      </c>
      <c r="I428" s="65">
        <f>IFERROR(IF('Informe Kelly'!H421=$A$3,'Informe Kelly'!F421,""),0)</f>
        <v>0.94996527777777784</v>
      </c>
      <c r="J428" s="65" t="str">
        <f>IF(IFERROR(IF(E428=E427,0,(HLOOKUP(D428,Ingreso!$AN$10:$AT$260,VLOOKUP(A428,Ingreso!$AL$11:$AM$260,2,FALSE)))/24),0)=0,"",IFERROR(IF(E428=E427,0,(HLOOKUP(D428,Ingreso!$AN$10:$AT$260,VLOOKUP(A428,Ingreso!$AL$11:$AM$260,2,FALSE)))/24),0))</f>
        <v/>
      </c>
      <c r="K428" s="65" t="str">
        <f>IF(IFERROR(IF(E428=E427,0,(HLOOKUP(C428,Ingreso!$AW$10:$BC$260,VLOOKUP(A428,Ingreso!$AL$11:$AM$260,2,FALSE)))/24),0)=0,"",IFERROR(IF(E428=E427,0,(HLOOKUP(C428,Ingreso!$AW$10:$BC$260,VLOOKUP(A428,Ingreso!$AL$11:$AM$260,2,FALSE)))/24),0))</f>
        <v/>
      </c>
      <c r="L428" s="63" t="str">
        <f t="shared" si="12"/>
        <v/>
      </c>
      <c r="M428" s="63" t="str">
        <f>IF(IFERROR(IF(C428=C426,0,IF(E428=E427,0,IF(C428=$R$2,HLOOKUP($R$2,Ingreso!$AW$10:$BC$260,VLOOKUP(A428,Ingreso!AL:AM,2,FALSE),FALSE)/24,""))),"")=0,"",IFERROR(IF(C428=C426,0,IF(E428=E427,0,IF(C428=$R$2,HLOOKUP($R$2,Ingreso!$AW$10:$BC$260,VLOOKUP(A428,Ingreso!AL:AM,2,FALSE),FALSE)/24,""))),""))</f>
        <v/>
      </c>
      <c r="N428" s="95" t="str">
        <f>IF(IFERROR(IF(C428=C426,0,IF(E428=E427,0,IF(C428=$R$3,HLOOKUP($R$3,Ingreso!$AW$10:$BC$260,VLOOKUP(A428,Ingreso!AL:AM,2,FALSE),FALSE)/24,""))),"")=0,"",IFERROR(IF(C428=C426,0,IF(E428=E427,0,IF(C428=$R$3,HLOOKUP($R$3,Ingreso!$AW$10:$BC$260,VLOOKUP(A428,Ingreso!AL:AM,2,FALSE),FALSE)/24,""))),""))</f>
        <v/>
      </c>
      <c r="O428" s="95" t="str">
        <f>IF(IFERROR(IF(C428=C426,0,IF(E428=E427,0,IF(C428=$R$4,HLOOKUP($R$4,Ingreso!$AW$10:$BC$260,VLOOKUP(A428,Ingreso!AL:AM,2,FALSE),FALSE)/24,""))),"")=0,"",IFERROR(IF(C428=C426,0,IF(E428=E427,0,IF(C428=$R$4,HLOOKUP($R$4,Ingreso!$AW$10:$BC$260,VLOOKUP(A428,Ingreso!AL:AM,2,FALSE),FALSE)/24,""))),""))</f>
        <v/>
      </c>
      <c r="P428" s="90"/>
      <c r="T428" t="s">
        <v>1425</v>
      </c>
      <c r="U428" t="s">
        <v>1324</v>
      </c>
      <c r="V428" t="s">
        <v>1400</v>
      </c>
      <c r="W428" s="82">
        <v>557</v>
      </c>
      <c r="X428" s="71">
        <v>0.375</v>
      </c>
      <c r="Y428" s="101">
        <v>0.91900462962962959</v>
      </c>
      <c r="Z428" s="101">
        <v>0.32709490740740738</v>
      </c>
      <c r="AA428" s="101">
        <v>0.40809027777777784</v>
      </c>
      <c r="AB428" s="101">
        <v>3.3090277777777843E-2</v>
      </c>
      <c r="AC428" s="105">
        <v>0</v>
      </c>
      <c r="AD428" s="105">
        <v>0</v>
      </c>
      <c r="AE428" s="93">
        <v>0</v>
      </c>
      <c r="AF428" s="93">
        <v>0</v>
      </c>
      <c r="AG428" s="93">
        <v>0</v>
      </c>
    </row>
    <row r="429" spans="1:33">
      <c r="A429" s="65" t="str">
        <f>IFERROR(VLOOKUP('Informe Kelly'!A422,Base!A:B,2,FALSE),"")</f>
        <v>10.849.486-7</v>
      </c>
      <c r="B429" s="65" t="str">
        <f>IFERROR(VLOOKUP('Informe Kelly'!A422,Base!A:G,7,FALSE),"")</f>
        <v>VALDENEGRO  GARRIDO, ELVIO</v>
      </c>
      <c r="C429" s="69" t="str">
        <f>IF(G429=$C$4,IF('Informe Kelly'!H422='Control informe Kelly'!$A$2,TEXT(((LEFT('Informe Kelly'!E422,2)*1)+1),"dd")&amp;"."&amp;MID('Informe Kelly'!E422,4,2)&amp;"."&amp;RIGHT('Informe Kelly'!E422,4),'Informe Kelly'!E422),'Informe Kelly'!E422)</f>
        <v>13.04.2011</v>
      </c>
      <c r="D429" s="69" t="str">
        <f>IF('Informe Kelly'!E422="","",'Informe Kelly'!E422)</f>
        <v>13.04.2011</v>
      </c>
      <c r="E429" s="72">
        <f t="shared" si="13"/>
        <v>214</v>
      </c>
      <c r="F429" s="72" t="str">
        <f>IFERROR(HLOOKUP(C429,Ingreso!$Q$8:$AD$9,2,FALSE),"v")</f>
        <v>Miércoles</v>
      </c>
      <c r="G429" s="65" t="str">
        <f>IFERROR(VLOOKUP(A429,Ingreso!K:P,6,FALSE),"no esta ingresado")</f>
        <v>no esta ingresado</v>
      </c>
      <c r="H429" s="65">
        <f>IFERROR(IF('Informe Kelly'!H422=$A$2,'Informe Kelly'!F422,""),0)</f>
        <v>0.54260416666666667</v>
      </c>
      <c r="I429" s="65" t="str">
        <f>IFERROR(IF('Informe Kelly'!H422=$A$3,'Informe Kelly'!F422,""),0)</f>
        <v/>
      </c>
      <c r="J429" s="65" t="str">
        <f>IF(IFERROR(IF(E429=E428,0,(HLOOKUP(D429,Ingreso!$AN$10:$AT$260,VLOOKUP(A429,Ingreso!$AL$11:$AM$260,2,FALSE)))/24),0)=0,"",IFERROR(IF(E429=E428,0,(HLOOKUP(D429,Ingreso!$AN$10:$AT$260,VLOOKUP(A429,Ingreso!$AL$11:$AM$260,2,FALSE)))/24),0))</f>
        <v/>
      </c>
      <c r="K429" s="65" t="str">
        <f>IF(IFERROR(IF(E429=E428,0,(HLOOKUP(C429,Ingreso!$AW$10:$BC$260,VLOOKUP(A429,Ingreso!$AL$11:$AM$260,2,FALSE)))/24),0)=0,"",IFERROR(IF(E429=E428,0,(HLOOKUP(C429,Ingreso!$AW$10:$BC$260,VLOOKUP(A429,Ingreso!$AL$11:$AM$260,2,FALSE)))/24),0))</f>
        <v/>
      </c>
      <c r="L429" s="63">
        <f t="shared" si="12"/>
        <v>0</v>
      </c>
      <c r="M429" s="63" t="str">
        <f>IF(IFERROR(IF(C429=C427,0,IF(E429=E428,0,IF(C429=$R$2,HLOOKUP($R$2,Ingreso!$AW$10:$BC$260,VLOOKUP(A429,Ingreso!AL:AM,2,FALSE),FALSE)/24,""))),"")=0,"",IFERROR(IF(C429=C427,0,IF(E429=E428,0,IF(C429=$R$2,HLOOKUP($R$2,Ingreso!$AW$10:$BC$260,VLOOKUP(A429,Ingreso!AL:AM,2,FALSE),FALSE)/24,""))),""))</f>
        <v/>
      </c>
      <c r="N429" s="95" t="str">
        <f>IF(IFERROR(IF(C429=C427,0,IF(E429=E428,0,IF(C429=$R$3,HLOOKUP($R$3,Ingreso!$AW$10:$BC$260,VLOOKUP(A429,Ingreso!AL:AM,2,FALSE),FALSE)/24,""))),"")=0,"",IFERROR(IF(C429=C427,0,IF(E429=E428,0,IF(C429=$R$3,HLOOKUP($R$3,Ingreso!$AW$10:$BC$260,VLOOKUP(A429,Ingreso!AL:AM,2,FALSE),FALSE)/24,""))),""))</f>
        <v/>
      </c>
      <c r="O429" s="95" t="str">
        <f>IF(IFERROR(IF(C429=C427,0,IF(E429=E428,0,IF(C429=$R$4,HLOOKUP($R$4,Ingreso!$AW$10:$BC$260,VLOOKUP(A429,Ingreso!AL:AM,2,FALSE),FALSE)/24,""))),"")=0,"",IFERROR(IF(C429=C427,0,IF(E429=E428,0,IF(C429=$R$4,HLOOKUP($R$4,Ingreso!$AW$10:$BC$260,VLOOKUP(A429,Ingreso!AL:AM,2,FALSE),FALSE)/24,""))),""))</f>
        <v/>
      </c>
      <c r="P429" s="90"/>
      <c r="T429" t="s">
        <v>1426</v>
      </c>
      <c r="U429" t="s">
        <v>1324</v>
      </c>
      <c r="V429" t="s">
        <v>1401</v>
      </c>
      <c r="W429" s="82">
        <v>558</v>
      </c>
      <c r="X429" s="71">
        <v>0.375</v>
      </c>
      <c r="Y429" s="101">
        <v>0.92143518518518519</v>
      </c>
      <c r="Z429" s="101">
        <v>0.32796296296296296</v>
      </c>
      <c r="AA429" s="101">
        <v>0.40652777777777782</v>
      </c>
      <c r="AB429" s="101">
        <v>3.1527777777777821E-2</v>
      </c>
      <c r="AC429" s="105">
        <v>0</v>
      </c>
      <c r="AD429" s="105">
        <v>0</v>
      </c>
      <c r="AE429" s="93">
        <v>0</v>
      </c>
      <c r="AF429" s="93">
        <v>0</v>
      </c>
      <c r="AG429" s="93">
        <v>0</v>
      </c>
    </row>
    <row r="430" spans="1:33">
      <c r="A430" s="65" t="str">
        <f>IFERROR(VLOOKUP('Informe Kelly'!A423,Base!A:B,2,FALSE),"")</f>
        <v>10.849.486-7</v>
      </c>
      <c r="B430" s="65" t="str">
        <f>IFERROR(VLOOKUP('Informe Kelly'!A423,Base!A:G,7,FALSE),"")</f>
        <v>VALDENEGRO  GARRIDO, ELVIO</v>
      </c>
      <c r="C430" s="69" t="str">
        <f>IF(G430=$C$4,IF('Informe Kelly'!H423='Control informe Kelly'!$A$2,TEXT(((LEFT('Informe Kelly'!E423,2)*1)+1),"dd")&amp;"."&amp;MID('Informe Kelly'!E423,4,2)&amp;"."&amp;RIGHT('Informe Kelly'!E423,4),'Informe Kelly'!E423),'Informe Kelly'!E423)</f>
        <v>14.04.2011</v>
      </c>
      <c r="D430" s="69" t="str">
        <f>IF('Informe Kelly'!E423="","",'Informe Kelly'!E423)</f>
        <v>14.04.2011</v>
      </c>
      <c r="E430" s="72">
        <f t="shared" si="13"/>
        <v>215</v>
      </c>
      <c r="F430" s="72" t="str">
        <f>IFERROR(HLOOKUP(C430,Ingreso!$Q$8:$AD$9,2,FALSE),"v")</f>
        <v>Jueves</v>
      </c>
      <c r="G430" s="65" t="str">
        <f>IFERROR(VLOOKUP(A430,Ingreso!K:P,6,FALSE),"no esta ingresado")</f>
        <v>no esta ingresado</v>
      </c>
      <c r="H430" s="65" t="str">
        <f>IFERROR(IF('Informe Kelly'!H423=$A$2,'Informe Kelly'!F423,""),0)</f>
        <v/>
      </c>
      <c r="I430" s="65">
        <f>IFERROR(IF('Informe Kelly'!H423=$A$3,'Informe Kelly'!F423,""),0)</f>
        <v>0.95010416666666664</v>
      </c>
      <c r="J430" s="65" t="str">
        <f>IF(IFERROR(IF(E430=E429,0,(HLOOKUP(D430,Ingreso!$AN$10:$AT$260,VLOOKUP(A430,Ingreso!$AL$11:$AM$260,2,FALSE)))/24),0)=0,"",IFERROR(IF(E430=E429,0,(HLOOKUP(D430,Ingreso!$AN$10:$AT$260,VLOOKUP(A430,Ingreso!$AL$11:$AM$260,2,FALSE)))/24),0))</f>
        <v/>
      </c>
      <c r="K430" s="65" t="str">
        <f>IF(IFERROR(IF(E430=E429,0,(HLOOKUP(C430,Ingreso!$AW$10:$BC$260,VLOOKUP(A430,Ingreso!$AL$11:$AM$260,2,FALSE)))/24),0)=0,"",IFERROR(IF(E430=E429,0,(HLOOKUP(C430,Ingreso!$AW$10:$BC$260,VLOOKUP(A430,Ingreso!$AL$11:$AM$260,2,FALSE)))/24),0))</f>
        <v/>
      </c>
      <c r="L430" s="63" t="str">
        <f t="shared" si="12"/>
        <v/>
      </c>
      <c r="M430" s="63" t="str">
        <f>IF(IFERROR(IF(C430=C428,0,IF(E430=E429,0,IF(C430=$R$2,HLOOKUP($R$2,Ingreso!$AW$10:$BC$260,VLOOKUP(A430,Ingreso!AL:AM,2,FALSE),FALSE)/24,""))),"")=0,"",IFERROR(IF(C430=C428,0,IF(E430=E429,0,IF(C430=$R$2,HLOOKUP($R$2,Ingreso!$AW$10:$BC$260,VLOOKUP(A430,Ingreso!AL:AM,2,FALSE),FALSE)/24,""))),""))</f>
        <v/>
      </c>
      <c r="N430" s="95" t="str">
        <f>IF(IFERROR(IF(C430=C428,0,IF(E430=E429,0,IF(C430=$R$3,HLOOKUP($R$3,Ingreso!$AW$10:$BC$260,VLOOKUP(A430,Ingreso!AL:AM,2,FALSE),FALSE)/24,""))),"")=0,"",IFERROR(IF(C430=C428,0,IF(E430=E429,0,IF(C430=$R$3,HLOOKUP($R$3,Ingreso!$AW$10:$BC$260,VLOOKUP(A430,Ingreso!AL:AM,2,FALSE),FALSE)/24,""))),""))</f>
        <v/>
      </c>
      <c r="O430" s="95" t="str">
        <f>IF(IFERROR(IF(C430=C428,0,IF(E430=E429,0,IF(C430=$R$4,HLOOKUP($R$4,Ingreso!$AW$10:$BC$260,VLOOKUP(A430,Ingreso!AL:AM,2,FALSE),FALSE)/24,""))),"")=0,"",IFERROR(IF(C430=C428,0,IF(E430=E429,0,IF(C430=$R$4,HLOOKUP($R$4,Ingreso!$AW$10:$BC$260,VLOOKUP(A430,Ingreso!AL:AM,2,FALSE),FALSE)/24,""))),""))</f>
        <v/>
      </c>
      <c r="P430" s="90"/>
      <c r="T430" t="s">
        <v>1427</v>
      </c>
      <c r="U430" t="s">
        <v>1324</v>
      </c>
      <c r="V430" t="s">
        <v>1402</v>
      </c>
      <c r="W430" s="82">
        <v>559</v>
      </c>
      <c r="X430" s="71">
        <v>0.375</v>
      </c>
      <c r="Y430" s="101">
        <v>0.92655092592592592</v>
      </c>
      <c r="Z430" s="101">
        <v>0.32710648148148147</v>
      </c>
      <c r="AA430" s="101">
        <v>0.40055555555555555</v>
      </c>
      <c r="AB430" s="101">
        <v>2.5555555555555554E-2</v>
      </c>
      <c r="AC430" s="105">
        <v>0</v>
      </c>
      <c r="AD430" s="105">
        <v>0</v>
      </c>
      <c r="AE430" s="93">
        <v>0</v>
      </c>
      <c r="AF430" s="93">
        <v>0</v>
      </c>
      <c r="AG430" s="93">
        <v>0</v>
      </c>
    </row>
    <row r="431" spans="1:33" ht="12.75" customHeight="1">
      <c r="A431" s="65" t="str">
        <f>IFERROR(VLOOKUP('Informe Kelly'!A424,Base!A:B,2,FALSE),"")</f>
        <v>10.849.486-7</v>
      </c>
      <c r="B431" s="65" t="str">
        <f>IFERROR(VLOOKUP('Informe Kelly'!A424,Base!A:G,7,FALSE),"")</f>
        <v>VALDENEGRO  GARRIDO, ELVIO</v>
      </c>
      <c r="C431" s="69" t="str">
        <f>IF(G431=$C$4,IF('Informe Kelly'!H424='Control informe Kelly'!$A$2,TEXT(((LEFT('Informe Kelly'!E424,2)*1)+1),"dd")&amp;"."&amp;MID('Informe Kelly'!E424,4,2)&amp;"."&amp;RIGHT('Informe Kelly'!E424,4),'Informe Kelly'!E424),'Informe Kelly'!E424)</f>
        <v>14.04.2011</v>
      </c>
      <c r="D431" s="69" t="str">
        <f>IF('Informe Kelly'!E424="","",'Informe Kelly'!E424)</f>
        <v>14.04.2011</v>
      </c>
      <c r="E431" s="72">
        <f t="shared" si="13"/>
        <v>215</v>
      </c>
      <c r="F431" s="72" t="str">
        <f>IFERROR(HLOOKUP(C431,Ingreso!$Q$8:$AD$9,2,FALSE),"v")</f>
        <v>Jueves</v>
      </c>
      <c r="G431" s="65" t="str">
        <f>IFERROR(VLOOKUP(A431,Ingreso!K:P,6,FALSE),"no esta ingresado")</f>
        <v>no esta ingresado</v>
      </c>
      <c r="H431" s="65">
        <f>IFERROR(IF('Informe Kelly'!H424=$A$2,'Informe Kelly'!F424,""),0)</f>
        <v>0.60456018518518517</v>
      </c>
      <c r="I431" s="65" t="str">
        <f>IFERROR(IF('Informe Kelly'!H424=$A$3,'Informe Kelly'!F424,""),0)</f>
        <v/>
      </c>
      <c r="J431" s="65" t="str">
        <f>IF(IFERROR(IF(E431=E430,0,(HLOOKUP(D431,Ingreso!$AN$10:$AT$260,VLOOKUP(A431,Ingreso!$AL$11:$AM$260,2,FALSE)))/24),0)=0,"",IFERROR(IF(E431=E430,0,(HLOOKUP(D431,Ingreso!$AN$10:$AT$260,VLOOKUP(A431,Ingreso!$AL$11:$AM$260,2,FALSE)))/24),0))</f>
        <v/>
      </c>
      <c r="K431" s="65" t="str">
        <f>IF(IFERROR(IF(E431=E430,0,(HLOOKUP(C431,Ingreso!$AW$10:$BC$260,VLOOKUP(A431,Ingreso!$AL$11:$AM$260,2,FALSE)))/24),0)=0,"",IFERROR(IF(E431=E430,0,(HLOOKUP(C431,Ingreso!$AW$10:$BC$260,VLOOKUP(A431,Ingreso!$AL$11:$AM$260,2,FALSE)))/24),0))</f>
        <v/>
      </c>
      <c r="L431" s="63">
        <f t="shared" si="12"/>
        <v>0</v>
      </c>
      <c r="M431" s="63" t="str">
        <f>IF(IFERROR(IF(C431=C429,0,IF(E431=E430,0,IF(C431=$R$2,HLOOKUP($R$2,Ingreso!$AW$10:$BC$260,VLOOKUP(A431,Ingreso!AL:AM,2,FALSE),FALSE)/24,""))),"")=0,"",IFERROR(IF(C431=C429,0,IF(E431=E430,0,IF(C431=$R$2,HLOOKUP($R$2,Ingreso!$AW$10:$BC$260,VLOOKUP(A431,Ingreso!AL:AM,2,FALSE),FALSE)/24,""))),""))</f>
        <v/>
      </c>
      <c r="N431" s="95" t="str">
        <f>IF(IFERROR(IF(C431=C429,0,IF(E431=E430,0,IF(C431=$R$3,HLOOKUP($R$3,Ingreso!$AW$10:$BC$260,VLOOKUP(A431,Ingreso!AL:AM,2,FALSE),FALSE)/24,""))),"")=0,"",IFERROR(IF(C431=C429,0,IF(E431=E430,0,IF(C431=$R$3,HLOOKUP($R$3,Ingreso!$AW$10:$BC$260,VLOOKUP(A431,Ingreso!AL:AM,2,FALSE),FALSE)/24,""))),""))</f>
        <v/>
      </c>
      <c r="O431" s="95" t="str">
        <f>IF(IFERROR(IF(C431=C429,0,IF(E431=E430,0,IF(C431=$R$4,HLOOKUP($R$4,Ingreso!$AW$10:$BC$260,VLOOKUP(A431,Ingreso!AL:AM,2,FALSE),FALSE)/24,""))),"")=0,"",IFERROR(IF(C431=C429,0,IF(E431=E430,0,IF(C431=$R$4,HLOOKUP($R$4,Ingreso!$AW$10:$BC$260,VLOOKUP(A431,Ingreso!AL:AM,2,FALSE),FALSE)/24,""))),""))</f>
        <v/>
      </c>
      <c r="P431" s="90"/>
      <c r="R431" t="s">
        <v>75</v>
      </c>
      <c r="S431" t="s">
        <v>79</v>
      </c>
      <c r="T431" t="s">
        <v>1423</v>
      </c>
      <c r="U431" t="s">
        <v>1338</v>
      </c>
      <c r="V431" t="s">
        <v>1398</v>
      </c>
      <c r="W431" s="82">
        <v>560</v>
      </c>
      <c r="X431" s="71">
        <v>0.41666666666666669</v>
      </c>
      <c r="Y431" s="101">
        <v>0.32047453703703704</v>
      </c>
      <c r="Z431" s="101">
        <v>0.72886574074074073</v>
      </c>
      <c r="AA431" s="101">
        <v>0.40839120370370369</v>
      </c>
      <c r="AB431" s="101">
        <v>-8.2754629629629983E-3</v>
      </c>
      <c r="AC431" s="105">
        <v>0</v>
      </c>
      <c r="AD431" s="105">
        <v>0</v>
      </c>
      <c r="AE431" s="93">
        <v>0</v>
      </c>
      <c r="AF431" s="93">
        <v>0</v>
      </c>
      <c r="AG431" s="93">
        <v>0</v>
      </c>
    </row>
    <row r="432" spans="1:33">
      <c r="A432" s="65" t="str">
        <f>IFERROR(VLOOKUP('Informe Kelly'!A425,Base!A:B,2,FALSE),"")</f>
        <v>10.849.486-7</v>
      </c>
      <c r="B432" s="65" t="str">
        <f>IFERROR(VLOOKUP('Informe Kelly'!A425,Base!A:G,7,FALSE),"")</f>
        <v>VALDENEGRO  GARRIDO, ELVIO</v>
      </c>
      <c r="C432" s="69" t="str">
        <f>IF(G432=$C$4,IF('Informe Kelly'!H425='Control informe Kelly'!$A$2,TEXT(((LEFT('Informe Kelly'!E425,2)*1)+1),"dd")&amp;"."&amp;MID('Informe Kelly'!E425,4,2)&amp;"."&amp;RIGHT('Informe Kelly'!E425,4),'Informe Kelly'!E425),'Informe Kelly'!E425)</f>
        <v>15.04.2011</v>
      </c>
      <c r="D432" s="69" t="str">
        <f>IF('Informe Kelly'!E425="","",'Informe Kelly'!E425)</f>
        <v>15.04.2011</v>
      </c>
      <c r="E432" s="72">
        <f t="shared" si="13"/>
        <v>216</v>
      </c>
      <c r="F432" s="72" t="str">
        <f>IFERROR(HLOOKUP(C432,Ingreso!$Q$8:$AD$9,2,FALSE),"v")</f>
        <v>Viernes</v>
      </c>
      <c r="G432" s="65" t="str">
        <f>IFERROR(VLOOKUP(A432,Ingreso!K:P,6,FALSE),"no esta ingresado")</f>
        <v>no esta ingresado</v>
      </c>
      <c r="H432" s="65" t="str">
        <f>IFERROR(IF('Informe Kelly'!H425=$A$2,'Informe Kelly'!F425,""),0)</f>
        <v/>
      </c>
      <c r="I432" s="65">
        <f>IFERROR(IF('Informe Kelly'!H425=$A$3,'Informe Kelly'!F425,""),0)</f>
        <v>0.95008101851851856</v>
      </c>
      <c r="J432" s="65" t="str">
        <f>IF(IFERROR(IF(E432=E431,0,(HLOOKUP(D432,Ingreso!$AN$10:$AT$260,VLOOKUP(A432,Ingreso!$AL$11:$AM$260,2,FALSE)))/24),0)=0,"",IFERROR(IF(E432=E431,0,(HLOOKUP(D432,Ingreso!$AN$10:$AT$260,VLOOKUP(A432,Ingreso!$AL$11:$AM$260,2,FALSE)))/24),0))</f>
        <v/>
      </c>
      <c r="K432" s="65" t="str">
        <f>IF(IFERROR(IF(E432=E431,0,(HLOOKUP(C432,Ingreso!$AW$10:$BC$260,VLOOKUP(A432,Ingreso!$AL$11:$AM$260,2,FALSE)))/24),0)=0,"",IFERROR(IF(E432=E431,0,(HLOOKUP(C432,Ingreso!$AW$10:$BC$260,VLOOKUP(A432,Ingreso!$AL$11:$AM$260,2,FALSE)))/24),0))</f>
        <v/>
      </c>
      <c r="L432" s="63" t="str">
        <f t="shared" si="12"/>
        <v/>
      </c>
      <c r="M432" s="63" t="str">
        <f>IF(IFERROR(IF(C432=C430,0,IF(E432=E431,0,IF(C432=$R$2,HLOOKUP($R$2,Ingreso!$AW$10:$BC$260,VLOOKUP(A432,Ingreso!AL:AM,2,FALSE),FALSE)/24,""))),"")=0,"",IFERROR(IF(C432=C430,0,IF(E432=E431,0,IF(C432=$R$2,HLOOKUP($R$2,Ingreso!$AW$10:$BC$260,VLOOKUP(A432,Ingreso!AL:AM,2,FALSE),FALSE)/24,""))),""))</f>
        <v/>
      </c>
      <c r="N432" s="95" t="str">
        <f>IF(IFERROR(IF(C432=C430,0,IF(E432=E431,0,IF(C432=$R$3,HLOOKUP($R$3,Ingreso!$AW$10:$BC$260,VLOOKUP(A432,Ingreso!AL:AM,2,FALSE),FALSE)/24,""))),"")=0,"",IFERROR(IF(C432=C430,0,IF(E432=E431,0,IF(C432=$R$3,HLOOKUP($R$3,Ingreso!$AW$10:$BC$260,VLOOKUP(A432,Ingreso!AL:AM,2,FALSE),FALSE)/24,""))),""))</f>
        <v/>
      </c>
      <c r="O432" s="95" t="str">
        <f>IF(IFERROR(IF(C432=C430,0,IF(E432=E431,0,IF(C432=$R$4,HLOOKUP($R$4,Ingreso!$AW$10:$BC$260,VLOOKUP(A432,Ingreso!AL:AM,2,FALSE),FALSE)/24,""))),"")=0,"",IFERROR(IF(C432=C430,0,IF(E432=E431,0,IF(C432=$R$4,HLOOKUP($R$4,Ingreso!$AW$10:$BC$260,VLOOKUP(A432,Ingreso!AL:AM,2,FALSE),FALSE)/24,""))),""))</f>
        <v/>
      </c>
      <c r="P432" s="90"/>
      <c r="T432" t="s">
        <v>1424</v>
      </c>
      <c r="U432" t="s">
        <v>1338</v>
      </c>
      <c r="V432" t="s">
        <v>1399</v>
      </c>
      <c r="W432" s="82">
        <v>561</v>
      </c>
      <c r="X432" s="71">
        <v>0.41666666666666669</v>
      </c>
      <c r="Y432" s="101">
        <v>0.3221296296296296</v>
      </c>
      <c r="Z432" s="101">
        <v>0.73424768518518524</v>
      </c>
      <c r="AA432" s="101">
        <v>0.41211805555555564</v>
      </c>
      <c r="AB432" s="101">
        <v>-4.548611111111045E-3</v>
      </c>
      <c r="AC432" s="105">
        <v>8.3333333333333329E-2</v>
      </c>
      <c r="AD432" s="105">
        <v>0</v>
      </c>
      <c r="AE432" s="93">
        <v>0</v>
      </c>
      <c r="AF432" s="93">
        <v>0</v>
      </c>
      <c r="AG432" s="93">
        <v>0</v>
      </c>
    </row>
    <row r="433" spans="1:33">
      <c r="A433" s="65" t="str">
        <f>IFERROR(VLOOKUP('Informe Kelly'!A426,Base!A:B,2,FALSE),"")</f>
        <v>10.849.486-7</v>
      </c>
      <c r="B433" s="65" t="str">
        <f>IFERROR(VLOOKUP('Informe Kelly'!A426,Base!A:G,7,FALSE),"")</f>
        <v>VALDENEGRO  GARRIDO, ELVIO</v>
      </c>
      <c r="C433" s="69" t="str">
        <f>IF(G433=$C$4,IF('Informe Kelly'!H426='Control informe Kelly'!$A$2,TEXT(((LEFT('Informe Kelly'!E426,2)*1)+1),"dd")&amp;"."&amp;MID('Informe Kelly'!E426,4,2)&amp;"."&amp;RIGHT('Informe Kelly'!E426,4),'Informe Kelly'!E426),'Informe Kelly'!E426)</f>
        <v>15.04.2011</v>
      </c>
      <c r="D433" s="69" t="str">
        <f>IF('Informe Kelly'!E426="","",'Informe Kelly'!E426)</f>
        <v>15.04.2011</v>
      </c>
      <c r="E433" s="72">
        <f t="shared" si="13"/>
        <v>216</v>
      </c>
      <c r="F433" s="72" t="str">
        <f>IFERROR(HLOOKUP(C433,Ingreso!$Q$8:$AD$9,2,FALSE),"v")</f>
        <v>Viernes</v>
      </c>
      <c r="G433" s="65" t="str">
        <f>IFERROR(VLOOKUP(A433,Ingreso!K:P,6,FALSE),"no esta ingresado")</f>
        <v>no esta ingresado</v>
      </c>
      <c r="H433" s="65">
        <f>IFERROR(IF('Informe Kelly'!H426=$A$2,'Informe Kelly'!F426,""),0)</f>
        <v>0.60755787037037035</v>
      </c>
      <c r="I433" s="65" t="str">
        <f>IFERROR(IF('Informe Kelly'!H426=$A$3,'Informe Kelly'!F426,""),0)</f>
        <v/>
      </c>
      <c r="J433" s="65" t="str">
        <f>IF(IFERROR(IF(E433=E432,0,(HLOOKUP(D433,Ingreso!$AN$10:$AT$260,VLOOKUP(A433,Ingreso!$AL$11:$AM$260,2,FALSE)))/24),0)=0,"",IFERROR(IF(E433=E432,0,(HLOOKUP(D433,Ingreso!$AN$10:$AT$260,VLOOKUP(A433,Ingreso!$AL$11:$AM$260,2,FALSE)))/24),0))</f>
        <v/>
      </c>
      <c r="K433" s="65" t="str">
        <f>IF(IFERROR(IF(E433=E432,0,(HLOOKUP(C433,Ingreso!$AW$10:$BC$260,VLOOKUP(A433,Ingreso!$AL$11:$AM$260,2,FALSE)))/24),0)=0,"",IFERROR(IF(E433=E432,0,(HLOOKUP(C433,Ingreso!$AW$10:$BC$260,VLOOKUP(A433,Ingreso!$AL$11:$AM$260,2,FALSE)))/24),0))</f>
        <v/>
      </c>
      <c r="L433" s="63">
        <f t="shared" si="12"/>
        <v>0</v>
      </c>
      <c r="M433" s="63" t="str">
        <f>IF(IFERROR(IF(C433=C431,0,IF(E433=E432,0,IF(C433=$R$2,HLOOKUP($R$2,Ingreso!$AW$10:$BC$260,VLOOKUP(A433,Ingreso!AL:AM,2,FALSE),FALSE)/24,""))),"")=0,"",IFERROR(IF(C433=C431,0,IF(E433=E432,0,IF(C433=$R$2,HLOOKUP($R$2,Ingreso!$AW$10:$BC$260,VLOOKUP(A433,Ingreso!AL:AM,2,FALSE),FALSE)/24,""))),""))</f>
        <v/>
      </c>
      <c r="N433" s="95" t="str">
        <f>IF(IFERROR(IF(C433=C431,0,IF(E433=E432,0,IF(C433=$R$3,HLOOKUP($R$3,Ingreso!$AW$10:$BC$260,VLOOKUP(A433,Ingreso!AL:AM,2,FALSE),FALSE)/24,""))),"")=0,"",IFERROR(IF(C433=C431,0,IF(E433=E432,0,IF(C433=$R$3,HLOOKUP($R$3,Ingreso!$AW$10:$BC$260,VLOOKUP(A433,Ingreso!AL:AM,2,FALSE),FALSE)/24,""))),""))</f>
        <v/>
      </c>
      <c r="O433" s="95" t="str">
        <f>IF(IFERROR(IF(C433=C431,0,IF(E433=E432,0,IF(C433=$R$4,HLOOKUP($R$4,Ingreso!$AW$10:$BC$260,VLOOKUP(A433,Ingreso!AL:AM,2,FALSE),FALSE)/24,""))),"")=0,"",IFERROR(IF(C433=C431,0,IF(E433=E432,0,IF(C433=$R$4,HLOOKUP($R$4,Ingreso!$AW$10:$BC$260,VLOOKUP(A433,Ingreso!AL:AM,2,FALSE),FALSE)/24,""))),""))</f>
        <v/>
      </c>
      <c r="P433" s="90"/>
      <c r="T433" t="s">
        <v>1425</v>
      </c>
      <c r="U433" t="s">
        <v>1338</v>
      </c>
      <c r="V433" t="s">
        <v>1400</v>
      </c>
      <c r="W433" s="82">
        <v>562</v>
      </c>
      <c r="X433" s="71">
        <v>0.41666666666666669</v>
      </c>
      <c r="Y433" s="101">
        <v>0.32364583333333335</v>
      </c>
      <c r="Z433" s="101">
        <v>0.80555555555555547</v>
      </c>
      <c r="AA433" s="101">
        <v>0.48190972222222211</v>
      </c>
      <c r="AB433" s="101">
        <v>6.5243055555555429E-2</v>
      </c>
      <c r="AC433" s="105">
        <v>0</v>
      </c>
      <c r="AD433" s="105">
        <v>0</v>
      </c>
      <c r="AE433" s="93">
        <v>0</v>
      </c>
      <c r="AF433" s="93">
        <v>0</v>
      </c>
      <c r="AG433" s="93">
        <v>0</v>
      </c>
    </row>
    <row r="434" spans="1:33">
      <c r="A434" s="65" t="str">
        <f>IFERROR(VLOOKUP('Informe Kelly'!A427,Base!A:B,2,FALSE),"")</f>
        <v>10.849.486-7</v>
      </c>
      <c r="B434" s="65" t="str">
        <f>IFERROR(VLOOKUP('Informe Kelly'!A427,Base!A:G,7,FALSE),"")</f>
        <v>VALDENEGRO  GARRIDO, ELVIO</v>
      </c>
      <c r="C434" s="69" t="str">
        <f>IF(G434=$C$4,IF('Informe Kelly'!H427='Control informe Kelly'!$A$2,TEXT(((LEFT('Informe Kelly'!E427,2)*1)+1),"dd")&amp;"."&amp;MID('Informe Kelly'!E427,4,2)&amp;"."&amp;RIGHT('Informe Kelly'!E427,4),'Informe Kelly'!E427),'Informe Kelly'!E427)</f>
        <v>16.04.2011</v>
      </c>
      <c r="D434" s="69" t="str">
        <f>IF('Informe Kelly'!E427="","",'Informe Kelly'!E427)</f>
        <v>16.04.2011</v>
      </c>
      <c r="E434" s="72">
        <f t="shared" si="13"/>
        <v>217</v>
      </c>
      <c r="F434" s="72" t="str">
        <f>IFERROR(HLOOKUP(C434,Ingreso!$Q$8:$AD$9,2,FALSE),"v")</f>
        <v>Sábado</v>
      </c>
      <c r="G434" s="65" t="str">
        <f>IFERROR(VLOOKUP(A434,Ingreso!K:P,6,FALSE),"no esta ingresado")</f>
        <v>no esta ingresado</v>
      </c>
      <c r="H434" s="65" t="str">
        <f>IFERROR(IF('Informe Kelly'!H427=$A$2,'Informe Kelly'!F427,""),0)</f>
        <v/>
      </c>
      <c r="I434" s="65">
        <f>IFERROR(IF('Informe Kelly'!H427=$A$3,'Informe Kelly'!F427,""),0)</f>
        <v>0.955011574074074</v>
      </c>
      <c r="J434" s="65" t="str">
        <f>IF(IFERROR(IF(E434=E433,0,(HLOOKUP(D434,Ingreso!$AN$10:$AT$260,VLOOKUP(A434,Ingreso!$AL$11:$AM$260,2,FALSE)))/24),0)=0,"",IFERROR(IF(E434=E433,0,(HLOOKUP(D434,Ingreso!$AN$10:$AT$260,VLOOKUP(A434,Ingreso!$AL$11:$AM$260,2,FALSE)))/24),0))</f>
        <v/>
      </c>
      <c r="K434" s="65" t="str">
        <f>IF(IFERROR(IF(E434=E433,0,(HLOOKUP(C434,Ingreso!$AW$10:$BC$260,VLOOKUP(A434,Ingreso!$AL$11:$AM$260,2,FALSE)))/24),0)=0,"",IFERROR(IF(E434=E433,0,(HLOOKUP(C434,Ingreso!$AW$10:$BC$260,VLOOKUP(A434,Ingreso!$AL$11:$AM$260,2,FALSE)))/24),0))</f>
        <v/>
      </c>
      <c r="L434" s="63" t="str">
        <f t="shared" si="12"/>
        <v/>
      </c>
      <c r="M434" s="63" t="str">
        <f>IF(IFERROR(IF(C434=C432,0,IF(E434=E433,0,IF(C434=$R$2,HLOOKUP($R$2,Ingreso!$AW$10:$BC$260,VLOOKUP(A434,Ingreso!AL:AM,2,FALSE),FALSE)/24,""))),"")=0,"",IFERROR(IF(C434=C432,0,IF(E434=E433,0,IF(C434=$R$2,HLOOKUP($R$2,Ingreso!$AW$10:$BC$260,VLOOKUP(A434,Ingreso!AL:AM,2,FALSE),FALSE)/24,""))),""))</f>
        <v/>
      </c>
      <c r="N434" s="95" t="str">
        <f>IF(IFERROR(IF(C434=C432,0,IF(E434=E433,0,IF(C434=$R$3,HLOOKUP($R$3,Ingreso!$AW$10:$BC$260,VLOOKUP(A434,Ingreso!AL:AM,2,FALSE),FALSE)/24,""))),"")=0,"",IFERROR(IF(C434=C432,0,IF(E434=E433,0,IF(C434=$R$3,HLOOKUP($R$3,Ingreso!$AW$10:$BC$260,VLOOKUP(A434,Ingreso!AL:AM,2,FALSE),FALSE)/24,""))),""))</f>
        <v/>
      </c>
      <c r="O434" s="95" t="str">
        <f>IF(IFERROR(IF(C434=C432,0,IF(E434=E433,0,IF(C434=$R$4,HLOOKUP($R$4,Ingreso!$AW$10:$BC$260,VLOOKUP(A434,Ingreso!AL:AM,2,FALSE),FALSE)/24,""))),"")=0,"",IFERROR(IF(C434=C432,0,IF(E434=E433,0,IF(C434=$R$4,HLOOKUP($R$4,Ingreso!$AW$10:$BC$260,VLOOKUP(A434,Ingreso!AL:AM,2,FALSE),FALSE)/24,""))),""))</f>
        <v/>
      </c>
      <c r="P434" s="90"/>
      <c r="T434" t="s">
        <v>1426</v>
      </c>
      <c r="U434" t="s">
        <v>1338</v>
      </c>
      <c r="V434" t="s">
        <v>1401</v>
      </c>
      <c r="W434" s="82">
        <v>563</v>
      </c>
      <c r="X434" s="71">
        <v>0.41666666666666669</v>
      </c>
      <c r="Y434" s="101">
        <v>0.31962962962962965</v>
      </c>
      <c r="Z434" s="101">
        <v>0.73304398148148142</v>
      </c>
      <c r="AA434" s="101">
        <v>0.41341435185185177</v>
      </c>
      <c r="AB434" s="101">
        <v>-3.2523148148149161E-3</v>
      </c>
      <c r="AC434" s="105">
        <v>0</v>
      </c>
      <c r="AD434" s="105">
        <v>0</v>
      </c>
      <c r="AE434" s="93">
        <v>0</v>
      </c>
      <c r="AF434" s="93">
        <v>0</v>
      </c>
      <c r="AG434" s="93">
        <v>0</v>
      </c>
    </row>
    <row r="435" spans="1:33">
      <c r="A435" s="65" t="str">
        <f>IFERROR(VLOOKUP('Informe Kelly'!A428,Base!A:B,2,FALSE),"")</f>
        <v>10.849.486-7</v>
      </c>
      <c r="B435" s="65" t="str">
        <f>IFERROR(VLOOKUP('Informe Kelly'!A428,Base!A:G,7,FALSE),"")</f>
        <v>VALDENEGRO  GARRIDO, ELVIO</v>
      </c>
      <c r="C435" s="69" t="str">
        <f>IF(G435=$C$4,IF('Informe Kelly'!H428='Control informe Kelly'!$A$2,TEXT(((LEFT('Informe Kelly'!E428,2)*1)+1),"dd")&amp;"."&amp;MID('Informe Kelly'!E428,4,2)&amp;"."&amp;RIGHT('Informe Kelly'!E428,4),'Informe Kelly'!E428),'Informe Kelly'!E428)</f>
        <v>16.04.2011</v>
      </c>
      <c r="D435" s="69" t="str">
        <f>IF('Informe Kelly'!E428="","",'Informe Kelly'!E428)</f>
        <v>16.04.2011</v>
      </c>
      <c r="E435" s="72">
        <f t="shared" si="13"/>
        <v>217</v>
      </c>
      <c r="F435" s="72" t="str">
        <f>IFERROR(HLOOKUP(C435,Ingreso!$Q$8:$AD$9,2,FALSE),"v")</f>
        <v>Sábado</v>
      </c>
      <c r="G435" s="65" t="str">
        <f>IFERROR(VLOOKUP(A435,Ingreso!K:P,6,FALSE),"no esta ingresado")</f>
        <v>no esta ingresado</v>
      </c>
      <c r="H435" s="65">
        <f>IFERROR(IF('Informe Kelly'!H428=$A$2,'Informe Kelly'!F428,""),0)</f>
        <v>0.61503472222222222</v>
      </c>
      <c r="I435" s="65" t="str">
        <f>IFERROR(IF('Informe Kelly'!H428=$A$3,'Informe Kelly'!F428,""),0)</f>
        <v/>
      </c>
      <c r="J435" s="65" t="str">
        <f>IF(IFERROR(IF(E435=E434,0,(HLOOKUP(D435,Ingreso!$AN$10:$AT$260,VLOOKUP(A435,Ingreso!$AL$11:$AM$260,2,FALSE)))/24),0)=0,"",IFERROR(IF(E435=E434,0,(HLOOKUP(D435,Ingreso!$AN$10:$AT$260,VLOOKUP(A435,Ingreso!$AL$11:$AM$260,2,FALSE)))/24),0))</f>
        <v/>
      </c>
      <c r="K435" s="65" t="str">
        <f>IF(IFERROR(IF(E435=E434,0,(HLOOKUP(C435,Ingreso!$AW$10:$BC$260,VLOOKUP(A435,Ingreso!$AL$11:$AM$260,2,FALSE)))/24),0)=0,"",IFERROR(IF(E435=E434,0,(HLOOKUP(C435,Ingreso!$AW$10:$BC$260,VLOOKUP(A435,Ingreso!$AL$11:$AM$260,2,FALSE)))/24),0))</f>
        <v/>
      </c>
      <c r="L435" s="63">
        <f t="shared" si="12"/>
        <v>0</v>
      </c>
      <c r="M435" s="63" t="str">
        <f>IF(IFERROR(IF(C435=C433,0,IF(E435=E434,0,IF(C435=$R$2,HLOOKUP($R$2,Ingreso!$AW$10:$BC$260,VLOOKUP(A435,Ingreso!AL:AM,2,FALSE),FALSE)/24,""))),"")=0,"",IFERROR(IF(C435=C433,0,IF(E435=E434,0,IF(C435=$R$2,HLOOKUP($R$2,Ingreso!$AW$10:$BC$260,VLOOKUP(A435,Ingreso!AL:AM,2,FALSE),FALSE)/24,""))),""))</f>
        <v/>
      </c>
      <c r="N435" s="95" t="str">
        <f>IF(IFERROR(IF(C435=C433,0,IF(E435=E434,0,IF(C435=$R$3,HLOOKUP($R$3,Ingreso!$AW$10:$BC$260,VLOOKUP(A435,Ingreso!AL:AM,2,FALSE),FALSE)/24,""))),"")=0,"",IFERROR(IF(C435=C433,0,IF(E435=E434,0,IF(C435=$R$3,HLOOKUP($R$3,Ingreso!$AW$10:$BC$260,VLOOKUP(A435,Ingreso!AL:AM,2,FALSE),FALSE)/24,""))),""))</f>
        <v/>
      </c>
      <c r="O435" s="95" t="str">
        <f>IF(IFERROR(IF(C435=C433,0,IF(E435=E434,0,IF(C435=$R$4,HLOOKUP($R$4,Ingreso!$AW$10:$BC$260,VLOOKUP(A435,Ingreso!AL:AM,2,FALSE),FALSE)/24,""))),"")=0,"",IFERROR(IF(C435=C433,0,IF(E435=E434,0,IF(C435=$R$4,HLOOKUP($R$4,Ingreso!$AW$10:$BC$260,VLOOKUP(A435,Ingreso!AL:AM,2,FALSE),FALSE)/24,""))),""))</f>
        <v/>
      </c>
      <c r="P435" s="90"/>
      <c r="R435" t="s">
        <v>1344</v>
      </c>
      <c r="V435"/>
      <c r="W435"/>
      <c r="X435" s="71">
        <v>142.33333333333343</v>
      </c>
      <c r="Y435" s="101">
        <v>211.65684027777786</v>
      </c>
      <c r="Z435" s="101">
        <v>278.60156250000006</v>
      </c>
      <c r="AA435" s="101">
        <v>66.944722222222225</v>
      </c>
      <c r="AB435" s="101">
        <v>-75.388611111111203</v>
      </c>
      <c r="AC435" s="105">
        <v>4.1874999999999991</v>
      </c>
      <c r="AD435" s="105">
        <v>3.125</v>
      </c>
      <c r="AE435" s="93">
        <v>2.8125</v>
      </c>
      <c r="AF435" s="93">
        <v>0</v>
      </c>
      <c r="AG435" s="93">
        <v>0</v>
      </c>
    </row>
    <row r="436" spans="1:33">
      <c r="A436" s="65" t="str">
        <f>IFERROR(VLOOKUP('Informe Kelly'!A429,Base!A:B,2,FALSE),"")</f>
        <v>10.869.222-7</v>
      </c>
      <c r="B436" s="65" t="str">
        <f>IFERROR(VLOOKUP('Informe Kelly'!A429,Base!A:G,7,FALSE),"")</f>
        <v>MADRID PINTO MARCO ANTONIO</v>
      </c>
      <c r="C436" s="69" t="str">
        <f>IF(G436=$C$4,IF('Informe Kelly'!H429='Control informe Kelly'!$A$2,TEXT(((LEFT('Informe Kelly'!E429,2)*1)+1),"dd")&amp;"."&amp;MID('Informe Kelly'!E429,4,2)&amp;"."&amp;RIGHT('Informe Kelly'!E429,4),'Informe Kelly'!E429),'Informe Kelly'!E429)</f>
        <v>12.04.2011</v>
      </c>
      <c r="D436" s="69" t="str">
        <f>IF('Informe Kelly'!E429="","",'Informe Kelly'!E429)</f>
        <v>12.04.2011</v>
      </c>
      <c r="E436" s="72">
        <f t="shared" si="13"/>
        <v>218</v>
      </c>
      <c r="F436" s="72" t="str">
        <f>IFERROR(HLOOKUP(C436,Ingreso!$Q$8:$AD$9,2,FALSE),"v")</f>
        <v>Martes</v>
      </c>
      <c r="G436" s="65" t="str">
        <f>IFERROR(VLOOKUP(A436,Ingreso!K:P,6,FALSE),"no esta ingresado")</f>
        <v>Turno B</v>
      </c>
      <c r="H436" s="65" t="str">
        <f>IFERROR(IF('Informe Kelly'!H429=$A$2,'Informe Kelly'!F429,""),0)</f>
        <v/>
      </c>
      <c r="I436" s="65">
        <f>IFERROR(IF('Informe Kelly'!H429=$A$3,'Informe Kelly'!F429,""),0)</f>
        <v>0.93587962962962967</v>
      </c>
      <c r="J436" s="65" t="str">
        <f>IF(IFERROR(IF(E436=E435,0,(HLOOKUP(D436,Ingreso!$AN$10:$AT$260,VLOOKUP(A436,Ingreso!$AL$11:$AM$260,2,FALSE)))/24),0)=0,"",IFERROR(IF(E436=E435,0,(HLOOKUP(D436,Ingreso!$AN$10:$AT$260,VLOOKUP(A436,Ingreso!$AL$11:$AM$260,2,FALSE)))/24),0))</f>
        <v/>
      </c>
      <c r="K436" s="65" t="str">
        <f>IF(IFERROR(IF(E436=E435,0,(HLOOKUP(C436,Ingreso!$AW$10:$BC$260,VLOOKUP(A436,Ingreso!$AL$11:$AM$260,2,FALSE)))/24),0)=0,"",IFERROR(IF(E436=E435,0,(HLOOKUP(C436,Ingreso!$AW$10:$BC$260,VLOOKUP(A436,Ingreso!$AL$11:$AM$260,2,FALSE)))/24),0))</f>
        <v/>
      </c>
      <c r="L436" s="63">
        <f t="shared" si="12"/>
        <v>0.3125</v>
      </c>
      <c r="M436" s="63" t="str">
        <f>IF(IFERROR(IF(C436=C434,0,IF(E436=E435,0,IF(C436=$R$2,HLOOKUP($R$2,Ingreso!$AW$10:$BC$260,VLOOKUP(A436,Ingreso!AL:AM,2,FALSE),FALSE)/24,""))),"")=0,"",IFERROR(IF(C436=C434,0,IF(E436=E435,0,IF(C436=$R$2,HLOOKUP($R$2,Ingreso!$AW$10:$BC$260,VLOOKUP(A436,Ingreso!AL:AM,2,FALSE),FALSE)/24,""))),""))</f>
        <v/>
      </c>
      <c r="N436" s="95" t="str">
        <f>IF(IFERROR(IF(C436=C434,0,IF(E436=E435,0,IF(C436=$R$3,HLOOKUP($R$3,Ingreso!$AW$10:$BC$260,VLOOKUP(A436,Ingreso!AL:AM,2,FALSE),FALSE)/24,""))),"")=0,"",IFERROR(IF(C436=C434,0,IF(E436=E435,0,IF(C436=$R$3,HLOOKUP($R$3,Ingreso!$AW$10:$BC$260,VLOOKUP(A436,Ingreso!AL:AM,2,FALSE),FALSE)/24,""))),""))</f>
        <v/>
      </c>
      <c r="O436" s="95" t="str">
        <f>IF(IFERROR(IF(C436=C434,0,IF(E436=E435,0,IF(C436=$R$4,HLOOKUP($R$4,Ingreso!$AW$10:$BC$260,VLOOKUP(A436,Ingreso!AL:AM,2,FALSE),FALSE)/24,""))),"")=0,"",IFERROR(IF(C436=C434,0,IF(E436=E435,0,IF(C436=$R$4,HLOOKUP($R$4,Ingreso!$AW$10:$BC$260,VLOOKUP(A436,Ingreso!AL:AM,2,FALSE),FALSE)/24,""))),""))</f>
        <v/>
      </c>
      <c r="P436" s="90"/>
      <c r="V436"/>
      <c r="W436"/>
      <c r="X436"/>
      <c r="Y436"/>
      <c r="Z436"/>
      <c r="AA436"/>
      <c r="AB436"/>
      <c r="AC436"/>
      <c r="AD436"/>
    </row>
    <row r="437" spans="1:33">
      <c r="A437" s="65" t="str">
        <f>IFERROR(VLOOKUP('Informe Kelly'!A430,Base!A:B,2,FALSE),"")</f>
        <v>10.869.222-7</v>
      </c>
      <c r="B437" s="65" t="str">
        <f>IFERROR(VLOOKUP('Informe Kelly'!A430,Base!A:G,7,FALSE),"")</f>
        <v>MADRID PINTO MARCO ANTONIO</v>
      </c>
      <c r="C437" s="69" t="str">
        <f>IF(G437=$C$4,IF('Informe Kelly'!H430='Control informe Kelly'!$A$2,TEXT(((LEFT('Informe Kelly'!E430,2)*1)+1),"dd")&amp;"."&amp;MID('Informe Kelly'!E430,4,2)&amp;"."&amp;RIGHT('Informe Kelly'!E430,4),'Informe Kelly'!E430),'Informe Kelly'!E430)</f>
        <v>12.04.2011</v>
      </c>
      <c r="D437" s="69" t="str">
        <f>IF('Informe Kelly'!E430="","",'Informe Kelly'!E430)</f>
        <v>12.04.2011</v>
      </c>
      <c r="E437" s="72">
        <f t="shared" si="13"/>
        <v>218</v>
      </c>
      <c r="F437" s="72" t="str">
        <f>IFERROR(HLOOKUP(C437,Ingreso!$Q$8:$AD$9,2,FALSE),"v")</f>
        <v>Martes</v>
      </c>
      <c r="G437" s="65" t="str">
        <f>IFERROR(VLOOKUP(A437,Ingreso!K:P,6,FALSE),"no esta ingresado")</f>
        <v>Turno B</v>
      </c>
      <c r="H437" s="65">
        <f>IFERROR(IF('Informe Kelly'!H430=$A$2,'Informe Kelly'!F430,""),0)</f>
        <v>0.61715277777777777</v>
      </c>
      <c r="I437" s="65" t="str">
        <f>IFERROR(IF('Informe Kelly'!H430=$A$3,'Informe Kelly'!F430,""),0)</f>
        <v/>
      </c>
      <c r="J437" s="65" t="str">
        <f>IF(IFERROR(IF(E437=E436,0,(HLOOKUP(D437,Ingreso!$AN$10:$AT$260,VLOOKUP(A437,Ingreso!$AL$11:$AM$260,2,FALSE)))/24),0)=0,"",IFERROR(IF(E437=E436,0,(HLOOKUP(D437,Ingreso!$AN$10:$AT$260,VLOOKUP(A437,Ingreso!$AL$11:$AM$260,2,FALSE)))/24),0))</f>
        <v/>
      </c>
      <c r="K437" s="65" t="str">
        <f>IF(IFERROR(IF(E437=E436,0,(HLOOKUP(C437,Ingreso!$AW$10:$BC$260,VLOOKUP(A437,Ingreso!$AL$11:$AM$260,2,FALSE)))/24),0)=0,"",IFERROR(IF(E437=E436,0,(HLOOKUP(C437,Ingreso!$AW$10:$BC$260,VLOOKUP(A437,Ingreso!$AL$11:$AM$260,2,FALSE)))/24),0))</f>
        <v/>
      </c>
      <c r="L437" s="63">
        <f t="shared" si="12"/>
        <v>0</v>
      </c>
      <c r="M437" s="63" t="str">
        <f>IF(IFERROR(IF(C437=C435,0,IF(E437=E436,0,IF(C437=$R$2,HLOOKUP($R$2,Ingreso!$AW$10:$BC$260,VLOOKUP(A437,Ingreso!AL:AM,2,FALSE),FALSE)/24,""))),"")=0,"",IFERROR(IF(C437=C435,0,IF(E437=E436,0,IF(C437=$R$2,HLOOKUP($R$2,Ingreso!$AW$10:$BC$260,VLOOKUP(A437,Ingreso!AL:AM,2,FALSE),FALSE)/24,""))),""))</f>
        <v/>
      </c>
      <c r="N437" s="95" t="str">
        <f>IF(IFERROR(IF(C437=C435,0,IF(E437=E436,0,IF(C437=$R$3,HLOOKUP($R$3,Ingreso!$AW$10:$BC$260,VLOOKUP(A437,Ingreso!AL:AM,2,FALSE),FALSE)/24,""))),"")=0,"",IFERROR(IF(C437=C435,0,IF(E437=E436,0,IF(C437=$R$3,HLOOKUP($R$3,Ingreso!$AW$10:$BC$260,VLOOKUP(A437,Ingreso!AL:AM,2,FALSE),FALSE)/24,""))),""))</f>
        <v/>
      </c>
      <c r="O437" s="95" t="str">
        <f>IF(IFERROR(IF(C437=C435,0,IF(E437=E436,0,IF(C437=$R$4,HLOOKUP($R$4,Ingreso!$AW$10:$BC$260,VLOOKUP(A437,Ingreso!AL:AM,2,FALSE),FALSE)/24,""))),"")=0,"",IFERROR(IF(C437=C435,0,IF(E437=E436,0,IF(C437=$R$4,HLOOKUP($R$4,Ingreso!$AW$10:$BC$260,VLOOKUP(A437,Ingreso!AL:AM,2,FALSE),FALSE)/24,""))),""))</f>
        <v/>
      </c>
      <c r="P437" s="90"/>
      <c r="V437"/>
      <c r="W437"/>
      <c r="X437"/>
      <c r="Y437"/>
      <c r="Z437"/>
      <c r="AA437"/>
      <c r="AB437"/>
      <c r="AC437"/>
      <c r="AD437"/>
    </row>
    <row r="438" spans="1:33">
      <c r="A438" s="65" t="str">
        <f>IFERROR(VLOOKUP('Informe Kelly'!A431,Base!A:B,2,FALSE),"")</f>
        <v>10.869.222-7</v>
      </c>
      <c r="B438" s="65" t="str">
        <f>IFERROR(VLOOKUP('Informe Kelly'!A431,Base!A:G,7,FALSE),"")</f>
        <v>MADRID PINTO MARCO ANTONIO</v>
      </c>
      <c r="C438" s="69" t="str">
        <f>IF(G438=$C$4,IF('Informe Kelly'!H431='Control informe Kelly'!$A$2,TEXT(((LEFT('Informe Kelly'!E431,2)*1)+1),"dd")&amp;"."&amp;MID('Informe Kelly'!E431,4,2)&amp;"."&amp;RIGHT('Informe Kelly'!E431,4),'Informe Kelly'!E431),'Informe Kelly'!E431)</f>
        <v>13.04.2011</v>
      </c>
      <c r="D438" s="69" t="str">
        <f>IF('Informe Kelly'!E431="","",'Informe Kelly'!E431)</f>
        <v>13.04.2011</v>
      </c>
      <c r="E438" s="72">
        <f t="shared" si="13"/>
        <v>219</v>
      </c>
      <c r="F438" s="72" t="str">
        <f>IFERROR(HLOOKUP(C438,Ingreso!$Q$8:$AD$9,2,FALSE),"v")</f>
        <v>Miércoles</v>
      </c>
      <c r="G438" s="65" t="str">
        <f>IFERROR(VLOOKUP(A438,Ingreso!K:P,6,FALSE),"no esta ingresado")</f>
        <v>Turno B</v>
      </c>
      <c r="H438" s="65" t="str">
        <f>IFERROR(IF('Informe Kelly'!H431=$A$2,'Informe Kelly'!F431,""),0)</f>
        <v/>
      </c>
      <c r="I438" s="65">
        <f>IFERROR(IF('Informe Kelly'!H431=$A$3,'Informe Kelly'!F431,""),0)</f>
        <v>0.93429398148148157</v>
      </c>
      <c r="J438" s="65" t="str">
        <f>IF(IFERROR(IF(E438=E437,0,(HLOOKUP(D438,Ingreso!$AN$10:$AT$260,VLOOKUP(A438,Ingreso!$AL$11:$AM$260,2,FALSE)))/24),0)=0,"",IFERROR(IF(E438=E437,0,(HLOOKUP(D438,Ingreso!$AN$10:$AT$260,VLOOKUP(A438,Ingreso!$AL$11:$AM$260,2,FALSE)))/24),0))</f>
        <v/>
      </c>
      <c r="K438" s="65" t="str">
        <f>IF(IFERROR(IF(E438=E437,0,(HLOOKUP(C438,Ingreso!$AW$10:$BC$260,VLOOKUP(A438,Ingreso!$AL$11:$AM$260,2,FALSE)))/24),0)=0,"",IFERROR(IF(E438=E437,0,(HLOOKUP(C438,Ingreso!$AW$10:$BC$260,VLOOKUP(A438,Ingreso!$AL$11:$AM$260,2,FALSE)))/24),0))</f>
        <v/>
      </c>
      <c r="L438" s="63">
        <f t="shared" si="12"/>
        <v>0.3125</v>
      </c>
      <c r="M438" s="63" t="str">
        <f>IF(IFERROR(IF(C438=C436,0,IF(E438=E437,0,IF(C438=$R$2,HLOOKUP($R$2,Ingreso!$AW$10:$BC$260,VLOOKUP(A438,Ingreso!AL:AM,2,FALSE),FALSE)/24,""))),"")=0,"",IFERROR(IF(C438=C436,0,IF(E438=E437,0,IF(C438=$R$2,HLOOKUP($R$2,Ingreso!$AW$10:$BC$260,VLOOKUP(A438,Ingreso!AL:AM,2,FALSE),FALSE)/24,""))),""))</f>
        <v/>
      </c>
      <c r="N438" s="95" t="str">
        <f>IF(IFERROR(IF(C438=C436,0,IF(E438=E437,0,IF(C438=$R$3,HLOOKUP($R$3,Ingreso!$AW$10:$BC$260,VLOOKUP(A438,Ingreso!AL:AM,2,FALSE),FALSE)/24,""))),"")=0,"",IFERROR(IF(C438=C436,0,IF(E438=E437,0,IF(C438=$R$3,HLOOKUP($R$3,Ingreso!$AW$10:$BC$260,VLOOKUP(A438,Ingreso!AL:AM,2,FALSE),FALSE)/24,""))),""))</f>
        <v/>
      </c>
      <c r="O438" s="95" t="str">
        <f>IF(IFERROR(IF(C438=C436,0,IF(E438=E437,0,IF(C438=$R$4,HLOOKUP($R$4,Ingreso!$AW$10:$BC$260,VLOOKUP(A438,Ingreso!AL:AM,2,FALSE),FALSE)/24,""))),"")=0,"",IFERROR(IF(C438=C436,0,IF(E438=E437,0,IF(C438=$R$4,HLOOKUP($R$4,Ingreso!$AW$10:$BC$260,VLOOKUP(A438,Ingreso!AL:AM,2,FALSE),FALSE)/24,""))),""))</f>
        <v/>
      </c>
      <c r="P438" s="90"/>
      <c r="V438"/>
      <c r="W438"/>
      <c r="X438"/>
      <c r="Y438"/>
      <c r="Z438"/>
      <c r="AA438"/>
      <c r="AB438"/>
      <c r="AC438"/>
      <c r="AD438"/>
    </row>
    <row r="439" spans="1:33">
      <c r="A439" s="65" t="str">
        <f>IFERROR(VLOOKUP('Informe Kelly'!A432,Base!A:B,2,FALSE),"")</f>
        <v>10.869.222-7</v>
      </c>
      <c r="B439" s="65" t="str">
        <f>IFERROR(VLOOKUP('Informe Kelly'!A432,Base!A:G,7,FALSE),"")</f>
        <v>MADRID PINTO MARCO ANTONIO</v>
      </c>
      <c r="C439" s="69" t="str">
        <f>IF(G439=$C$4,IF('Informe Kelly'!H432='Control informe Kelly'!$A$2,TEXT(((LEFT('Informe Kelly'!E432,2)*1)+1),"dd")&amp;"."&amp;MID('Informe Kelly'!E432,4,2)&amp;"."&amp;RIGHT('Informe Kelly'!E432,4),'Informe Kelly'!E432),'Informe Kelly'!E432)</f>
        <v>13.04.2011</v>
      </c>
      <c r="D439" s="69" t="str">
        <f>IF('Informe Kelly'!E432="","",'Informe Kelly'!E432)</f>
        <v>13.04.2011</v>
      </c>
      <c r="E439" s="72">
        <f t="shared" si="13"/>
        <v>219</v>
      </c>
      <c r="F439" s="72" t="str">
        <f>IFERROR(HLOOKUP(C439,Ingreso!$Q$8:$AD$9,2,FALSE),"v")</f>
        <v>Miércoles</v>
      </c>
      <c r="G439" s="65" t="str">
        <f>IFERROR(VLOOKUP(A439,Ingreso!K:P,6,FALSE),"no esta ingresado")</f>
        <v>Turno B</v>
      </c>
      <c r="H439" s="65">
        <f>IFERROR(IF('Informe Kelly'!H432=$A$2,'Informe Kelly'!F432,""),0)</f>
        <v>0.61866898148148153</v>
      </c>
      <c r="I439" s="65" t="str">
        <f>IFERROR(IF('Informe Kelly'!H432=$A$3,'Informe Kelly'!F432,""),0)</f>
        <v/>
      </c>
      <c r="J439" s="65" t="str">
        <f>IF(IFERROR(IF(E439=E438,0,(HLOOKUP(D439,Ingreso!$AN$10:$AT$260,VLOOKUP(A439,Ingreso!$AL$11:$AM$260,2,FALSE)))/24),0)=0,"",IFERROR(IF(E439=E438,0,(HLOOKUP(D439,Ingreso!$AN$10:$AT$260,VLOOKUP(A439,Ingreso!$AL$11:$AM$260,2,FALSE)))/24),0))</f>
        <v/>
      </c>
      <c r="K439" s="65" t="str">
        <f>IF(IFERROR(IF(E439=E438,0,(HLOOKUP(C439,Ingreso!$AW$10:$BC$260,VLOOKUP(A439,Ingreso!$AL$11:$AM$260,2,FALSE)))/24),0)=0,"",IFERROR(IF(E439=E438,0,(HLOOKUP(C439,Ingreso!$AW$10:$BC$260,VLOOKUP(A439,Ingreso!$AL$11:$AM$260,2,FALSE)))/24),0))</f>
        <v/>
      </c>
      <c r="L439" s="63">
        <f t="shared" si="12"/>
        <v>0</v>
      </c>
      <c r="M439" s="63" t="str">
        <f>IF(IFERROR(IF(C439=C437,0,IF(E439=E438,0,IF(C439=$R$2,HLOOKUP($R$2,Ingreso!$AW$10:$BC$260,VLOOKUP(A439,Ingreso!AL:AM,2,FALSE),FALSE)/24,""))),"")=0,"",IFERROR(IF(C439=C437,0,IF(E439=E438,0,IF(C439=$R$2,HLOOKUP($R$2,Ingreso!$AW$10:$BC$260,VLOOKUP(A439,Ingreso!AL:AM,2,FALSE),FALSE)/24,""))),""))</f>
        <v/>
      </c>
      <c r="N439" s="95" t="str">
        <f>IF(IFERROR(IF(C439=C437,0,IF(E439=E438,0,IF(C439=$R$3,HLOOKUP($R$3,Ingreso!$AW$10:$BC$260,VLOOKUP(A439,Ingreso!AL:AM,2,FALSE),FALSE)/24,""))),"")=0,"",IFERROR(IF(C439=C437,0,IF(E439=E438,0,IF(C439=$R$3,HLOOKUP($R$3,Ingreso!$AW$10:$BC$260,VLOOKUP(A439,Ingreso!AL:AM,2,FALSE),FALSE)/24,""))),""))</f>
        <v/>
      </c>
      <c r="O439" s="95" t="str">
        <f>IF(IFERROR(IF(C439=C437,0,IF(E439=E438,0,IF(C439=$R$4,HLOOKUP($R$4,Ingreso!$AW$10:$BC$260,VLOOKUP(A439,Ingreso!AL:AM,2,FALSE),FALSE)/24,""))),"")=0,"",IFERROR(IF(C439=C437,0,IF(E439=E438,0,IF(C439=$R$4,HLOOKUP($R$4,Ingreso!$AW$10:$BC$260,VLOOKUP(A439,Ingreso!AL:AM,2,FALSE),FALSE)/24,""))),""))</f>
        <v/>
      </c>
      <c r="P439" s="90"/>
      <c r="V439"/>
      <c r="W439"/>
      <c r="X439"/>
      <c r="Y439"/>
      <c r="Z439"/>
      <c r="AA439"/>
      <c r="AB439"/>
      <c r="AC439"/>
      <c r="AD439"/>
    </row>
    <row r="440" spans="1:33">
      <c r="A440" s="65" t="str">
        <f>IFERROR(VLOOKUP('Informe Kelly'!A433,Base!A:B,2,FALSE),"")</f>
        <v>10.869.222-7</v>
      </c>
      <c r="B440" s="65" t="str">
        <f>IFERROR(VLOOKUP('Informe Kelly'!A433,Base!A:G,7,FALSE),"")</f>
        <v>MADRID PINTO MARCO ANTONIO</v>
      </c>
      <c r="C440" s="69" t="str">
        <f>IF(G440=$C$4,IF('Informe Kelly'!H433='Control informe Kelly'!$A$2,TEXT(((LEFT('Informe Kelly'!E433,2)*1)+1),"dd")&amp;"."&amp;MID('Informe Kelly'!E433,4,2)&amp;"."&amp;RIGHT('Informe Kelly'!E433,4),'Informe Kelly'!E433),'Informe Kelly'!E433)</f>
        <v>14.04.2011</v>
      </c>
      <c r="D440" s="69" t="str">
        <f>IF('Informe Kelly'!E433="","",'Informe Kelly'!E433)</f>
        <v>14.04.2011</v>
      </c>
      <c r="E440" s="72">
        <f t="shared" si="13"/>
        <v>220</v>
      </c>
      <c r="F440" s="72" t="str">
        <f>IFERROR(HLOOKUP(C440,Ingreso!$Q$8:$AD$9,2,FALSE),"v")</f>
        <v>Jueves</v>
      </c>
      <c r="G440" s="65" t="str">
        <f>IFERROR(VLOOKUP(A440,Ingreso!K:P,6,FALSE),"no esta ingresado")</f>
        <v>Turno B</v>
      </c>
      <c r="H440" s="65" t="str">
        <f>IFERROR(IF('Informe Kelly'!H433=$A$2,'Informe Kelly'!F433,""),0)</f>
        <v/>
      </c>
      <c r="I440" s="65">
        <f>IFERROR(IF('Informe Kelly'!H433=$A$3,'Informe Kelly'!F433,""),0)</f>
        <v>0.93570601851851853</v>
      </c>
      <c r="J440" s="65" t="str">
        <f>IF(IFERROR(IF(E440=E439,0,(HLOOKUP(D440,Ingreso!$AN$10:$AT$260,VLOOKUP(A440,Ingreso!$AL$11:$AM$260,2,FALSE)))/24),0)=0,"",IFERROR(IF(E440=E439,0,(HLOOKUP(D440,Ingreso!$AN$10:$AT$260,VLOOKUP(A440,Ingreso!$AL$11:$AM$260,2,FALSE)))/24),0))</f>
        <v/>
      </c>
      <c r="K440" s="65" t="str">
        <f>IF(IFERROR(IF(E440=E439,0,(HLOOKUP(C440,Ingreso!$AW$10:$BC$260,VLOOKUP(A440,Ingreso!$AL$11:$AM$260,2,FALSE)))/24),0)=0,"",IFERROR(IF(E440=E439,0,(HLOOKUP(C440,Ingreso!$AW$10:$BC$260,VLOOKUP(A440,Ingreso!$AL$11:$AM$260,2,FALSE)))/24),0))</f>
        <v/>
      </c>
      <c r="L440" s="63">
        <f t="shared" si="12"/>
        <v>0.3125</v>
      </c>
      <c r="M440" s="63" t="str">
        <f>IF(IFERROR(IF(C440=C438,0,IF(E440=E439,0,IF(C440=$R$2,HLOOKUP($R$2,Ingreso!$AW$10:$BC$260,VLOOKUP(A440,Ingreso!AL:AM,2,FALSE),FALSE)/24,""))),"")=0,"",IFERROR(IF(C440=C438,0,IF(E440=E439,0,IF(C440=$R$2,HLOOKUP($R$2,Ingreso!$AW$10:$BC$260,VLOOKUP(A440,Ingreso!AL:AM,2,FALSE),FALSE)/24,""))),""))</f>
        <v/>
      </c>
      <c r="N440" s="95" t="str">
        <f>IF(IFERROR(IF(C440=C438,0,IF(E440=E439,0,IF(C440=$R$3,HLOOKUP($R$3,Ingreso!$AW$10:$BC$260,VLOOKUP(A440,Ingreso!AL:AM,2,FALSE),FALSE)/24,""))),"")=0,"",IFERROR(IF(C440=C438,0,IF(E440=E439,0,IF(C440=$R$3,HLOOKUP($R$3,Ingreso!$AW$10:$BC$260,VLOOKUP(A440,Ingreso!AL:AM,2,FALSE),FALSE)/24,""))),""))</f>
        <v/>
      </c>
      <c r="O440" s="95" t="str">
        <f>IF(IFERROR(IF(C440=C438,0,IF(E440=E439,0,IF(C440=$R$4,HLOOKUP($R$4,Ingreso!$AW$10:$BC$260,VLOOKUP(A440,Ingreso!AL:AM,2,FALSE),FALSE)/24,""))),"")=0,"",IFERROR(IF(C440=C438,0,IF(E440=E439,0,IF(C440=$R$4,HLOOKUP($R$4,Ingreso!$AW$10:$BC$260,VLOOKUP(A440,Ingreso!AL:AM,2,FALSE),FALSE)/24,""))),""))</f>
        <v/>
      </c>
      <c r="P440" s="90"/>
      <c r="V440"/>
      <c r="W440"/>
      <c r="X440"/>
      <c r="Y440"/>
      <c r="Z440"/>
      <c r="AA440"/>
      <c r="AB440"/>
      <c r="AC440"/>
      <c r="AD440"/>
    </row>
    <row r="441" spans="1:33">
      <c r="A441" s="65" t="str">
        <f>IFERROR(VLOOKUP('Informe Kelly'!A434,Base!A:B,2,FALSE),"")</f>
        <v>10.869.222-7</v>
      </c>
      <c r="B441" s="65" t="str">
        <f>IFERROR(VLOOKUP('Informe Kelly'!A434,Base!A:G,7,FALSE),"")</f>
        <v>MADRID PINTO MARCO ANTONIO</v>
      </c>
      <c r="C441" s="69" t="str">
        <f>IF(G441=$C$4,IF('Informe Kelly'!H434='Control informe Kelly'!$A$2,TEXT(((LEFT('Informe Kelly'!E434,2)*1)+1),"dd")&amp;"."&amp;MID('Informe Kelly'!E434,4,2)&amp;"."&amp;RIGHT('Informe Kelly'!E434,4),'Informe Kelly'!E434),'Informe Kelly'!E434)</f>
        <v>14.04.2011</v>
      </c>
      <c r="D441" s="69" t="str">
        <f>IF('Informe Kelly'!E434="","",'Informe Kelly'!E434)</f>
        <v>14.04.2011</v>
      </c>
      <c r="E441" s="72">
        <f t="shared" si="13"/>
        <v>220</v>
      </c>
      <c r="F441" s="72" t="str">
        <f>IFERROR(HLOOKUP(C441,Ingreso!$Q$8:$AD$9,2,FALSE),"v")</f>
        <v>Jueves</v>
      </c>
      <c r="G441" s="65" t="str">
        <f>IFERROR(VLOOKUP(A441,Ingreso!K:P,6,FALSE),"no esta ingresado")</f>
        <v>Turno B</v>
      </c>
      <c r="H441" s="65">
        <f>IFERROR(IF('Informe Kelly'!H434=$A$2,'Informe Kelly'!F434,""),0)</f>
        <v>0.62002314814814818</v>
      </c>
      <c r="I441" s="65" t="str">
        <f>IFERROR(IF('Informe Kelly'!H434=$A$3,'Informe Kelly'!F434,""),0)</f>
        <v/>
      </c>
      <c r="J441" s="65" t="str">
        <f>IF(IFERROR(IF(E441=E440,0,(HLOOKUP(D441,Ingreso!$AN$10:$AT$260,VLOOKUP(A441,Ingreso!$AL$11:$AM$260,2,FALSE)))/24),0)=0,"",IFERROR(IF(E441=E440,0,(HLOOKUP(D441,Ingreso!$AN$10:$AT$260,VLOOKUP(A441,Ingreso!$AL$11:$AM$260,2,FALSE)))/24),0))</f>
        <v/>
      </c>
      <c r="K441" s="65" t="str">
        <f>IF(IFERROR(IF(E441=E440,0,(HLOOKUP(C441,Ingreso!$AW$10:$BC$260,VLOOKUP(A441,Ingreso!$AL$11:$AM$260,2,FALSE)))/24),0)=0,"",IFERROR(IF(E441=E440,0,(HLOOKUP(C441,Ingreso!$AW$10:$BC$260,VLOOKUP(A441,Ingreso!$AL$11:$AM$260,2,FALSE)))/24),0))</f>
        <v/>
      </c>
      <c r="L441" s="63">
        <f t="shared" si="12"/>
        <v>0</v>
      </c>
      <c r="M441" s="63" t="str">
        <f>IF(IFERROR(IF(C441=C439,0,IF(E441=E440,0,IF(C441=$R$2,HLOOKUP($R$2,Ingreso!$AW$10:$BC$260,VLOOKUP(A441,Ingreso!AL:AM,2,FALSE),FALSE)/24,""))),"")=0,"",IFERROR(IF(C441=C439,0,IF(E441=E440,0,IF(C441=$R$2,HLOOKUP($R$2,Ingreso!$AW$10:$BC$260,VLOOKUP(A441,Ingreso!AL:AM,2,FALSE),FALSE)/24,""))),""))</f>
        <v/>
      </c>
      <c r="N441" s="95" t="str">
        <f>IF(IFERROR(IF(C441=C439,0,IF(E441=E440,0,IF(C441=$R$3,HLOOKUP($R$3,Ingreso!$AW$10:$BC$260,VLOOKUP(A441,Ingreso!AL:AM,2,FALSE),FALSE)/24,""))),"")=0,"",IFERROR(IF(C441=C439,0,IF(E441=E440,0,IF(C441=$R$3,HLOOKUP($R$3,Ingreso!$AW$10:$BC$260,VLOOKUP(A441,Ingreso!AL:AM,2,FALSE),FALSE)/24,""))),""))</f>
        <v/>
      </c>
      <c r="O441" s="95" t="str">
        <f>IF(IFERROR(IF(C441=C439,0,IF(E441=E440,0,IF(C441=$R$4,HLOOKUP($R$4,Ingreso!$AW$10:$BC$260,VLOOKUP(A441,Ingreso!AL:AM,2,FALSE),FALSE)/24,""))),"")=0,"",IFERROR(IF(C441=C439,0,IF(E441=E440,0,IF(C441=$R$4,HLOOKUP($R$4,Ingreso!$AW$10:$BC$260,VLOOKUP(A441,Ingreso!AL:AM,2,FALSE),FALSE)/24,""))),""))</f>
        <v/>
      </c>
      <c r="P441" s="90"/>
      <c r="V441"/>
      <c r="W441"/>
      <c r="X441"/>
      <c r="Y441"/>
      <c r="Z441"/>
      <c r="AA441"/>
      <c r="AB441"/>
      <c r="AC441"/>
      <c r="AD441"/>
    </row>
    <row r="442" spans="1:33">
      <c r="A442" s="65" t="str">
        <f>IFERROR(VLOOKUP('Informe Kelly'!A435,Base!A:B,2,FALSE),"")</f>
        <v>10.869.222-7</v>
      </c>
      <c r="B442" s="65" t="str">
        <f>IFERROR(VLOOKUP('Informe Kelly'!A435,Base!A:G,7,FALSE),"")</f>
        <v>MADRID PINTO MARCO ANTONIO</v>
      </c>
      <c r="C442" s="69" t="str">
        <f>IF(G442=$C$4,IF('Informe Kelly'!H435='Control informe Kelly'!$A$2,TEXT(((LEFT('Informe Kelly'!E435,2)*1)+1),"dd")&amp;"."&amp;MID('Informe Kelly'!E435,4,2)&amp;"."&amp;RIGHT('Informe Kelly'!E435,4),'Informe Kelly'!E435),'Informe Kelly'!E435)</f>
        <v>15.04.2011</v>
      </c>
      <c r="D442" s="69" t="str">
        <f>IF('Informe Kelly'!E435="","",'Informe Kelly'!E435)</f>
        <v>15.04.2011</v>
      </c>
      <c r="E442" s="72">
        <f t="shared" si="13"/>
        <v>221</v>
      </c>
      <c r="F442" s="72" t="str">
        <f>IFERROR(HLOOKUP(C442,Ingreso!$Q$8:$AD$9,2,FALSE),"v")</f>
        <v>Viernes</v>
      </c>
      <c r="G442" s="65" t="str">
        <f>IFERROR(VLOOKUP(A442,Ingreso!K:P,6,FALSE),"no esta ingresado")</f>
        <v>Turno B</v>
      </c>
      <c r="H442" s="65" t="str">
        <f>IFERROR(IF('Informe Kelly'!H435=$A$2,'Informe Kelly'!F435,""),0)</f>
        <v/>
      </c>
      <c r="I442" s="65">
        <f>IFERROR(IF('Informe Kelly'!H435=$A$3,'Informe Kelly'!F435,""),0)</f>
        <v>0.93467592592592597</v>
      </c>
      <c r="J442" s="65" t="str">
        <f>IF(IFERROR(IF(E442=E441,0,(HLOOKUP(D442,Ingreso!$AN$10:$AT$260,VLOOKUP(A442,Ingreso!$AL$11:$AM$260,2,FALSE)))/24),0)=0,"",IFERROR(IF(E442=E441,0,(HLOOKUP(D442,Ingreso!$AN$10:$AT$260,VLOOKUP(A442,Ingreso!$AL$11:$AM$260,2,FALSE)))/24),0))</f>
        <v/>
      </c>
      <c r="K442" s="65" t="str">
        <f>IF(IFERROR(IF(E442=E441,0,(HLOOKUP(C442,Ingreso!$AW$10:$BC$260,VLOOKUP(A442,Ingreso!$AL$11:$AM$260,2,FALSE)))/24),0)=0,"",IFERROR(IF(E442=E441,0,(HLOOKUP(C442,Ingreso!$AW$10:$BC$260,VLOOKUP(A442,Ingreso!$AL$11:$AM$260,2,FALSE)))/24),0))</f>
        <v/>
      </c>
      <c r="L442" s="63">
        <f t="shared" si="12"/>
        <v>0.3125</v>
      </c>
      <c r="M442" s="63" t="str">
        <f>IF(IFERROR(IF(C442=C440,0,IF(E442=E441,0,IF(C442=$R$2,HLOOKUP($R$2,Ingreso!$AW$10:$BC$260,VLOOKUP(A442,Ingreso!AL:AM,2,FALSE),FALSE)/24,""))),"")=0,"",IFERROR(IF(C442=C440,0,IF(E442=E441,0,IF(C442=$R$2,HLOOKUP($R$2,Ingreso!$AW$10:$BC$260,VLOOKUP(A442,Ingreso!AL:AM,2,FALSE),FALSE)/24,""))),""))</f>
        <v/>
      </c>
      <c r="N442" s="95" t="str">
        <f>IF(IFERROR(IF(C442=C440,0,IF(E442=E441,0,IF(C442=$R$3,HLOOKUP($R$3,Ingreso!$AW$10:$BC$260,VLOOKUP(A442,Ingreso!AL:AM,2,FALSE),FALSE)/24,""))),"")=0,"",IFERROR(IF(C442=C440,0,IF(E442=E441,0,IF(C442=$R$3,HLOOKUP($R$3,Ingreso!$AW$10:$BC$260,VLOOKUP(A442,Ingreso!AL:AM,2,FALSE),FALSE)/24,""))),""))</f>
        <v/>
      </c>
      <c r="O442" s="95" t="str">
        <f>IF(IFERROR(IF(C442=C440,0,IF(E442=E441,0,IF(C442=$R$4,HLOOKUP($R$4,Ingreso!$AW$10:$BC$260,VLOOKUP(A442,Ingreso!AL:AM,2,FALSE),FALSE)/24,""))),"")=0,"",IFERROR(IF(C442=C440,0,IF(E442=E441,0,IF(C442=$R$4,HLOOKUP($R$4,Ingreso!$AW$10:$BC$260,VLOOKUP(A442,Ingreso!AL:AM,2,FALSE),FALSE)/24,""))),""))</f>
        <v/>
      </c>
      <c r="P442" s="90"/>
      <c r="V442"/>
      <c r="W442"/>
      <c r="X442"/>
      <c r="Y442"/>
      <c r="Z442"/>
      <c r="AA442"/>
      <c r="AB442"/>
      <c r="AC442"/>
      <c r="AD442"/>
    </row>
    <row r="443" spans="1:33">
      <c r="A443" s="65" t="str">
        <f>IFERROR(VLOOKUP('Informe Kelly'!A436,Base!A:B,2,FALSE),"")</f>
        <v>10.869.222-7</v>
      </c>
      <c r="B443" s="65" t="str">
        <f>IFERROR(VLOOKUP('Informe Kelly'!A436,Base!A:G,7,FALSE),"")</f>
        <v>MADRID PINTO MARCO ANTONIO</v>
      </c>
      <c r="C443" s="69" t="str">
        <f>IF(G443=$C$4,IF('Informe Kelly'!H436='Control informe Kelly'!$A$2,TEXT(((LEFT('Informe Kelly'!E436,2)*1)+1),"dd")&amp;"."&amp;MID('Informe Kelly'!E436,4,2)&amp;"."&amp;RIGHT('Informe Kelly'!E436,4),'Informe Kelly'!E436),'Informe Kelly'!E436)</f>
        <v>15.04.2011</v>
      </c>
      <c r="D443" s="69" t="str">
        <f>IF('Informe Kelly'!E436="","",'Informe Kelly'!E436)</f>
        <v>15.04.2011</v>
      </c>
      <c r="E443" s="72">
        <f t="shared" si="13"/>
        <v>221</v>
      </c>
      <c r="F443" s="72" t="str">
        <f>IFERROR(HLOOKUP(C443,Ingreso!$Q$8:$AD$9,2,FALSE),"v")</f>
        <v>Viernes</v>
      </c>
      <c r="G443" s="65" t="str">
        <f>IFERROR(VLOOKUP(A443,Ingreso!K:P,6,FALSE),"no esta ingresado")</f>
        <v>Turno B</v>
      </c>
      <c r="H443" s="65">
        <f>IFERROR(IF('Informe Kelly'!H436=$A$2,'Informe Kelly'!F436,""),0)</f>
        <v>0.61910879629629634</v>
      </c>
      <c r="I443" s="65" t="str">
        <f>IFERROR(IF('Informe Kelly'!H436=$A$3,'Informe Kelly'!F436,""),0)</f>
        <v/>
      </c>
      <c r="J443" s="65" t="str">
        <f>IF(IFERROR(IF(E443=E442,0,(HLOOKUP(D443,Ingreso!$AN$10:$AT$260,VLOOKUP(A443,Ingreso!$AL$11:$AM$260,2,FALSE)))/24),0)=0,"",IFERROR(IF(E443=E442,0,(HLOOKUP(D443,Ingreso!$AN$10:$AT$260,VLOOKUP(A443,Ingreso!$AL$11:$AM$260,2,FALSE)))/24),0))</f>
        <v/>
      </c>
      <c r="K443" s="65" t="str">
        <f>IF(IFERROR(IF(E443=E442,0,(HLOOKUP(C443,Ingreso!$AW$10:$BC$260,VLOOKUP(A443,Ingreso!$AL$11:$AM$260,2,FALSE)))/24),0)=0,"",IFERROR(IF(E443=E442,0,(HLOOKUP(C443,Ingreso!$AW$10:$BC$260,VLOOKUP(A443,Ingreso!$AL$11:$AM$260,2,FALSE)))/24),0))</f>
        <v/>
      </c>
      <c r="L443" s="63">
        <f t="shared" si="12"/>
        <v>0</v>
      </c>
      <c r="M443" s="63" t="str">
        <f>IF(IFERROR(IF(C443=C441,0,IF(E443=E442,0,IF(C443=$R$2,HLOOKUP($R$2,Ingreso!$AW$10:$BC$260,VLOOKUP(A443,Ingreso!AL:AM,2,FALSE),FALSE)/24,""))),"")=0,"",IFERROR(IF(C443=C441,0,IF(E443=E442,0,IF(C443=$R$2,HLOOKUP($R$2,Ingreso!$AW$10:$BC$260,VLOOKUP(A443,Ingreso!AL:AM,2,FALSE),FALSE)/24,""))),""))</f>
        <v/>
      </c>
      <c r="N443" s="95" t="str">
        <f>IF(IFERROR(IF(C443=C441,0,IF(E443=E442,0,IF(C443=$R$3,HLOOKUP($R$3,Ingreso!$AW$10:$BC$260,VLOOKUP(A443,Ingreso!AL:AM,2,FALSE),FALSE)/24,""))),"")=0,"",IFERROR(IF(C443=C441,0,IF(E443=E442,0,IF(C443=$R$3,HLOOKUP($R$3,Ingreso!$AW$10:$BC$260,VLOOKUP(A443,Ingreso!AL:AM,2,FALSE),FALSE)/24,""))),""))</f>
        <v/>
      </c>
      <c r="O443" s="95" t="str">
        <f>IF(IFERROR(IF(C443=C441,0,IF(E443=E442,0,IF(C443=$R$4,HLOOKUP($R$4,Ingreso!$AW$10:$BC$260,VLOOKUP(A443,Ingreso!AL:AM,2,FALSE),FALSE)/24,""))),"")=0,"",IFERROR(IF(C443=C441,0,IF(E443=E442,0,IF(C443=$R$4,HLOOKUP($R$4,Ingreso!$AW$10:$BC$260,VLOOKUP(A443,Ingreso!AL:AM,2,FALSE),FALSE)/24,""))),""))</f>
        <v/>
      </c>
      <c r="P443" s="90"/>
      <c r="V443"/>
      <c r="W443"/>
      <c r="X443"/>
      <c r="Y443"/>
      <c r="Z443"/>
      <c r="AA443"/>
      <c r="AB443"/>
      <c r="AC443"/>
      <c r="AD443"/>
    </row>
    <row r="444" spans="1:33">
      <c r="A444" s="65" t="str">
        <f>IFERROR(VLOOKUP('Informe Kelly'!A437,Base!A:B,2,FALSE),"")</f>
        <v>10.869.222-7</v>
      </c>
      <c r="B444" s="65" t="str">
        <f>IFERROR(VLOOKUP('Informe Kelly'!A437,Base!A:G,7,FALSE),"")</f>
        <v>MADRID PINTO MARCO ANTONIO</v>
      </c>
      <c r="C444" s="69" t="str">
        <f>IF(G444=$C$4,IF('Informe Kelly'!H437='Control informe Kelly'!$A$2,TEXT(((LEFT('Informe Kelly'!E437,2)*1)+1),"dd")&amp;"."&amp;MID('Informe Kelly'!E437,4,2)&amp;"."&amp;RIGHT('Informe Kelly'!E437,4),'Informe Kelly'!E437),'Informe Kelly'!E437)</f>
        <v>16.04.2011</v>
      </c>
      <c r="D444" s="69" t="str">
        <f>IF('Informe Kelly'!E437="","",'Informe Kelly'!E437)</f>
        <v>16.04.2011</v>
      </c>
      <c r="E444" s="72">
        <f t="shared" si="13"/>
        <v>222</v>
      </c>
      <c r="F444" s="72" t="str">
        <f>IFERROR(HLOOKUP(C444,Ingreso!$Q$8:$AD$9,2,FALSE),"v")</f>
        <v>Sábado</v>
      </c>
      <c r="G444" s="65" t="str">
        <f>IFERROR(VLOOKUP(A444,Ingreso!K:P,6,FALSE),"no esta ingresado")</f>
        <v>Turno B</v>
      </c>
      <c r="H444" s="65" t="str">
        <f>IFERROR(IF('Informe Kelly'!H437=$A$2,'Informe Kelly'!F437,""),0)</f>
        <v/>
      </c>
      <c r="I444" s="65">
        <f>IFERROR(IF('Informe Kelly'!H437=$A$3,'Informe Kelly'!F437,""),0)</f>
        <v>0.93452546296296291</v>
      </c>
      <c r="J444" s="65" t="str">
        <f>IF(IFERROR(IF(E444=E443,0,(HLOOKUP(D444,Ingreso!$AN$10:$AT$260,VLOOKUP(A444,Ingreso!$AL$11:$AM$260,2,FALSE)))/24),0)=0,"",IFERROR(IF(E444=E443,0,(HLOOKUP(D444,Ingreso!$AN$10:$AT$260,VLOOKUP(A444,Ingreso!$AL$11:$AM$260,2,FALSE)))/24),0))</f>
        <v/>
      </c>
      <c r="K444" s="65" t="str">
        <f>IF(IFERROR(IF(E444=E443,0,(HLOOKUP(C444,Ingreso!$AW$10:$BC$260,VLOOKUP(A444,Ingreso!$AL$11:$AM$260,2,FALSE)))/24),0)=0,"",IFERROR(IF(E444=E443,0,(HLOOKUP(C444,Ingreso!$AW$10:$BC$260,VLOOKUP(A444,Ingreso!$AL$11:$AM$260,2,FALSE)))/24),0))</f>
        <v/>
      </c>
      <c r="L444" s="63">
        <f t="shared" si="12"/>
        <v>0.3125</v>
      </c>
      <c r="M444" s="63" t="str">
        <f>IF(IFERROR(IF(C444=C442,0,IF(E444=E443,0,IF(C444=$R$2,HLOOKUP($R$2,Ingreso!$AW$10:$BC$260,VLOOKUP(A444,Ingreso!AL:AM,2,FALSE),FALSE)/24,""))),"")=0,"",IFERROR(IF(C444=C442,0,IF(E444=E443,0,IF(C444=$R$2,HLOOKUP($R$2,Ingreso!$AW$10:$BC$260,VLOOKUP(A444,Ingreso!AL:AM,2,FALSE),FALSE)/24,""))),""))</f>
        <v/>
      </c>
      <c r="N444" s="95" t="str">
        <f>IF(IFERROR(IF(C444=C442,0,IF(E444=E443,0,IF(C444=$R$3,HLOOKUP($R$3,Ingreso!$AW$10:$BC$260,VLOOKUP(A444,Ingreso!AL:AM,2,FALSE),FALSE)/24,""))),"")=0,"",IFERROR(IF(C444=C442,0,IF(E444=E443,0,IF(C444=$R$3,HLOOKUP($R$3,Ingreso!$AW$10:$BC$260,VLOOKUP(A444,Ingreso!AL:AM,2,FALSE),FALSE)/24,""))),""))</f>
        <v/>
      </c>
      <c r="O444" s="95" t="str">
        <f>IF(IFERROR(IF(C444=C442,0,IF(E444=E443,0,IF(C444=$R$4,HLOOKUP($R$4,Ingreso!$AW$10:$BC$260,VLOOKUP(A444,Ingreso!AL:AM,2,FALSE),FALSE)/24,""))),"")=0,"",IFERROR(IF(C444=C442,0,IF(E444=E443,0,IF(C444=$R$4,HLOOKUP($R$4,Ingreso!$AW$10:$BC$260,VLOOKUP(A444,Ingreso!AL:AM,2,FALSE),FALSE)/24,""))),""))</f>
        <v/>
      </c>
      <c r="P444" s="90"/>
      <c r="V444"/>
      <c r="W444"/>
      <c r="X444"/>
      <c r="Y444"/>
      <c r="Z444"/>
      <c r="AA444"/>
      <c r="AB444"/>
      <c r="AC444"/>
      <c r="AD444"/>
    </row>
    <row r="445" spans="1:33">
      <c r="A445" s="65" t="str">
        <f>IFERROR(VLOOKUP('Informe Kelly'!A438,Base!A:B,2,FALSE),"")</f>
        <v>10.869.222-7</v>
      </c>
      <c r="B445" s="65" t="str">
        <f>IFERROR(VLOOKUP('Informe Kelly'!A438,Base!A:G,7,FALSE),"")</f>
        <v>MADRID PINTO MARCO ANTONIO</v>
      </c>
      <c r="C445" s="69" t="str">
        <f>IF(G445=$C$4,IF('Informe Kelly'!H438='Control informe Kelly'!$A$2,TEXT(((LEFT('Informe Kelly'!E438,2)*1)+1),"dd")&amp;"."&amp;MID('Informe Kelly'!E438,4,2)&amp;"."&amp;RIGHT('Informe Kelly'!E438,4),'Informe Kelly'!E438),'Informe Kelly'!E438)</f>
        <v>16.04.2011</v>
      </c>
      <c r="D445" s="69" t="str">
        <f>IF('Informe Kelly'!E438="","",'Informe Kelly'!E438)</f>
        <v>16.04.2011</v>
      </c>
      <c r="E445" s="72">
        <f t="shared" si="13"/>
        <v>222</v>
      </c>
      <c r="F445" s="72" t="str">
        <f>IFERROR(HLOOKUP(C445,Ingreso!$Q$8:$AD$9,2,FALSE),"v")</f>
        <v>Sábado</v>
      </c>
      <c r="G445" s="65" t="str">
        <f>IFERROR(VLOOKUP(A445,Ingreso!K:P,6,FALSE),"no esta ingresado")</f>
        <v>Turno B</v>
      </c>
      <c r="H445" s="65">
        <f>IFERROR(IF('Informe Kelly'!H438=$A$2,'Informe Kelly'!F438,""),0)</f>
        <v>0.60996527777777776</v>
      </c>
      <c r="I445" s="65" t="str">
        <f>IFERROR(IF('Informe Kelly'!H438=$A$3,'Informe Kelly'!F438,""),0)</f>
        <v/>
      </c>
      <c r="J445" s="65" t="str">
        <f>IF(IFERROR(IF(E445=E444,0,(HLOOKUP(D445,Ingreso!$AN$10:$AT$260,VLOOKUP(A445,Ingreso!$AL$11:$AM$260,2,FALSE)))/24),0)=0,"",IFERROR(IF(E445=E444,0,(HLOOKUP(D445,Ingreso!$AN$10:$AT$260,VLOOKUP(A445,Ingreso!$AL$11:$AM$260,2,FALSE)))/24),0))</f>
        <v/>
      </c>
      <c r="K445" s="65" t="str">
        <f>IF(IFERROR(IF(E445=E444,0,(HLOOKUP(C445,Ingreso!$AW$10:$BC$260,VLOOKUP(A445,Ingreso!$AL$11:$AM$260,2,FALSE)))/24),0)=0,"",IFERROR(IF(E445=E444,0,(HLOOKUP(C445,Ingreso!$AW$10:$BC$260,VLOOKUP(A445,Ingreso!$AL$11:$AM$260,2,FALSE)))/24),0))</f>
        <v/>
      </c>
      <c r="L445" s="63">
        <f t="shared" si="12"/>
        <v>0</v>
      </c>
      <c r="M445" s="63" t="str">
        <f>IF(IFERROR(IF(C445=C443,0,IF(E445=E444,0,IF(C445=$R$2,HLOOKUP($R$2,Ingreso!$AW$10:$BC$260,VLOOKUP(A445,Ingreso!AL:AM,2,FALSE),FALSE)/24,""))),"")=0,"",IFERROR(IF(C445=C443,0,IF(E445=E444,0,IF(C445=$R$2,HLOOKUP($R$2,Ingreso!$AW$10:$BC$260,VLOOKUP(A445,Ingreso!AL:AM,2,FALSE),FALSE)/24,""))),""))</f>
        <v/>
      </c>
      <c r="N445" s="95" t="str">
        <f>IF(IFERROR(IF(C445=C443,0,IF(E445=E444,0,IF(C445=$R$3,HLOOKUP($R$3,Ingreso!$AW$10:$BC$260,VLOOKUP(A445,Ingreso!AL:AM,2,FALSE),FALSE)/24,""))),"")=0,"",IFERROR(IF(C445=C443,0,IF(E445=E444,0,IF(C445=$R$3,HLOOKUP($R$3,Ingreso!$AW$10:$BC$260,VLOOKUP(A445,Ingreso!AL:AM,2,FALSE),FALSE)/24,""))),""))</f>
        <v/>
      </c>
      <c r="O445" s="95" t="str">
        <f>IF(IFERROR(IF(C445=C443,0,IF(E445=E444,0,IF(C445=$R$4,HLOOKUP($R$4,Ingreso!$AW$10:$BC$260,VLOOKUP(A445,Ingreso!AL:AM,2,FALSE),FALSE)/24,""))),"")=0,"",IFERROR(IF(C445=C443,0,IF(E445=E444,0,IF(C445=$R$4,HLOOKUP($R$4,Ingreso!$AW$10:$BC$260,VLOOKUP(A445,Ingreso!AL:AM,2,FALSE),FALSE)/24,""))),""))</f>
        <v/>
      </c>
      <c r="P445" s="90"/>
      <c r="V445"/>
      <c r="W445"/>
      <c r="X445"/>
      <c r="Y445"/>
      <c r="Z445"/>
      <c r="AA445"/>
      <c r="AB445"/>
      <c r="AC445"/>
      <c r="AD445"/>
    </row>
    <row r="446" spans="1:33">
      <c r="A446" s="65" t="str">
        <f>IFERROR(VLOOKUP('Informe Kelly'!A439,Base!A:B,2,FALSE),"")</f>
        <v>10.970.380-K</v>
      </c>
      <c r="B446" s="65" t="str">
        <f>IFERROR(VLOOKUP('Informe Kelly'!A439,Base!A:G,7,FALSE),"")</f>
        <v>LEIVA MUÑOZ JUAN ENRIQUE</v>
      </c>
      <c r="C446" s="69" t="str">
        <f>IF(G446=$C$4,IF('Informe Kelly'!H439='Control informe Kelly'!$A$2,TEXT(((LEFT('Informe Kelly'!E439,2)*1)+1),"dd")&amp;"."&amp;MID('Informe Kelly'!E439,4,2)&amp;"."&amp;RIGHT('Informe Kelly'!E439,4),'Informe Kelly'!E439),'Informe Kelly'!E439)</f>
        <v>12.04.2011</v>
      </c>
      <c r="D446" s="69" t="str">
        <f>IF('Informe Kelly'!E439="","",'Informe Kelly'!E439)</f>
        <v>11.04.2011</v>
      </c>
      <c r="E446" s="72">
        <f t="shared" si="13"/>
        <v>223</v>
      </c>
      <c r="F446" s="72" t="str">
        <f>IFERROR(HLOOKUP(C446,Ingreso!$Q$8:$AD$9,2,FALSE),"v")</f>
        <v>Martes</v>
      </c>
      <c r="G446" s="65" t="str">
        <f>IFERROR(VLOOKUP(A446,Ingreso!K:P,6,FALSE),"no esta ingresado")</f>
        <v>Turno C</v>
      </c>
      <c r="H446" s="65">
        <f>IFERROR(IF('Informe Kelly'!H439=$A$2,'Informe Kelly'!F439,""),0)</f>
        <v>0.92774305555555558</v>
      </c>
      <c r="I446" s="65" t="str">
        <f>IFERROR(IF('Informe Kelly'!H439=$A$3,'Informe Kelly'!F439,""),0)</f>
        <v/>
      </c>
      <c r="J446" s="65" t="str">
        <f>IF(IFERROR(IF(E446=E445,0,(HLOOKUP(D446,Ingreso!$AN$10:$AT$260,VLOOKUP(A446,Ingreso!$AL$11:$AM$260,2,FALSE)))/24),0)=0,"",IFERROR(IF(E446=E445,0,(HLOOKUP(D446,Ingreso!$AN$10:$AT$260,VLOOKUP(A446,Ingreso!$AL$11:$AM$260,2,FALSE)))/24),0))</f>
        <v/>
      </c>
      <c r="K446" s="65" t="str">
        <f>IF(IFERROR(IF(E446=E445,0,(HLOOKUP(C446,Ingreso!$AW$10:$BC$260,VLOOKUP(A446,Ingreso!$AL$11:$AM$260,2,FALSE)))/24),0)=0,"",IFERROR(IF(E446=E445,0,(HLOOKUP(C446,Ingreso!$AW$10:$BC$260,VLOOKUP(A446,Ingreso!$AL$11:$AM$260,2,FALSE)))/24),0))</f>
        <v/>
      </c>
      <c r="L446" s="63">
        <f t="shared" si="12"/>
        <v>0.375</v>
      </c>
      <c r="M446" s="63" t="str">
        <f>IF(IFERROR(IF(C446=C444,0,IF(E446=E445,0,IF(C446=$R$2,HLOOKUP($R$2,Ingreso!$AW$10:$BC$260,VLOOKUP(A446,Ingreso!AL:AM,2,FALSE),FALSE)/24,""))),"")=0,"",IFERROR(IF(C446=C444,0,IF(E446=E445,0,IF(C446=$R$2,HLOOKUP($R$2,Ingreso!$AW$10:$BC$260,VLOOKUP(A446,Ingreso!AL:AM,2,FALSE),FALSE)/24,""))),""))</f>
        <v/>
      </c>
      <c r="N446" s="95" t="str">
        <f>IF(IFERROR(IF(C446=C444,0,IF(E446=E445,0,IF(C446=$R$3,HLOOKUP($R$3,Ingreso!$AW$10:$BC$260,VLOOKUP(A446,Ingreso!AL:AM,2,FALSE),FALSE)/24,""))),"")=0,"",IFERROR(IF(C446=C444,0,IF(E446=E445,0,IF(C446=$R$3,HLOOKUP($R$3,Ingreso!$AW$10:$BC$260,VLOOKUP(A446,Ingreso!AL:AM,2,FALSE),FALSE)/24,""))),""))</f>
        <v/>
      </c>
      <c r="O446" s="95" t="str">
        <f>IF(IFERROR(IF(C446=C444,0,IF(E446=E445,0,IF(C446=$R$4,HLOOKUP($R$4,Ingreso!$AW$10:$BC$260,VLOOKUP(A446,Ingreso!AL:AM,2,FALSE),FALSE)/24,""))),"")=0,"",IFERROR(IF(C446=C444,0,IF(E446=E445,0,IF(C446=$R$4,HLOOKUP($R$4,Ingreso!$AW$10:$BC$260,VLOOKUP(A446,Ingreso!AL:AM,2,FALSE),FALSE)/24,""))),""))</f>
        <v/>
      </c>
      <c r="P446" s="90"/>
      <c r="V446"/>
      <c r="W446"/>
      <c r="X446"/>
      <c r="Y446"/>
      <c r="Z446"/>
      <c r="AA446"/>
      <c r="AB446"/>
      <c r="AC446"/>
      <c r="AD446"/>
    </row>
    <row r="447" spans="1:33">
      <c r="A447" s="65" t="str">
        <f>IFERROR(VLOOKUP('Informe Kelly'!A440,Base!A:B,2,FALSE),"")</f>
        <v>10.970.380-K</v>
      </c>
      <c r="B447" s="65" t="str">
        <f>IFERROR(VLOOKUP('Informe Kelly'!A440,Base!A:G,7,FALSE),"")</f>
        <v>LEIVA MUÑOZ JUAN ENRIQUE</v>
      </c>
      <c r="C447" s="69" t="str">
        <f>IF(G447=$C$4,IF('Informe Kelly'!H440='Control informe Kelly'!$A$2,TEXT(((LEFT('Informe Kelly'!E440,2)*1)+1),"dd")&amp;"."&amp;MID('Informe Kelly'!E440,4,2)&amp;"."&amp;RIGHT('Informe Kelly'!E440,4),'Informe Kelly'!E440),'Informe Kelly'!E440)</f>
        <v>12.04.2011</v>
      </c>
      <c r="D447" s="69" t="str">
        <f>IF('Informe Kelly'!E440="","",'Informe Kelly'!E440)</f>
        <v>12.04.2011</v>
      </c>
      <c r="E447" s="72">
        <f t="shared" si="13"/>
        <v>223</v>
      </c>
      <c r="F447" s="72" t="str">
        <f>IFERROR(HLOOKUP(C447,Ingreso!$Q$8:$AD$9,2,FALSE),"v")</f>
        <v>Martes</v>
      </c>
      <c r="G447" s="65" t="str">
        <f>IFERROR(VLOOKUP(A447,Ingreso!K:P,6,FALSE),"no esta ingresado")</f>
        <v>Turno C</v>
      </c>
      <c r="H447" s="65" t="str">
        <f>IFERROR(IF('Informe Kelly'!H440=$A$2,'Informe Kelly'!F440,""),0)</f>
        <v/>
      </c>
      <c r="I447" s="65">
        <f>IFERROR(IF('Informe Kelly'!H440=$A$3,'Informe Kelly'!F440,""),0)</f>
        <v>0.31631944444444443</v>
      </c>
      <c r="J447" s="65" t="str">
        <f>IF(IFERROR(IF(E447=E446,0,(HLOOKUP(D447,Ingreso!$AN$10:$AT$260,VLOOKUP(A447,Ingreso!$AL$11:$AM$260,2,FALSE)))/24),0)=0,"",IFERROR(IF(E447=E446,0,(HLOOKUP(D447,Ingreso!$AN$10:$AT$260,VLOOKUP(A447,Ingreso!$AL$11:$AM$260,2,FALSE)))/24),0))</f>
        <v/>
      </c>
      <c r="K447" s="65" t="str">
        <f>IF(IFERROR(IF(E447=E446,0,(HLOOKUP(C447,Ingreso!$AW$10:$BC$260,VLOOKUP(A447,Ingreso!$AL$11:$AM$260,2,FALSE)))/24),0)=0,"",IFERROR(IF(E447=E446,0,(HLOOKUP(C447,Ingreso!$AW$10:$BC$260,VLOOKUP(A447,Ingreso!$AL$11:$AM$260,2,FALSE)))/24),0))</f>
        <v/>
      </c>
      <c r="L447" s="63">
        <f t="shared" si="12"/>
        <v>0</v>
      </c>
      <c r="M447" s="63" t="str">
        <f>IF(IFERROR(IF(C447=C445,0,IF(E447=E446,0,IF(C447=$R$2,HLOOKUP($R$2,Ingreso!$AW$10:$BC$260,VLOOKUP(A447,Ingreso!AL:AM,2,FALSE),FALSE)/24,""))),"")=0,"",IFERROR(IF(C447=C445,0,IF(E447=E446,0,IF(C447=$R$2,HLOOKUP($R$2,Ingreso!$AW$10:$BC$260,VLOOKUP(A447,Ingreso!AL:AM,2,FALSE),FALSE)/24,""))),""))</f>
        <v/>
      </c>
      <c r="N447" s="95" t="str">
        <f>IF(IFERROR(IF(C447=C445,0,IF(E447=E446,0,IF(C447=$R$3,HLOOKUP($R$3,Ingreso!$AW$10:$BC$260,VLOOKUP(A447,Ingreso!AL:AM,2,FALSE),FALSE)/24,""))),"")=0,"",IFERROR(IF(C447=C445,0,IF(E447=E446,0,IF(C447=$R$3,HLOOKUP($R$3,Ingreso!$AW$10:$BC$260,VLOOKUP(A447,Ingreso!AL:AM,2,FALSE),FALSE)/24,""))),""))</f>
        <v/>
      </c>
      <c r="O447" s="95" t="str">
        <f>IF(IFERROR(IF(C447=C445,0,IF(E447=E446,0,IF(C447=$R$4,HLOOKUP($R$4,Ingreso!$AW$10:$BC$260,VLOOKUP(A447,Ingreso!AL:AM,2,FALSE),FALSE)/24,""))),"")=0,"",IFERROR(IF(C447=C445,0,IF(E447=E446,0,IF(C447=$R$4,HLOOKUP($R$4,Ingreso!$AW$10:$BC$260,VLOOKUP(A447,Ingreso!AL:AM,2,FALSE),FALSE)/24,""))),""))</f>
        <v/>
      </c>
      <c r="P447" s="90"/>
      <c r="V447"/>
      <c r="W447"/>
      <c r="X447"/>
      <c r="Y447"/>
      <c r="Z447"/>
      <c r="AA447"/>
      <c r="AB447"/>
      <c r="AC447"/>
      <c r="AD447"/>
    </row>
    <row r="448" spans="1:33">
      <c r="A448" s="65" t="str">
        <f>IFERROR(VLOOKUP('Informe Kelly'!A441,Base!A:B,2,FALSE),"")</f>
        <v>10.970.380-K</v>
      </c>
      <c r="B448" s="65" t="str">
        <f>IFERROR(VLOOKUP('Informe Kelly'!A441,Base!A:G,7,FALSE),"")</f>
        <v>LEIVA MUÑOZ JUAN ENRIQUE</v>
      </c>
      <c r="C448" s="69" t="str">
        <f>IF(G448=$C$4,IF('Informe Kelly'!H441='Control informe Kelly'!$A$2,TEXT(((LEFT('Informe Kelly'!E441,2)*1)+1),"dd")&amp;"."&amp;MID('Informe Kelly'!E441,4,2)&amp;"."&amp;RIGHT('Informe Kelly'!E441,4),'Informe Kelly'!E441),'Informe Kelly'!E441)</f>
        <v>13.04.2011</v>
      </c>
      <c r="D448" s="69" t="str">
        <f>IF('Informe Kelly'!E441="","",'Informe Kelly'!E441)</f>
        <v>12.04.2011</v>
      </c>
      <c r="E448" s="72">
        <f t="shared" si="13"/>
        <v>224</v>
      </c>
      <c r="F448" s="72" t="str">
        <f>IFERROR(HLOOKUP(C448,Ingreso!$Q$8:$AD$9,2,FALSE),"v")</f>
        <v>Miércoles</v>
      </c>
      <c r="G448" s="65" t="str">
        <f>IFERROR(VLOOKUP(A448,Ingreso!K:P,6,FALSE),"no esta ingresado")</f>
        <v>Turno C</v>
      </c>
      <c r="H448" s="65">
        <f>IFERROR(IF('Informe Kelly'!H441=$A$2,'Informe Kelly'!F441,""),0)</f>
        <v>0.92920138888888892</v>
      </c>
      <c r="I448" s="65" t="str">
        <f>IFERROR(IF('Informe Kelly'!H441=$A$3,'Informe Kelly'!F441,""),0)</f>
        <v/>
      </c>
      <c r="J448" s="65" t="str">
        <f>IF(IFERROR(IF(E448=E447,0,(HLOOKUP(D448,Ingreso!$AN$10:$AT$260,VLOOKUP(A448,Ingreso!$AL$11:$AM$260,2,FALSE)))/24),0)=0,"",IFERROR(IF(E448=E447,0,(HLOOKUP(D448,Ingreso!$AN$10:$AT$260,VLOOKUP(A448,Ingreso!$AL$11:$AM$260,2,FALSE)))/24),0))</f>
        <v/>
      </c>
      <c r="K448" s="65" t="str">
        <f>IF(IFERROR(IF(E448=E447,0,(HLOOKUP(C448,Ingreso!$AW$10:$BC$260,VLOOKUP(A448,Ingreso!$AL$11:$AM$260,2,FALSE)))/24),0)=0,"",IFERROR(IF(E448=E447,0,(HLOOKUP(C448,Ingreso!$AW$10:$BC$260,VLOOKUP(A448,Ingreso!$AL$11:$AM$260,2,FALSE)))/24),0))</f>
        <v/>
      </c>
      <c r="L448" s="63">
        <f t="shared" si="12"/>
        <v>0.375</v>
      </c>
      <c r="M448" s="63" t="str">
        <f>IF(IFERROR(IF(C448=C446,0,IF(E448=E447,0,IF(C448=$R$2,HLOOKUP($R$2,Ingreso!$AW$10:$BC$260,VLOOKUP(A448,Ingreso!AL:AM,2,FALSE),FALSE)/24,""))),"")=0,"",IFERROR(IF(C448=C446,0,IF(E448=E447,0,IF(C448=$R$2,HLOOKUP($R$2,Ingreso!$AW$10:$BC$260,VLOOKUP(A448,Ingreso!AL:AM,2,FALSE),FALSE)/24,""))),""))</f>
        <v/>
      </c>
      <c r="N448" s="95" t="str">
        <f>IF(IFERROR(IF(C448=C446,0,IF(E448=E447,0,IF(C448=$R$3,HLOOKUP($R$3,Ingreso!$AW$10:$BC$260,VLOOKUP(A448,Ingreso!AL:AM,2,FALSE),FALSE)/24,""))),"")=0,"",IFERROR(IF(C448=C446,0,IF(E448=E447,0,IF(C448=$R$3,HLOOKUP($R$3,Ingreso!$AW$10:$BC$260,VLOOKUP(A448,Ingreso!AL:AM,2,FALSE),FALSE)/24,""))),""))</f>
        <v/>
      </c>
      <c r="O448" s="95" t="str">
        <f>IF(IFERROR(IF(C448=C446,0,IF(E448=E447,0,IF(C448=$R$4,HLOOKUP($R$4,Ingreso!$AW$10:$BC$260,VLOOKUP(A448,Ingreso!AL:AM,2,FALSE),FALSE)/24,""))),"")=0,"",IFERROR(IF(C448=C446,0,IF(E448=E447,0,IF(C448=$R$4,HLOOKUP($R$4,Ingreso!$AW$10:$BC$260,VLOOKUP(A448,Ingreso!AL:AM,2,FALSE),FALSE)/24,""))),""))</f>
        <v/>
      </c>
      <c r="P448" s="90"/>
      <c r="V448"/>
      <c r="W448"/>
      <c r="X448"/>
      <c r="Y448"/>
      <c r="Z448"/>
      <c r="AA448"/>
      <c r="AB448"/>
      <c r="AC448"/>
      <c r="AD448"/>
    </row>
    <row r="449" spans="1:30">
      <c r="A449" s="65" t="str">
        <f>IFERROR(VLOOKUP('Informe Kelly'!A442,Base!A:B,2,FALSE),"")</f>
        <v>10.970.380-K</v>
      </c>
      <c r="B449" s="65" t="str">
        <f>IFERROR(VLOOKUP('Informe Kelly'!A442,Base!A:G,7,FALSE),"")</f>
        <v>LEIVA MUÑOZ JUAN ENRIQUE</v>
      </c>
      <c r="C449" s="69" t="str">
        <f>IF(G449=$C$4,IF('Informe Kelly'!H442='Control informe Kelly'!$A$2,TEXT(((LEFT('Informe Kelly'!E442,2)*1)+1),"dd")&amp;"."&amp;MID('Informe Kelly'!E442,4,2)&amp;"."&amp;RIGHT('Informe Kelly'!E442,4),'Informe Kelly'!E442),'Informe Kelly'!E442)</f>
        <v>13.04.2011</v>
      </c>
      <c r="D449" s="69" t="str">
        <f>IF('Informe Kelly'!E442="","",'Informe Kelly'!E442)</f>
        <v>13.04.2011</v>
      </c>
      <c r="E449" s="72">
        <f t="shared" si="13"/>
        <v>224</v>
      </c>
      <c r="F449" s="72" t="str">
        <f>IFERROR(HLOOKUP(C449,Ingreso!$Q$8:$AD$9,2,FALSE),"v")</f>
        <v>Miércoles</v>
      </c>
      <c r="G449" s="65" t="str">
        <f>IFERROR(VLOOKUP(A449,Ingreso!K:P,6,FALSE),"no esta ingresado")</f>
        <v>Turno C</v>
      </c>
      <c r="H449" s="65" t="str">
        <f>IFERROR(IF('Informe Kelly'!H442=$A$2,'Informe Kelly'!F442,""),0)</f>
        <v/>
      </c>
      <c r="I449" s="65">
        <f>IFERROR(IF('Informe Kelly'!H442=$A$3,'Informe Kelly'!F442,""),0)</f>
        <v>0.31649305555555557</v>
      </c>
      <c r="J449" s="65" t="str">
        <f>IF(IFERROR(IF(E449=E448,0,(HLOOKUP(D449,Ingreso!$AN$10:$AT$260,VLOOKUP(A449,Ingreso!$AL$11:$AM$260,2,FALSE)))/24),0)=0,"",IFERROR(IF(E449=E448,0,(HLOOKUP(D449,Ingreso!$AN$10:$AT$260,VLOOKUP(A449,Ingreso!$AL$11:$AM$260,2,FALSE)))/24),0))</f>
        <v/>
      </c>
      <c r="K449" s="65" t="str">
        <f>IF(IFERROR(IF(E449=E448,0,(HLOOKUP(C449,Ingreso!$AW$10:$BC$260,VLOOKUP(A449,Ingreso!$AL$11:$AM$260,2,FALSE)))/24),0)=0,"",IFERROR(IF(E449=E448,0,(HLOOKUP(C449,Ingreso!$AW$10:$BC$260,VLOOKUP(A449,Ingreso!$AL$11:$AM$260,2,FALSE)))/24),0))</f>
        <v/>
      </c>
      <c r="L449" s="63">
        <f t="shared" si="12"/>
        <v>0</v>
      </c>
      <c r="M449" s="63" t="str">
        <f>IF(IFERROR(IF(C449=C447,0,IF(E449=E448,0,IF(C449=$R$2,HLOOKUP($R$2,Ingreso!$AW$10:$BC$260,VLOOKUP(A449,Ingreso!AL:AM,2,FALSE),FALSE)/24,""))),"")=0,"",IFERROR(IF(C449=C447,0,IF(E449=E448,0,IF(C449=$R$2,HLOOKUP($R$2,Ingreso!$AW$10:$BC$260,VLOOKUP(A449,Ingreso!AL:AM,2,FALSE),FALSE)/24,""))),""))</f>
        <v/>
      </c>
      <c r="N449" s="95" t="str">
        <f>IF(IFERROR(IF(C449=C447,0,IF(E449=E448,0,IF(C449=$R$3,HLOOKUP($R$3,Ingreso!$AW$10:$BC$260,VLOOKUP(A449,Ingreso!AL:AM,2,FALSE),FALSE)/24,""))),"")=0,"",IFERROR(IF(C449=C447,0,IF(E449=E448,0,IF(C449=$R$3,HLOOKUP($R$3,Ingreso!$AW$10:$BC$260,VLOOKUP(A449,Ingreso!AL:AM,2,FALSE),FALSE)/24,""))),""))</f>
        <v/>
      </c>
      <c r="O449" s="95" t="str">
        <f>IF(IFERROR(IF(C449=C447,0,IF(E449=E448,0,IF(C449=$R$4,HLOOKUP($R$4,Ingreso!$AW$10:$BC$260,VLOOKUP(A449,Ingreso!AL:AM,2,FALSE),FALSE)/24,""))),"")=0,"",IFERROR(IF(C449=C447,0,IF(E449=E448,0,IF(C449=$R$4,HLOOKUP($R$4,Ingreso!$AW$10:$BC$260,VLOOKUP(A449,Ingreso!AL:AM,2,FALSE),FALSE)/24,""))),""))</f>
        <v/>
      </c>
      <c r="P449" s="90"/>
      <c r="V449"/>
      <c r="W449"/>
      <c r="X449"/>
      <c r="Y449"/>
      <c r="Z449"/>
      <c r="AA449"/>
      <c r="AB449"/>
      <c r="AC449"/>
      <c r="AD449"/>
    </row>
    <row r="450" spans="1:30">
      <c r="A450" s="65" t="str">
        <f>IFERROR(VLOOKUP('Informe Kelly'!A443,Base!A:B,2,FALSE),"")</f>
        <v>10.970.380-K</v>
      </c>
      <c r="B450" s="65" t="str">
        <f>IFERROR(VLOOKUP('Informe Kelly'!A443,Base!A:G,7,FALSE),"")</f>
        <v>LEIVA MUÑOZ JUAN ENRIQUE</v>
      </c>
      <c r="C450" s="69" t="str">
        <f>IF(G450=$C$4,IF('Informe Kelly'!H443='Control informe Kelly'!$A$2,TEXT(((LEFT('Informe Kelly'!E443,2)*1)+1),"dd")&amp;"."&amp;MID('Informe Kelly'!E443,4,2)&amp;"."&amp;RIGHT('Informe Kelly'!E443,4),'Informe Kelly'!E443),'Informe Kelly'!E443)</f>
        <v>14.04.2011</v>
      </c>
      <c r="D450" s="69" t="str">
        <f>IF('Informe Kelly'!E443="","",'Informe Kelly'!E443)</f>
        <v>13.04.2011</v>
      </c>
      <c r="E450" s="72">
        <f t="shared" si="13"/>
        <v>225</v>
      </c>
      <c r="F450" s="72" t="str">
        <f>IFERROR(HLOOKUP(C450,Ingreso!$Q$8:$AD$9,2,FALSE),"v")</f>
        <v>Jueves</v>
      </c>
      <c r="G450" s="65" t="str">
        <f>IFERROR(VLOOKUP(A450,Ingreso!K:P,6,FALSE),"no esta ingresado")</f>
        <v>Turno C</v>
      </c>
      <c r="H450" s="65">
        <f>IFERROR(IF('Informe Kelly'!H443=$A$2,'Informe Kelly'!F443,""),0)</f>
        <v>0.92723379629629632</v>
      </c>
      <c r="I450" s="65" t="str">
        <f>IFERROR(IF('Informe Kelly'!H443=$A$3,'Informe Kelly'!F443,""),0)</f>
        <v/>
      </c>
      <c r="J450" s="65" t="str">
        <f>IF(IFERROR(IF(E450=E449,0,(HLOOKUP(D450,Ingreso!$AN$10:$AT$260,VLOOKUP(A450,Ingreso!$AL$11:$AM$260,2,FALSE)))/24),0)=0,"",IFERROR(IF(E450=E449,0,(HLOOKUP(D450,Ingreso!$AN$10:$AT$260,VLOOKUP(A450,Ingreso!$AL$11:$AM$260,2,FALSE)))/24),0))</f>
        <v/>
      </c>
      <c r="K450" s="65" t="str">
        <f>IF(IFERROR(IF(E450=E449,0,(HLOOKUP(C450,Ingreso!$AW$10:$BC$260,VLOOKUP(A450,Ingreso!$AL$11:$AM$260,2,FALSE)))/24),0)=0,"",IFERROR(IF(E450=E449,0,(HLOOKUP(C450,Ingreso!$AW$10:$BC$260,VLOOKUP(A450,Ingreso!$AL$11:$AM$260,2,FALSE)))/24),0))</f>
        <v/>
      </c>
      <c r="L450" s="63">
        <f t="shared" si="12"/>
        <v>0.375</v>
      </c>
      <c r="M450" s="63" t="str">
        <f>IF(IFERROR(IF(C450=C448,0,IF(E450=E449,0,IF(C450=$R$2,HLOOKUP($R$2,Ingreso!$AW$10:$BC$260,VLOOKUP(A450,Ingreso!AL:AM,2,FALSE),FALSE)/24,""))),"")=0,"",IFERROR(IF(C450=C448,0,IF(E450=E449,0,IF(C450=$R$2,HLOOKUP($R$2,Ingreso!$AW$10:$BC$260,VLOOKUP(A450,Ingreso!AL:AM,2,FALSE),FALSE)/24,""))),""))</f>
        <v/>
      </c>
      <c r="N450" s="95" t="str">
        <f>IF(IFERROR(IF(C450=C448,0,IF(E450=E449,0,IF(C450=$R$3,HLOOKUP($R$3,Ingreso!$AW$10:$BC$260,VLOOKUP(A450,Ingreso!AL:AM,2,FALSE),FALSE)/24,""))),"")=0,"",IFERROR(IF(C450=C448,0,IF(E450=E449,0,IF(C450=$R$3,HLOOKUP($R$3,Ingreso!$AW$10:$BC$260,VLOOKUP(A450,Ingreso!AL:AM,2,FALSE),FALSE)/24,""))),""))</f>
        <v/>
      </c>
      <c r="O450" s="95" t="str">
        <f>IF(IFERROR(IF(C450=C448,0,IF(E450=E449,0,IF(C450=$R$4,HLOOKUP($R$4,Ingreso!$AW$10:$BC$260,VLOOKUP(A450,Ingreso!AL:AM,2,FALSE),FALSE)/24,""))),"")=0,"",IFERROR(IF(C450=C448,0,IF(E450=E449,0,IF(C450=$R$4,HLOOKUP($R$4,Ingreso!$AW$10:$BC$260,VLOOKUP(A450,Ingreso!AL:AM,2,FALSE),FALSE)/24,""))),""))</f>
        <v/>
      </c>
      <c r="P450" s="90"/>
      <c r="V450"/>
      <c r="W450"/>
      <c r="X450"/>
      <c r="Y450"/>
      <c r="Z450"/>
      <c r="AA450"/>
      <c r="AB450"/>
      <c r="AC450"/>
      <c r="AD450"/>
    </row>
    <row r="451" spans="1:30">
      <c r="A451" s="65" t="str">
        <f>IFERROR(VLOOKUP('Informe Kelly'!A444,Base!A:B,2,FALSE),"")</f>
        <v>10.970.380-K</v>
      </c>
      <c r="B451" s="65" t="str">
        <f>IFERROR(VLOOKUP('Informe Kelly'!A444,Base!A:G,7,FALSE),"")</f>
        <v>LEIVA MUÑOZ JUAN ENRIQUE</v>
      </c>
      <c r="C451" s="69" t="str">
        <f>IF(G451=$C$4,IF('Informe Kelly'!H444='Control informe Kelly'!$A$2,TEXT(((LEFT('Informe Kelly'!E444,2)*1)+1),"dd")&amp;"."&amp;MID('Informe Kelly'!E444,4,2)&amp;"."&amp;RIGHT('Informe Kelly'!E444,4),'Informe Kelly'!E444),'Informe Kelly'!E444)</f>
        <v>14.04.2011</v>
      </c>
      <c r="D451" s="69" t="str">
        <f>IF('Informe Kelly'!E444="","",'Informe Kelly'!E444)</f>
        <v>14.04.2011</v>
      </c>
      <c r="E451" s="72">
        <f t="shared" si="13"/>
        <v>225</v>
      </c>
      <c r="F451" s="72" t="str">
        <f>IFERROR(HLOOKUP(C451,Ingreso!$Q$8:$AD$9,2,FALSE),"v")</f>
        <v>Jueves</v>
      </c>
      <c r="G451" s="65" t="str">
        <f>IFERROR(VLOOKUP(A451,Ingreso!K:P,6,FALSE),"no esta ingresado")</f>
        <v>Turno C</v>
      </c>
      <c r="H451" s="65" t="str">
        <f>IFERROR(IF('Informe Kelly'!H444=$A$2,'Informe Kelly'!F444,""),0)</f>
        <v/>
      </c>
      <c r="I451" s="65">
        <f>IFERROR(IF('Informe Kelly'!H444=$A$3,'Informe Kelly'!F444,""),0)</f>
        <v>0.31503472222222223</v>
      </c>
      <c r="J451" s="65" t="str">
        <f>IF(IFERROR(IF(E451=E450,0,(HLOOKUP(D451,Ingreso!$AN$10:$AT$260,VLOOKUP(A451,Ingreso!$AL$11:$AM$260,2,FALSE)))/24),0)=0,"",IFERROR(IF(E451=E450,0,(HLOOKUP(D451,Ingreso!$AN$10:$AT$260,VLOOKUP(A451,Ingreso!$AL$11:$AM$260,2,FALSE)))/24),0))</f>
        <v/>
      </c>
      <c r="K451" s="65" t="str">
        <f>IF(IFERROR(IF(E451=E450,0,(HLOOKUP(C451,Ingreso!$AW$10:$BC$260,VLOOKUP(A451,Ingreso!$AL$11:$AM$260,2,FALSE)))/24),0)=0,"",IFERROR(IF(E451=E450,0,(HLOOKUP(C451,Ingreso!$AW$10:$BC$260,VLOOKUP(A451,Ingreso!$AL$11:$AM$260,2,FALSE)))/24),0))</f>
        <v/>
      </c>
      <c r="L451" s="63">
        <f t="shared" si="12"/>
        <v>0</v>
      </c>
      <c r="M451" s="63" t="str">
        <f>IF(IFERROR(IF(C451=C449,0,IF(E451=E450,0,IF(C451=$R$2,HLOOKUP($R$2,Ingreso!$AW$10:$BC$260,VLOOKUP(A451,Ingreso!AL:AM,2,FALSE),FALSE)/24,""))),"")=0,"",IFERROR(IF(C451=C449,0,IF(E451=E450,0,IF(C451=$R$2,HLOOKUP($R$2,Ingreso!$AW$10:$BC$260,VLOOKUP(A451,Ingreso!AL:AM,2,FALSE),FALSE)/24,""))),""))</f>
        <v/>
      </c>
      <c r="N451" s="95" t="str">
        <f>IF(IFERROR(IF(C451=C449,0,IF(E451=E450,0,IF(C451=$R$3,HLOOKUP($R$3,Ingreso!$AW$10:$BC$260,VLOOKUP(A451,Ingreso!AL:AM,2,FALSE),FALSE)/24,""))),"")=0,"",IFERROR(IF(C451=C449,0,IF(E451=E450,0,IF(C451=$R$3,HLOOKUP($R$3,Ingreso!$AW$10:$BC$260,VLOOKUP(A451,Ingreso!AL:AM,2,FALSE),FALSE)/24,""))),""))</f>
        <v/>
      </c>
      <c r="O451" s="95" t="str">
        <f>IF(IFERROR(IF(C451=C449,0,IF(E451=E450,0,IF(C451=$R$4,HLOOKUP($R$4,Ingreso!$AW$10:$BC$260,VLOOKUP(A451,Ingreso!AL:AM,2,FALSE),FALSE)/24,""))),"")=0,"",IFERROR(IF(C451=C449,0,IF(E451=E450,0,IF(C451=$R$4,HLOOKUP($R$4,Ingreso!$AW$10:$BC$260,VLOOKUP(A451,Ingreso!AL:AM,2,FALSE),FALSE)/24,""))),""))</f>
        <v/>
      </c>
      <c r="P451" s="90"/>
      <c r="V451"/>
      <c r="W451"/>
      <c r="X451"/>
      <c r="Y451"/>
      <c r="Z451"/>
      <c r="AA451"/>
      <c r="AB451"/>
      <c r="AC451"/>
      <c r="AD451"/>
    </row>
    <row r="452" spans="1:30">
      <c r="A452" s="65" t="str">
        <f>IFERROR(VLOOKUP('Informe Kelly'!A445,Base!A:B,2,FALSE),"")</f>
        <v>10.970.380-K</v>
      </c>
      <c r="B452" s="65" t="str">
        <f>IFERROR(VLOOKUP('Informe Kelly'!A445,Base!A:G,7,FALSE),"")</f>
        <v>LEIVA MUÑOZ JUAN ENRIQUE</v>
      </c>
      <c r="C452" s="69" t="str">
        <f>IF(G452=$C$4,IF('Informe Kelly'!H445='Control informe Kelly'!$A$2,TEXT(((LEFT('Informe Kelly'!E445,2)*1)+1),"dd")&amp;"."&amp;MID('Informe Kelly'!E445,4,2)&amp;"."&amp;RIGHT('Informe Kelly'!E445,4),'Informe Kelly'!E445),'Informe Kelly'!E445)</f>
        <v>15.04.2011</v>
      </c>
      <c r="D452" s="69" t="str">
        <f>IF('Informe Kelly'!E445="","",'Informe Kelly'!E445)</f>
        <v>14.04.2011</v>
      </c>
      <c r="E452" s="72">
        <f t="shared" si="13"/>
        <v>226</v>
      </c>
      <c r="F452" s="72" t="str">
        <f>IFERROR(HLOOKUP(C452,Ingreso!$Q$8:$AD$9,2,FALSE),"v")</f>
        <v>Viernes</v>
      </c>
      <c r="G452" s="65" t="str">
        <f>IFERROR(VLOOKUP(A452,Ingreso!K:P,6,FALSE),"no esta ingresado")</f>
        <v>Turno C</v>
      </c>
      <c r="H452" s="65">
        <f>IFERROR(IF('Informe Kelly'!H445=$A$2,'Informe Kelly'!F445,""),0)</f>
        <v>0.92983796296296306</v>
      </c>
      <c r="I452" s="65" t="str">
        <f>IFERROR(IF('Informe Kelly'!H445=$A$3,'Informe Kelly'!F445,""),0)</f>
        <v/>
      </c>
      <c r="J452" s="65" t="str">
        <f>IF(IFERROR(IF(E452=E451,0,(HLOOKUP(D452,Ingreso!$AN$10:$AT$260,VLOOKUP(A452,Ingreso!$AL$11:$AM$260,2,FALSE)))/24),0)=0,"",IFERROR(IF(E452=E451,0,(HLOOKUP(D452,Ingreso!$AN$10:$AT$260,VLOOKUP(A452,Ingreso!$AL$11:$AM$260,2,FALSE)))/24),0))</f>
        <v/>
      </c>
      <c r="K452" s="65" t="str">
        <f>IF(IFERROR(IF(E452=E451,0,(HLOOKUP(C452,Ingreso!$AW$10:$BC$260,VLOOKUP(A452,Ingreso!$AL$11:$AM$260,2,FALSE)))/24),0)=0,"",IFERROR(IF(E452=E451,0,(HLOOKUP(C452,Ingreso!$AW$10:$BC$260,VLOOKUP(A452,Ingreso!$AL$11:$AM$260,2,FALSE)))/24),0))</f>
        <v/>
      </c>
      <c r="L452" s="63">
        <f t="shared" si="12"/>
        <v>0.375</v>
      </c>
      <c r="M452" s="63" t="str">
        <f>IF(IFERROR(IF(C452=C450,0,IF(E452=E451,0,IF(C452=$R$2,HLOOKUP($R$2,Ingreso!$AW$10:$BC$260,VLOOKUP(A452,Ingreso!AL:AM,2,FALSE),FALSE)/24,""))),"")=0,"",IFERROR(IF(C452=C450,0,IF(E452=E451,0,IF(C452=$R$2,HLOOKUP($R$2,Ingreso!$AW$10:$BC$260,VLOOKUP(A452,Ingreso!AL:AM,2,FALSE),FALSE)/24,""))),""))</f>
        <v/>
      </c>
      <c r="N452" s="95" t="str">
        <f>IF(IFERROR(IF(C452=C450,0,IF(E452=E451,0,IF(C452=$R$3,HLOOKUP($R$3,Ingreso!$AW$10:$BC$260,VLOOKUP(A452,Ingreso!AL:AM,2,FALSE),FALSE)/24,""))),"")=0,"",IFERROR(IF(C452=C450,0,IF(E452=E451,0,IF(C452=$R$3,HLOOKUP($R$3,Ingreso!$AW$10:$BC$260,VLOOKUP(A452,Ingreso!AL:AM,2,FALSE),FALSE)/24,""))),""))</f>
        <v/>
      </c>
      <c r="O452" s="95" t="str">
        <f>IF(IFERROR(IF(C452=C450,0,IF(E452=E451,0,IF(C452=$R$4,HLOOKUP($R$4,Ingreso!$AW$10:$BC$260,VLOOKUP(A452,Ingreso!AL:AM,2,FALSE),FALSE)/24,""))),"")=0,"",IFERROR(IF(C452=C450,0,IF(E452=E451,0,IF(C452=$R$4,HLOOKUP($R$4,Ingreso!$AW$10:$BC$260,VLOOKUP(A452,Ingreso!AL:AM,2,FALSE),FALSE)/24,""))),""))</f>
        <v/>
      </c>
      <c r="P452" s="90"/>
      <c r="V452"/>
      <c r="W452"/>
      <c r="X452"/>
      <c r="Y452"/>
      <c r="Z452"/>
      <c r="AA452"/>
      <c r="AB452"/>
      <c r="AC452"/>
      <c r="AD452"/>
    </row>
    <row r="453" spans="1:30">
      <c r="A453" s="65" t="str">
        <f>IFERROR(VLOOKUP('Informe Kelly'!A446,Base!A:B,2,FALSE),"")</f>
        <v>10.970.380-K</v>
      </c>
      <c r="B453" s="65" t="str">
        <f>IFERROR(VLOOKUP('Informe Kelly'!A446,Base!A:G,7,FALSE),"")</f>
        <v>LEIVA MUÑOZ JUAN ENRIQUE</v>
      </c>
      <c r="C453" s="69" t="str">
        <f>IF(G453=$C$4,IF('Informe Kelly'!H446='Control informe Kelly'!$A$2,TEXT(((LEFT('Informe Kelly'!E446,2)*1)+1),"dd")&amp;"."&amp;MID('Informe Kelly'!E446,4,2)&amp;"."&amp;RIGHT('Informe Kelly'!E446,4),'Informe Kelly'!E446),'Informe Kelly'!E446)</f>
        <v>15.04.2011</v>
      </c>
      <c r="D453" s="69" t="str">
        <f>IF('Informe Kelly'!E446="","",'Informe Kelly'!E446)</f>
        <v>15.04.2011</v>
      </c>
      <c r="E453" s="72">
        <f t="shared" si="13"/>
        <v>226</v>
      </c>
      <c r="F453" s="72" t="str">
        <f>IFERROR(HLOOKUP(C453,Ingreso!$Q$8:$AD$9,2,FALSE),"v")</f>
        <v>Viernes</v>
      </c>
      <c r="G453" s="65" t="str">
        <f>IFERROR(VLOOKUP(A453,Ingreso!K:P,6,FALSE),"no esta ingresado")</f>
        <v>Turno C</v>
      </c>
      <c r="H453" s="65" t="str">
        <f>IFERROR(IF('Informe Kelly'!H446=$A$2,'Informe Kelly'!F446,""),0)</f>
        <v/>
      </c>
      <c r="I453" s="65">
        <f>IFERROR(IF('Informe Kelly'!H446=$A$3,'Informe Kelly'!F446,""),0)</f>
        <v>0.31793981481481481</v>
      </c>
      <c r="J453" s="65" t="str">
        <f>IF(IFERROR(IF(E453=E452,0,(HLOOKUP(D453,Ingreso!$AN$10:$AT$260,VLOOKUP(A453,Ingreso!$AL$11:$AM$260,2,FALSE)))/24),0)=0,"",IFERROR(IF(E453=E452,0,(HLOOKUP(D453,Ingreso!$AN$10:$AT$260,VLOOKUP(A453,Ingreso!$AL$11:$AM$260,2,FALSE)))/24),0))</f>
        <v/>
      </c>
      <c r="K453" s="65" t="str">
        <f>IF(IFERROR(IF(E453=E452,0,(HLOOKUP(C453,Ingreso!$AW$10:$BC$260,VLOOKUP(A453,Ingreso!$AL$11:$AM$260,2,FALSE)))/24),0)=0,"",IFERROR(IF(E453=E452,0,(HLOOKUP(C453,Ingreso!$AW$10:$BC$260,VLOOKUP(A453,Ingreso!$AL$11:$AM$260,2,FALSE)))/24),0))</f>
        <v/>
      </c>
      <c r="L453" s="63">
        <f t="shared" si="12"/>
        <v>0</v>
      </c>
      <c r="M453" s="63" t="str">
        <f>IF(IFERROR(IF(C453=C451,0,IF(E453=E452,0,IF(C453=$R$2,HLOOKUP($R$2,Ingreso!$AW$10:$BC$260,VLOOKUP(A453,Ingreso!AL:AM,2,FALSE),FALSE)/24,""))),"")=0,"",IFERROR(IF(C453=C451,0,IF(E453=E452,0,IF(C453=$R$2,HLOOKUP($R$2,Ingreso!$AW$10:$BC$260,VLOOKUP(A453,Ingreso!AL:AM,2,FALSE),FALSE)/24,""))),""))</f>
        <v/>
      </c>
      <c r="N453" s="95" t="str">
        <f>IF(IFERROR(IF(C453=C451,0,IF(E453=E452,0,IF(C453=$R$3,HLOOKUP($R$3,Ingreso!$AW$10:$BC$260,VLOOKUP(A453,Ingreso!AL:AM,2,FALSE),FALSE)/24,""))),"")=0,"",IFERROR(IF(C453=C451,0,IF(E453=E452,0,IF(C453=$R$3,HLOOKUP($R$3,Ingreso!$AW$10:$BC$260,VLOOKUP(A453,Ingreso!AL:AM,2,FALSE),FALSE)/24,""))),""))</f>
        <v/>
      </c>
      <c r="O453" s="95" t="str">
        <f>IF(IFERROR(IF(C453=C451,0,IF(E453=E452,0,IF(C453=$R$4,HLOOKUP($R$4,Ingreso!$AW$10:$BC$260,VLOOKUP(A453,Ingreso!AL:AM,2,FALSE),FALSE)/24,""))),"")=0,"",IFERROR(IF(C453=C451,0,IF(E453=E452,0,IF(C453=$R$4,HLOOKUP($R$4,Ingreso!$AW$10:$BC$260,VLOOKUP(A453,Ingreso!AL:AM,2,FALSE),FALSE)/24,""))),""))</f>
        <v/>
      </c>
      <c r="P453" s="90"/>
      <c r="V453"/>
      <c r="W453"/>
      <c r="X453"/>
      <c r="Y453"/>
      <c r="Z453"/>
      <c r="AA453"/>
      <c r="AB453"/>
      <c r="AC453"/>
      <c r="AD453"/>
    </row>
    <row r="454" spans="1:30">
      <c r="A454" s="65" t="str">
        <f>IFERROR(VLOOKUP('Informe Kelly'!A447,Base!A:B,2,FALSE),"")</f>
        <v>10.970.380-K</v>
      </c>
      <c r="B454" s="65" t="str">
        <f>IFERROR(VLOOKUP('Informe Kelly'!A447,Base!A:G,7,FALSE),"")</f>
        <v>LEIVA MUÑOZ JUAN ENRIQUE</v>
      </c>
      <c r="C454" s="69" t="str">
        <f>IF(G454=$C$4,IF('Informe Kelly'!H447='Control informe Kelly'!$A$2,TEXT(((LEFT('Informe Kelly'!E447,2)*1)+1),"dd")&amp;"."&amp;MID('Informe Kelly'!E447,4,2)&amp;"."&amp;RIGHT('Informe Kelly'!E447,4),'Informe Kelly'!E447),'Informe Kelly'!E447)</f>
        <v>16.04.2011</v>
      </c>
      <c r="D454" s="69" t="str">
        <f>IF('Informe Kelly'!E447="","",'Informe Kelly'!E447)</f>
        <v>15.04.2011</v>
      </c>
      <c r="E454" s="72">
        <f t="shared" si="13"/>
        <v>227</v>
      </c>
      <c r="F454" s="72" t="str">
        <f>IFERROR(HLOOKUP(C454,Ingreso!$Q$8:$AD$9,2,FALSE),"v")</f>
        <v>Sábado</v>
      </c>
      <c r="G454" s="65" t="str">
        <f>IFERROR(VLOOKUP(A454,Ingreso!K:P,6,FALSE),"no esta ingresado")</f>
        <v>Turno C</v>
      </c>
      <c r="H454" s="65">
        <f>IFERROR(IF('Informe Kelly'!H447=$A$2,'Informe Kelly'!F447,""),0)</f>
        <v>0.92983796296296306</v>
      </c>
      <c r="I454" s="65" t="str">
        <f>IFERROR(IF('Informe Kelly'!H447=$A$3,'Informe Kelly'!F447,""),0)</f>
        <v/>
      </c>
      <c r="J454" s="65" t="str">
        <f>IF(IFERROR(IF(E454=E453,0,(HLOOKUP(D454,Ingreso!$AN$10:$AT$260,VLOOKUP(A454,Ingreso!$AL$11:$AM$260,2,FALSE)))/24),0)=0,"",IFERROR(IF(E454=E453,0,(HLOOKUP(D454,Ingreso!$AN$10:$AT$260,VLOOKUP(A454,Ingreso!$AL$11:$AM$260,2,FALSE)))/24),0))</f>
        <v/>
      </c>
      <c r="K454" s="65" t="str">
        <f>IF(IFERROR(IF(E454=E453,0,(HLOOKUP(C454,Ingreso!$AW$10:$BC$260,VLOOKUP(A454,Ingreso!$AL$11:$AM$260,2,FALSE)))/24),0)=0,"",IFERROR(IF(E454=E453,0,(HLOOKUP(C454,Ingreso!$AW$10:$BC$260,VLOOKUP(A454,Ingreso!$AL$11:$AM$260,2,FALSE)))/24),0))</f>
        <v/>
      </c>
      <c r="L454" s="63">
        <f t="shared" si="12"/>
        <v>0.375</v>
      </c>
      <c r="M454" s="63" t="str">
        <f>IF(IFERROR(IF(C454=C452,0,IF(E454=E453,0,IF(C454=$R$2,HLOOKUP($R$2,Ingreso!$AW$10:$BC$260,VLOOKUP(A454,Ingreso!AL:AM,2,FALSE),FALSE)/24,""))),"")=0,"",IFERROR(IF(C454=C452,0,IF(E454=E453,0,IF(C454=$R$2,HLOOKUP($R$2,Ingreso!$AW$10:$BC$260,VLOOKUP(A454,Ingreso!AL:AM,2,FALSE),FALSE)/24,""))),""))</f>
        <v/>
      </c>
      <c r="N454" s="95" t="str">
        <f>IF(IFERROR(IF(C454=C452,0,IF(E454=E453,0,IF(C454=$R$3,HLOOKUP($R$3,Ingreso!$AW$10:$BC$260,VLOOKUP(A454,Ingreso!AL:AM,2,FALSE),FALSE)/24,""))),"")=0,"",IFERROR(IF(C454=C452,0,IF(E454=E453,0,IF(C454=$R$3,HLOOKUP($R$3,Ingreso!$AW$10:$BC$260,VLOOKUP(A454,Ingreso!AL:AM,2,FALSE),FALSE)/24,""))),""))</f>
        <v/>
      </c>
      <c r="O454" s="95" t="str">
        <f>IF(IFERROR(IF(C454=C452,0,IF(E454=E453,0,IF(C454=$R$4,HLOOKUP($R$4,Ingreso!$AW$10:$BC$260,VLOOKUP(A454,Ingreso!AL:AM,2,FALSE),FALSE)/24,""))),"")=0,"",IFERROR(IF(C454=C452,0,IF(E454=E453,0,IF(C454=$R$4,HLOOKUP($R$4,Ingreso!$AW$10:$BC$260,VLOOKUP(A454,Ingreso!AL:AM,2,FALSE),FALSE)/24,""))),""))</f>
        <v/>
      </c>
      <c r="P454" s="90"/>
      <c r="V454"/>
      <c r="W454"/>
      <c r="X454"/>
      <c r="Y454"/>
      <c r="Z454"/>
      <c r="AA454"/>
      <c r="AB454"/>
      <c r="AC454"/>
      <c r="AD454"/>
    </row>
    <row r="455" spans="1:30">
      <c r="A455" s="65" t="str">
        <f>IFERROR(VLOOKUP('Informe Kelly'!A448,Base!A:B,2,FALSE),"")</f>
        <v>10.970.380-K</v>
      </c>
      <c r="B455" s="65" t="str">
        <f>IFERROR(VLOOKUP('Informe Kelly'!A448,Base!A:G,7,FALSE),"")</f>
        <v>LEIVA MUÑOZ JUAN ENRIQUE</v>
      </c>
      <c r="C455" s="69" t="str">
        <f>IF(G455=$C$4,IF('Informe Kelly'!H448='Control informe Kelly'!$A$2,TEXT(((LEFT('Informe Kelly'!E448,2)*1)+1),"dd")&amp;"."&amp;MID('Informe Kelly'!E448,4,2)&amp;"."&amp;RIGHT('Informe Kelly'!E448,4),'Informe Kelly'!E448),'Informe Kelly'!E448)</f>
        <v>16.04.2011</v>
      </c>
      <c r="D455" s="69" t="str">
        <f>IF('Informe Kelly'!E448="","",'Informe Kelly'!E448)</f>
        <v>16.04.2011</v>
      </c>
      <c r="E455" s="72">
        <f t="shared" si="13"/>
        <v>227</v>
      </c>
      <c r="F455" s="72" t="str">
        <f>IFERROR(HLOOKUP(C455,Ingreso!$Q$8:$AD$9,2,FALSE),"v")</f>
        <v>Sábado</v>
      </c>
      <c r="G455" s="65" t="str">
        <f>IFERROR(VLOOKUP(A455,Ingreso!K:P,6,FALSE),"no esta ingresado")</f>
        <v>Turno C</v>
      </c>
      <c r="H455" s="65" t="str">
        <f>IFERROR(IF('Informe Kelly'!H448=$A$2,'Informe Kelly'!F448,""),0)</f>
        <v/>
      </c>
      <c r="I455" s="65">
        <f>IFERROR(IF('Informe Kelly'!H448=$A$3,'Informe Kelly'!F448,""),0)</f>
        <v>0.31675925925925924</v>
      </c>
      <c r="J455" s="65" t="str">
        <f>IF(IFERROR(IF(E455=E454,0,(HLOOKUP(D455,Ingreso!$AN$10:$AT$260,VLOOKUP(A455,Ingreso!$AL$11:$AM$260,2,FALSE)))/24),0)=0,"",IFERROR(IF(E455=E454,0,(HLOOKUP(D455,Ingreso!$AN$10:$AT$260,VLOOKUP(A455,Ingreso!$AL$11:$AM$260,2,FALSE)))/24),0))</f>
        <v/>
      </c>
      <c r="K455" s="65" t="str">
        <f>IF(IFERROR(IF(E455=E454,0,(HLOOKUP(C455,Ingreso!$AW$10:$BC$260,VLOOKUP(A455,Ingreso!$AL$11:$AM$260,2,FALSE)))/24),0)=0,"",IFERROR(IF(E455=E454,0,(HLOOKUP(C455,Ingreso!$AW$10:$BC$260,VLOOKUP(A455,Ingreso!$AL$11:$AM$260,2,FALSE)))/24),0))</f>
        <v/>
      </c>
      <c r="L455" s="63">
        <f t="shared" si="12"/>
        <v>0</v>
      </c>
      <c r="M455" s="63" t="str">
        <f>IF(IFERROR(IF(C455=C453,0,IF(E455=E454,0,IF(C455=$R$2,HLOOKUP($R$2,Ingreso!$AW$10:$BC$260,VLOOKUP(A455,Ingreso!AL:AM,2,FALSE),FALSE)/24,""))),"")=0,"",IFERROR(IF(C455=C453,0,IF(E455=E454,0,IF(C455=$R$2,HLOOKUP($R$2,Ingreso!$AW$10:$BC$260,VLOOKUP(A455,Ingreso!AL:AM,2,FALSE),FALSE)/24,""))),""))</f>
        <v/>
      </c>
      <c r="N455" s="95" t="str">
        <f>IF(IFERROR(IF(C455=C453,0,IF(E455=E454,0,IF(C455=$R$3,HLOOKUP($R$3,Ingreso!$AW$10:$BC$260,VLOOKUP(A455,Ingreso!AL:AM,2,FALSE),FALSE)/24,""))),"")=0,"",IFERROR(IF(C455=C453,0,IF(E455=E454,0,IF(C455=$R$3,HLOOKUP($R$3,Ingreso!$AW$10:$BC$260,VLOOKUP(A455,Ingreso!AL:AM,2,FALSE),FALSE)/24,""))),""))</f>
        <v/>
      </c>
      <c r="O455" s="95" t="str">
        <f>IF(IFERROR(IF(C455=C453,0,IF(E455=E454,0,IF(C455=$R$4,HLOOKUP($R$4,Ingreso!$AW$10:$BC$260,VLOOKUP(A455,Ingreso!AL:AM,2,FALSE),FALSE)/24,""))),"")=0,"",IFERROR(IF(C455=C453,0,IF(E455=E454,0,IF(C455=$R$4,HLOOKUP($R$4,Ingreso!$AW$10:$BC$260,VLOOKUP(A455,Ingreso!AL:AM,2,FALSE),FALSE)/24,""))),""))</f>
        <v/>
      </c>
      <c r="P455" s="90"/>
      <c r="V455"/>
      <c r="W455"/>
      <c r="X455"/>
      <c r="Y455"/>
      <c r="Z455"/>
      <c r="AA455"/>
      <c r="AB455"/>
      <c r="AC455"/>
      <c r="AD455"/>
    </row>
    <row r="456" spans="1:30">
      <c r="A456" s="65" t="str">
        <f>IFERROR(VLOOKUP('Informe Kelly'!A449,Base!A:B,2,FALSE),"")</f>
        <v>11.124.307-7</v>
      </c>
      <c r="B456" s="65" t="str">
        <f>IFERROR(VLOOKUP('Informe Kelly'!A449,Base!A:G,7,FALSE),"")</f>
        <v>MUÑOZ QUENPUL JOSE ENRIQUE</v>
      </c>
      <c r="C456" s="69" t="str">
        <f>IF(G456=$C$4,IF('Informe Kelly'!H449='Control informe Kelly'!$A$2,TEXT(((LEFT('Informe Kelly'!E449,2)*1)+1),"dd")&amp;"."&amp;MID('Informe Kelly'!E449,4,2)&amp;"."&amp;RIGHT('Informe Kelly'!E449,4),'Informe Kelly'!E449),'Informe Kelly'!E449)</f>
        <v>12.04.2011</v>
      </c>
      <c r="D456" s="69" t="str">
        <f>IF('Informe Kelly'!E449="","",'Informe Kelly'!E449)</f>
        <v>11.04.2011</v>
      </c>
      <c r="E456" s="72">
        <f t="shared" si="13"/>
        <v>228</v>
      </c>
      <c r="F456" s="72" t="str">
        <f>IFERROR(HLOOKUP(C456,Ingreso!$Q$8:$AD$9,2,FALSE),"v")</f>
        <v>Martes</v>
      </c>
      <c r="G456" s="65" t="str">
        <f>IFERROR(VLOOKUP(A456,Ingreso!K:P,6,FALSE),"no esta ingresado")</f>
        <v>Turno C</v>
      </c>
      <c r="H456" s="65">
        <f>IFERROR(IF('Informe Kelly'!H449=$A$2,'Informe Kelly'!F449,""),0)</f>
        <v>0.91951388888888885</v>
      </c>
      <c r="I456" s="65" t="str">
        <f>IFERROR(IF('Informe Kelly'!H449=$A$3,'Informe Kelly'!F449,""),0)</f>
        <v/>
      </c>
      <c r="J456" s="65" t="str">
        <f>IF(IFERROR(IF(E456=E455,0,(HLOOKUP(D456,Ingreso!$AN$10:$AT$260,VLOOKUP(A456,Ingreso!$AL$11:$AM$260,2,FALSE)))/24),0)=0,"",IFERROR(IF(E456=E455,0,(HLOOKUP(D456,Ingreso!$AN$10:$AT$260,VLOOKUP(A456,Ingreso!$AL$11:$AM$260,2,FALSE)))/24),0))</f>
        <v/>
      </c>
      <c r="K456" s="65" t="str">
        <f>IF(IFERROR(IF(E456=E455,0,(HLOOKUP(C456,Ingreso!$AW$10:$BC$260,VLOOKUP(A456,Ingreso!$AL$11:$AM$260,2,FALSE)))/24),0)=0,"",IFERROR(IF(E456=E455,0,(HLOOKUP(C456,Ingreso!$AW$10:$BC$260,VLOOKUP(A456,Ingreso!$AL$11:$AM$260,2,FALSE)))/24),0))</f>
        <v/>
      </c>
      <c r="L456" s="63">
        <f t="shared" si="12"/>
        <v>0.375</v>
      </c>
      <c r="M456" s="63" t="str">
        <f>IF(IFERROR(IF(C456=C454,0,IF(E456=E455,0,IF(C456=$R$2,HLOOKUP($R$2,Ingreso!$AW$10:$BC$260,VLOOKUP(A456,Ingreso!AL:AM,2,FALSE),FALSE)/24,""))),"")=0,"",IFERROR(IF(C456=C454,0,IF(E456=E455,0,IF(C456=$R$2,HLOOKUP($R$2,Ingreso!$AW$10:$BC$260,VLOOKUP(A456,Ingreso!AL:AM,2,FALSE),FALSE)/24,""))),""))</f>
        <v/>
      </c>
      <c r="N456" s="95" t="str">
        <f>IF(IFERROR(IF(C456=C454,0,IF(E456=E455,0,IF(C456=$R$3,HLOOKUP($R$3,Ingreso!$AW$10:$BC$260,VLOOKUP(A456,Ingreso!AL:AM,2,FALSE),FALSE)/24,""))),"")=0,"",IFERROR(IF(C456=C454,0,IF(E456=E455,0,IF(C456=$R$3,HLOOKUP($R$3,Ingreso!$AW$10:$BC$260,VLOOKUP(A456,Ingreso!AL:AM,2,FALSE),FALSE)/24,""))),""))</f>
        <v/>
      </c>
      <c r="O456" s="95" t="str">
        <f>IF(IFERROR(IF(C456=C454,0,IF(E456=E455,0,IF(C456=$R$4,HLOOKUP($R$4,Ingreso!$AW$10:$BC$260,VLOOKUP(A456,Ingreso!AL:AM,2,FALSE),FALSE)/24,""))),"")=0,"",IFERROR(IF(C456=C454,0,IF(E456=E455,0,IF(C456=$R$4,HLOOKUP($R$4,Ingreso!$AW$10:$BC$260,VLOOKUP(A456,Ingreso!AL:AM,2,FALSE),FALSE)/24,""))),""))</f>
        <v/>
      </c>
      <c r="P456" s="90"/>
      <c r="V456"/>
      <c r="W456"/>
      <c r="X456"/>
      <c r="Y456"/>
      <c r="Z456"/>
      <c r="AA456"/>
      <c r="AB456"/>
      <c r="AC456"/>
      <c r="AD456"/>
    </row>
    <row r="457" spans="1:30">
      <c r="A457" s="65" t="str">
        <f>IFERROR(VLOOKUP('Informe Kelly'!A450,Base!A:B,2,FALSE),"")</f>
        <v>11.124.307-7</v>
      </c>
      <c r="B457" s="65" t="str">
        <f>IFERROR(VLOOKUP('Informe Kelly'!A450,Base!A:G,7,FALSE),"")</f>
        <v>MUÑOZ QUENPUL JOSE ENRIQUE</v>
      </c>
      <c r="C457" s="69" t="str">
        <f>IF(G457=$C$4,IF('Informe Kelly'!H450='Control informe Kelly'!$A$2,TEXT(((LEFT('Informe Kelly'!E450,2)*1)+1),"dd")&amp;"."&amp;MID('Informe Kelly'!E450,4,2)&amp;"."&amp;RIGHT('Informe Kelly'!E450,4),'Informe Kelly'!E450),'Informe Kelly'!E450)</f>
        <v>12.04.2011</v>
      </c>
      <c r="D457" s="69" t="str">
        <f>IF('Informe Kelly'!E450="","",'Informe Kelly'!E450)</f>
        <v>12.04.2011</v>
      </c>
      <c r="E457" s="72">
        <f t="shared" si="13"/>
        <v>228</v>
      </c>
      <c r="F457" s="72" t="str">
        <f>IFERROR(HLOOKUP(C457,Ingreso!$Q$8:$AD$9,2,FALSE),"v")</f>
        <v>Martes</v>
      </c>
      <c r="G457" s="65" t="str">
        <f>IFERROR(VLOOKUP(A457,Ingreso!K:P,6,FALSE),"no esta ingresado")</f>
        <v>Turno C</v>
      </c>
      <c r="H457" s="65" t="str">
        <f>IFERROR(IF('Informe Kelly'!H450=$A$2,'Informe Kelly'!F450,""),0)</f>
        <v/>
      </c>
      <c r="I457" s="65">
        <f>IFERROR(IF('Informe Kelly'!H450=$A$3,'Informe Kelly'!F450,""),0)</f>
        <v>0.32444444444444448</v>
      </c>
      <c r="J457" s="65" t="str">
        <f>IF(IFERROR(IF(E457=E456,0,(HLOOKUP(D457,Ingreso!$AN$10:$AT$260,VLOOKUP(A457,Ingreso!$AL$11:$AM$260,2,FALSE)))/24),0)=0,"",IFERROR(IF(E457=E456,0,(HLOOKUP(D457,Ingreso!$AN$10:$AT$260,VLOOKUP(A457,Ingreso!$AL$11:$AM$260,2,FALSE)))/24),0))</f>
        <v/>
      </c>
      <c r="K457" s="65" t="str">
        <f>IF(IFERROR(IF(E457=E456,0,(HLOOKUP(C457,Ingreso!$AW$10:$BC$260,VLOOKUP(A457,Ingreso!$AL$11:$AM$260,2,FALSE)))/24),0)=0,"",IFERROR(IF(E457=E456,0,(HLOOKUP(C457,Ingreso!$AW$10:$BC$260,VLOOKUP(A457,Ingreso!$AL$11:$AM$260,2,FALSE)))/24),0))</f>
        <v/>
      </c>
      <c r="L457" s="63">
        <f t="shared" ref="L457:L520" si="14">IFERROR(IF(C457=C455,0,IF(E457=E456,0,(VLOOKUP(G457,$C$2:$D$5,2,FALSE)))),"")</f>
        <v>0</v>
      </c>
      <c r="M457" s="63" t="str">
        <f>IF(IFERROR(IF(C457=C455,0,IF(E457=E456,0,IF(C457=$R$2,HLOOKUP($R$2,Ingreso!$AW$10:$BC$260,VLOOKUP(A457,Ingreso!AL:AM,2,FALSE),FALSE)/24,""))),"")=0,"",IFERROR(IF(C457=C455,0,IF(E457=E456,0,IF(C457=$R$2,HLOOKUP($R$2,Ingreso!$AW$10:$BC$260,VLOOKUP(A457,Ingreso!AL:AM,2,FALSE),FALSE)/24,""))),""))</f>
        <v/>
      </c>
      <c r="N457" s="95" t="str">
        <f>IF(IFERROR(IF(C457=C455,0,IF(E457=E456,0,IF(C457=$R$3,HLOOKUP($R$3,Ingreso!$AW$10:$BC$260,VLOOKUP(A457,Ingreso!AL:AM,2,FALSE),FALSE)/24,""))),"")=0,"",IFERROR(IF(C457=C455,0,IF(E457=E456,0,IF(C457=$R$3,HLOOKUP($R$3,Ingreso!$AW$10:$BC$260,VLOOKUP(A457,Ingreso!AL:AM,2,FALSE),FALSE)/24,""))),""))</f>
        <v/>
      </c>
      <c r="O457" s="95" t="str">
        <f>IF(IFERROR(IF(C457=C455,0,IF(E457=E456,0,IF(C457=$R$4,HLOOKUP($R$4,Ingreso!$AW$10:$BC$260,VLOOKUP(A457,Ingreso!AL:AM,2,FALSE),FALSE)/24,""))),"")=0,"",IFERROR(IF(C457=C455,0,IF(E457=E456,0,IF(C457=$R$4,HLOOKUP($R$4,Ingreso!$AW$10:$BC$260,VLOOKUP(A457,Ingreso!AL:AM,2,FALSE),FALSE)/24,""))),""))</f>
        <v/>
      </c>
      <c r="P457" s="90"/>
      <c r="V457"/>
      <c r="W457"/>
      <c r="X457"/>
      <c r="Y457"/>
      <c r="Z457"/>
      <c r="AA457"/>
      <c r="AB457"/>
      <c r="AC457"/>
      <c r="AD457"/>
    </row>
    <row r="458" spans="1:30">
      <c r="A458" s="65" t="str">
        <f>IFERROR(VLOOKUP('Informe Kelly'!A451,Base!A:B,2,FALSE),"")</f>
        <v>11.124.307-7</v>
      </c>
      <c r="B458" s="65" t="str">
        <f>IFERROR(VLOOKUP('Informe Kelly'!A451,Base!A:G,7,FALSE),"")</f>
        <v>MUÑOZ QUENPUL JOSE ENRIQUE</v>
      </c>
      <c r="C458" s="69" t="str">
        <f>IF(G458=$C$4,IF('Informe Kelly'!H451='Control informe Kelly'!$A$2,TEXT(((LEFT('Informe Kelly'!E451,2)*1)+1),"dd")&amp;"."&amp;MID('Informe Kelly'!E451,4,2)&amp;"."&amp;RIGHT('Informe Kelly'!E451,4),'Informe Kelly'!E451),'Informe Kelly'!E451)</f>
        <v>13.04.2011</v>
      </c>
      <c r="D458" s="69" t="str">
        <f>IF('Informe Kelly'!E451="","",'Informe Kelly'!E451)</f>
        <v>12.04.2011</v>
      </c>
      <c r="E458" s="72">
        <f t="shared" ref="E458:E521" si="15">IF(C457=C458,IF(C458=C455,E457,IF(C458=C456,E457+1,E457)),E457+1)</f>
        <v>229</v>
      </c>
      <c r="F458" s="72" t="str">
        <f>IFERROR(HLOOKUP(C458,Ingreso!$Q$8:$AD$9,2,FALSE),"v")</f>
        <v>Miércoles</v>
      </c>
      <c r="G458" s="65" t="str">
        <f>IFERROR(VLOOKUP(A458,Ingreso!K:P,6,FALSE),"no esta ingresado")</f>
        <v>Turno C</v>
      </c>
      <c r="H458" s="65">
        <f>IFERROR(IF('Informe Kelly'!H451=$A$2,'Informe Kelly'!F451,""),0)</f>
        <v>0.91824074074074069</v>
      </c>
      <c r="I458" s="65" t="str">
        <f>IFERROR(IF('Informe Kelly'!H451=$A$3,'Informe Kelly'!F451,""),0)</f>
        <v/>
      </c>
      <c r="J458" s="65" t="str">
        <f>IF(IFERROR(IF(E458=E457,0,(HLOOKUP(D458,Ingreso!$AN$10:$AT$260,VLOOKUP(A458,Ingreso!$AL$11:$AM$260,2,FALSE)))/24),0)=0,"",IFERROR(IF(E458=E457,0,(HLOOKUP(D458,Ingreso!$AN$10:$AT$260,VLOOKUP(A458,Ingreso!$AL$11:$AM$260,2,FALSE)))/24),0))</f>
        <v/>
      </c>
      <c r="K458" s="65" t="str">
        <f>IF(IFERROR(IF(E458=E457,0,(HLOOKUP(C458,Ingreso!$AW$10:$BC$260,VLOOKUP(A458,Ingreso!$AL$11:$AM$260,2,FALSE)))/24),0)=0,"",IFERROR(IF(E458=E457,0,(HLOOKUP(C458,Ingreso!$AW$10:$BC$260,VLOOKUP(A458,Ingreso!$AL$11:$AM$260,2,FALSE)))/24),0))</f>
        <v/>
      </c>
      <c r="L458" s="63">
        <f t="shared" si="14"/>
        <v>0.375</v>
      </c>
      <c r="M458" s="63" t="str">
        <f>IF(IFERROR(IF(C458=C456,0,IF(E458=E457,0,IF(C458=$R$2,HLOOKUP($R$2,Ingreso!$AW$10:$BC$260,VLOOKUP(A458,Ingreso!AL:AM,2,FALSE),FALSE)/24,""))),"")=0,"",IFERROR(IF(C458=C456,0,IF(E458=E457,0,IF(C458=$R$2,HLOOKUP($R$2,Ingreso!$AW$10:$BC$260,VLOOKUP(A458,Ingreso!AL:AM,2,FALSE),FALSE)/24,""))),""))</f>
        <v/>
      </c>
      <c r="N458" s="95" t="str">
        <f>IF(IFERROR(IF(C458=C456,0,IF(E458=E457,0,IF(C458=$R$3,HLOOKUP($R$3,Ingreso!$AW$10:$BC$260,VLOOKUP(A458,Ingreso!AL:AM,2,FALSE),FALSE)/24,""))),"")=0,"",IFERROR(IF(C458=C456,0,IF(E458=E457,0,IF(C458=$R$3,HLOOKUP($R$3,Ingreso!$AW$10:$BC$260,VLOOKUP(A458,Ingreso!AL:AM,2,FALSE),FALSE)/24,""))),""))</f>
        <v/>
      </c>
      <c r="O458" s="95" t="str">
        <f>IF(IFERROR(IF(C458=C456,0,IF(E458=E457,0,IF(C458=$R$4,HLOOKUP($R$4,Ingreso!$AW$10:$BC$260,VLOOKUP(A458,Ingreso!AL:AM,2,FALSE),FALSE)/24,""))),"")=0,"",IFERROR(IF(C458=C456,0,IF(E458=E457,0,IF(C458=$R$4,HLOOKUP($R$4,Ingreso!$AW$10:$BC$260,VLOOKUP(A458,Ingreso!AL:AM,2,FALSE),FALSE)/24,""))),""))</f>
        <v/>
      </c>
      <c r="P458" s="90"/>
      <c r="V458"/>
      <c r="W458"/>
      <c r="X458"/>
      <c r="Y458"/>
      <c r="Z458"/>
      <c r="AA458"/>
      <c r="AB458"/>
      <c r="AC458"/>
      <c r="AD458"/>
    </row>
    <row r="459" spans="1:30">
      <c r="A459" s="65" t="str">
        <f>IFERROR(VLOOKUP('Informe Kelly'!A452,Base!A:B,2,FALSE),"")</f>
        <v>11.124.307-7</v>
      </c>
      <c r="B459" s="65" t="str">
        <f>IFERROR(VLOOKUP('Informe Kelly'!A452,Base!A:G,7,FALSE),"")</f>
        <v>MUÑOZ QUENPUL JOSE ENRIQUE</v>
      </c>
      <c r="C459" s="69" t="str">
        <f>IF(G459=$C$4,IF('Informe Kelly'!H452='Control informe Kelly'!$A$2,TEXT(((LEFT('Informe Kelly'!E452,2)*1)+1),"dd")&amp;"."&amp;MID('Informe Kelly'!E452,4,2)&amp;"."&amp;RIGHT('Informe Kelly'!E452,4),'Informe Kelly'!E452),'Informe Kelly'!E452)</f>
        <v>13.04.2011</v>
      </c>
      <c r="D459" s="69" t="str">
        <f>IF('Informe Kelly'!E452="","",'Informe Kelly'!E452)</f>
        <v>13.04.2011</v>
      </c>
      <c r="E459" s="72">
        <f t="shared" si="15"/>
        <v>229</v>
      </c>
      <c r="F459" s="72" t="str">
        <f>IFERROR(HLOOKUP(C459,Ingreso!$Q$8:$AD$9,2,FALSE),"v")</f>
        <v>Miércoles</v>
      </c>
      <c r="G459" s="65" t="str">
        <f>IFERROR(VLOOKUP(A459,Ingreso!K:P,6,FALSE),"no esta ingresado")</f>
        <v>Turno C</v>
      </c>
      <c r="H459" s="65" t="str">
        <f>IFERROR(IF('Informe Kelly'!H452=$A$2,'Informe Kelly'!F452,""),0)</f>
        <v/>
      </c>
      <c r="I459" s="65">
        <f>IFERROR(IF('Informe Kelly'!H452=$A$3,'Informe Kelly'!F452,""),0)</f>
        <v>0.326087962962963</v>
      </c>
      <c r="J459" s="65" t="str">
        <f>IF(IFERROR(IF(E459=E458,0,(HLOOKUP(D459,Ingreso!$AN$10:$AT$260,VLOOKUP(A459,Ingreso!$AL$11:$AM$260,2,FALSE)))/24),0)=0,"",IFERROR(IF(E459=E458,0,(HLOOKUP(D459,Ingreso!$AN$10:$AT$260,VLOOKUP(A459,Ingreso!$AL$11:$AM$260,2,FALSE)))/24),0))</f>
        <v/>
      </c>
      <c r="K459" s="65" t="str">
        <f>IF(IFERROR(IF(E459=E458,0,(HLOOKUP(C459,Ingreso!$AW$10:$BC$260,VLOOKUP(A459,Ingreso!$AL$11:$AM$260,2,FALSE)))/24),0)=0,"",IFERROR(IF(E459=E458,0,(HLOOKUP(C459,Ingreso!$AW$10:$BC$260,VLOOKUP(A459,Ingreso!$AL$11:$AM$260,2,FALSE)))/24),0))</f>
        <v/>
      </c>
      <c r="L459" s="63">
        <f t="shared" si="14"/>
        <v>0</v>
      </c>
      <c r="M459" s="63" t="str">
        <f>IF(IFERROR(IF(C459=C457,0,IF(E459=E458,0,IF(C459=$R$2,HLOOKUP($R$2,Ingreso!$AW$10:$BC$260,VLOOKUP(A459,Ingreso!AL:AM,2,FALSE),FALSE)/24,""))),"")=0,"",IFERROR(IF(C459=C457,0,IF(E459=E458,0,IF(C459=$R$2,HLOOKUP($R$2,Ingreso!$AW$10:$BC$260,VLOOKUP(A459,Ingreso!AL:AM,2,FALSE),FALSE)/24,""))),""))</f>
        <v/>
      </c>
      <c r="N459" s="95" t="str">
        <f>IF(IFERROR(IF(C459=C457,0,IF(E459=E458,0,IF(C459=$R$3,HLOOKUP($R$3,Ingreso!$AW$10:$BC$260,VLOOKUP(A459,Ingreso!AL:AM,2,FALSE),FALSE)/24,""))),"")=0,"",IFERROR(IF(C459=C457,0,IF(E459=E458,0,IF(C459=$R$3,HLOOKUP($R$3,Ingreso!$AW$10:$BC$260,VLOOKUP(A459,Ingreso!AL:AM,2,FALSE),FALSE)/24,""))),""))</f>
        <v/>
      </c>
      <c r="O459" s="95" t="str">
        <f>IF(IFERROR(IF(C459=C457,0,IF(E459=E458,0,IF(C459=$R$4,HLOOKUP($R$4,Ingreso!$AW$10:$BC$260,VLOOKUP(A459,Ingreso!AL:AM,2,FALSE),FALSE)/24,""))),"")=0,"",IFERROR(IF(C459=C457,0,IF(E459=E458,0,IF(C459=$R$4,HLOOKUP($R$4,Ingreso!$AW$10:$BC$260,VLOOKUP(A459,Ingreso!AL:AM,2,FALSE),FALSE)/24,""))),""))</f>
        <v/>
      </c>
      <c r="P459" s="90"/>
      <c r="V459"/>
      <c r="W459"/>
      <c r="X459"/>
      <c r="Y459"/>
      <c r="Z459"/>
      <c r="AA459"/>
      <c r="AB459"/>
      <c r="AC459"/>
      <c r="AD459"/>
    </row>
    <row r="460" spans="1:30">
      <c r="A460" s="65" t="str">
        <f>IFERROR(VLOOKUP('Informe Kelly'!A453,Base!A:B,2,FALSE),"")</f>
        <v>11.124.307-7</v>
      </c>
      <c r="B460" s="65" t="str">
        <f>IFERROR(VLOOKUP('Informe Kelly'!A453,Base!A:G,7,FALSE),"")</f>
        <v>MUÑOZ QUENPUL JOSE ENRIQUE</v>
      </c>
      <c r="C460" s="69" t="str">
        <f>IF(G460=$C$4,IF('Informe Kelly'!H453='Control informe Kelly'!$A$2,TEXT(((LEFT('Informe Kelly'!E453,2)*1)+1),"dd")&amp;"."&amp;MID('Informe Kelly'!E453,4,2)&amp;"."&amp;RIGHT('Informe Kelly'!E453,4),'Informe Kelly'!E453),'Informe Kelly'!E453)</f>
        <v>14.04.2011</v>
      </c>
      <c r="D460" s="69" t="str">
        <f>IF('Informe Kelly'!E453="","",'Informe Kelly'!E453)</f>
        <v>13.04.2011</v>
      </c>
      <c r="E460" s="72">
        <f t="shared" si="15"/>
        <v>230</v>
      </c>
      <c r="F460" s="72" t="str">
        <f>IFERROR(HLOOKUP(C460,Ingreso!$Q$8:$AD$9,2,FALSE),"v")</f>
        <v>Jueves</v>
      </c>
      <c r="G460" s="65" t="str">
        <f>IFERROR(VLOOKUP(A460,Ingreso!K:P,6,FALSE),"no esta ingresado")</f>
        <v>Turno C</v>
      </c>
      <c r="H460" s="65">
        <f>IFERROR(IF('Informe Kelly'!H453=$A$2,'Informe Kelly'!F453,""),0)</f>
        <v>0.91820601851851846</v>
      </c>
      <c r="I460" s="65" t="str">
        <f>IFERROR(IF('Informe Kelly'!H453=$A$3,'Informe Kelly'!F453,""),0)</f>
        <v/>
      </c>
      <c r="J460" s="65" t="str">
        <f>IF(IFERROR(IF(E460=E459,0,(HLOOKUP(D460,Ingreso!$AN$10:$AT$260,VLOOKUP(A460,Ingreso!$AL$11:$AM$260,2,FALSE)))/24),0)=0,"",IFERROR(IF(E460=E459,0,(HLOOKUP(D460,Ingreso!$AN$10:$AT$260,VLOOKUP(A460,Ingreso!$AL$11:$AM$260,2,FALSE)))/24),0))</f>
        <v/>
      </c>
      <c r="K460" s="65" t="str">
        <f>IF(IFERROR(IF(E460=E459,0,(HLOOKUP(C460,Ingreso!$AW$10:$BC$260,VLOOKUP(A460,Ingreso!$AL$11:$AM$260,2,FALSE)))/24),0)=0,"",IFERROR(IF(E460=E459,0,(HLOOKUP(C460,Ingreso!$AW$10:$BC$260,VLOOKUP(A460,Ingreso!$AL$11:$AM$260,2,FALSE)))/24),0))</f>
        <v/>
      </c>
      <c r="L460" s="63">
        <f t="shared" si="14"/>
        <v>0.375</v>
      </c>
      <c r="M460" s="63" t="str">
        <f>IF(IFERROR(IF(C460=C458,0,IF(E460=E459,0,IF(C460=$R$2,HLOOKUP($R$2,Ingreso!$AW$10:$BC$260,VLOOKUP(A460,Ingreso!AL:AM,2,FALSE),FALSE)/24,""))),"")=0,"",IFERROR(IF(C460=C458,0,IF(E460=E459,0,IF(C460=$R$2,HLOOKUP($R$2,Ingreso!$AW$10:$BC$260,VLOOKUP(A460,Ingreso!AL:AM,2,FALSE),FALSE)/24,""))),""))</f>
        <v/>
      </c>
      <c r="N460" s="95" t="str">
        <f>IF(IFERROR(IF(C460=C458,0,IF(E460=E459,0,IF(C460=$R$3,HLOOKUP($R$3,Ingreso!$AW$10:$BC$260,VLOOKUP(A460,Ingreso!AL:AM,2,FALSE),FALSE)/24,""))),"")=0,"",IFERROR(IF(C460=C458,0,IF(E460=E459,0,IF(C460=$R$3,HLOOKUP($R$3,Ingreso!$AW$10:$BC$260,VLOOKUP(A460,Ingreso!AL:AM,2,FALSE),FALSE)/24,""))),""))</f>
        <v/>
      </c>
      <c r="O460" s="95" t="str">
        <f>IF(IFERROR(IF(C460=C458,0,IF(E460=E459,0,IF(C460=$R$4,HLOOKUP($R$4,Ingreso!$AW$10:$BC$260,VLOOKUP(A460,Ingreso!AL:AM,2,FALSE),FALSE)/24,""))),"")=0,"",IFERROR(IF(C460=C458,0,IF(E460=E459,0,IF(C460=$R$4,HLOOKUP($R$4,Ingreso!$AW$10:$BC$260,VLOOKUP(A460,Ingreso!AL:AM,2,FALSE),FALSE)/24,""))),""))</f>
        <v/>
      </c>
      <c r="P460" s="90"/>
      <c r="V460"/>
      <c r="W460"/>
      <c r="X460"/>
      <c r="Y460"/>
      <c r="Z460"/>
      <c r="AA460"/>
      <c r="AB460"/>
      <c r="AC460"/>
      <c r="AD460"/>
    </row>
    <row r="461" spans="1:30">
      <c r="A461" s="65" t="str">
        <f>IFERROR(VLOOKUP('Informe Kelly'!A454,Base!A:B,2,FALSE),"")</f>
        <v>11.124.307-7</v>
      </c>
      <c r="B461" s="65" t="str">
        <f>IFERROR(VLOOKUP('Informe Kelly'!A454,Base!A:G,7,FALSE),"")</f>
        <v>MUÑOZ QUENPUL JOSE ENRIQUE</v>
      </c>
      <c r="C461" s="69" t="str">
        <f>IF(G461=$C$4,IF('Informe Kelly'!H454='Control informe Kelly'!$A$2,TEXT(((LEFT('Informe Kelly'!E454,2)*1)+1),"dd")&amp;"."&amp;MID('Informe Kelly'!E454,4,2)&amp;"."&amp;RIGHT('Informe Kelly'!E454,4),'Informe Kelly'!E454),'Informe Kelly'!E454)</f>
        <v>14.04.2011</v>
      </c>
      <c r="D461" s="69" t="str">
        <f>IF('Informe Kelly'!E454="","",'Informe Kelly'!E454)</f>
        <v>14.04.2011</v>
      </c>
      <c r="E461" s="72">
        <f t="shared" si="15"/>
        <v>230</v>
      </c>
      <c r="F461" s="72" t="str">
        <f>IFERROR(HLOOKUP(C461,Ingreso!$Q$8:$AD$9,2,FALSE),"v")</f>
        <v>Jueves</v>
      </c>
      <c r="G461" s="65" t="str">
        <f>IFERROR(VLOOKUP(A461,Ingreso!K:P,6,FALSE),"no esta ingresado")</f>
        <v>Turno C</v>
      </c>
      <c r="H461" s="65" t="str">
        <f>IFERROR(IF('Informe Kelly'!H454=$A$2,'Informe Kelly'!F454,""),0)</f>
        <v/>
      </c>
      <c r="I461" s="65">
        <f>IFERROR(IF('Informe Kelly'!H454=$A$3,'Informe Kelly'!F454,""),0)</f>
        <v>0.32765046296296296</v>
      </c>
      <c r="J461" s="65" t="str">
        <f>IF(IFERROR(IF(E461=E460,0,(HLOOKUP(D461,Ingreso!$AN$10:$AT$260,VLOOKUP(A461,Ingreso!$AL$11:$AM$260,2,FALSE)))/24),0)=0,"",IFERROR(IF(E461=E460,0,(HLOOKUP(D461,Ingreso!$AN$10:$AT$260,VLOOKUP(A461,Ingreso!$AL$11:$AM$260,2,FALSE)))/24),0))</f>
        <v/>
      </c>
      <c r="K461" s="65" t="str">
        <f>IF(IFERROR(IF(E461=E460,0,(HLOOKUP(C461,Ingreso!$AW$10:$BC$260,VLOOKUP(A461,Ingreso!$AL$11:$AM$260,2,FALSE)))/24),0)=0,"",IFERROR(IF(E461=E460,0,(HLOOKUP(C461,Ingreso!$AW$10:$BC$260,VLOOKUP(A461,Ingreso!$AL$11:$AM$260,2,FALSE)))/24),0))</f>
        <v/>
      </c>
      <c r="L461" s="63">
        <f t="shared" si="14"/>
        <v>0</v>
      </c>
      <c r="M461" s="63" t="str">
        <f>IF(IFERROR(IF(C461=C459,0,IF(E461=E460,0,IF(C461=$R$2,HLOOKUP($R$2,Ingreso!$AW$10:$BC$260,VLOOKUP(A461,Ingreso!AL:AM,2,FALSE),FALSE)/24,""))),"")=0,"",IFERROR(IF(C461=C459,0,IF(E461=E460,0,IF(C461=$R$2,HLOOKUP($R$2,Ingreso!$AW$10:$BC$260,VLOOKUP(A461,Ingreso!AL:AM,2,FALSE),FALSE)/24,""))),""))</f>
        <v/>
      </c>
      <c r="N461" s="95" t="str">
        <f>IF(IFERROR(IF(C461=C459,0,IF(E461=E460,0,IF(C461=$R$3,HLOOKUP($R$3,Ingreso!$AW$10:$BC$260,VLOOKUP(A461,Ingreso!AL:AM,2,FALSE),FALSE)/24,""))),"")=0,"",IFERROR(IF(C461=C459,0,IF(E461=E460,0,IF(C461=$R$3,HLOOKUP($R$3,Ingreso!$AW$10:$BC$260,VLOOKUP(A461,Ingreso!AL:AM,2,FALSE),FALSE)/24,""))),""))</f>
        <v/>
      </c>
      <c r="O461" s="95" t="str">
        <f>IF(IFERROR(IF(C461=C459,0,IF(E461=E460,0,IF(C461=$R$4,HLOOKUP($R$4,Ingreso!$AW$10:$BC$260,VLOOKUP(A461,Ingreso!AL:AM,2,FALSE),FALSE)/24,""))),"")=0,"",IFERROR(IF(C461=C459,0,IF(E461=E460,0,IF(C461=$R$4,HLOOKUP($R$4,Ingreso!$AW$10:$BC$260,VLOOKUP(A461,Ingreso!AL:AM,2,FALSE),FALSE)/24,""))),""))</f>
        <v/>
      </c>
      <c r="P461" s="90"/>
      <c r="V461"/>
      <c r="W461"/>
      <c r="X461"/>
      <c r="Y461"/>
      <c r="Z461"/>
      <c r="AA461"/>
      <c r="AB461"/>
      <c r="AC461"/>
      <c r="AD461"/>
    </row>
    <row r="462" spans="1:30">
      <c r="A462" s="65" t="str">
        <f>IFERROR(VLOOKUP('Informe Kelly'!A455,Base!A:B,2,FALSE),"")</f>
        <v>11.124.307-7</v>
      </c>
      <c r="B462" s="65" t="str">
        <f>IFERROR(VLOOKUP('Informe Kelly'!A455,Base!A:G,7,FALSE),"")</f>
        <v>MUÑOZ QUENPUL JOSE ENRIQUE</v>
      </c>
      <c r="C462" s="69" t="str">
        <f>IF(G462=$C$4,IF('Informe Kelly'!H455='Control informe Kelly'!$A$2,TEXT(((LEFT('Informe Kelly'!E455,2)*1)+1),"dd")&amp;"."&amp;MID('Informe Kelly'!E455,4,2)&amp;"."&amp;RIGHT('Informe Kelly'!E455,4),'Informe Kelly'!E455),'Informe Kelly'!E455)</f>
        <v>15.04.2011</v>
      </c>
      <c r="D462" s="69" t="str">
        <f>IF('Informe Kelly'!E455="","",'Informe Kelly'!E455)</f>
        <v>14.04.2011</v>
      </c>
      <c r="E462" s="72">
        <f t="shared" si="15"/>
        <v>231</v>
      </c>
      <c r="F462" s="72" t="str">
        <f>IFERROR(HLOOKUP(C462,Ingreso!$Q$8:$AD$9,2,FALSE),"v")</f>
        <v>Viernes</v>
      </c>
      <c r="G462" s="65" t="str">
        <f>IFERROR(VLOOKUP(A462,Ingreso!K:P,6,FALSE),"no esta ingresado")</f>
        <v>Turno C</v>
      </c>
      <c r="H462" s="65">
        <f>IFERROR(IF('Informe Kelly'!H455=$A$2,'Informe Kelly'!F455,""),0)</f>
        <v>0.91942129629629632</v>
      </c>
      <c r="I462" s="65" t="str">
        <f>IFERROR(IF('Informe Kelly'!H455=$A$3,'Informe Kelly'!F455,""),0)</f>
        <v/>
      </c>
      <c r="J462" s="65" t="str">
        <f>IF(IFERROR(IF(E462=E461,0,(HLOOKUP(D462,Ingreso!$AN$10:$AT$260,VLOOKUP(A462,Ingreso!$AL$11:$AM$260,2,FALSE)))/24),0)=0,"",IFERROR(IF(E462=E461,0,(HLOOKUP(D462,Ingreso!$AN$10:$AT$260,VLOOKUP(A462,Ingreso!$AL$11:$AM$260,2,FALSE)))/24),0))</f>
        <v/>
      </c>
      <c r="K462" s="65" t="str">
        <f>IF(IFERROR(IF(E462=E461,0,(HLOOKUP(C462,Ingreso!$AW$10:$BC$260,VLOOKUP(A462,Ingreso!$AL$11:$AM$260,2,FALSE)))/24),0)=0,"",IFERROR(IF(E462=E461,0,(HLOOKUP(C462,Ingreso!$AW$10:$BC$260,VLOOKUP(A462,Ingreso!$AL$11:$AM$260,2,FALSE)))/24),0))</f>
        <v/>
      </c>
      <c r="L462" s="63">
        <f t="shared" si="14"/>
        <v>0.375</v>
      </c>
      <c r="M462" s="63" t="str">
        <f>IF(IFERROR(IF(C462=C460,0,IF(E462=E461,0,IF(C462=$R$2,HLOOKUP($R$2,Ingreso!$AW$10:$BC$260,VLOOKUP(A462,Ingreso!AL:AM,2,FALSE),FALSE)/24,""))),"")=0,"",IFERROR(IF(C462=C460,0,IF(E462=E461,0,IF(C462=$R$2,HLOOKUP($R$2,Ingreso!$AW$10:$BC$260,VLOOKUP(A462,Ingreso!AL:AM,2,FALSE),FALSE)/24,""))),""))</f>
        <v/>
      </c>
      <c r="N462" s="95" t="str">
        <f>IF(IFERROR(IF(C462=C460,0,IF(E462=E461,0,IF(C462=$R$3,HLOOKUP($R$3,Ingreso!$AW$10:$BC$260,VLOOKUP(A462,Ingreso!AL:AM,2,FALSE),FALSE)/24,""))),"")=0,"",IFERROR(IF(C462=C460,0,IF(E462=E461,0,IF(C462=$R$3,HLOOKUP($R$3,Ingreso!$AW$10:$BC$260,VLOOKUP(A462,Ingreso!AL:AM,2,FALSE),FALSE)/24,""))),""))</f>
        <v/>
      </c>
      <c r="O462" s="95" t="str">
        <f>IF(IFERROR(IF(C462=C460,0,IF(E462=E461,0,IF(C462=$R$4,HLOOKUP($R$4,Ingreso!$AW$10:$BC$260,VLOOKUP(A462,Ingreso!AL:AM,2,FALSE),FALSE)/24,""))),"")=0,"",IFERROR(IF(C462=C460,0,IF(E462=E461,0,IF(C462=$R$4,HLOOKUP($R$4,Ingreso!$AW$10:$BC$260,VLOOKUP(A462,Ingreso!AL:AM,2,FALSE),FALSE)/24,""))),""))</f>
        <v/>
      </c>
      <c r="P462" s="90"/>
      <c r="V462"/>
      <c r="W462"/>
      <c r="X462"/>
      <c r="Y462"/>
      <c r="Z462"/>
      <c r="AA462"/>
      <c r="AB462"/>
      <c r="AC462"/>
      <c r="AD462"/>
    </row>
    <row r="463" spans="1:30">
      <c r="A463" s="65" t="str">
        <f>IFERROR(VLOOKUP('Informe Kelly'!A456,Base!A:B,2,FALSE),"")</f>
        <v>11.124.307-7</v>
      </c>
      <c r="B463" s="65" t="str">
        <f>IFERROR(VLOOKUP('Informe Kelly'!A456,Base!A:G,7,FALSE),"")</f>
        <v>MUÑOZ QUENPUL JOSE ENRIQUE</v>
      </c>
      <c r="C463" s="69" t="str">
        <f>IF(G463=$C$4,IF('Informe Kelly'!H456='Control informe Kelly'!$A$2,TEXT(((LEFT('Informe Kelly'!E456,2)*1)+1),"dd")&amp;"."&amp;MID('Informe Kelly'!E456,4,2)&amp;"."&amp;RIGHT('Informe Kelly'!E456,4),'Informe Kelly'!E456),'Informe Kelly'!E456)</f>
        <v>15.04.2011</v>
      </c>
      <c r="D463" s="69" t="str">
        <f>IF('Informe Kelly'!E456="","",'Informe Kelly'!E456)</f>
        <v>14.04.2011</v>
      </c>
      <c r="E463" s="72">
        <f t="shared" si="15"/>
        <v>231</v>
      </c>
      <c r="F463" s="72" t="str">
        <f>IFERROR(HLOOKUP(C463,Ingreso!$Q$8:$AD$9,2,FALSE),"v")</f>
        <v>Viernes</v>
      </c>
      <c r="G463" s="65" t="str">
        <f>IFERROR(VLOOKUP(A463,Ingreso!K:P,6,FALSE),"no esta ingresado")</f>
        <v>Turno C</v>
      </c>
      <c r="H463" s="65">
        <f>IFERROR(IF('Informe Kelly'!H456=$A$2,'Informe Kelly'!F456,""),0)</f>
        <v>0.92704861111111114</v>
      </c>
      <c r="I463" s="65" t="str">
        <f>IFERROR(IF('Informe Kelly'!H456=$A$3,'Informe Kelly'!F456,""),0)</f>
        <v/>
      </c>
      <c r="J463" s="65" t="str">
        <f>IF(IFERROR(IF(E463=E462,0,(HLOOKUP(D463,Ingreso!$AN$10:$AT$260,VLOOKUP(A463,Ingreso!$AL$11:$AM$260,2,FALSE)))/24),0)=0,"",IFERROR(IF(E463=E462,0,(HLOOKUP(D463,Ingreso!$AN$10:$AT$260,VLOOKUP(A463,Ingreso!$AL$11:$AM$260,2,FALSE)))/24),0))</f>
        <v/>
      </c>
      <c r="K463" s="65" t="str">
        <f>IF(IFERROR(IF(E463=E462,0,(HLOOKUP(C463,Ingreso!$AW$10:$BC$260,VLOOKUP(A463,Ingreso!$AL$11:$AM$260,2,FALSE)))/24),0)=0,"",IFERROR(IF(E463=E462,0,(HLOOKUP(C463,Ingreso!$AW$10:$BC$260,VLOOKUP(A463,Ingreso!$AL$11:$AM$260,2,FALSE)))/24),0))</f>
        <v/>
      </c>
      <c r="L463" s="63">
        <f t="shared" si="14"/>
        <v>0</v>
      </c>
      <c r="M463" s="63" t="str">
        <f>IF(IFERROR(IF(C463=C461,0,IF(E463=E462,0,IF(C463=$R$2,HLOOKUP($R$2,Ingreso!$AW$10:$BC$260,VLOOKUP(A463,Ingreso!AL:AM,2,FALSE),FALSE)/24,""))),"")=0,"",IFERROR(IF(C463=C461,0,IF(E463=E462,0,IF(C463=$R$2,HLOOKUP($R$2,Ingreso!$AW$10:$BC$260,VLOOKUP(A463,Ingreso!AL:AM,2,FALSE),FALSE)/24,""))),""))</f>
        <v/>
      </c>
      <c r="N463" s="95" t="str">
        <f>IF(IFERROR(IF(C463=C461,0,IF(E463=E462,0,IF(C463=$R$3,HLOOKUP($R$3,Ingreso!$AW$10:$BC$260,VLOOKUP(A463,Ingreso!AL:AM,2,FALSE),FALSE)/24,""))),"")=0,"",IFERROR(IF(C463=C461,0,IF(E463=E462,0,IF(C463=$R$3,HLOOKUP($R$3,Ingreso!$AW$10:$BC$260,VLOOKUP(A463,Ingreso!AL:AM,2,FALSE),FALSE)/24,""))),""))</f>
        <v/>
      </c>
      <c r="O463" s="95" t="str">
        <f>IF(IFERROR(IF(C463=C461,0,IF(E463=E462,0,IF(C463=$R$4,HLOOKUP($R$4,Ingreso!$AW$10:$BC$260,VLOOKUP(A463,Ingreso!AL:AM,2,FALSE),FALSE)/24,""))),"")=0,"",IFERROR(IF(C463=C461,0,IF(E463=E462,0,IF(C463=$R$4,HLOOKUP($R$4,Ingreso!$AW$10:$BC$260,VLOOKUP(A463,Ingreso!AL:AM,2,FALSE),FALSE)/24,""))),""))</f>
        <v/>
      </c>
      <c r="P463" s="90"/>
      <c r="V463"/>
      <c r="W463"/>
      <c r="X463"/>
      <c r="Y463"/>
      <c r="Z463"/>
      <c r="AA463"/>
      <c r="AB463"/>
      <c r="AC463"/>
      <c r="AD463"/>
    </row>
    <row r="464" spans="1:30">
      <c r="A464" s="65" t="str">
        <f>IFERROR(VLOOKUP('Informe Kelly'!A457,Base!A:B,2,FALSE),"")</f>
        <v>11.124.307-7</v>
      </c>
      <c r="B464" s="65" t="str">
        <f>IFERROR(VLOOKUP('Informe Kelly'!A457,Base!A:G,7,FALSE),"")</f>
        <v>MUÑOZ QUENPUL JOSE ENRIQUE</v>
      </c>
      <c r="C464" s="69" t="str">
        <f>IF(G464=$C$4,IF('Informe Kelly'!H457='Control informe Kelly'!$A$2,TEXT(((LEFT('Informe Kelly'!E457,2)*1)+1),"dd")&amp;"."&amp;MID('Informe Kelly'!E457,4,2)&amp;"."&amp;RIGHT('Informe Kelly'!E457,4),'Informe Kelly'!E457),'Informe Kelly'!E457)</f>
        <v>15.04.2011</v>
      </c>
      <c r="D464" s="69" t="str">
        <f>IF('Informe Kelly'!E457="","",'Informe Kelly'!E457)</f>
        <v>15.04.2011</v>
      </c>
      <c r="E464" s="72">
        <f t="shared" si="15"/>
        <v>232</v>
      </c>
      <c r="F464" s="72" t="str">
        <f>IFERROR(HLOOKUP(C464,Ingreso!$Q$8:$AD$9,2,FALSE),"v")</f>
        <v>Viernes</v>
      </c>
      <c r="G464" s="65" t="str">
        <f>IFERROR(VLOOKUP(A464,Ingreso!K:P,6,FALSE),"no esta ingresado")</f>
        <v>Turno C</v>
      </c>
      <c r="H464" s="65" t="str">
        <f>IFERROR(IF('Informe Kelly'!H457=$A$2,'Informe Kelly'!F457,""),0)</f>
        <v/>
      </c>
      <c r="I464" s="65">
        <f>IFERROR(IF('Informe Kelly'!H457=$A$3,'Informe Kelly'!F457,""),0)</f>
        <v>0.32392361111111112</v>
      </c>
      <c r="J464" s="65" t="str">
        <f>IF(IFERROR(IF(E464=E463,0,(HLOOKUP(D464,Ingreso!$AN$10:$AT$260,VLOOKUP(A464,Ingreso!$AL$11:$AM$260,2,FALSE)))/24),0)=0,"",IFERROR(IF(E464=E463,0,(HLOOKUP(D464,Ingreso!$AN$10:$AT$260,VLOOKUP(A464,Ingreso!$AL$11:$AM$260,2,FALSE)))/24),0))</f>
        <v/>
      </c>
      <c r="K464" s="65" t="str">
        <f>IF(IFERROR(IF(E464=E463,0,(HLOOKUP(C464,Ingreso!$AW$10:$BC$260,VLOOKUP(A464,Ingreso!$AL$11:$AM$260,2,FALSE)))/24),0)=0,"",IFERROR(IF(E464=E463,0,(HLOOKUP(C464,Ingreso!$AW$10:$BC$260,VLOOKUP(A464,Ingreso!$AL$11:$AM$260,2,FALSE)))/24),0))</f>
        <v/>
      </c>
      <c r="L464" s="63">
        <f t="shared" si="14"/>
        <v>0</v>
      </c>
      <c r="M464" s="63" t="str">
        <f>IF(IFERROR(IF(C464=C462,0,IF(E464=E463,0,IF(C464=$R$2,HLOOKUP($R$2,Ingreso!$AW$10:$BC$260,VLOOKUP(A464,Ingreso!AL:AM,2,FALSE),FALSE)/24,""))),"")=0,"",IFERROR(IF(C464=C462,0,IF(E464=E463,0,IF(C464=$R$2,HLOOKUP($R$2,Ingreso!$AW$10:$BC$260,VLOOKUP(A464,Ingreso!AL:AM,2,FALSE),FALSE)/24,""))),""))</f>
        <v/>
      </c>
      <c r="N464" s="95" t="str">
        <f>IF(IFERROR(IF(C464=C462,0,IF(E464=E463,0,IF(C464=$R$3,HLOOKUP($R$3,Ingreso!$AW$10:$BC$260,VLOOKUP(A464,Ingreso!AL:AM,2,FALSE),FALSE)/24,""))),"")=0,"",IFERROR(IF(C464=C462,0,IF(E464=E463,0,IF(C464=$R$3,HLOOKUP($R$3,Ingreso!$AW$10:$BC$260,VLOOKUP(A464,Ingreso!AL:AM,2,FALSE),FALSE)/24,""))),""))</f>
        <v/>
      </c>
      <c r="O464" s="95" t="str">
        <f>IF(IFERROR(IF(C464=C462,0,IF(E464=E463,0,IF(C464=$R$4,HLOOKUP($R$4,Ingreso!$AW$10:$BC$260,VLOOKUP(A464,Ingreso!AL:AM,2,FALSE),FALSE)/24,""))),"")=0,"",IFERROR(IF(C464=C462,0,IF(E464=E463,0,IF(C464=$R$4,HLOOKUP($R$4,Ingreso!$AW$10:$BC$260,VLOOKUP(A464,Ingreso!AL:AM,2,FALSE),FALSE)/24,""))),""))</f>
        <v/>
      </c>
      <c r="P464" s="90"/>
      <c r="V464"/>
      <c r="W464"/>
      <c r="X464"/>
      <c r="Y464"/>
      <c r="Z464"/>
      <c r="AA464"/>
      <c r="AB464"/>
      <c r="AC464"/>
      <c r="AD464"/>
    </row>
    <row r="465" spans="1:30">
      <c r="A465" s="65" t="str">
        <f>IFERROR(VLOOKUP('Informe Kelly'!A458,Base!A:B,2,FALSE),"")</f>
        <v>11.124.307-7</v>
      </c>
      <c r="B465" s="65" t="str">
        <f>IFERROR(VLOOKUP('Informe Kelly'!A458,Base!A:G,7,FALSE),"")</f>
        <v>MUÑOZ QUENPUL JOSE ENRIQUE</v>
      </c>
      <c r="C465" s="69" t="str">
        <f>IF(G465=$C$4,IF('Informe Kelly'!H458='Control informe Kelly'!$A$2,TEXT(((LEFT('Informe Kelly'!E458,2)*1)+1),"dd")&amp;"."&amp;MID('Informe Kelly'!E458,4,2)&amp;"."&amp;RIGHT('Informe Kelly'!E458,4),'Informe Kelly'!E458),'Informe Kelly'!E458)</f>
        <v>16.04.2011</v>
      </c>
      <c r="D465" s="69" t="str">
        <f>IF('Informe Kelly'!E458="","",'Informe Kelly'!E458)</f>
        <v>15.04.2011</v>
      </c>
      <c r="E465" s="72">
        <f t="shared" si="15"/>
        <v>233</v>
      </c>
      <c r="F465" s="72" t="str">
        <f>IFERROR(HLOOKUP(C465,Ingreso!$Q$8:$AD$9,2,FALSE),"v")</f>
        <v>Sábado</v>
      </c>
      <c r="G465" s="65" t="str">
        <f>IFERROR(VLOOKUP(A465,Ingreso!K:P,6,FALSE),"no esta ingresado")</f>
        <v>Turno C</v>
      </c>
      <c r="H465" s="65">
        <f>IFERROR(IF('Informe Kelly'!H458=$A$2,'Informe Kelly'!F458,""),0)</f>
        <v>0.92092592592592604</v>
      </c>
      <c r="I465" s="65" t="str">
        <f>IFERROR(IF('Informe Kelly'!H458=$A$3,'Informe Kelly'!F458,""),0)</f>
        <v/>
      </c>
      <c r="J465" s="65" t="str">
        <f>IF(IFERROR(IF(E465=E464,0,(HLOOKUP(D465,Ingreso!$AN$10:$AT$260,VLOOKUP(A465,Ingreso!$AL$11:$AM$260,2,FALSE)))/24),0)=0,"",IFERROR(IF(E465=E464,0,(HLOOKUP(D465,Ingreso!$AN$10:$AT$260,VLOOKUP(A465,Ingreso!$AL$11:$AM$260,2,FALSE)))/24),0))</f>
        <v/>
      </c>
      <c r="K465" s="65" t="str">
        <f>IF(IFERROR(IF(E465=E464,0,(HLOOKUP(C465,Ingreso!$AW$10:$BC$260,VLOOKUP(A465,Ingreso!$AL$11:$AM$260,2,FALSE)))/24),0)=0,"",IFERROR(IF(E465=E464,0,(HLOOKUP(C465,Ingreso!$AW$10:$BC$260,VLOOKUP(A465,Ingreso!$AL$11:$AM$260,2,FALSE)))/24),0))</f>
        <v/>
      </c>
      <c r="L465" s="63">
        <f t="shared" si="14"/>
        <v>0.375</v>
      </c>
      <c r="M465" s="63" t="str">
        <f>IF(IFERROR(IF(C465=C463,0,IF(E465=E464,0,IF(C465=$R$2,HLOOKUP($R$2,Ingreso!$AW$10:$BC$260,VLOOKUP(A465,Ingreso!AL:AM,2,FALSE),FALSE)/24,""))),"")=0,"",IFERROR(IF(C465=C463,0,IF(E465=E464,0,IF(C465=$R$2,HLOOKUP($R$2,Ingreso!$AW$10:$BC$260,VLOOKUP(A465,Ingreso!AL:AM,2,FALSE),FALSE)/24,""))),""))</f>
        <v/>
      </c>
      <c r="N465" s="95" t="str">
        <f>IF(IFERROR(IF(C465=C463,0,IF(E465=E464,0,IF(C465=$R$3,HLOOKUP($R$3,Ingreso!$AW$10:$BC$260,VLOOKUP(A465,Ingreso!AL:AM,2,FALSE),FALSE)/24,""))),"")=0,"",IFERROR(IF(C465=C463,0,IF(E465=E464,0,IF(C465=$R$3,HLOOKUP($R$3,Ingreso!$AW$10:$BC$260,VLOOKUP(A465,Ingreso!AL:AM,2,FALSE),FALSE)/24,""))),""))</f>
        <v/>
      </c>
      <c r="O465" s="95" t="str">
        <f>IF(IFERROR(IF(C465=C463,0,IF(E465=E464,0,IF(C465=$R$4,HLOOKUP($R$4,Ingreso!$AW$10:$BC$260,VLOOKUP(A465,Ingreso!AL:AM,2,FALSE),FALSE)/24,""))),"")=0,"",IFERROR(IF(C465=C463,0,IF(E465=E464,0,IF(C465=$R$4,HLOOKUP($R$4,Ingreso!$AW$10:$BC$260,VLOOKUP(A465,Ingreso!AL:AM,2,FALSE),FALSE)/24,""))),""))</f>
        <v/>
      </c>
      <c r="P465" s="90"/>
      <c r="V465"/>
      <c r="W465"/>
      <c r="X465"/>
      <c r="Y465"/>
      <c r="Z465"/>
      <c r="AA465"/>
      <c r="AB465"/>
      <c r="AC465"/>
      <c r="AD465"/>
    </row>
    <row r="466" spans="1:30">
      <c r="A466" s="65" t="str">
        <f>IFERROR(VLOOKUP('Informe Kelly'!A459,Base!A:B,2,FALSE),"")</f>
        <v>11.124.307-7</v>
      </c>
      <c r="B466" s="65" t="str">
        <f>IFERROR(VLOOKUP('Informe Kelly'!A459,Base!A:G,7,FALSE),"")</f>
        <v>MUÑOZ QUENPUL JOSE ENRIQUE</v>
      </c>
      <c r="C466" s="69" t="str">
        <f>IF(G466=$C$4,IF('Informe Kelly'!H459='Control informe Kelly'!$A$2,TEXT(((LEFT('Informe Kelly'!E459,2)*1)+1),"dd")&amp;"."&amp;MID('Informe Kelly'!E459,4,2)&amp;"."&amp;RIGHT('Informe Kelly'!E459,4),'Informe Kelly'!E459),'Informe Kelly'!E459)</f>
        <v>16.04.2011</v>
      </c>
      <c r="D466" s="69" t="str">
        <f>IF('Informe Kelly'!E459="","",'Informe Kelly'!E459)</f>
        <v>16.04.2011</v>
      </c>
      <c r="E466" s="72">
        <f t="shared" si="15"/>
        <v>233</v>
      </c>
      <c r="F466" s="72" t="str">
        <f>IFERROR(HLOOKUP(C466,Ingreso!$Q$8:$AD$9,2,FALSE),"v")</f>
        <v>Sábado</v>
      </c>
      <c r="G466" s="65" t="str">
        <f>IFERROR(VLOOKUP(A466,Ingreso!K:P,6,FALSE),"no esta ingresado")</f>
        <v>Turno C</v>
      </c>
      <c r="H466" s="65" t="str">
        <f>IFERROR(IF('Informe Kelly'!H459=$A$2,'Informe Kelly'!F459,""),0)</f>
        <v/>
      </c>
      <c r="I466" s="65">
        <f>IFERROR(IF('Informe Kelly'!H459=$A$3,'Informe Kelly'!F459,""),0)</f>
        <v>0.32577546296296295</v>
      </c>
      <c r="J466" s="65" t="str">
        <f>IF(IFERROR(IF(E466=E465,0,(HLOOKUP(D466,Ingreso!$AN$10:$AT$260,VLOOKUP(A466,Ingreso!$AL$11:$AM$260,2,FALSE)))/24),0)=0,"",IFERROR(IF(E466=E465,0,(HLOOKUP(D466,Ingreso!$AN$10:$AT$260,VLOOKUP(A466,Ingreso!$AL$11:$AM$260,2,FALSE)))/24),0))</f>
        <v/>
      </c>
      <c r="K466" s="65" t="str">
        <f>IF(IFERROR(IF(E466=E465,0,(HLOOKUP(C466,Ingreso!$AW$10:$BC$260,VLOOKUP(A466,Ingreso!$AL$11:$AM$260,2,FALSE)))/24),0)=0,"",IFERROR(IF(E466=E465,0,(HLOOKUP(C466,Ingreso!$AW$10:$BC$260,VLOOKUP(A466,Ingreso!$AL$11:$AM$260,2,FALSE)))/24),0))</f>
        <v/>
      </c>
      <c r="L466" s="63">
        <f t="shared" si="14"/>
        <v>0</v>
      </c>
      <c r="M466" s="63" t="str">
        <f>IF(IFERROR(IF(C466=C464,0,IF(E466=E465,0,IF(C466=$R$2,HLOOKUP($R$2,Ingreso!$AW$10:$BC$260,VLOOKUP(A466,Ingreso!AL:AM,2,FALSE),FALSE)/24,""))),"")=0,"",IFERROR(IF(C466=C464,0,IF(E466=E465,0,IF(C466=$R$2,HLOOKUP($R$2,Ingreso!$AW$10:$BC$260,VLOOKUP(A466,Ingreso!AL:AM,2,FALSE),FALSE)/24,""))),""))</f>
        <v/>
      </c>
      <c r="N466" s="95" t="str">
        <f>IF(IFERROR(IF(C466=C464,0,IF(E466=E465,0,IF(C466=$R$3,HLOOKUP($R$3,Ingreso!$AW$10:$BC$260,VLOOKUP(A466,Ingreso!AL:AM,2,FALSE),FALSE)/24,""))),"")=0,"",IFERROR(IF(C466=C464,0,IF(E466=E465,0,IF(C466=$R$3,HLOOKUP($R$3,Ingreso!$AW$10:$BC$260,VLOOKUP(A466,Ingreso!AL:AM,2,FALSE),FALSE)/24,""))),""))</f>
        <v/>
      </c>
      <c r="O466" s="95" t="str">
        <f>IF(IFERROR(IF(C466=C464,0,IF(E466=E465,0,IF(C466=$R$4,HLOOKUP($R$4,Ingreso!$AW$10:$BC$260,VLOOKUP(A466,Ingreso!AL:AM,2,FALSE),FALSE)/24,""))),"")=0,"",IFERROR(IF(C466=C464,0,IF(E466=E465,0,IF(C466=$R$4,HLOOKUP($R$4,Ingreso!$AW$10:$BC$260,VLOOKUP(A466,Ingreso!AL:AM,2,FALSE),FALSE)/24,""))),""))</f>
        <v/>
      </c>
      <c r="P466" s="90"/>
      <c r="V466"/>
      <c r="W466"/>
      <c r="X466"/>
      <c r="Y466"/>
      <c r="Z466"/>
      <c r="AA466"/>
      <c r="AB466"/>
      <c r="AC466"/>
      <c r="AD466"/>
    </row>
    <row r="467" spans="1:30">
      <c r="A467" s="65" t="str">
        <f>IFERROR(VLOOKUP('Informe Kelly'!A460,Base!A:B,2,FALSE),"")</f>
        <v>11.267.594-9</v>
      </c>
      <c r="B467" s="65" t="str">
        <f>IFERROR(VLOOKUP('Informe Kelly'!A460,Base!A:G,7,FALSE),"")</f>
        <v>ESPINOZA MORENO JOAQUIN</v>
      </c>
      <c r="C467" s="69" t="str">
        <f>IF(G467=$C$4,IF('Informe Kelly'!H460='Control informe Kelly'!$A$2,TEXT(((LEFT('Informe Kelly'!E460,2)*1)+1),"dd")&amp;"."&amp;MID('Informe Kelly'!E460,4,2)&amp;"."&amp;RIGHT('Informe Kelly'!E460,4),'Informe Kelly'!E460),'Informe Kelly'!E460)</f>
        <v>11.04.2011</v>
      </c>
      <c r="D467" s="69" t="str">
        <f>IF('Informe Kelly'!E460="","",'Informe Kelly'!E460)</f>
        <v>11.04.2011</v>
      </c>
      <c r="E467" s="72">
        <f t="shared" si="15"/>
        <v>234</v>
      </c>
      <c r="F467" s="72" t="str">
        <f>IFERROR(HLOOKUP(C467,Ingreso!$Q$8:$AD$9,2,FALSE),"v")</f>
        <v>Lunes</v>
      </c>
      <c r="G467" s="65" t="str">
        <f>IFERROR(VLOOKUP(A467,Ingreso!K:P,6,FALSE),"no esta ingresado")</f>
        <v>Admin</v>
      </c>
      <c r="H467" s="65" t="str">
        <f>IFERROR(IF('Informe Kelly'!H460=$A$2,'Informe Kelly'!F460,""),0)</f>
        <v/>
      </c>
      <c r="I467" s="65">
        <f>IFERROR(IF('Informe Kelly'!H460=$A$3,'Informe Kelly'!F460,""),0)</f>
        <v>0.80787037037037035</v>
      </c>
      <c r="J467" s="65">
        <f>IF(IFERROR(IF(E467=E466,0,(HLOOKUP(D467,Ingreso!$AN$10:$AT$260,VLOOKUP(A467,Ingreso!$AL$11:$AM$260,2,FALSE)))/24),0)=0,"",IFERROR(IF(E467=E466,0,(HLOOKUP(D467,Ingreso!$AN$10:$AT$260,VLOOKUP(A467,Ingreso!$AL$11:$AM$260,2,FALSE)))/24),0))</f>
        <v>8.3333333333333329E-2</v>
      </c>
      <c r="K467" s="65" t="str">
        <f>IF(IFERROR(IF(E467=E466,0,(HLOOKUP(C467,Ingreso!$AW$10:$BC$260,VLOOKUP(A467,Ingreso!$AL$11:$AM$260,2,FALSE)))/24),0)=0,"",IFERROR(IF(E467=E466,0,(HLOOKUP(C467,Ingreso!$AW$10:$BC$260,VLOOKUP(A467,Ingreso!$AL$11:$AM$260,2,FALSE)))/24),0))</f>
        <v/>
      </c>
      <c r="L467" s="63">
        <f t="shared" si="14"/>
        <v>0.41666666666666669</v>
      </c>
      <c r="M467" s="63" t="str">
        <f>IF(IFERROR(IF(C467=C465,0,IF(E467=E466,0,IF(C467=$R$2,HLOOKUP($R$2,Ingreso!$AW$10:$BC$260,VLOOKUP(A467,Ingreso!AL:AM,2,FALSE),FALSE)/24,""))),"")=0,"",IFERROR(IF(C467=C465,0,IF(E467=E466,0,IF(C467=$R$2,HLOOKUP($R$2,Ingreso!$AW$10:$BC$260,VLOOKUP(A467,Ingreso!AL:AM,2,FALSE),FALSE)/24,""))),""))</f>
        <v/>
      </c>
      <c r="N467" s="95" t="str">
        <f>IF(IFERROR(IF(C467=C465,0,IF(E467=E466,0,IF(C467=$R$3,HLOOKUP($R$3,Ingreso!$AW$10:$BC$260,VLOOKUP(A467,Ingreso!AL:AM,2,FALSE),FALSE)/24,""))),"")=0,"",IFERROR(IF(C467=C465,0,IF(E467=E466,0,IF(C467=$R$3,HLOOKUP($R$3,Ingreso!$AW$10:$BC$260,VLOOKUP(A467,Ingreso!AL:AM,2,FALSE),FALSE)/24,""))),""))</f>
        <v/>
      </c>
      <c r="O467" s="95" t="str">
        <f>IF(IFERROR(IF(C467=C465,0,IF(E467=E466,0,IF(C467=$R$4,HLOOKUP($R$4,Ingreso!$AW$10:$BC$260,VLOOKUP(A467,Ingreso!AL:AM,2,FALSE),FALSE)/24,""))),"")=0,"",IFERROR(IF(C467=C465,0,IF(E467=E466,0,IF(C467=$R$4,HLOOKUP($R$4,Ingreso!$AW$10:$BC$260,VLOOKUP(A467,Ingreso!AL:AM,2,FALSE),FALSE)/24,""))),""))</f>
        <v/>
      </c>
      <c r="P467" s="90"/>
      <c r="V467"/>
      <c r="W467"/>
      <c r="X467"/>
      <c r="Y467"/>
      <c r="Z467"/>
      <c r="AA467"/>
      <c r="AB467"/>
      <c r="AC467"/>
      <c r="AD467"/>
    </row>
    <row r="468" spans="1:30">
      <c r="A468" s="65" t="str">
        <f>IFERROR(VLOOKUP('Informe Kelly'!A461,Base!A:B,2,FALSE),"")</f>
        <v>11.267.594-9</v>
      </c>
      <c r="B468" s="65" t="str">
        <f>IFERROR(VLOOKUP('Informe Kelly'!A461,Base!A:G,7,FALSE),"")</f>
        <v>ESPINOZA MORENO JOAQUIN</v>
      </c>
      <c r="C468" s="69" t="str">
        <f>IF(G468=$C$4,IF('Informe Kelly'!H461='Control informe Kelly'!$A$2,TEXT(((LEFT('Informe Kelly'!E461,2)*1)+1),"dd")&amp;"."&amp;MID('Informe Kelly'!E461,4,2)&amp;"."&amp;RIGHT('Informe Kelly'!E461,4),'Informe Kelly'!E461),'Informe Kelly'!E461)</f>
        <v>11.04.2011</v>
      </c>
      <c r="D468" s="69" t="str">
        <f>IF('Informe Kelly'!E461="","",'Informe Kelly'!E461)</f>
        <v>11.04.2011</v>
      </c>
      <c r="E468" s="72">
        <f t="shared" si="15"/>
        <v>234</v>
      </c>
      <c r="F468" s="72" t="str">
        <f>IFERROR(HLOOKUP(C468,Ingreso!$Q$8:$AD$9,2,FALSE),"v")</f>
        <v>Lunes</v>
      </c>
      <c r="G468" s="65" t="str">
        <f>IFERROR(VLOOKUP(A468,Ingreso!K:P,6,FALSE),"no esta ingresado")</f>
        <v>Admin</v>
      </c>
      <c r="H468" s="65">
        <f>IFERROR(IF('Informe Kelly'!H461=$A$2,'Informe Kelly'!F461,""),0)</f>
        <v>0.29038194444444443</v>
      </c>
      <c r="I468" s="65" t="str">
        <f>IFERROR(IF('Informe Kelly'!H461=$A$3,'Informe Kelly'!F461,""),0)</f>
        <v/>
      </c>
      <c r="J468" s="65" t="str">
        <f>IF(IFERROR(IF(E468=E467,0,(HLOOKUP(D468,Ingreso!$AN$10:$AT$260,VLOOKUP(A468,Ingreso!$AL$11:$AM$260,2,FALSE)))/24),0)=0,"",IFERROR(IF(E468=E467,0,(HLOOKUP(D468,Ingreso!$AN$10:$AT$260,VLOOKUP(A468,Ingreso!$AL$11:$AM$260,2,FALSE)))/24),0))</f>
        <v/>
      </c>
      <c r="K468" s="65" t="str">
        <f>IF(IFERROR(IF(E468=E467,0,(HLOOKUP(C468,Ingreso!$AW$10:$BC$260,VLOOKUP(A468,Ingreso!$AL$11:$AM$260,2,FALSE)))/24),0)=0,"",IFERROR(IF(E468=E467,0,(HLOOKUP(C468,Ingreso!$AW$10:$BC$260,VLOOKUP(A468,Ingreso!$AL$11:$AM$260,2,FALSE)))/24),0))</f>
        <v/>
      </c>
      <c r="L468" s="63">
        <f t="shared" si="14"/>
        <v>0</v>
      </c>
      <c r="M468" s="63" t="str">
        <f>IF(IFERROR(IF(C468=C466,0,IF(E468=E467,0,IF(C468=$R$2,HLOOKUP($R$2,Ingreso!$AW$10:$BC$260,VLOOKUP(A468,Ingreso!AL:AM,2,FALSE),FALSE)/24,""))),"")=0,"",IFERROR(IF(C468=C466,0,IF(E468=E467,0,IF(C468=$R$2,HLOOKUP($R$2,Ingreso!$AW$10:$BC$260,VLOOKUP(A468,Ingreso!AL:AM,2,FALSE),FALSE)/24,""))),""))</f>
        <v/>
      </c>
      <c r="N468" s="95" t="str">
        <f>IF(IFERROR(IF(C468=C466,0,IF(E468=E467,0,IF(C468=$R$3,HLOOKUP($R$3,Ingreso!$AW$10:$BC$260,VLOOKUP(A468,Ingreso!AL:AM,2,FALSE),FALSE)/24,""))),"")=0,"",IFERROR(IF(C468=C466,0,IF(E468=E467,0,IF(C468=$R$3,HLOOKUP($R$3,Ingreso!$AW$10:$BC$260,VLOOKUP(A468,Ingreso!AL:AM,2,FALSE),FALSE)/24,""))),""))</f>
        <v/>
      </c>
      <c r="O468" s="95" t="str">
        <f>IF(IFERROR(IF(C468=C466,0,IF(E468=E467,0,IF(C468=$R$4,HLOOKUP($R$4,Ingreso!$AW$10:$BC$260,VLOOKUP(A468,Ingreso!AL:AM,2,FALSE),FALSE)/24,""))),"")=0,"",IFERROR(IF(C468=C466,0,IF(E468=E467,0,IF(C468=$R$4,HLOOKUP($R$4,Ingreso!$AW$10:$BC$260,VLOOKUP(A468,Ingreso!AL:AM,2,FALSE),FALSE)/24,""))),""))</f>
        <v/>
      </c>
      <c r="P468" s="90"/>
      <c r="V468"/>
      <c r="W468"/>
      <c r="X468"/>
      <c r="Y468"/>
      <c r="Z468"/>
      <c r="AA468"/>
      <c r="AB468"/>
      <c r="AC468"/>
      <c r="AD468"/>
    </row>
    <row r="469" spans="1:30">
      <c r="A469" s="65" t="str">
        <f>IFERROR(VLOOKUP('Informe Kelly'!A462,Base!A:B,2,FALSE),"")</f>
        <v>11.267.594-9</v>
      </c>
      <c r="B469" s="65" t="str">
        <f>IFERROR(VLOOKUP('Informe Kelly'!A462,Base!A:G,7,FALSE),"")</f>
        <v>ESPINOZA MORENO JOAQUIN</v>
      </c>
      <c r="C469" s="69" t="str">
        <f>IF(G469=$C$4,IF('Informe Kelly'!H462='Control informe Kelly'!$A$2,TEXT(((LEFT('Informe Kelly'!E462,2)*1)+1),"dd")&amp;"."&amp;MID('Informe Kelly'!E462,4,2)&amp;"."&amp;RIGHT('Informe Kelly'!E462,4),'Informe Kelly'!E462),'Informe Kelly'!E462)</f>
        <v>12.04.2011</v>
      </c>
      <c r="D469" s="69" t="str">
        <f>IF('Informe Kelly'!E462="","",'Informe Kelly'!E462)</f>
        <v>12.04.2011</v>
      </c>
      <c r="E469" s="72">
        <f t="shared" si="15"/>
        <v>235</v>
      </c>
      <c r="F469" s="72" t="str">
        <f>IFERROR(HLOOKUP(C469,Ingreso!$Q$8:$AD$9,2,FALSE),"v")</f>
        <v>Martes</v>
      </c>
      <c r="G469" s="65" t="str">
        <f>IFERROR(VLOOKUP(A469,Ingreso!K:P,6,FALSE),"no esta ingresado")</f>
        <v>Admin</v>
      </c>
      <c r="H469" s="65" t="str">
        <f>IFERROR(IF('Informe Kelly'!H462=$A$2,'Informe Kelly'!F462,""),0)</f>
        <v/>
      </c>
      <c r="I469" s="65">
        <f>IFERROR(IF('Informe Kelly'!H462=$A$3,'Informe Kelly'!F462,""),0)</f>
        <v>0.8016550925925926</v>
      </c>
      <c r="J469" s="65">
        <f>IF(IFERROR(IF(E469=E468,0,(HLOOKUP(D469,Ingreso!$AN$10:$AT$260,VLOOKUP(A469,Ingreso!$AL$11:$AM$260,2,FALSE)))/24),0)=0,"",IFERROR(IF(E469=E468,0,(HLOOKUP(D469,Ingreso!$AN$10:$AT$260,VLOOKUP(A469,Ingreso!$AL$11:$AM$260,2,FALSE)))/24),0))</f>
        <v>8.3333333333333329E-2</v>
      </c>
      <c r="K469" s="65" t="str">
        <f>IF(IFERROR(IF(E469=E468,0,(HLOOKUP(C469,Ingreso!$AW$10:$BC$260,VLOOKUP(A469,Ingreso!$AL$11:$AM$260,2,FALSE)))/24),0)=0,"",IFERROR(IF(E469=E468,0,(HLOOKUP(C469,Ingreso!$AW$10:$BC$260,VLOOKUP(A469,Ingreso!$AL$11:$AM$260,2,FALSE)))/24),0))</f>
        <v/>
      </c>
      <c r="L469" s="63">
        <f t="shared" si="14"/>
        <v>0.41666666666666669</v>
      </c>
      <c r="M469" s="63" t="str">
        <f>IF(IFERROR(IF(C469=C467,0,IF(E469=E468,0,IF(C469=$R$2,HLOOKUP($R$2,Ingreso!$AW$10:$BC$260,VLOOKUP(A469,Ingreso!AL:AM,2,FALSE),FALSE)/24,""))),"")=0,"",IFERROR(IF(C469=C467,0,IF(E469=E468,0,IF(C469=$R$2,HLOOKUP($R$2,Ingreso!$AW$10:$BC$260,VLOOKUP(A469,Ingreso!AL:AM,2,FALSE),FALSE)/24,""))),""))</f>
        <v/>
      </c>
      <c r="N469" s="95" t="str">
        <f>IF(IFERROR(IF(C469=C467,0,IF(E469=E468,0,IF(C469=$R$3,HLOOKUP($R$3,Ingreso!$AW$10:$BC$260,VLOOKUP(A469,Ingreso!AL:AM,2,FALSE),FALSE)/24,""))),"")=0,"",IFERROR(IF(C469=C467,0,IF(E469=E468,0,IF(C469=$R$3,HLOOKUP($R$3,Ingreso!$AW$10:$BC$260,VLOOKUP(A469,Ingreso!AL:AM,2,FALSE),FALSE)/24,""))),""))</f>
        <v/>
      </c>
      <c r="O469" s="95" t="str">
        <f>IF(IFERROR(IF(C469=C467,0,IF(E469=E468,0,IF(C469=$R$4,HLOOKUP($R$4,Ingreso!$AW$10:$BC$260,VLOOKUP(A469,Ingreso!AL:AM,2,FALSE),FALSE)/24,""))),"")=0,"",IFERROR(IF(C469=C467,0,IF(E469=E468,0,IF(C469=$R$4,HLOOKUP($R$4,Ingreso!$AW$10:$BC$260,VLOOKUP(A469,Ingreso!AL:AM,2,FALSE),FALSE)/24,""))),""))</f>
        <v/>
      </c>
      <c r="P469" s="90"/>
      <c r="V469"/>
      <c r="W469"/>
      <c r="X469"/>
      <c r="Y469"/>
      <c r="Z469"/>
      <c r="AA469"/>
      <c r="AB469"/>
      <c r="AC469"/>
      <c r="AD469"/>
    </row>
    <row r="470" spans="1:30">
      <c r="A470" s="65" t="str">
        <f>IFERROR(VLOOKUP('Informe Kelly'!A463,Base!A:B,2,FALSE),"")</f>
        <v>11.267.594-9</v>
      </c>
      <c r="B470" s="65" t="str">
        <f>IFERROR(VLOOKUP('Informe Kelly'!A463,Base!A:G,7,FALSE),"")</f>
        <v>ESPINOZA MORENO JOAQUIN</v>
      </c>
      <c r="C470" s="69" t="str">
        <f>IF(G470=$C$4,IF('Informe Kelly'!H463='Control informe Kelly'!$A$2,TEXT(((LEFT('Informe Kelly'!E463,2)*1)+1),"dd")&amp;"."&amp;MID('Informe Kelly'!E463,4,2)&amp;"."&amp;RIGHT('Informe Kelly'!E463,4),'Informe Kelly'!E463),'Informe Kelly'!E463)</f>
        <v>12.04.2011</v>
      </c>
      <c r="D470" s="69" t="str">
        <f>IF('Informe Kelly'!E463="","",'Informe Kelly'!E463)</f>
        <v>12.04.2011</v>
      </c>
      <c r="E470" s="72">
        <f t="shared" si="15"/>
        <v>235</v>
      </c>
      <c r="F470" s="72" t="str">
        <f>IFERROR(HLOOKUP(C470,Ingreso!$Q$8:$AD$9,2,FALSE),"v")</f>
        <v>Martes</v>
      </c>
      <c r="G470" s="65" t="str">
        <f>IFERROR(VLOOKUP(A470,Ingreso!K:P,6,FALSE),"no esta ingresado")</f>
        <v>Admin</v>
      </c>
      <c r="H470" s="65">
        <f>IFERROR(IF('Informe Kelly'!H463=$A$2,'Informe Kelly'!F463,""),0)</f>
        <v>0.2902777777777778</v>
      </c>
      <c r="I470" s="65" t="str">
        <f>IFERROR(IF('Informe Kelly'!H463=$A$3,'Informe Kelly'!F463,""),0)</f>
        <v/>
      </c>
      <c r="J470" s="65" t="str">
        <f>IF(IFERROR(IF(E470=E469,0,(HLOOKUP(D470,Ingreso!$AN$10:$AT$260,VLOOKUP(A470,Ingreso!$AL$11:$AM$260,2,FALSE)))/24),0)=0,"",IFERROR(IF(E470=E469,0,(HLOOKUP(D470,Ingreso!$AN$10:$AT$260,VLOOKUP(A470,Ingreso!$AL$11:$AM$260,2,FALSE)))/24),0))</f>
        <v/>
      </c>
      <c r="K470" s="65" t="str">
        <f>IF(IFERROR(IF(E470=E469,0,(HLOOKUP(C470,Ingreso!$AW$10:$BC$260,VLOOKUP(A470,Ingreso!$AL$11:$AM$260,2,FALSE)))/24),0)=0,"",IFERROR(IF(E470=E469,0,(HLOOKUP(C470,Ingreso!$AW$10:$BC$260,VLOOKUP(A470,Ingreso!$AL$11:$AM$260,2,FALSE)))/24),0))</f>
        <v/>
      </c>
      <c r="L470" s="63">
        <f t="shared" si="14"/>
        <v>0</v>
      </c>
      <c r="M470" s="63" t="str">
        <f>IF(IFERROR(IF(C470=C468,0,IF(E470=E469,0,IF(C470=$R$2,HLOOKUP($R$2,Ingreso!$AW$10:$BC$260,VLOOKUP(A470,Ingreso!AL:AM,2,FALSE),FALSE)/24,""))),"")=0,"",IFERROR(IF(C470=C468,0,IF(E470=E469,0,IF(C470=$R$2,HLOOKUP($R$2,Ingreso!$AW$10:$BC$260,VLOOKUP(A470,Ingreso!AL:AM,2,FALSE),FALSE)/24,""))),""))</f>
        <v/>
      </c>
      <c r="N470" s="95" t="str">
        <f>IF(IFERROR(IF(C470=C468,0,IF(E470=E469,0,IF(C470=$R$3,HLOOKUP($R$3,Ingreso!$AW$10:$BC$260,VLOOKUP(A470,Ingreso!AL:AM,2,FALSE),FALSE)/24,""))),"")=0,"",IFERROR(IF(C470=C468,0,IF(E470=E469,0,IF(C470=$R$3,HLOOKUP($R$3,Ingreso!$AW$10:$BC$260,VLOOKUP(A470,Ingreso!AL:AM,2,FALSE),FALSE)/24,""))),""))</f>
        <v/>
      </c>
      <c r="O470" s="95" t="str">
        <f>IF(IFERROR(IF(C470=C468,0,IF(E470=E469,0,IF(C470=$R$4,HLOOKUP($R$4,Ingreso!$AW$10:$BC$260,VLOOKUP(A470,Ingreso!AL:AM,2,FALSE),FALSE)/24,""))),"")=0,"",IFERROR(IF(C470=C468,0,IF(E470=E469,0,IF(C470=$R$4,HLOOKUP($R$4,Ingreso!$AW$10:$BC$260,VLOOKUP(A470,Ingreso!AL:AM,2,FALSE),FALSE)/24,""))),""))</f>
        <v/>
      </c>
      <c r="P470" s="90"/>
      <c r="V470"/>
      <c r="W470"/>
      <c r="X470"/>
      <c r="Y470"/>
      <c r="Z470"/>
      <c r="AA470"/>
      <c r="AB470"/>
      <c r="AC470"/>
      <c r="AD470"/>
    </row>
    <row r="471" spans="1:30">
      <c r="A471" s="65" t="str">
        <f>IFERROR(VLOOKUP('Informe Kelly'!A464,Base!A:B,2,FALSE),"")</f>
        <v>11.267.594-9</v>
      </c>
      <c r="B471" s="65" t="str">
        <f>IFERROR(VLOOKUP('Informe Kelly'!A464,Base!A:G,7,FALSE),"")</f>
        <v>ESPINOZA MORENO JOAQUIN</v>
      </c>
      <c r="C471" s="69" t="str">
        <f>IF(G471=$C$4,IF('Informe Kelly'!H464='Control informe Kelly'!$A$2,TEXT(((LEFT('Informe Kelly'!E464,2)*1)+1),"dd")&amp;"."&amp;MID('Informe Kelly'!E464,4,2)&amp;"."&amp;RIGHT('Informe Kelly'!E464,4),'Informe Kelly'!E464),'Informe Kelly'!E464)</f>
        <v>13.04.2011</v>
      </c>
      <c r="D471" s="69" t="str">
        <f>IF('Informe Kelly'!E464="","",'Informe Kelly'!E464)</f>
        <v>13.04.2011</v>
      </c>
      <c r="E471" s="72">
        <f t="shared" si="15"/>
        <v>236</v>
      </c>
      <c r="F471" s="72" t="str">
        <f>IFERROR(HLOOKUP(C471,Ingreso!$Q$8:$AD$9,2,FALSE),"v")</f>
        <v>Miércoles</v>
      </c>
      <c r="G471" s="65" t="str">
        <f>IFERROR(VLOOKUP(A471,Ingreso!K:P,6,FALSE),"no esta ingresado")</f>
        <v>Admin</v>
      </c>
      <c r="H471" s="65" t="str">
        <f>IFERROR(IF('Informe Kelly'!H464=$A$2,'Informe Kelly'!F464,""),0)</f>
        <v/>
      </c>
      <c r="I471" s="65">
        <f>IFERROR(IF('Informe Kelly'!H464=$A$3,'Informe Kelly'!F464,""),0)</f>
        <v>0.80835648148148154</v>
      </c>
      <c r="J471" s="65">
        <f>IF(IFERROR(IF(E471=E470,0,(HLOOKUP(D471,Ingreso!$AN$10:$AT$260,VLOOKUP(A471,Ingreso!$AL$11:$AM$260,2,FALSE)))/24),0)=0,"",IFERROR(IF(E471=E470,0,(HLOOKUP(D471,Ingreso!$AN$10:$AT$260,VLOOKUP(A471,Ingreso!$AL$11:$AM$260,2,FALSE)))/24),0))</f>
        <v>8.3333333333333329E-2</v>
      </c>
      <c r="K471" s="65" t="str">
        <f>IF(IFERROR(IF(E471=E470,0,(HLOOKUP(C471,Ingreso!$AW$10:$BC$260,VLOOKUP(A471,Ingreso!$AL$11:$AM$260,2,FALSE)))/24),0)=0,"",IFERROR(IF(E471=E470,0,(HLOOKUP(C471,Ingreso!$AW$10:$BC$260,VLOOKUP(A471,Ingreso!$AL$11:$AM$260,2,FALSE)))/24),0))</f>
        <v/>
      </c>
      <c r="L471" s="63">
        <f t="shared" si="14"/>
        <v>0.41666666666666669</v>
      </c>
      <c r="M471" s="63" t="str">
        <f>IF(IFERROR(IF(C471=C469,0,IF(E471=E470,0,IF(C471=$R$2,HLOOKUP($R$2,Ingreso!$AW$10:$BC$260,VLOOKUP(A471,Ingreso!AL:AM,2,FALSE),FALSE)/24,""))),"")=0,"",IFERROR(IF(C471=C469,0,IF(E471=E470,0,IF(C471=$R$2,HLOOKUP($R$2,Ingreso!$AW$10:$BC$260,VLOOKUP(A471,Ingreso!AL:AM,2,FALSE),FALSE)/24,""))),""))</f>
        <v/>
      </c>
      <c r="N471" s="95" t="str">
        <f>IF(IFERROR(IF(C471=C469,0,IF(E471=E470,0,IF(C471=$R$3,HLOOKUP($R$3,Ingreso!$AW$10:$BC$260,VLOOKUP(A471,Ingreso!AL:AM,2,FALSE),FALSE)/24,""))),"")=0,"",IFERROR(IF(C471=C469,0,IF(E471=E470,0,IF(C471=$R$3,HLOOKUP($R$3,Ingreso!$AW$10:$BC$260,VLOOKUP(A471,Ingreso!AL:AM,2,FALSE),FALSE)/24,""))),""))</f>
        <v/>
      </c>
      <c r="O471" s="95" t="str">
        <f>IF(IFERROR(IF(C471=C469,0,IF(E471=E470,0,IF(C471=$R$4,HLOOKUP($R$4,Ingreso!$AW$10:$BC$260,VLOOKUP(A471,Ingreso!AL:AM,2,FALSE),FALSE)/24,""))),"")=0,"",IFERROR(IF(C471=C469,0,IF(E471=E470,0,IF(C471=$R$4,HLOOKUP($R$4,Ingreso!$AW$10:$BC$260,VLOOKUP(A471,Ingreso!AL:AM,2,FALSE),FALSE)/24,""))),""))</f>
        <v/>
      </c>
      <c r="P471" s="90"/>
      <c r="V471"/>
      <c r="W471"/>
      <c r="X471"/>
      <c r="Y471"/>
      <c r="Z471"/>
      <c r="AA471"/>
      <c r="AB471"/>
      <c r="AC471"/>
      <c r="AD471"/>
    </row>
    <row r="472" spans="1:30">
      <c r="A472" s="65" t="str">
        <f>IFERROR(VLOOKUP('Informe Kelly'!A465,Base!A:B,2,FALSE),"")</f>
        <v>11.267.594-9</v>
      </c>
      <c r="B472" s="65" t="str">
        <f>IFERROR(VLOOKUP('Informe Kelly'!A465,Base!A:G,7,FALSE),"")</f>
        <v>ESPINOZA MORENO JOAQUIN</v>
      </c>
      <c r="C472" s="69" t="str">
        <f>IF(G472=$C$4,IF('Informe Kelly'!H465='Control informe Kelly'!$A$2,TEXT(((LEFT('Informe Kelly'!E465,2)*1)+1),"dd")&amp;"."&amp;MID('Informe Kelly'!E465,4,2)&amp;"."&amp;RIGHT('Informe Kelly'!E465,4),'Informe Kelly'!E465),'Informe Kelly'!E465)</f>
        <v>13.04.2011</v>
      </c>
      <c r="D472" s="69" t="str">
        <f>IF('Informe Kelly'!E465="","",'Informe Kelly'!E465)</f>
        <v>13.04.2011</v>
      </c>
      <c r="E472" s="72">
        <f t="shared" si="15"/>
        <v>236</v>
      </c>
      <c r="F472" s="72" t="str">
        <f>IFERROR(HLOOKUP(C472,Ingreso!$Q$8:$AD$9,2,FALSE),"v")</f>
        <v>Miércoles</v>
      </c>
      <c r="G472" s="65" t="str">
        <f>IFERROR(VLOOKUP(A472,Ingreso!K:P,6,FALSE),"no esta ingresado")</f>
        <v>Admin</v>
      </c>
      <c r="H472" s="65">
        <f>IFERROR(IF('Informe Kelly'!H465=$A$2,'Informe Kelly'!F465,""),0)</f>
        <v>0.29542824074074076</v>
      </c>
      <c r="I472" s="65" t="str">
        <f>IFERROR(IF('Informe Kelly'!H465=$A$3,'Informe Kelly'!F465,""),0)</f>
        <v/>
      </c>
      <c r="J472" s="65" t="str">
        <f>IF(IFERROR(IF(E472=E471,0,(HLOOKUP(D472,Ingreso!$AN$10:$AT$260,VLOOKUP(A472,Ingreso!$AL$11:$AM$260,2,FALSE)))/24),0)=0,"",IFERROR(IF(E472=E471,0,(HLOOKUP(D472,Ingreso!$AN$10:$AT$260,VLOOKUP(A472,Ingreso!$AL$11:$AM$260,2,FALSE)))/24),0))</f>
        <v/>
      </c>
      <c r="K472" s="65" t="str">
        <f>IF(IFERROR(IF(E472=E471,0,(HLOOKUP(C472,Ingreso!$AW$10:$BC$260,VLOOKUP(A472,Ingreso!$AL$11:$AM$260,2,FALSE)))/24),0)=0,"",IFERROR(IF(E472=E471,0,(HLOOKUP(C472,Ingreso!$AW$10:$BC$260,VLOOKUP(A472,Ingreso!$AL$11:$AM$260,2,FALSE)))/24),0))</f>
        <v/>
      </c>
      <c r="L472" s="63">
        <f t="shared" si="14"/>
        <v>0</v>
      </c>
      <c r="M472" s="63" t="str">
        <f>IF(IFERROR(IF(C472=C470,0,IF(E472=E471,0,IF(C472=$R$2,HLOOKUP($R$2,Ingreso!$AW$10:$BC$260,VLOOKUP(A472,Ingreso!AL:AM,2,FALSE),FALSE)/24,""))),"")=0,"",IFERROR(IF(C472=C470,0,IF(E472=E471,0,IF(C472=$R$2,HLOOKUP($R$2,Ingreso!$AW$10:$BC$260,VLOOKUP(A472,Ingreso!AL:AM,2,FALSE),FALSE)/24,""))),""))</f>
        <v/>
      </c>
      <c r="N472" s="95" t="str">
        <f>IF(IFERROR(IF(C472=C470,0,IF(E472=E471,0,IF(C472=$R$3,HLOOKUP($R$3,Ingreso!$AW$10:$BC$260,VLOOKUP(A472,Ingreso!AL:AM,2,FALSE),FALSE)/24,""))),"")=0,"",IFERROR(IF(C472=C470,0,IF(E472=E471,0,IF(C472=$R$3,HLOOKUP($R$3,Ingreso!$AW$10:$BC$260,VLOOKUP(A472,Ingreso!AL:AM,2,FALSE),FALSE)/24,""))),""))</f>
        <v/>
      </c>
      <c r="O472" s="95" t="str">
        <f>IF(IFERROR(IF(C472=C470,0,IF(E472=E471,0,IF(C472=$R$4,HLOOKUP($R$4,Ingreso!$AW$10:$BC$260,VLOOKUP(A472,Ingreso!AL:AM,2,FALSE),FALSE)/24,""))),"")=0,"",IFERROR(IF(C472=C470,0,IF(E472=E471,0,IF(C472=$R$4,HLOOKUP($R$4,Ingreso!$AW$10:$BC$260,VLOOKUP(A472,Ingreso!AL:AM,2,FALSE),FALSE)/24,""))),""))</f>
        <v/>
      </c>
      <c r="P472" s="90"/>
      <c r="V472"/>
      <c r="W472"/>
      <c r="X472"/>
      <c r="Y472"/>
      <c r="Z472"/>
      <c r="AA472"/>
      <c r="AB472"/>
      <c r="AC472"/>
      <c r="AD472"/>
    </row>
    <row r="473" spans="1:30">
      <c r="A473" s="65" t="str">
        <f>IFERROR(VLOOKUP('Informe Kelly'!A466,Base!A:B,2,FALSE),"")</f>
        <v>11.267.594-9</v>
      </c>
      <c r="B473" s="65" t="str">
        <f>IFERROR(VLOOKUP('Informe Kelly'!A466,Base!A:G,7,FALSE),"")</f>
        <v>ESPINOZA MORENO JOAQUIN</v>
      </c>
      <c r="C473" s="69" t="str">
        <f>IF(G473=$C$4,IF('Informe Kelly'!H466='Control informe Kelly'!$A$2,TEXT(((LEFT('Informe Kelly'!E466,2)*1)+1),"dd")&amp;"."&amp;MID('Informe Kelly'!E466,4,2)&amp;"."&amp;RIGHT('Informe Kelly'!E466,4),'Informe Kelly'!E466),'Informe Kelly'!E466)</f>
        <v>14.04.2011</v>
      </c>
      <c r="D473" s="69" t="str">
        <f>IF('Informe Kelly'!E466="","",'Informe Kelly'!E466)</f>
        <v>14.04.2011</v>
      </c>
      <c r="E473" s="72">
        <f t="shared" si="15"/>
        <v>237</v>
      </c>
      <c r="F473" s="72" t="str">
        <f>IFERROR(HLOOKUP(C473,Ingreso!$Q$8:$AD$9,2,FALSE),"v")</f>
        <v>Jueves</v>
      </c>
      <c r="G473" s="65" t="str">
        <f>IFERROR(VLOOKUP(A473,Ingreso!K:P,6,FALSE),"no esta ingresado")</f>
        <v>Admin</v>
      </c>
      <c r="H473" s="65" t="str">
        <f>IFERROR(IF('Informe Kelly'!H466=$A$2,'Informe Kelly'!F466,""),0)</f>
        <v/>
      </c>
      <c r="I473" s="65">
        <f>IFERROR(IF('Informe Kelly'!H466=$A$3,'Informe Kelly'!F466,""),0)</f>
        <v>0.81098379629629624</v>
      </c>
      <c r="J473" s="65">
        <f>IF(IFERROR(IF(E473=E472,0,(HLOOKUP(D473,Ingreso!$AN$10:$AT$260,VLOOKUP(A473,Ingreso!$AL$11:$AM$260,2,FALSE)))/24),0)=0,"",IFERROR(IF(E473=E472,0,(HLOOKUP(D473,Ingreso!$AN$10:$AT$260,VLOOKUP(A473,Ingreso!$AL$11:$AM$260,2,FALSE)))/24),0))</f>
        <v>8.3333333333333329E-2</v>
      </c>
      <c r="K473" s="65" t="str">
        <f>IF(IFERROR(IF(E473=E472,0,(HLOOKUP(C473,Ingreso!$AW$10:$BC$260,VLOOKUP(A473,Ingreso!$AL$11:$AM$260,2,FALSE)))/24),0)=0,"",IFERROR(IF(E473=E472,0,(HLOOKUP(C473,Ingreso!$AW$10:$BC$260,VLOOKUP(A473,Ingreso!$AL$11:$AM$260,2,FALSE)))/24),0))</f>
        <v/>
      </c>
      <c r="L473" s="63">
        <f t="shared" si="14"/>
        <v>0.41666666666666669</v>
      </c>
      <c r="M473" s="63" t="str">
        <f>IF(IFERROR(IF(C473=C471,0,IF(E473=E472,0,IF(C473=$R$2,HLOOKUP($R$2,Ingreso!$AW$10:$BC$260,VLOOKUP(A473,Ingreso!AL:AM,2,FALSE),FALSE)/24,""))),"")=0,"",IFERROR(IF(C473=C471,0,IF(E473=E472,0,IF(C473=$R$2,HLOOKUP($R$2,Ingreso!$AW$10:$BC$260,VLOOKUP(A473,Ingreso!AL:AM,2,FALSE),FALSE)/24,""))),""))</f>
        <v/>
      </c>
      <c r="N473" s="95" t="str">
        <f>IF(IFERROR(IF(C473=C471,0,IF(E473=E472,0,IF(C473=$R$3,HLOOKUP($R$3,Ingreso!$AW$10:$BC$260,VLOOKUP(A473,Ingreso!AL:AM,2,FALSE),FALSE)/24,""))),"")=0,"",IFERROR(IF(C473=C471,0,IF(E473=E472,0,IF(C473=$R$3,HLOOKUP($R$3,Ingreso!$AW$10:$BC$260,VLOOKUP(A473,Ingreso!AL:AM,2,FALSE),FALSE)/24,""))),""))</f>
        <v/>
      </c>
      <c r="O473" s="95" t="str">
        <f>IF(IFERROR(IF(C473=C471,0,IF(E473=E472,0,IF(C473=$R$4,HLOOKUP($R$4,Ingreso!$AW$10:$BC$260,VLOOKUP(A473,Ingreso!AL:AM,2,FALSE),FALSE)/24,""))),"")=0,"",IFERROR(IF(C473=C471,0,IF(E473=E472,0,IF(C473=$R$4,HLOOKUP($R$4,Ingreso!$AW$10:$BC$260,VLOOKUP(A473,Ingreso!AL:AM,2,FALSE),FALSE)/24,""))),""))</f>
        <v/>
      </c>
      <c r="P473" s="90"/>
      <c r="V473"/>
      <c r="W473"/>
      <c r="X473"/>
      <c r="Y473"/>
      <c r="Z473"/>
      <c r="AA473"/>
      <c r="AB473"/>
      <c r="AC473"/>
      <c r="AD473"/>
    </row>
    <row r="474" spans="1:30">
      <c r="A474" s="65" t="str">
        <f>IFERROR(VLOOKUP('Informe Kelly'!A467,Base!A:B,2,FALSE),"")</f>
        <v>11.267.594-9</v>
      </c>
      <c r="B474" s="65" t="str">
        <f>IFERROR(VLOOKUP('Informe Kelly'!A467,Base!A:G,7,FALSE),"")</f>
        <v>ESPINOZA MORENO JOAQUIN</v>
      </c>
      <c r="C474" s="69" t="str">
        <f>IF(G474=$C$4,IF('Informe Kelly'!H467='Control informe Kelly'!$A$2,TEXT(((LEFT('Informe Kelly'!E467,2)*1)+1),"dd")&amp;"."&amp;MID('Informe Kelly'!E467,4,2)&amp;"."&amp;RIGHT('Informe Kelly'!E467,4),'Informe Kelly'!E467),'Informe Kelly'!E467)</f>
        <v>14.04.2011</v>
      </c>
      <c r="D474" s="69" t="str">
        <f>IF('Informe Kelly'!E467="","",'Informe Kelly'!E467)</f>
        <v>14.04.2011</v>
      </c>
      <c r="E474" s="72">
        <f t="shared" si="15"/>
        <v>237</v>
      </c>
      <c r="F474" s="72" t="str">
        <f>IFERROR(HLOOKUP(C474,Ingreso!$Q$8:$AD$9,2,FALSE),"v")</f>
        <v>Jueves</v>
      </c>
      <c r="G474" s="65" t="str">
        <f>IFERROR(VLOOKUP(A474,Ingreso!K:P,6,FALSE),"no esta ingresado")</f>
        <v>Admin</v>
      </c>
      <c r="H474" s="65">
        <f>IFERROR(IF('Informe Kelly'!H467=$A$2,'Informe Kelly'!F467,""),0)</f>
        <v>0.29956018518518518</v>
      </c>
      <c r="I474" s="65" t="str">
        <f>IFERROR(IF('Informe Kelly'!H467=$A$3,'Informe Kelly'!F467,""),0)</f>
        <v/>
      </c>
      <c r="J474" s="65" t="str">
        <f>IF(IFERROR(IF(E474=E473,0,(HLOOKUP(D474,Ingreso!$AN$10:$AT$260,VLOOKUP(A474,Ingreso!$AL$11:$AM$260,2,FALSE)))/24),0)=0,"",IFERROR(IF(E474=E473,0,(HLOOKUP(D474,Ingreso!$AN$10:$AT$260,VLOOKUP(A474,Ingreso!$AL$11:$AM$260,2,FALSE)))/24),0))</f>
        <v/>
      </c>
      <c r="K474" s="65" t="str">
        <f>IF(IFERROR(IF(E474=E473,0,(HLOOKUP(C474,Ingreso!$AW$10:$BC$260,VLOOKUP(A474,Ingreso!$AL$11:$AM$260,2,FALSE)))/24),0)=0,"",IFERROR(IF(E474=E473,0,(HLOOKUP(C474,Ingreso!$AW$10:$BC$260,VLOOKUP(A474,Ingreso!$AL$11:$AM$260,2,FALSE)))/24),0))</f>
        <v/>
      </c>
      <c r="L474" s="63">
        <f t="shared" si="14"/>
        <v>0</v>
      </c>
      <c r="M474" s="63" t="str">
        <f>IF(IFERROR(IF(C474=C472,0,IF(E474=E473,0,IF(C474=$R$2,HLOOKUP($R$2,Ingreso!$AW$10:$BC$260,VLOOKUP(A474,Ingreso!AL:AM,2,FALSE),FALSE)/24,""))),"")=0,"",IFERROR(IF(C474=C472,0,IF(E474=E473,0,IF(C474=$R$2,HLOOKUP($R$2,Ingreso!$AW$10:$BC$260,VLOOKUP(A474,Ingreso!AL:AM,2,FALSE),FALSE)/24,""))),""))</f>
        <v/>
      </c>
      <c r="N474" s="95" t="str">
        <f>IF(IFERROR(IF(C474=C472,0,IF(E474=E473,0,IF(C474=$R$3,HLOOKUP($R$3,Ingreso!$AW$10:$BC$260,VLOOKUP(A474,Ingreso!AL:AM,2,FALSE),FALSE)/24,""))),"")=0,"",IFERROR(IF(C474=C472,0,IF(E474=E473,0,IF(C474=$R$3,HLOOKUP($R$3,Ingreso!$AW$10:$BC$260,VLOOKUP(A474,Ingreso!AL:AM,2,FALSE),FALSE)/24,""))),""))</f>
        <v/>
      </c>
      <c r="O474" s="95" t="str">
        <f>IF(IFERROR(IF(C474=C472,0,IF(E474=E473,0,IF(C474=$R$4,HLOOKUP($R$4,Ingreso!$AW$10:$BC$260,VLOOKUP(A474,Ingreso!AL:AM,2,FALSE),FALSE)/24,""))),"")=0,"",IFERROR(IF(C474=C472,0,IF(E474=E473,0,IF(C474=$R$4,HLOOKUP($R$4,Ingreso!$AW$10:$BC$260,VLOOKUP(A474,Ingreso!AL:AM,2,FALSE),FALSE)/24,""))),""))</f>
        <v/>
      </c>
      <c r="P474" s="90"/>
      <c r="V474"/>
      <c r="W474"/>
      <c r="X474"/>
      <c r="Y474"/>
      <c r="Z474"/>
      <c r="AA474"/>
      <c r="AB474"/>
      <c r="AC474"/>
      <c r="AD474"/>
    </row>
    <row r="475" spans="1:30">
      <c r="A475" s="65" t="str">
        <f>IFERROR(VLOOKUP('Informe Kelly'!A468,Base!A:B,2,FALSE),"")</f>
        <v>11.267.594-9</v>
      </c>
      <c r="B475" s="65" t="str">
        <f>IFERROR(VLOOKUP('Informe Kelly'!A468,Base!A:G,7,FALSE),"")</f>
        <v>ESPINOZA MORENO JOAQUIN</v>
      </c>
      <c r="C475" s="69" t="str">
        <f>IF(G475=$C$4,IF('Informe Kelly'!H468='Control informe Kelly'!$A$2,TEXT(((LEFT('Informe Kelly'!E468,2)*1)+1),"dd")&amp;"."&amp;MID('Informe Kelly'!E468,4,2)&amp;"."&amp;RIGHT('Informe Kelly'!E468,4),'Informe Kelly'!E468),'Informe Kelly'!E468)</f>
        <v>15.04.2011</v>
      </c>
      <c r="D475" s="69" t="str">
        <f>IF('Informe Kelly'!E468="","",'Informe Kelly'!E468)</f>
        <v>15.04.2011</v>
      </c>
      <c r="E475" s="72">
        <f t="shared" si="15"/>
        <v>238</v>
      </c>
      <c r="F475" s="72" t="str">
        <f>IFERROR(HLOOKUP(C475,Ingreso!$Q$8:$AD$9,2,FALSE),"v")</f>
        <v>Viernes</v>
      </c>
      <c r="G475" s="65" t="str">
        <f>IFERROR(VLOOKUP(A475,Ingreso!K:P,6,FALSE),"no esta ingresado")</f>
        <v>Admin</v>
      </c>
      <c r="H475" s="65" t="str">
        <f>IFERROR(IF('Informe Kelly'!H468=$A$2,'Informe Kelly'!F468,""),0)</f>
        <v/>
      </c>
      <c r="I475" s="65">
        <f>IFERROR(IF('Informe Kelly'!H468=$A$3,'Informe Kelly'!F468,""),0)</f>
        <v>0.73178240740740741</v>
      </c>
      <c r="J475" s="65" t="str">
        <f>IF(IFERROR(IF(E475=E474,0,(HLOOKUP(D475,Ingreso!$AN$10:$AT$260,VLOOKUP(A475,Ingreso!$AL$11:$AM$260,2,FALSE)))/24),0)=0,"",IFERROR(IF(E475=E474,0,(HLOOKUP(D475,Ingreso!$AN$10:$AT$260,VLOOKUP(A475,Ingreso!$AL$11:$AM$260,2,FALSE)))/24),0))</f>
        <v/>
      </c>
      <c r="K475" s="65" t="str">
        <f>IF(IFERROR(IF(E475=E474,0,(HLOOKUP(C475,Ingreso!$AW$10:$BC$260,VLOOKUP(A475,Ingreso!$AL$11:$AM$260,2,FALSE)))/24),0)=0,"",IFERROR(IF(E475=E474,0,(HLOOKUP(C475,Ingreso!$AW$10:$BC$260,VLOOKUP(A475,Ingreso!$AL$11:$AM$260,2,FALSE)))/24),0))</f>
        <v/>
      </c>
      <c r="L475" s="63">
        <f t="shared" si="14"/>
        <v>0.41666666666666669</v>
      </c>
      <c r="M475" s="63" t="str">
        <f>IF(IFERROR(IF(C475=C473,0,IF(E475=E474,0,IF(C475=$R$2,HLOOKUP($R$2,Ingreso!$AW$10:$BC$260,VLOOKUP(A475,Ingreso!AL:AM,2,FALSE),FALSE)/24,""))),"")=0,"",IFERROR(IF(C475=C473,0,IF(E475=E474,0,IF(C475=$R$2,HLOOKUP($R$2,Ingreso!$AW$10:$BC$260,VLOOKUP(A475,Ingreso!AL:AM,2,FALSE),FALSE)/24,""))),""))</f>
        <v/>
      </c>
      <c r="N475" s="95" t="str">
        <f>IF(IFERROR(IF(C475=C473,0,IF(E475=E474,0,IF(C475=$R$3,HLOOKUP($R$3,Ingreso!$AW$10:$BC$260,VLOOKUP(A475,Ingreso!AL:AM,2,FALSE),FALSE)/24,""))),"")=0,"",IFERROR(IF(C475=C473,0,IF(E475=E474,0,IF(C475=$R$3,HLOOKUP($R$3,Ingreso!$AW$10:$BC$260,VLOOKUP(A475,Ingreso!AL:AM,2,FALSE),FALSE)/24,""))),""))</f>
        <v/>
      </c>
      <c r="O475" s="95" t="str">
        <f>IF(IFERROR(IF(C475=C473,0,IF(E475=E474,0,IF(C475=$R$4,HLOOKUP($R$4,Ingreso!$AW$10:$BC$260,VLOOKUP(A475,Ingreso!AL:AM,2,FALSE),FALSE)/24,""))),"")=0,"",IFERROR(IF(C475=C473,0,IF(E475=E474,0,IF(C475=$R$4,HLOOKUP($R$4,Ingreso!$AW$10:$BC$260,VLOOKUP(A475,Ingreso!AL:AM,2,FALSE),FALSE)/24,""))),""))</f>
        <v/>
      </c>
      <c r="P475" s="90"/>
      <c r="V475"/>
      <c r="W475"/>
      <c r="X475"/>
      <c r="Y475"/>
      <c r="Z475"/>
      <c r="AA475"/>
      <c r="AB475"/>
      <c r="AC475"/>
      <c r="AD475"/>
    </row>
    <row r="476" spans="1:30">
      <c r="A476" s="65" t="str">
        <f>IFERROR(VLOOKUP('Informe Kelly'!A469,Base!A:B,2,FALSE),"")</f>
        <v>11.267.594-9</v>
      </c>
      <c r="B476" s="65" t="str">
        <f>IFERROR(VLOOKUP('Informe Kelly'!A469,Base!A:G,7,FALSE),"")</f>
        <v>ESPINOZA MORENO JOAQUIN</v>
      </c>
      <c r="C476" s="69" t="str">
        <f>IF(G476=$C$4,IF('Informe Kelly'!H469='Control informe Kelly'!$A$2,TEXT(((LEFT('Informe Kelly'!E469,2)*1)+1),"dd")&amp;"."&amp;MID('Informe Kelly'!E469,4,2)&amp;"."&amp;RIGHT('Informe Kelly'!E469,4),'Informe Kelly'!E469),'Informe Kelly'!E469)</f>
        <v>15.04.2011</v>
      </c>
      <c r="D476" s="69" t="str">
        <f>IF('Informe Kelly'!E469="","",'Informe Kelly'!E469)</f>
        <v>15.04.2011</v>
      </c>
      <c r="E476" s="72">
        <f t="shared" si="15"/>
        <v>238</v>
      </c>
      <c r="F476" s="72" t="str">
        <f>IFERROR(HLOOKUP(C476,Ingreso!$Q$8:$AD$9,2,FALSE),"v")</f>
        <v>Viernes</v>
      </c>
      <c r="G476" s="65" t="str">
        <f>IFERROR(VLOOKUP(A476,Ingreso!K:P,6,FALSE),"no esta ingresado")</f>
        <v>Admin</v>
      </c>
      <c r="H476" s="65">
        <f>IFERROR(IF('Informe Kelly'!H469=$A$2,'Informe Kelly'!F469,""),0)</f>
        <v>0.29302083333333334</v>
      </c>
      <c r="I476" s="65" t="str">
        <f>IFERROR(IF('Informe Kelly'!H469=$A$3,'Informe Kelly'!F469,""),0)</f>
        <v/>
      </c>
      <c r="J476" s="65" t="str">
        <f>IF(IFERROR(IF(E476=E475,0,(HLOOKUP(D476,Ingreso!$AN$10:$AT$260,VLOOKUP(A476,Ingreso!$AL$11:$AM$260,2,FALSE)))/24),0)=0,"",IFERROR(IF(E476=E475,0,(HLOOKUP(D476,Ingreso!$AN$10:$AT$260,VLOOKUP(A476,Ingreso!$AL$11:$AM$260,2,FALSE)))/24),0))</f>
        <v/>
      </c>
      <c r="K476" s="65" t="str">
        <f>IF(IFERROR(IF(E476=E475,0,(HLOOKUP(C476,Ingreso!$AW$10:$BC$260,VLOOKUP(A476,Ingreso!$AL$11:$AM$260,2,FALSE)))/24),0)=0,"",IFERROR(IF(E476=E475,0,(HLOOKUP(C476,Ingreso!$AW$10:$BC$260,VLOOKUP(A476,Ingreso!$AL$11:$AM$260,2,FALSE)))/24),0))</f>
        <v/>
      </c>
      <c r="L476" s="63">
        <f t="shared" si="14"/>
        <v>0</v>
      </c>
      <c r="M476" s="63" t="str">
        <f>IF(IFERROR(IF(C476=C474,0,IF(E476=E475,0,IF(C476=$R$2,HLOOKUP($R$2,Ingreso!$AW$10:$BC$260,VLOOKUP(A476,Ingreso!AL:AM,2,FALSE),FALSE)/24,""))),"")=0,"",IFERROR(IF(C476=C474,0,IF(E476=E475,0,IF(C476=$R$2,HLOOKUP($R$2,Ingreso!$AW$10:$BC$260,VLOOKUP(A476,Ingreso!AL:AM,2,FALSE),FALSE)/24,""))),""))</f>
        <v/>
      </c>
      <c r="N476" s="95" t="str">
        <f>IF(IFERROR(IF(C476=C474,0,IF(E476=E475,0,IF(C476=$R$3,HLOOKUP($R$3,Ingreso!$AW$10:$BC$260,VLOOKUP(A476,Ingreso!AL:AM,2,FALSE),FALSE)/24,""))),"")=0,"",IFERROR(IF(C476=C474,0,IF(E476=E475,0,IF(C476=$R$3,HLOOKUP($R$3,Ingreso!$AW$10:$BC$260,VLOOKUP(A476,Ingreso!AL:AM,2,FALSE),FALSE)/24,""))),""))</f>
        <v/>
      </c>
      <c r="O476" s="95" t="str">
        <f>IF(IFERROR(IF(C476=C474,0,IF(E476=E475,0,IF(C476=$R$4,HLOOKUP($R$4,Ingreso!$AW$10:$BC$260,VLOOKUP(A476,Ingreso!AL:AM,2,FALSE),FALSE)/24,""))),"")=0,"",IFERROR(IF(C476=C474,0,IF(E476=E475,0,IF(C476=$R$4,HLOOKUP($R$4,Ingreso!$AW$10:$BC$260,VLOOKUP(A476,Ingreso!AL:AM,2,FALSE),FALSE)/24,""))),""))</f>
        <v/>
      </c>
      <c r="P476" s="90"/>
      <c r="V476"/>
      <c r="W476"/>
      <c r="X476"/>
      <c r="Y476"/>
      <c r="Z476"/>
      <c r="AA476"/>
      <c r="AB476"/>
      <c r="AC476"/>
      <c r="AD476"/>
    </row>
    <row r="477" spans="1:30">
      <c r="A477" s="65" t="str">
        <f>IFERROR(VLOOKUP('Informe Kelly'!A470,Base!A:B,2,FALSE),"")</f>
        <v>11.306.351-3</v>
      </c>
      <c r="B477" s="65" t="str">
        <f>IFERROR(VLOOKUP('Informe Kelly'!A470,Base!A:G,7,FALSE),"")</f>
        <v>MANQUIAN NORIEGA RUBEN MARCO</v>
      </c>
      <c r="C477" s="69" t="str">
        <f>IF(G477=$C$4,IF('Informe Kelly'!H470='Control informe Kelly'!$A$2,TEXT(((LEFT('Informe Kelly'!E470,2)*1)+1),"dd")&amp;"."&amp;MID('Informe Kelly'!E470,4,2)&amp;"."&amp;RIGHT('Informe Kelly'!E470,4),'Informe Kelly'!E470),'Informe Kelly'!E470)</f>
        <v>11.04.2011</v>
      </c>
      <c r="D477" s="69" t="str">
        <f>IF('Informe Kelly'!E470="","",'Informe Kelly'!E470)</f>
        <v>11.04.2011</v>
      </c>
      <c r="E477" s="72">
        <f t="shared" si="15"/>
        <v>239</v>
      </c>
      <c r="F477" s="72" t="str">
        <f>IFERROR(HLOOKUP(C477,Ingreso!$Q$8:$AD$9,2,FALSE),"v")</f>
        <v>Lunes</v>
      </c>
      <c r="G477" s="65" t="str">
        <f>IFERROR(VLOOKUP(A477,Ingreso!K:P,6,FALSE),"no esta ingresado")</f>
        <v>Turno A</v>
      </c>
      <c r="H477" s="65" t="str">
        <f>IFERROR(IF('Informe Kelly'!H470=$A$2,'Informe Kelly'!F470,""),0)</f>
        <v/>
      </c>
      <c r="I477" s="65">
        <f>IFERROR(IF('Informe Kelly'!H470=$A$3,'Informe Kelly'!F470,""),0)</f>
        <v>0.63773148148148151</v>
      </c>
      <c r="J477" s="65" t="str">
        <f>IF(IFERROR(IF(E477=E476,0,(HLOOKUP(D477,Ingreso!$AN$10:$AT$260,VLOOKUP(A477,Ingreso!$AL$11:$AM$260,2,FALSE)))/24),0)=0,"",IFERROR(IF(E477=E476,0,(HLOOKUP(D477,Ingreso!$AN$10:$AT$260,VLOOKUP(A477,Ingreso!$AL$11:$AM$260,2,FALSE)))/24),0))</f>
        <v/>
      </c>
      <c r="K477" s="65" t="str">
        <f>IF(IFERROR(IF(E477=E476,0,(HLOOKUP(C477,Ingreso!$AW$10:$BC$260,VLOOKUP(A477,Ingreso!$AL$11:$AM$260,2,FALSE)))/24),0)=0,"",IFERROR(IF(E477=E476,0,(HLOOKUP(C477,Ingreso!$AW$10:$BC$260,VLOOKUP(A477,Ingreso!$AL$11:$AM$260,2,FALSE)))/24),0))</f>
        <v/>
      </c>
      <c r="L477" s="63">
        <f t="shared" si="14"/>
        <v>0.3125</v>
      </c>
      <c r="M477" s="63" t="str">
        <f>IF(IFERROR(IF(C477=C475,0,IF(E477=E476,0,IF(C477=$R$2,HLOOKUP($R$2,Ingreso!$AW$10:$BC$260,VLOOKUP(A477,Ingreso!AL:AM,2,FALSE),FALSE)/24,""))),"")=0,"",IFERROR(IF(C477=C475,0,IF(E477=E476,0,IF(C477=$R$2,HLOOKUP($R$2,Ingreso!$AW$10:$BC$260,VLOOKUP(A477,Ingreso!AL:AM,2,FALSE),FALSE)/24,""))),""))</f>
        <v/>
      </c>
      <c r="N477" s="95" t="str">
        <f>IF(IFERROR(IF(C477=C475,0,IF(E477=E476,0,IF(C477=$R$3,HLOOKUP($R$3,Ingreso!$AW$10:$BC$260,VLOOKUP(A477,Ingreso!AL:AM,2,FALSE),FALSE)/24,""))),"")=0,"",IFERROR(IF(C477=C475,0,IF(E477=E476,0,IF(C477=$R$3,HLOOKUP($R$3,Ingreso!$AW$10:$BC$260,VLOOKUP(A477,Ingreso!AL:AM,2,FALSE),FALSE)/24,""))),""))</f>
        <v/>
      </c>
      <c r="O477" s="95" t="str">
        <f>IF(IFERROR(IF(C477=C475,0,IF(E477=E476,0,IF(C477=$R$4,HLOOKUP($R$4,Ingreso!$AW$10:$BC$260,VLOOKUP(A477,Ingreso!AL:AM,2,FALSE),FALSE)/24,""))),"")=0,"",IFERROR(IF(C477=C475,0,IF(E477=E476,0,IF(C477=$R$4,HLOOKUP($R$4,Ingreso!$AW$10:$BC$260,VLOOKUP(A477,Ingreso!AL:AM,2,FALSE),FALSE)/24,""))),""))</f>
        <v/>
      </c>
      <c r="P477" s="90"/>
      <c r="V477"/>
      <c r="W477"/>
      <c r="X477"/>
      <c r="Y477"/>
      <c r="Z477"/>
      <c r="AA477"/>
      <c r="AB477"/>
      <c r="AC477"/>
      <c r="AD477"/>
    </row>
    <row r="478" spans="1:30">
      <c r="A478" s="65" t="str">
        <f>IFERROR(VLOOKUP('Informe Kelly'!A471,Base!A:B,2,FALSE),"")</f>
        <v>11.306.351-3</v>
      </c>
      <c r="B478" s="65" t="str">
        <f>IFERROR(VLOOKUP('Informe Kelly'!A471,Base!A:G,7,FALSE),"")</f>
        <v>MANQUIAN NORIEGA RUBEN MARCO</v>
      </c>
      <c r="C478" s="69" t="str">
        <f>IF(G478=$C$4,IF('Informe Kelly'!H471='Control informe Kelly'!$A$2,TEXT(((LEFT('Informe Kelly'!E471,2)*1)+1),"dd")&amp;"."&amp;MID('Informe Kelly'!E471,4,2)&amp;"."&amp;RIGHT('Informe Kelly'!E471,4),'Informe Kelly'!E471),'Informe Kelly'!E471)</f>
        <v>11.04.2011</v>
      </c>
      <c r="D478" s="69" t="str">
        <f>IF('Informe Kelly'!E471="","",'Informe Kelly'!E471)</f>
        <v>11.04.2011</v>
      </c>
      <c r="E478" s="72">
        <f t="shared" si="15"/>
        <v>239</v>
      </c>
      <c r="F478" s="72" t="str">
        <f>IFERROR(HLOOKUP(C478,Ingreso!$Q$8:$AD$9,2,FALSE),"v")</f>
        <v>Lunes</v>
      </c>
      <c r="G478" s="65" t="str">
        <f>IFERROR(VLOOKUP(A478,Ingreso!K:P,6,FALSE),"no esta ingresado")</f>
        <v>Turno A</v>
      </c>
      <c r="H478" s="65">
        <f>IFERROR(IF('Informe Kelly'!H471=$A$2,'Informe Kelly'!F471,""),0)</f>
        <v>0.26571759259259259</v>
      </c>
      <c r="I478" s="65" t="str">
        <f>IFERROR(IF('Informe Kelly'!H471=$A$3,'Informe Kelly'!F471,""),0)</f>
        <v/>
      </c>
      <c r="J478" s="65" t="str">
        <f>IF(IFERROR(IF(E478=E477,0,(HLOOKUP(D478,Ingreso!$AN$10:$AT$260,VLOOKUP(A478,Ingreso!$AL$11:$AM$260,2,FALSE)))/24),0)=0,"",IFERROR(IF(E478=E477,0,(HLOOKUP(D478,Ingreso!$AN$10:$AT$260,VLOOKUP(A478,Ingreso!$AL$11:$AM$260,2,FALSE)))/24),0))</f>
        <v/>
      </c>
      <c r="K478" s="65" t="str">
        <f>IF(IFERROR(IF(E478=E477,0,(HLOOKUP(C478,Ingreso!$AW$10:$BC$260,VLOOKUP(A478,Ingreso!$AL$11:$AM$260,2,FALSE)))/24),0)=0,"",IFERROR(IF(E478=E477,0,(HLOOKUP(C478,Ingreso!$AW$10:$BC$260,VLOOKUP(A478,Ingreso!$AL$11:$AM$260,2,FALSE)))/24),0))</f>
        <v/>
      </c>
      <c r="L478" s="63">
        <f t="shared" si="14"/>
        <v>0</v>
      </c>
      <c r="M478" s="63" t="str">
        <f>IF(IFERROR(IF(C478=C476,0,IF(E478=E477,0,IF(C478=$R$2,HLOOKUP($R$2,Ingreso!$AW$10:$BC$260,VLOOKUP(A478,Ingreso!AL:AM,2,FALSE),FALSE)/24,""))),"")=0,"",IFERROR(IF(C478=C476,0,IF(E478=E477,0,IF(C478=$R$2,HLOOKUP($R$2,Ingreso!$AW$10:$BC$260,VLOOKUP(A478,Ingreso!AL:AM,2,FALSE),FALSE)/24,""))),""))</f>
        <v/>
      </c>
      <c r="N478" s="95" t="str">
        <f>IF(IFERROR(IF(C478=C476,0,IF(E478=E477,0,IF(C478=$R$3,HLOOKUP($R$3,Ingreso!$AW$10:$BC$260,VLOOKUP(A478,Ingreso!AL:AM,2,FALSE),FALSE)/24,""))),"")=0,"",IFERROR(IF(C478=C476,0,IF(E478=E477,0,IF(C478=$R$3,HLOOKUP($R$3,Ingreso!$AW$10:$BC$260,VLOOKUP(A478,Ingreso!AL:AM,2,FALSE),FALSE)/24,""))),""))</f>
        <v/>
      </c>
      <c r="O478" s="95" t="str">
        <f>IF(IFERROR(IF(C478=C476,0,IF(E478=E477,0,IF(C478=$R$4,HLOOKUP($R$4,Ingreso!$AW$10:$BC$260,VLOOKUP(A478,Ingreso!AL:AM,2,FALSE),FALSE)/24,""))),"")=0,"",IFERROR(IF(C478=C476,0,IF(E478=E477,0,IF(C478=$R$4,HLOOKUP($R$4,Ingreso!$AW$10:$BC$260,VLOOKUP(A478,Ingreso!AL:AM,2,FALSE),FALSE)/24,""))),""))</f>
        <v/>
      </c>
      <c r="P478" s="90"/>
      <c r="V478"/>
      <c r="W478"/>
      <c r="X478"/>
      <c r="Y478"/>
      <c r="Z478"/>
      <c r="AA478"/>
      <c r="AB478"/>
      <c r="AC478"/>
      <c r="AD478"/>
    </row>
    <row r="479" spans="1:30">
      <c r="A479" s="65" t="str">
        <f>IFERROR(VLOOKUP('Informe Kelly'!A472,Base!A:B,2,FALSE),"")</f>
        <v>11.306.351-3</v>
      </c>
      <c r="B479" s="65" t="str">
        <f>IFERROR(VLOOKUP('Informe Kelly'!A472,Base!A:G,7,FALSE),"")</f>
        <v>MANQUIAN NORIEGA RUBEN MARCO</v>
      </c>
      <c r="C479" s="69" t="str">
        <f>IF(G479=$C$4,IF('Informe Kelly'!H472='Control informe Kelly'!$A$2,TEXT(((LEFT('Informe Kelly'!E472,2)*1)+1),"dd")&amp;"."&amp;MID('Informe Kelly'!E472,4,2)&amp;"."&amp;RIGHT('Informe Kelly'!E472,4),'Informe Kelly'!E472),'Informe Kelly'!E472)</f>
        <v>12.04.2011</v>
      </c>
      <c r="D479" s="69" t="str">
        <f>IF('Informe Kelly'!E472="","",'Informe Kelly'!E472)</f>
        <v>12.04.2011</v>
      </c>
      <c r="E479" s="72">
        <f t="shared" si="15"/>
        <v>240</v>
      </c>
      <c r="F479" s="72" t="str">
        <f>IFERROR(HLOOKUP(C479,Ingreso!$Q$8:$AD$9,2,FALSE),"v")</f>
        <v>Martes</v>
      </c>
      <c r="G479" s="65" t="str">
        <f>IFERROR(VLOOKUP(A479,Ingreso!K:P,6,FALSE),"no esta ingresado")</f>
        <v>Turno A</v>
      </c>
      <c r="H479" s="65" t="str">
        <f>IFERROR(IF('Informe Kelly'!H472=$A$2,'Informe Kelly'!F472,""),0)</f>
        <v/>
      </c>
      <c r="I479" s="65">
        <f>IFERROR(IF('Informe Kelly'!H472=$A$3,'Informe Kelly'!F472,""),0)</f>
        <v>0.63364583333333335</v>
      </c>
      <c r="J479" s="65" t="str">
        <f>IF(IFERROR(IF(E479=E478,0,(HLOOKUP(D479,Ingreso!$AN$10:$AT$260,VLOOKUP(A479,Ingreso!$AL$11:$AM$260,2,FALSE)))/24),0)=0,"",IFERROR(IF(E479=E478,0,(HLOOKUP(D479,Ingreso!$AN$10:$AT$260,VLOOKUP(A479,Ingreso!$AL$11:$AM$260,2,FALSE)))/24),0))</f>
        <v/>
      </c>
      <c r="K479" s="65" t="str">
        <f>IF(IFERROR(IF(E479=E478,0,(HLOOKUP(C479,Ingreso!$AW$10:$BC$260,VLOOKUP(A479,Ingreso!$AL$11:$AM$260,2,FALSE)))/24),0)=0,"",IFERROR(IF(E479=E478,0,(HLOOKUP(C479,Ingreso!$AW$10:$BC$260,VLOOKUP(A479,Ingreso!$AL$11:$AM$260,2,FALSE)))/24),0))</f>
        <v/>
      </c>
      <c r="L479" s="63">
        <f t="shared" si="14"/>
        <v>0.3125</v>
      </c>
      <c r="M479" s="63" t="str">
        <f>IF(IFERROR(IF(C479=C477,0,IF(E479=E478,0,IF(C479=$R$2,HLOOKUP($R$2,Ingreso!$AW$10:$BC$260,VLOOKUP(A479,Ingreso!AL:AM,2,FALSE),FALSE)/24,""))),"")=0,"",IFERROR(IF(C479=C477,0,IF(E479=E478,0,IF(C479=$R$2,HLOOKUP($R$2,Ingreso!$AW$10:$BC$260,VLOOKUP(A479,Ingreso!AL:AM,2,FALSE),FALSE)/24,""))),""))</f>
        <v/>
      </c>
      <c r="N479" s="95" t="str">
        <f>IF(IFERROR(IF(C479=C477,0,IF(E479=E478,0,IF(C479=$R$3,HLOOKUP($R$3,Ingreso!$AW$10:$BC$260,VLOOKUP(A479,Ingreso!AL:AM,2,FALSE),FALSE)/24,""))),"")=0,"",IFERROR(IF(C479=C477,0,IF(E479=E478,0,IF(C479=$R$3,HLOOKUP($R$3,Ingreso!$AW$10:$BC$260,VLOOKUP(A479,Ingreso!AL:AM,2,FALSE),FALSE)/24,""))),""))</f>
        <v/>
      </c>
      <c r="O479" s="95" t="str">
        <f>IF(IFERROR(IF(C479=C477,0,IF(E479=E478,0,IF(C479=$R$4,HLOOKUP($R$4,Ingreso!$AW$10:$BC$260,VLOOKUP(A479,Ingreso!AL:AM,2,FALSE),FALSE)/24,""))),"")=0,"",IFERROR(IF(C479=C477,0,IF(E479=E478,0,IF(C479=$R$4,HLOOKUP($R$4,Ingreso!$AW$10:$BC$260,VLOOKUP(A479,Ingreso!AL:AM,2,FALSE),FALSE)/24,""))),""))</f>
        <v/>
      </c>
      <c r="P479" s="90"/>
      <c r="V479"/>
      <c r="W479"/>
      <c r="X479"/>
      <c r="Y479"/>
      <c r="Z479"/>
      <c r="AA479"/>
      <c r="AB479"/>
      <c r="AC479"/>
      <c r="AD479"/>
    </row>
    <row r="480" spans="1:30">
      <c r="A480" s="65" t="str">
        <f>IFERROR(VLOOKUP('Informe Kelly'!A473,Base!A:B,2,FALSE),"")</f>
        <v>11.306.351-3</v>
      </c>
      <c r="B480" s="65" t="str">
        <f>IFERROR(VLOOKUP('Informe Kelly'!A473,Base!A:G,7,FALSE),"")</f>
        <v>MANQUIAN NORIEGA RUBEN MARCO</v>
      </c>
      <c r="C480" s="69" t="str">
        <f>IF(G480=$C$4,IF('Informe Kelly'!H473='Control informe Kelly'!$A$2,TEXT(((LEFT('Informe Kelly'!E473,2)*1)+1),"dd")&amp;"."&amp;MID('Informe Kelly'!E473,4,2)&amp;"."&amp;RIGHT('Informe Kelly'!E473,4),'Informe Kelly'!E473),'Informe Kelly'!E473)</f>
        <v>12.04.2011</v>
      </c>
      <c r="D480" s="69" t="str">
        <f>IF('Informe Kelly'!E473="","",'Informe Kelly'!E473)</f>
        <v>12.04.2011</v>
      </c>
      <c r="E480" s="72">
        <f t="shared" si="15"/>
        <v>240</v>
      </c>
      <c r="F480" s="72" t="str">
        <f>IFERROR(HLOOKUP(C480,Ingreso!$Q$8:$AD$9,2,FALSE),"v")</f>
        <v>Martes</v>
      </c>
      <c r="G480" s="65" t="str">
        <f>IFERROR(VLOOKUP(A480,Ingreso!K:P,6,FALSE),"no esta ingresado")</f>
        <v>Turno A</v>
      </c>
      <c r="H480" s="65">
        <f>IFERROR(IF('Informe Kelly'!H473=$A$2,'Informe Kelly'!F473,""),0)</f>
        <v>0.26922453703703703</v>
      </c>
      <c r="I480" s="65" t="str">
        <f>IFERROR(IF('Informe Kelly'!H473=$A$3,'Informe Kelly'!F473,""),0)</f>
        <v/>
      </c>
      <c r="J480" s="65" t="str">
        <f>IF(IFERROR(IF(E480=E479,0,(HLOOKUP(D480,Ingreso!$AN$10:$AT$260,VLOOKUP(A480,Ingreso!$AL$11:$AM$260,2,FALSE)))/24),0)=0,"",IFERROR(IF(E480=E479,0,(HLOOKUP(D480,Ingreso!$AN$10:$AT$260,VLOOKUP(A480,Ingreso!$AL$11:$AM$260,2,FALSE)))/24),0))</f>
        <v/>
      </c>
      <c r="K480" s="65" t="str">
        <f>IF(IFERROR(IF(E480=E479,0,(HLOOKUP(C480,Ingreso!$AW$10:$BC$260,VLOOKUP(A480,Ingreso!$AL$11:$AM$260,2,FALSE)))/24),0)=0,"",IFERROR(IF(E480=E479,0,(HLOOKUP(C480,Ingreso!$AW$10:$BC$260,VLOOKUP(A480,Ingreso!$AL$11:$AM$260,2,FALSE)))/24),0))</f>
        <v/>
      </c>
      <c r="L480" s="63">
        <f t="shared" si="14"/>
        <v>0</v>
      </c>
      <c r="M480" s="63" t="str">
        <f>IF(IFERROR(IF(C480=C478,0,IF(E480=E479,0,IF(C480=$R$2,HLOOKUP($R$2,Ingreso!$AW$10:$BC$260,VLOOKUP(A480,Ingreso!AL:AM,2,FALSE),FALSE)/24,""))),"")=0,"",IFERROR(IF(C480=C478,0,IF(E480=E479,0,IF(C480=$R$2,HLOOKUP($R$2,Ingreso!$AW$10:$BC$260,VLOOKUP(A480,Ingreso!AL:AM,2,FALSE),FALSE)/24,""))),""))</f>
        <v/>
      </c>
      <c r="N480" s="95" t="str">
        <f>IF(IFERROR(IF(C480=C478,0,IF(E480=E479,0,IF(C480=$R$3,HLOOKUP($R$3,Ingreso!$AW$10:$BC$260,VLOOKUP(A480,Ingreso!AL:AM,2,FALSE),FALSE)/24,""))),"")=0,"",IFERROR(IF(C480=C478,0,IF(E480=E479,0,IF(C480=$R$3,HLOOKUP($R$3,Ingreso!$AW$10:$BC$260,VLOOKUP(A480,Ingreso!AL:AM,2,FALSE),FALSE)/24,""))),""))</f>
        <v/>
      </c>
      <c r="O480" s="95" t="str">
        <f>IF(IFERROR(IF(C480=C478,0,IF(E480=E479,0,IF(C480=$R$4,HLOOKUP($R$4,Ingreso!$AW$10:$BC$260,VLOOKUP(A480,Ingreso!AL:AM,2,FALSE),FALSE)/24,""))),"")=0,"",IFERROR(IF(C480=C478,0,IF(E480=E479,0,IF(C480=$R$4,HLOOKUP($R$4,Ingreso!$AW$10:$BC$260,VLOOKUP(A480,Ingreso!AL:AM,2,FALSE),FALSE)/24,""))),""))</f>
        <v/>
      </c>
      <c r="P480" s="90"/>
      <c r="V480"/>
      <c r="W480"/>
      <c r="X480"/>
      <c r="Y480"/>
      <c r="Z480"/>
      <c r="AA480"/>
      <c r="AB480"/>
      <c r="AC480"/>
      <c r="AD480"/>
    </row>
    <row r="481" spans="1:30">
      <c r="A481" s="65" t="str">
        <f>IFERROR(VLOOKUP('Informe Kelly'!A474,Base!A:B,2,FALSE),"")</f>
        <v>11.306.351-3</v>
      </c>
      <c r="B481" s="65" t="str">
        <f>IFERROR(VLOOKUP('Informe Kelly'!A474,Base!A:G,7,FALSE),"")</f>
        <v>MANQUIAN NORIEGA RUBEN MARCO</v>
      </c>
      <c r="C481" s="69" t="str">
        <f>IF(G481=$C$4,IF('Informe Kelly'!H474='Control informe Kelly'!$A$2,TEXT(((LEFT('Informe Kelly'!E474,2)*1)+1),"dd")&amp;"."&amp;MID('Informe Kelly'!E474,4,2)&amp;"."&amp;RIGHT('Informe Kelly'!E474,4),'Informe Kelly'!E474),'Informe Kelly'!E474)</f>
        <v>13.04.2011</v>
      </c>
      <c r="D481" s="69" t="str">
        <f>IF('Informe Kelly'!E474="","",'Informe Kelly'!E474)</f>
        <v>13.04.2011</v>
      </c>
      <c r="E481" s="72">
        <f t="shared" si="15"/>
        <v>241</v>
      </c>
      <c r="F481" s="72" t="str">
        <f>IFERROR(HLOOKUP(C481,Ingreso!$Q$8:$AD$9,2,FALSE),"v")</f>
        <v>Miércoles</v>
      </c>
      <c r="G481" s="65" t="str">
        <f>IFERROR(VLOOKUP(A481,Ingreso!K:P,6,FALSE),"no esta ingresado")</f>
        <v>Turno A</v>
      </c>
      <c r="H481" s="65" t="str">
        <f>IFERROR(IF('Informe Kelly'!H474=$A$2,'Informe Kelly'!F474,""),0)</f>
        <v/>
      </c>
      <c r="I481" s="65">
        <f>IFERROR(IF('Informe Kelly'!H474=$A$3,'Informe Kelly'!F474,""),0)</f>
        <v>0.63534722222222217</v>
      </c>
      <c r="J481" s="65" t="str">
        <f>IF(IFERROR(IF(E481=E480,0,(HLOOKUP(D481,Ingreso!$AN$10:$AT$260,VLOOKUP(A481,Ingreso!$AL$11:$AM$260,2,FALSE)))/24),0)=0,"",IFERROR(IF(E481=E480,0,(HLOOKUP(D481,Ingreso!$AN$10:$AT$260,VLOOKUP(A481,Ingreso!$AL$11:$AM$260,2,FALSE)))/24),0))</f>
        <v/>
      </c>
      <c r="K481" s="65" t="str">
        <f>IF(IFERROR(IF(E481=E480,0,(HLOOKUP(C481,Ingreso!$AW$10:$BC$260,VLOOKUP(A481,Ingreso!$AL$11:$AM$260,2,FALSE)))/24),0)=0,"",IFERROR(IF(E481=E480,0,(HLOOKUP(C481,Ingreso!$AW$10:$BC$260,VLOOKUP(A481,Ingreso!$AL$11:$AM$260,2,FALSE)))/24),0))</f>
        <v/>
      </c>
      <c r="L481" s="63">
        <f t="shared" si="14"/>
        <v>0.3125</v>
      </c>
      <c r="M481" s="63" t="str">
        <f>IF(IFERROR(IF(C481=C479,0,IF(E481=E480,0,IF(C481=$R$2,HLOOKUP($R$2,Ingreso!$AW$10:$BC$260,VLOOKUP(A481,Ingreso!AL:AM,2,FALSE),FALSE)/24,""))),"")=0,"",IFERROR(IF(C481=C479,0,IF(E481=E480,0,IF(C481=$R$2,HLOOKUP($R$2,Ingreso!$AW$10:$BC$260,VLOOKUP(A481,Ingreso!AL:AM,2,FALSE),FALSE)/24,""))),""))</f>
        <v/>
      </c>
      <c r="N481" s="95" t="str">
        <f>IF(IFERROR(IF(C481=C479,0,IF(E481=E480,0,IF(C481=$R$3,HLOOKUP($R$3,Ingreso!$AW$10:$BC$260,VLOOKUP(A481,Ingreso!AL:AM,2,FALSE),FALSE)/24,""))),"")=0,"",IFERROR(IF(C481=C479,0,IF(E481=E480,0,IF(C481=$R$3,HLOOKUP($R$3,Ingreso!$AW$10:$BC$260,VLOOKUP(A481,Ingreso!AL:AM,2,FALSE),FALSE)/24,""))),""))</f>
        <v/>
      </c>
      <c r="O481" s="95" t="str">
        <f>IF(IFERROR(IF(C481=C479,0,IF(E481=E480,0,IF(C481=$R$4,HLOOKUP($R$4,Ingreso!$AW$10:$BC$260,VLOOKUP(A481,Ingreso!AL:AM,2,FALSE),FALSE)/24,""))),"")=0,"",IFERROR(IF(C481=C479,0,IF(E481=E480,0,IF(C481=$R$4,HLOOKUP($R$4,Ingreso!$AW$10:$BC$260,VLOOKUP(A481,Ingreso!AL:AM,2,FALSE),FALSE)/24,""))),""))</f>
        <v/>
      </c>
      <c r="P481" s="90"/>
      <c r="V481"/>
      <c r="W481"/>
      <c r="X481"/>
      <c r="Y481"/>
      <c r="Z481"/>
      <c r="AA481"/>
      <c r="AB481"/>
      <c r="AC481"/>
      <c r="AD481"/>
    </row>
    <row r="482" spans="1:30">
      <c r="A482" s="65" t="str">
        <f>IFERROR(VLOOKUP('Informe Kelly'!A475,Base!A:B,2,FALSE),"")</f>
        <v>11.306.351-3</v>
      </c>
      <c r="B482" s="65" t="str">
        <f>IFERROR(VLOOKUP('Informe Kelly'!A475,Base!A:G,7,FALSE),"")</f>
        <v>MANQUIAN NORIEGA RUBEN MARCO</v>
      </c>
      <c r="C482" s="69" t="str">
        <f>IF(G482=$C$4,IF('Informe Kelly'!H475='Control informe Kelly'!$A$2,TEXT(((LEFT('Informe Kelly'!E475,2)*1)+1),"dd")&amp;"."&amp;MID('Informe Kelly'!E475,4,2)&amp;"."&amp;RIGHT('Informe Kelly'!E475,4),'Informe Kelly'!E475),'Informe Kelly'!E475)</f>
        <v>13.04.2011</v>
      </c>
      <c r="D482" s="69" t="str">
        <f>IF('Informe Kelly'!E475="","",'Informe Kelly'!E475)</f>
        <v>13.04.2011</v>
      </c>
      <c r="E482" s="72">
        <f t="shared" si="15"/>
        <v>241</v>
      </c>
      <c r="F482" s="72" t="str">
        <f>IFERROR(HLOOKUP(C482,Ingreso!$Q$8:$AD$9,2,FALSE),"v")</f>
        <v>Miércoles</v>
      </c>
      <c r="G482" s="65" t="str">
        <f>IFERROR(VLOOKUP(A482,Ingreso!K:P,6,FALSE),"no esta ingresado")</f>
        <v>Turno A</v>
      </c>
      <c r="H482" s="65">
        <f>IFERROR(IF('Informe Kelly'!H475=$A$2,'Informe Kelly'!F475,""),0)</f>
        <v>0.27212962962962961</v>
      </c>
      <c r="I482" s="65" t="str">
        <f>IFERROR(IF('Informe Kelly'!H475=$A$3,'Informe Kelly'!F475,""),0)</f>
        <v/>
      </c>
      <c r="J482" s="65" t="str">
        <f>IF(IFERROR(IF(E482=E481,0,(HLOOKUP(D482,Ingreso!$AN$10:$AT$260,VLOOKUP(A482,Ingreso!$AL$11:$AM$260,2,FALSE)))/24),0)=0,"",IFERROR(IF(E482=E481,0,(HLOOKUP(D482,Ingreso!$AN$10:$AT$260,VLOOKUP(A482,Ingreso!$AL$11:$AM$260,2,FALSE)))/24),0))</f>
        <v/>
      </c>
      <c r="K482" s="65" t="str">
        <f>IF(IFERROR(IF(E482=E481,0,(HLOOKUP(C482,Ingreso!$AW$10:$BC$260,VLOOKUP(A482,Ingreso!$AL$11:$AM$260,2,FALSE)))/24),0)=0,"",IFERROR(IF(E482=E481,0,(HLOOKUP(C482,Ingreso!$AW$10:$BC$260,VLOOKUP(A482,Ingreso!$AL$11:$AM$260,2,FALSE)))/24),0))</f>
        <v/>
      </c>
      <c r="L482" s="63">
        <f t="shared" si="14"/>
        <v>0</v>
      </c>
      <c r="M482" s="63" t="str">
        <f>IF(IFERROR(IF(C482=C480,0,IF(E482=E481,0,IF(C482=$R$2,HLOOKUP($R$2,Ingreso!$AW$10:$BC$260,VLOOKUP(A482,Ingreso!AL:AM,2,FALSE),FALSE)/24,""))),"")=0,"",IFERROR(IF(C482=C480,0,IF(E482=E481,0,IF(C482=$R$2,HLOOKUP($R$2,Ingreso!$AW$10:$BC$260,VLOOKUP(A482,Ingreso!AL:AM,2,FALSE),FALSE)/24,""))),""))</f>
        <v/>
      </c>
      <c r="N482" s="95" t="str">
        <f>IF(IFERROR(IF(C482=C480,0,IF(E482=E481,0,IF(C482=$R$3,HLOOKUP($R$3,Ingreso!$AW$10:$BC$260,VLOOKUP(A482,Ingreso!AL:AM,2,FALSE),FALSE)/24,""))),"")=0,"",IFERROR(IF(C482=C480,0,IF(E482=E481,0,IF(C482=$R$3,HLOOKUP($R$3,Ingreso!$AW$10:$BC$260,VLOOKUP(A482,Ingreso!AL:AM,2,FALSE),FALSE)/24,""))),""))</f>
        <v/>
      </c>
      <c r="O482" s="95" t="str">
        <f>IF(IFERROR(IF(C482=C480,0,IF(E482=E481,0,IF(C482=$R$4,HLOOKUP($R$4,Ingreso!$AW$10:$BC$260,VLOOKUP(A482,Ingreso!AL:AM,2,FALSE),FALSE)/24,""))),"")=0,"",IFERROR(IF(C482=C480,0,IF(E482=E481,0,IF(C482=$R$4,HLOOKUP($R$4,Ingreso!$AW$10:$BC$260,VLOOKUP(A482,Ingreso!AL:AM,2,FALSE),FALSE)/24,""))),""))</f>
        <v/>
      </c>
      <c r="P482" s="90"/>
      <c r="V482"/>
      <c r="W482"/>
      <c r="X482"/>
      <c r="Y482"/>
      <c r="Z482"/>
      <c r="AA482"/>
      <c r="AB482"/>
      <c r="AC482"/>
      <c r="AD482"/>
    </row>
    <row r="483" spans="1:30">
      <c r="A483" s="65" t="str">
        <f>IFERROR(VLOOKUP('Informe Kelly'!A476,Base!A:B,2,FALSE),"")</f>
        <v>11.306.351-3</v>
      </c>
      <c r="B483" s="65" t="str">
        <f>IFERROR(VLOOKUP('Informe Kelly'!A476,Base!A:G,7,FALSE),"")</f>
        <v>MANQUIAN NORIEGA RUBEN MARCO</v>
      </c>
      <c r="C483" s="69" t="str">
        <f>IF(G483=$C$4,IF('Informe Kelly'!H476='Control informe Kelly'!$A$2,TEXT(((LEFT('Informe Kelly'!E476,2)*1)+1),"dd")&amp;"."&amp;MID('Informe Kelly'!E476,4,2)&amp;"."&amp;RIGHT('Informe Kelly'!E476,4),'Informe Kelly'!E476),'Informe Kelly'!E476)</f>
        <v>14.04.2011</v>
      </c>
      <c r="D483" s="69" t="str">
        <f>IF('Informe Kelly'!E476="","",'Informe Kelly'!E476)</f>
        <v>14.04.2011</v>
      </c>
      <c r="E483" s="72">
        <f t="shared" si="15"/>
        <v>242</v>
      </c>
      <c r="F483" s="72" t="str">
        <f>IFERROR(HLOOKUP(C483,Ingreso!$Q$8:$AD$9,2,FALSE),"v")</f>
        <v>Jueves</v>
      </c>
      <c r="G483" s="65" t="str">
        <f>IFERROR(VLOOKUP(A483,Ingreso!K:P,6,FALSE),"no esta ingresado")</f>
        <v>Turno A</v>
      </c>
      <c r="H483" s="65" t="str">
        <f>IFERROR(IF('Informe Kelly'!H476=$A$2,'Informe Kelly'!F476,""),0)</f>
        <v/>
      </c>
      <c r="I483" s="65">
        <f>IFERROR(IF('Informe Kelly'!H476=$A$3,'Informe Kelly'!F476,""),0)</f>
        <v>0.63653935185185184</v>
      </c>
      <c r="J483" s="65" t="str">
        <f>IF(IFERROR(IF(E483=E482,0,(HLOOKUP(D483,Ingreso!$AN$10:$AT$260,VLOOKUP(A483,Ingreso!$AL$11:$AM$260,2,FALSE)))/24),0)=0,"",IFERROR(IF(E483=E482,0,(HLOOKUP(D483,Ingreso!$AN$10:$AT$260,VLOOKUP(A483,Ingreso!$AL$11:$AM$260,2,FALSE)))/24),0))</f>
        <v/>
      </c>
      <c r="K483" s="65" t="str">
        <f>IF(IFERROR(IF(E483=E482,0,(HLOOKUP(C483,Ingreso!$AW$10:$BC$260,VLOOKUP(A483,Ingreso!$AL$11:$AM$260,2,FALSE)))/24),0)=0,"",IFERROR(IF(E483=E482,0,(HLOOKUP(C483,Ingreso!$AW$10:$BC$260,VLOOKUP(A483,Ingreso!$AL$11:$AM$260,2,FALSE)))/24),0))</f>
        <v/>
      </c>
      <c r="L483" s="63">
        <f t="shared" si="14"/>
        <v>0.3125</v>
      </c>
      <c r="M483" s="63" t="str">
        <f>IF(IFERROR(IF(C483=C481,0,IF(E483=E482,0,IF(C483=$R$2,HLOOKUP($R$2,Ingreso!$AW$10:$BC$260,VLOOKUP(A483,Ingreso!AL:AM,2,FALSE),FALSE)/24,""))),"")=0,"",IFERROR(IF(C483=C481,0,IF(E483=E482,0,IF(C483=$R$2,HLOOKUP($R$2,Ingreso!$AW$10:$BC$260,VLOOKUP(A483,Ingreso!AL:AM,2,FALSE),FALSE)/24,""))),""))</f>
        <v/>
      </c>
      <c r="N483" s="95" t="str">
        <f>IF(IFERROR(IF(C483=C481,0,IF(E483=E482,0,IF(C483=$R$3,HLOOKUP($R$3,Ingreso!$AW$10:$BC$260,VLOOKUP(A483,Ingreso!AL:AM,2,FALSE),FALSE)/24,""))),"")=0,"",IFERROR(IF(C483=C481,0,IF(E483=E482,0,IF(C483=$R$3,HLOOKUP($R$3,Ingreso!$AW$10:$BC$260,VLOOKUP(A483,Ingreso!AL:AM,2,FALSE),FALSE)/24,""))),""))</f>
        <v/>
      </c>
      <c r="O483" s="95" t="str">
        <f>IF(IFERROR(IF(C483=C481,0,IF(E483=E482,0,IF(C483=$R$4,HLOOKUP($R$4,Ingreso!$AW$10:$BC$260,VLOOKUP(A483,Ingreso!AL:AM,2,FALSE),FALSE)/24,""))),"")=0,"",IFERROR(IF(C483=C481,0,IF(E483=E482,0,IF(C483=$R$4,HLOOKUP($R$4,Ingreso!$AW$10:$BC$260,VLOOKUP(A483,Ingreso!AL:AM,2,FALSE),FALSE)/24,""))),""))</f>
        <v/>
      </c>
      <c r="P483" s="90"/>
      <c r="V483"/>
      <c r="W483"/>
      <c r="X483"/>
      <c r="Y483"/>
      <c r="Z483"/>
      <c r="AA483"/>
      <c r="AB483"/>
      <c r="AC483"/>
      <c r="AD483"/>
    </row>
    <row r="484" spans="1:30">
      <c r="A484" s="65" t="str">
        <f>IFERROR(VLOOKUP('Informe Kelly'!A477,Base!A:B,2,FALSE),"")</f>
        <v>11.306.351-3</v>
      </c>
      <c r="B484" s="65" t="str">
        <f>IFERROR(VLOOKUP('Informe Kelly'!A477,Base!A:G,7,FALSE),"")</f>
        <v>MANQUIAN NORIEGA RUBEN MARCO</v>
      </c>
      <c r="C484" s="69" t="str">
        <f>IF(G484=$C$4,IF('Informe Kelly'!H477='Control informe Kelly'!$A$2,TEXT(((LEFT('Informe Kelly'!E477,2)*1)+1),"dd")&amp;"."&amp;MID('Informe Kelly'!E477,4,2)&amp;"."&amp;RIGHT('Informe Kelly'!E477,4),'Informe Kelly'!E477),'Informe Kelly'!E477)</f>
        <v>14.04.2011</v>
      </c>
      <c r="D484" s="69" t="str">
        <f>IF('Informe Kelly'!E477="","",'Informe Kelly'!E477)</f>
        <v>14.04.2011</v>
      </c>
      <c r="E484" s="72">
        <f t="shared" si="15"/>
        <v>242</v>
      </c>
      <c r="F484" s="72" t="str">
        <f>IFERROR(HLOOKUP(C484,Ingreso!$Q$8:$AD$9,2,FALSE),"v")</f>
        <v>Jueves</v>
      </c>
      <c r="G484" s="65" t="str">
        <f>IFERROR(VLOOKUP(A484,Ingreso!K:P,6,FALSE),"no esta ingresado")</f>
        <v>Turno A</v>
      </c>
      <c r="H484" s="65">
        <f>IFERROR(IF('Informe Kelly'!H477=$A$2,'Informe Kelly'!F477,""),0)</f>
        <v>0.2726851851851852</v>
      </c>
      <c r="I484" s="65" t="str">
        <f>IFERROR(IF('Informe Kelly'!H477=$A$3,'Informe Kelly'!F477,""),0)</f>
        <v/>
      </c>
      <c r="J484" s="65" t="str">
        <f>IF(IFERROR(IF(E484=E483,0,(HLOOKUP(D484,Ingreso!$AN$10:$AT$260,VLOOKUP(A484,Ingreso!$AL$11:$AM$260,2,FALSE)))/24),0)=0,"",IFERROR(IF(E484=E483,0,(HLOOKUP(D484,Ingreso!$AN$10:$AT$260,VLOOKUP(A484,Ingreso!$AL$11:$AM$260,2,FALSE)))/24),0))</f>
        <v/>
      </c>
      <c r="K484" s="65" t="str">
        <f>IF(IFERROR(IF(E484=E483,0,(HLOOKUP(C484,Ingreso!$AW$10:$BC$260,VLOOKUP(A484,Ingreso!$AL$11:$AM$260,2,FALSE)))/24),0)=0,"",IFERROR(IF(E484=E483,0,(HLOOKUP(C484,Ingreso!$AW$10:$BC$260,VLOOKUP(A484,Ingreso!$AL$11:$AM$260,2,FALSE)))/24),0))</f>
        <v/>
      </c>
      <c r="L484" s="63">
        <f t="shared" si="14"/>
        <v>0</v>
      </c>
      <c r="M484" s="63" t="str">
        <f>IF(IFERROR(IF(C484=C482,0,IF(E484=E483,0,IF(C484=$R$2,HLOOKUP($R$2,Ingreso!$AW$10:$BC$260,VLOOKUP(A484,Ingreso!AL:AM,2,FALSE),FALSE)/24,""))),"")=0,"",IFERROR(IF(C484=C482,0,IF(E484=E483,0,IF(C484=$R$2,HLOOKUP($R$2,Ingreso!$AW$10:$BC$260,VLOOKUP(A484,Ingreso!AL:AM,2,FALSE),FALSE)/24,""))),""))</f>
        <v/>
      </c>
      <c r="N484" s="95" t="str">
        <f>IF(IFERROR(IF(C484=C482,0,IF(E484=E483,0,IF(C484=$R$3,HLOOKUP($R$3,Ingreso!$AW$10:$BC$260,VLOOKUP(A484,Ingreso!AL:AM,2,FALSE),FALSE)/24,""))),"")=0,"",IFERROR(IF(C484=C482,0,IF(E484=E483,0,IF(C484=$R$3,HLOOKUP($R$3,Ingreso!$AW$10:$BC$260,VLOOKUP(A484,Ingreso!AL:AM,2,FALSE),FALSE)/24,""))),""))</f>
        <v/>
      </c>
      <c r="O484" s="95" t="str">
        <f>IF(IFERROR(IF(C484=C482,0,IF(E484=E483,0,IF(C484=$R$4,HLOOKUP($R$4,Ingreso!$AW$10:$BC$260,VLOOKUP(A484,Ingreso!AL:AM,2,FALSE),FALSE)/24,""))),"")=0,"",IFERROR(IF(C484=C482,0,IF(E484=E483,0,IF(C484=$R$4,HLOOKUP($R$4,Ingreso!$AW$10:$BC$260,VLOOKUP(A484,Ingreso!AL:AM,2,FALSE),FALSE)/24,""))),""))</f>
        <v/>
      </c>
      <c r="P484" s="90"/>
      <c r="V484"/>
      <c r="W484"/>
      <c r="X484"/>
      <c r="Y484"/>
      <c r="Z484"/>
      <c r="AA484"/>
      <c r="AB484"/>
      <c r="AC484"/>
      <c r="AD484"/>
    </row>
    <row r="485" spans="1:30">
      <c r="A485" s="65" t="str">
        <f>IFERROR(VLOOKUP('Informe Kelly'!A478,Base!A:B,2,FALSE),"")</f>
        <v>11.306.351-3</v>
      </c>
      <c r="B485" s="65" t="str">
        <f>IFERROR(VLOOKUP('Informe Kelly'!A478,Base!A:G,7,FALSE),"")</f>
        <v>MANQUIAN NORIEGA RUBEN MARCO</v>
      </c>
      <c r="C485" s="69" t="str">
        <f>IF(G485=$C$4,IF('Informe Kelly'!H478='Control informe Kelly'!$A$2,TEXT(((LEFT('Informe Kelly'!E478,2)*1)+1),"dd")&amp;"."&amp;MID('Informe Kelly'!E478,4,2)&amp;"."&amp;RIGHT('Informe Kelly'!E478,4),'Informe Kelly'!E478),'Informe Kelly'!E478)</f>
        <v>15.04.2011</v>
      </c>
      <c r="D485" s="69" t="str">
        <f>IF('Informe Kelly'!E478="","",'Informe Kelly'!E478)</f>
        <v>15.04.2011</v>
      </c>
      <c r="E485" s="72">
        <f t="shared" si="15"/>
        <v>243</v>
      </c>
      <c r="F485" s="72" t="str">
        <f>IFERROR(HLOOKUP(C485,Ingreso!$Q$8:$AD$9,2,FALSE),"v")</f>
        <v>Viernes</v>
      </c>
      <c r="G485" s="65" t="str">
        <f>IFERROR(VLOOKUP(A485,Ingreso!K:P,6,FALSE),"no esta ingresado")</f>
        <v>Turno A</v>
      </c>
      <c r="H485" s="65" t="str">
        <f>IFERROR(IF('Informe Kelly'!H478=$A$2,'Informe Kelly'!F478,""),0)</f>
        <v/>
      </c>
      <c r="I485" s="65">
        <f>IFERROR(IF('Informe Kelly'!H478=$A$3,'Informe Kelly'!F478,""),0)</f>
        <v>0.63401620370370371</v>
      </c>
      <c r="J485" s="65" t="str">
        <f>IF(IFERROR(IF(E485=E484,0,(HLOOKUP(D485,Ingreso!$AN$10:$AT$260,VLOOKUP(A485,Ingreso!$AL$11:$AM$260,2,FALSE)))/24),0)=0,"",IFERROR(IF(E485=E484,0,(HLOOKUP(D485,Ingreso!$AN$10:$AT$260,VLOOKUP(A485,Ingreso!$AL$11:$AM$260,2,FALSE)))/24),0))</f>
        <v/>
      </c>
      <c r="K485" s="65" t="str">
        <f>IF(IFERROR(IF(E485=E484,0,(HLOOKUP(C485,Ingreso!$AW$10:$BC$260,VLOOKUP(A485,Ingreso!$AL$11:$AM$260,2,FALSE)))/24),0)=0,"",IFERROR(IF(E485=E484,0,(HLOOKUP(C485,Ingreso!$AW$10:$BC$260,VLOOKUP(A485,Ingreso!$AL$11:$AM$260,2,FALSE)))/24),0))</f>
        <v/>
      </c>
      <c r="L485" s="63">
        <f t="shared" si="14"/>
        <v>0.3125</v>
      </c>
      <c r="M485" s="63" t="str">
        <f>IF(IFERROR(IF(C485=C483,0,IF(E485=E484,0,IF(C485=$R$2,HLOOKUP($R$2,Ingreso!$AW$10:$BC$260,VLOOKUP(A485,Ingreso!AL:AM,2,FALSE),FALSE)/24,""))),"")=0,"",IFERROR(IF(C485=C483,0,IF(E485=E484,0,IF(C485=$R$2,HLOOKUP($R$2,Ingreso!$AW$10:$BC$260,VLOOKUP(A485,Ingreso!AL:AM,2,FALSE),FALSE)/24,""))),""))</f>
        <v/>
      </c>
      <c r="N485" s="95" t="str">
        <f>IF(IFERROR(IF(C485=C483,0,IF(E485=E484,0,IF(C485=$R$3,HLOOKUP($R$3,Ingreso!$AW$10:$BC$260,VLOOKUP(A485,Ingreso!AL:AM,2,FALSE),FALSE)/24,""))),"")=0,"",IFERROR(IF(C485=C483,0,IF(E485=E484,0,IF(C485=$R$3,HLOOKUP($R$3,Ingreso!$AW$10:$BC$260,VLOOKUP(A485,Ingreso!AL:AM,2,FALSE),FALSE)/24,""))),""))</f>
        <v/>
      </c>
      <c r="O485" s="95" t="str">
        <f>IF(IFERROR(IF(C485=C483,0,IF(E485=E484,0,IF(C485=$R$4,HLOOKUP($R$4,Ingreso!$AW$10:$BC$260,VLOOKUP(A485,Ingreso!AL:AM,2,FALSE),FALSE)/24,""))),"")=0,"",IFERROR(IF(C485=C483,0,IF(E485=E484,0,IF(C485=$R$4,HLOOKUP($R$4,Ingreso!$AW$10:$BC$260,VLOOKUP(A485,Ingreso!AL:AM,2,FALSE),FALSE)/24,""))),""))</f>
        <v/>
      </c>
      <c r="P485" s="90"/>
      <c r="V485"/>
      <c r="W485"/>
      <c r="X485"/>
      <c r="Y485"/>
      <c r="Z485"/>
      <c r="AA485"/>
      <c r="AB485"/>
      <c r="AC485"/>
      <c r="AD485"/>
    </row>
    <row r="486" spans="1:30">
      <c r="A486" s="65" t="str">
        <f>IFERROR(VLOOKUP('Informe Kelly'!A479,Base!A:B,2,FALSE),"")</f>
        <v>11.306.351-3</v>
      </c>
      <c r="B486" s="65" t="str">
        <f>IFERROR(VLOOKUP('Informe Kelly'!A479,Base!A:G,7,FALSE),"")</f>
        <v>MANQUIAN NORIEGA RUBEN MARCO</v>
      </c>
      <c r="C486" s="69" t="str">
        <f>IF(G486=$C$4,IF('Informe Kelly'!H479='Control informe Kelly'!$A$2,TEXT(((LEFT('Informe Kelly'!E479,2)*1)+1),"dd")&amp;"."&amp;MID('Informe Kelly'!E479,4,2)&amp;"."&amp;RIGHT('Informe Kelly'!E479,4),'Informe Kelly'!E479),'Informe Kelly'!E479)</f>
        <v>15.04.2011</v>
      </c>
      <c r="D486" s="69" t="str">
        <f>IF('Informe Kelly'!E479="","",'Informe Kelly'!E479)</f>
        <v>15.04.2011</v>
      </c>
      <c r="E486" s="72">
        <f t="shared" si="15"/>
        <v>243</v>
      </c>
      <c r="F486" s="72" t="str">
        <f>IFERROR(HLOOKUP(C486,Ingreso!$Q$8:$AD$9,2,FALSE),"v")</f>
        <v>Viernes</v>
      </c>
      <c r="G486" s="65" t="str">
        <f>IFERROR(VLOOKUP(A486,Ingreso!K:P,6,FALSE),"no esta ingresado")</f>
        <v>Turno A</v>
      </c>
      <c r="H486" s="65">
        <f>IFERROR(IF('Informe Kelly'!H479=$A$2,'Informe Kelly'!F479,""),0)</f>
        <v>0.27447916666666666</v>
      </c>
      <c r="I486" s="65" t="str">
        <f>IFERROR(IF('Informe Kelly'!H479=$A$3,'Informe Kelly'!F479,""),0)</f>
        <v/>
      </c>
      <c r="J486" s="65" t="str">
        <f>IF(IFERROR(IF(E486=E485,0,(HLOOKUP(D486,Ingreso!$AN$10:$AT$260,VLOOKUP(A486,Ingreso!$AL$11:$AM$260,2,FALSE)))/24),0)=0,"",IFERROR(IF(E486=E485,0,(HLOOKUP(D486,Ingreso!$AN$10:$AT$260,VLOOKUP(A486,Ingreso!$AL$11:$AM$260,2,FALSE)))/24),0))</f>
        <v/>
      </c>
      <c r="K486" s="65" t="str">
        <f>IF(IFERROR(IF(E486=E485,0,(HLOOKUP(C486,Ingreso!$AW$10:$BC$260,VLOOKUP(A486,Ingreso!$AL$11:$AM$260,2,FALSE)))/24),0)=0,"",IFERROR(IF(E486=E485,0,(HLOOKUP(C486,Ingreso!$AW$10:$BC$260,VLOOKUP(A486,Ingreso!$AL$11:$AM$260,2,FALSE)))/24),0))</f>
        <v/>
      </c>
      <c r="L486" s="63">
        <f t="shared" si="14"/>
        <v>0</v>
      </c>
      <c r="M486" s="63" t="str">
        <f>IF(IFERROR(IF(C486=C484,0,IF(E486=E485,0,IF(C486=$R$2,HLOOKUP($R$2,Ingreso!$AW$10:$BC$260,VLOOKUP(A486,Ingreso!AL:AM,2,FALSE),FALSE)/24,""))),"")=0,"",IFERROR(IF(C486=C484,0,IF(E486=E485,0,IF(C486=$R$2,HLOOKUP($R$2,Ingreso!$AW$10:$BC$260,VLOOKUP(A486,Ingreso!AL:AM,2,FALSE),FALSE)/24,""))),""))</f>
        <v/>
      </c>
      <c r="N486" s="95" t="str">
        <f>IF(IFERROR(IF(C486=C484,0,IF(E486=E485,0,IF(C486=$R$3,HLOOKUP($R$3,Ingreso!$AW$10:$BC$260,VLOOKUP(A486,Ingreso!AL:AM,2,FALSE),FALSE)/24,""))),"")=0,"",IFERROR(IF(C486=C484,0,IF(E486=E485,0,IF(C486=$R$3,HLOOKUP($R$3,Ingreso!$AW$10:$BC$260,VLOOKUP(A486,Ingreso!AL:AM,2,FALSE),FALSE)/24,""))),""))</f>
        <v/>
      </c>
      <c r="O486" s="95" t="str">
        <f>IF(IFERROR(IF(C486=C484,0,IF(E486=E485,0,IF(C486=$R$4,HLOOKUP($R$4,Ingreso!$AW$10:$BC$260,VLOOKUP(A486,Ingreso!AL:AM,2,FALSE),FALSE)/24,""))),"")=0,"",IFERROR(IF(C486=C484,0,IF(E486=E485,0,IF(C486=$R$4,HLOOKUP($R$4,Ingreso!$AW$10:$BC$260,VLOOKUP(A486,Ingreso!AL:AM,2,FALSE),FALSE)/24,""))),""))</f>
        <v/>
      </c>
      <c r="P486" s="90"/>
      <c r="V486"/>
      <c r="W486"/>
      <c r="X486"/>
      <c r="Y486"/>
      <c r="Z486"/>
      <c r="AA486"/>
      <c r="AB486"/>
      <c r="AC486"/>
      <c r="AD486"/>
    </row>
    <row r="487" spans="1:30">
      <c r="A487" s="65" t="str">
        <f>IFERROR(VLOOKUP('Informe Kelly'!A480,Base!A:B,2,FALSE),"")</f>
        <v>11.306.351-3</v>
      </c>
      <c r="B487" s="65" t="str">
        <f>IFERROR(VLOOKUP('Informe Kelly'!A480,Base!A:G,7,FALSE),"")</f>
        <v>MANQUIAN NORIEGA RUBEN MARCO</v>
      </c>
      <c r="C487" s="69" t="str">
        <f>IF(G487=$C$4,IF('Informe Kelly'!H480='Control informe Kelly'!$A$2,TEXT(((LEFT('Informe Kelly'!E480,2)*1)+1),"dd")&amp;"."&amp;MID('Informe Kelly'!E480,4,2)&amp;"."&amp;RIGHT('Informe Kelly'!E480,4),'Informe Kelly'!E480),'Informe Kelly'!E480)</f>
        <v>16.04.2011</v>
      </c>
      <c r="D487" s="69" t="str">
        <f>IF('Informe Kelly'!E480="","",'Informe Kelly'!E480)</f>
        <v>16.04.2011</v>
      </c>
      <c r="E487" s="72">
        <f t="shared" si="15"/>
        <v>244</v>
      </c>
      <c r="F487" s="72" t="str">
        <f>IFERROR(HLOOKUP(C487,Ingreso!$Q$8:$AD$9,2,FALSE),"v")</f>
        <v>Sábado</v>
      </c>
      <c r="G487" s="65" t="str">
        <f>IFERROR(VLOOKUP(A487,Ingreso!K:P,6,FALSE),"no esta ingresado")</f>
        <v>Turno A</v>
      </c>
      <c r="H487" s="65" t="str">
        <f>IFERROR(IF('Informe Kelly'!H480=$A$2,'Informe Kelly'!F480,""),0)</f>
        <v/>
      </c>
      <c r="I487" s="65">
        <f>IFERROR(IF('Informe Kelly'!H480=$A$3,'Informe Kelly'!F480,""),0)</f>
        <v>0.6328125</v>
      </c>
      <c r="J487" s="65" t="str">
        <f>IF(IFERROR(IF(E487=E486,0,(HLOOKUP(D487,Ingreso!$AN$10:$AT$260,VLOOKUP(A487,Ingreso!$AL$11:$AM$260,2,FALSE)))/24),0)=0,"",IFERROR(IF(E487=E486,0,(HLOOKUP(D487,Ingreso!$AN$10:$AT$260,VLOOKUP(A487,Ingreso!$AL$11:$AM$260,2,FALSE)))/24),0))</f>
        <v/>
      </c>
      <c r="K487" s="65" t="str">
        <f>IF(IFERROR(IF(E487=E486,0,(HLOOKUP(C487,Ingreso!$AW$10:$BC$260,VLOOKUP(A487,Ingreso!$AL$11:$AM$260,2,FALSE)))/24),0)=0,"",IFERROR(IF(E487=E486,0,(HLOOKUP(C487,Ingreso!$AW$10:$BC$260,VLOOKUP(A487,Ingreso!$AL$11:$AM$260,2,FALSE)))/24),0))</f>
        <v/>
      </c>
      <c r="L487" s="63">
        <f t="shared" si="14"/>
        <v>0.3125</v>
      </c>
      <c r="M487" s="63" t="str">
        <f>IF(IFERROR(IF(C487=C485,0,IF(E487=E486,0,IF(C487=$R$2,HLOOKUP($R$2,Ingreso!$AW$10:$BC$260,VLOOKUP(A487,Ingreso!AL:AM,2,FALSE),FALSE)/24,""))),"")=0,"",IFERROR(IF(C487=C485,0,IF(E487=E486,0,IF(C487=$R$2,HLOOKUP($R$2,Ingreso!$AW$10:$BC$260,VLOOKUP(A487,Ingreso!AL:AM,2,FALSE),FALSE)/24,""))),""))</f>
        <v/>
      </c>
      <c r="N487" s="95" t="str">
        <f>IF(IFERROR(IF(C487=C485,0,IF(E487=E486,0,IF(C487=$R$3,HLOOKUP($R$3,Ingreso!$AW$10:$BC$260,VLOOKUP(A487,Ingreso!AL:AM,2,FALSE),FALSE)/24,""))),"")=0,"",IFERROR(IF(C487=C485,0,IF(E487=E486,0,IF(C487=$R$3,HLOOKUP($R$3,Ingreso!$AW$10:$BC$260,VLOOKUP(A487,Ingreso!AL:AM,2,FALSE),FALSE)/24,""))),""))</f>
        <v/>
      </c>
      <c r="O487" s="95" t="str">
        <f>IF(IFERROR(IF(C487=C485,0,IF(E487=E486,0,IF(C487=$R$4,HLOOKUP($R$4,Ingreso!$AW$10:$BC$260,VLOOKUP(A487,Ingreso!AL:AM,2,FALSE),FALSE)/24,""))),"")=0,"",IFERROR(IF(C487=C485,0,IF(E487=E486,0,IF(C487=$R$4,HLOOKUP($R$4,Ingreso!$AW$10:$BC$260,VLOOKUP(A487,Ingreso!AL:AM,2,FALSE),FALSE)/24,""))),""))</f>
        <v/>
      </c>
      <c r="P487" s="90"/>
      <c r="V487"/>
      <c r="W487"/>
      <c r="X487"/>
      <c r="Y487"/>
      <c r="Z487"/>
      <c r="AA487"/>
      <c r="AB487"/>
      <c r="AC487"/>
      <c r="AD487"/>
    </row>
    <row r="488" spans="1:30">
      <c r="A488" s="65" t="str">
        <f>IFERROR(VLOOKUP('Informe Kelly'!A481,Base!A:B,2,FALSE),"")</f>
        <v>11.306.351-3</v>
      </c>
      <c r="B488" s="65" t="str">
        <f>IFERROR(VLOOKUP('Informe Kelly'!A481,Base!A:G,7,FALSE),"")</f>
        <v>MANQUIAN NORIEGA RUBEN MARCO</v>
      </c>
      <c r="C488" s="69" t="str">
        <f>IF(G488=$C$4,IF('Informe Kelly'!H481='Control informe Kelly'!$A$2,TEXT(((LEFT('Informe Kelly'!E481,2)*1)+1),"dd")&amp;"."&amp;MID('Informe Kelly'!E481,4,2)&amp;"."&amp;RIGHT('Informe Kelly'!E481,4),'Informe Kelly'!E481),'Informe Kelly'!E481)</f>
        <v>16.04.2011</v>
      </c>
      <c r="D488" s="69" t="str">
        <f>IF('Informe Kelly'!E481="","",'Informe Kelly'!E481)</f>
        <v>16.04.2011</v>
      </c>
      <c r="E488" s="72">
        <f t="shared" si="15"/>
        <v>244</v>
      </c>
      <c r="F488" s="72" t="str">
        <f>IFERROR(HLOOKUP(C488,Ingreso!$Q$8:$AD$9,2,FALSE),"v")</f>
        <v>Sábado</v>
      </c>
      <c r="G488" s="65" t="str">
        <f>IFERROR(VLOOKUP(A488,Ingreso!K:P,6,FALSE),"no esta ingresado")</f>
        <v>Turno A</v>
      </c>
      <c r="H488" s="65">
        <f>IFERROR(IF('Informe Kelly'!H481=$A$2,'Informe Kelly'!F481,""),0)</f>
        <v>0.27232638888888888</v>
      </c>
      <c r="I488" s="65" t="str">
        <f>IFERROR(IF('Informe Kelly'!H481=$A$3,'Informe Kelly'!F481,""),0)</f>
        <v/>
      </c>
      <c r="J488" s="65" t="str">
        <f>IF(IFERROR(IF(E488=E487,0,(HLOOKUP(D488,Ingreso!$AN$10:$AT$260,VLOOKUP(A488,Ingreso!$AL$11:$AM$260,2,FALSE)))/24),0)=0,"",IFERROR(IF(E488=E487,0,(HLOOKUP(D488,Ingreso!$AN$10:$AT$260,VLOOKUP(A488,Ingreso!$AL$11:$AM$260,2,FALSE)))/24),0))</f>
        <v/>
      </c>
      <c r="K488" s="65" t="str">
        <f>IF(IFERROR(IF(E488=E487,0,(HLOOKUP(C488,Ingreso!$AW$10:$BC$260,VLOOKUP(A488,Ingreso!$AL$11:$AM$260,2,FALSE)))/24),0)=0,"",IFERROR(IF(E488=E487,0,(HLOOKUP(C488,Ingreso!$AW$10:$BC$260,VLOOKUP(A488,Ingreso!$AL$11:$AM$260,2,FALSE)))/24),0))</f>
        <v/>
      </c>
      <c r="L488" s="63">
        <f t="shared" si="14"/>
        <v>0</v>
      </c>
      <c r="M488" s="63" t="str">
        <f>IF(IFERROR(IF(C488=C486,0,IF(E488=E487,0,IF(C488=$R$2,HLOOKUP($R$2,Ingreso!$AW$10:$BC$260,VLOOKUP(A488,Ingreso!AL:AM,2,FALSE),FALSE)/24,""))),"")=0,"",IFERROR(IF(C488=C486,0,IF(E488=E487,0,IF(C488=$R$2,HLOOKUP($R$2,Ingreso!$AW$10:$BC$260,VLOOKUP(A488,Ingreso!AL:AM,2,FALSE),FALSE)/24,""))),""))</f>
        <v/>
      </c>
      <c r="N488" s="95" t="str">
        <f>IF(IFERROR(IF(C488=C486,0,IF(E488=E487,0,IF(C488=$R$3,HLOOKUP($R$3,Ingreso!$AW$10:$BC$260,VLOOKUP(A488,Ingreso!AL:AM,2,FALSE),FALSE)/24,""))),"")=0,"",IFERROR(IF(C488=C486,0,IF(E488=E487,0,IF(C488=$R$3,HLOOKUP($R$3,Ingreso!$AW$10:$BC$260,VLOOKUP(A488,Ingreso!AL:AM,2,FALSE),FALSE)/24,""))),""))</f>
        <v/>
      </c>
      <c r="O488" s="95" t="str">
        <f>IF(IFERROR(IF(C488=C486,0,IF(E488=E487,0,IF(C488=$R$4,HLOOKUP($R$4,Ingreso!$AW$10:$BC$260,VLOOKUP(A488,Ingreso!AL:AM,2,FALSE),FALSE)/24,""))),"")=0,"",IFERROR(IF(C488=C486,0,IF(E488=E487,0,IF(C488=$R$4,HLOOKUP($R$4,Ingreso!$AW$10:$BC$260,VLOOKUP(A488,Ingreso!AL:AM,2,FALSE),FALSE)/24,""))),""))</f>
        <v/>
      </c>
      <c r="P488" s="90"/>
      <c r="V488"/>
      <c r="W488"/>
      <c r="X488"/>
      <c r="Y488"/>
      <c r="Z488"/>
      <c r="AA488"/>
      <c r="AB488"/>
      <c r="AC488"/>
      <c r="AD488"/>
    </row>
    <row r="489" spans="1:30">
      <c r="A489" s="65" t="str">
        <f>IFERROR(VLOOKUP('Informe Kelly'!A482,Base!A:B,2,FALSE),"")</f>
        <v>11.325.204-9</v>
      </c>
      <c r="B489" s="65" t="str">
        <f>IFERROR(VLOOKUP('Informe Kelly'!A482,Base!A:G,7,FALSE),"")</f>
        <v>ALVARADO MARTINEZ LUIS ALBERTO</v>
      </c>
      <c r="C489" s="69" t="str">
        <f>IF(G489=$C$4,IF('Informe Kelly'!H482='Control informe Kelly'!$A$2,TEXT(((LEFT('Informe Kelly'!E482,2)*1)+1),"dd")&amp;"."&amp;MID('Informe Kelly'!E482,4,2)&amp;"."&amp;RIGHT('Informe Kelly'!E482,4),'Informe Kelly'!E482),'Informe Kelly'!E482)</f>
        <v>11.04.2011</v>
      </c>
      <c r="D489" s="69" t="str">
        <f>IF('Informe Kelly'!E482="","",'Informe Kelly'!E482)</f>
        <v>11.04.2011</v>
      </c>
      <c r="E489" s="72">
        <f t="shared" si="15"/>
        <v>245</v>
      </c>
      <c r="F489" s="72" t="str">
        <f>IFERROR(HLOOKUP(C489,Ingreso!$Q$8:$AD$9,2,FALSE),"v")</f>
        <v>Lunes</v>
      </c>
      <c r="G489" s="65" t="str">
        <f>IFERROR(VLOOKUP(A489,Ingreso!K:P,6,FALSE),"no esta ingresado")</f>
        <v>Turno C</v>
      </c>
      <c r="H489" s="65" t="str">
        <f>IFERROR(IF('Informe Kelly'!H482=$A$2,'Informe Kelly'!F482,""),0)</f>
        <v/>
      </c>
      <c r="I489" s="65">
        <f>IFERROR(IF('Informe Kelly'!H482=$A$3,'Informe Kelly'!F482,""),0)</f>
        <v>0.31119212962962967</v>
      </c>
      <c r="J489" s="65" t="str">
        <f>IF(IFERROR(IF(E489=E488,0,(HLOOKUP(D489,Ingreso!$AN$10:$AT$260,VLOOKUP(A489,Ingreso!$AL$11:$AM$260,2,FALSE)))/24),0)=0,"",IFERROR(IF(E489=E488,0,(HLOOKUP(D489,Ingreso!$AN$10:$AT$260,VLOOKUP(A489,Ingreso!$AL$11:$AM$260,2,FALSE)))/24),0))</f>
        <v/>
      </c>
      <c r="K489" s="65">
        <f>IF(IFERROR(IF(E489=E488,0,(HLOOKUP(C489,Ingreso!$AW$10:$BC$260,VLOOKUP(A489,Ingreso!$AL$11:$AM$260,2,FALSE)))/24),0)=0,"",IFERROR(IF(E489=E488,0,(HLOOKUP(C489,Ingreso!$AW$10:$BC$260,VLOOKUP(A489,Ingreso!$AL$11:$AM$260,2,FALSE)))/24),0))</f>
        <v>0.3125</v>
      </c>
      <c r="L489" s="63">
        <f t="shared" si="14"/>
        <v>0.375</v>
      </c>
      <c r="M489" s="63">
        <f>IF(IFERROR(IF(C489=C487,0,IF(E489=E488,0,IF(C489=$R$2,HLOOKUP($R$2,Ingreso!$AW$10:$BC$260,VLOOKUP(A489,Ingreso!AL:AM,2,FALSE),FALSE)/24,""))),"")=0,"",IFERROR(IF(C489=C487,0,IF(E489=E488,0,IF(C489=$R$2,HLOOKUP($R$2,Ingreso!$AW$10:$BC$260,VLOOKUP(A489,Ingreso!AL:AM,2,FALSE),FALSE)/24,""))),""))</f>
        <v>0.3125</v>
      </c>
      <c r="N489" s="95" t="str">
        <f>IF(IFERROR(IF(C489=C487,0,IF(E489=E488,0,IF(C489=$R$3,HLOOKUP($R$3,Ingreso!$AW$10:$BC$260,VLOOKUP(A489,Ingreso!AL:AM,2,FALSE),FALSE)/24,""))),"")=0,"",IFERROR(IF(C489=C487,0,IF(E489=E488,0,IF(C489=$R$3,HLOOKUP($R$3,Ingreso!$AW$10:$BC$260,VLOOKUP(A489,Ingreso!AL:AM,2,FALSE),FALSE)/24,""))),""))</f>
        <v/>
      </c>
      <c r="O489" s="95" t="str">
        <f>IF(IFERROR(IF(C489=C487,0,IF(E489=E488,0,IF(C489=$R$4,HLOOKUP($R$4,Ingreso!$AW$10:$BC$260,VLOOKUP(A489,Ingreso!AL:AM,2,FALSE),FALSE)/24,""))),"")=0,"",IFERROR(IF(C489=C487,0,IF(E489=E488,0,IF(C489=$R$4,HLOOKUP($R$4,Ingreso!$AW$10:$BC$260,VLOOKUP(A489,Ingreso!AL:AM,2,FALSE),FALSE)/24,""))),""))</f>
        <v/>
      </c>
      <c r="P489" s="90"/>
      <c r="V489"/>
      <c r="W489"/>
      <c r="X489"/>
      <c r="Y489"/>
      <c r="Z489"/>
      <c r="AA489"/>
      <c r="AB489"/>
      <c r="AC489"/>
      <c r="AD489"/>
    </row>
    <row r="490" spans="1:30">
      <c r="A490" s="65" t="str">
        <f>IFERROR(VLOOKUP('Informe Kelly'!A483,Base!A:B,2,FALSE),"")</f>
        <v>11.325.204-9</v>
      </c>
      <c r="B490" s="65" t="str">
        <f>IFERROR(VLOOKUP('Informe Kelly'!A483,Base!A:G,7,FALSE),"")</f>
        <v>ALVARADO MARTINEZ LUIS ALBERTO</v>
      </c>
      <c r="C490" s="69" t="str">
        <f>IF(G490=$C$4,IF('Informe Kelly'!H483='Control informe Kelly'!$A$2,TEXT(((LEFT('Informe Kelly'!E483,2)*1)+1),"dd")&amp;"."&amp;MID('Informe Kelly'!E483,4,2)&amp;"."&amp;RIGHT('Informe Kelly'!E483,4),'Informe Kelly'!E483),'Informe Kelly'!E483)</f>
        <v>12.04.2011</v>
      </c>
      <c r="D490" s="69" t="str">
        <f>IF('Informe Kelly'!E483="","",'Informe Kelly'!E483)</f>
        <v>11.04.2011</v>
      </c>
      <c r="E490" s="72">
        <f t="shared" si="15"/>
        <v>246</v>
      </c>
      <c r="F490" s="72" t="str">
        <f>IFERROR(HLOOKUP(C490,Ingreso!$Q$8:$AD$9,2,FALSE),"v")</f>
        <v>Martes</v>
      </c>
      <c r="G490" s="65" t="str">
        <f>IFERROR(VLOOKUP(A490,Ingreso!K:P,6,FALSE),"no esta ingresado")</f>
        <v>Turno C</v>
      </c>
      <c r="H490" s="65">
        <f>IFERROR(IF('Informe Kelly'!H483=$A$2,'Informe Kelly'!F483,""),0)</f>
        <v>1.1111111111111111E-3</v>
      </c>
      <c r="I490" s="65" t="str">
        <f>IFERROR(IF('Informe Kelly'!H483=$A$3,'Informe Kelly'!F483,""),0)</f>
        <v/>
      </c>
      <c r="J490" s="65" t="str">
        <f>IF(IFERROR(IF(E490=E489,0,(HLOOKUP(D490,Ingreso!$AN$10:$AT$260,VLOOKUP(A490,Ingreso!$AL$11:$AM$260,2,FALSE)))/24),0)=0,"",IFERROR(IF(E490=E489,0,(HLOOKUP(D490,Ingreso!$AN$10:$AT$260,VLOOKUP(A490,Ingreso!$AL$11:$AM$260,2,FALSE)))/24),0))</f>
        <v/>
      </c>
      <c r="K490" s="65" t="str">
        <f>IF(IFERROR(IF(E490=E489,0,(HLOOKUP(C490,Ingreso!$AW$10:$BC$260,VLOOKUP(A490,Ingreso!$AL$11:$AM$260,2,FALSE)))/24),0)=0,"",IFERROR(IF(E490=E489,0,(HLOOKUP(C490,Ingreso!$AW$10:$BC$260,VLOOKUP(A490,Ingreso!$AL$11:$AM$260,2,FALSE)))/24),0))</f>
        <v/>
      </c>
      <c r="L490" s="63">
        <f t="shared" si="14"/>
        <v>0.375</v>
      </c>
      <c r="M490" s="63" t="str">
        <f>IF(IFERROR(IF(C490=C488,0,IF(E490=E489,0,IF(C490=$R$2,HLOOKUP($R$2,Ingreso!$AW$10:$BC$260,VLOOKUP(A490,Ingreso!AL:AM,2,FALSE),FALSE)/24,""))),"")=0,"",IFERROR(IF(C490=C488,0,IF(E490=E489,0,IF(C490=$R$2,HLOOKUP($R$2,Ingreso!$AW$10:$BC$260,VLOOKUP(A490,Ingreso!AL:AM,2,FALSE),FALSE)/24,""))),""))</f>
        <v/>
      </c>
      <c r="N490" s="95" t="str">
        <f>IF(IFERROR(IF(C490=C488,0,IF(E490=E489,0,IF(C490=$R$3,HLOOKUP($R$3,Ingreso!$AW$10:$BC$260,VLOOKUP(A490,Ingreso!AL:AM,2,FALSE),FALSE)/24,""))),"")=0,"",IFERROR(IF(C490=C488,0,IF(E490=E489,0,IF(C490=$R$3,HLOOKUP($R$3,Ingreso!$AW$10:$BC$260,VLOOKUP(A490,Ingreso!AL:AM,2,FALSE),FALSE)/24,""))),""))</f>
        <v/>
      </c>
      <c r="O490" s="95" t="str">
        <f>IF(IFERROR(IF(C490=C488,0,IF(E490=E489,0,IF(C490=$R$4,HLOOKUP($R$4,Ingreso!$AW$10:$BC$260,VLOOKUP(A490,Ingreso!AL:AM,2,FALSE),FALSE)/24,""))),"")=0,"",IFERROR(IF(C490=C488,0,IF(E490=E489,0,IF(C490=$R$4,HLOOKUP($R$4,Ingreso!$AW$10:$BC$260,VLOOKUP(A490,Ingreso!AL:AM,2,FALSE),FALSE)/24,""))),""))</f>
        <v/>
      </c>
      <c r="P490" s="90"/>
      <c r="V490"/>
      <c r="W490"/>
      <c r="X490"/>
      <c r="Y490"/>
      <c r="Z490"/>
      <c r="AA490"/>
      <c r="AB490"/>
      <c r="AC490"/>
      <c r="AD490"/>
    </row>
    <row r="491" spans="1:30">
      <c r="A491" s="65" t="str">
        <f>IFERROR(VLOOKUP('Informe Kelly'!A484,Base!A:B,2,FALSE),"")</f>
        <v>11.325.204-9</v>
      </c>
      <c r="B491" s="65" t="str">
        <f>IFERROR(VLOOKUP('Informe Kelly'!A484,Base!A:G,7,FALSE),"")</f>
        <v>ALVARADO MARTINEZ LUIS ALBERTO</v>
      </c>
      <c r="C491" s="69" t="str">
        <f>IF(G491=$C$4,IF('Informe Kelly'!H484='Control informe Kelly'!$A$2,TEXT(((LEFT('Informe Kelly'!E484,2)*1)+1),"dd")&amp;"."&amp;MID('Informe Kelly'!E484,4,2)&amp;"."&amp;RIGHT('Informe Kelly'!E484,4),'Informe Kelly'!E484),'Informe Kelly'!E484)</f>
        <v>12.04.2011</v>
      </c>
      <c r="D491" s="69" t="str">
        <f>IF('Informe Kelly'!E484="","",'Informe Kelly'!E484)</f>
        <v>11.04.2011</v>
      </c>
      <c r="E491" s="72">
        <f t="shared" si="15"/>
        <v>246</v>
      </c>
      <c r="F491" s="72" t="str">
        <f>IFERROR(HLOOKUP(C491,Ingreso!$Q$8:$AD$9,2,FALSE),"v")</f>
        <v>Martes</v>
      </c>
      <c r="G491" s="65" t="str">
        <f>IFERROR(VLOOKUP(A491,Ingreso!K:P,6,FALSE),"no esta ingresado")</f>
        <v>Turno C</v>
      </c>
      <c r="H491" s="65">
        <f>IFERROR(IF('Informe Kelly'!H484=$A$2,'Informe Kelly'!F484,""),0)</f>
        <v>0.93616898148148142</v>
      </c>
      <c r="I491" s="65" t="str">
        <f>IFERROR(IF('Informe Kelly'!H484=$A$3,'Informe Kelly'!F484,""),0)</f>
        <v/>
      </c>
      <c r="J491" s="65" t="str">
        <f>IF(IFERROR(IF(E491=E490,0,(HLOOKUP(D491,Ingreso!$AN$10:$AT$260,VLOOKUP(A491,Ingreso!$AL$11:$AM$260,2,FALSE)))/24),0)=0,"",IFERROR(IF(E491=E490,0,(HLOOKUP(D491,Ingreso!$AN$10:$AT$260,VLOOKUP(A491,Ingreso!$AL$11:$AM$260,2,FALSE)))/24),0))</f>
        <v/>
      </c>
      <c r="K491" s="65" t="str">
        <f>IF(IFERROR(IF(E491=E490,0,(HLOOKUP(C491,Ingreso!$AW$10:$BC$260,VLOOKUP(A491,Ingreso!$AL$11:$AM$260,2,FALSE)))/24),0)=0,"",IFERROR(IF(E491=E490,0,(HLOOKUP(C491,Ingreso!$AW$10:$BC$260,VLOOKUP(A491,Ingreso!$AL$11:$AM$260,2,FALSE)))/24),0))</f>
        <v/>
      </c>
      <c r="L491" s="63">
        <f t="shared" si="14"/>
        <v>0</v>
      </c>
      <c r="M491" s="63" t="str">
        <f>IF(IFERROR(IF(C491=C489,0,IF(E491=E490,0,IF(C491=$R$2,HLOOKUP($R$2,Ingreso!$AW$10:$BC$260,VLOOKUP(A491,Ingreso!AL:AM,2,FALSE),FALSE)/24,""))),"")=0,"",IFERROR(IF(C491=C489,0,IF(E491=E490,0,IF(C491=$R$2,HLOOKUP($R$2,Ingreso!$AW$10:$BC$260,VLOOKUP(A491,Ingreso!AL:AM,2,FALSE),FALSE)/24,""))),""))</f>
        <v/>
      </c>
      <c r="N491" s="95" t="str">
        <f>IF(IFERROR(IF(C491=C489,0,IF(E491=E490,0,IF(C491=$R$3,HLOOKUP($R$3,Ingreso!$AW$10:$BC$260,VLOOKUP(A491,Ingreso!AL:AM,2,FALSE),FALSE)/24,""))),"")=0,"",IFERROR(IF(C491=C489,0,IF(E491=E490,0,IF(C491=$R$3,HLOOKUP($R$3,Ingreso!$AW$10:$BC$260,VLOOKUP(A491,Ingreso!AL:AM,2,FALSE),FALSE)/24,""))),""))</f>
        <v/>
      </c>
      <c r="O491" s="95" t="str">
        <f>IF(IFERROR(IF(C491=C489,0,IF(E491=E490,0,IF(C491=$R$4,HLOOKUP($R$4,Ingreso!$AW$10:$BC$260,VLOOKUP(A491,Ingreso!AL:AM,2,FALSE),FALSE)/24,""))),"")=0,"",IFERROR(IF(C491=C489,0,IF(E491=E490,0,IF(C491=$R$4,HLOOKUP($R$4,Ingreso!$AW$10:$BC$260,VLOOKUP(A491,Ingreso!AL:AM,2,FALSE),FALSE)/24,""))),""))</f>
        <v/>
      </c>
      <c r="P491" s="90"/>
      <c r="V491"/>
      <c r="W491"/>
      <c r="X491"/>
      <c r="Y491"/>
      <c r="Z491"/>
      <c r="AA491"/>
      <c r="AB491"/>
      <c r="AC491"/>
      <c r="AD491"/>
    </row>
    <row r="492" spans="1:30">
      <c r="A492" s="65" t="str">
        <f>IFERROR(VLOOKUP('Informe Kelly'!A485,Base!A:B,2,FALSE),"")</f>
        <v>11.325.204-9</v>
      </c>
      <c r="B492" s="65" t="str">
        <f>IFERROR(VLOOKUP('Informe Kelly'!A485,Base!A:G,7,FALSE),"")</f>
        <v>ALVARADO MARTINEZ LUIS ALBERTO</v>
      </c>
      <c r="C492" s="69" t="str">
        <f>IF(G492=$C$4,IF('Informe Kelly'!H485='Control informe Kelly'!$A$2,TEXT(((LEFT('Informe Kelly'!E485,2)*1)+1),"dd")&amp;"."&amp;MID('Informe Kelly'!E485,4,2)&amp;"."&amp;RIGHT('Informe Kelly'!E485,4),'Informe Kelly'!E485),'Informe Kelly'!E485)</f>
        <v>12.04.2011</v>
      </c>
      <c r="D492" s="69" t="str">
        <f>IF('Informe Kelly'!E485="","",'Informe Kelly'!E485)</f>
        <v>12.04.2011</v>
      </c>
      <c r="E492" s="72">
        <f t="shared" si="15"/>
        <v>247</v>
      </c>
      <c r="F492" s="72" t="str">
        <f>IFERROR(HLOOKUP(C492,Ingreso!$Q$8:$AD$9,2,FALSE),"v")</f>
        <v>Martes</v>
      </c>
      <c r="G492" s="65" t="str">
        <f>IFERROR(VLOOKUP(A492,Ingreso!K:P,6,FALSE),"no esta ingresado")</f>
        <v>Turno C</v>
      </c>
      <c r="H492" s="65" t="str">
        <f>IFERROR(IF('Informe Kelly'!H485=$A$2,'Informe Kelly'!F485,""),0)</f>
        <v/>
      </c>
      <c r="I492" s="65">
        <f>IFERROR(IF('Informe Kelly'!H485=$A$3,'Informe Kelly'!F485,""),0)</f>
        <v>0.31472222222222224</v>
      </c>
      <c r="J492" s="65" t="str">
        <f>IF(IFERROR(IF(E492=E491,0,(HLOOKUP(D492,Ingreso!$AN$10:$AT$260,VLOOKUP(A492,Ingreso!$AL$11:$AM$260,2,FALSE)))/24),0)=0,"",IFERROR(IF(E492=E491,0,(HLOOKUP(D492,Ingreso!$AN$10:$AT$260,VLOOKUP(A492,Ingreso!$AL$11:$AM$260,2,FALSE)))/24),0))</f>
        <v/>
      </c>
      <c r="K492" s="65" t="str">
        <f>IF(IFERROR(IF(E492=E491,0,(HLOOKUP(C492,Ingreso!$AW$10:$BC$260,VLOOKUP(A492,Ingreso!$AL$11:$AM$260,2,FALSE)))/24),0)=0,"",IFERROR(IF(E492=E491,0,(HLOOKUP(C492,Ingreso!$AW$10:$BC$260,VLOOKUP(A492,Ingreso!$AL$11:$AM$260,2,FALSE)))/24),0))</f>
        <v/>
      </c>
      <c r="L492" s="63">
        <f t="shared" si="14"/>
        <v>0</v>
      </c>
      <c r="M492" s="63" t="str">
        <f>IF(IFERROR(IF(C492=C490,0,IF(E492=E491,0,IF(C492=$R$2,HLOOKUP($R$2,Ingreso!$AW$10:$BC$260,VLOOKUP(A492,Ingreso!AL:AM,2,FALSE),FALSE)/24,""))),"")=0,"",IFERROR(IF(C492=C490,0,IF(E492=E491,0,IF(C492=$R$2,HLOOKUP($R$2,Ingreso!$AW$10:$BC$260,VLOOKUP(A492,Ingreso!AL:AM,2,FALSE),FALSE)/24,""))),""))</f>
        <v/>
      </c>
      <c r="N492" s="95" t="str">
        <f>IF(IFERROR(IF(C492=C490,0,IF(E492=E491,0,IF(C492=$R$3,HLOOKUP($R$3,Ingreso!$AW$10:$BC$260,VLOOKUP(A492,Ingreso!AL:AM,2,FALSE),FALSE)/24,""))),"")=0,"",IFERROR(IF(C492=C490,0,IF(E492=E491,0,IF(C492=$R$3,HLOOKUP($R$3,Ingreso!$AW$10:$BC$260,VLOOKUP(A492,Ingreso!AL:AM,2,FALSE),FALSE)/24,""))),""))</f>
        <v/>
      </c>
      <c r="O492" s="95" t="str">
        <f>IF(IFERROR(IF(C492=C490,0,IF(E492=E491,0,IF(C492=$R$4,HLOOKUP($R$4,Ingreso!$AW$10:$BC$260,VLOOKUP(A492,Ingreso!AL:AM,2,FALSE),FALSE)/24,""))),"")=0,"",IFERROR(IF(C492=C490,0,IF(E492=E491,0,IF(C492=$R$4,HLOOKUP($R$4,Ingreso!$AW$10:$BC$260,VLOOKUP(A492,Ingreso!AL:AM,2,FALSE),FALSE)/24,""))),""))</f>
        <v/>
      </c>
      <c r="P492" s="90"/>
      <c r="V492"/>
      <c r="W492"/>
      <c r="X492"/>
      <c r="Y492"/>
      <c r="Z492"/>
      <c r="AA492"/>
      <c r="AB492"/>
      <c r="AC492"/>
      <c r="AD492"/>
    </row>
    <row r="493" spans="1:30">
      <c r="A493" s="65" t="str">
        <f>IFERROR(VLOOKUP('Informe Kelly'!A486,Base!A:B,2,FALSE),"")</f>
        <v>11.325.204-9</v>
      </c>
      <c r="B493" s="65" t="str">
        <f>IFERROR(VLOOKUP('Informe Kelly'!A486,Base!A:G,7,FALSE),"")</f>
        <v>ALVARADO MARTINEZ LUIS ALBERTO</v>
      </c>
      <c r="C493" s="69" t="str">
        <f>IF(G493=$C$4,IF('Informe Kelly'!H486='Control informe Kelly'!$A$2,TEXT(((LEFT('Informe Kelly'!E486,2)*1)+1),"dd")&amp;"."&amp;MID('Informe Kelly'!E486,4,2)&amp;"."&amp;RIGHT('Informe Kelly'!E486,4),'Informe Kelly'!E486),'Informe Kelly'!E486)</f>
        <v>13.04.2011</v>
      </c>
      <c r="D493" s="69" t="str">
        <f>IF('Informe Kelly'!E486="","",'Informe Kelly'!E486)</f>
        <v>12.04.2011</v>
      </c>
      <c r="E493" s="72">
        <f t="shared" si="15"/>
        <v>248</v>
      </c>
      <c r="F493" s="72" t="str">
        <f>IFERROR(HLOOKUP(C493,Ingreso!$Q$8:$AD$9,2,FALSE),"v")</f>
        <v>Miércoles</v>
      </c>
      <c r="G493" s="65" t="str">
        <f>IFERROR(VLOOKUP(A493,Ingreso!K:P,6,FALSE),"no esta ingresado")</f>
        <v>Turno C</v>
      </c>
      <c r="H493" s="65">
        <f>IFERROR(IF('Informe Kelly'!H486=$A$2,'Informe Kelly'!F486,""),0)</f>
        <v>0.93530092592592595</v>
      </c>
      <c r="I493" s="65" t="str">
        <f>IFERROR(IF('Informe Kelly'!H486=$A$3,'Informe Kelly'!F486,""),0)</f>
        <v/>
      </c>
      <c r="J493" s="65" t="str">
        <f>IF(IFERROR(IF(E493=E492,0,(HLOOKUP(D493,Ingreso!$AN$10:$AT$260,VLOOKUP(A493,Ingreso!$AL$11:$AM$260,2,FALSE)))/24),0)=0,"",IFERROR(IF(E493=E492,0,(HLOOKUP(D493,Ingreso!$AN$10:$AT$260,VLOOKUP(A493,Ingreso!$AL$11:$AM$260,2,FALSE)))/24),0))</f>
        <v/>
      </c>
      <c r="K493" s="65" t="str">
        <f>IF(IFERROR(IF(E493=E492,0,(HLOOKUP(C493,Ingreso!$AW$10:$BC$260,VLOOKUP(A493,Ingreso!$AL$11:$AM$260,2,FALSE)))/24),0)=0,"",IFERROR(IF(E493=E492,0,(HLOOKUP(C493,Ingreso!$AW$10:$BC$260,VLOOKUP(A493,Ingreso!$AL$11:$AM$260,2,FALSE)))/24),0))</f>
        <v/>
      </c>
      <c r="L493" s="63">
        <f t="shared" si="14"/>
        <v>0.375</v>
      </c>
      <c r="M493" s="63" t="str">
        <f>IF(IFERROR(IF(C493=C491,0,IF(E493=E492,0,IF(C493=$R$2,HLOOKUP($R$2,Ingreso!$AW$10:$BC$260,VLOOKUP(A493,Ingreso!AL:AM,2,FALSE),FALSE)/24,""))),"")=0,"",IFERROR(IF(C493=C491,0,IF(E493=E492,0,IF(C493=$R$2,HLOOKUP($R$2,Ingreso!$AW$10:$BC$260,VLOOKUP(A493,Ingreso!AL:AM,2,FALSE),FALSE)/24,""))),""))</f>
        <v/>
      </c>
      <c r="N493" s="95" t="str">
        <f>IF(IFERROR(IF(C493=C491,0,IF(E493=E492,0,IF(C493=$R$3,HLOOKUP($R$3,Ingreso!$AW$10:$BC$260,VLOOKUP(A493,Ingreso!AL:AM,2,FALSE),FALSE)/24,""))),"")=0,"",IFERROR(IF(C493=C491,0,IF(E493=E492,0,IF(C493=$R$3,HLOOKUP($R$3,Ingreso!$AW$10:$BC$260,VLOOKUP(A493,Ingreso!AL:AM,2,FALSE),FALSE)/24,""))),""))</f>
        <v/>
      </c>
      <c r="O493" s="95" t="str">
        <f>IF(IFERROR(IF(C493=C491,0,IF(E493=E492,0,IF(C493=$R$4,HLOOKUP($R$4,Ingreso!$AW$10:$BC$260,VLOOKUP(A493,Ingreso!AL:AM,2,FALSE),FALSE)/24,""))),"")=0,"",IFERROR(IF(C493=C491,0,IF(E493=E492,0,IF(C493=$R$4,HLOOKUP($R$4,Ingreso!$AW$10:$BC$260,VLOOKUP(A493,Ingreso!AL:AM,2,FALSE),FALSE)/24,""))),""))</f>
        <v/>
      </c>
      <c r="P493" s="90"/>
      <c r="V493"/>
      <c r="W493"/>
      <c r="X493"/>
      <c r="Y493"/>
      <c r="Z493"/>
      <c r="AA493"/>
      <c r="AB493"/>
      <c r="AC493"/>
      <c r="AD493"/>
    </row>
    <row r="494" spans="1:30">
      <c r="A494" s="65" t="str">
        <f>IFERROR(VLOOKUP('Informe Kelly'!A487,Base!A:B,2,FALSE),"")</f>
        <v>11.325.204-9</v>
      </c>
      <c r="B494" s="65" t="str">
        <f>IFERROR(VLOOKUP('Informe Kelly'!A487,Base!A:G,7,FALSE),"")</f>
        <v>ALVARADO MARTINEZ LUIS ALBERTO</v>
      </c>
      <c r="C494" s="69" t="str">
        <f>IF(G494=$C$4,IF('Informe Kelly'!H487='Control informe Kelly'!$A$2,TEXT(((LEFT('Informe Kelly'!E487,2)*1)+1),"dd")&amp;"."&amp;MID('Informe Kelly'!E487,4,2)&amp;"."&amp;RIGHT('Informe Kelly'!E487,4),'Informe Kelly'!E487),'Informe Kelly'!E487)</f>
        <v>13.04.2011</v>
      </c>
      <c r="D494" s="69" t="str">
        <f>IF('Informe Kelly'!E487="","",'Informe Kelly'!E487)</f>
        <v>13.04.2011</v>
      </c>
      <c r="E494" s="72">
        <f t="shared" si="15"/>
        <v>248</v>
      </c>
      <c r="F494" s="72" t="str">
        <f>IFERROR(HLOOKUP(C494,Ingreso!$Q$8:$AD$9,2,FALSE),"v")</f>
        <v>Miércoles</v>
      </c>
      <c r="G494" s="65" t="str">
        <f>IFERROR(VLOOKUP(A494,Ingreso!K:P,6,FALSE),"no esta ingresado")</f>
        <v>Turno C</v>
      </c>
      <c r="H494" s="65" t="str">
        <f>IFERROR(IF('Informe Kelly'!H487=$A$2,'Informe Kelly'!F487,""),0)</f>
        <v/>
      </c>
      <c r="I494" s="65">
        <f>IFERROR(IF('Informe Kelly'!H487=$A$3,'Informe Kelly'!F487,""),0)</f>
        <v>0.31687500000000002</v>
      </c>
      <c r="J494" s="65" t="str">
        <f>IF(IFERROR(IF(E494=E493,0,(HLOOKUP(D494,Ingreso!$AN$10:$AT$260,VLOOKUP(A494,Ingreso!$AL$11:$AM$260,2,FALSE)))/24),0)=0,"",IFERROR(IF(E494=E493,0,(HLOOKUP(D494,Ingreso!$AN$10:$AT$260,VLOOKUP(A494,Ingreso!$AL$11:$AM$260,2,FALSE)))/24),0))</f>
        <v/>
      </c>
      <c r="K494" s="65" t="str">
        <f>IF(IFERROR(IF(E494=E493,0,(HLOOKUP(C494,Ingreso!$AW$10:$BC$260,VLOOKUP(A494,Ingreso!$AL$11:$AM$260,2,FALSE)))/24),0)=0,"",IFERROR(IF(E494=E493,0,(HLOOKUP(C494,Ingreso!$AW$10:$BC$260,VLOOKUP(A494,Ingreso!$AL$11:$AM$260,2,FALSE)))/24),0))</f>
        <v/>
      </c>
      <c r="L494" s="63">
        <f t="shared" si="14"/>
        <v>0</v>
      </c>
      <c r="M494" s="63" t="str">
        <f>IF(IFERROR(IF(C494=C492,0,IF(E494=E493,0,IF(C494=$R$2,HLOOKUP($R$2,Ingreso!$AW$10:$BC$260,VLOOKUP(A494,Ingreso!AL:AM,2,FALSE),FALSE)/24,""))),"")=0,"",IFERROR(IF(C494=C492,0,IF(E494=E493,0,IF(C494=$R$2,HLOOKUP($R$2,Ingreso!$AW$10:$BC$260,VLOOKUP(A494,Ingreso!AL:AM,2,FALSE),FALSE)/24,""))),""))</f>
        <v/>
      </c>
      <c r="N494" s="95" t="str">
        <f>IF(IFERROR(IF(C494=C492,0,IF(E494=E493,0,IF(C494=$R$3,HLOOKUP($R$3,Ingreso!$AW$10:$BC$260,VLOOKUP(A494,Ingreso!AL:AM,2,FALSE),FALSE)/24,""))),"")=0,"",IFERROR(IF(C494=C492,0,IF(E494=E493,0,IF(C494=$R$3,HLOOKUP($R$3,Ingreso!$AW$10:$BC$260,VLOOKUP(A494,Ingreso!AL:AM,2,FALSE),FALSE)/24,""))),""))</f>
        <v/>
      </c>
      <c r="O494" s="95" t="str">
        <f>IF(IFERROR(IF(C494=C492,0,IF(E494=E493,0,IF(C494=$R$4,HLOOKUP($R$4,Ingreso!$AW$10:$BC$260,VLOOKUP(A494,Ingreso!AL:AM,2,FALSE),FALSE)/24,""))),"")=0,"",IFERROR(IF(C494=C492,0,IF(E494=E493,0,IF(C494=$R$4,HLOOKUP($R$4,Ingreso!$AW$10:$BC$260,VLOOKUP(A494,Ingreso!AL:AM,2,FALSE),FALSE)/24,""))),""))</f>
        <v/>
      </c>
      <c r="P494" s="90"/>
      <c r="V494"/>
      <c r="W494"/>
      <c r="X494"/>
      <c r="Y494"/>
      <c r="Z494"/>
      <c r="AA494"/>
      <c r="AB494"/>
      <c r="AC494"/>
      <c r="AD494"/>
    </row>
    <row r="495" spans="1:30">
      <c r="A495" s="65" t="str">
        <f>IFERROR(VLOOKUP('Informe Kelly'!A488,Base!A:B,2,FALSE),"")</f>
        <v>11.347.053-4</v>
      </c>
      <c r="B495" s="65" t="str">
        <f>IFERROR(VLOOKUP('Informe Kelly'!A488,Base!A:G,7,FALSE),"")</f>
        <v>CRUZ ROMERO LUISA ISABEL</v>
      </c>
      <c r="C495" s="69" t="str">
        <f>IF(G495=$C$4,IF('Informe Kelly'!H488='Control informe Kelly'!$A$2,TEXT(((LEFT('Informe Kelly'!E488,2)*1)+1),"dd")&amp;"."&amp;MID('Informe Kelly'!E488,4,2)&amp;"."&amp;RIGHT('Informe Kelly'!E488,4),'Informe Kelly'!E488),'Informe Kelly'!E488)</f>
        <v>11.04.2011</v>
      </c>
      <c r="D495" s="69" t="str">
        <f>IF('Informe Kelly'!E488="","",'Informe Kelly'!E488)</f>
        <v>11.04.2011</v>
      </c>
      <c r="E495" s="72">
        <f t="shared" si="15"/>
        <v>249</v>
      </c>
      <c r="F495" s="72" t="str">
        <f>IFERROR(HLOOKUP(C495,Ingreso!$Q$8:$AD$9,2,FALSE),"v")</f>
        <v>Lunes</v>
      </c>
      <c r="G495" s="65" t="str">
        <f>IFERROR(VLOOKUP(A495,Ingreso!K:P,6,FALSE),"no esta ingresado")</f>
        <v>Turno B</v>
      </c>
      <c r="H495" s="65" t="str">
        <f>IFERROR(IF('Informe Kelly'!H488=$A$2,'Informe Kelly'!F488,""),0)</f>
        <v/>
      </c>
      <c r="I495" s="65">
        <f>IFERROR(IF('Informe Kelly'!H488=$A$3,'Informe Kelly'!F488,""),0)</f>
        <v>0.94493055555555561</v>
      </c>
      <c r="J495" s="65" t="str">
        <f>IF(IFERROR(IF(E495=E494,0,(HLOOKUP(D495,Ingreso!$AN$10:$AT$260,VLOOKUP(A495,Ingreso!$AL$11:$AM$260,2,FALSE)))/24),0)=0,"",IFERROR(IF(E495=E494,0,(HLOOKUP(D495,Ingreso!$AN$10:$AT$260,VLOOKUP(A495,Ingreso!$AL$11:$AM$260,2,FALSE)))/24),0))</f>
        <v/>
      </c>
      <c r="K495" s="65" t="str">
        <f>IF(IFERROR(IF(E495=E494,0,(HLOOKUP(C495,Ingreso!$AW$10:$BC$260,VLOOKUP(A495,Ingreso!$AL$11:$AM$260,2,FALSE)))/24),0)=0,"",IFERROR(IF(E495=E494,0,(HLOOKUP(C495,Ingreso!$AW$10:$BC$260,VLOOKUP(A495,Ingreso!$AL$11:$AM$260,2,FALSE)))/24),0))</f>
        <v/>
      </c>
      <c r="L495" s="63">
        <f t="shared" si="14"/>
        <v>0.3125</v>
      </c>
      <c r="M495" s="63" t="str">
        <f>IF(IFERROR(IF(C495=C493,0,IF(E495=E494,0,IF(C495=$R$2,HLOOKUP($R$2,Ingreso!$AW$10:$BC$260,VLOOKUP(A495,Ingreso!AL:AM,2,FALSE),FALSE)/24,""))),"")=0,"",IFERROR(IF(C495=C493,0,IF(E495=E494,0,IF(C495=$R$2,HLOOKUP($R$2,Ingreso!$AW$10:$BC$260,VLOOKUP(A495,Ingreso!AL:AM,2,FALSE),FALSE)/24,""))),""))</f>
        <v/>
      </c>
      <c r="N495" s="95" t="str">
        <f>IF(IFERROR(IF(C495=C493,0,IF(E495=E494,0,IF(C495=$R$3,HLOOKUP($R$3,Ingreso!$AW$10:$BC$260,VLOOKUP(A495,Ingreso!AL:AM,2,FALSE),FALSE)/24,""))),"")=0,"",IFERROR(IF(C495=C493,0,IF(E495=E494,0,IF(C495=$R$3,HLOOKUP($R$3,Ingreso!$AW$10:$BC$260,VLOOKUP(A495,Ingreso!AL:AM,2,FALSE),FALSE)/24,""))),""))</f>
        <v/>
      </c>
      <c r="O495" s="95" t="str">
        <f>IF(IFERROR(IF(C495=C493,0,IF(E495=E494,0,IF(C495=$R$4,HLOOKUP($R$4,Ingreso!$AW$10:$BC$260,VLOOKUP(A495,Ingreso!AL:AM,2,FALSE),FALSE)/24,""))),"")=0,"",IFERROR(IF(C495=C493,0,IF(E495=E494,0,IF(C495=$R$4,HLOOKUP($R$4,Ingreso!$AW$10:$BC$260,VLOOKUP(A495,Ingreso!AL:AM,2,FALSE),FALSE)/24,""))),""))</f>
        <v/>
      </c>
      <c r="P495" s="90"/>
      <c r="V495"/>
      <c r="W495"/>
      <c r="X495"/>
      <c r="Y495"/>
      <c r="Z495"/>
      <c r="AA495"/>
      <c r="AB495"/>
      <c r="AC495"/>
      <c r="AD495"/>
    </row>
    <row r="496" spans="1:30">
      <c r="A496" s="65" t="str">
        <f>IFERROR(VLOOKUP('Informe Kelly'!A489,Base!A:B,2,FALSE),"")</f>
        <v>11.347.053-4</v>
      </c>
      <c r="B496" s="65" t="str">
        <f>IFERROR(VLOOKUP('Informe Kelly'!A489,Base!A:G,7,FALSE),"")</f>
        <v>CRUZ ROMERO LUISA ISABEL</v>
      </c>
      <c r="C496" s="69" t="str">
        <f>IF(G496=$C$4,IF('Informe Kelly'!H489='Control informe Kelly'!$A$2,TEXT(((LEFT('Informe Kelly'!E489,2)*1)+1),"dd")&amp;"."&amp;MID('Informe Kelly'!E489,4,2)&amp;"."&amp;RIGHT('Informe Kelly'!E489,4),'Informe Kelly'!E489),'Informe Kelly'!E489)</f>
        <v>11.04.2011</v>
      </c>
      <c r="D496" s="69" t="str">
        <f>IF('Informe Kelly'!E489="","",'Informe Kelly'!E489)</f>
        <v>11.04.2011</v>
      </c>
      <c r="E496" s="72">
        <f t="shared" si="15"/>
        <v>249</v>
      </c>
      <c r="F496" s="72" t="str">
        <f>IFERROR(HLOOKUP(C496,Ingreso!$Q$8:$AD$9,2,FALSE),"v")</f>
        <v>Lunes</v>
      </c>
      <c r="G496" s="65" t="str">
        <f>IFERROR(VLOOKUP(A496,Ingreso!K:P,6,FALSE),"no esta ingresado")</f>
        <v>Turno B</v>
      </c>
      <c r="H496" s="65">
        <f>IFERROR(IF('Informe Kelly'!H489=$A$2,'Informe Kelly'!F489,""),0)</f>
        <v>0.62167824074074074</v>
      </c>
      <c r="I496" s="65" t="str">
        <f>IFERROR(IF('Informe Kelly'!H489=$A$3,'Informe Kelly'!F489,""),0)</f>
        <v/>
      </c>
      <c r="J496" s="65" t="str">
        <f>IF(IFERROR(IF(E496=E495,0,(HLOOKUP(D496,Ingreso!$AN$10:$AT$260,VLOOKUP(A496,Ingreso!$AL$11:$AM$260,2,FALSE)))/24),0)=0,"",IFERROR(IF(E496=E495,0,(HLOOKUP(D496,Ingreso!$AN$10:$AT$260,VLOOKUP(A496,Ingreso!$AL$11:$AM$260,2,FALSE)))/24),0))</f>
        <v/>
      </c>
      <c r="K496" s="65" t="str">
        <f>IF(IFERROR(IF(E496=E495,0,(HLOOKUP(C496,Ingreso!$AW$10:$BC$260,VLOOKUP(A496,Ingreso!$AL$11:$AM$260,2,FALSE)))/24),0)=0,"",IFERROR(IF(E496=E495,0,(HLOOKUP(C496,Ingreso!$AW$10:$BC$260,VLOOKUP(A496,Ingreso!$AL$11:$AM$260,2,FALSE)))/24),0))</f>
        <v/>
      </c>
      <c r="L496" s="63">
        <f t="shared" si="14"/>
        <v>0</v>
      </c>
      <c r="M496" s="63" t="str">
        <f>IF(IFERROR(IF(C496=C494,0,IF(E496=E495,0,IF(C496=$R$2,HLOOKUP($R$2,Ingreso!$AW$10:$BC$260,VLOOKUP(A496,Ingreso!AL:AM,2,FALSE),FALSE)/24,""))),"")=0,"",IFERROR(IF(C496=C494,0,IF(E496=E495,0,IF(C496=$R$2,HLOOKUP($R$2,Ingreso!$AW$10:$BC$260,VLOOKUP(A496,Ingreso!AL:AM,2,FALSE),FALSE)/24,""))),""))</f>
        <v/>
      </c>
      <c r="N496" s="95" t="str">
        <f>IF(IFERROR(IF(C496=C494,0,IF(E496=E495,0,IF(C496=$R$3,HLOOKUP($R$3,Ingreso!$AW$10:$BC$260,VLOOKUP(A496,Ingreso!AL:AM,2,FALSE),FALSE)/24,""))),"")=0,"",IFERROR(IF(C496=C494,0,IF(E496=E495,0,IF(C496=$R$3,HLOOKUP($R$3,Ingreso!$AW$10:$BC$260,VLOOKUP(A496,Ingreso!AL:AM,2,FALSE),FALSE)/24,""))),""))</f>
        <v/>
      </c>
      <c r="O496" s="95" t="str">
        <f>IF(IFERROR(IF(C496=C494,0,IF(E496=E495,0,IF(C496=$R$4,HLOOKUP($R$4,Ingreso!$AW$10:$BC$260,VLOOKUP(A496,Ingreso!AL:AM,2,FALSE),FALSE)/24,""))),"")=0,"",IFERROR(IF(C496=C494,0,IF(E496=E495,0,IF(C496=$R$4,HLOOKUP($R$4,Ingreso!$AW$10:$BC$260,VLOOKUP(A496,Ingreso!AL:AM,2,FALSE),FALSE)/24,""))),""))</f>
        <v/>
      </c>
      <c r="P496" s="90"/>
      <c r="V496"/>
      <c r="W496"/>
      <c r="X496"/>
      <c r="Y496"/>
      <c r="Z496"/>
      <c r="AA496"/>
      <c r="AB496"/>
      <c r="AC496"/>
      <c r="AD496"/>
    </row>
    <row r="497" spans="1:30">
      <c r="A497" s="65" t="str">
        <f>IFERROR(VLOOKUP('Informe Kelly'!A490,Base!A:B,2,FALSE),"")</f>
        <v>11.347.053-4</v>
      </c>
      <c r="B497" s="65" t="str">
        <f>IFERROR(VLOOKUP('Informe Kelly'!A490,Base!A:G,7,FALSE),"")</f>
        <v>CRUZ ROMERO LUISA ISABEL</v>
      </c>
      <c r="C497" s="69" t="str">
        <f>IF(G497=$C$4,IF('Informe Kelly'!H490='Control informe Kelly'!$A$2,TEXT(((LEFT('Informe Kelly'!E490,2)*1)+1),"dd")&amp;"."&amp;MID('Informe Kelly'!E490,4,2)&amp;"."&amp;RIGHT('Informe Kelly'!E490,4),'Informe Kelly'!E490),'Informe Kelly'!E490)</f>
        <v>12.04.2011</v>
      </c>
      <c r="D497" s="69" t="str">
        <f>IF('Informe Kelly'!E490="","",'Informe Kelly'!E490)</f>
        <v>12.04.2011</v>
      </c>
      <c r="E497" s="72">
        <f t="shared" si="15"/>
        <v>250</v>
      </c>
      <c r="F497" s="72" t="str">
        <f>IFERROR(HLOOKUP(C497,Ingreso!$Q$8:$AD$9,2,FALSE),"v")</f>
        <v>Martes</v>
      </c>
      <c r="G497" s="65" t="str">
        <f>IFERROR(VLOOKUP(A497,Ingreso!K:P,6,FALSE),"no esta ingresado")</f>
        <v>Turno B</v>
      </c>
      <c r="H497" s="65" t="str">
        <f>IFERROR(IF('Informe Kelly'!H490=$A$2,'Informe Kelly'!F490,""),0)</f>
        <v/>
      </c>
      <c r="I497" s="65">
        <f>IFERROR(IF('Informe Kelly'!H490=$A$3,'Informe Kelly'!F490,""),0)</f>
        <v>0.94528935185185192</v>
      </c>
      <c r="J497" s="65" t="str">
        <f>IF(IFERROR(IF(E497=E496,0,(HLOOKUP(D497,Ingreso!$AN$10:$AT$260,VLOOKUP(A497,Ingreso!$AL$11:$AM$260,2,FALSE)))/24),0)=0,"",IFERROR(IF(E497=E496,0,(HLOOKUP(D497,Ingreso!$AN$10:$AT$260,VLOOKUP(A497,Ingreso!$AL$11:$AM$260,2,FALSE)))/24),0))</f>
        <v/>
      </c>
      <c r="K497" s="65" t="str">
        <f>IF(IFERROR(IF(E497=E496,0,(HLOOKUP(C497,Ingreso!$AW$10:$BC$260,VLOOKUP(A497,Ingreso!$AL$11:$AM$260,2,FALSE)))/24),0)=0,"",IFERROR(IF(E497=E496,0,(HLOOKUP(C497,Ingreso!$AW$10:$BC$260,VLOOKUP(A497,Ingreso!$AL$11:$AM$260,2,FALSE)))/24),0))</f>
        <v/>
      </c>
      <c r="L497" s="63">
        <f t="shared" si="14"/>
        <v>0.3125</v>
      </c>
      <c r="M497" s="63" t="str">
        <f>IF(IFERROR(IF(C497=C495,0,IF(E497=E496,0,IF(C497=$R$2,HLOOKUP($R$2,Ingreso!$AW$10:$BC$260,VLOOKUP(A497,Ingreso!AL:AM,2,FALSE),FALSE)/24,""))),"")=0,"",IFERROR(IF(C497=C495,0,IF(E497=E496,0,IF(C497=$R$2,HLOOKUP($R$2,Ingreso!$AW$10:$BC$260,VLOOKUP(A497,Ingreso!AL:AM,2,FALSE),FALSE)/24,""))),""))</f>
        <v/>
      </c>
      <c r="N497" s="95" t="str">
        <f>IF(IFERROR(IF(C497=C495,0,IF(E497=E496,0,IF(C497=$R$3,HLOOKUP($R$3,Ingreso!$AW$10:$BC$260,VLOOKUP(A497,Ingreso!AL:AM,2,FALSE),FALSE)/24,""))),"")=0,"",IFERROR(IF(C497=C495,0,IF(E497=E496,0,IF(C497=$R$3,HLOOKUP($R$3,Ingreso!$AW$10:$BC$260,VLOOKUP(A497,Ingreso!AL:AM,2,FALSE),FALSE)/24,""))),""))</f>
        <v/>
      </c>
      <c r="O497" s="95" t="str">
        <f>IF(IFERROR(IF(C497=C495,0,IF(E497=E496,0,IF(C497=$R$4,HLOOKUP($R$4,Ingreso!$AW$10:$BC$260,VLOOKUP(A497,Ingreso!AL:AM,2,FALSE),FALSE)/24,""))),"")=0,"",IFERROR(IF(C497=C495,0,IF(E497=E496,0,IF(C497=$R$4,HLOOKUP($R$4,Ingreso!$AW$10:$BC$260,VLOOKUP(A497,Ingreso!AL:AM,2,FALSE),FALSE)/24,""))),""))</f>
        <v/>
      </c>
      <c r="P497" s="90"/>
      <c r="V497"/>
      <c r="W497"/>
      <c r="X497"/>
      <c r="Y497"/>
      <c r="Z497"/>
      <c r="AA497"/>
      <c r="AB497"/>
      <c r="AC497"/>
      <c r="AD497"/>
    </row>
    <row r="498" spans="1:30">
      <c r="A498" s="65" t="str">
        <f>IFERROR(VLOOKUP('Informe Kelly'!A491,Base!A:B,2,FALSE),"")</f>
        <v>11.347.053-4</v>
      </c>
      <c r="B498" s="65" t="str">
        <f>IFERROR(VLOOKUP('Informe Kelly'!A491,Base!A:G,7,FALSE),"")</f>
        <v>CRUZ ROMERO LUISA ISABEL</v>
      </c>
      <c r="C498" s="69" t="str">
        <f>IF(G498=$C$4,IF('Informe Kelly'!H491='Control informe Kelly'!$A$2,TEXT(((LEFT('Informe Kelly'!E491,2)*1)+1),"dd")&amp;"."&amp;MID('Informe Kelly'!E491,4,2)&amp;"."&amp;RIGHT('Informe Kelly'!E491,4),'Informe Kelly'!E491),'Informe Kelly'!E491)</f>
        <v>12.04.2011</v>
      </c>
      <c r="D498" s="69" t="str">
        <f>IF('Informe Kelly'!E491="","",'Informe Kelly'!E491)</f>
        <v>12.04.2011</v>
      </c>
      <c r="E498" s="72">
        <f t="shared" si="15"/>
        <v>250</v>
      </c>
      <c r="F498" s="72" t="str">
        <f>IFERROR(HLOOKUP(C498,Ingreso!$Q$8:$AD$9,2,FALSE),"v")</f>
        <v>Martes</v>
      </c>
      <c r="G498" s="65" t="str">
        <f>IFERROR(VLOOKUP(A498,Ingreso!K:P,6,FALSE),"no esta ingresado")</f>
        <v>Turno B</v>
      </c>
      <c r="H498" s="65">
        <f>IFERROR(IF('Informe Kelly'!H491=$A$2,'Informe Kelly'!F491,""),0)</f>
        <v>0.61546296296296299</v>
      </c>
      <c r="I498" s="65" t="str">
        <f>IFERROR(IF('Informe Kelly'!H491=$A$3,'Informe Kelly'!F491,""),0)</f>
        <v/>
      </c>
      <c r="J498" s="65" t="str">
        <f>IF(IFERROR(IF(E498=E497,0,(HLOOKUP(D498,Ingreso!$AN$10:$AT$260,VLOOKUP(A498,Ingreso!$AL$11:$AM$260,2,FALSE)))/24),0)=0,"",IFERROR(IF(E498=E497,0,(HLOOKUP(D498,Ingreso!$AN$10:$AT$260,VLOOKUP(A498,Ingreso!$AL$11:$AM$260,2,FALSE)))/24),0))</f>
        <v/>
      </c>
      <c r="K498" s="65" t="str">
        <f>IF(IFERROR(IF(E498=E497,0,(HLOOKUP(C498,Ingreso!$AW$10:$BC$260,VLOOKUP(A498,Ingreso!$AL$11:$AM$260,2,FALSE)))/24),0)=0,"",IFERROR(IF(E498=E497,0,(HLOOKUP(C498,Ingreso!$AW$10:$BC$260,VLOOKUP(A498,Ingreso!$AL$11:$AM$260,2,FALSE)))/24),0))</f>
        <v/>
      </c>
      <c r="L498" s="63">
        <f t="shared" si="14"/>
        <v>0</v>
      </c>
      <c r="M498" s="63" t="str">
        <f>IF(IFERROR(IF(C498=C496,0,IF(E498=E497,0,IF(C498=$R$2,HLOOKUP($R$2,Ingreso!$AW$10:$BC$260,VLOOKUP(A498,Ingreso!AL:AM,2,FALSE),FALSE)/24,""))),"")=0,"",IFERROR(IF(C498=C496,0,IF(E498=E497,0,IF(C498=$R$2,HLOOKUP($R$2,Ingreso!$AW$10:$BC$260,VLOOKUP(A498,Ingreso!AL:AM,2,FALSE),FALSE)/24,""))),""))</f>
        <v/>
      </c>
      <c r="N498" s="95" t="str">
        <f>IF(IFERROR(IF(C498=C496,0,IF(E498=E497,0,IF(C498=$R$3,HLOOKUP($R$3,Ingreso!$AW$10:$BC$260,VLOOKUP(A498,Ingreso!AL:AM,2,FALSE),FALSE)/24,""))),"")=0,"",IFERROR(IF(C498=C496,0,IF(E498=E497,0,IF(C498=$R$3,HLOOKUP($R$3,Ingreso!$AW$10:$BC$260,VLOOKUP(A498,Ingreso!AL:AM,2,FALSE),FALSE)/24,""))),""))</f>
        <v/>
      </c>
      <c r="O498" s="95" t="str">
        <f>IF(IFERROR(IF(C498=C496,0,IF(E498=E497,0,IF(C498=$R$4,HLOOKUP($R$4,Ingreso!$AW$10:$BC$260,VLOOKUP(A498,Ingreso!AL:AM,2,FALSE),FALSE)/24,""))),"")=0,"",IFERROR(IF(C498=C496,0,IF(E498=E497,0,IF(C498=$R$4,HLOOKUP($R$4,Ingreso!$AW$10:$BC$260,VLOOKUP(A498,Ingreso!AL:AM,2,FALSE),FALSE)/24,""))),""))</f>
        <v/>
      </c>
      <c r="P498" s="90"/>
      <c r="V498"/>
      <c r="W498"/>
      <c r="X498"/>
      <c r="Y498"/>
      <c r="Z498"/>
      <c r="AA498"/>
      <c r="AB498"/>
      <c r="AC498"/>
      <c r="AD498"/>
    </row>
    <row r="499" spans="1:30">
      <c r="A499" s="65" t="str">
        <f>IFERROR(VLOOKUP('Informe Kelly'!A492,Base!A:B,2,FALSE),"")</f>
        <v>11.347.053-4</v>
      </c>
      <c r="B499" s="65" t="str">
        <f>IFERROR(VLOOKUP('Informe Kelly'!A492,Base!A:G,7,FALSE),"")</f>
        <v>CRUZ ROMERO LUISA ISABEL</v>
      </c>
      <c r="C499" s="69" t="str">
        <f>IF(G499=$C$4,IF('Informe Kelly'!H492='Control informe Kelly'!$A$2,TEXT(((LEFT('Informe Kelly'!E492,2)*1)+1),"dd")&amp;"."&amp;MID('Informe Kelly'!E492,4,2)&amp;"."&amp;RIGHT('Informe Kelly'!E492,4),'Informe Kelly'!E492),'Informe Kelly'!E492)</f>
        <v>13.04.2011</v>
      </c>
      <c r="D499" s="69" t="str">
        <f>IF('Informe Kelly'!E492="","",'Informe Kelly'!E492)</f>
        <v>13.04.2011</v>
      </c>
      <c r="E499" s="72">
        <f t="shared" si="15"/>
        <v>251</v>
      </c>
      <c r="F499" s="72" t="str">
        <f>IFERROR(HLOOKUP(C499,Ingreso!$Q$8:$AD$9,2,FALSE),"v")</f>
        <v>Miércoles</v>
      </c>
      <c r="G499" s="65" t="str">
        <f>IFERROR(VLOOKUP(A499,Ingreso!K:P,6,FALSE),"no esta ingresado")</f>
        <v>Turno B</v>
      </c>
      <c r="H499" s="65" t="str">
        <f>IFERROR(IF('Informe Kelly'!H492=$A$2,'Informe Kelly'!F492,""),0)</f>
        <v/>
      </c>
      <c r="I499" s="65">
        <f>IFERROR(IF('Informe Kelly'!H492=$A$3,'Informe Kelly'!F492,""),0)</f>
        <v>0.94495370370370368</v>
      </c>
      <c r="J499" s="65" t="str">
        <f>IF(IFERROR(IF(E499=E498,0,(HLOOKUP(D499,Ingreso!$AN$10:$AT$260,VLOOKUP(A499,Ingreso!$AL$11:$AM$260,2,FALSE)))/24),0)=0,"",IFERROR(IF(E499=E498,0,(HLOOKUP(D499,Ingreso!$AN$10:$AT$260,VLOOKUP(A499,Ingreso!$AL$11:$AM$260,2,FALSE)))/24),0))</f>
        <v/>
      </c>
      <c r="K499" s="65" t="str">
        <f>IF(IFERROR(IF(E499=E498,0,(HLOOKUP(C499,Ingreso!$AW$10:$BC$260,VLOOKUP(A499,Ingreso!$AL$11:$AM$260,2,FALSE)))/24),0)=0,"",IFERROR(IF(E499=E498,0,(HLOOKUP(C499,Ingreso!$AW$10:$BC$260,VLOOKUP(A499,Ingreso!$AL$11:$AM$260,2,FALSE)))/24),0))</f>
        <v/>
      </c>
      <c r="L499" s="63">
        <f t="shared" si="14"/>
        <v>0.3125</v>
      </c>
      <c r="M499" s="63" t="str">
        <f>IF(IFERROR(IF(C499=C497,0,IF(E499=E498,0,IF(C499=$R$2,HLOOKUP($R$2,Ingreso!$AW$10:$BC$260,VLOOKUP(A499,Ingreso!AL:AM,2,FALSE),FALSE)/24,""))),"")=0,"",IFERROR(IF(C499=C497,0,IF(E499=E498,0,IF(C499=$R$2,HLOOKUP($R$2,Ingreso!$AW$10:$BC$260,VLOOKUP(A499,Ingreso!AL:AM,2,FALSE),FALSE)/24,""))),""))</f>
        <v/>
      </c>
      <c r="N499" s="95" t="str">
        <f>IF(IFERROR(IF(C499=C497,0,IF(E499=E498,0,IF(C499=$R$3,HLOOKUP($R$3,Ingreso!$AW$10:$BC$260,VLOOKUP(A499,Ingreso!AL:AM,2,FALSE),FALSE)/24,""))),"")=0,"",IFERROR(IF(C499=C497,0,IF(E499=E498,0,IF(C499=$R$3,HLOOKUP($R$3,Ingreso!$AW$10:$BC$260,VLOOKUP(A499,Ingreso!AL:AM,2,FALSE),FALSE)/24,""))),""))</f>
        <v/>
      </c>
      <c r="O499" s="95" t="str">
        <f>IF(IFERROR(IF(C499=C497,0,IF(E499=E498,0,IF(C499=$R$4,HLOOKUP($R$4,Ingreso!$AW$10:$BC$260,VLOOKUP(A499,Ingreso!AL:AM,2,FALSE),FALSE)/24,""))),"")=0,"",IFERROR(IF(C499=C497,0,IF(E499=E498,0,IF(C499=$R$4,HLOOKUP($R$4,Ingreso!$AW$10:$BC$260,VLOOKUP(A499,Ingreso!AL:AM,2,FALSE),FALSE)/24,""))),""))</f>
        <v/>
      </c>
      <c r="P499" s="90"/>
      <c r="V499"/>
      <c r="W499"/>
      <c r="X499"/>
      <c r="Y499"/>
      <c r="Z499"/>
      <c r="AA499"/>
      <c r="AB499"/>
      <c r="AC499"/>
      <c r="AD499"/>
    </row>
    <row r="500" spans="1:30">
      <c r="A500" s="65" t="str">
        <f>IFERROR(VLOOKUP('Informe Kelly'!A493,Base!A:B,2,FALSE),"")</f>
        <v>11.347.053-4</v>
      </c>
      <c r="B500" s="65" t="str">
        <f>IFERROR(VLOOKUP('Informe Kelly'!A493,Base!A:G,7,FALSE),"")</f>
        <v>CRUZ ROMERO LUISA ISABEL</v>
      </c>
      <c r="C500" s="69" t="str">
        <f>IF(G500=$C$4,IF('Informe Kelly'!H493='Control informe Kelly'!$A$2,TEXT(((LEFT('Informe Kelly'!E493,2)*1)+1),"dd")&amp;"."&amp;MID('Informe Kelly'!E493,4,2)&amp;"."&amp;RIGHT('Informe Kelly'!E493,4),'Informe Kelly'!E493),'Informe Kelly'!E493)</f>
        <v>13.04.2011</v>
      </c>
      <c r="D500" s="69" t="str">
        <f>IF('Informe Kelly'!E493="","",'Informe Kelly'!E493)</f>
        <v>13.04.2011</v>
      </c>
      <c r="E500" s="72">
        <f t="shared" si="15"/>
        <v>251</v>
      </c>
      <c r="F500" s="72" t="str">
        <f>IFERROR(HLOOKUP(C500,Ingreso!$Q$8:$AD$9,2,FALSE),"v")</f>
        <v>Miércoles</v>
      </c>
      <c r="G500" s="65" t="str">
        <f>IFERROR(VLOOKUP(A500,Ingreso!K:P,6,FALSE),"no esta ingresado")</f>
        <v>Turno B</v>
      </c>
      <c r="H500" s="65">
        <f>IFERROR(IF('Informe Kelly'!H493=$A$2,'Informe Kelly'!F493,""),0)</f>
        <v>0.61871527777777779</v>
      </c>
      <c r="I500" s="65" t="str">
        <f>IFERROR(IF('Informe Kelly'!H493=$A$3,'Informe Kelly'!F493,""),0)</f>
        <v/>
      </c>
      <c r="J500" s="65" t="str">
        <f>IF(IFERROR(IF(E500=E499,0,(HLOOKUP(D500,Ingreso!$AN$10:$AT$260,VLOOKUP(A500,Ingreso!$AL$11:$AM$260,2,FALSE)))/24),0)=0,"",IFERROR(IF(E500=E499,0,(HLOOKUP(D500,Ingreso!$AN$10:$AT$260,VLOOKUP(A500,Ingreso!$AL$11:$AM$260,2,FALSE)))/24),0))</f>
        <v/>
      </c>
      <c r="K500" s="65" t="str">
        <f>IF(IFERROR(IF(E500=E499,0,(HLOOKUP(C500,Ingreso!$AW$10:$BC$260,VLOOKUP(A500,Ingreso!$AL$11:$AM$260,2,FALSE)))/24),0)=0,"",IFERROR(IF(E500=E499,0,(HLOOKUP(C500,Ingreso!$AW$10:$BC$260,VLOOKUP(A500,Ingreso!$AL$11:$AM$260,2,FALSE)))/24),0))</f>
        <v/>
      </c>
      <c r="L500" s="63">
        <f t="shared" si="14"/>
        <v>0</v>
      </c>
      <c r="M500" s="63" t="str">
        <f>IF(IFERROR(IF(C500=C498,0,IF(E500=E499,0,IF(C500=$R$2,HLOOKUP($R$2,Ingreso!$AW$10:$BC$260,VLOOKUP(A500,Ingreso!AL:AM,2,FALSE),FALSE)/24,""))),"")=0,"",IFERROR(IF(C500=C498,0,IF(E500=E499,0,IF(C500=$R$2,HLOOKUP($R$2,Ingreso!$AW$10:$BC$260,VLOOKUP(A500,Ingreso!AL:AM,2,FALSE),FALSE)/24,""))),""))</f>
        <v/>
      </c>
      <c r="N500" s="95" t="str">
        <f>IF(IFERROR(IF(C500=C498,0,IF(E500=E499,0,IF(C500=$R$3,HLOOKUP($R$3,Ingreso!$AW$10:$BC$260,VLOOKUP(A500,Ingreso!AL:AM,2,FALSE),FALSE)/24,""))),"")=0,"",IFERROR(IF(C500=C498,0,IF(E500=E499,0,IF(C500=$R$3,HLOOKUP($R$3,Ingreso!$AW$10:$BC$260,VLOOKUP(A500,Ingreso!AL:AM,2,FALSE),FALSE)/24,""))),""))</f>
        <v/>
      </c>
      <c r="O500" s="95" t="str">
        <f>IF(IFERROR(IF(C500=C498,0,IF(E500=E499,0,IF(C500=$R$4,HLOOKUP($R$4,Ingreso!$AW$10:$BC$260,VLOOKUP(A500,Ingreso!AL:AM,2,FALSE),FALSE)/24,""))),"")=0,"",IFERROR(IF(C500=C498,0,IF(E500=E499,0,IF(C500=$R$4,HLOOKUP($R$4,Ingreso!$AW$10:$BC$260,VLOOKUP(A500,Ingreso!AL:AM,2,FALSE),FALSE)/24,""))),""))</f>
        <v/>
      </c>
      <c r="P500" s="90"/>
      <c r="V500"/>
      <c r="W500"/>
      <c r="X500"/>
      <c r="Y500"/>
      <c r="Z500"/>
      <c r="AA500"/>
      <c r="AB500"/>
      <c r="AC500"/>
      <c r="AD500"/>
    </row>
    <row r="501" spans="1:30">
      <c r="A501" s="65" t="str">
        <f>IFERROR(VLOOKUP('Informe Kelly'!A494,Base!A:B,2,FALSE),"")</f>
        <v>11.347.053-4</v>
      </c>
      <c r="B501" s="65" t="str">
        <f>IFERROR(VLOOKUP('Informe Kelly'!A494,Base!A:G,7,FALSE),"")</f>
        <v>CRUZ ROMERO LUISA ISABEL</v>
      </c>
      <c r="C501" s="69" t="str">
        <f>IF(G501=$C$4,IF('Informe Kelly'!H494='Control informe Kelly'!$A$2,TEXT(((LEFT('Informe Kelly'!E494,2)*1)+1),"dd")&amp;"."&amp;MID('Informe Kelly'!E494,4,2)&amp;"."&amp;RIGHT('Informe Kelly'!E494,4),'Informe Kelly'!E494),'Informe Kelly'!E494)</f>
        <v>14.04.2011</v>
      </c>
      <c r="D501" s="69" t="str">
        <f>IF('Informe Kelly'!E494="","",'Informe Kelly'!E494)</f>
        <v>14.04.2011</v>
      </c>
      <c r="E501" s="72">
        <f t="shared" si="15"/>
        <v>252</v>
      </c>
      <c r="F501" s="72" t="str">
        <f>IFERROR(HLOOKUP(C501,Ingreso!$Q$8:$AD$9,2,FALSE),"v")</f>
        <v>Jueves</v>
      </c>
      <c r="G501" s="65" t="str">
        <f>IFERROR(VLOOKUP(A501,Ingreso!K:P,6,FALSE),"no esta ingresado")</f>
        <v>Turno B</v>
      </c>
      <c r="H501" s="65" t="str">
        <f>IFERROR(IF('Informe Kelly'!H494=$A$2,'Informe Kelly'!F494,""),0)</f>
        <v/>
      </c>
      <c r="I501" s="65">
        <f>IFERROR(IF('Informe Kelly'!H494=$A$3,'Informe Kelly'!F494,""),0)</f>
        <v>0.93994212962962964</v>
      </c>
      <c r="J501" s="65" t="str">
        <f>IF(IFERROR(IF(E501=E500,0,(HLOOKUP(D501,Ingreso!$AN$10:$AT$260,VLOOKUP(A501,Ingreso!$AL$11:$AM$260,2,FALSE)))/24),0)=0,"",IFERROR(IF(E501=E500,0,(HLOOKUP(D501,Ingreso!$AN$10:$AT$260,VLOOKUP(A501,Ingreso!$AL$11:$AM$260,2,FALSE)))/24),0))</f>
        <v/>
      </c>
      <c r="K501" s="65" t="str">
        <f>IF(IFERROR(IF(E501=E500,0,(HLOOKUP(C501,Ingreso!$AW$10:$BC$260,VLOOKUP(A501,Ingreso!$AL$11:$AM$260,2,FALSE)))/24),0)=0,"",IFERROR(IF(E501=E500,0,(HLOOKUP(C501,Ingreso!$AW$10:$BC$260,VLOOKUP(A501,Ingreso!$AL$11:$AM$260,2,FALSE)))/24),0))</f>
        <v/>
      </c>
      <c r="L501" s="63">
        <f t="shared" si="14"/>
        <v>0.3125</v>
      </c>
      <c r="M501" s="63" t="str">
        <f>IF(IFERROR(IF(C501=C499,0,IF(E501=E500,0,IF(C501=$R$2,HLOOKUP($R$2,Ingreso!$AW$10:$BC$260,VLOOKUP(A501,Ingreso!AL:AM,2,FALSE),FALSE)/24,""))),"")=0,"",IFERROR(IF(C501=C499,0,IF(E501=E500,0,IF(C501=$R$2,HLOOKUP($R$2,Ingreso!$AW$10:$BC$260,VLOOKUP(A501,Ingreso!AL:AM,2,FALSE),FALSE)/24,""))),""))</f>
        <v/>
      </c>
      <c r="N501" s="95" t="str">
        <f>IF(IFERROR(IF(C501=C499,0,IF(E501=E500,0,IF(C501=$R$3,HLOOKUP($R$3,Ingreso!$AW$10:$BC$260,VLOOKUP(A501,Ingreso!AL:AM,2,FALSE),FALSE)/24,""))),"")=0,"",IFERROR(IF(C501=C499,0,IF(E501=E500,0,IF(C501=$R$3,HLOOKUP($R$3,Ingreso!$AW$10:$BC$260,VLOOKUP(A501,Ingreso!AL:AM,2,FALSE),FALSE)/24,""))),""))</f>
        <v/>
      </c>
      <c r="O501" s="95" t="str">
        <f>IF(IFERROR(IF(C501=C499,0,IF(E501=E500,0,IF(C501=$R$4,HLOOKUP($R$4,Ingreso!$AW$10:$BC$260,VLOOKUP(A501,Ingreso!AL:AM,2,FALSE),FALSE)/24,""))),"")=0,"",IFERROR(IF(C501=C499,0,IF(E501=E500,0,IF(C501=$R$4,HLOOKUP($R$4,Ingreso!$AW$10:$BC$260,VLOOKUP(A501,Ingreso!AL:AM,2,FALSE),FALSE)/24,""))),""))</f>
        <v/>
      </c>
      <c r="P501" s="90"/>
      <c r="V501"/>
      <c r="W501"/>
      <c r="X501"/>
      <c r="Y501"/>
      <c r="Z501"/>
      <c r="AA501"/>
      <c r="AB501"/>
      <c r="AC501"/>
      <c r="AD501"/>
    </row>
    <row r="502" spans="1:30">
      <c r="A502" s="65" t="str">
        <f>IFERROR(VLOOKUP('Informe Kelly'!A495,Base!A:B,2,FALSE),"")</f>
        <v>11.347.053-4</v>
      </c>
      <c r="B502" s="65" t="str">
        <f>IFERROR(VLOOKUP('Informe Kelly'!A495,Base!A:G,7,FALSE),"")</f>
        <v>CRUZ ROMERO LUISA ISABEL</v>
      </c>
      <c r="C502" s="69" t="str">
        <f>IF(G502=$C$4,IF('Informe Kelly'!H495='Control informe Kelly'!$A$2,TEXT(((LEFT('Informe Kelly'!E495,2)*1)+1),"dd")&amp;"."&amp;MID('Informe Kelly'!E495,4,2)&amp;"."&amp;RIGHT('Informe Kelly'!E495,4),'Informe Kelly'!E495),'Informe Kelly'!E495)</f>
        <v>14.04.2011</v>
      </c>
      <c r="D502" s="69" t="str">
        <f>IF('Informe Kelly'!E495="","",'Informe Kelly'!E495)</f>
        <v>14.04.2011</v>
      </c>
      <c r="E502" s="72">
        <f t="shared" si="15"/>
        <v>252</v>
      </c>
      <c r="F502" s="72" t="str">
        <f>IFERROR(HLOOKUP(C502,Ingreso!$Q$8:$AD$9,2,FALSE),"v")</f>
        <v>Jueves</v>
      </c>
      <c r="G502" s="65" t="str">
        <f>IFERROR(VLOOKUP(A502,Ingreso!K:P,6,FALSE),"no esta ingresado")</f>
        <v>Turno B</v>
      </c>
      <c r="H502" s="65">
        <f>IFERROR(IF('Informe Kelly'!H495=$A$2,'Informe Kelly'!F495,""),0)</f>
        <v>0.62449074074074074</v>
      </c>
      <c r="I502" s="65" t="str">
        <f>IFERROR(IF('Informe Kelly'!H495=$A$3,'Informe Kelly'!F495,""),0)</f>
        <v/>
      </c>
      <c r="J502" s="65" t="str">
        <f>IF(IFERROR(IF(E502=E501,0,(HLOOKUP(D502,Ingreso!$AN$10:$AT$260,VLOOKUP(A502,Ingreso!$AL$11:$AM$260,2,FALSE)))/24),0)=0,"",IFERROR(IF(E502=E501,0,(HLOOKUP(D502,Ingreso!$AN$10:$AT$260,VLOOKUP(A502,Ingreso!$AL$11:$AM$260,2,FALSE)))/24),0))</f>
        <v/>
      </c>
      <c r="K502" s="65" t="str">
        <f>IF(IFERROR(IF(E502=E501,0,(HLOOKUP(C502,Ingreso!$AW$10:$BC$260,VLOOKUP(A502,Ingreso!$AL$11:$AM$260,2,FALSE)))/24),0)=0,"",IFERROR(IF(E502=E501,0,(HLOOKUP(C502,Ingreso!$AW$10:$BC$260,VLOOKUP(A502,Ingreso!$AL$11:$AM$260,2,FALSE)))/24),0))</f>
        <v/>
      </c>
      <c r="L502" s="63">
        <f t="shared" si="14"/>
        <v>0</v>
      </c>
      <c r="M502" s="63" t="str">
        <f>IF(IFERROR(IF(C502=C500,0,IF(E502=E501,0,IF(C502=$R$2,HLOOKUP($R$2,Ingreso!$AW$10:$BC$260,VLOOKUP(A502,Ingreso!AL:AM,2,FALSE),FALSE)/24,""))),"")=0,"",IFERROR(IF(C502=C500,0,IF(E502=E501,0,IF(C502=$R$2,HLOOKUP($R$2,Ingreso!$AW$10:$BC$260,VLOOKUP(A502,Ingreso!AL:AM,2,FALSE),FALSE)/24,""))),""))</f>
        <v/>
      </c>
      <c r="N502" s="95" t="str">
        <f>IF(IFERROR(IF(C502=C500,0,IF(E502=E501,0,IF(C502=$R$3,HLOOKUP($R$3,Ingreso!$AW$10:$BC$260,VLOOKUP(A502,Ingreso!AL:AM,2,FALSE),FALSE)/24,""))),"")=0,"",IFERROR(IF(C502=C500,0,IF(E502=E501,0,IF(C502=$R$3,HLOOKUP($R$3,Ingreso!$AW$10:$BC$260,VLOOKUP(A502,Ingreso!AL:AM,2,FALSE),FALSE)/24,""))),""))</f>
        <v/>
      </c>
      <c r="O502" s="95" t="str">
        <f>IF(IFERROR(IF(C502=C500,0,IF(E502=E501,0,IF(C502=$R$4,HLOOKUP($R$4,Ingreso!$AW$10:$BC$260,VLOOKUP(A502,Ingreso!AL:AM,2,FALSE),FALSE)/24,""))),"")=0,"",IFERROR(IF(C502=C500,0,IF(E502=E501,0,IF(C502=$R$4,HLOOKUP($R$4,Ingreso!$AW$10:$BC$260,VLOOKUP(A502,Ingreso!AL:AM,2,FALSE),FALSE)/24,""))),""))</f>
        <v/>
      </c>
      <c r="P502" s="90"/>
      <c r="V502"/>
      <c r="W502"/>
      <c r="X502"/>
      <c r="Y502"/>
      <c r="Z502"/>
      <c r="AA502"/>
      <c r="AB502"/>
      <c r="AC502"/>
      <c r="AD502"/>
    </row>
    <row r="503" spans="1:30">
      <c r="A503" s="65" t="str">
        <f>IFERROR(VLOOKUP('Informe Kelly'!A496,Base!A:B,2,FALSE),"")</f>
        <v>11.347.053-4</v>
      </c>
      <c r="B503" s="65" t="str">
        <f>IFERROR(VLOOKUP('Informe Kelly'!A496,Base!A:G,7,FALSE),"")</f>
        <v>CRUZ ROMERO LUISA ISABEL</v>
      </c>
      <c r="C503" s="69" t="str">
        <f>IF(G503=$C$4,IF('Informe Kelly'!H496='Control informe Kelly'!$A$2,TEXT(((LEFT('Informe Kelly'!E496,2)*1)+1),"dd")&amp;"."&amp;MID('Informe Kelly'!E496,4,2)&amp;"."&amp;RIGHT('Informe Kelly'!E496,4),'Informe Kelly'!E496),'Informe Kelly'!E496)</f>
        <v>15.04.2011</v>
      </c>
      <c r="D503" s="69" t="str">
        <f>IF('Informe Kelly'!E496="","",'Informe Kelly'!E496)</f>
        <v>15.04.2011</v>
      </c>
      <c r="E503" s="72">
        <f t="shared" si="15"/>
        <v>253</v>
      </c>
      <c r="F503" s="72" t="str">
        <f>IFERROR(HLOOKUP(C503,Ingreso!$Q$8:$AD$9,2,FALSE),"v")</f>
        <v>Viernes</v>
      </c>
      <c r="G503" s="65" t="str">
        <f>IFERROR(VLOOKUP(A503,Ingreso!K:P,6,FALSE),"no esta ingresado")</f>
        <v>Turno B</v>
      </c>
      <c r="H503" s="65" t="str">
        <f>IFERROR(IF('Informe Kelly'!H496=$A$2,'Informe Kelly'!F496,""),0)</f>
        <v/>
      </c>
      <c r="I503" s="65">
        <f>IFERROR(IF('Informe Kelly'!H496=$A$3,'Informe Kelly'!F496,""),0)</f>
        <v>0.94780092592592602</v>
      </c>
      <c r="J503" s="65" t="str">
        <f>IF(IFERROR(IF(E503=E502,0,(HLOOKUP(D503,Ingreso!$AN$10:$AT$260,VLOOKUP(A503,Ingreso!$AL$11:$AM$260,2,FALSE)))/24),0)=0,"",IFERROR(IF(E503=E502,0,(HLOOKUP(D503,Ingreso!$AN$10:$AT$260,VLOOKUP(A503,Ingreso!$AL$11:$AM$260,2,FALSE)))/24),0))</f>
        <v/>
      </c>
      <c r="K503" s="65" t="str">
        <f>IF(IFERROR(IF(E503=E502,0,(HLOOKUP(C503,Ingreso!$AW$10:$BC$260,VLOOKUP(A503,Ingreso!$AL$11:$AM$260,2,FALSE)))/24),0)=0,"",IFERROR(IF(E503=E502,0,(HLOOKUP(C503,Ingreso!$AW$10:$BC$260,VLOOKUP(A503,Ingreso!$AL$11:$AM$260,2,FALSE)))/24),0))</f>
        <v/>
      </c>
      <c r="L503" s="63">
        <f t="shared" si="14"/>
        <v>0.3125</v>
      </c>
      <c r="M503" s="63" t="str">
        <f>IF(IFERROR(IF(C503=C501,0,IF(E503=E502,0,IF(C503=$R$2,HLOOKUP($R$2,Ingreso!$AW$10:$BC$260,VLOOKUP(A503,Ingreso!AL:AM,2,FALSE),FALSE)/24,""))),"")=0,"",IFERROR(IF(C503=C501,0,IF(E503=E502,0,IF(C503=$R$2,HLOOKUP($R$2,Ingreso!$AW$10:$BC$260,VLOOKUP(A503,Ingreso!AL:AM,2,FALSE),FALSE)/24,""))),""))</f>
        <v/>
      </c>
      <c r="N503" s="95" t="str">
        <f>IF(IFERROR(IF(C503=C501,0,IF(E503=E502,0,IF(C503=$R$3,HLOOKUP($R$3,Ingreso!$AW$10:$BC$260,VLOOKUP(A503,Ingreso!AL:AM,2,FALSE),FALSE)/24,""))),"")=0,"",IFERROR(IF(C503=C501,0,IF(E503=E502,0,IF(C503=$R$3,HLOOKUP($R$3,Ingreso!$AW$10:$BC$260,VLOOKUP(A503,Ingreso!AL:AM,2,FALSE),FALSE)/24,""))),""))</f>
        <v/>
      </c>
      <c r="O503" s="95" t="str">
        <f>IF(IFERROR(IF(C503=C501,0,IF(E503=E502,0,IF(C503=$R$4,HLOOKUP($R$4,Ingreso!$AW$10:$BC$260,VLOOKUP(A503,Ingreso!AL:AM,2,FALSE),FALSE)/24,""))),"")=0,"",IFERROR(IF(C503=C501,0,IF(E503=E502,0,IF(C503=$R$4,HLOOKUP($R$4,Ingreso!$AW$10:$BC$260,VLOOKUP(A503,Ingreso!AL:AM,2,FALSE),FALSE)/24,""))),""))</f>
        <v/>
      </c>
      <c r="P503" s="90"/>
      <c r="V503"/>
      <c r="W503"/>
      <c r="X503"/>
      <c r="Y503"/>
      <c r="Z503"/>
      <c r="AA503"/>
      <c r="AB503"/>
      <c r="AC503"/>
      <c r="AD503"/>
    </row>
    <row r="504" spans="1:30">
      <c r="A504" s="65" t="str">
        <f>IFERROR(VLOOKUP('Informe Kelly'!A497,Base!A:B,2,FALSE),"")</f>
        <v>11.347.053-4</v>
      </c>
      <c r="B504" s="65" t="str">
        <f>IFERROR(VLOOKUP('Informe Kelly'!A497,Base!A:G,7,FALSE),"")</f>
        <v>CRUZ ROMERO LUISA ISABEL</v>
      </c>
      <c r="C504" s="69" t="str">
        <f>IF(G504=$C$4,IF('Informe Kelly'!H497='Control informe Kelly'!$A$2,TEXT(((LEFT('Informe Kelly'!E497,2)*1)+1),"dd")&amp;"."&amp;MID('Informe Kelly'!E497,4,2)&amp;"."&amp;RIGHT('Informe Kelly'!E497,4),'Informe Kelly'!E497),'Informe Kelly'!E497)</f>
        <v>15.04.2011</v>
      </c>
      <c r="D504" s="69" t="str">
        <f>IF('Informe Kelly'!E497="","",'Informe Kelly'!E497)</f>
        <v>15.04.2011</v>
      </c>
      <c r="E504" s="72">
        <f t="shared" si="15"/>
        <v>253</v>
      </c>
      <c r="F504" s="72" t="str">
        <f>IFERROR(HLOOKUP(C504,Ingreso!$Q$8:$AD$9,2,FALSE),"v")</f>
        <v>Viernes</v>
      </c>
      <c r="G504" s="65" t="str">
        <f>IFERROR(VLOOKUP(A504,Ingreso!K:P,6,FALSE),"no esta ingresado")</f>
        <v>Turno B</v>
      </c>
      <c r="H504" s="65">
        <f>IFERROR(IF('Informe Kelly'!H497=$A$2,'Informe Kelly'!F497,""),0)</f>
        <v>0.60665509259259254</v>
      </c>
      <c r="I504" s="65" t="str">
        <f>IFERROR(IF('Informe Kelly'!H497=$A$3,'Informe Kelly'!F497,""),0)</f>
        <v/>
      </c>
      <c r="J504" s="65" t="str">
        <f>IF(IFERROR(IF(E504=E503,0,(HLOOKUP(D504,Ingreso!$AN$10:$AT$260,VLOOKUP(A504,Ingreso!$AL$11:$AM$260,2,FALSE)))/24),0)=0,"",IFERROR(IF(E504=E503,0,(HLOOKUP(D504,Ingreso!$AN$10:$AT$260,VLOOKUP(A504,Ingreso!$AL$11:$AM$260,2,FALSE)))/24),0))</f>
        <v/>
      </c>
      <c r="K504" s="65" t="str">
        <f>IF(IFERROR(IF(E504=E503,0,(HLOOKUP(C504,Ingreso!$AW$10:$BC$260,VLOOKUP(A504,Ingreso!$AL$11:$AM$260,2,FALSE)))/24),0)=0,"",IFERROR(IF(E504=E503,0,(HLOOKUP(C504,Ingreso!$AW$10:$BC$260,VLOOKUP(A504,Ingreso!$AL$11:$AM$260,2,FALSE)))/24),0))</f>
        <v/>
      </c>
      <c r="L504" s="63">
        <f t="shared" si="14"/>
        <v>0</v>
      </c>
      <c r="M504" s="63" t="str">
        <f>IF(IFERROR(IF(C504=C502,0,IF(E504=E503,0,IF(C504=$R$2,HLOOKUP($R$2,Ingreso!$AW$10:$BC$260,VLOOKUP(A504,Ingreso!AL:AM,2,FALSE),FALSE)/24,""))),"")=0,"",IFERROR(IF(C504=C502,0,IF(E504=E503,0,IF(C504=$R$2,HLOOKUP($R$2,Ingreso!$AW$10:$BC$260,VLOOKUP(A504,Ingreso!AL:AM,2,FALSE),FALSE)/24,""))),""))</f>
        <v/>
      </c>
      <c r="N504" s="95" t="str">
        <f>IF(IFERROR(IF(C504=C502,0,IF(E504=E503,0,IF(C504=$R$3,HLOOKUP($R$3,Ingreso!$AW$10:$BC$260,VLOOKUP(A504,Ingreso!AL:AM,2,FALSE),FALSE)/24,""))),"")=0,"",IFERROR(IF(C504=C502,0,IF(E504=E503,0,IF(C504=$R$3,HLOOKUP($R$3,Ingreso!$AW$10:$BC$260,VLOOKUP(A504,Ingreso!AL:AM,2,FALSE),FALSE)/24,""))),""))</f>
        <v/>
      </c>
      <c r="O504" s="95" t="str">
        <f>IF(IFERROR(IF(C504=C502,0,IF(E504=E503,0,IF(C504=$R$4,HLOOKUP($R$4,Ingreso!$AW$10:$BC$260,VLOOKUP(A504,Ingreso!AL:AM,2,FALSE),FALSE)/24,""))),"")=0,"",IFERROR(IF(C504=C502,0,IF(E504=E503,0,IF(C504=$R$4,HLOOKUP($R$4,Ingreso!$AW$10:$BC$260,VLOOKUP(A504,Ingreso!AL:AM,2,FALSE),FALSE)/24,""))),""))</f>
        <v/>
      </c>
      <c r="P504" s="90"/>
      <c r="V504"/>
      <c r="W504"/>
      <c r="X504"/>
      <c r="Y504"/>
      <c r="Z504"/>
      <c r="AA504"/>
      <c r="AB504"/>
      <c r="AC504"/>
      <c r="AD504"/>
    </row>
    <row r="505" spans="1:30">
      <c r="A505" s="65" t="str">
        <f>IFERROR(VLOOKUP('Informe Kelly'!A498,Base!A:B,2,FALSE),"")</f>
        <v>11.347.053-4</v>
      </c>
      <c r="B505" s="65" t="str">
        <f>IFERROR(VLOOKUP('Informe Kelly'!A498,Base!A:G,7,FALSE),"")</f>
        <v>CRUZ ROMERO LUISA ISABEL</v>
      </c>
      <c r="C505" s="69" t="str">
        <f>IF(G505=$C$4,IF('Informe Kelly'!H498='Control informe Kelly'!$A$2,TEXT(((LEFT('Informe Kelly'!E498,2)*1)+1),"dd")&amp;"."&amp;MID('Informe Kelly'!E498,4,2)&amp;"."&amp;RIGHT('Informe Kelly'!E498,4),'Informe Kelly'!E498),'Informe Kelly'!E498)</f>
        <v>16.04.2011</v>
      </c>
      <c r="D505" s="69" t="str">
        <f>IF('Informe Kelly'!E498="","",'Informe Kelly'!E498)</f>
        <v>16.04.2011</v>
      </c>
      <c r="E505" s="72">
        <f t="shared" si="15"/>
        <v>254</v>
      </c>
      <c r="F505" s="72" t="str">
        <f>IFERROR(HLOOKUP(C505,Ingreso!$Q$8:$AD$9,2,FALSE),"v")</f>
        <v>Sábado</v>
      </c>
      <c r="G505" s="65" t="str">
        <f>IFERROR(VLOOKUP(A505,Ingreso!K:P,6,FALSE),"no esta ingresado")</f>
        <v>Turno B</v>
      </c>
      <c r="H505" s="65" t="str">
        <f>IFERROR(IF('Informe Kelly'!H498=$A$2,'Informe Kelly'!F498,""),0)</f>
        <v/>
      </c>
      <c r="I505" s="65">
        <f>IFERROR(IF('Informe Kelly'!H498=$A$3,'Informe Kelly'!F498,""),0)</f>
        <v>0.9331828703703704</v>
      </c>
      <c r="J505" s="65" t="str">
        <f>IF(IFERROR(IF(E505=E504,0,(HLOOKUP(D505,Ingreso!$AN$10:$AT$260,VLOOKUP(A505,Ingreso!$AL$11:$AM$260,2,FALSE)))/24),0)=0,"",IFERROR(IF(E505=E504,0,(HLOOKUP(D505,Ingreso!$AN$10:$AT$260,VLOOKUP(A505,Ingreso!$AL$11:$AM$260,2,FALSE)))/24),0))</f>
        <v/>
      </c>
      <c r="K505" s="65" t="str">
        <f>IF(IFERROR(IF(E505=E504,0,(HLOOKUP(C505,Ingreso!$AW$10:$BC$260,VLOOKUP(A505,Ingreso!$AL$11:$AM$260,2,FALSE)))/24),0)=0,"",IFERROR(IF(E505=E504,0,(HLOOKUP(C505,Ingreso!$AW$10:$BC$260,VLOOKUP(A505,Ingreso!$AL$11:$AM$260,2,FALSE)))/24),0))</f>
        <v/>
      </c>
      <c r="L505" s="63">
        <f t="shared" si="14"/>
        <v>0.3125</v>
      </c>
      <c r="M505" s="63" t="str">
        <f>IF(IFERROR(IF(C505=C503,0,IF(E505=E504,0,IF(C505=$R$2,HLOOKUP($R$2,Ingreso!$AW$10:$BC$260,VLOOKUP(A505,Ingreso!AL:AM,2,FALSE),FALSE)/24,""))),"")=0,"",IFERROR(IF(C505=C503,0,IF(E505=E504,0,IF(C505=$R$2,HLOOKUP($R$2,Ingreso!$AW$10:$BC$260,VLOOKUP(A505,Ingreso!AL:AM,2,FALSE),FALSE)/24,""))),""))</f>
        <v/>
      </c>
      <c r="N505" s="95" t="str">
        <f>IF(IFERROR(IF(C505=C503,0,IF(E505=E504,0,IF(C505=$R$3,HLOOKUP($R$3,Ingreso!$AW$10:$BC$260,VLOOKUP(A505,Ingreso!AL:AM,2,FALSE),FALSE)/24,""))),"")=0,"",IFERROR(IF(C505=C503,0,IF(E505=E504,0,IF(C505=$R$3,HLOOKUP($R$3,Ingreso!$AW$10:$BC$260,VLOOKUP(A505,Ingreso!AL:AM,2,FALSE),FALSE)/24,""))),""))</f>
        <v/>
      </c>
      <c r="O505" s="95" t="str">
        <f>IF(IFERROR(IF(C505=C503,0,IF(E505=E504,0,IF(C505=$R$4,HLOOKUP($R$4,Ingreso!$AW$10:$BC$260,VLOOKUP(A505,Ingreso!AL:AM,2,FALSE),FALSE)/24,""))),"")=0,"",IFERROR(IF(C505=C503,0,IF(E505=E504,0,IF(C505=$R$4,HLOOKUP($R$4,Ingreso!$AW$10:$BC$260,VLOOKUP(A505,Ingreso!AL:AM,2,FALSE),FALSE)/24,""))),""))</f>
        <v/>
      </c>
      <c r="P505" s="90"/>
      <c r="V505"/>
      <c r="W505"/>
      <c r="X505"/>
      <c r="Y505"/>
      <c r="Z505"/>
      <c r="AA505"/>
      <c r="AB505"/>
      <c r="AC505"/>
      <c r="AD505"/>
    </row>
    <row r="506" spans="1:30">
      <c r="A506" s="65" t="str">
        <f>IFERROR(VLOOKUP('Informe Kelly'!A499,Base!A:B,2,FALSE),"")</f>
        <v>11.347.053-4</v>
      </c>
      <c r="B506" s="65" t="str">
        <f>IFERROR(VLOOKUP('Informe Kelly'!A499,Base!A:G,7,FALSE),"")</f>
        <v>CRUZ ROMERO LUISA ISABEL</v>
      </c>
      <c r="C506" s="69" t="str">
        <f>IF(G506=$C$4,IF('Informe Kelly'!H499='Control informe Kelly'!$A$2,TEXT(((LEFT('Informe Kelly'!E499,2)*1)+1),"dd")&amp;"."&amp;MID('Informe Kelly'!E499,4,2)&amp;"."&amp;RIGHT('Informe Kelly'!E499,4),'Informe Kelly'!E499),'Informe Kelly'!E499)</f>
        <v>16.04.2011</v>
      </c>
      <c r="D506" s="69" t="str">
        <f>IF('Informe Kelly'!E499="","",'Informe Kelly'!E499)</f>
        <v>16.04.2011</v>
      </c>
      <c r="E506" s="72">
        <f t="shared" si="15"/>
        <v>254</v>
      </c>
      <c r="F506" s="72" t="str">
        <f>IFERROR(HLOOKUP(C506,Ingreso!$Q$8:$AD$9,2,FALSE),"v")</f>
        <v>Sábado</v>
      </c>
      <c r="G506" s="65" t="str">
        <f>IFERROR(VLOOKUP(A506,Ingreso!K:P,6,FALSE),"no esta ingresado")</f>
        <v>Turno B</v>
      </c>
      <c r="H506" s="65">
        <f>IFERROR(IF('Informe Kelly'!H499=$A$2,'Informe Kelly'!F499,""),0)</f>
        <v>0.65135416666666668</v>
      </c>
      <c r="I506" s="65" t="str">
        <f>IFERROR(IF('Informe Kelly'!H499=$A$3,'Informe Kelly'!F499,""),0)</f>
        <v/>
      </c>
      <c r="J506" s="65" t="str">
        <f>IF(IFERROR(IF(E506=E505,0,(HLOOKUP(D506,Ingreso!$AN$10:$AT$260,VLOOKUP(A506,Ingreso!$AL$11:$AM$260,2,FALSE)))/24),0)=0,"",IFERROR(IF(E506=E505,0,(HLOOKUP(D506,Ingreso!$AN$10:$AT$260,VLOOKUP(A506,Ingreso!$AL$11:$AM$260,2,FALSE)))/24),0))</f>
        <v/>
      </c>
      <c r="K506" s="65" t="str">
        <f>IF(IFERROR(IF(E506=E505,0,(HLOOKUP(C506,Ingreso!$AW$10:$BC$260,VLOOKUP(A506,Ingreso!$AL$11:$AM$260,2,FALSE)))/24),0)=0,"",IFERROR(IF(E506=E505,0,(HLOOKUP(C506,Ingreso!$AW$10:$BC$260,VLOOKUP(A506,Ingreso!$AL$11:$AM$260,2,FALSE)))/24),0))</f>
        <v/>
      </c>
      <c r="L506" s="63">
        <f t="shared" si="14"/>
        <v>0</v>
      </c>
      <c r="M506" s="63" t="str">
        <f>IF(IFERROR(IF(C506=C504,0,IF(E506=E505,0,IF(C506=$R$2,HLOOKUP($R$2,Ingreso!$AW$10:$BC$260,VLOOKUP(A506,Ingreso!AL:AM,2,FALSE),FALSE)/24,""))),"")=0,"",IFERROR(IF(C506=C504,0,IF(E506=E505,0,IF(C506=$R$2,HLOOKUP($R$2,Ingreso!$AW$10:$BC$260,VLOOKUP(A506,Ingreso!AL:AM,2,FALSE),FALSE)/24,""))),""))</f>
        <v/>
      </c>
      <c r="N506" s="95" t="str">
        <f>IF(IFERROR(IF(C506=C504,0,IF(E506=E505,0,IF(C506=$R$3,HLOOKUP($R$3,Ingreso!$AW$10:$BC$260,VLOOKUP(A506,Ingreso!AL:AM,2,FALSE),FALSE)/24,""))),"")=0,"",IFERROR(IF(C506=C504,0,IF(E506=E505,0,IF(C506=$R$3,HLOOKUP($R$3,Ingreso!$AW$10:$BC$260,VLOOKUP(A506,Ingreso!AL:AM,2,FALSE),FALSE)/24,""))),""))</f>
        <v/>
      </c>
      <c r="O506" s="95" t="str">
        <f>IF(IFERROR(IF(C506=C504,0,IF(E506=E505,0,IF(C506=$R$4,HLOOKUP($R$4,Ingreso!$AW$10:$BC$260,VLOOKUP(A506,Ingreso!AL:AM,2,FALSE),FALSE)/24,""))),"")=0,"",IFERROR(IF(C506=C504,0,IF(E506=E505,0,IF(C506=$R$4,HLOOKUP($R$4,Ingreso!$AW$10:$BC$260,VLOOKUP(A506,Ingreso!AL:AM,2,FALSE),FALSE)/24,""))),""))</f>
        <v/>
      </c>
      <c r="P506" s="90"/>
      <c r="V506"/>
      <c r="W506"/>
      <c r="X506"/>
      <c r="Y506"/>
      <c r="Z506"/>
      <c r="AA506"/>
      <c r="AB506"/>
      <c r="AC506"/>
      <c r="AD506"/>
    </row>
    <row r="507" spans="1:30">
      <c r="A507" s="65" t="str">
        <f>IFERROR(VLOOKUP('Informe Kelly'!A500,Base!A:B,2,FALSE),"")</f>
        <v>11.370.436-5</v>
      </c>
      <c r="B507" s="65" t="str">
        <f>IFERROR(VLOOKUP('Informe Kelly'!A500,Base!A:G,7,FALSE),"")</f>
        <v>MARDONES ALVARADO LUIS HUMBERTO</v>
      </c>
      <c r="C507" s="69" t="str">
        <f>IF(G507=$C$4,IF('Informe Kelly'!H500='Control informe Kelly'!$A$2,TEXT(((LEFT('Informe Kelly'!E500,2)*1)+1),"dd")&amp;"."&amp;MID('Informe Kelly'!E500,4,2)&amp;"."&amp;RIGHT('Informe Kelly'!E500,4),'Informe Kelly'!E500),'Informe Kelly'!E500)</f>
        <v>12.04.2011</v>
      </c>
      <c r="D507" s="69" t="str">
        <f>IF('Informe Kelly'!E500="","",'Informe Kelly'!E500)</f>
        <v>11.04.2011</v>
      </c>
      <c r="E507" s="72">
        <f t="shared" si="15"/>
        <v>255</v>
      </c>
      <c r="F507" s="72" t="str">
        <f>IFERROR(HLOOKUP(C507,Ingreso!$Q$8:$AD$9,2,FALSE),"v")</f>
        <v>Martes</v>
      </c>
      <c r="G507" s="65" t="str">
        <f>IFERROR(VLOOKUP(A507,Ingreso!K:P,6,FALSE),"no esta ingresado")</f>
        <v>Turno C</v>
      </c>
      <c r="H507" s="65">
        <f>IFERROR(IF('Informe Kelly'!H500=$A$2,'Informe Kelly'!F500,""),0)</f>
        <v>0.91861111111111116</v>
      </c>
      <c r="I507" s="65" t="str">
        <f>IFERROR(IF('Informe Kelly'!H500=$A$3,'Informe Kelly'!F500,""),0)</f>
        <v/>
      </c>
      <c r="J507" s="65" t="str">
        <f>IF(IFERROR(IF(E507=E506,0,(HLOOKUP(D507,Ingreso!$AN$10:$AT$260,VLOOKUP(A507,Ingreso!$AL$11:$AM$260,2,FALSE)))/24),0)=0,"",IFERROR(IF(E507=E506,0,(HLOOKUP(D507,Ingreso!$AN$10:$AT$260,VLOOKUP(A507,Ingreso!$AL$11:$AM$260,2,FALSE)))/24),0))</f>
        <v/>
      </c>
      <c r="K507" s="65" t="str">
        <f>IF(IFERROR(IF(E507=E506,0,(HLOOKUP(C507,Ingreso!$AW$10:$BC$260,VLOOKUP(A507,Ingreso!$AL$11:$AM$260,2,FALSE)))/24),0)=0,"",IFERROR(IF(E507=E506,0,(HLOOKUP(C507,Ingreso!$AW$10:$BC$260,VLOOKUP(A507,Ingreso!$AL$11:$AM$260,2,FALSE)))/24),0))</f>
        <v/>
      </c>
      <c r="L507" s="63">
        <f t="shared" si="14"/>
        <v>0.375</v>
      </c>
      <c r="M507" s="63" t="str">
        <f>IF(IFERROR(IF(C507=C505,0,IF(E507=E506,0,IF(C507=$R$2,HLOOKUP($R$2,Ingreso!$AW$10:$BC$260,VLOOKUP(A507,Ingreso!AL:AM,2,FALSE),FALSE)/24,""))),"")=0,"",IFERROR(IF(C507=C505,0,IF(E507=E506,0,IF(C507=$R$2,HLOOKUP($R$2,Ingreso!$AW$10:$BC$260,VLOOKUP(A507,Ingreso!AL:AM,2,FALSE),FALSE)/24,""))),""))</f>
        <v/>
      </c>
      <c r="N507" s="95" t="str">
        <f>IF(IFERROR(IF(C507=C505,0,IF(E507=E506,0,IF(C507=$R$3,HLOOKUP($R$3,Ingreso!$AW$10:$BC$260,VLOOKUP(A507,Ingreso!AL:AM,2,FALSE),FALSE)/24,""))),"")=0,"",IFERROR(IF(C507=C505,0,IF(E507=E506,0,IF(C507=$R$3,HLOOKUP($R$3,Ingreso!$AW$10:$BC$260,VLOOKUP(A507,Ingreso!AL:AM,2,FALSE),FALSE)/24,""))),""))</f>
        <v/>
      </c>
      <c r="O507" s="95" t="str">
        <f>IF(IFERROR(IF(C507=C505,0,IF(E507=E506,0,IF(C507=$R$4,HLOOKUP($R$4,Ingreso!$AW$10:$BC$260,VLOOKUP(A507,Ingreso!AL:AM,2,FALSE),FALSE)/24,""))),"")=0,"",IFERROR(IF(C507=C505,0,IF(E507=E506,0,IF(C507=$R$4,HLOOKUP($R$4,Ingreso!$AW$10:$BC$260,VLOOKUP(A507,Ingreso!AL:AM,2,FALSE),FALSE)/24,""))),""))</f>
        <v/>
      </c>
      <c r="P507" s="90"/>
      <c r="V507"/>
      <c r="W507"/>
      <c r="X507"/>
      <c r="Y507"/>
      <c r="Z507"/>
      <c r="AA507"/>
      <c r="AB507"/>
      <c r="AC507"/>
      <c r="AD507"/>
    </row>
    <row r="508" spans="1:30">
      <c r="A508" s="65" t="str">
        <f>IFERROR(VLOOKUP('Informe Kelly'!A501,Base!A:B,2,FALSE),"")</f>
        <v>11.370.436-5</v>
      </c>
      <c r="B508" s="65" t="str">
        <f>IFERROR(VLOOKUP('Informe Kelly'!A501,Base!A:G,7,FALSE),"")</f>
        <v>MARDONES ALVARADO LUIS HUMBERTO</v>
      </c>
      <c r="C508" s="69" t="str">
        <f>IF(G508=$C$4,IF('Informe Kelly'!H501='Control informe Kelly'!$A$2,TEXT(((LEFT('Informe Kelly'!E501,2)*1)+1),"dd")&amp;"."&amp;MID('Informe Kelly'!E501,4,2)&amp;"."&amp;RIGHT('Informe Kelly'!E501,4),'Informe Kelly'!E501),'Informe Kelly'!E501)</f>
        <v>12.04.2011</v>
      </c>
      <c r="D508" s="69" t="str">
        <f>IF('Informe Kelly'!E501="","",'Informe Kelly'!E501)</f>
        <v>12.04.2011</v>
      </c>
      <c r="E508" s="72">
        <f t="shared" si="15"/>
        <v>255</v>
      </c>
      <c r="F508" s="72" t="str">
        <f>IFERROR(HLOOKUP(C508,Ingreso!$Q$8:$AD$9,2,FALSE),"v")</f>
        <v>Martes</v>
      </c>
      <c r="G508" s="65" t="str">
        <f>IFERROR(VLOOKUP(A508,Ingreso!K:P,6,FALSE),"no esta ingresado")</f>
        <v>Turno C</v>
      </c>
      <c r="H508" s="65" t="str">
        <f>IFERROR(IF('Informe Kelly'!H501=$A$2,'Informe Kelly'!F501,""),0)</f>
        <v/>
      </c>
      <c r="I508" s="65">
        <f>IFERROR(IF('Informe Kelly'!H501=$A$3,'Informe Kelly'!F501,""),0)</f>
        <v>0.31866898148148148</v>
      </c>
      <c r="J508" s="65" t="str">
        <f>IF(IFERROR(IF(E508=E507,0,(HLOOKUP(D508,Ingreso!$AN$10:$AT$260,VLOOKUP(A508,Ingreso!$AL$11:$AM$260,2,FALSE)))/24),0)=0,"",IFERROR(IF(E508=E507,0,(HLOOKUP(D508,Ingreso!$AN$10:$AT$260,VLOOKUP(A508,Ingreso!$AL$11:$AM$260,2,FALSE)))/24),0))</f>
        <v/>
      </c>
      <c r="K508" s="65" t="str">
        <f>IF(IFERROR(IF(E508=E507,0,(HLOOKUP(C508,Ingreso!$AW$10:$BC$260,VLOOKUP(A508,Ingreso!$AL$11:$AM$260,2,FALSE)))/24),0)=0,"",IFERROR(IF(E508=E507,0,(HLOOKUP(C508,Ingreso!$AW$10:$BC$260,VLOOKUP(A508,Ingreso!$AL$11:$AM$260,2,FALSE)))/24),0))</f>
        <v/>
      </c>
      <c r="L508" s="63">
        <f t="shared" si="14"/>
        <v>0</v>
      </c>
      <c r="M508" s="63" t="str">
        <f>IF(IFERROR(IF(C508=C506,0,IF(E508=E507,0,IF(C508=$R$2,HLOOKUP($R$2,Ingreso!$AW$10:$BC$260,VLOOKUP(A508,Ingreso!AL:AM,2,FALSE),FALSE)/24,""))),"")=0,"",IFERROR(IF(C508=C506,0,IF(E508=E507,0,IF(C508=$R$2,HLOOKUP($R$2,Ingreso!$AW$10:$BC$260,VLOOKUP(A508,Ingreso!AL:AM,2,FALSE),FALSE)/24,""))),""))</f>
        <v/>
      </c>
      <c r="N508" s="95" t="str">
        <f>IF(IFERROR(IF(C508=C506,0,IF(E508=E507,0,IF(C508=$R$3,HLOOKUP($R$3,Ingreso!$AW$10:$BC$260,VLOOKUP(A508,Ingreso!AL:AM,2,FALSE),FALSE)/24,""))),"")=0,"",IFERROR(IF(C508=C506,0,IF(E508=E507,0,IF(C508=$R$3,HLOOKUP($R$3,Ingreso!$AW$10:$BC$260,VLOOKUP(A508,Ingreso!AL:AM,2,FALSE),FALSE)/24,""))),""))</f>
        <v/>
      </c>
      <c r="O508" s="95" t="str">
        <f>IF(IFERROR(IF(C508=C506,0,IF(E508=E507,0,IF(C508=$R$4,HLOOKUP($R$4,Ingreso!$AW$10:$BC$260,VLOOKUP(A508,Ingreso!AL:AM,2,FALSE),FALSE)/24,""))),"")=0,"",IFERROR(IF(C508=C506,0,IF(E508=E507,0,IF(C508=$R$4,HLOOKUP($R$4,Ingreso!$AW$10:$BC$260,VLOOKUP(A508,Ingreso!AL:AM,2,FALSE),FALSE)/24,""))),""))</f>
        <v/>
      </c>
      <c r="P508" s="90"/>
      <c r="V508"/>
      <c r="W508"/>
      <c r="X508"/>
      <c r="Y508"/>
      <c r="Z508"/>
      <c r="AA508"/>
      <c r="AB508"/>
      <c r="AC508"/>
      <c r="AD508"/>
    </row>
    <row r="509" spans="1:30">
      <c r="A509" s="65" t="str">
        <f>IFERROR(VLOOKUP('Informe Kelly'!A502,Base!A:B,2,FALSE),"")</f>
        <v>11.370.436-5</v>
      </c>
      <c r="B509" s="65" t="str">
        <f>IFERROR(VLOOKUP('Informe Kelly'!A502,Base!A:G,7,FALSE),"")</f>
        <v>MARDONES ALVARADO LUIS HUMBERTO</v>
      </c>
      <c r="C509" s="69" t="str">
        <f>IF(G509=$C$4,IF('Informe Kelly'!H502='Control informe Kelly'!$A$2,TEXT(((LEFT('Informe Kelly'!E502,2)*1)+1),"dd")&amp;"."&amp;MID('Informe Kelly'!E502,4,2)&amp;"."&amp;RIGHT('Informe Kelly'!E502,4),'Informe Kelly'!E502),'Informe Kelly'!E502)</f>
        <v>13.04.2011</v>
      </c>
      <c r="D509" s="69" t="str">
        <f>IF('Informe Kelly'!E502="","",'Informe Kelly'!E502)</f>
        <v>12.04.2011</v>
      </c>
      <c r="E509" s="72">
        <f t="shared" si="15"/>
        <v>256</v>
      </c>
      <c r="F509" s="72" t="str">
        <f>IFERROR(HLOOKUP(C509,Ingreso!$Q$8:$AD$9,2,FALSE),"v")</f>
        <v>Miércoles</v>
      </c>
      <c r="G509" s="65" t="str">
        <f>IFERROR(VLOOKUP(A509,Ingreso!K:P,6,FALSE),"no esta ingresado")</f>
        <v>Turno C</v>
      </c>
      <c r="H509" s="65">
        <f>IFERROR(IF('Informe Kelly'!H502=$A$2,'Informe Kelly'!F502,""),0)</f>
        <v>0.91828703703703696</v>
      </c>
      <c r="I509" s="65" t="str">
        <f>IFERROR(IF('Informe Kelly'!H502=$A$3,'Informe Kelly'!F502,""),0)</f>
        <v/>
      </c>
      <c r="J509" s="65" t="str">
        <f>IF(IFERROR(IF(E509=E508,0,(HLOOKUP(D509,Ingreso!$AN$10:$AT$260,VLOOKUP(A509,Ingreso!$AL$11:$AM$260,2,FALSE)))/24),0)=0,"",IFERROR(IF(E509=E508,0,(HLOOKUP(D509,Ingreso!$AN$10:$AT$260,VLOOKUP(A509,Ingreso!$AL$11:$AM$260,2,FALSE)))/24),0))</f>
        <v/>
      </c>
      <c r="K509" s="65" t="str">
        <f>IF(IFERROR(IF(E509=E508,0,(HLOOKUP(C509,Ingreso!$AW$10:$BC$260,VLOOKUP(A509,Ingreso!$AL$11:$AM$260,2,FALSE)))/24),0)=0,"",IFERROR(IF(E509=E508,0,(HLOOKUP(C509,Ingreso!$AW$10:$BC$260,VLOOKUP(A509,Ingreso!$AL$11:$AM$260,2,FALSE)))/24),0))</f>
        <v/>
      </c>
      <c r="L509" s="63">
        <f t="shared" si="14"/>
        <v>0.375</v>
      </c>
      <c r="M509" s="63" t="str">
        <f>IF(IFERROR(IF(C509=C507,0,IF(E509=E508,0,IF(C509=$R$2,HLOOKUP($R$2,Ingreso!$AW$10:$BC$260,VLOOKUP(A509,Ingreso!AL:AM,2,FALSE),FALSE)/24,""))),"")=0,"",IFERROR(IF(C509=C507,0,IF(E509=E508,0,IF(C509=$R$2,HLOOKUP($R$2,Ingreso!$AW$10:$BC$260,VLOOKUP(A509,Ingreso!AL:AM,2,FALSE),FALSE)/24,""))),""))</f>
        <v/>
      </c>
      <c r="N509" s="95" t="str">
        <f>IF(IFERROR(IF(C509=C507,0,IF(E509=E508,0,IF(C509=$R$3,HLOOKUP($R$3,Ingreso!$AW$10:$BC$260,VLOOKUP(A509,Ingreso!AL:AM,2,FALSE),FALSE)/24,""))),"")=0,"",IFERROR(IF(C509=C507,0,IF(E509=E508,0,IF(C509=$R$3,HLOOKUP($R$3,Ingreso!$AW$10:$BC$260,VLOOKUP(A509,Ingreso!AL:AM,2,FALSE),FALSE)/24,""))),""))</f>
        <v/>
      </c>
      <c r="O509" s="95" t="str">
        <f>IF(IFERROR(IF(C509=C507,0,IF(E509=E508,0,IF(C509=$R$4,HLOOKUP($R$4,Ingreso!$AW$10:$BC$260,VLOOKUP(A509,Ingreso!AL:AM,2,FALSE),FALSE)/24,""))),"")=0,"",IFERROR(IF(C509=C507,0,IF(E509=E508,0,IF(C509=$R$4,HLOOKUP($R$4,Ingreso!$AW$10:$BC$260,VLOOKUP(A509,Ingreso!AL:AM,2,FALSE),FALSE)/24,""))),""))</f>
        <v/>
      </c>
      <c r="P509" s="90"/>
      <c r="V509"/>
      <c r="W509"/>
      <c r="X509"/>
      <c r="Y509"/>
      <c r="Z509"/>
      <c r="AA509"/>
      <c r="AB509"/>
      <c r="AC509"/>
      <c r="AD509"/>
    </row>
    <row r="510" spans="1:30">
      <c r="A510" s="65" t="str">
        <f>IFERROR(VLOOKUP('Informe Kelly'!A503,Base!A:B,2,FALSE),"")</f>
        <v>11.370.436-5</v>
      </c>
      <c r="B510" s="65" t="str">
        <f>IFERROR(VLOOKUP('Informe Kelly'!A503,Base!A:G,7,FALSE),"")</f>
        <v>MARDONES ALVARADO LUIS HUMBERTO</v>
      </c>
      <c r="C510" s="69" t="str">
        <f>IF(G510=$C$4,IF('Informe Kelly'!H503='Control informe Kelly'!$A$2,TEXT(((LEFT('Informe Kelly'!E503,2)*1)+1),"dd")&amp;"."&amp;MID('Informe Kelly'!E503,4,2)&amp;"."&amp;RIGHT('Informe Kelly'!E503,4),'Informe Kelly'!E503),'Informe Kelly'!E503)</f>
        <v>13.04.2011</v>
      </c>
      <c r="D510" s="69" t="str">
        <f>IF('Informe Kelly'!E503="","",'Informe Kelly'!E503)</f>
        <v>13.04.2011</v>
      </c>
      <c r="E510" s="72">
        <f t="shared" si="15"/>
        <v>256</v>
      </c>
      <c r="F510" s="72" t="str">
        <f>IFERROR(HLOOKUP(C510,Ingreso!$Q$8:$AD$9,2,FALSE),"v")</f>
        <v>Miércoles</v>
      </c>
      <c r="G510" s="65" t="str">
        <f>IFERROR(VLOOKUP(A510,Ingreso!K:P,6,FALSE),"no esta ingresado")</f>
        <v>Turno C</v>
      </c>
      <c r="H510" s="65" t="str">
        <f>IFERROR(IF('Informe Kelly'!H503=$A$2,'Informe Kelly'!F503,""),0)</f>
        <v/>
      </c>
      <c r="I510" s="65">
        <f>IFERROR(IF('Informe Kelly'!H503=$A$3,'Informe Kelly'!F503,""),0)</f>
        <v>0.32143518518518516</v>
      </c>
      <c r="J510" s="65" t="str">
        <f>IF(IFERROR(IF(E510=E509,0,(HLOOKUP(D510,Ingreso!$AN$10:$AT$260,VLOOKUP(A510,Ingreso!$AL$11:$AM$260,2,FALSE)))/24),0)=0,"",IFERROR(IF(E510=E509,0,(HLOOKUP(D510,Ingreso!$AN$10:$AT$260,VLOOKUP(A510,Ingreso!$AL$11:$AM$260,2,FALSE)))/24),0))</f>
        <v/>
      </c>
      <c r="K510" s="65" t="str">
        <f>IF(IFERROR(IF(E510=E509,0,(HLOOKUP(C510,Ingreso!$AW$10:$BC$260,VLOOKUP(A510,Ingreso!$AL$11:$AM$260,2,FALSE)))/24),0)=0,"",IFERROR(IF(E510=E509,0,(HLOOKUP(C510,Ingreso!$AW$10:$BC$260,VLOOKUP(A510,Ingreso!$AL$11:$AM$260,2,FALSE)))/24),0))</f>
        <v/>
      </c>
      <c r="L510" s="63">
        <f t="shared" si="14"/>
        <v>0</v>
      </c>
      <c r="M510" s="63" t="str">
        <f>IF(IFERROR(IF(C510=C508,0,IF(E510=E509,0,IF(C510=$R$2,HLOOKUP($R$2,Ingreso!$AW$10:$BC$260,VLOOKUP(A510,Ingreso!AL:AM,2,FALSE),FALSE)/24,""))),"")=0,"",IFERROR(IF(C510=C508,0,IF(E510=E509,0,IF(C510=$R$2,HLOOKUP($R$2,Ingreso!$AW$10:$BC$260,VLOOKUP(A510,Ingreso!AL:AM,2,FALSE),FALSE)/24,""))),""))</f>
        <v/>
      </c>
      <c r="N510" s="95" t="str">
        <f>IF(IFERROR(IF(C510=C508,0,IF(E510=E509,0,IF(C510=$R$3,HLOOKUP($R$3,Ingreso!$AW$10:$BC$260,VLOOKUP(A510,Ingreso!AL:AM,2,FALSE),FALSE)/24,""))),"")=0,"",IFERROR(IF(C510=C508,0,IF(E510=E509,0,IF(C510=$R$3,HLOOKUP($R$3,Ingreso!$AW$10:$BC$260,VLOOKUP(A510,Ingreso!AL:AM,2,FALSE),FALSE)/24,""))),""))</f>
        <v/>
      </c>
      <c r="O510" s="95" t="str">
        <f>IF(IFERROR(IF(C510=C508,0,IF(E510=E509,0,IF(C510=$R$4,HLOOKUP($R$4,Ingreso!$AW$10:$BC$260,VLOOKUP(A510,Ingreso!AL:AM,2,FALSE),FALSE)/24,""))),"")=0,"",IFERROR(IF(C510=C508,0,IF(E510=E509,0,IF(C510=$R$4,HLOOKUP($R$4,Ingreso!$AW$10:$BC$260,VLOOKUP(A510,Ingreso!AL:AM,2,FALSE),FALSE)/24,""))),""))</f>
        <v/>
      </c>
      <c r="P510" s="90"/>
      <c r="V510"/>
      <c r="W510"/>
      <c r="X510"/>
      <c r="Y510"/>
      <c r="Z510"/>
      <c r="AA510"/>
      <c r="AB510"/>
      <c r="AC510"/>
      <c r="AD510"/>
    </row>
    <row r="511" spans="1:30">
      <c r="A511" s="65" t="str">
        <f>IFERROR(VLOOKUP('Informe Kelly'!A504,Base!A:B,2,FALSE),"")</f>
        <v>11.370.436-5</v>
      </c>
      <c r="B511" s="65" t="str">
        <f>IFERROR(VLOOKUP('Informe Kelly'!A504,Base!A:G,7,FALSE),"")</f>
        <v>MARDONES ALVARADO LUIS HUMBERTO</v>
      </c>
      <c r="C511" s="69" t="str">
        <f>IF(G511=$C$4,IF('Informe Kelly'!H504='Control informe Kelly'!$A$2,TEXT(((LEFT('Informe Kelly'!E504,2)*1)+1),"dd")&amp;"."&amp;MID('Informe Kelly'!E504,4,2)&amp;"."&amp;RIGHT('Informe Kelly'!E504,4),'Informe Kelly'!E504),'Informe Kelly'!E504)</f>
        <v>14.04.2011</v>
      </c>
      <c r="D511" s="69" t="str">
        <f>IF('Informe Kelly'!E504="","",'Informe Kelly'!E504)</f>
        <v>13.04.2011</v>
      </c>
      <c r="E511" s="72">
        <f t="shared" si="15"/>
        <v>257</v>
      </c>
      <c r="F511" s="72" t="str">
        <f>IFERROR(HLOOKUP(C511,Ingreso!$Q$8:$AD$9,2,FALSE),"v")</f>
        <v>Jueves</v>
      </c>
      <c r="G511" s="65" t="str">
        <f>IFERROR(VLOOKUP(A511,Ingreso!K:P,6,FALSE),"no esta ingresado")</f>
        <v>Turno C</v>
      </c>
      <c r="H511" s="65">
        <f>IFERROR(IF('Informe Kelly'!H504=$A$2,'Informe Kelly'!F504,""),0)</f>
        <v>0.91770833333333324</v>
      </c>
      <c r="I511" s="65" t="str">
        <f>IFERROR(IF('Informe Kelly'!H504=$A$3,'Informe Kelly'!F504,""),0)</f>
        <v/>
      </c>
      <c r="J511" s="65" t="str">
        <f>IF(IFERROR(IF(E511=E510,0,(HLOOKUP(D511,Ingreso!$AN$10:$AT$260,VLOOKUP(A511,Ingreso!$AL$11:$AM$260,2,FALSE)))/24),0)=0,"",IFERROR(IF(E511=E510,0,(HLOOKUP(D511,Ingreso!$AN$10:$AT$260,VLOOKUP(A511,Ingreso!$AL$11:$AM$260,2,FALSE)))/24),0))</f>
        <v/>
      </c>
      <c r="K511" s="65" t="str">
        <f>IF(IFERROR(IF(E511=E510,0,(HLOOKUP(C511,Ingreso!$AW$10:$BC$260,VLOOKUP(A511,Ingreso!$AL$11:$AM$260,2,FALSE)))/24),0)=0,"",IFERROR(IF(E511=E510,0,(HLOOKUP(C511,Ingreso!$AW$10:$BC$260,VLOOKUP(A511,Ingreso!$AL$11:$AM$260,2,FALSE)))/24),0))</f>
        <v/>
      </c>
      <c r="L511" s="63">
        <f t="shared" si="14"/>
        <v>0.375</v>
      </c>
      <c r="M511" s="63" t="str">
        <f>IF(IFERROR(IF(C511=C509,0,IF(E511=E510,0,IF(C511=$R$2,HLOOKUP($R$2,Ingreso!$AW$10:$BC$260,VLOOKUP(A511,Ingreso!AL:AM,2,FALSE),FALSE)/24,""))),"")=0,"",IFERROR(IF(C511=C509,0,IF(E511=E510,0,IF(C511=$R$2,HLOOKUP($R$2,Ingreso!$AW$10:$BC$260,VLOOKUP(A511,Ingreso!AL:AM,2,FALSE),FALSE)/24,""))),""))</f>
        <v/>
      </c>
      <c r="N511" s="95" t="str">
        <f>IF(IFERROR(IF(C511=C509,0,IF(E511=E510,0,IF(C511=$R$3,HLOOKUP($R$3,Ingreso!$AW$10:$BC$260,VLOOKUP(A511,Ingreso!AL:AM,2,FALSE),FALSE)/24,""))),"")=0,"",IFERROR(IF(C511=C509,0,IF(E511=E510,0,IF(C511=$R$3,HLOOKUP($R$3,Ingreso!$AW$10:$BC$260,VLOOKUP(A511,Ingreso!AL:AM,2,FALSE),FALSE)/24,""))),""))</f>
        <v/>
      </c>
      <c r="O511" s="95" t="str">
        <f>IF(IFERROR(IF(C511=C509,0,IF(E511=E510,0,IF(C511=$R$4,HLOOKUP($R$4,Ingreso!$AW$10:$BC$260,VLOOKUP(A511,Ingreso!AL:AM,2,FALSE),FALSE)/24,""))),"")=0,"",IFERROR(IF(C511=C509,0,IF(E511=E510,0,IF(C511=$R$4,HLOOKUP($R$4,Ingreso!$AW$10:$BC$260,VLOOKUP(A511,Ingreso!AL:AM,2,FALSE),FALSE)/24,""))),""))</f>
        <v/>
      </c>
      <c r="P511" s="90"/>
      <c r="V511"/>
      <c r="W511"/>
      <c r="X511"/>
      <c r="Y511"/>
      <c r="Z511"/>
      <c r="AA511"/>
      <c r="AB511"/>
      <c r="AC511"/>
      <c r="AD511"/>
    </row>
    <row r="512" spans="1:30">
      <c r="A512" s="65" t="str">
        <f>IFERROR(VLOOKUP('Informe Kelly'!A505,Base!A:B,2,FALSE),"")</f>
        <v>11.370.436-5</v>
      </c>
      <c r="B512" s="65" t="str">
        <f>IFERROR(VLOOKUP('Informe Kelly'!A505,Base!A:G,7,FALSE),"")</f>
        <v>MARDONES ALVARADO LUIS HUMBERTO</v>
      </c>
      <c r="C512" s="69" t="str">
        <f>IF(G512=$C$4,IF('Informe Kelly'!H505='Control informe Kelly'!$A$2,TEXT(((LEFT('Informe Kelly'!E505,2)*1)+1),"dd")&amp;"."&amp;MID('Informe Kelly'!E505,4,2)&amp;"."&amp;RIGHT('Informe Kelly'!E505,4),'Informe Kelly'!E505),'Informe Kelly'!E505)</f>
        <v>14.04.2011</v>
      </c>
      <c r="D512" s="69" t="str">
        <f>IF('Informe Kelly'!E505="","",'Informe Kelly'!E505)</f>
        <v>14.04.2011</v>
      </c>
      <c r="E512" s="72">
        <f t="shared" si="15"/>
        <v>257</v>
      </c>
      <c r="F512" s="72" t="str">
        <f>IFERROR(HLOOKUP(C512,Ingreso!$Q$8:$AD$9,2,FALSE),"v")</f>
        <v>Jueves</v>
      </c>
      <c r="G512" s="65" t="str">
        <f>IFERROR(VLOOKUP(A512,Ingreso!K:P,6,FALSE),"no esta ingresado")</f>
        <v>Turno C</v>
      </c>
      <c r="H512" s="65" t="str">
        <f>IFERROR(IF('Informe Kelly'!H505=$A$2,'Informe Kelly'!F505,""),0)</f>
        <v/>
      </c>
      <c r="I512" s="65">
        <f>IFERROR(IF('Informe Kelly'!H505=$A$3,'Informe Kelly'!F505,""),0)</f>
        <v>0.32011574074074073</v>
      </c>
      <c r="J512" s="65" t="str">
        <f>IF(IFERROR(IF(E512=E511,0,(HLOOKUP(D512,Ingreso!$AN$10:$AT$260,VLOOKUP(A512,Ingreso!$AL$11:$AM$260,2,FALSE)))/24),0)=0,"",IFERROR(IF(E512=E511,0,(HLOOKUP(D512,Ingreso!$AN$10:$AT$260,VLOOKUP(A512,Ingreso!$AL$11:$AM$260,2,FALSE)))/24),0))</f>
        <v/>
      </c>
      <c r="K512" s="65" t="str">
        <f>IF(IFERROR(IF(E512=E511,0,(HLOOKUP(C512,Ingreso!$AW$10:$BC$260,VLOOKUP(A512,Ingreso!$AL$11:$AM$260,2,FALSE)))/24),0)=0,"",IFERROR(IF(E512=E511,0,(HLOOKUP(C512,Ingreso!$AW$10:$BC$260,VLOOKUP(A512,Ingreso!$AL$11:$AM$260,2,FALSE)))/24),0))</f>
        <v/>
      </c>
      <c r="L512" s="63">
        <f t="shared" si="14"/>
        <v>0</v>
      </c>
      <c r="M512" s="63" t="str">
        <f>IF(IFERROR(IF(C512=C510,0,IF(E512=E511,0,IF(C512=$R$2,HLOOKUP($R$2,Ingreso!$AW$10:$BC$260,VLOOKUP(A512,Ingreso!AL:AM,2,FALSE),FALSE)/24,""))),"")=0,"",IFERROR(IF(C512=C510,0,IF(E512=E511,0,IF(C512=$R$2,HLOOKUP($R$2,Ingreso!$AW$10:$BC$260,VLOOKUP(A512,Ingreso!AL:AM,2,FALSE),FALSE)/24,""))),""))</f>
        <v/>
      </c>
      <c r="N512" s="95" t="str">
        <f>IF(IFERROR(IF(C512=C510,0,IF(E512=E511,0,IF(C512=$R$3,HLOOKUP($R$3,Ingreso!$AW$10:$BC$260,VLOOKUP(A512,Ingreso!AL:AM,2,FALSE),FALSE)/24,""))),"")=0,"",IFERROR(IF(C512=C510,0,IF(E512=E511,0,IF(C512=$R$3,HLOOKUP($R$3,Ingreso!$AW$10:$BC$260,VLOOKUP(A512,Ingreso!AL:AM,2,FALSE),FALSE)/24,""))),""))</f>
        <v/>
      </c>
      <c r="O512" s="95" t="str">
        <f>IF(IFERROR(IF(C512=C510,0,IF(E512=E511,0,IF(C512=$R$4,HLOOKUP($R$4,Ingreso!$AW$10:$BC$260,VLOOKUP(A512,Ingreso!AL:AM,2,FALSE),FALSE)/24,""))),"")=0,"",IFERROR(IF(C512=C510,0,IF(E512=E511,0,IF(C512=$R$4,HLOOKUP($R$4,Ingreso!$AW$10:$BC$260,VLOOKUP(A512,Ingreso!AL:AM,2,FALSE),FALSE)/24,""))),""))</f>
        <v/>
      </c>
      <c r="P512" s="90"/>
      <c r="V512"/>
      <c r="W512"/>
      <c r="X512"/>
      <c r="Y512"/>
      <c r="Z512"/>
      <c r="AA512"/>
      <c r="AB512"/>
      <c r="AC512"/>
      <c r="AD512"/>
    </row>
    <row r="513" spans="1:30">
      <c r="A513" s="65" t="str">
        <f>IFERROR(VLOOKUP('Informe Kelly'!A506,Base!A:B,2,FALSE),"")</f>
        <v>11.370.436-5</v>
      </c>
      <c r="B513" s="65" t="str">
        <f>IFERROR(VLOOKUP('Informe Kelly'!A506,Base!A:G,7,FALSE),"")</f>
        <v>MARDONES ALVARADO LUIS HUMBERTO</v>
      </c>
      <c r="C513" s="69" t="str">
        <f>IF(G513=$C$4,IF('Informe Kelly'!H506='Control informe Kelly'!$A$2,TEXT(((LEFT('Informe Kelly'!E506,2)*1)+1),"dd")&amp;"."&amp;MID('Informe Kelly'!E506,4,2)&amp;"."&amp;RIGHT('Informe Kelly'!E506,4),'Informe Kelly'!E506),'Informe Kelly'!E506)</f>
        <v>15.04.2011</v>
      </c>
      <c r="D513" s="69" t="str">
        <f>IF('Informe Kelly'!E506="","",'Informe Kelly'!E506)</f>
        <v>14.04.2011</v>
      </c>
      <c r="E513" s="72">
        <f t="shared" si="15"/>
        <v>258</v>
      </c>
      <c r="F513" s="72" t="str">
        <f>IFERROR(HLOOKUP(C513,Ingreso!$Q$8:$AD$9,2,FALSE),"v")</f>
        <v>Viernes</v>
      </c>
      <c r="G513" s="65" t="str">
        <f>IFERROR(VLOOKUP(A513,Ingreso!K:P,6,FALSE),"no esta ingresado")</f>
        <v>Turno C</v>
      </c>
      <c r="H513" s="65">
        <f>IFERROR(IF('Informe Kelly'!H506=$A$2,'Informe Kelly'!F506,""),0)</f>
        <v>0.91357638888888892</v>
      </c>
      <c r="I513" s="65" t="str">
        <f>IFERROR(IF('Informe Kelly'!H506=$A$3,'Informe Kelly'!F506,""),0)</f>
        <v/>
      </c>
      <c r="J513" s="65" t="str">
        <f>IF(IFERROR(IF(E513=E512,0,(HLOOKUP(D513,Ingreso!$AN$10:$AT$260,VLOOKUP(A513,Ingreso!$AL$11:$AM$260,2,FALSE)))/24),0)=0,"",IFERROR(IF(E513=E512,0,(HLOOKUP(D513,Ingreso!$AN$10:$AT$260,VLOOKUP(A513,Ingreso!$AL$11:$AM$260,2,FALSE)))/24),0))</f>
        <v/>
      </c>
      <c r="K513" s="65" t="str">
        <f>IF(IFERROR(IF(E513=E512,0,(HLOOKUP(C513,Ingreso!$AW$10:$BC$260,VLOOKUP(A513,Ingreso!$AL$11:$AM$260,2,FALSE)))/24),0)=0,"",IFERROR(IF(E513=E512,0,(HLOOKUP(C513,Ingreso!$AW$10:$BC$260,VLOOKUP(A513,Ingreso!$AL$11:$AM$260,2,FALSE)))/24),0))</f>
        <v/>
      </c>
      <c r="L513" s="63">
        <f t="shared" si="14"/>
        <v>0.375</v>
      </c>
      <c r="M513" s="63" t="str">
        <f>IF(IFERROR(IF(C513=C511,0,IF(E513=E512,0,IF(C513=$R$2,HLOOKUP($R$2,Ingreso!$AW$10:$BC$260,VLOOKUP(A513,Ingreso!AL:AM,2,FALSE),FALSE)/24,""))),"")=0,"",IFERROR(IF(C513=C511,0,IF(E513=E512,0,IF(C513=$R$2,HLOOKUP($R$2,Ingreso!$AW$10:$BC$260,VLOOKUP(A513,Ingreso!AL:AM,2,FALSE),FALSE)/24,""))),""))</f>
        <v/>
      </c>
      <c r="N513" s="95" t="str">
        <f>IF(IFERROR(IF(C513=C511,0,IF(E513=E512,0,IF(C513=$R$3,HLOOKUP($R$3,Ingreso!$AW$10:$BC$260,VLOOKUP(A513,Ingreso!AL:AM,2,FALSE),FALSE)/24,""))),"")=0,"",IFERROR(IF(C513=C511,0,IF(E513=E512,0,IF(C513=$R$3,HLOOKUP($R$3,Ingreso!$AW$10:$BC$260,VLOOKUP(A513,Ingreso!AL:AM,2,FALSE),FALSE)/24,""))),""))</f>
        <v/>
      </c>
      <c r="O513" s="95" t="str">
        <f>IF(IFERROR(IF(C513=C511,0,IF(E513=E512,0,IF(C513=$R$4,HLOOKUP($R$4,Ingreso!$AW$10:$BC$260,VLOOKUP(A513,Ingreso!AL:AM,2,FALSE),FALSE)/24,""))),"")=0,"",IFERROR(IF(C513=C511,0,IF(E513=E512,0,IF(C513=$R$4,HLOOKUP($R$4,Ingreso!$AW$10:$BC$260,VLOOKUP(A513,Ingreso!AL:AM,2,FALSE),FALSE)/24,""))),""))</f>
        <v/>
      </c>
      <c r="P513" s="90"/>
      <c r="V513"/>
      <c r="W513"/>
      <c r="X513"/>
      <c r="Y513"/>
      <c r="Z513"/>
      <c r="AA513"/>
      <c r="AB513"/>
      <c r="AC513"/>
      <c r="AD513"/>
    </row>
    <row r="514" spans="1:30">
      <c r="A514" s="65" t="str">
        <f>IFERROR(VLOOKUP('Informe Kelly'!A507,Base!A:B,2,FALSE),"")</f>
        <v>11.370.436-5</v>
      </c>
      <c r="B514" s="65" t="str">
        <f>IFERROR(VLOOKUP('Informe Kelly'!A507,Base!A:G,7,FALSE),"")</f>
        <v>MARDONES ALVARADO LUIS HUMBERTO</v>
      </c>
      <c r="C514" s="69" t="str">
        <f>IF(G514=$C$4,IF('Informe Kelly'!H507='Control informe Kelly'!$A$2,TEXT(((LEFT('Informe Kelly'!E507,2)*1)+1),"dd")&amp;"."&amp;MID('Informe Kelly'!E507,4,2)&amp;"."&amp;RIGHT('Informe Kelly'!E507,4),'Informe Kelly'!E507),'Informe Kelly'!E507)</f>
        <v>15.04.2011</v>
      </c>
      <c r="D514" s="69" t="str">
        <f>IF('Informe Kelly'!E507="","",'Informe Kelly'!E507)</f>
        <v>15.04.2011</v>
      </c>
      <c r="E514" s="72">
        <f t="shared" si="15"/>
        <v>258</v>
      </c>
      <c r="F514" s="72" t="str">
        <f>IFERROR(HLOOKUP(C514,Ingreso!$Q$8:$AD$9,2,FALSE),"v")</f>
        <v>Viernes</v>
      </c>
      <c r="G514" s="65" t="str">
        <f>IFERROR(VLOOKUP(A514,Ingreso!K:P,6,FALSE),"no esta ingresado")</f>
        <v>Turno C</v>
      </c>
      <c r="H514" s="65" t="str">
        <f>IFERROR(IF('Informe Kelly'!H507=$A$2,'Informe Kelly'!F507,""),0)</f>
        <v/>
      </c>
      <c r="I514" s="65">
        <f>IFERROR(IF('Informe Kelly'!H507=$A$3,'Informe Kelly'!F507,""),0)</f>
        <v>0.32041666666666663</v>
      </c>
      <c r="J514" s="65" t="str">
        <f>IF(IFERROR(IF(E514=E513,0,(HLOOKUP(D514,Ingreso!$AN$10:$AT$260,VLOOKUP(A514,Ingreso!$AL$11:$AM$260,2,FALSE)))/24),0)=0,"",IFERROR(IF(E514=E513,0,(HLOOKUP(D514,Ingreso!$AN$10:$AT$260,VLOOKUP(A514,Ingreso!$AL$11:$AM$260,2,FALSE)))/24),0))</f>
        <v/>
      </c>
      <c r="K514" s="65" t="str">
        <f>IF(IFERROR(IF(E514=E513,0,(HLOOKUP(C514,Ingreso!$AW$10:$BC$260,VLOOKUP(A514,Ingreso!$AL$11:$AM$260,2,FALSE)))/24),0)=0,"",IFERROR(IF(E514=E513,0,(HLOOKUP(C514,Ingreso!$AW$10:$BC$260,VLOOKUP(A514,Ingreso!$AL$11:$AM$260,2,FALSE)))/24),0))</f>
        <v/>
      </c>
      <c r="L514" s="63">
        <f t="shared" si="14"/>
        <v>0</v>
      </c>
      <c r="M514" s="63" t="str">
        <f>IF(IFERROR(IF(C514=C512,0,IF(E514=E513,0,IF(C514=$R$2,HLOOKUP($R$2,Ingreso!$AW$10:$BC$260,VLOOKUP(A514,Ingreso!AL:AM,2,FALSE),FALSE)/24,""))),"")=0,"",IFERROR(IF(C514=C512,0,IF(E514=E513,0,IF(C514=$R$2,HLOOKUP($R$2,Ingreso!$AW$10:$BC$260,VLOOKUP(A514,Ingreso!AL:AM,2,FALSE),FALSE)/24,""))),""))</f>
        <v/>
      </c>
      <c r="N514" s="95" t="str">
        <f>IF(IFERROR(IF(C514=C512,0,IF(E514=E513,0,IF(C514=$R$3,HLOOKUP($R$3,Ingreso!$AW$10:$BC$260,VLOOKUP(A514,Ingreso!AL:AM,2,FALSE),FALSE)/24,""))),"")=0,"",IFERROR(IF(C514=C512,0,IF(E514=E513,0,IF(C514=$R$3,HLOOKUP($R$3,Ingreso!$AW$10:$BC$260,VLOOKUP(A514,Ingreso!AL:AM,2,FALSE),FALSE)/24,""))),""))</f>
        <v/>
      </c>
      <c r="O514" s="95" t="str">
        <f>IF(IFERROR(IF(C514=C512,0,IF(E514=E513,0,IF(C514=$R$4,HLOOKUP($R$4,Ingreso!$AW$10:$BC$260,VLOOKUP(A514,Ingreso!AL:AM,2,FALSE),FALSE)/24,""))),"")=0,"",IFERROR(IF(C514=C512,0,IF(E514=E513,0,IF(C514=$R$4,HLOOKUP($R$4,Ingreso!$AW$10:$BC$260,VLOOKUP(A514,Ingreso!AL:AM,2,FALSE),FALSE)/24,""))),""))</f>
        <v/>
      </c>
      <c r="P514" s="90"/>
      <c r="V514"/>
      <c r="W514"/>
      <c r="X514"/>
      <c r="Y514"/>
      <c r="Z514"/>
      <c r="AA514"/>
      <c r="AB514"/>
      <c r="AC514"/>
      <c r="AD514"/>
    </row>
    <row r="515" spans="1:30">
      <c r="A515" s="65" t="str">
        <f>IFERROR(VLOOKUP('Informe Kelly'!A508,Base!A:B,2,FALSE),"")</f>
        <v>11.370.436-5</v>
      </c>
      <c r="B515" s="65" t="str">
        <f>IFERROR(VLOOKUP('Informe Kelly'!A508,Base!A:G,7,FALSE),"")</f>
        <v>MARDONES ALVARADO LUIS HUMBERTO</v>
      </c>
      <c r="C515" s="69" t="str">
        <f>IF(G515=$C$4,IF('Informe Kelly'!H508='Control informe Kelly'!$A$2,TEXT(((LEFT('Informe Kelly'!E508,2)*1)+1),"dd")&amp;"."&amp;MID('Informe Kelly'!E508,4,2)&amp;"."&amp;RIGHT('Informe Kelly'!E508,4),'Informe Kelly'!E508),'Informe Kelly'!E508)</f>
        <v>16.04.2011</v>
      </c>
      <c r="D515" s="69" t="str">
        <f>IF('Informe Kelly'!E508="","",'Informe Kelly'!E508)</f>
        <v>15.04.2011</v>
      </c>
      <c r="E515" s="72">
        <f t="shared" si="15"/>
        <v>259</v>
      </c>
      <c r="F515" s="72" t="str">
        <f>IFERROR(HLOOKUP(C515,Ingreso!$Q$8:$AD$9,2,FALSE),"v")</f>
        <v>Sábado</v>
      </c>
      <c r="G515" s="65" t="str">
        <f>IFERROR(VLOOKUP(A515,Ingreso!K:P,6,FALSE),"no esta ingresado")</f>
        <v>Turno C</v>
      </c>
      <c r="H515" s="65">
        <f>IFERROR(IF('Informe Kelly'!H508=$A$2,'Informe Kelly'!F508,""),0)</f>
        <v>0.91994212962962962</v>
      </c>
      <c r="I515" s="65" t="str">
        <f>IFERROR(IF('Informe Kelly'!H508=$A$3,'Informe Kelly'!F508,""),0)</f>
        <v/>
      </c>
      <c r="J515" s="65" t="str">
        <f>IF(IFERROR(IF(E515=E514,0,(HLOOKUP(D515,Ingreso!$AN$10:$AT$260,VLOOKUP(A515,Ingreso!$AL$11:$AM$260,2,FALSE)))/24),0)=0,"",IFERROR(IF(E515=E514,0,(HLOOKUP(D515,Ingreso!$AN$10:$AT$260,VLOOKUP(A515,Ingreso!$AL$11:$AM$260,2,FALSE)))/24),0))</f>
        <v/>
      </c>
      <c r="K515" s="65" t="str">
        <f>IF(IFERROR(IF(E515=E514,0,(HLOOKUP(C515,Ingreso!$AW$10:$BC$260,VLOOKUP(A515,Ingreso!$AL$11:$AM$260,2,FALSE)))/24),0)=0,"",IFERROR(IF(E515=E514,0,(HLOOKUP(C515,Ingreso!$AW$10:$BC$260,VLOOKUP(A515,Ingreso!$AL$11:$AM$260,2,FALSE)))/24),0))</f>
        <v/>
      </c>
      <c r="L515" s="63">
        <f t="shared" si="14"/>
        <v>0.375</v>
      </c>
      <c r="M515" s="63" t="str">
        <f>IF(IFERROR(IF(C515=C513,0,IF(E515=E514,0,IF(C515=$R$2,HLOOKUP($R$2,Ingreso!$AW$10:$BC$260,VLOOKUP(A515,Ingreso!AL:AM,2,FALSE),FALSE)/24,""))),"")=0,"",IFERROR(IF(C515=C513,0,IF(E515=E514,0,IF(C515=$R$2,HLOOKUP($R$2,Ingreso!$AW$10:$BC$260,VLOOKUP(A515,Ingreso!AL:AM,2,FALSE),FALSE)/24,""))),""))</f>
        <v/>
      </c>
      <c r="N515" s="95" t="str">
        <f>IF(IFERROR(IF(C515=C513,0,IF(E515=E514,0,IF(C515=$R$3,HLOOKUP($R$3,Ingreso!$AW$10:$BC$260,VLOOKUP(A515,Ingreso!AL:AM,2,FALSE),FALSE)/24,""))),"")=0,"",IFERROR(IF(C515=C513,0,IF(E515=E514,0,IF(C515=$R$3,HLOOKUP($R$3,Ingreso!$AW$10:$BC$260,VLOOKUP(A515,Ingreso!AL:AM,2,FALSE),FALSE)/24,""))),""))</f>
        <v/>
      </c>
      <c r="O515" s="95" t="str">
        <f>IF(IFERROR(IF(C515=C513,0,IF(E515=E514,0,IF(C515=$R$4,HLOOKUP($R$4,Ingreso!$AW$10:$BC$260,VLOOKUP(A515,Ingreso!AL:AM,2,FALSE),FALSE)/24,""))),"")=0,"",IFERROR(IF(C515=C513,0,IF(E515=E514,0,IF(C515=$R$4,HLOOKUP($R$4,Ingreso!$AW$10:$BC$260,VLOOKUP(A515,Ingreso!AL:AM,2,FALSE),FALSE)/24,""))),""))</f>
        <v/>
      </c>
      <c r="P515" s="90"/>
      <c r="V515"/>
      <c r="W515"/>
      <c r="X515"/>
      <c r="Y515"/>
      <c r="Z515"/>
      <c r="AA515"/>
      <c r="AB515"/>
      <c r="AC515"/>
      <c r="AD515"/>
    </row>
    <row r="516" spans="1:30">
      <c r="A516" s="65" t="str">
        <f>IFERROR(VLOOKUP('Informe Kelly'!A509,Base!A:B,2,FALSE),"")</f>
        <v>11.370.436-5</v>
      </c>
      <c r="B516" s="65" t="str">
        <f>IFERROR(VLOOKUP('Informe Kelly'!A509,Base!A:G,7,FALSE),"")</f>
        <v>MARDONES ALVARADO LUIS HUMBERTO</v>
      </c>
      <c r="C516" s="69" t="str">
        <f>IF(G516=$C$4,IF('Informe Kelly'!H509='Control informe Kelly'!$A$2,TEXT(((LEFT('Informe Kelly'!E509,2)*1)+1),"dd")&amp;"."&amp;MID('Informe Kelly'!E509,4,2)&amp;"."&amp;RIGHT('Informe Kelly'!E509,4),'Informe Kelly'!E509),'Informe Kelly'!E509)</f>
        <v>16.04.2011</v>
      </c>
      <c r="D516" s="69" t="str">
        <f>IF('Informe Kelly'!E509="","",'Informe Kelly'!E509)</f>
        <v>16.04.2011</v>
      </c>
      <c r="E516" s="72">
        <f t="shared" si="15"/>
        <v>259</v>
      </c>
      <c r="F516" s="72" t="str">
        <f>IFERROR(HLOOKUP(C516,Ingreso!$Q$8:$AD$9,2,FALSE),"v")</f>
        <v>Sábado</v>
      </c>
      <c r="G516" s="65" t="str">
        <f>IFERROR(VLOOKUP(A516,Ingreso!K:P,6,FALSE),"no esta ingresado")</f>
        <v>Turno C</v>
      </c>
      <c r="H516" s="65" t="str">
        <f>IFERROR(IF('Informe Kelly'!H509=$A$2,'Informe Kelly'!F509,""),0)</f>
        <v/>
      </c>
      <c r="I516" s="65">
        <f>IFERROR(IF('Informe Kelly'!H509=$A$3,'Informe Kelly'!F509,""),0)</f>
        <v>0.31913194444444443</v>
      </c>
      <c r="J516" s="65" t="str">
        <f>IF(IFERROR(IF(E516=E515,0,(HLOOKUP(D516,Ingreso!$AN$10:$AT$260,VLOOKUP(A516,Ingreso!$AL$11:$AM$260,2,FALSE)))/24),0)=0,"",IFERROR(IF(E516=E515,0,(HLOOKUP(D516,Ingreso!$AN$10:$AT$260,VLOOKUP(A516,Ingreso!$AL$11:$AM$260,2,FALSE)))/24),0))</f>
        <v/>
      </c>
      <c r="K516" s="65" t="str">
        <f>IF(IFERROR(IF(E516=E515,0,(HLOOKUP(C516,Ingreso!$AW$10:$BC$260,VLOOKUP(A516,Ingreso!$AL$11:$AM$260,2,FALSE)))/24),0)=0,"",IFERROR(IF(E516=E515,0,(HLOOKUP(C516,Ingreso!$AW$10:$BC$260,VLOOKUP(A516,Ingreso!$AL$11:$AM$260,2,FALSE)))/24),0))</f>
        <v/>
      </c>
      <c r="L516" s="63">
        <f t="shared" si="14"/>
        <v>0</v>
      </c>
      <c r="M516" s="63" t="str">
        <f>IF(IFERROR(IF(C516=C514,0,IF(E516=E515,0,IF(C516=$R$2,HLOOKUP($R$2,Ingreso!$AW$10:$BC$260,VLOOKUP(A516,Ingreso!AL:AM,2,FALSE),FALSE)/24,""))),"")=0,"",IFERROR(IF(C516=C514,0,IF(E516=E515,0,IF(C516=$R$2,HLOOKUP($R$2,Ingreso!$AW$10:$BC$260,VLOOKUP(A516,Ingreso!AL:AM,2,FALSE),FALSE)/24,""))),""))</f>
        <v/>
      </c>
      <c r="N516" s="95" t="str">
        <f>IF(IFERROR(IF(C516=C514,0,IF(E516=E515,0,IF(C516=$R$3,HLOOKUP($R$3,Ingreso!$AW$10:$BC$260,VLOOKUP(A516,Ingreso!AL:AM,2,FALSE),FALSE)/24,""))),"")=0,"",IFERROR(IF(C516=C514,0,IF(E516=E515,0,IF(C516=$R$3,HLOOKUP($R$3,Ingreso!$AW$10:$BC$260,VLOOKUP(A516,Ingreso!AL:AM,2,FALSE),FALSE)/24,""))),""))</f>
        <v/>
      </c>
      <c r="O516" s="95" t="str">
        <f>IF(IFERROR(IF(C516=C514,0,IF(E516=E515,0,IF(C516=$R$4,HLOOKUP($R$4,Ingreso!$AW$10:$BC$260,VLOOKUP(A516,Ingreso!AL:AM,2,FALSE),FALSE)/24,""))),"")=0,"",IFERROR(IF(C516=C514,0,IF(E516=E515,0,IF(C516=$R$4,HLOOKUP($R$4,Ingreso!$AW$10:$BC$260,VLOOKUP(A516,Ingreso!AL:AM,2,FALSE),FALSE)/24,""))),""))</f>
        <v/>
      </c>
      <c r="P516" s="90"/>
      <c r="V516"/>
      <c r="W516"/>
      <c r="X516"/>
      <c r="Y516"/>
      <c r="Z516"/>
      <c r="AA516"/>
      <c r="AB516"/>
      <c r="AC516"/>
      <c r="AD516"/>
    </row>
    <row r="517" spans="1:30">
      <c r="A517" s="65" t="str">
        <f>IFERROR(VLOOKUP('Informe Kelly'!A510,Base!A:B,2,FALSE),"")</f>
        <v>11.523.497-8</v>
      </c>
      <c r="B517" s="65" t="str">
        <f>IFERROR(VLOOKUP('Informe Kelly'!A510,Base!A:G,7,FALSE),"")</f>
        <v>NARVAI DIAZ LUIS</v>
      </c>
      <c r="C517" s="69" t="str">
        <f>IF(G517=$C$4,IF('Informe Kelly'!H510='Control informe Kelly'!$A$2,TEXT(((LEFT('Informe Kelly'!E510,2)*1)+1),"dd")&amp;"."&amp;MID('Informe Kelly'!E510,4,2)&amp;"."&amp;RIGHT('Informe Kelly'!E510,4),'Informe Kelly'!E510),'Informe Kelly'!E510)</f>
        <v>11.04.2011</v>
      </c>
      <c r="D517" s="69" t="str">
        <f>IF('Informe Kelly'!E510="","",'Informe Kelly'!E510)</f>
        <v>11.04.2011</v>
      </c>
      <c r="E517" s="72">
        <f t="shared" si="15"/>
        <v>260</v>
      </c>
      <c r="F517" s="72" t="str">
        <f>IFERROR(HLOOKUP(C517,Ingreso!$Q$8:$AD$9,2,FALSE),"v")</f>
        <v>Lunes</v>
      </c>
      <c r="G517" s="65" t="str">
        <f>IFERROR(VLOOKUP(A517,Ingreso!K:P,6,FALSE),"no esta ingresado")</f>
        <v>Admin</v>
      </c>
      <c r="H517" s="65" t="str">
        <f>IFERROR(IF('Informe Kelly'!H510=$A$2,'Informe Kelly'!F510,""),0)</f>
        <v/>
      </c>
      <c r="I517" s="65">
        <f>IFERROR(IF('Informe Kelly'!H510=$A$3,'Informe Kelly'!F510,""),0)</f>
        <v>0.81133101851851841</v>
      </c>
      <c r="J517" s="65" t="str">
        <f>IF(IFERROR(IF(E517=E516,0,(HLOOKUP(D517,Ingreso!$AN$10:$AT$260,VLOOKUP(A517,Ingreso!$AL$11:$AM$260,2,FALSE)))/24),0)=0,"",IFERROR(IF(E517=E516,0,(HLOOKUP(D517,Ingreso!$AN$10:$AT$260,VLOOKUP(A517,Ingreso!$AL$11:$AM$260,2,FALSE)))/24),0))</f>
        <v/>
      </c>
      <c r="K517" s="65" t="str">
        <f>IF(IFERROR(IF(E517=E516,0,(HLOOKUP(C517,Ingreso!$AW$10:$BC$260,VLOOKUP(A517,Ingreso!$AL$11:$AM$260,2,FALSE)))/24),0)=0,"",IFERROR(IF(E517=E516,0,(HLOOKUP(C517,Ingreso!$AW$10:$BC$260,VLOOKUP(A517,Ingreso!$AL$11:$AM$260,2,FALSE)))/24),0))</f>
        <v/>
      </c>
      <c r="L517" s="63">
        <f t="shared" si="14"/>
        <v>0.41666666666666669</v>
      </c>
      <c r="M517" s="63" t="str">
        <f>IF(IFERROR(IF(C517=C515,0,IF(E517=E516,0,IF(C517=$R$2,HLOOKUP($R$2,Ingreso!$AW$10:$BC$260,VLOOKUP(A517,Ingreso!AL:AM,2,FALSE),FALSE)/24,""))),"")=0,"",IFERROR(IF(C517=C515,0,IF(E517=E516,0,IF(C517=$R$2,HLOOKUP($R$2,Ingreso!$AW$10:$BC$260,VLOOKUP(A517,Ingreso!AL:AM,2,FALSE),FALSE)/24,""))),""))</f>
        <v/>
      </c>
      <c r="N517" s="95" t="str">
        <f>IF(IFERROR(IF(C517=C515,0,IF(E517=E516,0,IF(C517=$R$3,HLOOKUP($R$3,Ingreso!$AW$10:$BC$260,VLOOKUP(A517,Ingreso!AL:AM,2,FALSE),FALSE)/24,""))),"")=0,"",IFERROR(IF(C517=C515,0,IF(E517=E516,0,IF(C517=$R$3,HLOOKUP($R$3,Ingreso!$AW$10:$BC$260,VLOOKUP(A517,Ingreso!AL:AM,2,FALSE),FALSE)/24,""))),""))</f>
        <v/>
      </c>
      <c r="O517" s="95" t="str">
        <f>IF(IFERROR(IF(C517=C515,0,IF(E517=E516,0,IF(C517=$R$4,HLOOKUP($R$4,Ingreso!$AW$10:$BC$260,VLOOKUP(A517,Ingreso!AL:AM,2,FALSE),FALSE)/24,""))),"")=0,"",IFERROR(IF(C517=C515,0,IF(E517=E516,0,IF(C517=$R$4,HLOOKUP($R$4,Ingreso!$AW$10:$BC$260,VLOOKUP(A517,Ingreso!AL:AM,2,FALSE),FALSE)/24,""))),""))</f>
        <v/>
      </c>
      <c r="P517" s="90"/>
      <c r="V517"/>
      <c r="W517"/>
      <c r="X517"/>
      <c r="Y517"/>
      <c r="Z517"/>
      <c r="AA517"/>
      <c r="AB517"/>
      <c r="AC517"/>
      <c r="AD517"/>
    </row>
    <row r="518" spans="1:30">
      <c r="A518" s="65" t="str">
        <f>IFERROR(VLOOKUP('Informe Kelly'!A511,Base!A:B,2,FALSE),"")</f>
        <v>11.523.497-8</v>
      </c>
      <c r="B518" s="65" t="str">
        <f>IFERROR(VLOOKUP('Informe Kelly'!A511,Base!A:G,7,FALSE),"")</f>
        <v>NARVAI DIAZ LUIS</v>
      </c>
      <c r="C518" s="69" t="str">
        <f>IF(G518=$C$4,IF('Informe Kelly'!H511='Control informe Kelly'!$A$2,TEXT(((LEFT('Informe Kelly'!E511,2)*1)+1),"dd")&amp;"."&amp;MID('Informe Kelly'!E511,4,2)&amp;"."&amp;RIGHT('Informe Kelly'!E511,4),'Informe Kelly'!E511),'Informe Kelly'!E511)</f>
        <v>11.04.2011</v>
      </c>
      <c r="D518" s="69" t="str">
        <f>IF('Informe Kelly'!E511="","",'Informe Kelly'!E511)</f>
        <v>11.04.2011</v>
      </c>
      <c r="E518" s="72">
        <f t="shared" si="15"/>
        <v>260</v>
      </c>
      <c r="F518" s="72" t="str">
        <f>IFERROR(HLOOKUP(C518,Ingreso!$Q$8:$AD$9,2,FALSE),"v")</f>
        <v>Lunes</v>
      </c>
      <c r="G518" s="65" t="str">
        <f>IFERROR(VLOOKUP(A518,Ingreso!K:P,6,FALSE),"no esta ingresado")</f>
        <v>Admin</v>
      </c>
      <c r="H518" s="65">
        <f>IFERROR(IF('Informe Kelly'!H511=$A$2,'Informe Kelly'!F511,""),0)</f>
        <v>0.45630787037037041</v>
      </c>
      <c r="I518" s="65" t="str">
        <f>IFERROR(IF('Informe Kelly'!H511=$A$3,'Informe Kelly'!F511,""),0)</f>
        <v/>
      </c>
      <c r="J518" s="65" t="str">
        <f>IF(IFERROR(IF(E518=E517,0,(HLOOKUP(D518,Ingreso!$AN$10:$AT$260,VLOOKUP(A518,Ingreso!$AL$11:$AM$260,2,FALSE)))/24),0)=0,"",IFERROR(IF(E518=E517,0,(HLOOKUP(D518,Ingreso!$AN$10:$AT$260,VLOOKUP(A518,Ingreso!$AL$11:$AM$260,2,FALSE)))/24),0))</f>
        <v/>
      </c>
      <c r="K518" s="65" t="str">
        <f>IF(IFERROR(IF(E518=E517,0,(HLOOKUP(C518,Ingreso!$AW$10:$BC$260,VLOOKUP(A518,Ingreso!$AL$11:$AM$260,2,FALSE)))/24),0)=0,"",IFERROR(IF(E518=E517,0,(HLOOKUP(C518,Ingreso!$AW$10:$BC$260,VLOOKUP(A518,Ingreso!$AL$11:$AM$260,2,FALSE)))/24),0))</f>
        <v/>
      </c>
      <c r="L518" s="63">
        <f t="shared" si="14"/>
        <v>0</v>
      </c>
      <c r="M518" s="63" t="str">
        <f>IF(IFERROR(IF(C518=C516,0,IF(E518=E517,0,IF(C518=$R$2,HLOOKUP($R$2,Ingreso!$AW$10:$BC$260,VLOOKUP(A518,Ingreso!AL:AM,2,FALSE),FALSE)/24,""))),"")=0,"",IFERROR(IF(C518=C516,0,IF(E518=E517,0,IF(C518=$R$2,HLOOKUP($R$2,Ingreso!$AW$10:$BC$260,VLOOKUP(A518,Ingreso!AL:AM,2,FALSE),FALSE)/24,""))),""))</f>
        <v/>
      </c>
      <c r="N518" s="95" t="str">
        <f>IF(IFERROR(IF(C518=C516,0,IF(E518=E517,0,IF(C518=$R$3,HLOOKUP($R$3,Ingreso!$AW$10:$BC$260,VLOOKUP(A518,Ingreso!AL:AM,2,FALSE),FALSE)/24,""))),"")=0,"",IFERROR(IF(C518=C516,0,IF(E518=E517,0,IF(C518=$R$3,HLOOKUP($R$3,Ingreso!$AW$10:$BC$260,VLOOKUP(A518,Ingreso!AL:AM,2,FALSE),FALSE)/24,""))),""))</f>
        <v/>
      </c>
      <c r="O518" s="95" t="str">
        <f>IF(IFERROR(IF(C518=C516,0,IF(E518=E517,0,IF(C518=$R$4,HLOOKUP($R$4,Ingreso!$AW$10:$BC$260,VLOOKUP(A518,Ingreso!AL:AM,2,FALSE),FALSE)/24,""))),"")=0,"",IFERROR(IF(C518=C516,0,IF(E518=E517,0,IF(C518=$R$4,HLOOKUP($R$4,Ingreso!$AW$10:$BC$260,VLOOKUP(A518,Ingreso!AL:AM,2,FALSE),FALSE)/24,""))),""))</f>
        <v/>
      </c>
      <c r="P518" s="90"/>
      <c r="V518"/>
      <c r="W518"/>
      <c r="X518"/>
      <c r="Y518"/>
      <c r="Z518"/>
      <c r="AA518"/>
      <c r="AB518"/>
      <c r="AC518"/>
      <c r="AD518"/>
    </row>
    <row r="519" spans="1:30">
      <c r="A519" s="65" t="str">
        <f>IFERROR(VLOOKUP('Informe Kelly'!A512,Base!A:B,2,FALSE),"")</f>
        <v>11.523.497-8</v>
      </c>
      <c r="B519" s="65" t="str">
        <f>IFERROR(VLOOKUP('Informe Kelly'!A512,Base!A:G,7,FALSE),"")</f>
        <v>NARVAI DIAZ LUIS</v>
      </c>
      <c r="C519" s="69" t="str">
        <f>IF(G519=$C$4,IF('Informe Kelly'!H512='Control informe Kelly'!$A$2,TEXT(((LEFT('Informe Kelly'!E512,2)*1)+1),"dd")&amp;"."&amp;MID('Informe Kelly'!E512,4,2)&amp;"."&amp;RIGHT('Informe Kelly'!E512,4),'Informe Kelly'!E512),'Informe Kelly'!E512)</f>
        <v>12.04.2011</v>
      </c>
      <c r="D519" s="69" t="str">
        <f>IF('Informe Kelly'!E512="","",'Informe Kelly'!E512)</f>
        <v>12.04.2011</v>
      </c>
      <c r="E519" s="72">
        <f t="shared" si="15"/>
        <v>261</v>
      </c>
      <c r="F519" s="72" t="str">
        <f>IFERROR(HLOOKUP(C519,Ingreso!$Q$8:$AD$9,2,FALSE),"v")</f>
        <v>Martes</v>
      </c>
      <c r="G519" s="65" t="str">
        <f>IFERROR(VLOOKUP(A519,Ingreso!K:P,6,FALSE),"no esta ingresado")</f>
        <v>Admin</v>
      </c>
      <c r="H519" s="65" t="str">
        <f>IFERROR(IF('Informe Kelly'!H512=$A$2,'Informe Kelly'!F512,""),0)</f>
        <v/>
      </c>
      <c r="I519" s="65">
        <f>IFERROR(IF('Informe Kelly'!H512=$A$3,'Informe Kelly'!F512,""),0)</f>
        <v>0.80799768518518522</v>
      </c>
      <c r="J519" s="65">
        <f>IF(IFERROR(IF(E519=E518,0,(HLOOKUP(D519,Ingreso!$AN$10:$AT$260,VLOOKUP(A519,Ingreso!$AL$11:$AM$260,2,FALSE)))/24),0)=0,"",IFERROR(IF(E519=E518,0,(HLOOKUP(D519,Ingreso!$AN$10:$AT$260,VLOOKUP(A519,Ingreso!$AL$11:$AM$260,2,FALSE)))/24),0))</f>
        <v>8.3333333333333329E-2</v>
      </c>
      <c r="K519" s="65" t="str">
        <f>IF(IFERROR(IF(E519=E518,0,(HLOOKUP(C519,Ingreso!$AW$10:$BC$260,VLOOKUP(A519,Ingreso!$AL$11:$AM$260,2,FALSE)))/24),0)=0,"",IFERROR(IF(E519=E518,0,(HLOOKUP(C519,Ingreso!$AW$10:$BC$260,VLOOKUP(A519,Ingreso!$AL$11:$AM$260,2,FALSE)))/24),0))</f>
        <v/>
      </c>
      <c r="L519" s="63">
        <f t="shared" si="14"/>
        <v>0.41666666666666669</v>
      </c>
      <c r="M519" s="63" t="str">
        <f>IF(IFERROR(IF(C519=C517,0,IF(E519=E518,0,IF(C519=$R$2,HLOOKUP($R$2,Ingreso!$AW$10:$BC$260,VLOOKUP(A519,Ingreso!AL:AM,2,FALSE),FALSE)/24,""))),"")=0,"",IFERROR(IF(C519=C517,0,IF(E519=E518,0,IF(C519=$R$2,HLOOKUP($R$2,Ingreso!$AW$10:$BC$260,VLOOKUP(A519,Ingreso!AL:AM,2,FALSE),FALSE)/24,""))),""))</f>
        <v/>
      </c>
      <c r="N519" s="95" t="str">
        <f>IF(IFERROR(IF(C519=C517,0,IF(E519=E518,0,IF(C519=$R$3,HLOOKUP($R$3,Ingreso!$AW$10:$BC$260,VLOOKUP(A519,Ingreso!AL:AM,2,FALSE),FALSE)/24,""))),"")=0,"",IFERROR(IF(C519=C517,0,IF(E519=E518,0,IF(C519=$R$3,HLOOKUP($R$3,Ingreso!$AW$10:$BC$260,VLOOKUP(A519,Ingreso!AL:AM,2,FALSE),FALSE)/24,""))),""))</f>
        <v/>
      </c>
      <c r="O519" s="95" t="str">
        <f>IF(IFERROR(IF(C519=C517,0,IF(E519=E518,0,IF(C519=$R$4,HLOOKUP($R$4,Ingreso!$AW$10:$BC$260,VLOOKUP(A519,Ingreso!AL:AM,2,FALSE),FALSE)/24,""))),"")=0,"",IFERROR(IF(C519=C517,0,IF(E519=E518,0,IF(C519=$R$4,HLOOKUP($R$4,Ingreso!$AW$10:$BC$260,VLOOKUP(A519,Ingreso!AL:AM,2,FALSE),FALSE)/24,""))),""))</f>
        <v/>
      </c>
      <c r="P519" s="90"/>
      <c r="V519"/>
      <c r="W519"/>
      <c r="X519"/>
      <c r="Y519"/>
      <c r="Z519"/>
      <c r="AA519"/>
      <c r="AB519"/>
      <c r="AC519"/>
      <c r="AD519"/>
    </row>
    <row r="520" spans="1:30">
      <c r="A520" s="65" t="str">
        <f>IFERROR(VLOOKUP('Informe Kelly'!A513,Base!A:B,2,FALSE),"")</f>
        <v>11.523.497-8</v>
      </c>
      <c r="B520" s="65" t="str">
        <f>IFERROR(VLOOKUP('Informe Kelly'!A513,Base!A:G,7,FALSE),"")</f>
        <v>NARVAI DIAZ LUIS</v>
      </c>
      <c r="C520" s="69" t="str">
        <f>IF(G520=$C$4,IF('Informe Kelly'!H513='Control informe Kelly'!$A$2,TEXT(((LEFT('Informe Kelly'!E513,2)*1)+1),"dd")&amp;"."&amp;MID('Informe Kelly'!E513,4,2)&amp;"."&amp;RIGHT('Informe Kelly'!E513,4),'Informe Kelly'!E513),'Informe Kelly'!E513)</f>
        <v>12.04.2011</v>
      </c>
      <c r="D520" s="69" t="str">
        <f>IF('Informe Kelly'!E513="","",'Informe Kelly'!E513)</f>
        <v>12.04.2011</v>
      </c>
      <c r="E520" s="72">
        <f t="shared" si="15"/>
        <v>261</v>
      </c>
      <c r="F520" s="72" t="str">
        <f>IFERROR(HLOOKUP(C520,Ingreso!$Q$8:$AD$9,2,FALSE),"v")</f>
        <v>Martes</v>
      </c>
      <c r="G520" s="65" t="str">
        <f>IFERROR(VLOOKUP(A520,Ingreso!K:P,6,FALSE),"no esta ingresado")</f>
        <v>Admin</v>
      </c>
      <c r="H520" s="65">
        <f>IFERROR(IF('Informe Kelly'!H513=$A$2,'Informe Kelly'!F513,""),0)</f>
        <v>0.301875</v>
      </c>
      <c r="I520" s="65" t="str">
        <f>IFERROR(IF('Informe Kelly'!H513=$A$3,'Informe Kelly'!F513,""),0)</f>
        <v/>
      </c>
      <c r="J520" s="65" t="str">
        <f>IF(IFERROR(IF(E520=E519,0,(HLOOKUP(D520,Ingreso!$AN$10:$AT$260,VLOOKUP(A520,Ingreso!$AL$11:$AM$260,2,FALSE)))/24),0)=0,"",IFERROR(IF(E520=E519,0,(HLOOKUP(D520,Ingreso!$AN$10:$AT$260,VLOOKUP(A520,Ingreso!$AL$11:$AM$260,2,FALSE)))/24),0))</f>
        <v/>
      </c>
      <c r="K520" s="65" t="str">
        <f>IF(IFERROR(IF(E520=E519,0,(HLOOKUP(C520,Ingreso!$AW$10:$BC$260,VLOOKUP(A520,Ingreso!$AL$11:$AM$260,2,FALSE)))/24),0)=0,"",IFERROR(IF(E520=E519,0,(HLOOKUP(C520,Ingreso!$AW$10:$BC$260,VLOOKUP(A520,Ingreso!$AL$11:$AM$260,2,FALSE)))/24),0))</f>
        <v/>
      </c>
      <c r="L520" s="63">
        <f t="shared" si="14"/>
        <v>0</v>
      </c>
      <c r="M520" s="63" t="str">
        <f>IF(IFERROR(IF(C520=C518,0,IF(E520=E519,0,IF(C520=$R$2,HLOOKUP($R$2,Ingreso!$AW$10:$BC$260,VLOOKUP(A520,Ingreso!AL:AM,2,FALSE),FALSE)/24,""))),"")=0,"",IFERROR(IF(C520=C518,0,IF(E520=E519,0,IF(C520=$R$2,HLOOKUP($R$2,Ingreso!$AW$10:$BC$260,VLOOKUP(A520,Ingreso!AL:AM,2,FALSE),FALSE)/24,""))),""))</f>
        <v/>
      </c>
      <c r="N520" s="95" t="str">
        <f>IF(IFERROR(IF(C520=C518,0,IF(E520=E519,0,IF(C520=$R$3,HLOOKUP($R$3,Ingreso!$AW$10:$BC$260,VLOOKUP(A520,Ingreso!AL:AM,2,FALSE),FALSE)/24,""))),"")=0,"",IFERROR(IF(C520=C518,0,IF(E520=E519,0,IF(C520=$R$3,HLOOKUP($R$3,Ingreso!$AW$10:$BC$260,VLOOKUP(A520,Ingreso!AL:AM,2,FALSE),FALSE)/24,""))),""))</f>
        <v/>
      </c>
      <c r="O520" s="95" t="str">
        <f>IF(IFERROR(IF(C520=C518,0,IF(E520=E519,0,IF(C520=$R$4,HLOOKUP($R$4,Ingreso!$AW$10:$BC$260,VLOOKUP(A520,Ingreso!AL:AM,2,FALSE),FALSE)/24,""))),"")=0,"",IFERROR(IF(C520=C518,0,IF(E520=E519,0,IF(C520=$R$4,HLOOKUP($R$4,Ingreso!$AW$10:$BC$260,VLOOKUP(A520,Ingreso!AL:AM,2,FALSE),FALSE)/24,""))),""))</f>
        <v/>
      </c>
      <c r="P520" s="90"/>
      <c r="V520"/>
      <c r="W520"/>
      <c r="X520"/>
      <c r="Y520"/>
      <c r="Z520"/>
      <c r="AA520"/>
      <c r="AB520"/>
      <c r="AC520"/>
      <c r="AD520"/>
    </row>
    <row r="521" spans="1:30">
      <c r="A521" s="65" t="str">
        <f>IFERROR(VLOOKUP('Informe Kelly'!A514,Base!A:B,2,FALSE),"")</f>
        <v>11.523.497-8</v>
      </c>
      <c r="B521" s="65" t="str">
        <f>IFERROR(VLOOKUP('Informe Kelly'!A514,Base!A:G,7,FALSE),"")</f>
        <v>NARVAI DIAZ LUIS</v>
      </c>
      <c r="C521" s="69" t="str">
        <f>IF(G521=$C$4,IF('Informe Kelly'!H514='Control informe Kelly'!$A$2,TEXT(((LEFT('Informe Kelly'!E514,2)*1)+1),"dd")&amp;"."&amp;MID('Informe Kelly'!E514,4,2)&amp;"."&amp;RIGHT('Informe Kelly'!E514,4),'Informe Kelly'!E514),'Informe Kelly'!E514)</f>
        <v>13.04.2011</v>
      </c>
      <c r="D521" s="69" t="str">
        <f>IF('Informe Kelly'!E514="","",'Informe Kelly'!E514)</f>
        <v>13.04.2011</v>
      </c>
      <c r="E521" s="72">
        <f t="shared" si="15"/>
        <v>262</v>
      </c>
      <c r="F521" s="72" t="str">
        <f>IFERROR(HLOOKUP(C521,Ingreso!$Q$8:$AD$9,2,FALSE),"v")</f>
        <v>Miércoles</v>
      </c>
      <c r="G521" s="65" t="str">
        <f>IFERROR(VLOOKUP(A521,Ingreso!K:P,6,FALSE),"no esta ingresado")</f>
        <v>Admin</v>
      </c>
      <c r="H521" s="65" t="str">
        <f>IFERROR(IF('Informe Kelly'!H514=$A$2,'Informe Kelly'!F514,""),0)</f>
        <v/>
      </c>
      <c r="I521" s="65">
        <f>IFERROR(IF('Informe Kelly'!H514=$A$3,'Informe Kelly'!F514,""),0)</f>
        <v>0.80461805555555566</v>
      </c>
      <c r="J521" s="65">
        <f>IF(IFERROR(IF(E521=E520,0,(HLOOKUP(D521,Ingreso!$AN$10:$AT$260,VLOOKUP(A521,Ingreso!$AL$11:$AM$260,2,FALSE)))/24),0)=0,"",IFERROR(IF(E521=E520,0,(HLOOKUP(D521,Ingreso!$AN$10:$AT$260,VLOOKUP(A521,Ingreso!$AL$11:$AM$260,2,FALSE)))/24),0))</f>
        <v>8.3333333333333329E-2</v>
      </c>
      <c r="K521" s="65" t="str">
        <f>IF(IFERROR(IF(E521=E520,0,(HLOOKUP(C521,Ingreso!$AW$10:$BC$260,VLOOKUP(A521,Ingreso!$AL$11:$AM$260,2,FALSE)))/24),0)=0,"",IFERROR(IF(E521=E520,0,(HLOOKUP(C521,Ingreso!$AW$10:$BC$260,VLOOKUP(A521,Ingreso!$AL$11:$AM$260,2,FALSE)))/24),0))</f>
        <v/>
      </c>
      <c r="L521" s="63">
        <f t="shared" ref="L521:L584" si="16">IFERROR(IF(C521=C519,0,IF(E521=E520,0,(VLOOKUP(G521,$C$2:$D$5,2,FALSE)))),"")</f>
        <v>0.41666666666666669</v>
      </c>
      <c r="M521" s="63" t="str">
        <f>IF(IFERROR(IF(C521=C519,0,IF(E521=E520,0,IF(C521=$R$2,HLOOKUP($R$2,Ingreso!$AW$10:$BC$260,VLOOKUP(A521,Ingreso!AL:AM,2,FALSE),FALSE)/24,""))),"")=0,"",IFERROR(IF(C521=C519,0,IF(E521=E520,0,IF(C521=$R$2,HLOOKUP($R$2,Ingreso!$AW$10:$BC$260,VLOOKUP(A521,Ingreso!AL:AM,2,FALSE),FALSE)/24,""))),""))</f>
        <v/>
      </c>
      <c r="N521" s="95" t="str">
        <f>IF(IFERROR(IF(C521=C519,0,IF(E521=E520,0,IF(C521=$R$3,HLOOKUP($R$3,Ingreso!$AW$10:$BC$260,VLOOKUP(A521,Ingreso!AL:AM,2,FALSE),FALSE)/24,""))),"")=0,"",IFERROR(IF(C521=C519,0,IF(E521=E520,0,IF(C521=$R$3,HLOOKUP($R$3,Ingreso!$AW$10:$BC$260,VLOOKUP(A521,Ingreso!AL:AM,2,FALSE),FALSE)/24,""))),""))</f>
        <v/>
      </c>
      <c r="O521" s="95" t="str">
        <f>IF(IFERROR(IF(C521=C519,0,IF(E521=E520,0,IF(C521=$R$4,HLOOKUP($R$4,Ingreso!$AW$10:$BC$260,VLOOKUP(A521,Ingreso!AL:AM,2,FALSE),FALSE)/24,""))),"")=0,"",IFERROR(IF(C521=C519,0,IF(E521=E520,0,IF(C521=$R$4,HLOOKUP($R$4,Ingreso!$AW$10:$BC$260,VLOOKUP(A521,Ingreso!AL:AM,2,FALSE),FALSE)/24,""))),""))</f>
        <v/>
      </c>
      <c r="P521" s="90"/>
      <c r="V521"/>
      <c r="W521"/>
      <c r="X521"/>
      <c r="Y521"/>
      <c r="Z521"/>
      <c r="AA521"/>
      <c r="AB521"/>
      <c r="AC521"/>
      <c r="AD521"/>
    </row>
    <row r="522" spans="1:30">
      <c r="A522" s="65" t="str">
        <f>IFERROR(VLOOKUP('Informe Kelly'!A515,Base!A:B,2,FALSE),"")</f>
        <v>11.523.497-8</v>
      </c>
      <c r="B522" s="65" t="str">
        <f>IFERROR(VLOOKUP('Informe Kelly'!A515,Base!A:G,7,FALSE),"")</f>
        <v>NARVAI DIAZ LUIS</v>
      </c>
      <c r="C522" s="69" t="str">
        <f>IF(G522=$C$4,IF('Informe Kelly'!H515='Control informe Kelly'!$A$2,TEXT(((LEFT('Informe Kelly'!E515,2)*1)+1),"dd")&amp;"."&amp;MID('Informe Kelly'!E515,4,2)&amp;"."&amp;RIGHT('Informe Kelly'!E515,4),'Informe Kelly'!E515),'Informe Kelly'!E515)</f>
        <v>13.04.2011</v>
      </c>
      <c r="D522" s="69" t="str">
        <f>IF('Informe Kelly'!E515="","",'Informe Kelly'!E515)</f>
        <v>13.04.2011</v>
      </c>
      <c r="E522" s="72">
        <f t="shared" ref="E522:E585" si="17">IF(C521=C522,IF(C522=C519,E521,IF(C522=C520,E521+1,E521)),E521+1)</f>
        <v>262</v>
      </c>
      <c r="F522" s="72" t="str">
        <f>IFERROR(HLOOKUP(C522,Ingreso!$Q$8:$AD$9,2,FALSE),"v")</f>
        <v>Miércoles</v>
      </c>
      <c r="G522" s="65" t="str">
        <f>IFERROR(VLOOKUP(A522,Ingreso!K:P,6,FALSE),"no esta ingresado")</f>
        <v>Admin</v>
      </c>
      <c r="H522" s="65">
        <f>IFERROR(IF('Informe Kelly'!H515=$A$2,'Informe Kelly'!F515,""),0)</f>
        <v>0.30016203703703703</v>
      </c>
      <c r="I522" s="65" t="str">
        <f>IFERROR(IF('Informe Kelly'!H515=$A$3,'Informe Kelly'!F515,""),0)</f>
        <v/>
      </c>
      <c r="J522" s="65" t="str">
        <f>IF(IFERROR(IF(E522=E521,0,(HLOOKUP(D522,Ingreso!$AN$10:$AT$260,VLOOKUP(A522,Ingreso!$AL$11:$AM$260,2,FALSE)))/24),0)=0,"",IFERROR(IF(E522=E521,0,(HLOOKUP(D522,Ingreso!$AN$10:$AT$260,VLOOKUP(A522,Ingreso!$AL$11:$AM$260,2,FALSE)))/24),0))</f>
        <v/>
      </c>
      <c r="K522" s="65" t="str">
        <f>IF(IFERROR(IF(E522=E521,0,(HLOOKUP(C522,Ingreso!$AW$10:$BC$260,VLOOKUP(A522,Ingreso!$AL$11:$AM$260,2,FALSE)))/24),0)=0,"",IFERROR(IF(E522=E521,0,(HLOOKUP(C522,Ingreso!$AW$10:$BC$260,VLOOKUP(A522,Ingreso!$AL$11:$AM$260,2,FALSE)))/24),0))</f>
        <v/>
      </c>
      <c r="L522" s="63">
        <f t="shared" si="16"/>
        <v>0</v>
      </c>
      <c r="M522" s="63" t="str">
        <f>IF(IFERROR(IF(C522=C520,0,IF(E522=E521,0,IF(C522=$R$2,HLOOKUP($R$2,Ingreso!$AW$10:$BC$260,VLOOKUP(A522,Ingreso!AL:AM,2,FALSE),FALSE)/24,""))),"")=0,"",IFERROR(IF(C522=C520,0,IF(E522=E521,0,IF(C522=$R$2,HLOOKUP($R$2,Ingreso!$AW$10:$BC$260,VLOOKUP(A522,Ingreso!AL:AM,2,FALSE),FALSE)/24,""))),""))</f>
        <v/>
      </c>
      <c r="N522" s="95" t="str">
        <f>IF(IFERROR(IF(C522=C520,0,IF(E522=E521,0,IF(C522=$R$3,HLOOKUP($R$3,Ingreso!$AW$10:$BC$260,VLOOKUP(A522,Ingreso!AL:AM,2,FALSE),FALSE)/24,""))),"")=0,"",IFERROR(IF(C522=C520,0,IF(E522=E521,0,IF(C522=$R$3,HLOOKUP($R$3,Ingreso!$AW$10:$BC$260,VLOOKUP(A522,Ingreso!AL:AM,2,FALSE),FALSE)/24,""))),""))</f>
        <v/>
      </c>
      <c r="O522" s="95" t="str">
        <f>IF(IFERROR(IF(C522=C520,0,IF(E522=E521,0,IF(C522=$R$4,HLOOKUP($R$4,Ingreso!$AW$10:$BC$260,VLOOKUP(A522,Ingreso!AL:AM,2,FALSE),FALSE)/24,""))),"")=0,"",IFERROR(IF(C522=C520,0,IF(E522=E521,0,IF(C522=$R$4,HLOOKUP($R$4,Ingreso!$AW$10:$BC$260,VLOOKUP(A522,Ingreso!AL:AM,2,FALSE),FALSE)/24,""))),""))</f>
        <v/>
      </c>
      <c r="P522" s="90"/>
      <c r="V522"/>
      <c r="W522"/>
      <c r="X522"/>
      <c r="Y522"/>
      <c r="Z522"/>
      <c r="AA522"/>
      <c r="AB522"/>
      <c r="AC522"/>
      <c r="AD522"/>
    </row>
    <row r="523" spans="1:30">
      <c r="A523" s="65" t="str">
        <f>IFERROR(VLOOKUP('Informe Kelly'!A516,Base!A:B,2,FALSE),"")</f>
        <v>11.523.497-8</v>
      </c>
      <c r="B523" s="65" t="str">
        <f>IFERROR(VLOOKUP('Informe Kelly'!A516,Base!A:G,7,FALSE),"")</f>
        <v>NARVAI DIAZ LUIS</v>
      </c>
      <c r="C523" s="69" t="str">
        <f>IF(G523=$C$4,IF('Informe Kelly'!H516='Control informe Kelly'!$A$2,TEXT(((LEFT('Informe Kelly'!E516,2)*1)+1),"dd")&amp;"."&amp;MID('Informe Kelly'!E516,4,2)&amp;"."&amp;RIGHT('Informe Kelly'!E516,4),'Informe Kelly'!E516),'Informe Kelly'!E516)</f>
        <v>14.04.2011</v>
      </c>
      <c r="D523" s="69" t="str">
        <f>IF('Informe Kelly'!E516="","",'Informe Kelly'!E516)</f>
        <v>14.04.2011</v>
      </c>
      <c r="E523" s="72">
        <f t="shared" si="17"/>
        <v>263</v>
      </c>
      <c r="F523" s="72" t="str">
        <f>IFERROR(HLOOKUP(C523,Ingreso!$Q$8:$AD$9,2,FALSE),"v")</f>
        <v>Jueves</v>
      </c>
      <c r="G523" s="65" t="str">
        <f>IFERROR(VLOOKUP(A523,Ingreso!K:P,6,FALSE),"no esta ingresado")</f>
        <v>Admin</v>
      </c>
      <c r="H523" s="65" t="str">
        <f>IFERROR(IF('Informe Kelly'!H516=$A$2,'Informe Kelly'!F516,""),0)</f>
        <v/>
      </c>
      <c r="I523" s="65">
        <f>IFERROR(IF('Informe Kelly'!H516=$A$3,'Informe Kelly'!F516,""),0)</f>
        <v>0.80834490740740739</v>
      </c>
      <c r="J523" s="65">
        <f>IF(IFERROR(IF(E523=E522,0,(HLOOKUP(D523,Ingreso!$AN$10:$AT$260,VLOOKUP(A523,Ingreso!$AL$11:$AM$260,2,FALSE)))/24),0)=0,"",IFERROR(IF(E523=E522,0,(HLOOKUP(D523,Ingreso!$AN$10:$AT$260,VLOOKUP(A523,Ingreso!$AL$11:$AM$260,2,FALSE)))/24),0))</f>
        <v>8.3333333333333329E-2</v>
      </c>
      <c r="K523" s="65" t="str">
        <f>IF(IFERROR(IF(E523=E522,0,(HLOOKUP(C523,Ingreso!$AW$10:$BC$260,VLOOKUP(A523,Ingreso!$AL$11:$AM$260,2,FALSE)))/24),0)=0,"",IFERROR(IF(E523=E522,0,(HLOOKUP(C523,Ingreso!$AW$10:$BC$260,VLOOKUP(A523,Ingreso!$AL$11:$AM$260,2,FALSE)))/24),0))</f>
        <v/>
      </c>
      <c r="L523" s="63">
        <f t="shared" si="16"/>
        <v>0.41666666666666669</v>
      </c>
      <c r="M523" s="63" t="str">
        <f>IF(IFERROR(IF(C523=C521,0,IF(E523=E522,0,IF(C523=$R$2,HLOOKUP($R$2,Ingreso!$AW$10:$BC$260,VLOOKUP(A523,Ingreso!AL:AM,2,FALSE),FALSE)/24,""))),"")=0,"",IFERROR(IF(C523=C521,0,IF(E523=E522,0,IF(C523=$R$2,HLOOKUP($R$2,Ingreso!$AW$10:$BC$260,VLOOKUP(A523,Ingreso!AL:AM,2,FALSE),FALSE)/24,""))),""))</f>
        <v/>
      </c>
      <c r="N523" s="95" t="str">
        <f>IF(IFERROR(IF(C523=C521,0,IF(E523=E522,0,IF(C523=$R$3,HLOOKUP($R$3,Ingreso!$AW$10:$BC$260,VLOOKUP(A523,Ingreso!AL:AM,2,FALSE),FALSE)/24,""))),"")=0,"",IFERROR(IF(C523=C521,0,IF(E523=E522,0,IF(C523=$R$3,HLOOKUP($R$3,Ingreso!$AW$10:$BC$260,VLOOKUP(A523,Ingreso!AL:AM,2,FALSE),FALSE)/24,""))),""))</f>
        <v/>
      </c>
      <c r="O523" s="95" t="str">
        <f>IF(IFERROR(IF(C523=C521,0,IF(E523=E522,0,IF(C523=$R$4,HLOOKUP($R$4,Ingreso!$AW$10:$BC$260,VLOOKUP(A523,Ingreso!AL:AM,2,FALSE),FALSE)/24,""))),"")=0,"",IFERROR(IF(C523=C521,0,IF(E523=E522,0,IF(C523=$R$4,HLOOKUP($R$4,Ingreso!$AW$10:$BC$260,VLOOKUP(A523,Ingreso!AL:AM,2,FALSE),FALSE)/24,""))),""))</f>
        <v/>
      </c>
      <c r="P523" s="90"/>
      <c r="V523"/>
      <c r="W523"/>
      <c r="X523"/>
      <c r="Y523"/>
      <c r="Z523"/>
      <c r="AA523"/>
      <c r="AB523"/>
      <c r="AC523"/>
      <c r="AD523"/>
    </row>
    <row r="524" spans="1:30">
      <c r="A524" s="65" t="str">
        <f>IFERROR(VLOOKUP('Informe Kelly'!A517,Base!A:B,2,FALSE),"")</f>
        <v>11.523.497-8</v>
      </c>
      <c r="B524" s="65" t="str">
        <f>IFERROR(VLOOKUP('Informe Kelly'!A517,Base!A:G,7,FALSE),"")</f>
        <v>NARVAI DIAZ LUIS</v>
      </c>
      <c r="C524" s="69" t="str">
        <f>IF(G524=$C$4,IF('Informe Kelly'!H517='Control informe Kelly'!$A$2,TEXT(((LEFT('Informe Kelly'!E517,2)*1)+1),"dd")&amp;"."&amp;MID('Informe Kelly'!E517,4,2)&amp;"."&amp;RIGHT('Informe Kelly'!E517,4),'Informe Kelly'!E517),'Informe Kelly'!E517)</f>
        <v>14.04.2011</v>
      </c>
      <c r="D524" s="69" t="str">
        <f>IF('Informe Kelly'!E517="","",'Informe Kelly'!E517)</f>
        <v>14.04.2011</v>
      </c>
      <c r="E524" s="72">
        <f t="shared" si="17"/>
        <v>263</v>
      </c>
      <c r="F524" s="72" t="str">
        <f>IFERROR(HLOOKUP(C524,Ingreso!$Q$8:$AD$9,2,FALSE),"v")</f>
        <v>Jueves</v>
      </c>
      <c r="G524" s="65" t="str">
        <f>IFERROR(VLOOKUP(A524,Ingreso!K:P,6,FALSE),"no esta ingresado")</f>
        <v>Admin</v>
      </c>
      <c r="H524" s="65">
        <f>IFERROR(IF('Informe Kelly'!H517=$A$2,'Informe Kelly'!F517,""),0)</f>
        <v>0.30615740740740743</v>
      </c>
      <c r="I524" s="65" t="str">
        <f>IFERROR(IF('Informe Kelly'!H517=$A$3,'Informe Kelly'!F517,""),0)</f>
        <v/>
      </c>
      <c r="J524" s="65" t="str">
        <f>IF(IFERROR(IF(E524=E523,0,(HLOOKUP(D524,Ingreso!$AN$10:$AT$260,VLOOKUP(A524,Ingreso!$AL$11:$AM$260,2,FALSE)))/24),0)=0,"",IFERROR(IF(E524=E523,0,(HLOOKUP(D524,Ingreso!$AN$10:$AT$260,VLOOKUP(A524,Ingreso!$AL$11:$AM$260,2,FALSE)))/24),0))</f>
        <v/>
      </c>
      <c r="K524" s="65" t="str">
        <f>IF(IFERROR(IF(E524=E523,0,(HLOOKUP(C524,Ingreso!$AW$10:$BC$260,VLOOKUP(A524,Ingreso!$AL$11:$AM$260,2,FALSE)))/24),0)=0,"",IFERROR(IF(E524=E523,0,(HLOOKUP(C524,Ingreso!$AW$10:$BC$260,VLOOKUP(A524,Ingreso!$AL$11:$AM$260,2,FALSE)))/24),0))</f>
        <v/>
      </c>
      <c r="L524" s="63">
        <f t="shared" si="16"/>
        <v>0</v>
      </c>
      <c r="M524" s="63" t="str">
        <f>IF(IFERROR(IF(C524=C522,0,IF(E524=E523,0,IF(C524=$R$2,HLOOKUP($R$2,Ingreso!$AW$10:$BC$260,VLOOKUP(A524,Ingreso!AL:AM,2,FALSE),FALSE)/24,""))),"")=0,"",IFERROR(IF(C524=C522,0,IF(E524=E523,0,IF(C524=$R$2,HLOOKUP($R$2,Ingreso!$AW$10:$BC$260,VLOOKUP(A524,Ingreso!AL:AM,2,FALSE),FALSE)/24,""))),""))</f>
        <v/>
      </c>
      <c r="N524" s="95" t="str">
        <f>IF(IFERROR(IF(C524=C522,0,IF(E524=E523,0,IF(C524=$R$3,HLOOKUP($R$3,Ingreso!$AW$10:$BC$260,VLOOKUP(A524,Ingreso!AL:AM,2,FALSE),FALSE)/24,""))),"")=0,"",IFERROR(IF(C524=C522,0,IF(E524=E523,0,IF(C524=$R$3,HLOOKUP($R$3,Ingreso!$AW$10:$BC$260,VLOOKUP(A524,Ingreso!AL:AM,2,FALSE),FALSE)/24,""))),""))</f>
        <v/>
      </c>
      <c r="O524" s="95" t="str">
        <f>IF(IFERROR(IF(C524=C522,0,IF(E524=E523,0,IF(C524=$R$4,HLOOKUP($R$4,Ingreso!$AW$10:$BC$260,VLOOKUP(A524,Ingreso!AL:AM,2,FALSE),FALSE)/24,""))),"")=0,"",IFERROR(IF(C524=C522,0,IF(E524=E523,0,IF(C524=$R$4,HLOOKUP($R$4,Ingreso!$AW$10:$BC$260,VLOOKUP(A524,Ingreso!AL:AM,2,FALSE),FALSE)/24,""))),""))</f>
        <v/>
      </c>
      <c r="P524" s="90"/>
      <c r="V524"/>
      <c r="W524"/>
      <c r="X524"/>
      <c r="Y524"/>
      <c r="Z524"/>
      <c r="AA524"/>
      <c r="AB524"/>
      <c r="AC524"/>
      <c r="AD524"/>
    </row>
    <row r="525" spans="1:30">
      <c r="A525" s="65" t="str">
        <f>IFERROR(VLOOKUP('Informe Kelly'!A518,Base!A:B,2,FALSE),"")</f>
        <v>11.523.497-8</v>
      </c>
      <c r="B525" s="65" t="str">
        <f>IFERROR(VLOOKUP('Informe Kelly'!A518,Base!A:G,7,FALSE),"")</f>
        <v>NARVAI DIAZ LUIS</v>
      </c>
      <c r="C525" s="69" t="str">
        <f>IF(G525=$C$4,IF('Informe Kelly'!H518='Control informe Kelly'!$A$2,TEXT(((LEFT('Informe Kelly'!E518,2)*1)+1),"dd")&amp;"."&amp;MID('Informe Kelly'!E518,4,2)&amp;"."&amp;RIGHT('Informe Kelly'!E518,4),'Informe Kelly'!E518),'Informe Kelly'!E518)</f>
        <v>15.04.2011</v>
      </c>
      <c r="D525" s="69" t="str">
        <f>IF('Informe Kelly'!E518="","",'Informe Kelly'!E518)</f>
        <v>15.04.2011</v>
      </c>
      <c r="E525" s="72">
        <f t="shared" si="17"/>
        <v>264</v>
      </c>
      <c r="F525" s="72" t="str">
        <f>IFERROR(HLOOKUP(C525,Ingreso!$Q$8:$AD$9,2,FALSE),"v")</f>
        <v>Viernes</v>
      </c>
      <c r="G525" s="65" t="str">
        <f>IFERROR(VLOOKUP(A525,Ingreso!K:P,6,FALSE),"no esta ingresado")</f>
        <v>Admin</v>
      </c>
      <c r="H525" s="65" t="str">
        <f>IFERROR(IF('Informe Kelly'!H518=$A$2,'Informe Kelly'!F518,""),0)</f>
        <v/>
      </c>
      <c r="I525" s="65">
        <f>IFERROR(IF('Informe Kelly'!H518=$A$3,'Informe Kelly'!F518,""),0)</f>
        <v>0.81415509259259267</v>
      </c>
      <c r="J525" s="65">
        <f>IF(IFERROR(IF(E525=E524,0,(HLOOKUP(D525,Ingreso!$AN$10:$AT$260,VLOOKUP(A525,Ingreso!$AL$11:$AM$260,2,FALSE)))/24),0)=0,"",IFERROR(IF(E525=E524,0,(HLOOKUP(D525,Ingreso!$AN$10:$AT$260,VLOOKUP(A525,Ingreso!$AL$11:$AM$260,2,FALSE)))/24),0))</f>
        <v>8.3333333333333329E-2</v>
      </c>
      <c r="K525" s="65" t="str">
        <f>IF(IFERROR(IF(E525=E524,0,(HLOOKUP(C525,Ingreso!$AW$10:$BC$260,VLOOKUP(A525,Ingreso!$AL$11:$AM$260,2,FALSE)))/24),0)=0,"",IFERROR(IF(E525=E524,0,(HLOOKUP(C525,Ingreso!$AW$10:$BC$260,VLOOKUP(A525,Ingreso!$AL$11:$AM$260,2,FALSE)))/24),0))</f>
        <v/>
      </c>
      <c r="L525" s="63">
        <f t="shared" si="16"/>
        <v>0.41666666666666669</v>
      </c>
      <c r="M525" s="63" t="str">
        <f>IF(IFERROR(IF(C525=C523,0,IF(E525=E524,0,IF(C525=$R$2,HLOOKUP($R$2,Ingreso!$AW$10:$BC$260,VLOOKUP(A525,Ingreso!AL:AM,2,FALSE),FALSE)/24,""))),"")=0,"",IFERROR(IF(C525=C523,0,IF(E525=E524,0,IF(C525=$R$2,HLOOKUP($R$2,Ingreso!$AW$10:$BC$260,VLOOKUP(A525,Ingreso!AL:AM,2,FALSE),FALSE)/24,""))),""))</f>
        <v/>
      </c>
      <c r="N525" s="95" t="str">
        <f>IF(IFERROR(IF(C525=C523,0,IF(E525=E524,0,IF(C525=$R$3,HLOOKUP($R$3,Ingreso!$AW$10:$BC$260,VLOOKUP(A525,Ingreso!AL:AM,2,FALSE),FALSE)/24,""))),"")=0,"",IFERROR(IF(C525=C523,0,IF(E525=E524,0,IF(C525=$R$3,HLOOKUP($R$3,Ingreso!$AW$10:$BC$260,VLOOKUP(A525,Ingreso!AL:AM,2,FALSE),FALSE)/24,""))),""))</f>
        <v/>
      </c>
      <c r="O525" s="95" t="str">
        <f>IF(IFERROR(IF(C525=C523,0,IF(E525=E524,0,IF(C525=$R$4,HLOOKUP($R$4,Ingreso!$AW$10:$BC$260,VLOOKUP(A525,Ingreso!AL:AM,2,FALSE),FALSE)/24,""))),"")=0,"",IFERROR(IF(C525=C523,0,IF(E525=E524,0,IF(C525=$R$4,HLOOKUP($R$4,Ingreso!$AW$10:$BC$260,VLOOKUP(A525,Ingreso!AL:AM,2,FALSE),FALSE)/24,""))),""))</f>
        <v/>
      </c>
      <c r="P525" s="90"/>
      <c r="V525"/>
      <c r="W525"/>
      <c r="X525"/>
      <c r="Y525"/>
      <c r="Z525"/>
      <c r="AA525"/>
      <c r="AB525"/>
      <c r="AC525"/>
      <c r="AD525"/>
    </row>
    <row r="526" spans="1:30">
      <c r="A526" s="65" t="str">
        <f>IFERROR(VLOOKUP('Informe Kelly'!A519,Base!A:B,2,FALSE),"")</f>
        <v>11.523.497-8</v>
      </c>
      <c r="B526" s="65" t="str">
        <f>IFERROR(VLOOKUP('Informe Kelly'!A519,Base!A:G,7,FALSE),"")</f>
        <v>NARVAI DIAZ LUIS</v>
      </c>
      <c r="C526" s="69" t="str">
        <f>IF(G526=$C$4,IF('Informe Kelly'!H519='Control informe Kelly'!$A$2,TEXT(((LEFT('Informe Kelly'!E519,2)*1)+1),"dd")&amp;"."&amp;MID('Informe Kelly'!E519,4,2)&amp;"."&amp;RIGHT('Informe Kelly'!E519,4),'Informe Kelly'!E519),'Informe Kelly'!E519)</f>
        <v>15.04.2011</v>
      </c>
      <c r="D526" s="69" t="str">
        <f>IF('Informe Kelly'!E519="","",'Informe Kelly'!E519)</f>
        <v>15.04.2011</v>
      </c>
      <c r="E526" s="72">
        <f t="shared" si="17"/>
        <v>264</v>
      </c>
      <c r="F526" s="72" t="str">
        <f>IFERROR(HLOOKUP(C526,Ingreso!$Q$8:$AD$9,2,FALSE),"v")</f>
        <v>Viernes</v>
      </c>
      <c r="G526" s="65" t="str">
        <f>IFERROR(VLOOKUP(A526,Ingreso!K:P,6,FALSE),"no esta ingresado")</f>
        <v>Admin</v>
      </c>
      <c r="H526" s="65">
        <f>IFERROR(IF('Informe Kelly'!H519=$A$2,'Informe Kelly'!F519,""),0)</f>
        <v>0.30197916666666663</v>
      </c>
      <c r="I526" s="65" t="str">
        <f>IFERROR(IF('Informe Kelly'!H519=$A$3,'Informe Kelly'!F519,""),0)</f>
        <v/>
      </c>
      <c r="J526" s="65" t="str">
        <f>IF(IFERROR(IF(E526=E525,0,(HLOOKUP(D526,Ingreso!$AN$10:$AT$260,VLOOKUP(A526,Ingreso!$AL$11:$AM$260,2,FALSE)))/24),0)=0,"",IFERROR(IF(E526=E525,0,(HLOOKUP(D526,Ingreso!$AN$10:$AT$260,VLOOKUP(A526,Ingreso!$AL$11:$AM$260,2,FALSE)))/24),0))</f>
        <v/>
      </c>
      <c r="K526" s="65" t="str">
        <f>IF(IFERROR(IF(E526=E525,0,(HLOOKUP(C526,Ingreso!$AW$10:$BC$260,VLOOKUP(A526,Ingreso!$AL$11:$AM$260,2,FALSE)))/24),0)=0,"",IFERROR(IF(E526=E525,0,(HLOOKUP(C526,Ingreso!$AW$10:$BC$260,VLOOKUP(A526,Ingreso!$AL$11:$AM$260,2,FALSE)))/24),0))</f>
        <v/>
      </c>
      <c r="L526" s="63">
        <f t="shared" si="16"/>
        <v>0</v>
      </c>
      <c r="M526" s="63" t="str">
        <f>IF(IFERROR(IF(C526=C524,0,IF(E526=E525,0,IF(C526=$R$2,HLOOKUP($R$2,Ingreso!$AW$10:$BC$260,VLOOKUP(A526,Ingreso!AL:AM,2,FALSE),FALSE)/24,""))),"")=0,"",IFERROR(IF(C526=C524,0,IF(E526=E525,0,IF(C526=$R$2,HLOOKUP($R$2,Ingreso!$AW$10:$BC$260,VLOOKUP(A526,Ingreso!AL:AM,2,FALSE),FALSE)/24,""))),""))</f>
        <v/>
      </c>
      <c r="N526" s="95" t="str">
        <f>IF(IFERROR(IF(C526=C524,0,IF(E526=E525,0,IF(C526=$R$3,HLOOKUP($R$3,Ingreso!$AW$10:$BC$260,VLOOKUP(A526,Ingreso!AL:AM,2,FALSE),FALSE)/24,""))),"")=0,"",IFERROR(IF(C526=C524,0,IF(E526=E525,0,IF(C526=$R$3,HLOOKUP($R$3,Ingreso!$AW$10:$BC$260,VLOOKUP(A526,Ingreso!AL:AM,2,FALSE),FALSE)/24,""))),""))</f>
        <v/>
      </c>
      <c r="O526" s="95" t="str">
        <f>IF(IFERROR(IF(C526=C524,0,IF(E526=E525,0,IF(C526=$R$4,HLOOKUP($R$4,Ingreso!$AW$10:$BC$260,VLOOKUP(A526,Ingreso!AL:AM,2,FALSE),FALSE)/24,""))),"")=0,"",IFERROR(IF(C526=C524,0,IF(E526=E525,0,IF(C526=$R$4,HLOOKUP($R$4,Ingreso!$AW$10:$BC$260,VLOOKUP(A526,Ingreso!AL:AM,2,FALSE),FALSE)/24,""))),""))</f>
        <v/>
      </c>
      <c r="P526" s="90"/>
      <c r="V526"/>
      <c r="W526"/>
      <c r="X526"/>
      <c r="Y526"/>
      <c r="Z526"/>
      <c r="AA526"/>
      <c r="AB526"/>
      <c r="AC526"/>
      <c r="AD526"/>
    </row>
    <row r="527" spans="1:30">
      <c r="A527" s="65" t="str">
        <f>IFERROR(VLOOKUP('Informe Kelly'!A520,Base!A:B,2,FALSE),"")</f>
        <v>11.656.057-7</v>
      </c>
      <c r="B527" s="65" t="str">
        <f>IFERROR(VLOOKUP('Informe Kelly'!A520,Base!A:G,7,FALSE),"")</f>
        <v>IBAÑEZ GRANIFO PAOLO CESAR</v>
      </c>
      <c r="C527" s="69" t="str">
        <f>IF(G527=$C$4,IF('Informe Kelly'!H520='Control informe Kelly'!$A$2,TEXT(((LEFT('Informe Kelly'!E520,2)*1)+1),"dd")&amp;"."&amp;MID('Informe Kelly'!E520,4,2)&amp;"."&amp;RIGHT('Informe Kelly'!E520,4),'Informe Kelly'!E520),'Informe Kelly'!E520)</f>
        <v>12.04.2011</v>
      </c>
      <c r="D527" s="69" t="str">
        <f>IF('Informe Kelly'!E520="","",'Informe Kelly'!E520)</f>
        <v>11.04.2011</v>
      </c>
      <c r="E527" s="72">
        <f t="shared" si="17"/>
        <v>265</v>
      </c>
      <c r="F527" s="72" t="str">
        <f>IFERROR(HLOOKUP(C527,Ingreso!$Q$8:$AD$9,2,FALSE),"v")</f>
        <v>Martes</v>
      </c>
      <c r="G527" s="65" t="str">
        <f>IFERROR(VLOOKUP(A527,Ingreso!K:P,6,FALSE),"no esta ingresado")</f>
        <v>Turno C</v>
      </c>
      <c r="H527" s="65">
        <f>IFERROR(IF('Informe Kelly'!H520=$A$2,'Informe Kelly'!F520,""),0)</f>
        <v>0.92013888888888884</v>
      </c>
      <c r="I527" s="65" t="str">
        <f>IFERROR(IF('Informe Kelly'!H520=$A$3,'Informe Kelly'!F520,""),0)</f>
        <v/>
      </c>
      <c r="J527" s="65" t="str">
        <f>IF(IFERROR(IF(E527=E526,0,(HLOOKUP(D527,Ingreso!$AN$10:$AT$260,VLOOKUP(A527,Ingreso!$AL$11:$AM$260,2,FALSE)))/24),0)=0,"",IFERROR(IF(E527=E526,0,(HLOOKUP(D527,Ingreso!$AN$10:$AT$260,VLOOKUP(A527,Ingreso!$AL$11:$AM$260,2,FALSE)))/24),0))</f>
        <v/>
      </c>
      <c r="K527" s="65" t="str">
        <f>IF(IFERROR(IF(E527=E526,0,(HLOOKUP(C527,Ingreso!$AW$10:$BC$260,VLOOKUP(A527,Ingreso!$AL$11:$AM$260,2,FALSE)))/24),0)=0,"",IFERROR(IF(E527=E526,0,(HLOOKUP(C527,Ingreso!$AW$10:$BC$260,VLOOKUP(A527,Ingreso!$AL$11:$AM$260,2,FALSE)))/24),0))</f>
        <v/>
      </c>
      <c r="L527" s="63">
        <f t="shared" si="16"/>
        <v>0.375</v>
      </c>
      <c r="M527" s="63" t="str">
        <f>IF(IFERROR(IF(C527=C525,0,IF(E527=E526,0,IF(C527=$R$2,HLOOKUP($R$2,Ingreso!$AW$10:$BC$260,VLOOKUP(A527,Ingreso!AL:AM,2,FALSE),FALSE)/24,""))),"")=0,"",IFERROR(IF(C527=C525,0,IF(E527=E526,0,IF(C527=$R$2,HLOOKUP($R$2,Ingreso!$AW$10:$BC$260,VLOOKUP(A527,Ingreso!AL:AM,2,FALSE),FALSE)/24,""))),""))</f>
        <v/>
      </c>
      <c r="N527" s="95" t="str">
        <f>IF(IFERROR(IF(C527=C525,0,IF(E527=E526,0,IF(C527=$R$3,HLOOKUP($R$3,Ingreso!$AW$10:$BC$260,VLOOKUP(A527,Ingreso!AL:AM,2,FALSE),FALSE)/24,""))),"")=0,"",IFERROR(IF(C527=C525,0,IF(E527=E526,0,IF(C527=$R$3,HLOOKUP($R$3,Ingreso!$AW$10:$BC$260,VLOOKUP(A527,Ingreso!AL:AM,2,FALSE),FALSE)/24,""))),""))</f>
        <v/>
      </c>
      <c r="O527" s="95" t="str">
        <f>IF(IFERROR(IF(C527=C525,0,IF(E527=E526,0,IF(C527=$R$4,HLOOKUP($R$4,Ingreso!$AW$10:$BC$260,VLOOKUP(A527,Ingreso!AL:AM,2,FALSE),FALSE)/24,""))),"")=0,"",IFERROR(IF(C527=C525,0,IF(E527=E526,0,IF(C527=$R$4,HLOOKUP($R$4,Ingreso!$AW$10:$BC$260,VLOOKUP(A527,Ingreso!AL:AM,2,FALSE),FALSE)/24,""))),""))</f>
        <v/>
      </c>
      <c r="P527" s="90"/>
      <c r="V527"/>
      <c r="W527"/>
      <c r="X527"/>
      <c r="Y527"/>
      <c r="Z527"/>
      <c r="AA527"/>
      <c r="AB527"/>
      <c r="AC527"/>
      <c r="AD527"/>
    </row>
    <row r="528" spans="1:30">
      <c r="A528" s="65" t="str">
        <f>IFERROR(VLOOKUP('Informe Kelly'!A521,Base!A:B,2,FALSE),"")</f>
        <v>11.656.057-7</v>
      </c>
      <c r="B528" s="65" t="str">
        <f>IFERROR(VLOOKUP('Informe Kelly'!A521,Base!A:G,7,FALSE),"")</f>
        <v>IBAÑEZ GRANIFO PAOLO CESAR</v>
      </c>
      <c r="C528" s="69" t="str">
        <f>IF(G528=$C$4,IF('Informe Kelly'!H521='Control informe Kelly'!$A$2,TEXT(((LEFT('Informe Kelly'!E521,2)*1)+1),"dd")&amp;"."&amp;MID('Informe Kelly'!E521,4,2)&amp;"."&amp;RIGHT('Informe Kelly'!E521,4),'Informe Kelly'!E521),'Informe Kelly'!E521)</f>
        <v>12.04.2011</v>
      </c>
      <c r="D528" s="69" t="str">
        <f>IF('Informe Kelly'!E521="","",'Informe Kelly'!E521)</f>
        <v>12.04.2011</v>
      </c>
      <c r="E528" s="72">
        <f t="shared" si="17"/>
        <v>265</v>
      </c>
      <c r="F528" s="72" t="str">
        <f>IFERROR(HLOOKUP(C528,Ingreso!$Q$8:$AD$9,2,FALSE),"v")</f>
        <v>Martes</v>
      </c>
      <c r="G528" s="65" t="str">
        <f>IFERROR(VLOOKUP(A528,Ingreso!K:P,6,FALSE),"no esta ingresado")</f>
        <v>Turno C</v>
      </c>
      <c r="H528" s="65" t="str">
        <f>IFERROR(IF('Informe Kelly'!H521=$A$2,'Informe Kelly'!F521,""),0)</f>
        <v/>
      </c>
      <c r="I528" s="65">
        <f>IFERROR(IF('Informe Kelly'!H521=$A$3,'Informe Kelly'!F521,""),0)</f>
        <v>0.32199074074074074</v>
      </c>
      <c r="J528" s="65" t="str">
        <f>IF(IFERROR(IF(E528=E527,0,(HLOOKUP(D528,Ingreso!$AN$10:$AT$260,VLOOKUP(A528,Ingreso!$AL$11:$AM$260,2,FALSE)))/24),0)=0,"",IFERROR(IF(E528=E527,0,(HLOOKUP(D528,Ingreso!$AN$10:$AT$260,VLOOKUP(A528,Ingreso!$AL$11:$AM$260,2,FALSE)))/24),0))</f>
        <v/>
      </c>
      <c r="K528" s="65" t="str">
        <f>IF(IFERROR(IF(E528=E527,0,(HLOOKUP(C528,Ingreso!$AW$10:$BC$260,VLOOKUP(A528,Ingreso!$AL$11:$AM$260,2,FALSE)))/24),0)=0,"",IFERROR(IF(E528=E527,0,(HLOOKUP(C528,Ingreso!$AW$10:$BC$260,VLOOKUP(A528,Ingreso!$AL$11:$AM$260,2,FALSE)))/24),0))</f>
        <v/>
      </c>
      <c r="L528" s="63">
        <f t="shared" si="16"/>
        <v>0</v>
      </c>
      <c r="M528" s="63" t="str">
        <f>IF(IFERROR(IF(C528=C526,0,IF(E528=E527,0,IF(C528=$R$2,HLOOKUP($R$2,Ingreso!$AW$10:$BC$260,VLOOKUP(A528,Ingreso!AL:AM,2,FALSE),FALSE)/24,""))),"")=0,"",IFERROR(IF(C528=C526,0,IF(E528=E527,0,IF(C528=$R$2,HLOOKUP($R$2,Ingreso!$AW$10:$BC$260,VLOOKUP(A528,Ingreso!AL:AM,2,FALSE),FALSE)/24,""))),""))</f>
        <v/>
      </c>
      <c r="N528" s="95" t="str">
        <f>IF(IFERROR(IF(C528=C526,0,IF(E528=E527,0,IF(C528=$R$3,HLOOKUP($R$3,Ingreso!$AW$10:$BC$260,VLOOKUP(A528,Ingreso!AL:AM,2,FALSE),FALSE)/24,""))),"")=0,"",IFERROR(IF(C528=C526,0,IF(E528=E527,0,IF(C528=$R$3,HLOOKUP($R$3,Ingreso!$AW$10:$BC$260,VLOOKUP(A528,Ingreso!AL:AM,2,FALSE),FALSE)/24,""))),""))</f>
        <v/>
      </c>
      <c r="O528" s="95" t="str">
        <f>IF(IFERROR(IF(C528=C526,0,IF(E528=E527,0,IF(C528=$R$4,HLOOKUP($R$4,Ingreso!$AW$10:$BC$260,VLOOKUP(A528,Ingreso!AL:AM,2,FALSE),FALSE)/24,""))),"")=0,"",IFERROR(IF(C528=C526,0,IF(E528=E527,0,IF(C528=$R$4,HLOOKUP($R$4,Ingreso!$AW$10:$BC$260,VLOOKUP(A528,Ingreso!AL:AM,2,FALSE),FALSE)/24,""))),""))</f>
        <v/>
      </c>
      <c r="P528" s="90"/>
      <c r="V528"/>
      <c r="W528"/>
      <c r="X528"/>
      <c r="Y528"/>
      <c r="Z528"/>
      <c r="AA528"/>
      <c r="AB528"/>
      <c r="AC528"/>
      <c r="AD528"/>
    </row>
    <row r="529" spans="1:30">
      <c r="A529" s="65" t="str">
        <f>IFERROR(VLOOKUP('Informe Kelly'!A522,Base!A:B,2,FALSE),"")</f>
        <v>11.656.057-7</v>
      </c>
      <c r="B529" s="65" t="str">
        <f>IFERROR(VLOOKUP('Informe Kelly'!A522,Base!A:G,7,FALSE),"")</f>
        <v>IBAÑEZ GRANIFO PAOLO CESAR</v>
      </c>
      <c r="C529" s="69" t="str">
        <f>IF(G529=$C$4,IF('Informe Kelly'!H522='Control informe Kelly'!$A$2,TEXT(((LEFT('Informe Kelly'!E522,2)*1)+1),"dd")&amp;"."&amp;MID('Informe Kelly'!E522,4,2)&amp;"."&amp;RIGHT('Informe Kelly'!E522,4),'Informe Kelly'!E522),'Informe Kelly'!E522)</f>
        <v>13.04.2011</v>
      </c>
      <c r="D529" s="69" t="str">
        <f>IF('Informe Kelly'!E522="","",'Informe Kelly'!E522)</f>
        <v>12.04.2011</v>
      </c>
      <c r="E529" s="72">
        <f t="shared" si="17"/>
        <v>266</v>
      </c>
      <c r="F529" s="72" t="str">
        <f>IFERROR(HLOOKUP(C529,Ingreso!$Q$8:$AD$9,2,FALSE),"v")</f>
        <v>Miércoles</v>
      </c>
      <c r="G529" s="65" t="str">
        <f>IFERROR(VLOOKUP(A529,Ingreso!K:P,6,FALSE),"no esta ingresado")</f>
        <v>Turno C</v>
      </c>
      <c r="H529" s="65">
        <f>IFERROR(IF('Informe Kelly'!H522=$A$2,'Informe Kelly'!F522,""),0)</f>
        <v>0.9199652777777777</v>
      </c>
      <c r="I529" s="65" t="str">
        <f>IFERROR(IF('Informe Kelly'!H522=$A$3,'Informe Kelly'!F522,""),0)</f>
        <v/>
      </c>
      <c r="J529" s="65" t="str">
        <f>IF(IFERROR(IF(E529=E528,0,(HLOOKUP(D529,Ingreso!$AN$10:$AT$260,VLOOKUP(A529,Ingreso!$AL$11:$AM$260,2,FALSE)))/24),0)=0,"",IFERROR(IF(E529=E528,0,(HLOOKUP(D529,Ingreso!$AN$10:$AT$260,VLOOKUP(A529,Ingreso!$AL$11:$AM$260,2,FALSE)))/24),0))</f>
        <v/>
      </c>
      <c r="K529" s="65" t="str">
        <f>IF(IFERROR(IF(E529=E528,0,(HLOOKUP(C529,Ingreso!$AW$10:$BC$260,VLOOKUP(A529,Ingreso!$AL$11:$AM$260,2,FALSE)))/24),0)=0,"",IFERROR(IF(E529=E528,0,(HLOOKUP(C529,Ingreso!$AW$10:$BC$260,VLOOKUP(A529,Ingreso!$AL$11:$AM$260,2,FALSE)))/24),0))</f>
        <v/>
      </c>
      <c r="L529" s="63">
        <f t="shared" si="16"/>
        <v>0.375</v>
      </c>
      <c r="M529" s="63" t="str">
        <f>IF(IFERROR(IF(C529=C527,0,IF(E529=E528,0,IF(C529=$R$2,HLOOKUP($R$2,Ingreso!$AW$10:$BC$260,VLOOKUP(A529,Ingreso!AL:AM,2,FALSE),FALSE)/24,""))),"")=0,"",IFERROR(IF(C529=C527,0,IF(E529=E528,0,IF(C529=$R$2,HLOOKUP($R$2,Ingreso!$AW$10:$BC$260,VLOOKUP(A529,Ingreso!AL:AM,2,FALSE),FALSE)/24,""))),""))</f>
        <v/>
      </c>
      <c r="N529" s="95" t="str">
        <f>IF(IFERROR(IF(C529=C527,0,IF(E529=E528,0,IF(C529=$R$3,HLOOKUP($R$3,Ingreso!$AW$10:$BC$260,VLOOKUP(A529,Ingreso!AL:AM,2,FALSE),FALSE)/24,""))),"")=0,"",IFERROR(IF(C529=C527,0,IF(E529=E528,0,IF(C529=$R$3,HLOOKUP($R$3,Ingreso!$AW$10:$BC$260,VLOOKUP(A529,Ingreso!AL:AM,2,FALSE),FALSE)/24,""))),""))</f>
        <v/>
      </c>
      <c r="O529" s="95" t="str">
        <f>IF(IFERROR(IF(C529=C527,0,IF(E529=E528,0,IF(C529=$R$4,HLOOKUP($R$4,Ingreso!$AW$10:$BC$260,VLOOKUP(A529,Ingreso!AL:AM,2,FALSE),FALSE)/24,""))),"")=0,"",IFERROR(IF(C529=C527,0,IF(E529=E528,0,IF(C529=$R$4,HLOOKUP($R$4,Ingreso!$AW$10:$BC$260,VLOOKUP(A529,Ingreso!AL:AM,2,FALSE),FALSE)/24,""))),""))</f>
        <v/>
      </c>
      <c r="P529" s="90"/>
      <c r="V529"/>
      <c r="W529"/>
      <c r="X529"/>
      <c r="Y529"/>
      <c r="Z529"/>
      <c r="AA529"/>
      <c r="AB529"/>
      <c r="AC529"/>
      <c r="AD529"/>
    </row>
    <row r="530" spans="1:30">
      <c r="A530" s="65" t="str">
        <f>IFERROR(VLOOKUP('Informe Kelly'!A523,Base!A:B,2,FALSE),"")</f>
        <v>11.656.057-7</v>
      </c>
      <c r="B530" s="65" t="str">
        <f>IFERROR(VLOOKUP('Informe Kelly'!A523,Base!A:G,7,FALSE),"")</f>
        <v>IBAÑEZ GRANIFO PAOLO CESAR</v>
      </c>
      <c r="C530" s="69" t="str">
        <f>IF(G530=$C$4,IF('Informe Kelly'!H523='Control informe Kelly'!$A$2,TEXT(((LEFT('Informe Kelly'!E523,2)*1)+1),"dd")&amp;"."&amp;MID('Informe Kelly'!E523,4,2)&amp;"."&amp;RIGHT('Informe Kelly'!E523,4),'Informe Kelly'!E523),'Informe Kelly'!E523)</f>
        <v>13.04.2011</v>
      </c>
      <c r="D530" s="69" t="str">
        <f>IF('Informe Kelly'!E523="","",'Informe Kelly'!E523)</f>
        <v>13.04.2011</v>
      </c>
      <c r="E530" s="72">
        <f t="shared" si="17"/>
        <v>266</v>
      </c>
      <c r="F530" s="72" t="str">
        <f>IFERROR(HLOOKUP(C530,Ingreso!$Q$8:$AD$9,2,FALSE),"v")</f>
        <v>Miércoles</v>
      </c>
      <c r="G530" s="65" t="str">
        <f>IFERROR(VLOOKUP(A530,Ingreso!K:P,6,FALSE),"no esta ingresado")</f>
        <v>Turno C</v>
      </c>
      <c r="H530" s="65" t="str">
        <f>IFERROR(IF('Informe Kelly'!H523=$A$2,'Informe Kelly'!F523,""),0)</f>
        <v/>
      </c>
      <c r="I530" s="65">
        <f>IFERROR(IF('Informe Kelly'!H523=$A$3,'Informe Kelly'!F523,""),0)</f>
        <v>0.3259259259259259</v>
      </c>
      <c r="J530" s="65" t="str">
        <f>IF(IFERROR(IF(E530=E529,0,(HLOOKUP(D530,Ingreso!$AN$10:$AT$260,VLOOKUP(A530,Ingreso!$AL$11:$AM$260,2,FALSE)))/24),0)=0,"",IFERROR(IF(E530=E529,0,(HLOOKUP(D530,Ingreso!$AN$10:$AT$260,VLOOKUP(A530,Ingreso!$AL$11:$AM$260,2,FALSE)))/24),0))</f>
        <v/>
      </c>
      <c r="K530" s="65" t="str">
        <f>IF(IFERROR(IF(E530=E529,0,(HLOOKUP(C530,Ingreso!$AW$10:$BC$260,VLOOKUP(A530,Ingreso!$AL$11:$AM$260,2,FALSE)))/24),0)=0,"",IFERROR(IF(E530=E529,0,(HLOOKUP(C530,Ingreso!$AW$10:$BC$260,VLOOKUP(A530,Ingreso!$AL$11:$AM$260,2,FALSE)))/24),0))</f>
        <v/>
      </c>
      <c r="L530" s="63">
        <f t="shared" si="16"/>
        <v>0</v>
      </c>
      <c r="M530" s="63" t="str">
        <f>IF(IFERROR(IF(C530=C528,0,IF(E530=E529,0,IF(C530=$R$2,HLOOKUP($R$2,Ingreso!$AW$10:$BC$260,VLOOKUP(A530,Ingreso!AL:AM,2,FALSE),FALSE)/24,""))),"")=0,"",IFERROR(IF(C530=C528,0,IF(E530=E529,0,IF(C530=$R$2,HLOOKUP($R$2,Ingreso!$AW$10:$BC$260,VLOOKUP(A530,Ingreso!AL:AM,2,FALSE),FALSE)/24,""))),""))</f>
        <v/>
      </c>
      <c r="N530" s="95" t="str">
        <f>IF(IFERROR(IF(C530=C528,0,IF(E530=E529,0,IF(C530=$R$3,HLOOKUP($R$3,Ingreso!$AW$10:$BC$260,VLOOKUP(A530,Ingreso!AL:AM,2,FALSE),FALSE)/24,""))),"")=0,"",IFERROR(IF(C530=C528,0,IF(E530=E529,0,IF(C530=$R$3,HLOOKUP($R$3,Ingreso!$AW$10:$BC$260,VLOOKUP(A530,Ingreso!AL:AM,2,FALSE),FALSE)/24,""))),""))</f>
        <v/>
      </c>
      <c r="O530" s="95" t="str">
        <f>IF(IFERROR(IF(C530=C528,0,IF(E530=E529,0,IF(C530=$R$4,HLOOKUP($R$4,Ingreso!$AW$10:$BC$260,VLOOKUP(A530,Ingreso!AL:AM,2,FALSE),FALSE)/24,""))),"")=0,"",IFERROR(IF(C530=C528,0,IF(E530=E529,0,IF(C530=$R$4,HLOOKUP($R$4,Ingreso!$AW$10:$BC$260,VLOOKUP(A530,Ingreso!AL:AM,2,FALSE),FALSE)/24,""))),""))</f>
        <v/>
      </c>
      <c r="P530" s="90"/>
      <c r="V530"/>
      <c r="W530"/>
      <c r="X530"/>
      <c r="Y530"/>
      <c r="Z530"/>
      <c r="AA530"/>
      <c r="AB530"/>
      <c r="AC530"/>
      <c r="AD530"/>
    </row>
    <row r="531" spans="1:30">
      <c r="A531" s="65" t="str">
        <f>IFERROR(VLOOKUP('Informe Kelly'!A524,Base!A:B,2,FALSE),"")</f>
        <v>11.656.057-7</v>
      </c>
      <c r="B531" s="65" t="str">
        <f>IFERROR(VLOOKUP('Informe Kelly'!A524,Base!A:G,7,FALSE),"")</f>
        <v>IBAÑEZ GRANIFO PAOLO CESAR</v>
      </c>
      <c r="C531" s="69" t="str">
        <f>IF(G531=$C$4,IF('Informe Kelly'!H524='Control informe Kelly'!$A$2,TEXT(((LEFT('Informe Kelly'!E524,2)*1)+1),"dd")&amp;"."&amp;MID('Informe Kelly'!E524,4,2)&amp;"."&amp;RIGHT('Informe Kelly'!E524,4),'Informe Kelly'!E524),'Informe Kelly'!E524)</f>
        <v>14.04.2011</v>
      </c>
      <c r="D531" s="69" t="str">
        <f>IF('Informe Kelly'!E524="","",'Informe Kelly'!E524)</f>
        <v>13.04.2011</v>
      </c>
      <c r="E531" s="72">
        <f t="shared" si="17"/>
        <v>267</v>
      </c>
      <c r="F531" s="72" t="str">
        <f>IFERROR(HLOOKUP(C531,Ingreso!$Q$8:$AD$9,2,FALSE),"v")</f>
        <v>Jueves</v>
      </c>
      <c r="G531" s="65" t="str">
        <f>IFERROR(VLOOKUP(A531,Ingreso!K:P,6,FALSE),"no esta ingresado")</f>
        <v>Turno C</v>
      </c>
      <c r="H531" s="65">
        <f>IFERROR(IF('Informe Kelly'!H524=$A$2,'Informe Kelly'!F524,""),0)</f>
        <v>0.91923611111111114</v>
      </c>
      <c r="I531" s="65" t="str">
        <f>IFERROR(IF('Informe Kelly'!H524=$A$3,'Informe Kelly'!F524,""),0)</f>
        <v/>
      </c>
      <c r="J531" s="65" t="str">
        <f>IF(IFERROR(IF(E531=E530,0,(HLOOKUP(D531,Ingreso!$AN$10:$AT$260,VLOOKUP(A531,Ingreso!$AL$11:$AM$260,2,FALSE)))/24),0)=0,"",IFERROR(IF(E531=E530,0,(HLOOKUP(D531,Ingreso!$AN$10:$AT$260,VLOOKUP(A531,Ingreso!$AL$11:$AM$260,2,FALSE)))/24),0))</f>
        <v/>
      </c>
      <c r="K531" s="65" t="str">
        <f>IF(IFERROR(IF(E531=E530,0,(HLOOKUP(C531,Ingreso!$AW$10:$BC$260,VLOOKUP(A531,Ingreso!$AL$11:$AM$260,2,FALSE)))/24),0)=0,"",IFERROR(IF(E531=E530,0,(HLOOKUP(C531,Ingreso!$AW$10:$BC$260,VLOOKUP(A531,Ingreso!$AL$11:$AM$260,2,FALSE)))/24),0))</f>
        <v/>
      </c>
      <c r="L531" s="63">
        <f t="shared" si="16"/>
        <v>0.375</v>
      </c>
      <c r="M531" s="63" t="str">
        <f>IF(IFERROR(IF(C531=C529,0,IF(E531=E530,0,IF(C531=$R$2,HLOOKUP($R$2,Ingreso!$AW$10:$BC$260,VLOOKUP(A531,Ingreso!AL:AM,2,FALSE),FALSE)/24,""))),"")=0,"",IFERROR(IF(C531=C529,0,IF(E531=E530,0,IF(C531=$R$2,HLOOKUP($R$2,Ingreso!$AW$10:$BC$260,VLOOKUP(A531,Ingreso!AL:AM,2,FALSE),FALSE)/24,""))),""))</f>
        <v/>
      </c>
      <c r="N531" s="95" t="str">
        <f>IF(IFERROR(IF(C531=C529,0,IF(E531=E530,0,IF(C531=$R$3,HLOOKUP($R$3,Ingreso!$AW$10:$BC$260,VLOOKUP(A531,Ingreso!AL:AM,2,FALSE),FALSE)/24,""))),"")=0,"",IFERROR(IF(C531=C529,0,IF(E531=E530,0,IF(C531=$R$3,HLOOKUP($R$3,Ingreso!$AW$10:$BC$260,VLOOKUP(A531,Ingreso!AL:AM,2,FALSE),FALSE)/24,""))),""))</f>
        <v/>
      </c>
      <c r="O531" s="95" t="str">
        <f>IF(IFERROR(IF(C531=C529,0,IF(E531=E530,0,IF(C531=$R$4,HLOOKUP($R$4,Ingreso!$AW$10:$BC$260,VLOOKUP(A531,Ingreso!AL:AM,2,FALSE),FALSE)/24,""))),"")=0,"",IFERROR(IF(C531=C529,0,IF(E531=E530,0,IF(C531=$R$4,HLOOKUP($R$4,Ingreso!$AW$10:$BC$260,VLOOKUP(A531,Ingreso!AL:AM,2,FALSE),FALSE)/24,""))),""))</f>
        <v/>
      </c>
      <c r="P531" s="90"/>
      <c r="V531"/>
      <c r="W531"/>
      <c r="X531"/>
      <c r="Y531"/>
      <c r="Z531"/>
      <c r="AA531"/>
      <c r="AB531"/>
      <c r="AC531"/>
      <c r="AD531"/>
    </row>
    <row r="532" spans="1:30">
      <c r="A532" s="65" t="str">
        <f>IFERROR(VLOOKUP('Informe Kelly'!A525,Base!A:B,2,FALSE),"")</f>
        <v>11.656.057-7</v>
      </c>
      <c r="B532" s="65" t="str">
        <f>IFERROR(VLOOKUP('Informe Kelly'!A525,Base!A:G,7,FALSE),"")</f>
        <v>IBAÑEZ GRANIFO PAOLO CESAR</v>
      </c>
      <c r="C532" s="69" t="str">
        <f>IF(G532=$C$4,IF('Informe Kelly'!H525='Control informe Kelly'!$A$2,TEXT(((LEFT('Informe Kelly'!E525,2)*1)+1),"dd")&amp;"."&amp;MID('Informe Kelly'!E525,4,2)&amp;"."&amp;RIGHT('Informe Kelly'!E525,4),'Informe Kelly'!E525),'Informe Kelly'!E525)</f>
        <v>14.04.2011</v>
      </c>
      <c r="D532" s="69" t="str">
        <f>IF('Informe Kelly'!E525="","",'Informe Kelly'!E525)</f>
        <v>14.04.2011</v>
      </c>
      <c r="E532" s="72">
        <f t="shared" si="17"/>
        <v>267</v>
      </c>
      <c r="F532" s="72" t="str">
        <f>IFERROR(HLOOKUP(C532,Ingreso!$Q$8:$AD$9,2,FALSE),"v")</f>
        <v>Jueves</v>
      </c>
      <c r="G532" s="65" t="str">
        <f>IFERROR(VLOOKUP(A532,Ingreso!K:P,6,FALSE),"no esta ingresado")</f>
        <v>Turno C</v>
      </c>
      <c r="H532" s="65" t="str">
        <f>IFERROR(IF('Informe Kelly'!H525=$A$2,'Informe Kelly'!F525,""),0)</f>
        <v/>
      </c>
      <c r="I532" s="65">
        <f>IFERROR(IF('Informe Kelly'!H525=$A$3,'Informe Kelly'!F525,""),0)</f>
        <v>0.32678240740740744</v>
      </c>
      <c r="J532" s="65" t="str">
        <f>IF(IFERROR(IF(E532=E531,0,(HLOOKUP(D532,Ingreso!$AN$10:$AT$260,VLOOKUP(A532,Ingreso!$AL$11:$AM$260,2,FALSE)))/24),0)=0,"",IFERROR(IF(E532=E531,0,(HLOOKUP(D532,Ingreso!$AN$10:$AT$260,VLOOKUP(A532,Ingreso!$AL$11:$AM$260,2,FALSE)))/24),0))</f>
        <v/>
      </c>
      <c r="K532" s="65" t="str">
        <f>IF(IFERROR(IF(E532=E531,0,(HLOOKUP(C532,Ingreso!$AW$10:$BC$260,VLOOKUP(A532,Ingreso!$AL$11:$AM$260,2,FALSE)))/24),0)=0,"",IFERROR(IF(E532=E531,0,(HLOOKUP(C532,Ingreso!$AW$10:$BC$260,VLOOKUP(A532,Ingreso!$AL$11:$AM$260,2,FALSE)))/24),0))</f>
        <v/>
      </c>
      <c r="L532" s="63">
        <f t="shared" si="16"/>
        <v>0</v>
      </c>
      <c r="M532" s="63" t="str">
        <f>IF(IFERROR(IF(C532=C530,0,IF(E532=E531,0,IF(C532=$R$2,HLOOKUP($R$2,Ingreso!$AW$10:$BC$260,VLOOKUP(A532,Ingreso!AL:AM,2,FALSE),FALSE)/24,""))),"")=0,"",IFERROR(IF(C532=C530,0,IF(E532=E531,0,IF(C532=$R$2,HLOOKUP($R$2,Ingreso!$AW$10:$BC$260,VLOOKUP(A532,Ingreso!AL:AM,2,FALSE),FALSE)/24,""))),""))</f>
        <v/>
      </c>
      <c r="N532" s="95" t="str">
        <f>IF(IFERROR(IF(C532=C530,0,IF(E532=E531,0,IF(C532=$R$3,HLOOKUP($R$3,Ingreso!$AW$10:$BC$260,VLOOKUP(A532,Ingreso!AL:AM,2,FALSE),FALSE)/24,""))),"")=0,"",IFERROR(IF(C532=C530,0,IF(E532=E531,0,IF(C532=$R$3,HLOOKUP($R$3,Ingreso!$AW$10:$BC$260,VLOOKUP(A532,Ingreso!AL:AM,2,FALSE),FALSE)/24,""))),""))</f>
        <v/>
      </c>
      <c r="O532" s="95" t="str">
        <f>IF(IFERROR(IF(C532=C530,0,IF(E532=E531,0,IF(C532=$R$4,HLOOKUP($R$4,Ingreso!$AW$10:$BC$260,VLOOKUP(A532,Ingreso!AL:AM,2,FALSE),FALSE)/24,""))),"")=0,"",IFERROR(IF(C532=C530,0,IF(E532=E531,0,IF(C532=$R$4,HLOOKUP($R$4,Ingreso!$AW$10:$BC$260,VLOOKUP(A532,Ingreso!AL:AM,2,FALSE),FALSE)/24,""))),""))</f>
        <v/>
      </c>
      <c r="P532" s="90"/>
      <c r="V532"/>
      <c r="W532"/>
      <c r="X532"/>
      <c r="Y532"/>
      <c r="Z532"/>
      <c r="AA532"/>
      <c r="AB532"/>
      <c r="AC532"/>
      <c r="AD532"/>
    </row>
    <row r="533" spans="1:30">
      <c r="A533" s="65" t="str">
        <f>IFERROR(VLOOKUP('Informe Kelly'!A526,Base!A:B,2,FALSE),"")</f>
        <v>11.656.057-7</v>
      </c>
      <c r="B533" s="65" t="str">
        <f>IFERROR(VLOOKUP('Informe Kelly'!A526,Base!A:G,7,FALSE),"")</f>
        <v>IBAÑEZ GRANIFO PAOLO CESAR</v>
      </c>
      <c r="C533" s="69" t="str">
        <f>IF(G533=$C$4,IF('Informe Kelly'!H526='Control informe Kelly'!$A$2,TEXT(((LEFT('Informe Kelly'!E526,2)*1)+1),"dd")&amp;"."&amp;MID('Informe Kelly'!E526,4,2)&amp;"."&amp;RIGHT('Informe Kelly'!E526,4),'Informe Kelly'!E526),'Informe Kelly'!E526)</f>
        <v>15.04.2011</v>
      </c>
      <c r="D533" s="69" t="str">
        <f>IF('Informe Kelly'!E526="","",'Informe Kelly'!E526)</f>
        <v>14.04.2011</v>
      </c>
      <c r="E533" s="72">
        <f t="shared" si="17"/>
        <v>268</v>
      </c>
      <c r="F533" s="72" t="str">
        <f>IFERROR(HLOOKUP(C533,Ingreso!$Q$8:$AD$9,2,FALSE),"v")</f>
        <v>Viernes</v>
      </c>
      <c r="G533" s="65" t="str">
        <f>IFERROR(VLOOKUP(A533,Ingreso!K:P,6,FALSE),"no esta ingresado")</f>
        <v>Turno C</v>
      </c>
      <c r="H533" s="65">
        <f>IFERROR(IF('Informe Kelly'!H526=$A$2,'Informe Kelly'!F526,""),0)</f>
        <v>0.92137731481481477</v>
      </c>
      <c r="I533" s="65" t="str">
        <f>IFERROR(IF('Informe Kelly'!H526=$A$3,'Informe Kelly'!F526,""),0)</f>
        <v/>
      </c>
      <c r="J533" s="65" t="str">
        <f>IF(IFERROR(IF(E533=E532,0,(HLOOKUP(D533,Ingreso!$AN$10:$AT$260,VLOOKUP(A533,Ingreso!$AL$11:$AM$260,2,FALSE)))/24),0)=0,"",IFERROR(IF(E533=E532,0,(HLOOKUP(D533,Ingreso!$AN$10:$AT$260,VLOOKUP(A533,Ingreso!$AL$11:$AM$260,2,FALSE)))/24),0))</f>
        <v/>
      </c>
      <c r="K533" s="65" t="str">
        <f>IF(IFERROR(IF(E533=E532,0,(HLOOKUP(C533,Ingreso!$AW$10:$BC$260,VLOOKUP(A533,Ingreso!$AL$11:$AM$260,2,FALSE)))/24),0)=0,"",IFERROR(IF(E533=E532,0,(HLOOKUP(C533,Ingreso!$AW$10:$BC$260,VLOOKUP(A533,Ingreso!$AL$11:$AM$260,2,FALSE)))/24),0))</f>
        <v/>
      </c>
      <c r="L533" s="63">
        <f t="shared" si="16"/>
        <v>0.375</v>
      </c>
      <c r="M533" s="63" t="str">
        <f>IF(IFERROR(IF(C533=C531,0,IF(E533=E532,0,IF(C533=$R$2,HLOOKUP($R$2,Ingreso!$AW$10:$BC$260,VLOOKUP(A533,Ingreso!AL:AM,2,FALSE),FALSE)/24,""))),"")=0,"",IFERROR(IF(C533=C531,0,IF(E533=E532,0,IF(C533=$R$2,HLOOKUP($R$2,Ingreso!$AW$10:$BC$260,VLOOKUP(A533,Ingreso!AL:AM,2,FALSE),FALSE)/24,""))),""))</f>
        <v/>
      </c>
      <c r="N533" s="95" t="str">
        <f>IF(IFERROR(IF(C533=C531,0,IF(E533=E532,0,IF(C533=$R$3,HLOOKUP($R$3,Ingreso!$AW$10:$BC$260,VLOOKUP(A533,Ingreso!AL:AM,2,FALSE),FALSE)/24,""))),"")=0,"",IFERROR(IF(C533=C531,0,IF(E533=E532,0,IF(C533=$R$3,HLOOKUP($R$3,Ingreso!$AW$10:$BC$260,VLOOKUP(A533,Ingreso!AL:AM,2,FALSE),FALSE)/24,""))),""))</f>
        <v/>
      </c>
      <c r="O533" s="95" t="str">
        <f>IF(IFERROR(IF(C533=C531,0,IF(E533=E532,0,IF(C533=$R$4,HLOOKUP($R$4,Ingreso!$AW$10:$BC$260,VLOOKUP(A533,Ingreso!AL:AM,2,FALSE),FALSE)/24,""))),"")=0,"",IFERROR(IF(C533=C531,0,IF(E533=E532,0,IF(C533=$R$4,HLOOKUP($R$4,Ingreso!$AW$10:$BC$260,VLOOKUP(A533,Ingreso!AL:AM,2,FALSE),FALSE)/24,""))),""))</f>
        <v/>
      </c>
      <c r="P533" s="90"/>
      <c r="V533"/>
      <c r="W533"/>
      <c r="X533"/>
      <c r="Y533"/>
      <c r="Z533"/>
      <c r="AA533"/>
      <c r="AB533"/>
      <c r="AC533"/>
      <c r="AD533"/>
    </row>
    <row r="534" spans="1:30">
      <c r="A534" s="65" t="str">
        <f>IFERROR(VLOOKUP('Informe Kelly'!A527,Base!A:B,2,FALSE),"")</f>
        <v>11.656.057-7</v>
      </c>
      <c r="B534" s="65" t="str">
        <f>IFERROR(VLOOKUP('Informe Kelly'!A527,Base!A:G,7,FALSE),"")</f>
        <v>IBAÑEZ GRANIFO PAOLO CESAR</v>
      </c>
      <c r="C534" s="69" t="str">
        <f>IF(G534=$C$4,IF('Informe Kelly'!H527='Control informe Kelly'!$A$2,TEXT(((LEFT('Informe Kelly'!E527,2)*1)+1),"dd")&amp;"."&amp;MID('Informe Kelly'!E527,4,2)&amp;"."&amp;RIGHT('Informe Kelly'!E527,4),'Informe Kelly'!E527),'Informe Kelly'!E527)</f>
        <v>15.04.2011</v>
      </c>
      <c r="D534" s="69" t="str">
        <f>IF('Informe Kelly'!E527="","",'Informe Kelly'!E527)</f>
        <v>15.04.2011</v>
      </c>
      <c r="E534" s="72">
        <f t="shared" si="17"/>
        <v>268</v>
      </c>
      <c r="F534" s="72" t="str">
        <f>IFERROR(HLOOKUP(C534,Ingreso!$Q$8:$AD$9,2,FALSE),"v")</f>
        <v>Viernes</v>
      </c>
      <c r="G534" s="65" t="str">
        <f>IFERROR(VLOOKUP(A534,Ingreso!K:P,6,FALSE),"no esta ingresado")</f>
        <v>Turno C</v>
      </c>
      <c r="H534" s="65" t="str">
        <f>IFERROR(IF('Informe Kelly'!H527=$A$2,'Informe Kelly'!F527,""),0)</f>
        <v/>
      </c>
      <c r="I534" s="65">
        <f>IFERROR(IF('Informe Kelly'!H527=$A$3,'Informe Kelly'!F527,""),0)</f>
        <v>0.32297453703703705</v>
      </c>
      <c r="J534" s="65" t="str">
        <f>IF(IFERROR(IF(E534=E533,0,(HLOOKUP(D534,Ingreso!$AN$10:$AT$260,VLOOKUP(A534,Ingreso!$AL$11:$AM$260,2,FALSE)))/24),0)=0,"",IFERROR(IF(E534=E533,0,(HLOOKUP(D534,Ingreso!$AN$10:$AT$260,VLOOKUP(A534,Ingreso!$AL$11:$AM$260,2,FALSE)))/24),0))</f>
        <v/>
      </c>
      <c r="K534" s="65" t="str">
        <f>IF(IFERROR(IF(E534=E533,0,(HLOOKUP(C534,Ingreso!$AW$10:$BC$260,VLOOKUP(A534,Ingreso!$AL$11:$AM$260,2,FALSE)))/24),0)=0,"",IFERROR(IF(E534=E533,0,(HLOOKUP(C534,Ingreso!$AW$10:$BC$260,VLOOKUP(A534,Ingreso!$AL$11:$AM$260,2,FALSE)))/24),0))</f>
        <v/>
      </c>
      <c r="L534" s="63">
        <f t="shared" si="16"/>
        <v>0</v>
      </c>
      <c r="M534" s="63" t="str">
        <f>IF(IFERROR(IF(C534=C532,0,IF(E534=E533,0,IF(C534=$R$2,HLOOKUP($R$2,Ingreso!$AW$10:$BC$260,VLOOKUP(A534,Ingreso!AL:AM,2,FALSE),FALSE)/24,""))),"")=0,"",IFERROR(IF(C534=C532,0,IF(E534=E533,0,IF(C534=$R$2,HLOOKUP($R$2,Ingreso!$AW$10:$BC$260,VLOOKUP(A534,Ingreso!AL:AM,2,FALSE),FALSE)/24,""))),""))</f>
        <v/>
      </c>
      <c r="N534" s="95" t="str">
        <f>IF(IFERROR(IF(C534=C532,0,IF(E534=E533,0,IF(C534=$R$3,HLOOKUP($R$3,Ingreso!$AW$10:$BC$260,VLOOKUP(A534,Ingreso!AL:AM,2,FALSE),FALSE)/24,""))),"")=0,"",IFERROR(IF(C534=C532,0,IF(E534=E533,0,IF(C534=$R$3,HLOOKUP($R$3,Ingreso!$AW$10:$BC$260,VLOOKUP(A534,Ingreso!AL:AM,2,FALSE),FALSE)/24,""))),""))</f>
        <v/>
      </c>
      <c r="O534" s="95" t="str">
        <f>IF(IFERROR(IF(C534=C532,0,IF(E534=E533,0,IF(C534=$R$4,HLOOKUP($R$4,Ingreso!$AW$10:$BC$260,VLOOKUP(A534,Ingreso!AL:AM,2,FALSE),FALSE)/24,""))),"")=0,"",IFERROR(IF(C534=C532,0,IF(E534=E533,0,IF(C534=$R$4,HLOOKUP($R$4,Ingreso!$AW$10:$BC$260,VLOOKUP(A534,Ingreso!AL:AM,2,FALSE),FALSE)/24,""))),""))</f>
        <v/>
      </c>
      <c r="P534" s="90"/>
      <c r="V534"/>
      <c r="W534"/>
      <c r="X534"/>
      <c r="Y534"/>
      <c r="Z534"/>
      <c r="AA534"/>
      <c r="AB534"/>
      <c r="AC534"/>
      <c r="AD534"/>
    </row>
    <row r="535" spans="1:30">
      <c r="A535" s="65" t="str">
        <f>IFERROR(VLOOKUP('Informe Kelly'!A528,Base!A:B,2,FALSE),"")</f>
        <v>11.656.057-7</v>
      </c>
      <c r="B535" s="65" t="str">
        <f>IFERROR(VLOOKUP('Informe Kelly'!A528,Base!A:G,7,FALSE),"")</f>
        <v>IBAÑEZ GRANIFO PAOLO CESAR</v>
      </c>
      <c r="C535" s="69" t="str">
        <f>IF(G535=$C$4,IF('Informe Kelly'!H528='Control informe Kelly'!$A$2,TEXT(((LEFT('Informe Kelly'!E528,2)*1)+1),"dd")&amp;"."&amp;MID('Informe Kelly'!E528,4,2)&amp;"."&amp;RIGHT('Informe Kelly'!E528,4),'Informe Kelly'!E528),'Informe Kelly'!E528)</f>
        <v>16.04.2011</v>
      </c>
      <c r="D535" s="69" t="str">
        <f>IF('Informe Kelly'!E528="","",'Informe Kelly'!E528)</f>
        <v>15.04.2011</v>
      </c>
      <c r="E535" s="72">
        <f t="shared" si="17"/>
        <v>269</v>
      </c>
      <c r="F535" s="72" t="str">
        <f>IFERROR(HLOOKUP(C535,Ingreso!$Q$8:$AD$9,2,FALSE),"v")</f>
        <v>Sábado</v>
      </c>
      <c r="G535" s="65" t="str">
        <f>IFERROR(VLOOKUP(A535,Ingreso!K:P,6,FALSE),"no esta ingresado")</f>
        <v>Turno C</v>
      </c>
      <c r="H535" s="65">
        <f>IFERROR(IF('Informe Kelly'!H528=$A$2,'Informe Kelly'!F528,""),0)</f>
        <v>0.92123842592592586</v>
      </c>
      <c r="I535" s="65" t="str">
        <f>IFERROR(IF('Informe Kelly'!H528=$A$3,'Informe Kelly'!F528,""),0)</f>
        <v/>
      </c>
      <c r="J535" s="65" t="str">
        <f>IF(IFERROR(IF(E535=E534,0,(HLOOKUP(D535,Ingreso!$AN$10:$AT$260,VLOOKUP(A535,Ingreso!$AL$11:$AM$260,2,FALSE)))/24),0)=0,"",IFERROR(IF(E535=E534,0,(HLOOKUP(D535,Ingreso!$AN$10:$AT$260,VLOOKUP(A535,Ingreso!$AL$11:$AM$260,2,FALSE)))/24),0))</f>
        <v/>
      </c>
      <c r="K535" s="65" t="str">
        <f>IF(IFERROR(IF(E535=E534,0,(HLOOKUP(C535,Ingreso!$AW$10:$BC$260,VLOOKUP(A535,Ingreso!$AL$11:$AM$260,2,FALSE)))/24),0)=0,"",IFERROR(IF(E535=E534,0,(HLOOKUP(C535,Ingreso!$AW$10:$BC$260,VLOOKUP(A535,Ingreso!$AL$11:$AM$260,2,FALSE)))/24),0))</f>
        <v/>
      </c>
      <c r="L535" s="63">
        <f t="shared" si="16"/>
        <v>0.375</v>
      </c>
      <c r="M535" s="63" t="str">
        <f>IF(IFERROR(IF(C535=C533,0,IF(E535=E534,0,IF(C535=$R$2,HLOOKUP($R$2,Ingreso!$AW$10:$BC$260,VLOOKUP(A535,Ingreso!AL:AM,2,FALSE),FALSE)/24,""))),"")=0,"",IFERROR(IF(C535=C533,0,IF(E535=E534,0,IF(C535=$R$2,HLOOKUP($R$2,Ingreso!$AW$10:$BC$260,VLOOKUP(A535,Ingreso!AL:AM,2,FALSE),FALSE)/24,""))),""))</f>
        <v/>
      </c>
      <c r="N535" s="95" t="str">
        <f>IF(IFERROR(IF(C535=C533,0,IF(E535=E534,0,IF(C535=$R$3,HLOOKUP($R$3,Ingreso!$AW$10:$BC$260,VLOOKUP(A535,Ingreso!AL:AM,2,FALSE),FALSE)/24,""))),"")=0,"",IFERROR(IF(C535=C533,0,IF(E535=E534,0,IF(C535=$R$3,HLOOKUP($R$3,Ingreso!$AW$10:$BC$260,VLOOKUP(A535,Ingreso!AL:AM,2,FALSE),FALSE)/24,""))),""))</f>
        <v/>
      </c>
      <c r="O535" s="95" t="str">
        <f>IF(IFERROR(IF(C535=C533,0,IF(E535=E534,0,IF(C535=$R$4,HLOOKUP($R$4,Ingreso!$AW$10:$BC$260,VLOOKUP(A535,Ingreso!AL:AM,2,FALSE),FALSE)/24,""))),"")=0,"",IFERROR(IF(C535=C533,0,IF(E535=E534,0,IF(C535=$R$4,HLOOKUP($R$4,Ingreso!$AW$10:$BC$260,VLOOKUP(A535,Ingreso!AL:AM,2,FALSE),FALSE)/24,""))),""))</f>
        <v/>
      </c>
      <c r="P535" s="90"/>
      <c r="V535"/>
      <c r="W535"/>
      <c r="X535"/>
      <c r="Y535"/>
      <c r="Z535"/>
      <c r="AA535"/>
      <c r="AB535"/>
      <c r="AC535"/>
      <c r="AD535"/>
    </row>
    <row r="536" spans="1:30">
      <c r="A536" s="65" t="str">
        <f>IFERROR(VLOOKUP('Informe Kelly'!A529,Base!A:B,2,FALSE),"")</f>
        <v>11.656.057-7</v>
      </c>
      <c r="B536" s="65" t="str">
        <f>IFERROR(VLOOKUP('Informe Kelly'!A529,Base!A:G,7,FALSE),"")</f>
        <v>IBAÑEZ GRANIFO PAOLO CESAR</v>
      </c>
      <c r="C536" s="69" t="str">
        <f>IF(G536=$C$4,IF('Informe Kelly'!H529='Control informe Kelly'!$A$2,TEXT(((LEFT('Informe Kelly'!E529,2)*1)+1),"dd")&amp;"."&amp;MID('Informe Kelly'!E529,4,2)&amp;"."&amp;RIGHT('Informe Kelly'!E529,4),'Informe Kelly'!E529),'Informe Kelly'!E529)</f>
        <v>16.04.2011</v>
      </c>
      <c r="D536" s="69" t="str">
        <f>IF('Informe Kelly'!E529="","",'Informe Kelly'!E529)</f>
        <v>16.04.2011</v>
      </c>
      <c r="E536" s="72">
        <f t="shared" si="17"/>
        <v>269</v>
      </c>
      <c r="F536" s="72" t="str">
        <f>IFERROR(HLOOKUP(C536,Ingreso!$Q$8:$AD$9,2,FALSE),"v")</f>
        <v>Sábado</v>
      </c>
      <c r="G536" s="65" t="str">
        <f>IFERROR(VLOOKUP(A536,Ingreso!K:P,6,FALSE),"no esta ingresado")</f>
        <v>Turno C</v>
      </c>
      <c r="H536" s="65" t="str">
        <f>IFERROR(IF('Informe Kelly'!H529=$A$2,'Informe Kelly'!F529,""),0)</f>
        <v/>
      </c>
      <c r="I536" s="65">
        <f>IFERROR(IF('Informe Kelly'!H529=$A$3,'Informe Kelly'!F529,""),0)</f>
        <v>0.3210763888888889</v>
      </c>
      <c r="J536" s="65" t="str">
        <f>IF(IFERROR(IF(E536=E535,0,(HLOOKUP(D536,Ingreso!$AN$10:$AT$260,VLOOKUP(A536,Ingreso!$AL$11:$AM$260,2,FALSE)))/24),0)=0,"",IFERROR(IF(E536=E535,0,(HLOOKUP(D536,Ingreso!$AN$10:$AT$260,VLOOKUP(A536,Ingreso!$AL$11:$AM$260,2,FALSE)))/24),0))</f>
        <v/>
      </c>
      <c r="K536" s="65" t="str">
        <f>IF(IFERROR(IF(E536=E535,0,(HLOOKUP(C536,Ingreso!$AW$10:$BC$260,VLOOKUP(A536,Ingreso!$AL$11:$AM$260,2,FALSE)))/24),0)=0,"",IFERROR(IF(E536=E535,0,(HLOOKUP(C536,Ingreso!$AW$10:$BC$260,VLOOKUP(A536,Ingreso!$AL$11:$AM$260,2,FALSE)))/24),0))</f>
        <v/>
      </c>
      <c r="L536" s="63">
        <f t="shared" si="16"/>
        <v>0</v>
      </c>
      <c r="M536" s="63" t="str">
        <f>IF(IFERROR(IF(C536=C534,0,IF(E536=E535,0,IF(C536=$R$2,HLOOKUP($R$2,Ingreso!$AW$10:$BC$260,VLOOKUP(A536,Ingreso!AL:AM,2,FALSE),FALSE)/24,""))),"")=0,"",IFERROR(IF(C536=C534,0,IF(E536=E535,0,IF(C536=$R$2,HLOOKUP($R$2,Ingreso!$AW$10:$BC$260,VLOOKUP(A536,Ingreso!AL:AM,2,FALSE),FALSE)/24,""))),""))</f>
        <v/>
      </c>
      <c r="N536" s="95" t="str">
        <f>IF(IFERROR(IF(C536=C534,0,IF(E536=E535,0,IF(C536=$R$3,HLOOKUP($R$3,Ingreso!$AW$10:$BC$260,VLOOKUP(A536,Ingreso!AL:AM,2,FALSE),FALSE)/24,""))),"")=0,"",IFERROR(IF(C536=C534,0,IF(E536=E535,0,IF(C536=$R$3,HLOOKUP($R$3,Ingreso!$AW$10:$BC$260,VLOOKUP(A536,Ingreso!AL:AM,2,FALSE),FALSE)/24,""))),""))</f>
        <v/>
      </c>
      <c r="O536" s="95" t="str">
        <f>IF(IFERROR(IF(C536=C534,0,IF(E536=E535,0,IF(C536=$R$4,HLOOKUP($R$4,Ingreso!$AW$10:$BC$260,VLOOKUP(A536,Ingreso!AL:AM,2,FALSE),FALSE)/24,""))),"")=0,"",IFERROR(IF(C536=C534,0,IF(E536=E535,0,IF(C536=$R$4,HLOOKUP($R$4,Ingreso!$AW$10:$BC$260,VLOOKUP(A536,Ingreso!AL:AM,2,FALSE),FALSE)/24,""))),""))</f>
        <v/>
      </c>
      <c r="P536" s="90"/>
      <c r="V536"/>
      <c r="W536"/>
      <c r="X536"/>
      <c r="Y536"/>
      <c r="Z536"/>
      <c r="AA536"/>
      <c r="AB536"/>
      <c r="AC536"/>
      <c r="AD536"/>
    </row>
    <row r="537" spans="1:30">
      <c r="A537" s="65" t="str">
        <f>IFERROR(VLOOKUP('Informe Kelly'!A530,Base!A:B,2,FALSE),"")</f>
        <v>11.659.510-9</v>
      </c>
      <c r="B537" s="65" t="str">
        <f>IFERROR(VLOOKUP('Informe Kelly'!A530,Base!A:G,7,FALSE),"")</f>
        <v>MUÑOZ MUÑOZ CLAUDIO ARTURO</v>
      </c>
      <c r="C537" s="69" t="str">
        <f>IF(G537=$C$4,IF('Informe Kelly'!H530='Control informe Kelly'!$A$2,TEXT(((LEFT('Informe Kelly'!E530,2)*1)+1),"dd")&amp;"."&amp;MID('Informe Kelly'!E530,4,2)&amp;"."&amp;RIGHT('Informe Kelly'!E530,4),'Informe Kelly'!E530),'Informe Kelly'!E530)</f>
        <v>11.04.2011</v>
      </c>
      <c r="D537" s="69" t="str">
        <f>IF('Informe Kelly'!E530="","",'Informe Kelly'!E530)</f>
        <v>11.04.2011</v>
      </c>
      <c r="E537" s="72">
        <f t="shared" si="17"/>
        <v>270</v>
      </c>
      <c r="F537" s="72" t="str">
        <f>IFERROR(HLOOKUP(C537,Ingreso!$Q$8:$AD$9,2,FALSE),"v")</f>
        <v>Lunes</v>
      </c>
      <c r="G537" s="65" t="str">
        <f>IFERROR(VLOOKUP(A537,Ingreso!K:P,6,FALSE),"no esta ingresado")</f>
        <v>Turno B</v>
      </c>
      <c r="H537" s="65" t="str">
        <f>IFERROR(IF('Informe Kelly'!H530=$A$2,'Informe Kelly'!F530,""),0)</f>
        <v/>
      </c>
      <c r="I537" s="65">
        <f>IFERROR(IF('Informe Kelly'!H530=$A$3,'Informe Kelly'!F530,""),0)</f>
        <v>0.94127314814814811</v>
      </c>
      <c r="J537" s="65" t="str">
        <f>IF(IFERROR(IF(E537=E536,0,(HLOOKUP(D537,Ingreso!$AN$10:$AT$260,VLOOKUP(A537,Ingreso!$AL$11:$AM$260,2,FALSE)))/24),0)=0,"",IFERROR(IF(E537=E536,0,(HLOOKUP(D537,Ingreso!$AN$10:$AT$260,VLOOKUP(A537,Ingreso!$AL$11:$AM$260,2,FALSE)))/24),0))</f>
        <v/>
      </c>
      <c r="K537" s="65" t="str">
        <f>IF(IFERROR(IF(E537=E536,0,(HLOOKUP(C537,Ingreso!$AW$10:$BC$260,VLOOKUP(A537,Ingreso!$AL$11:$AM$260,2,FALSE)))/24),0)=0,"",IFERROR(IF(E537=E536,0,(HLOOKUP(C537,Ingreso!$AW$10:$BC$260,VLOOKUP(A537,Ingreso!$AL$11:$AM$260,2,FALSE)))/24),0))</f>
        <v/>
      </c>
      <c r="L537" s="63">
        <f t="shared" si="16"/>
        <v>0.3125</v>
      </c>
      <c r="M537" s="63" t="str">
        <f>IF(IFERROR(IF(C537=C535,0,IF(E537=E536,0,IF(C537=$R$2,HLOOKUP($R$2,Ingreso!$AW$10:$BC$260,VLOOKUP(A537,Ingreso!AL:AM,2,FALSE),FALSE)/24,""))),"")=0,"",IFERROR(IF(C537=C535,0,IF(E537=E536,0,IF(C537=$R$2,HLOOKUP($R$2,Ingreso!$AW$10:$BC$260,VLOOKUP(A537,Ingreso!AL:AM,2,FALSE),FALSE)/24,""))),""))</f>
        <v/>
      </c>
      <c r="N537" s="95" t="str">
        <f>IF(IFERROR(IF(C537=C535,0,IF(E537=E536,0,IF(C537=$R$3,HLOOKUP($R$3,Ingreso!$AW$10:$BC$260,VLOOKUP(A537,Ingreso!AL:AM,2,FALSE),FALSE)/24,""))),"")=0,"",IFERROR(IF(C537=C535,0,IF(E537=E536,0,IF(C537=$R$3,HLOOKUP($R$3,Ingreso!$AW$10:$BC$260,VLOOKUP(A537,Ingreso!AL:AM,2,FALSE),FALSE)/24,""))),""))</f>
        <v/>
      </c>
      <c r="O537" s="95" t="str">
        <f>IF(IFERROR(IF(C537=C535,0,IF(E537=E536,0,IF(C537=$R$4,HLOOKUP($R$4,Ingreso!$AW$10:$BC$260,VLOOKUP(A537,Ingreso!AL:AM,2,FALSE),FALSE)/24,""))),"")=0,"",IFERROR(IF(C537=C535,0,IF(E537=E536,0,IF(C537=$R$4,HLOOKUP($R$4,Ingreso!$AW$10:$BC$260,VLOOKUP(A537,Ingreso!AL:AM,2,FALSE),FALSE)/24,""))),""))</f>
        <v/>
      </c>
      <c r="P537" s="90"/>
      <c r="V537"/>
      <c r="W537"/>
      <c r="X537"/>
      <c r="Y537"/>
      <c r="Z537"/>
      <c r="AA537"/>
      <c r="AB537"/>
      <c r="AC537"/>
      <c r="AD537"/>
    </row>
    <row r="538" spans="1:30">
      <c r="A538" s="65" t="str">
        <f>IFERROR(VLOOKUP('Informe Kelly'!A531,Base!A:B,2,FALSE),"")</f>
        <v>11.659.510-9</v>
      </c>
      <c r="B538" s="65" t="str">
        <f>IFERROR(VLOOKUP('Informe Kelly'!A531,Base!A:G,7,FALSE),"")</f>
        <v>MUÑOZ MUÑOZ CLAUDIO ARTURO</v>
      </c>
      <c r="C538" s="69" t="str">
        <f>IF(G538=$C$4,IF('Informe Kelly'!H531='Control informe Kelly'!$A$2,TEXT(((LEFT('Informe Kelly'!E531,2)*1)+1),"dd")&amp;"."&amp;MID('Informe Kelly'!E531,4,2)&amp;"."&amp;RIGHT('Informe Kelly'!E531,4),'Informe Kelly'!E531),'Informe Kelly'!E531)</f>
        <v>11.04.2011</v>
      </c>
      <c r="D538" s="69" t="str">
        <f>IF('Informe Kelly'!E531="","",'Informe Kelly'!E531)</f>
        <v>11.04.2011</v>
      </c>
      <c r="E538" s="72">
        <f t="shared" si="17"/>
        <v>270</v>
      </c>
      <c r="F538" s="72" t="str">
        <f>IFERROR(HLOOKUP(C538,Ingreso!$Q$8:$AD$9,2,FALSE),"v")</f>
        <v>Lunes</v>
      </c>
      <c r="G538" s="65" t="str">
        <f>IFERROR(VLOOKUP(A538,Ingreso!K:P,6,FALSE),"no esta ingresado")</f>
        <v>Turno B</v>
      </c>
      <c r="H538" s="65">
        <f>IFERROR(IF('Informe Kelly'!H531=$A$2,'Informe Kelly'!F531,""),0)</f>
        <v>0.61578703703703697</v>
      </c>
      <c r="I538" s="65" t="str">
        <f>IFERROR(IF('Informe Kelly'!H531=$A$3,'Informe Kelly'!F531,""),0)</f>
        <v/>
      </c>
      <c r="J538" s="65" t="str">
        <f>IF(IFERROR(IF(E538=E537,0,(HLOOKUP(D538,Ingreso!$AN$10:$AT$260,VLOOKUP(A538,Ingreso!$AL$11:$AM$260,2,FALSE)))/24),0)=0,"",IFERROR(IF(E538=E537,0,(HLOOKUP(D538,Ingreso!$AN$10:$AT$260,VLOOKUP(A538,Ingreso!$AL$11:$AM$260,2,FALSE)))/24),0))</f>
        <v/>
      </c>
      <c r="K538" s="65" t="str">
        <f>IF(IFERROR(IF(E538=E537,0,(HLOOKUP(C538,Ingreso!$AW$10:$BC$260,VLOOKUP(A538,Ingreso!$AL$11:$AM$260,2,FALSE)))/24),0)=0,"",IFERROR(IF(E538=E537,0,(HLOOKUP(C538,Ingreso!$AW$10:$BC$260,VLOOKUP(A538,Ingreso!$AL$11:$AM$260,2,FALSE)))/24),0))</f>
        <v/>
      </c>
      <c r="L538" s="63">
        <f t="shared" si="16"/>
        <v>0</v>
      </c>
      <c r="M538" s="63" t="str">
        <f>IF(IFERROR(IF(C538=C536,0,IF(E538=E537,0,IF(C538=$R$2,HLOOKUP($R$2,Ingreso!$AW$10:$BC$260,VLOOKUP(A538,Ingreso!AL:AM,2,FALSE),FALSE)/24,""))),"")=0,"",IFERROR(IF(C538=C536,0,IF(E538=E537,0,IF(C538=$R$2,HLOOKUP($R$2,Ingreso!$AW$10:$BC$260,VLOOKUP(A538,Ingreso!AL:AM,2,FALSE),FALSE)/24,""))),""))</f>
        <v/>
      </c>
      <c r="N538" s="95" t="str">
        <f>IF(IFERROR(IF(C538=C536,0,IF(E538=E537,0,IF(C538=$R$3,HLOOKUP($R$3,Ingreso!$AW$10:$BC$260,VLOOKUP(A538,Ingreso!AL:AM,2,FALSE),FALSE)/24,""))),"")=0,"",IFERROR(IF(C538=C536,0,IF(E538=E537,0,IF(C538=$R$3,HLOOKUP($R$3,Ingreso!$AW$10:$BC$260,VLOOKUP(A538,Ingreso!AL:AM,2,FALSE),FALSE)/24,""))),""))</f>
        <v/>
      </c>
      <c r="O538" s="95" t="str">
        <f>IF(IFERROR(IF(C538=C536,0,IF(E538=E537,0,IF(C538=$R$4,HLOOKUP($R$4,Ingreso!$AW$10:$BC$260,VLOOKUP(A538,Ingreso!AL:AM,2,FALSE),FALSE)/24,""))),"")=0,"",IFERROR(IF(C538=C536,0,IF(E538=E537,0,IF(C538=$R$4,HLOOKUP($R$4,Ingreso!$AW$10:$BC$260,VLOOKUP(A538,Ingreso!AL:AM,2,FALSE),FALSE)/24,""))),""))</f>
        <v/>
      </c>
      <c r="P538" s="90"/>
      <c r="V538"/>
      <c r="W538"/>
      <c r="X538"/>
      <c r="Y538"/>
      <c r="Z538"/>
      <c r="AA538"/>
      <c r="AB538"/>
      <c r="AC538"/>
      <c r="AD538"/>
    </row>
    <row r="539" spans="1:30">
      <c r="A539" s="65" t="str">
        <f>IFERROR(VLOOKUP('Informe Kelly'!A532,Base!A:B,2,FALSE),"")</f>
        <v>11.659.510-9</v>
      </c>
      <c r="B539" s="65" t="str">
        <f>IFERROR(VLOOKUP('Informe Kelly'!A532,Base!A:G,7,FALSE),"")</f>
        <v>MUÑOZ MUÑOZ CLAUDIO ARTURO</v>
      </c>
      <c r="C539" s="69" t="str">
        <f>IF(G539=$C$4,IF('Informe Kelly'!H532='Control informe Kelly'!$A$2,TEXT(((LEFT('Informe Kelly'!E532,2)*1)+1),"dd")&amp;"."&amp;MID('Informe Kelly'!E532,4,2)&amp;"."&amp;RIGHT('Informe Kelly'!E532,4),'Informe Kelly'!E532),'Informe Kelly'!E532)</f>
        <v>12.04.2011</v>
      </c>
      <c r="D539" s="69" t="str">
        <f>IF('Informe Kelly'!E532="","",'Informe Kelly'!E532)</f>
        <v>12.04.2011</v>
      </c>
      <c r="E539" s="72">
        <f t="shared" si="17"/>
        <v>271</v>
      </c>
      <c r="F539" s="72" t="str">
        <f>IFERROR(HLOOKUP(C539,Ingreso!$Q$8:$AD$9,2,FALSE),"v")</f>
        <v>Martes</v>
      </c>
      <c r="G539" s="65" t="str">
        <f>IFERROR(VLOOKUP(A539,Ingreso!K:P,6,FALSE),"no esta ingresado")</f>
        <v>Turno B</v>
      </c>
      <c r="H539" s="65" t="str">
        <f>IFERROR(IF('Informe Kelly'!H532=$A$2,'Informe Kelly'!F532,""),0)</f>
        <v/>
      </c>
      <c r="I539" s="65">
        <f>IFERROR(IF('Informe Kelly'!H532=$A$3,'Informe Kelly'!F532,""),0)</f>
        <v>0.9446296296296296</v>
      </c>
      <c r="J539" s="65" t="str">
        <f>IF(IFERROR(IF(E539=E538,0,(HLOOKUP(D539,Ingreso!$AN$10:$AT$260,VLOOKUP(A539,Ingreso!$AL$11:$AM$260,2,FALSE)))/24),0)=0,"",IFERROR(IF(E539=E538,0,(HLOOKUP(D539,Ingreso!$AN$10:$AT$260,VLOOKUP(A539,Ingreso!$AL$11:$AM$260,2,FALSE)))/24),0))</f>
        <v/>
      </c>
      <c r="K539" s="65" t="str">
        <f>IF(IFERROR(IF(E539=E538,0,(HLOOKUP(C539,Ingreso!$AW$10:$BC$260,VLOOKUP(A539,Ingreso!$AL$11:$AM$260,2,FALSE)))/24),0)=0,"",IFERROR(IF(E539=E538,0,(HLOOKUP(C539,Ingreso!$AW$10:$BC$260,VLOOKUP(A539,Ingreso!$AL$11:$AM$260,2,FALSE)))/24),0))</f>
        <v/>
      </c>
      <c r="L539" s="63">
        <f t="shared" si="16"/>
        <v>0.3125</v>
      </c>
      <c r="M539" s="63" t="str">
        <f>IF(IFERROR(IF(C539=C537,0,IF(E539=E538,0,IF(C539=$R$2,HLOOKUP($R$2,Ingreso!$AW$10:$BC$260,VLOOKUP(A539,Ingreso!AL:AM,2,FALSE),FALSE)/24,""))),"")=0,"",IFERROR(IF(C539=C537,0,IF(E539=E538,0,IF(C539=$R$2,HLOOKUP($R$2,Ingreso!$AW$10:$BC$260,VLOOKUP(A539,Ingreso!AL:AM,2,FALSE),FALSE)/24,""))),""))</f>
        <v/>
      </c>
      <c r="N539" s="95" t="str">
        <f>IF(IFERROR(IF(C539=C537,0,IF(E539=E538,0,IF(C539=$R$3,HLOOKUP($R$3,Ingreso!$AW$10:$BC$260,VLOOKUP(A539,Ingreso!AL:AM,2,FALSE),FALSE)/24,""))),"")=0,"",IFERROR(IF(C539=C537,0,IF(E539=E538,0,IF(C539=$R$3,HLOOKUP($R$3,Ingreso!$AW$10:$BC$260,VLOOKUP(A539,Ingreso!AL:AM,2,FALSE),FALSE)/24,""))),""))</f>
        <v/>
      </c>
      <c r="O539" s="95" t="str">
        <f>IF(IFERROR(IF(C539=C537,0,IF(E539=E538,0,IF(C539=$R$4,HLOOKUP($R$4,Ingreso!$AW$10:$BC$260,VLOOKUP(A539,Ingreso!AL:AM,2,FALSE),FALSE)/24,""))),"")=0,"",IFERROR(IF(C539=C537,0,IF(E539=E538,0,IF(C539=$R$4,HLOOKUP($R$4,Ingreso!$AW$10:$BC$260,VLOOKUP(A539,Ingreso!AL:AM,2,FALSE),FALSE)/24,""))),""))</f>
        <v/>
      </c>
      <c r="P539" s="90"/>
      <c r="V539"/>
      <c r="W539"/>
      <c r="X539"/>
      <c r="Y539"/>
      <c r="Z539"/>
      <c r="AA539"/>
      <c r="AB539"/>
      <c r="AC539"/>
      <c r="AD539"/>
    </row>
    <row r="540" spans="1:30">
      <c r="A540" s="65" t="str">
        <f>IFERROR(VLOOKUP('Informe Kelly'!A533,Base!A:B,2,FALSE),"")</f>
        <v>11.659.510-9</v>
      </c>
      <c r="B540" s="65" t="str">
        <f>IFERROR(VLOOKUP('Informe Kelly'!A533,Base!A:G,7,FALSE),"")</f>
        <v>MUÑOZ MUÑOZ CLAUDIO ARTURO</v>
      </c>
      <c r="C540" s="69" t="str">
        <f>IF(G540=$C$4,IF('Informe Kelly'!H533='Control informe Kelly'!$A$2,TEXT(((LEFT('Informe Kelly'!E533,2)*1)+1),"dd")&amp;"."&amp;MID('Informe Kelly'!E533,4,2)&amp;"."&amp;RIGHT('Informe Kelly'!E533,4),'Informe Kelly'!E533),'Informe Kelly'!E533)</f>
        <v>12.04.2011</v>
      </c>
      <c r="D540" s="69" t="str">
        <f>IF('Informe Kelly'!E533="","",'Informe Kelly'!E533)</f>
        <v>12.04.2011</v>
      </c>
      <c r="E540" s="72">
        <f t="shared" si="17"/>
        <v>271</v>
      </c>
      <c r="F540" s="72" t="str">
        <f>IFERROR(HLOOKUP(C540,Ingreso!$Q$8:$AD$9,2,FALSE),"v")</f>
        <v>Martes</v>
      </c>
      <c r="G540" s="65" t="str">
        <f>IFERROR(VLOOKUP(A540,Ingreso!K:P,6,FALSE),"no esta ingresado")</f>
        <v>Turno B</v>
      </c>
      <c r="H540" s="65">
        <f>IFERROR(IF('Informe Kelly'!H533=$A$2,'Informe Kelly'!F533,""),0)</f>
        <v>0.61706018518518524</v>
      </c>
      <c r="I540" s="65" t="str">
        <f>IFERROR(IF('Informe Kelly'!H533=$A$3,'Informe Kelly'!F533,""),0)</f>
        <v/>
      </c>
      <c r="J540" s="65" t="str">
        <f>IF(IFERROR(IF(E540=E539,0,(HLOOKUP(D540,Ingreso!$AN$10:$AT$260,VLOOKUP(A540,Ingreso!$AL$11:$AM$260,2,FALSE)))/24),0)=0,"",IFERROR(IF(E540=E539,0,(HLOOKUP(D540,Ingreso!$AN$10:$AT$260,VLOOKUP(A540,Ingreso!$AL$11:$AM$260,2,FALSE)))/24),0))</f>
        <v/>
      </c>
      <c r="K540" s="65" t="str">
        <f>IF(IFERROR(IF(E540=E539,0,(HLOOKUP(C540,Ingreso!$AW$10:$BC$260,VLOOKUP(A540,Ingreso!$AL$11:$AM$260,2,FALSE)))/24),0)=0,"",IFERROR(IF(E540=E539,0,(HLOOKUP(C540,Ingreso!$AW$10:$BC$260,VLOOKUP(A540,Ingreso!$AL$11:$AM$260,2,FALSE)))/24),0))</f>
        <v/>
      </c>
      <c r="L540" s="63">
        <f t="shared" si="16"/>
        <v>0</v>
      </c>
      <c r="M540" s="63" t="str">
        <f>IF(IFERROR(IF(C540=C538,0,IF(E540=E539,0,IF(C540=$R$2,HLOOKUP($R$2,Ingreso!$AW$10:$BC$260,VLOOKUP(A540,Ingreso!AL:AM,2,FALSE),FALSE)/24,""))),"")=0,"",IFERROR(IF(C540=C538,0,IF(E540=E539,0,IF(C540=$R$2,HLOOKUP($R$2,Ingreso!$AW$10:$BC$260,VLOOKUP(A540,Ingreso!AL:AM,2,FALSE),FALSE)/24,""))),""))</f>
        <v/>
      </c>
      <c r="N540" s="95" t="str">
        <f>IF(IFERROR(IF(C540=C538,0,IF(E540=E539,0,IF(C540=$R$3,HLOOKUP($R$3,Ingreso!$AW$10:$BC$260,VLOOKUP(A540,Ingreso!AL:AM,2,FALSE),FALSE)/24,""))),"")=0,"",IFERROR(IF(C540=C538,0,IF(E540=E539,0,IF(C540=$R$3,HLOOKUP($R$3,Ingreso!$AW$10:$BC$260,VLOOKUP(A540,Ingreso!AL:AM,2,FALSE),FALSE)/24,""))),""))</f>
        <v/>
      </c>
      <c r="O540" s="95" t="str">
        <f>IF(IFERROR(IF(C540=C538,0,IF(E540=E539,0,IF(C540=$R$4,HLOOKUP($R$4,Ingreso!$AW$10:$BC$260,VLOOKUP(A540,Ingreso!AL:AM,2,FALSE),FALSE)/24,""))),"")=0,"",IFERROR(IF(C540=C538,0,IF(E540=E539,0,IF(C540=$R$4,HLOOKUP($R$4,Ingreso!$AW$10:$BC$260,VLOOKUP(A540,Ingreso!AL:AM,2,FALSE),FALSE)/24,""))),""))</f>
        <v/>
      </c>
      <c r="P540" s="90"/>
      <c r="V540"/>
      <c r="W540"/>
      <c r="X540"/>
      <c r="Y540"/>
      <c r="Z540"/>
      <c r="AA540"/>
      <c r="AB540"/>
      <c r="AC540"/>
      <c r="AD540"/>
    </row>
    <row r="541" spans="1:30">
      <c r="A541" s="65" t="str">
        <f>IFERROR(VLOOKUP('Informe Kelly'!A534,Base!A:B,2,FALSE),"")</f>
        <v>11.659.510-9</v>
      </c>
      <c r="B541" s="65" t="str">
        <f>IFERROR(VLOOKUP('Informe Kelly'!A534,Base!A:G,7,FALSE),"")</f>
        <v>MUÑOZ MUÑOZ CLAUDIO ARTURO</v>
      </c>
      <c r="C541" s="69" t="str">
        <f>IF(G541=$C$4,IF('Informe Kelly'!H534='Control informe Kelly'!$A$2,TEXT(((LEFT('Informe Kelly'!E534,2)*1)+1),"dd")&amp;"."&amp;MID('Informe Kelly'!E534,4,2)&amp;"."&amp;RIGHT('Informe Kelly'!E534,4),'Informe Kelly'!E534),'Informe Kelly'!E534)</f>
        <v>13.04.2011</v>
      </c>
      <c r="D541" s="69" t="str">
        <f>IF('Informe Kelly'!E534="","",'Informe Kelly'!E534)</f>
        <v>13.04.2011</v>
      </c>
      <c r="E541" s="72">
        <f t="shared" si="17"/>
        <v>272</v>
      </c>
      <c r="F541" s="72" t="str">
        <f>IFERROR(HLOOKUP(C541,Ingreso!$Q$8:$AD$9,2,FALSE),"v")</f>
        <v>Miércoles</v>
      </c>
      <c r="G541" s="65" t="str">
        <f>IFERROR(VLOOKUP(A541,Ingreso!K:P,6,FALSE),"no esta ingresado")</f>
        <v>Turno B</v>
      </c>
      <c r="H541" s="65" t="str">
        <f>IFERROR(IF('Informe Kelly'!H534=$A$2,'Informe Kelly'!F534,""),0)</f>
        <v/>
      </c>
      <c r="I541" s="65">
        <f>IFERROR(IF('Informe Kelly'!H534=$A$3,'Informe Kelly'!F534,""),0)</f>
        <v>0.94067129629629631</v>
      </c>
      <c r="J541" s="65">
        <f>IF(IFERROR(IF(E541=E540,0,(HLOOKUP(D541,Ingreso!$AN$10:$AT$260,VLOOKUP(A541,Ingreso!$AL$11:$AM$260,2,FALSE)))/24),0)=0,"",IFERROR(IF(E541=E540,0,(HLOOKUP(D541,Ingreso!$AN$10:$AT$260,VLOOKUP(A541,Ingreso!$AL$11:$AM$260,2,FALSE)))/24),0))</f>
        <v>4.1666666666666664E-2</v>
      </c>
      <c r="K541" s="65" t="str">
        <f>IF(IFERROR(IF(E541=E540,0,(HLOOKUP(C541,Ingreso!$AW$10:$BC$260,VLOOKUP(A541,Ingreso!$AL$11:$AM$260,2,FALSE)))/24),0)=0,"",IFERROR(IF(E541=E540,0,(HLOOKUP(C541,Ingreso!$AW$10:$BC$260,VLOOKUP(A541,Ingreso!$AL$11:$AM$260,2,FALSE)))/24),0))</f>
        <v/>
      </c>
      <c r="L541" s="63">
        <f t="shared" si="16"/>
        <v>0.3125</v>
      </c>
      <c r="M541" s="63" t="str">
        <f>IF(IFERROR(IF(C541=C539,0,IF(E541=E540,0,IF(C541=$R$2,HLOOKUP($R$2,Ingreso!$AW$10:$BC$260,VLOOKUP(A541,Ingreso!AL:AM,2,FALSE),FALSE)/24,""))),"")=0,"",IFERROR(IF(C541=C539,0,IF(E541=E540,0,IF(C541=$R$2,HLOOKUP($R$2,Ingreso!$AW$10:$BC$260,VLOOKUP(A541,Ingreso!AL:AM,2,FALSE),FALSE)/24,""))),""))</f>
        <v/>
      </c>
      <c r="N541" s="95" t="str">
        <f>IF(IFERROR(IF(C541=C539,0,IF(E541=E540,0,IF(C541=$R$3,HLOOKUP($R$3,Ingreso!$AW$10:$BC$260,VLOOKUP(A541,Ingreso!AL:AM,2,FALSE),FALSE)/24,""))),"")=0,"",IFERROR(IF(C541=C539,0,IF(E541=E540,0,IF(C541=$R$3,HLOOKUP($R$3,Ingreso!$AW$10:$BC$260,VLOOKUP(A541,Ingreso!AL:AM,2,FALSE),FALSE)/24,""))),""))</f>
        <v/>
      </c>
      <c r="O541" s="95" t="str">
        <f>IF(IFERROR(IF(C541=C539,0,IF(E541=E540,0,IF(C541=$R$4,HLOOKUP($R$4,Ingreso!$AW$10:$BC$260,VLOOKUP(A541,Ingreso!AL:AM,2,FALSE),FALSE)/24,""))),"")=0,"",IFERROR(IF(C541=C539,0,IF(E541=E540,0,IF(C541=$R$4,HLOOKUP($R$4,Ingreso!$AW$10:$BC$260,VLOOKUP(A541,Ingreso!AL:AM,2,FALSE),FALSE)/24,""))),""))</f>
        <v/>
      </c>
      <c r="P541" s="90"/>
      <c r="V541"/>
      <c r="W541"/>
      <c r="X541"/>
      <c r="Y541"/>
      <c r="Z541"/>
      <c r="AA541"/>
      <c r="AB541"/>
      <c r="AC541"/>
      <c r="AD541"/>
    </row>
    <row r="542" spans="1:30">
      <c r="A542" s="65" t="str">
        <f>IFERROR(VLOOKUP('Informe Kelly'!A535,Base!A:B,2,FALSE),"")</f>
        <v>11.659.510-9</v>
      </c>
      <c r="B542" s="65" t="str">
        <f>IFERROR(VLOOKUP('Informe Kelly'!A535,Base!A:G,7,FALSE),"")</f>
        <v>MUÑOZ MUÑOZ CLAUDIO ARTURO</v>
      </c>
      <c r="C542" s="69" t="str">
        <f>IF(G542=$C$4,IF('Informe Kelly'!H535='Control informe Kelly'!$A$2,TEXT(((LEFT('Informe Kelly'!E535,2)*1)+1),"dd")&amp;"."&amp;MID('Informe Kelly'!E535,4,2)&amp;"."&amp;RIGHT('Informe Kelly'!E535,4),'Informe Kelly'!E535),'Informe Kelly'!E535)</f>
        <v>13.04.2011</v>
      </c>
      <c r="D542" s="69" t="str">
        <f>IF('Informe Kelly'!E535="","",'Informe Kelly'!E535)</f>
        <v>13.04.2011</v>
      </c>
      <c r="E542" s="72">
        <f t="shared" si="17"/>
        <v>272</v>
      </c>
      <c r="F542" s="72" t="str">
        <f>IFERROR(HLOOKUP(C542,Ingreso!$Q$8:$AD$9,2,FALSE),"v")</f>
        <v>Miércoles</v>
      </c>
      <c r="G542" s="65" t="str">
        <f>IFERROR(VLOOKUP(A542,Ingreso!K:P,6,FALSE),"no esta ingresado")</f>
        <v>Turno B</v>
      </c>
      <c r="H542" s="65">
        <f>IFERROR(IF('Informe Kelly'!H535=$A$2,'Informe Kelly'!F535,""),0)</f>
        <v>0.57582175925925927</v>
      </c>
      <c r="I542" s="65" t="str">
        <f>IFERROR(IF('Informe Kelly'!H535=$A$3,'Informe Kelly'!F535,""),0)</f>
        <v/>
      </c>
      <c r="J542" s="65" t="str">
        <f>IF(IFERROR(IF(E542=E541,0,(HLOOKUP(D542,Ingreso!$AN$10:$AT$260,VLOOKUP(A542,Ingreso!$AL$11:$AM$260,2,FALSE)))/24),0)=0,"",IFERROR(IF(E542=E541,0,(HLOOKUP(D542,Ingreso!$AN$10:$AT$260,VLOOKUP(A542,Ingreso!$AL$11:$AM$260,2,FALSE)))/24),0))</f>
        <v/>
      </c>
      <c r="K542" s="65" t="str">
        <f>IF(IFERROR(IF(E542=E541,0,(HLOOKUP(C542,Ingreso!$AW$10:$BC$260,VLOOKUP(A542,Ingreso!$AL$11:$AM$260,2,FALSE)))/24),0)=0,"",IFERROR(IF(E542=E541,0,(HLOOKUP(C542,Ingreso!$AW$10:$BC$260,VLOOKUP(A542,Ingreso!$AL$11:$AM$260,2,FALSE)))/24),0))</f>
        <v/>
      </c>
      <c r="L542" s="63">
        <f t="shared" si="16"/>
        <v>0</v>
      </c>
      <c r="M542" s="63" t="str">
        <f>IF(IFERROR(IF(C542=C540,0,IF(E542=E541,0,IF(C542=$R$2,HLOOKUP($R$2,Ingreso!$AW$10:$BC$260,VLOOKUP(A542,Ingreso!AL:AM,2,FALSE),FALSE)/24,""))),"")=0,"",IFERROR(IF(C542=C540,0,IF(E542=E541,0,IF(C542=$R$2,HLOOKUP($R$2,Ingreso!$AW$10:$BC$260,VLOOKUP(A542,Ingreso!AL:AM,2,FALSE),FALSE)/24,""))),""))</f>
        <v/>
      </c>
      <c r="N542" s="95" t="str">
        <f>IF(IFERROR(IF(C542=C540,0,IF(E542=E541,0,IF(C542=$R$3,HLOOKUP($R$3,Ingreso!$AW$10:$BC$260,VLOOKUP(A542,Ingreso!AL:AM,2,FALSE),FALSE)/24,""))),"")=0,"",IFERROR(IF(C542=C540,0,IF(E542=E541,0,IF(C542=$R$3,HLOOKUP($R$3,Ingreso!$AW$10:$BC$260,VLOOKUP(A542,Ingreso!AL:AM,2,FALSE),FALSE)/24,""))),""))</f>
        <v/>
      </c>
      <c r="O542" s="95" t="str">
        <f>IF(IFERROR(IF(C542=C540,0,IF(E542=E541,0,IF(C542=$R$4,HLOOKUP($R$4,Ingreso!$AW$10:$BC$260,VLOOKUP(A542,Ingreso!AL:AM,2,FALSE),FALSE)/24,""))),"")=0,"",IFERROR(IF(C542=C540,0,IF(E542=E541,0,IF(C542=$R$4,HLOOKUP($R$4,Ingreso!$AW$10:$BC$260,VLOOKUP(A542,Ingreso!AL:AM,2,FALSE),FALSE)/24,""))),""))</f>
        <v/>
      </c>
      <c r="P542" s="90"/>
      <c r="V542"/>
      <c r="W542"/>
      <c r="X542"/>
      <c r="Y542"/>
      <c r="Z542"/>
      <c r="AA542"/>
      <c r="AB542"/>
      <c r="AC542"/>
      <c r="AD542"/>
    </row>
    <row r="543" spans="1:30">
      <c r="A543" s="65" t="str">
        <f>IFERROR(VLOOKUP('Informe Kelly'!A536,Base!A:B,2,FALSE),"")</f>
        <v>11.659.510-9</v>
      </c>
      <c r="B543" s="65" t="str">
        <f>IFERROR(VLOOKUP('Informe Kelly'!A536,Base!A:G,7,FALSE),"")</f>
        <v>MUÑOZ MUÑOZ CLAUDIO ARTURO</v>
      </c>
      <c r="C543" s="69" t="str">
        <f>IF(G543=$C$4,IF('Informe Kelly'!H536='Control informe Kelly'!$A$2,TEXT(((LEFT('Informe Kelly'!E536,2)*1)+1),"dd")&amp;"."&amp;MID('Informe Kelly'!E536,4,2)&amp;"."&amp;RIGHT('Informe Kelly'!E536,4),'Informe Kelly'!E536),'Informe Kelly'!E536)</f>
        <v>14.04.2011</v>
      </c>
      <c r="D543" s="69" t="str">
        <f>IF('Informe Kelly'!E536="","",'Informe Kelly'!E536)</f>
        <v>14.04.2011</v>
      </c>
      <c r="E543" s="72">
        <f t="shared" si="17"/>
        <v>273</v>
      </c>
      <c r="F543" s="72" t="str">
        <f>IFERROR(HLOOKUP(C543,Ingreso!$Q$8:$AD$9,2,FALSE),"v")</f>
        <v>Jueves</v>
      </c>
      <c r="G543" s="65" t="str">
        <f>IFERROR(VLOOKUP(A543,Ingreso!K:P,6,FALSE),"no esta ingresado")</f>
        <v>Turno B</v>
      </c>
      <c r="H543" s="65" t="str">
        <f>IFERROR(IF('Informe Kelly'!H536=$A$2,'Informe Kelly'!F536,""),0)</f>
        <v/>
      </c>
      <c r="I543" s="65">
        <f>IFERROR(IF('Informe Kelly'!H536=$A$3,'Informe Kelly'!F536,""),0)</f>
        <v>0.94292824074074078</v>
      </c>
      <c r="J543" s="65" t="str">
        <f>IF(IFERROR(IF(E543=E542,0,(HLOOKUP(D543,Ingreso!$AN$10:$AT$260,VLOOKUP(A543,Ingreso!$AL$11:$AM$260,2,FALSE)))/24),0)=0,"",IFERROR(IF(E543=E542,0,(HLOOKUP(D543,Ingreso!$AN$10:$AT$260,VLOOKUP(A543,Ingreso!$AL$11:$AM$260,2,FALSE)))/24),0))</f>
        <v/>
      </c>
      <c r="K543" s="65" t="str">
        <f>IF(IFERROR(IF(E543=E542,0,(HLOOKUP(C543,Ingreso!$AW$10:$BC$260,VLOOKUP(A543,Ingreso!$AL$11:$AM$260,2,FALSE)))/24),0)=0,"",IFERROR(IF(E543=E542,0,(HLOOKUP(C543,Ingreso!$AW$10:$BC$260,VLOOKUP(A543,Ingreso!$AL$11:$AM$260,2,FALSE)))/24),0))</f>
        <v/>
      </c>
      <c r="L543" s="63">
        <f t="shared" si="16"/>
        <v>0.3125</v>
      </c>
      <c r="M543" s="63" t="str">
        <f>IF(IFERROR(IF(C543=C541,0,IF(E543=E542,0,IF(C543=$R$2,HLOOKUP($R$2,Ingreso!$AW$10:$BC$260,VLOOKUP(A543,Ingreso!AL:AM,2,FALSE),FALSE)/24,""))),"")=0,"",IFERROR(IF(C543=C541,0,IF(E543=E542,0,IF(C543=$R$2,HLOOKUP($R$2,Ingreso!$AW$10:$BC$260,VLOOKUP(A543,Ingreso!AL:AM,2,FALSE),FALSE)/24,""))),""))</f>
        <v/>
      </c>
      <c r="N543" s="95" t="str">
        <f>IF(IFERROR(IF(C543=C541,0,IF(E543=E542,0,IF(C543=$R$3,HLOOKUP($R$3,Ingreso!$AW$10:$BC$260,VLOOKUP(A543,Ingreso!AL:AM,2,FALSE),FALSE)/24,""))),"")=0,"",IFERROR(IF(C543=C541,0,IF(E543=E542,0,IF(C543=$R$3,HLOOKUP($R$3,Ingreso!$AW$10:$BC$260,VLOOKUP(A543,Ingreso!AL:AM,2,FALSE),FALSE)/24,""))),""))</f>
        <v/>
      </c>
      <c r="O543" s="95" t="str">
        <f>IF(IFERROR(IF(C543=C541,0,IF(E543=E542,0,IF(C543=$R$4,HLOOKUP($R$4,Ingreso!$AW$10:$BC$260,VLOOKUP(A543,Ingreso!AL:AM,2,FALSE),FALSE)/24,""))),"")=0,"",IFERROR(IF(C543=C541,0,IF(E543=E542,0,IF(C543=$R$4,HLOOKUP($R$4,Ingreso!$AW$10:$BC$260,VLOOKUP(A543,Ingreso!AL:AM,2,FALSE),FALSE)/24,""))),""))</f>
        <v/>
      </c>
      <c r="P543" s="90"/>
      <c r="V543"/>
      <c r="W543"/>
      <c r="X543"/>
      <c r="Y543"/>
      <c r="Z543"/>
      <c r="AA543"/>
      <c r="AB543"/>
      <c r="AC543"/>
      <c r="AD543"/>
    </row>
    <row r="544" spans="1:30">
      <c r="A544" s="65" t="str">
        <f>IFERROR(VLOOKUP('Informe Kelly'!A537,Base!A:B,2,FALSE),"")</f>
        <v>11.659.510-9</v>
      </c>
      <c r="B544" s="65" t="str">
        <f>IFERROR(VLOOKUP('Informe Kelly'!A537,Base!A:G,7,FALSE),"")</f>
        <v>MUÑOZ MUÑOZ CLAUDIO ARTURO</v>
      </c>
      <c r="C544" s="69" t="str">
        <f>IF(G544=$C$4,IF('Informe Kelly'!H537='Control informe Kelly'!$A$2,TEXT(((LEFT('Informe Kelly'!E537,2)*1)+1),"dd")&amp;"."&amp;MID('Informe Kelly'!E537,4,2)&amp;"."&amp;RIGHT('Informe Kelly'!E537,4),'Informe Kelly'!E537),'Informe Kelly'!E537)</f>
        <v>14.04.2011</v>
      </c>
      <c r="D544" s="69" t="str">
        <f>IF('Informe Kelly'!E537="","",'Informe Kelly'!E537)</f>
        <v>14.04.2011</v>
      </c>
      <c r="E544" s="72">
        <f t="shared" si="17"/>
        <v>273</v>
      </c>
      <c r="F544" s="72" t="str">
        <f>IFERROR(HLOOKUP(C544,Ingreso!$Q$8:$AD$9,2,FALSE),"v")</f>
        <v>Jueves</v>
      </c>
      <c r="G544" s="65" t="str">
        <f>IFERROR(VLOOKUP(A544,Ingreso!K:P,6,FALSE),"no esta ingresado")</f>
        <v>Turno B</v>
      </c>
      <c r="H544" s="65">
        <f>IFERROR(IF('Informe Kelly'!H537=$A$2,'Informe Kelly'!F537,""),0)</f>
        <v>0.61818287037037034</v>
      </c>
      <c r="I544" s="65" t="str">
        <f>IFERROR(IF('Informe Kelly'!H537=$A$3,'Informe Kelly'!F537,""),0)</f>
        <v/>
      </c>
      <c r="J544" s="65" t="str">
        <f>IF(IFERROR(IF(E544=E543,0,(HLOOKUP(D544,Ingreso!$AN$10:$AT$260,VLOOKUP(A544,Ingreso!$AL$11:$AM$260,2,FALSE)))/24),0)=0,"",IFERROR(IF(E544=E543,0,(HLOOKUP(D544,Ingreso!$AN$10:$AT$260,VLOOKUP(A544,Ingreso!$AL$11:$AM$260,2,FALSE)))/24),0))</f>
        <v/>
      </c>
      <c r="K544" s="65" t="str">
        <f>IF(IFERROR(IF(E544=E543,0,(HLOOKUP(C544,Ingreso!$AW$10:$BC$260,VLOOKUP(A544,Ingreso!$AL$11:$AM$260,2,FALSE)))/24),0)=0,"",IFERROR(IF(E544=E543,0,(HLOOKUP(C544,Ingreso!$AW$10:$BC$260,VLOOKUP(A544,Ingreso!$AL$11:$AM$260,2,FALSE)))/24),0))</f>
        <v/>
      </c>
      <c r="L544" s="63">
        <f t="shared" si="16"/>
        <v>0</v>
      </c>
      <c r="M544" s="63" t="str">
        <f>IF(IFERROR(IF(C544=C542,0,IF(E544=E543,0,IF(C544=$R$2,HLOOKUP($R$2,Ingreso!$AW$10:$BC$260,VLOOKUP(A544,Ingreso!AL:AM,2,FALSE),FALSE)/24,""))),"")=0,"",IFERROR(IF(C544=C542,0,IF(E544=E543,0,IF(C544=$R$2,HLOOKUP($R$2,Ingreso!$AW$10:$BC$260,VLOOKUP(A544,Ingreso!AL:AM,2,FALSE),FALSE)/24,""))),""))</f>
        <v/>
      </c>
      <c r="N544" s="95" t="str">
        <f>IF(IFERROR(IF(C544=C542,0,IF(E544=E543,0,IF(C544=$R$3,HLOOKUP($R$3,Ingreso!$AW$10:$BC$260,VLOOKUP(A544,Ingreso!AL:AM,2,FALSE),FALSE)/24,""))),"")=0,"",IFERROR(IF(C544=C542,0,IF(E544=E543,0,IF(C544=$R$3,HLOOKUP($R$3,Ingreso!$AW$10:$BC$260,VLOOKUP(A544,Ingreso!AL:AM,2,FALSE),FALSE)/24,""))),""))</f>
        <v/>
      </c>
      <c r="O544" s="95" t="str">
        <f>IF(IFERROR(IF(C544=C542,0,IF(E544=E543,0,IF(C544=$R$4,HLOOKUP($R$4,Ingreso!$AW$10:$BC$260,VLOOKUP(A544,Ingreso!AL:AM,2,FALSE),FALSE)/24,""))),"")=0,"",IFERROR(IF(C544=C542,0,IF(E544=E543,0,IF(C544=$R$4,HLOOKUP($R$4,Ingreso!$AW$10:$BC$260,VLOOKUP(A544,Ingreso!AL:AM,2,FALSE),FALSE)/24,""))),""))</f>
        <v/>
      </c>
      <c r="P544" s="90"/>
      <c r="V544"/>
      <c r="W544"/>
      <c r="X544"/>
      <c r="Y544"/>
      <c r="Z544"/>
      <c r="AA544"/>
      <c r="AB544"/>
      <c r="AC544"/>
      <c r="AD544"/>
    </row>
    <row r="545" spans="1:30">
      <c r="A545" s="65" t="str">
        <f>IFERROR(VLOOKUP('Informe Kelly'!A538,Base!A:B,2,FALSE),"")</f>
        <v>11.659.510-9</v>
      </c>
      <c r="B545" s="65" t="str">
        <f>IFERROR(VLOOKUP('Informe Kelly'!A538,Base!A:G,7,FALSE),"")</f>
        <v>MUÑOZ MUÑOZ CLAUDIO ARTURO</v>
      </c>
      <c r="C545" s="69" t="str">
        <f>IF(G545=$C$4,IF('Informe Kelly'!H538='Control informe Kelly'!$A$2,TEXT(((LEFT('Informe Kelly'!E538,2)*1)+1),"dd")&amp;"."&amp;MID('Informe Kelly'!E538,4,2)&amp;"."&amp;RIGHT('Informe Kelly'!E538,4),'Informe Kelly'!E538),'Informe Kelly'!E538)</f>
        <v>15.04.2011</v>
      </c>
      <c r="D545" s="69" t="str">
        <f>IF('Informe Kelly'!E538="","",'Informe Kelly'!E538)</f>
        <v>15.04.2011</v>
      </c>
      <c r="E545" s="72">
        <f t="shared" si="17"/>
        <v>274</v>
      </c>
      <c r="F545" s="72" t="str">
        <f>IFERROR(HLOOKUP(C545,Ingreso!$Q$8:$AD$9,2,FALSE),"v")</f>
        <v>Viernes</v>
      </c>
      <c r="G545" s="65" t="str">
        <f>IFERROR(VLOOKUP(A545,Ingreso!K:P,6,FALSE),"no esta ingresado")</f>
        <v>Turno B</v>
      </c>
      <c r="H545" s="65" t="str">
        <f>IFERROR(IF('Informe Kelly'!H538=$A$2,'Informe Kelly'!F538,""),0)</f>
        <v/>
      </c>
      <c r="I545" s="65">
        <f>IFERROR(IF('Informe Kelly'!H538=$A$3,'Informe Kelly'!F538,""),0)</f>
        <v>0.93716435185185187</v>
      </c>
      <c r="J545" s="65" t="str">
        <f>IF(IFERROR(IF(E545=E544,0,(HLOOKUP(D545,Ingreso!$AN$10:$AT$260,VLOOKUP(A545,Ingreso!$AL$11:$AM$260,2,FALSE)))/24),0)=0,"",IFERROR(IF(E545=E544,0,(HLOOKUP(D545,Ingreso!$AN$10:$AT$260,VLOOKUP(A545,Ingreso!$AL$11:$AM$260,2,FALSE)))/24),0))</f>
        <v/>
      </c>
      <c r="K545" s="65" t="str">
        <f>IF(IFERROR(IF(E545=E544,0,(HLOOKUP(C545,Ingreso!$AW$10:$BC$260,VLOOKUP(A545,Ingreso!$AL$11:$AM$260,2,FALSE)))/24),0)=0,"",IFERROR(IF(E545=E544,0,(HLOOKUP(C545,Ingreso!$AW$10:$BC$260,VLOOKUP(A545,Ingreso!$AL$11:$AM$260,2,FALSE)))/24),0))</f>
        <v/>
      </c>
      <c r="L545" s="63">
        <f t="shared" si="16"/>
        <v>0.3125</v>
      </c>
      <c r="M545" s="63" t="str">
        <f>IF(IFERROR(IF(C545=C543,0,IF(E545=E544,0,IF(C545=$R$2,HLOOKUP($R$2,Ingreso!$AW$10:$BC$260,VLOOKUP(A545,Ingreso!AL:AM,2,FALSE),FALSE)/24,""))),"")=0,"",IFERROR(IF(C545=C543,0,IF(E545=E544,0,IF(C545=$R$2,HLOOKUP($R$2,Ingreso!$AW$10:$BC$260,VLOOKUP(A545,Ingreso!AL:AM,2,FALSE),FALSE)/24,""))),""))</f>
        <v/>
      </c>
      <c r="N545" s="95" t="str">
        <f>IF(IFERROR(IF(C545=C543,0,IF(E545=E544,0,IF(C545=$R$3,HLOOKUP($R$3,Ingreso!$AW$10:$BC$260,VLOOKUP(A545,Ingreso!AL:AM,2,FALSE),FALSE)/24,""))),"")=0,"",IFERROR(IF(C545=C543,0,IF(E545=E544,0,IF(C545=$R$3,HLOOKUP($R$3,Ingreso!$AW$10:$BC$260,VLOOKUP(A545,Ingreso!AL:AM,2,FALSE),FALSE)/24,""))),""))</f>
        <v/>
      </c>
      <c r="O545" s="95" t="str">
        <f>IF(IFERROR(IF(C545=C543,0,IF(E545=E544,0,IF(C545=$R$4,HLOOKUP($R$4,Ingreso!$AW$10:$BC$260,VLOOKUP(A545,Ingreso!AL:AM,2,FALSE),FALSE)/24,""))),"")=0,"",IFERROR(IF(C545=C543,0,IF(E545=E544,0,IF(C545=$R$4,HLOOKUP($R$4,Ingreso!$AW$10:$BC$260,VLOOKUP(A545,Ingreso!AL:AM,2,FALSE),FALSE)/24,""))),""))</f>
        <v/>
      </c>
      <c r="P545" s="90"/>
      <c r="V545"/>
      <c r="W545"/>
      <c r="X545"/>
      <c r="Y545"/>
      <c r="Z545"/>
      <c r="AA545"/>
      <c r="AB545"/>
      <c r="AC545"/>
      <c r="AD545"/>
    </row>
    <row r="546" spans="1:30">
      <c r="A546" s="65" t="str">
        <f>IFERROR(VLOOKUP('Informe Kelly'!A539,Base!A:B,2,FALSE),"")</f>
        <v>11.659.510-9</v>
      </c>
      <c r="B546" s="65" t="str">
        <f>IFERROR(VLOOKUP('Informe Kelly'!A539,Base!A:G,7,FALSE),"")</f>
        <v>MUÑOZ MUÑOZ CLAUDIO ARTURO</v>
      </c>
      <c r="C546" s="69" t="str">
        <f>IF(G546=$C$4,IF('Informe Kelly'!H539='Control informe Kelly'!$A$2,TEXT(((LEFT('Informe Kelly'!E539,2)*1)+1),"dd")&amp;"."&amp;MID('Informe Kelly'!E539,4,2)&amp;"."&amp;RIGHT('Informe Kelly'!E539,4),'Informe Kelly'!E539),'Informe Kelly'!E539)</f>
        <v>15.04.2011</v>
      </c>
      <c r="D546" s="69" t="str">
        <f>IF('Informe Kelly'!E539="","",'Informe Kelly'!E539)</f>
        <v>15.04.2011</v>
      </c>
      <c r="E546" s="72">
        <f t="shared" si="17"/>
        <v>274</v>
      </c>
      <c r="F546" s="72" t="str">
        <f>IFERROR(HLOOKUP(C546,Ingreso!$Q$8:$AD$9,2,FALSE),"v")</f>
        <v>Viernes</v>
      </c>
      <c r="G546" s="65" t="str">
        <f>IFERROR(VLOOKUP(A546,Ingreso!K:P,6,FALSE),"no esta ingresado")</f>
        <v>Turno B</v>
      </c>
      <c r="H546" s="65">
        <f>IFERROR(IF('Informe Kelly'!H539=$A$2,'Informe Kelly'!F539,""),0)</f>
        <v>0.6170254629629629</v>
      </c>
      <c r="I546" s="65" t="str">
        <f>IFERROR(IF('Informe Kelly'!H539=$A$3,'Informe Kelly'!F539,""),0)</f>
        <v/>
      </c>
      <c r="J546" s="65" t="str">
        <f>IF(IFERROR(IF(E546=E545,0,(HLOOKUP(D546,Ingreso!$AN$10:$AT$260,VLOOKUP(A546,Ingreso!$AL$11:$AM$260,2,FALSE)))/24),0)=0,"",IFERROR(IF(E546=E545,0,(HLOOKUP(D546,Ingreso!$AN$10:$AT$260,VLOOKUP(A546,Ingreso!$AL$11:$AM$260,2,FALSE)))/24),0))</f>
        <v/>
      </c>
      <c r="K546" s="65" t="str">
        <f>IF(IFERROR(IF(E546=E545,0,(HLOOKUP(C546,Ingreso!$AW$10:$BC$260,VLOOKUP(A546,Ingreso!$AL$11:$AM$260,2,FALSE)))/24),0)=0,"",IFERROR(IF(E546=E545,0,(HLOOKUP(C546,Ingreso!$AW$10:$BC$260,VLOOKUP(A546,Ingreso!$AL$11:$AM$260,2,FALSE)))/24),0))</f>
        <v/>
      </c>
      <c r="L546" s="63">
        <f t="shared" si="16"/>
        <v>0</v>
      </c>
      <c r="M546" s="63" t="str">
        <f>IF(IFERROR(IF(C546=C544,0,IF(E546=E545,0,IF(C546=$R$2,HLOOKUP($R$2,Ingreso!$AW$10:$BC$260,VLOOKUP(A546,Ingreso!AL:AM,2,FALSE),FALSE)/24,""))),"")=0,"",IFERROR(IF(C546=C544,0,IF(E546=E545,0,IF(C546=$R$2,HLOOKUP($R$2,Ingreso!$AW$10:$BC$260,VLOOKUP(A546,Ingreso!AL:AM,2,FALSE),FALSE)/24,""))),""))</f>
        <v/>
      </c>
      <c r="N546" s="95" t="str">
        <f>IF(IFERROR(IF(C546=C544,0,IF(E546=E545,0,IF(C546=$R$3,HLOOKUP($R$3,Ingreso!$AW$10:$BC$260,VLOOKUP(A546,Ingreso!AL:AM,2,FALSE),FALSE)/24,""))),"")=0,"",IFERROR(IF(C546=C544,0,IF(E546=E545,0,IF(C546=$R$3,HLOOKUP($R$3,Ingreso!$AW$10:$BC$260,VLOOKUP(A546,Ingreso!AL:AM,2,FALSE),FALSE)/24,""))),""))</f>
        <v/>
      </c>
      <c r="O546" s="95" t="str">
        <f>IF(IFERROR(IF(C546=C544,0,IF(E546=E545,0,IF(C546=$R$4,HLOOKUP($R$4,Ingreso!$AW$10:$BC$260,VLOOKUP(A546,Ingreso!AL:AM,2,FALSE),FALSE)/24,""))),"")=0,"",IFERROR(IF(C546=C544,0,IF(E546=E545,0,IF(C546=$R$4,HLOOKUP($R$4,Ingreso!$AW$10:$BC$260,VLOOKUP(A546,Ingreso!AL:AM,2,FALSE),FALSE)/24,""))),""))</f>
        <v/>
      </c>
      <c r="P546" s="90"/>
      <c r="V546"/>
      <c r="W546"/>
      <c r="X546"/>
      <c r="Y546"/>
      <c r="Z546"/>
      <c r="AA546"/>
      <c r="AB546"/>
      <c r="AC546"/>
      <c r="AD546"/>
    </row>
    <row r="547" spans="1:30">
      <c r="A547" s="65" t="str">
        <f>IFERROR(VLOOKUP('Informe Kelly'!A540,Base!A:B,2,FALSE),"")</f>
        <v>11.659.510-9</v>
      </c>
      <c r="B547" s="65" t="str">
        <f>IFERROR(VLOOKUP('Informe Kelly'!A540,Base!A:G,7,FALSE),"")</f>
        <v>MUÑOZ MUÑOZ CLAUDIO ARTURO</v>
      </c>
      <c r="C547" s="69" t="str">
        <f>IF(G547=$C$4,IF('Informe Kelly'!H540='Control informe Kelly'!$A$2,TEXT(((LEFT('Informe Kelly'!E540,2)*1)+1),"dd")&amp;"."&amp;MID('Informe Kelly'!E540,4,2)&amp;"."&amp;RIGHT('Informe Kelly'!E540,4),'Informe Kelly'!E540),'Informe Kelly'!E540)</f>
        <v>16.04.2011</v>
      </c>
      <c r="D547" s="69" t="str">
        <f>IF('Informe Kelly'!E540="","",'Informe Kelly'!E540)</f>
        <v>16.04.2011</v>
      </c>
      <c r="E547" s="72">
        <f t="shared" si="17"/>
        <v>275</v>
      </c>
      <c r="F547" s="72" t="str">
        <f>IFERROR(HLOOKUP(C547,Ingreso!$Q$8:$AD$9,2,FALSE),"v")</f>
        <v>Sábado</v>
      </c>
      <c r="G547" s="65" t="str">
        <f>IFERROR(VLOOKUP(A547,Ingreso!K:P,6,FALSE),"no esta ingresado")</f>
        <v>Turno B</v>
      </c>
      <c r="H547" s="65" t="str">
        <f>IFERROR(IF('Informe Kelly'!H540=$A$2,'Informe Kelly'!F540,""),0)</f>
        <v/>
      </c>
      <c r="I547" s="65">
        <f>IFERROR(IF('Informe Kelly'!H540=$A$3,'Informe Kelly'!F540,""),0)</f>
        <v>0.888738425925926</v>
      </c>
      <c r="J547" s="65" t="str">
        <f>IF(IFERROR(IF(E547=E546,0,(HLOOKUP(D547,Ingreso!$AN$10:$AT$260,VLOOKUP(A547,Ingreso!$AL$11:$AM$260,2,FALSE)))/24),0)=0,"",IFERROR(IF(E547=E546,0,(HLOOKUP(D547,Ingreso!$AN$10:$AT$260,VLOOKUP(A547,Ingreso!$AL$11:$AM$260,2,FALSE)))/24),0))</f>
        <v/>
      </c>
      <c r="K547" s="65" t="str">
        <f>IF(IFERROR(IF(E547=E546,0,(HLOOKUP(C547,Ingreso!$AW$10:$BC$260,VLOOKUP(A547,Ingreso!$AL$11:$AM$260,2,FALSE)))/24),0)=0,"",IFERROR(IF(E547=E546,0,(HLOOKUP(C547,Ingreso!$AW$10:$BC$260,VLOOKUP(A547,Ingreso!$AL$11:$AM$260,2,FALSE)))/24),0))</f>
        <v/>
      </c>
      <c r="L547" s="63">
        <f t="shared" si="16"/>
        <v>0.3125</v>
      </c>
      <c r="M547" s="63" t="str">
        <f>IF(IFERROR(IF(C547=C545,0,IF(E547=E546,0,IF(C547=$R$2,HLOOKUP($R$2,Ingreso!$AW$10:$BC$260,VLOOKUP(A547,Ingreso!AL:AM,2,FALSE),FALSE)/24,""))),"")=0,"",IFERROR(IF(C547=C545,0,IF(E547=E546,0,IF(C547=$R$2,HLOOKUP($R$2,Ingreso!$AW$10:$BC$260,VLOOKUP(A547,Ingreso!AL:AM,2,FALSE),FALSE)/24,""))),""))</f>
        <v/>
      </c>
      <c r="N547" s="95" t="str">
        <f>IF(IFERROR(IF(C547=C545,0,IF(E547=E546,0,IF(C547=$R$3,HLOOKUP($R$3,Ingreso!$AW$10:$BC$260,VLOOKUP(A547,Ingreso!AL:AM,2,FALSE),FALSE)/24,""))),"")=0,"",IFERROR(IF(C547=C545,0,IF(E547=E546,0,IF(C547=$R$3,HLOOKUP($R$3,Ingreso!$AW$10:$BC$260,VLOOKUP(A547,Ingreso!AL:AM,2,FALSE),FALSE)/24,""))),""))</f>
        <v/>
      </c>
      <c r="O547" s="95" t="str">
        <f>IF(IFERROR(IF(C547=C545,0,IF(E547=E546,0,IF(C547=$R$4,HLOOKUP($R$4,Ingreso!$AW$10:$BC$260,VLOOKUP(A547,Ingreso!AL:AM,2,FALSE),FALSE)/24,""))),"")=0,"",IFERROR(IF(C547=C545,0,IF(E547=E546,0,IF(C547=$R$4,HLOOKUP($R$4,Ingreso!$AW$10:$BC$260,VLOOKUP(A547,Ingreso!AL:AM,2,FALSE),FALSE)/24,""))),""))</f>
        <v/>
      </c>
      <c r="P547" s="90"/>
      <c r="V547"/>
      <c r="W547"/>
      <c r="X547"/>
      <c r="Y547"/>
      <c r="Z547"/>
      <c r="AA547"/>
      <c r="AB547"/>
      <c r="AC547"/>
      <c r="AD547"/>
    </row>
    <row r="548" spans="1:30">
      <c r="A548" s="65" t="str">
        <f>IFERROR(VLOOKUP('Informe Kelly'!A541,Base!A:B,2,FALSE),"")</f>
        <v>11.659.510-9</v>
      </c>
      <c r="B548" s="65" t="str">
        <f>IFERROR(VLOOKUP('Informe Kelly'!A541,Base!A:G,7,FALSE),"")</f>
        <v>MUÑOZ MUÑOZ CLAUDIO ARTURO</v>
      </c>
      <c r="C548" s="69" t="str">
        <f>IF(G548=$C$4,IF('Informe Kelly'!H541='Control informe Kelly'!$A$2,TEXT(((LEFT('Informe Kelly'!E541,2)*1)+1),"dd")&amp;"."&amp;MID('Informe Kelly'!E541,4,2)&amp;"."&amp;RIGHT('Informe Kelly'!E541,4),'Informe Kelly'!E541),'Informe Kelly'!E541)</f>
        <v>16.04.2011</v>
      </c>
      <c r="D548" s="69" t="str">
        <f>IF('Informe Kelly'!E541="","",'Informe Kelly'!E541)</f>
        <v>16.04.2011</v>
      </c>
      <c r="E548" s="72">
        <f t="shared" si="17"/>
        <v>275</v>
      </c>
      <c r="F548" s="72" t="str">
        <f>IFERROR(HLOOKUP(C548,Ingreso!$Q$8:$AD$9,2,FALSE),"v")</f>
        <v>Sábado</v>
      </c>
      <c r="G548" s="65" t="str">
        <f>IFERROR(VLOOKUP(A548,Ingreso!K:P,6,FALSE),"no esta ingresado")</f>
        <v>Turno B</v>
      </c>
      <c r="H548" s="65">
        <f>IFERROR(IF('Informe Kelly'!H541=$A$2,'Informe Kelly'!F541,""),0)</f>
        <v>0.56706018518518519</v>
      </c>
      <c r="I548" s="65" t="str">
        <f>IFERROR(IF('Informe Kelly'!H541=$A$3,'Informe Kelly'!F541,""),0)</f>
        <v/>
      </c>
      <c r="J548" s="65" t="str">
        <f>IF(IFERROR(IF(E548=E547,0,(HLOOKUP(D548,Ingreso!$AN$10:$AT$260,VLOOKUP(A548,Ingreso!$AL$11:$AM$260,2,FALSE)))/24),0)=0,"",IFERROR(IF(E548=E547,0,(HLOOKUP(D548,Ingreso!$AN$10:$AT$260,VLOOKUP(A548,Ingreso!$AL$11:$AM$260,2,FALSE)))/24),0))</f>
        <v/>
      </c>
      <c r="K548" s="65" t="str">
        <f>IF(IFERROR(IF(E548=E547,0,(HLOOKUP(C548,Ingreso!$AW$10:$BC$260,VLOOKUP(A548,Ingreso!$AL$11:$AM$260,2,FALSE)))/24),0)=0,"",IFERROR(IF(E548=E547,0,(HLOOKUP(C548,Ingreso!$AW$10:$BC$260,VLOOKUP(A548,Ingreso!$AL$11:$AM$260,2,FALSE)))/24),0))</f>
        <v/>
      </c>
      <c r="L548" s="63">
        <f t="shared" si="16"/>
        <v>0</v>
      </c>
      <c r="M548" s="63" t="str">
        <f>IF(IFERROR(IF(C548=C546,0,IF(E548=E547,0,IF(C548=$R$2,HLOOKUP($R$2,Ingreso!$AW$10:$BC$260,VLOOKUP(A548,Ingreso!AL:AM,2,FALSE),FALSE)/24,""))),"")=0,"",IFERROR(IF(C548=C546,0,IF(E548=E547,0,IF(C548=$R$2,HLOOKUP($R$2,Ingreso!$AW$10:$BC$260,VLOOKUP(A548,Ingreso!AL:AM,2,FALSE),FALSE)/24,""))),""))</f>
        <v/>
      </c>
      <c r="N548" s="95" t="str">
        <f>IF(IFERROR(IF(C548=C546,0,IF(E548=E547,0,IF(C548=$R$3,HLOOKUP($R$3,Ingreso!$AW$10:$BC$260,VLOOKUP(A548,Ingreso!AL:AM,2,FALSE),FALSE)/24,""))),"")=0,"",IFERROR(IF(C548=C546,0,IF(E548=E547,0,IF(C548=$R$3,HLOOKUP($R$3,Ingreso!$AW$10:$BC$260,VLOOKUP(A548,Ingreso!AL:AM,2,FALSE),FALSE)/24,""))),""))</f>
        <v/>
      </c>
      <c r="O548" s="95" t="str">
        <f>IF(IFERROR(IF(C548=C546,0,IF(E548=E547,0,IF(C548=$R$4,HLOOKUP($R$4,Ingreso!$AW$10:$BC$260,VLOOKUP(A548,Ingreso!AL:AM,2,FALSE),FALSE)/24,""))),"")=0,"",IFERROR(IF(C548=C546,0,IF(E548=E547,0,IF(C548=$R$4,HLOOKUP($R$4,Ingreso!$AW$10:$BC$260,VLOOKUP(A548,Ingreso!AL:AM,2,FALSE),FALSE)/24,""))),""))</f>
        <v/>
      </c>
      <c r="P548" s="90"/>
      <c r="V548"/>
      <c r="W548"/>
      <c r="X548"/>
      <c r="Y548"/>
      <c r="Z548"/>
      <c r="AA548"/>
      <c r="AB548"/>
      <c r="AC548"/>
      <c r="AD548"/>
    </row>
    <row r="549" spans="1:30">
      <c r="A549" s="65" t="str">
        <f>IFERROR(VLOOKUP('Informe Kelly'!A542,Base!A:B,2,FALSE),"")</f>
        <v>11.660.411-6</v>
      </c>
      <c r="B549" s="65" t="str">
        <f>IFERROR(VLOOKUP('Informe Kelly'!A542,Base!A:G,7,FALSE),"")</f>
        <v>CORTES HERRERA SIXTO PATRICIO</v>
      </c>
      <c r="C549" s="69" t="str">
        <f>IF(G549=$C$4,IF('Informe Kelly'!H542='Control informe Kelly'!$A$2,TEXT(((LEFT('Informe Kelly'!E542,2)*1)+1),"dd")&amp;"."&amp;MID('Informe Kelly'!E542,4,2)&amp;"."&amp;RIGHT('Informe Kelly'!E542,4),'Informe Kelly'!E542),'Informe Kelly'!E542)</f>
        <v>11.04.2011</v>
      </c>
      <c r="D549" s="69" t="str">
        <f>IF('Informe Kelly'!E542="","",'Informe Kelly'!E542)</f>
        <v>11.04.2011</v>
      </c>
      <c r="E549" s="72">
        <f t="shared" si="17"/>
        <v>276</v>
      </c>
      <c r="F549" s="72" t="str">
        <f>IFERROR(HLOOKUP(C549,Ingreso!$Q$8:$AD$9,2,FALSE),"v")</f>
        <v>Lunes</v>
      </c>
      <c r="G549" s="65" t="str">
        <f>IFERROR(VLOOKUP(A549,Ingreso!K:P,6,FALSE),"no esta ingresado")</f>
        <v>Turno B</v>
      </c>
      <c r="H549" s="65" t="str">
        <f>IFERROR(IF('Informe Kelly'!H542=$A$2,'Informe Kelly'!F542,""),0)</f>
        <v/>
      </c>
      <c r="I549" s="65">
        <f>IFERROR(IF('Informe Kelly'!H542=$A$3,'Informe Kelly'!F542,""),0)</f>
        <v>0.9497916666666667</v>
      </c>
      <c r="J549" s="65" t="str">
        <f>IF(IFERROR(IF(E549=E548,0,(HLOOKUP(D549,Ingreso!$AN$10:$AT$260,VLOOKUP(A549,Ingreso!$AL$11:$AM$260,2,FALSE)))/24),0)=0,"",IFERROR(IF(E549=E548,0,(HLOOKUP(D549,Ingreso!$AN$10:$AT$260,VLOOKUP(A549,Ingreso!$AL$11:$AM$260,2,FALSE)))/24),0))</f>
        <v/>
      </c>
      <c r="K549" s="65" t="str">
        <f>IF(IFERROR(IF(E549=E548,0,(HLOOKUP(C549,Ingreso!$AW$10:$BC$260,VLOOKUP(A549,Ingreso!$AL$11:$AM$260,2,FALSE)))/24),0)=0,"",IFERROR(IF(E549=E548,0,(HLOOKUP(C549,Ingreso!$AW$10:$BC$260,VLOOKUP(A549,Ingreso!$AL$11:$AM$260,2,FALSE)))/24),0))</f>
        <v/>
      </c>
      <c r="L549" s="63">
        <f t="shared" si="16"/>
        <v>0.3125</v>
      </c>
      <c r="M549" s="63" t="str">
        <f>IF(IFERROR(IF(C549=C547,0,IF(E549=E548,0,IF(C549=$R$2,HLOOKUP($R$2,Ingreso!$AW$10:$BC$260,VLOOKUP(A549,Ingreso!AL:AM,2,FALSE),FALSE)/24,""))),"")=0,"",IFERROR(IF(C549=C547,0,IF(E549=E548,0,IF(C549=$R$2,HLOOKUP($R$2,Ingreso!$AW$10:$BC$260,VLOOKUP(A549,Ingreso!AL:AM,2,FALSE),FALSE)/24,""))),""))</f>
        <v/>
      </c>
      <c r="N549" s="95" t="str">
        <f>IF(IFERROR(IF(C549=C547,0,IF(E549=E548,0,IF(C549=$R$3,HLOOKUP($R$3,Ingreso!$AW$10:$BC$260,VLOOKUP(A549,Ingreso!AL:AM,2,FALSE),FALSE)/24,""))),"")=0,"",IFERROR(IF(C549=C547,0,IF(E549=E548,0,IF(C549=$R$3,HLOOKUP($R$3,Ingreso!$AW$10:$BC$260,VLOOKUP(A549,Ingreso!AL:AM,2,FALSE),FALSE)/24,""))),""))</f>
        <v/>
      </c>
      <c r="O549" s="95" t="str">
        <f>IF(IFERROR(IF(C549=C547,0,IF(E549=E548,0,IF(C549=$R$4,HLOOKUP($R$4,Ingreso!$AW$10:$BC$260,VLOOKUP(A549,Ingreso!AL:AM,2,FALSE),FALSE)/24,""))),"")=0,"",IFERROR(IF(C549=C547,0,IF(E549=E548,0,IF(C549=$R$4,HLOOKUP($R$4,Ingreso!$AW$10:$BC$260,VLOOKUP(A549,Ingreso!AL:AM,2,FALSE),FALSE)/24,""))),""))</f>
        <v/>
      </c>
      <c r="P549" s="90"/>
      <c r="V549"/>
      <c r="W549"/>
      <c r="X549"/>
      <c r="Y549"/>
      <c r="Z549"/>
      <c r="AA549"/>
      <c r="AB549"/>
      <c r="AC549"/>
      <c r="AD549"/>
    </row>
    <row r="550" spans="1:30">
      <c r="A550" s="65" t="str">
        <f>IFERROR(VLOOKUP('Informe Kelly'!A543,Base!A:B,2,FALSE),"")</f>
        <v>11.660.411-6</v>
      </c>
      <c r="B550" s="65" t="str">
        <f>IFERROR(VLOOKUP('Informe Kelly'!A543,Base!A:G,7,FALSE),"")</f>
        <v>CORTES HERRERA SIXTO PATRICIO</v>
      </c>
      <c r="C550" s="69" t="str">
        <f>IF(G550=$C$4,IF('Informe Kelly'!H543='Control informe Kelly'!$A$2,TEXT(((LEFT('Informe Kelly'!E543,2)*1)+1),"dd")&amp;"."&amp;MID('Informe Kelly'!E543,4,2)&amp;"."&amp;RIGHT('Informe Kelly'!E543,4),'Informe Kelly'!E543),'Informe Kelly'!E543)</f>
        <v>11.04.2011</v>
      </c>
      <c r="D550" s="69" t="str">
        <f>IF('Informe Kelly'!E543="","",'Informe Kelly'!E543)</f>
        <v>11.04.2011</v>
      </c>
      <c r="E550" s="72">
        <f t="shared" si="17"/>
        <v>276</v>
      </c>
      <c r="F550" s="72" t="str">
        <f>IFERROR(HLOOKUP(C550,Ingreso!$Q$8:$AD$9,2,FALSE),"v")</f>
        <v>Lunes</v>
      </c>
      <c r="G550" s="65" t="str">
        <f>IFERROR(VLOOKUP(A550,Ingreso!K:P,6,FALSE),"no esta ingresado")</f>
        <v>Turno B</v>
      </c>
      <c r="H550" s="65">
        <f>IFERROR(IF('Informe Kelly'!H543=$A$2,'Informe Kelly'!F543,""),0)</f>
        <v>0.60783564814814817</v>
      </c>
      <c r="I550" s="65" t="str">
        <f>IFERROR(IF('Informe Kelly'!H543=$A$3,'Informe Kelly'!F543,""),0)</f>
        <v/>
      </c>
      <c r="J550" s="65" t="str">
        <f>IF(IFERROR(IF(E550=E549,0,(HLOOKUP(D550,Ingreso!$AN$10:$AT$260,VLOOKUP(A550,Ingreso!$AL$11:$AM$260,2,FALSE)))/24),0)=0,"",IFERROR(IF(E550=E549,0,(HLOOKUP(D550,Ingreso!$AN$10:$AT$260,VLOOKUP(A550,Ingreso!$AL$11:$AM$260,2,FALSE)))/24),0))</f>
        <v/>
      </c>
      <c r="K550" s="65" t="str">
        <f>IF(IFERROR(IF(E550=E549,0,(HLOOKUP(C550,Ingreso!$AW$10:$BC$260,VLOOKUP(A550,Ingreso!$AL$11:$AM$260,2,FALSE)))/24),0)=0,"",IFERROR(IF(E550=E549,0,(HLOOKUP(C550,Ingreso!$AW$10:$BC$260,VLOOKUP(A550,Ingreso!$AL$11:$AM$260,2,FALSE)))/24),0))</f>
        <v/>
      </c>
      <c r="L550" s="63">
        <f t="shared" si="16"/>
        <v>0</v>
      </c>
      <c r="M550" s="63" t="str">
        <f>IF(IFERROR(IF(C550=C548,0,IF(E550=E549,0,IF(C550=$R$2,HLOOKUP($R$2,Ingreso!$AW$10:$BC$260,VLOOKUP(A550,Ingreso!AL:AM,2,FALSE),FALSE)/24,""))),"")=0,"",IFERROR(IF(C550=C548,0,IF(E550=E549,0,IF(C550=$R$2,HLOOKUP($R$2,Ingreso!$AW$10:$BC$260,VLOOKUP(A550,Ingreso!AL:AM,2,FALSE),FALSE)/24,""))),""))</f>
        <v/>
      </c>
      <c r="N550" s="95" t="str">
        <f>IF(IFERROR(IF(C550=C548,0,IF(E550=E549,0,IF(C550=$R$3,HLOOKUP($R$3,Ingreso!$AW$10:$BC$260,VLOOKUP(A550,Ingreso!AL:AM,2,FALSE),FALSE)/24,""))),"")=0,"",IFERROR(IF(C550=C548,0,IF(E550=E549,0,IF(C550=$R$3,HLOOKUP($R$3,Ingreso!$AW$10:$BC$260,VLOOKUP(A550,Ingreso!AL:AM,2,FALSE),FALSE)/24,""))),""))</f>
        <v/>
      </c>
      <c r="O550" s="95" t="str">
        <f>IF(IFERROR(IF(C550=C548,0,IF(E550=E549,0,IF(C550=$R$4,HLOOKUP($R$4,Ingreso!$AW$10:$BC$260,VLOOKUP(A550,Ingreso!AL:AM,2,FALSE),FALSE)/24,""))),"")=0,"",IFERROR(IF(C550=C548,0,IF(E550=E549,0,IF(C550=$R$4,HLOOKUP($R$4,Ingreso!$AW$10:$BC$260,VLOOKUP(A550,Ingreso!AL:AM,2,FALSE),FALSE)/24,""))),""))</f>
        <v/>
      </c>
      <c r="P550" s="90"/>
      <c r="V550"/>
      <c r="W550"/>
      <c r="X550"/>
      <c r="Y550"/>
      <c r="Z550"/>
      <c r="AA550"/>
      <c r="AB550"/>
      <c r="AC550"/>
      <c r="AD550"/>
    </row>
    <row r="551" spans="1:30">
      <c r="A551" s="65" t="str">
        <f>IFERROR(VLOOKUP('Informe Kelly'!A544,Base!A:B,2,FALSE),"")</f>
        <v>11.660.411-6</v>
      </c>
      <c r="B551" s="65" t="str">
        <f>IFERROR(VLOOKUP('Informe Kelly'!A544,Base!A:G,7,FALSE),"")</f>
        <v>CORTES HERRERA SIXTO PATRICIO</v>
      </c>
      <c r="C551" s="69" t="str">
        <f>IF(G551=$C$4,IF('Informe Kelly'!H544='Control informe Kelly'!$A$2,TEXT(((LEFT('Informe Kelly'!E544,2)*1)+1),"dd")&amp;"."&amp;MID('Informe Kelly'!E544,4,2)&amp;"."&amp;RIGHT('Informe Kelly'!E544,4),'Informe Kelly'!E544),'Informe Kelly'!E544)</f>
        <v>12.04.2011</v>
      </c>
      <c r="D551" s="69" t="str">
        <f>IF('Informe Kelly'!E544="","",'Informe Kelly'!E544)</f>
        <v>12.04.2011</v>
      </c>
      <c r="E551" s="72">
        <f t="shared" si="17"/>
        <v>277</v>
      </c>
      <c r="F551" s="72" t="str">
        <f>IFERROR(HLOOKUP(C551,Ingreso!$Q$8:$AD$9,2,FALSE),"v")</f>
        <v>Martes</v>
      </c>
      <c r="G551" s="65" t="str">
        <f>IFERROR(VLOOKUP(A551,Ingreso!K:P,6,FALSE),"no esta ingresado")</f>
        <v>Turno B</v>
      </c>
      <c r="H551" s="65" t="str">
        <f>IFERROR(IF('Informe Kelly'!H544=$A$2,'Informe Kelly'!F544,""),0)</f>
        <v/>
      </c>
      <c r="I551" s="65">
        <f>IFERROR(IF('Informe Kelly'!H544=$A$3,'Informe Kelly'!F544,""),0)</f>
        <v>0.94874999999999998</v>
      </c>
      <c r="J551" s="65" t="str">
        <f>IF(IFERROR(IF(E551=E550,0,(HLOOKUP(D551,Ingreso!$AN$10:$AT$260,VLOOKUP(A551,Ingreso!$AL$11:$AM$260,2,FALSE)))/24),0)=0,"",IFERROR(IF(E551=E550,0,(HLOOKUP(D551,Ingreso!$AN$10:$AT$260,VLOOKUP(A551,Ingreso!$AL$11:$AM$260,2,FALSE)))/24),0))</f>
        <v/>
      </c>
      <c r="K551" s="65" t="str">
        <f>IF(IFERROR(IF(E551=E550,0,(HLOOKUP(C551,Ingreso!$AW$10:$BC$260,VLOOKUP(A551,Ingreso!$AL$11:$AM$260,2,FALSE)))/24),0)=0,"",IFERROR(IF(E551=E550,0,(HLOOKUP(C551,Ingreso!$AW$10:$BC$260,VLOOKUP(A551,Ingreso!$AL$11:$AM$260,2,FALSE)))/24),0))</f>
        <v/>
      </c>
      <c r="L551" s="63">
        <f t="shared" si="16"/>
        <v>0.3125</v>
      </c>
      <c r="M551" s="63" t="str">
        <f>IF(IFERROR(IF(C551=C549,0,IF(E551=E550,0,IF(C551=$R$2,HLOOKUP($R$2,Ingreso!$AW$10:$BC$260,VLOOKUP(A551,Ingreso!AL:AM,2,FALSE),FALSE)/24,""))),"")=0,"",IFERROR(IF(C551=C549,0,IF(E551=E550,0,IF(C551=$R$2,HLOOKUP($R$2,Ingreso!$AW$10:$BC$260,VLOOKUP(A551,Ingreso!AL:AM,2,FALSE),FALSE)/24,""))),""))</f>
        <v/>
      </c>
      <c r="N551" s="95" t="str">
        <f>IF(IFERROR(IF(C551=C549,0,IF(E551=E550,0,IF(C551=$R$3,HLOOKUP($R$3,Ingreso!$AW$10:$BC$260,VLOOKUP(A551,Ingreso!AL:AM,2,FALSE),FALSE)/24,""))),"")=0,"",IFERROR(IF(C551=C549,0,IF(E551=E550,0,IF(C551=$R$3,HLOOKUP($R$3,Ingreso!$AW$10:$BC$260,VLOOKUP(A551,Ingreso!AL:AM,2,FALSE),FALSE)/24,""))),""))</f>
        <v/>
      </c>
      <c r="O551" s="95" t="str">
        <f>IF(IFERROR(IF(C551=C549,0,IF(E551=E550,0,IF(C551=$R$4,HLOOKUP($R$4,Ingreso!$AW$10:$BC$260,VLOOKUP(A551,Ingreso!AL:AM,2,FALSE),FALSE)/24,""))),"")=0,"",IFERROR(IF(C551=C549,0,IF(E551=E550,0,IF(C551=$R$4,HLOOKUP($R$4,Ingreso!$AW$10:$BC$260,VLOOKUP(A551,Ingreso!AL:AM,2,FALSE),FALSE)/24,""))),""))</f>
        <v/>
      </c>
      <c r="P551" s="90"/>
      <c r="V551"/>
      <c r="W551"/>
      <c r="X551"/>
      <c r="Y551"/>
      <c r="Z551"/>
      <c r="AA551"/>
      <c r="AB551"/>
      <c r="AC551"/>
      <c r="AD551"/>
    </row>
    <row r="552" spans="1:30">
      <c r="A552" s="65" t="str">
        <f>IFERROR(VLOOKUP('Informe Kelly'!A545,Base!A:B,2,FALSE),"")</f>
        <v>11.660.411-6</v>
      </c>
      <c r="B552" s="65" t="str">
        <f>IFERROR(VLOOKUP('Informe Kelly'!A545,Base!A:G,7,FALSE),"")</f>
        <v>CORTES HERRERA SIXTO PATRICIO</v>
      </c>
      <c r="C552" s="69" t="str">
        <f>IF(G552=$C$4,IF('Informe Kelly'!H545='Control informe Kelly'!$A$2,TEXT(((LEFT('Informe Kelly'!E545,2)*1)+1),"dd")&amp;"."&amp;MID('Informe Kelly'!E545,4,2)&amp;"."&amp;RIGHT('Informe Kelly'!E545,4),'Informe Kelly'!E545),'Informe Kelly'!E545)</f>
        <v>12.04.2011</v>
      </c>
      <c r="D552" s="69" t="str">
        <f>IF('Informe Kelly'!E545="","",'Informe Kelly'!E545)</f>
        <v>12.04.2011</v>
      </c>
      <c r="E552" s="72">
        <f t="shared" si="17"/>
        <v>277</v>
      </c>
      <c r="F552" s="72" t="str">
        <f>IFERROR(HLOOKUP(C552,Ingreso!$Q$8:$AD$9,2,FALSE),"v")</f>
        <v>Martes</v>
      </c>
      <c r="G552" s="65" t="str">
        <f>IFERROR(VLOOKUP(A552,Ingreso!K:P,6,FALSE),"no esta ingresado")</f>
        <v>Turno B</v>
      </c>
      <c r="H552" s="65">
        <f>IFERROR(IF('Informe Kelly'!H545=$A$2,'Informe Kelly'!F545,""),0)</f>
        <v>0.60820601851851852</v>
      </c>
      <c r="I552" s="65" t="str">
        <f>IFERROR(IF('Informe Kelly'!H545=$A$3,'Informe Kelly'!F545,""),0)</f>
        <v/>
      </c>
      <c r="J552" s="65" t="str">
        <f>IF(IFERROR(IF(E552=E551,0,(HLOOKUP(D552,Ingreso!$AN$10:$AT$260,VLOOKUP(A552,Ingreso!$AL$11:$AM$260,2,FALSE)))/24),0)=0,"",IFERROR(IF(E552=E551,0,(HLOOKUP(D552,Ingreso!$AN$10:$AT$260,VLOOKUP(A552,Ingreso!$AL$11:$AM$260,2,FALSE)))/24),0))</f>
        <v/>
      </c>
      <c r="K552" s="65" t="str">
        <f>IF(IFERROR(IF(E552=E551,0,(HLOOKUP(C552,Ingreso!$AW$10:$BC$260,VLOOKUP(A552,Ingreso!$AL$11:$AM$260,2,FALSE)))/24),0)=0,"",IFERROR(IF(E552=E551,0,(HLOOKUP(C552,Ingreso!$AW$10:$BC$260,VLOOKUP(A552,Ingreso!$AL$11:$AM$260,2,FALSE)))/24),0))</f>
        <v/>
      </c>
      <c r="L552" s="63">
        <f t="shared" si="16"/>
        <v>0</v>
      </c>
      <c r="M552" s="63" t="str">
        <f>IF(IFERROR(IF(C552=C550,0,IF(E552=E551,0,IF(C552=$R$2,HLOOKUP($R$2,Ingreso!$AW$10:$BC$260,VLOOKUP(A552,Ingreso!AL:AM,2,FALSE),FALSE)/24,""))),"")=0,"",IFERROR(IF(C552=C550,0,IF(E552=E551,0,IF(C552=$R$2,HLOOKUP($R$2,Ingreso!$AW$10:$BC$260,VLOOKUP(A552,Ingreso!AL:AM,2,FALSE),FALSE)/24,""))),""))</f>
        <v/>
      </c>
      <c r="N552" s="95" t="str">
        <f>IF(IFERROR(IF(C552=C550,0,IF(E552=E551,0,IF(C552=$R$3,HLOOKUP($R$3,Ingreso!$AW$10:$BC$260,VLOOKUP(A552,Ingreso!AL:AM,2,FALSE),FALSE)/24,""))),"")=0,"",IFERROR(IF(C552=C550,0,IF(E552=E551,0,IF(C552=$R$3,HLOOKUP($R$3,Ingreso!$AW$10:$BC$260,VLOOKUP(A552,Ingreso!AL:AM,2,FALSE),FALSE)/24,""))),""))</f>
        <v/>
      </c>
      <c r="O552" s="95" t="str">
        <f>IF(IFERROR(IF(C552=C550,0,IF(E552=E551,0,IF(C552=$R$4,HLOOKUP($R$4,Ingreso!$AW$10:$BC$260,VLOOKUP(A552,Ingreso!AL:AM,2,FALSE),FALSE)/24,""))),"")=0,"",IFERROR(IF(C552=C550,0,IF(E552=E551,0,IF(C552=$R$4,HLOOKUP($R$4,Ingreso!$AW$10:$BC$260,VLOOKUP(A552,Ingreso!AL:AM,2,FALSE),FALSE)/24,""))),""))</f>
        <v/>
      </c>
      <c r="P552" s="90"/>
      <c r="V552"/>
      <c r="W552"/>
      <c r="X552"/>
      <c r="Y552"/>
      <c r="Z552"/>
      <c r="AA552"/>
      <c r="AB552"/>
      <c r="AC552"/>
      <c r="AD552"/>
    </row>
    <row r="553" spans="1:30">
      <c r="A553" s="65" t="str">
        <f>IFERROR(VLOOKUP('Informe Kelly'!A546,Base!A:B,2,FALSE),"")</f>
        <v>11.660.411-6</v>
      </c>
      <c r="B553" s="65" t="str">
        <f>IFERROR(VLOOKUP('Informe Kelly'!A546,Base!A:G,7,FALSE),"")</f>
        <v>CORTES HERRERA SIXTO PATRICIO</v>
      </c>
      <c r="C553" s="69" t="str">
        <f>IF(G553=$C$4,IF('Informe Kelly'!H546='Control informe Kelly'!$A$2,TEXT(((LEFT('Informe Kelly'!E546,2)*1)+1),"dd")&amp;"."&amp;MID('Informe Kelly'!E546,4,2)&amp;"."&amp;RIGHT('Informe Kelly'!E546,4),'Informe Kelly'!E546),'Informe Kelly'!E546)</f>
        <v>13.04.2011</v>
      </c>
      <c r="D553" s="69" t="str">
        <f>IF('Informe Kelly'!E546="","",'Informe Kelly'!E546)</f>
        <v>13.04.2011</v>
      </c>
      <c r="E553" s="72">
        <f t="shared" si="17"/>
        <v>278</v>
      </c>
      <c r="F553" s="72" t="str">
        <f>IFERROR(HLOOKUP(C553,Ingreso!$Q$8:$AD$9,2,FALSE),"v")</f>
        <v>Miércoles</v>
      </c>
      <c r="G553" s="65" t="str">
        <f>IFERROR(VLOOKUP(A553,Ingreso!K:P,6,FALSE),"no esta ingresado")</f>
        <v>Turno B</v>
      </c>
      <c r="H553" s="65" t="str">
        <f>IFERROR(IF('Informe Kelly'!H546=$A$2,'Informe Kelly'!F546,""),0)</f>
        <v/>
      </c>
      <c r="I553" s="65">
        <f>IFERROR(IF('Informe Kelly'!H546=$A$3,'Informe Kelly'!F546,""),0)</f>
        <v>0.94729166666666664</v>
      </c>
      <c r="J553" s="65" t="str">
        <f>IF(IFERROR(IF(E553=E552,0,(HLOOKUP(D553,Ingreso!$AN$10:$AT$260,VLOOKUP(A553,Ingreso!$AL$11:$AM$260,2,FALSE)))/24),0)=0,"",IFERROR(IF(E553=E552,0,(HLOOKUP(D553,Ingreso!$AN$10:$AT$260,VLOOKUP(A553,Ingreso!$AL$11:$AM$260,2,FALSE)))/24),0))</f>
        <v/>
      </c>
      <c r="K553" s="65" t="str">
        <f>IF(IFERROR(IF(E553=E552,0,(HLOOKUP(C553,Ingreso!$AW$10:$BC$260,VLOOKUP(A553,Ingreso!$AL$11:$AM$260,2,FALSE)))/24),0)=0,"",IFERROR(IF(E553=E552,0,(HLOOKUP(C553,Ingreso!$AW$10:$BC$260,VLOOKUP(A553,Ingreso!$AL$11:$AM$260,2,FALSE)))/24),0))</f>
        <v/>
      </c>
      <c r="L553" s="63">
        <f t="shared" si="16"/>
        <v>0.3125</v>
      </c>
      <c r="M553" s="63" t="str">
        <f>IF(IFERROR(IF(C553=C551,0,IF(E553=E552,0,IF(C553=$R$2,HLOOKUP($R$2,Ingreso!$AW$10:$BC$260,VLOOKUP(A553,Ingreso!AL:AM,2,FALSE),FALSE)/24,""))),"")=0,"",IFERROR(IF(C553=C551,0,IF(E553=E552,0,IF(C553=$R$2,HLOOKUP($R$2,Ingreso!$AW$10:$BC$260,VLOOKUP(A553,Ingreso!AL:AM,2,FALSE),FALSE)/24,""))),""))</f>
        <v/>
      </c>
      <c r="N553" s="95" t="str">
        <f>IF(IFERROR(IF(C553=C551,0,IF(E553=E552,0,IF(C553=$R$3,HLOOKUP($R$3,Ingreso!$AW$10:$BC$260,VLOOKUP(A553,Ingreso!AL:AM,2,FALSE),FALSE)/24,""))),"")=0,"",IFERROR(IF(C553=C551,0,IF(E553=E552,0,IF(C553=$R$3,HLOOKUP($R$3,Ingreso!$AW$10:$BC$260,VLOOKUP(A553,Ingreso!AL:AM,2,FALSE),FALSE)/24,""))),""))</f>
        <v/>
      </c>
      <c r="O553" s="95" t="str">
        <f>IF(IFERROR(IF(C553=C551,0,IF(E553=E552,0,IF(C553=$R$4,HLOOKUP($R$4,Ingreso!$AW$10:$BC$260,VLOOKUP(A553,Ingreso!AL:AM,2,FALSE),FALSE)/24,""))),"")=0,"",IFERROR(IF(C553=C551,0,IF(E553=E552,0,IF(C553=$R$4,HLOOKUP($R$4,Ingreso!$AW$10:$BC$260,VLOOKUP(A553,Ingreso!AL:AM,2,FALSE),FALSE)/24,""))),""))</f>
        <v/>
      </c>
      <c r="P553" s="90"/>
      <c r="V553"/>
      <c r="W553"/>
      <c r="X553"/>
      <c r="Y553"/>
      <c r="Z553"/>
      <c r="AA553"/>
      <c r="AB553"/>
      <c r="AC553"/>
      <c r="AD553"/>
    </row>
    <row r="554" spans="1:30">
      <c r="A554" s="65" t="str">
        <f>IFERROR(VLOOKUP('Informe Kelly'!A547,Base!A:B,2,FALSE),"")</f>
        <v>11.660.411-6</v>
      </c>
      <c r="B554" s="65" t="str">
        <f>IFERROR(VLOOKUP('Informe Kelly'!A547,Base!A:G,7,FALSE),"")</f>
        <v>CORTES HERRERA SIXTO PATRICIO</v>
      </c>
      <c r="C554" s="69" t="str">
        <f>IF(G554=$C$4,IF('Informe Kelly'!H547='Control informe Kelly'!$A$2,TEXT(((LEFT('Informe Kelly'!E547,2)*1)+1),"dd")&amp;"."&amp;MID('Informe Kelly'!E547,4,2)&amp;"."&amp;RIGHT('Informe Kelly'!E547,4),'Informe Kelly'!E547),'Informe Kelly'!E547)</f>
        <v>13.04.2011</v>
      </c>
      <c r="D554" s="69" t="str">
        <f>IF('Informe Kelly'!E547="","",'Informe Kelly'!E547)</f>
        <v>13.04.2011</v>
      </c>
      <c r="E554" s="72">
        <f t="shared" si="17"/>
        <v>278</v>
      </c>
      <c r="F554" s="72" t="str">
        <f>IFERROR(HLOOKUP(C554,Ingreso!$Q$8:$AD$9,2,FALSE),"v")</f>
        <v>Miércoles</v>
      </c>
      <c r="G554" s="65" t="str">
        <f>IFERROR(VLOOKUP(A554,Ingreso!K:P,6,FALSE),"no esta ingresado")</f>
        <v>Turno B</v>
      </c>
      <c r="H554" s="65">
        <f>IFERROR(IF('Informe Kelly'!H547=$A$2,'Informe Kelly'!F547,""),0)</f>
        <v>0.61020833333333335</v>
      </c>
      <c r="I554" s="65" t="str">
        <f>IFERROR(IF('Informe Kelly'!H547=$A$3,'Informe Kelly'!F547,""),0)</f>
        <v/>
      </c>
      <c r="J554" s="65" t="str">
        <f>IF(IFERROR(IF(E554=E553,0,(HLOOKUP(D554,Ingreso!$AN$10:$AT$260,VLOOKUP(A554,Ingreso!$AL$11:$AM$260,2,FALSE)))/24),0)=0,"",IFERROR(IF(E554=E553,0,(HLOOKUP(D554,Ingreso!$AN$10:$AT$260,VLOOKUP(A554,Ingreso!$AL$11:$AM$260,2,FALSE)))/24),0))</f>
        <v/>
      </c>
      <c r="K554" s="65" t="str">
        <f>IF(IFERROR(IF(E554=E553,0,(HLOOKUP(C554,Ingreso!$AW$10:$BC$260,VLOOKUP(A554,Ingreso!$AL$11:$AM$260,2,FALSE)))/24),0)=0,"",IFERROR(IF(E554=E553,0,(HLOOKUP(C554,Ingreso!$AW$10:$BC$260,VLOOKUP(A554,Ingreso!$AL$11:$AM$260,2,FALSE)))/24),0))</f>
        <v/>
      </c>
      <c r="L554" s="63">
        <f t="shared" si="16"/>
        <v>0</v>
      </c>
      <c r="M554" s="63" t="str">
        <f>IF(IFERROR(IF(C554=C552,0,IF(E554=E553,0,IF(C554=$R$2,HLOOKUP($R$2,Ingreso!$AW$10:$BC$260,VLOOKUP(A554,Ingreso!AL:AM,2,FALSE),FALSE)/24,""))),"")=0,"",IFERROR(IF(C554=C552,0,IF(E554=E553,0,IF(C554=$R$2,HLOOKUP($R$2,Ingreso!$AW$10:$BC$260,VLOOKUP(A554,Ingreso!AL:AM,2,FALSE),FALSE)/24,""))),""))</f>
        <v/>
      </c>
      <c r="N554" s="95" t="str">
        <f>IF(IFERROR(IF(C554=C552,0,IF(E554=E553,0,IF(C554=$R$3,HLOOKUP($R$3,Ingreso!$AW$10:$BC$260,VLOOKUP(A554,Ingreso!AL:AM,2,FALSE),FALSE)/24,""))),"")=0,"",IFERROR(IF(C554=C552,0,IF(E554=E553,0,IF(C554=$R$3,HLOOKUP($R$3,Ingreso!$AW$10:$BC$260,VLOOKUP(A554,Ingreso!AL:AM,2,FALSE),FALSE)/24,""))),""))</f>
        <v/>
      </c>
      <c r="O554" s="95" t="str">
        <f>IF(IFERROR(IF(C554=C552,0,IF(E554=E553,0,IF(C554=$R$4,HLOOKUP($R$4,Ingreso!$AW$10:$BC$260,VLOOKUP(A554,Ingreso!AL:AM,2,FALSE),FALSE)/24,""))),"")=0,"",IFERROR(IF(C554=C552,0,IF(E554=E553,0,IF(C554=$R$4,HLOOKUP($R$4,Ingreso!$AW$10:$BC$260,VLOOKUP(A554,Ingreso!AL:AM,2,FALSE),FALSE)/24,""))),""))</f>
        <v/>
      </c>
      <c r="P554" s="90"/>
      <c r="V554"/>
      <c r="W554"/>
      <c r="X554"/>
      <c r="Y554"/>
      <c r="Z554"/>
      <c r="AA554"/>
      <c r="AB554"/>
      <c r="AC554"/>
      <c r="AD554"/>
    </row>
    <row r="555" spans="1:30">
      <c r="A555" s="65" t="str">
        <f>IFERROR(VLOOKUP('Informe Kelly'!A548,Base!A:B,2,FALSE),"")</f>
        <v>11.660.411-6</v>
      </c>
      <c r="B555" s="65" t="str">
        <f>IFERROR(VLOOKUP('Informe Kelly'!A548,Base!A:G,7,FALSE),"")</f>
        <v>CORTES HERRERA SIXTO PATRICIO</v>
      </c>
      <c r="C555" s="69" t="str">
        <f>IF(G555=$C$4,IF('Informe Kelly'!H548='Control informe Kelly'!$A$2,TEXT(((LEFT('Informe Kelly'!E548,2)*1)+1),"dd")&amp;"."&amp;MID('Informe Kelly'!E548,4,2)&amp;"."&amp;RIGHT('Informe Kelly'!E548,4),'Informe Kelly'!E548),'Informe Kelly'!E548)</f>
        <v>14.04.2011</v>
      </c>
      <c r="D555" s="69" t="str">
        <f>IF('Informe Kelly'!E548="","",'Informe Kelly'!E548)</f>
        <v>14.04.2011</v>
      </c>
      <c r="E555" s="72">
        <f t="shared" si="17"/>
        <v>279</v>
      </c>
      <c r="F555" s="72" t="str">
        <f>IFERROR(HLOOKUP(C555,Ingreso!$Q$8:$AD$9,2,FALSE),"v")</f>
        <v>Jueves</v>
      </c>
      <c r="G555" s="65" t="str">
        <f>IFERROR(VLOOKUP(A555,Ingreso!K:P,6,FALSE),"no esta ingresado")</f>
        <v>Turno B</v>
      </c>
      <c r="H555" s="65" t="str">
        <f>IFERROR(IF('Informe Kelly'!H548=$A$2,'Informe Kelly'!F548,""),0)</f>
        <v/>
      </c>
      <c r="I555" s="65">
        <f>IFERROR(IF('Informe Kelly'!H548=$A$3,'Informe Kelly'!F548,""),0)</f>
        <v>0.95167824074074081</v>
      </c>
      <c r="J555" s="65" t="str">
        <f>IF(IFERROR(IF(E555=E554,0,(HLOOKUP(D555,Ingreso!$AN$10:$AT$260,VLOOKUP(A555,Ingreso!$AL$11:$AM$260,2,FALSE)))/24),0)=0,"",IFERROR(IF(E555=E554,0,(HLOOKUP(D555,Ingreso!$AN$10:$AT$260,VLOOKUP(A555,Ingreso!$AL$11:$AM$260,2,FALSE)))/24),0))</f>
        <v/>
      </c>
      <c r="K555" s="65" t="str">
        <f>IF(IFERROR(IF(E555=E554,0,(HLOOKUP(C555,Ingreso!$AW$10:$BC$260,VLOOKUP(A555,Ingreso!$AL$11:$AM$260,2,FALSE)))/24),0)=0,"",IFERROR(IF(E555=E554,0,(HLOOKUP(C555,Ingreso!$AW$10:$BC$260,VLOOKUP(A555,Ingreso!$AL$11:$AM$260,2,FALSE)))/24),0))</f>
        <v/>
      </c>
      <c r="L555" s="63">
        <f t="shared" si="16"/>
        <v>0.3125</v>
      </c>
      <c r="M555" s="63" t="str">
        <f>IF(IFERROR(IF(C555=C553,0,IF(E555=E554,0,IF(C555=$R$2,HLOOKUP($R$2,Ingreso!$AW$10:$BC$260,VLOOKUP(A555,Ingreso!AL:AM,2,FALSE),FALSE)/24,""))),"")=0,"",IFERROR(IF(C555=C553,0,IF(E555=E554,0,IF(C555=$R$2,HLOOKUP($R$2,Ingreso!$AW$10:$BC$260,VLOOKUP(A555,Ingreso!AL:AM,2,FALSE),FALSE)/24,""))),""))</f>
        <v/>
      </c>
      <c r="N555" s="95" t="str">
        <f>IF(IFERROR(IF(C555=C553,0,IF(E555=E554,0,IF(C555=$R$3,HLOOKUP($R$3,Ingreso!$AW$10:$BC$260,VLOOKUP(A555,Ingreso!AL:AM,2,FALSE),FALSE)/24,""))),"")=0,"",IFERROR(IF(C555=C553,0,IF(E555=E554,0,IF(C555=$R$3,HLOOKUP($R$3,Ingreso!$AW$10:$BC$260,VLOOKUP(A555,Ingreso!AL:AM,2,FALSE),FALSE)/24,""))),""))</f>
        <v/>
      </c>
      <c r="O555" s="95" t="str">
        <f>IF(IFERROR(IF(C555=C553,0,IF(E555=E554,0,IF(C555=$R$4,HLOOKUP($R$4,Ingreso!$AW$10:$BC$260,VLOOKUP(A555,Ingreso!AL:AM,2,FALSE),FALSE)/24,""))),"")=0,"",IFERROR(IF(C555=C553,0,IF(E555=E554,0,IF(C555=$R$4,HLOOKUP($R$4,Ingreso!$AW$10:$BC$260,VLOOKUP(A555,Ingreso!AL:AM,2,FALSE),FALSE)/24,""))),""))</f>
        <v/>
      </c>
      <c r="P555" s="90"/>
      <c r="V555"/>
      <c r="W555"/>
      <c r="X555"/>
      <c r="Y555"/>
      <c r="Z555"/>
      <c r="AA555"/>
      <c r="AB555"/>
      <c r="AC555"/>
      <c r="AD555"/>
    </row>
    <row r="556" spans="1:30">
      <c r="A556" s="65" t="str">
        <f>IFERROR(VLOOKUP('Informe Kelly'!A549,Base!A:B,2,FALSE),"")</f>
        <v>11.660.411-6</v>
      </c>
      <c r="B556" s="65" t="str">
        <f>IFERROR(VLOOKUP('Informe Kelly'!A549,Base!A:G,7,FALSE),"")</f>
        <v>CORTES HERRERA SIXTO PATRICIO</v>
      </c>
      <c r="C556" s="69" t="str">
        <f>IF(G556=$C$4,IF('Informe Kelly'!H549='Control informe Kelly'!$A$2,TEXT(((LEFT('Informe Kelly'!E549,2)*1)+1),"dd")&amp;"."&amp;MID('Informe Kelly'!E549,4,2)&amp;"."&amp;RIGHT('Informe Kelly'!E549,4),'Informe Kelly'!E549),'Informe Kelly'!E549)</f>
        <v>14.04.2011</v>
      </c>
      <c r="D556" s="69" t="str">
        <f>IF('Informe Kelly'!E549="","",'Informe Kelly'!E549)</f>
        <v>14.04.2011</v>
      </c>
      <c r="E556" s="72">
        <f t="shared" si="17"/>
        <v>279</v>
      </c>
      <c r="F556" s="72" t="str">
        <f>IFERROR(HLOOKUP(C556,Ingreso!$Q$8:$AD$9,2,FALSE),"v")</f>
        <v>Jueves</v>
      </c>
      <c r="G556" s="65" t="str">
        <f>IFERROR(VLOOKUP(A556,Ingreso!K:P,6,FALSE),"no esta ingresado")</f>
        <v>Turno B</v>
      </c>
      <c r="H556" s="65">
        <f>IFERROR(IF('Informe Kelly'!H549=$A$2,'Informe Kelly'!F549,""),0)</f>
        <v>0.6130092592592592</v>
      </c>
      <c r="I556" s="65" t="str">
        <f>IFERROR(IF('Informe Kelly'!H549=$A$3,'Informe Kelly'!F549,""),0)</f>
        <v/>
      </c>
      <c r="J556" s="65" t="str">
        <f>IF(IFERROR(IF(E556=E555,0,(HLOOKUP(D556,Ingreso!$AN$10:$AT$260,VLOOKUP(A556,Ingreso!$AL$11:$AM$260,2,FALSE)))/24),0)=0,"",IFERROR(IF(E556=E555,0,(HLOOKUP(D556,Ingreso!$AN$10:$AT$260,VLOOKUP(A556,Ingreso!$AL$11:$AM$260,2,FALSE)))/24),0))</f>
        <v/>
      </c>
      <c r="K556" s="65" t="str">
        <f>IF(IFERROR(IF(E556=E555,0,(HLOOKUP(C556,Ingreso!$AW$10:$BC$260,VLOOKUP(A556,Ingreso!$AL$11:$AM$260,2,FALSE)))/24),0)=0,"",IFERROR(IF(E556=E555,0,(HLOOKUP(C556,Ingreso!$AW$10:$BC$260,VLOOKUP(A556,Ingreso!$AL$11:$AM$260,2,FALSE)))/24),0))</f>
        <v/>
      </c>
      <c r="L556" s="63">
        <f t="shared" si="16"/>
        <v>0</v>
      </c>
      <c r="M556" s="63" t="str">
        <f>IF(IFERROR(IF(C556=C554,0,IF(E556=E555,0,IF(C556=$R$2,HLOOKUP($R$2,Ingreso!$AW$10:$BC$260,VLOOKUP(A556,Ingreso!AL:AM,2,FALSE),FALSE)/24,""))),"")=0,"",IFERROR(IF(C556=C554,0,IF(E556=E555,0,IF(C556=$R$2,HLOOKUP($R$2,Ingreso!$AW$10:$BC$260,VLOOKUP(A556,Ingreso!AL:AM,2,FALSE),FALSE)/24,""))),""))</f>
        <v/>
      </c>
      <c r="N556" s="95" t="str">
        <f>IF(IFERROR(IF(C556=C554,0,IF(E556=E555,0,IF(C556=$R$3,HLOOKUP($R$3,Ingreso!$AW$10:$BC$260,VLOOKUP(A556,Ingreso!AL:AM,2,FALSE),FALSE)/24,""))),"")=0,"",IFERROR(IF(C556=C554,0,IF(E556=E555,0,IF(C556=$R$3,HLOOKUP($R$3,Ingreso!$AW$10:$BC$260,VLOOKUP(A556,Ingreso!AL:AM,2,FALSE),FALSE)/24,""))),""))</f>
        <v/>
      </c>
      <c r="O556" s="95" t="str">
        <f>IF(IFERROR(IF(C556=C554,0,IF(E556=E555,0,IF(C556=$R$4,HLOOKUP($R$4,Ingreso!$AW$10:$BC$260,VLOOKUP(A556,Ingreso!AL:AM,2,FALSE),FALSE)/24,""))),"")=0,"",IFERROR(IF(C556=C554,0,IF(E556=E555,0,IF(C556=$R$4,HLOOKUP($R$4,Ingreso!$AW$10:$BC$260,VLOOKUP(A556,Ingreso!AL:AM,2,FALSE),FALSE)/24,""))),""))</f>
        <v/>
      </c>
      <c r="P556" s="90"/>
      <c r="V556"/>
      <c r="W556"/>
      <c r="X556"/>
      <c r="Y556"/>
      <c r="Z556"/>
      <c r="AA556"/>
      <c r="AB556"/>
      <c r="AC556"/>
      <c r="AD556"/>
    </row>
    <row r="557" spans="1:30">
      <c r="A557" s="65" t="str">
        <f>IFERROR(VLOOKUP('Informe Kelly'!A550,Base!A:B,2,FALSE),"")</f>
        <v>11.660.411-6</v>
      </c>
      <c r="B557" s="65" t="str">
        <f>IFERROR(VLOOKUP('Informe Kelly'!A550,Base!A:G,7,FALSE),"")</f>
        <v>CORTES HERRERA SIXTO PATRICIO</v>
      </c>
      <c r="C557" s="69" t="str">
        <f>IF(G557=$C$4,IF('Informe Kelly'!H550='Control informe Kelly'!$A$2,TEXT(((LEFT('Informe Kelly'!E550,2)*1)+1),"dd")&amp;"."&amp;MID('Informe Kelly'!E550,4,2)&amp;"."&amp;RIGHT('Informe Kelly'!E550,4),'Informe Kelly'!E550),'Informe Kelly'!E550)</f>
        <v>15.04.2011</v>
      </c>
      <c r="D557" s="69" t="str">
        <f>IF('Informe Kelly'!E550="","",'Informe Kelly'!E550)</f>
        <v>15.04.2011</v>
      </c>
      <c r="E557" s="72">
        <f t="shared" si="17"/>
        <v>280</v>
      </c>
      <c r="F557" s="72" t="str">
        <f>IFERROR(HLOOKUP(C557,Ingreso!$Q$8:$AD$9,2,FALSE),"v")</f>
        <v>Viernes</v>
      </c>
      <c r="G557" s="65" t="str">
        <f>IFERROR(VLOOKUP(A557,Ingreso!K:P,6,FALSE),"no esta ingresado")</f>
        <v>Turno B</v>
      </c>
      <c r="H557" s="65" t="str">
        <f>IFERROR(IF('Informe Kelly'!H550=$A$2,'Informe Kelly'!F550,""),0)</f>
        <v/>
      </c>
      <c r="I557" s="65">
        <f>IFERROR(IF('Informe Kelly'!H550=$A$3,'Informe Kelly'!F550,""),0)</f>
        <v>0.95013888888888898</v>
      </c>
      <c r="J557" s="65" t="str">
        <f>IF(IFERROR(IF(E557=E556,0,(HLOOKUP(D557,Ingreso!$AN$10:$AT$260,VLOOKUP(A557,Ingreso!$AL$11:$AM$260,2,FALSE)))/24),0)=0,"",IFERROR(IF(E557=E556,0,(HLOOKUP(D557,Ingreso!$AN$10:$AT$260,VLOOKUP(A557,Ingreso!$AL$11:$AM$260,2,FALSE)))/24),0))</f>
        <v/>
      </c>
      <c r="K557" s="65" t="str">
        <f>IF(IFERROR(IF(E557=E556,0,(HLOOKUP(C557,Ingreso!$AW$10:$BC$260,VLOOKUP(A557,Ingreso!$AL$11:$AM$260,2,FALSE)))/24),0)=0,"",IFERROR(IF(E557=E556,0,(HLOOKUP(C557,Ingreso!$AW$10:$BC$260,VLOOKUP(A557,Ingreso!$AL$11:$AM$260,2,FALSE)))/24),0))</f>
        <v/>
      </c>
      <c r="L557" s="63">
        <f t="shared" si="16"/>
        <v>0.3125</v>
      </c>
      <c r="M557" s="63" t="str">
        <f>IF(IFERROR(IF(C557=C555,0,IF(E557=E556,0,IF(C557=$R$2,HLOOKUP($R$2,Ingreso!$AW$10:$BC$260,VLOOKUP(A557,Ingreso!AL:AM,2,FALSE),FALSE)/24,""))),"")=0,"",IFERROR(IF(C557=C555,0,IF(E557=E556,0,IF(C557=$R$2,HLOOKUP($R$2,Ingreso!$AW$10:$BC$260,VLOOKUP(A557,Ingreso!AL:AM,2,FALSE),FALSE)/24,""))),""))</f>
        <v/>
      </c>
      <c r="N557" s="95" t="str">
        <f>IF(IFERROR(IF(C557=C555,0,IF(E557=E556,0,IF(C557=$R$3,HLOOKUP($R$3,Ingreso!$AW$10:$BC$260,VLOOKUP(A557,Ingreso!AL:AM,2,FALSE),FALSE)/24,""))),"")=0,"",IFERROR(IF(C557=C555,0,IF(E557=E556,0,IF(C557=$R$3,HLOOKUP($R$3,Ingreso!$AW$10:$BC$260,VLOOKUP(A557,Ingreso!AL:AM,2,FALSE),FALSE)/24,""))),""))</f>
        <v/>
      </c>
      <c r="O557" s="95" t="str">
        <f>IF(IFERROR(IF(C557=C555,0,IF(E557=E556,0,IF(C557=$R$4,HLOOKUP($R$4,Ingreso!$AW$10:$BC$260,VLOOKUP(A557,Ingreso!AL:AM,2,FALSE),FALSE)/24,""))),"")=0,"",IFERROR(IF(C557=C555,0,IF(E557=E556,0,IF(C557=$R$4,HLOOKUP($R$4,Ingreso!$AW$10:$BC$260,VLOOKUP(A557,Ingreso!AL:AM,2,FALSE),FALSE)/24,""))),""))</f>
        <v/>
      </c>
      <c r="P557" s="90"/>
      <c r="V557"/>
      <c r="W557"/>
      <c r="X557"/>
      <c r="Y557"/>
      <c r="Z557"/>
      <c r="AA557"/>
      <c r="AB557"/>
      <c r="AC557"/>
      <c r="AD557"/>
    </row>
    <row r="558" spans="1:30">
      <c r="A558" s="65" t="str">
        <f>IFERROR(VLOOKUP('Informe Kelly'!A551,Base!A:B,2,FALSE),"")</f>
        <v>11.660.411-6</v>
      </c>
      <c r="B558" s="65" t="str">
        <f>IFERROR(VLOOKUP('Informe Kelly'!A551,Base!A:G,7,FALSE),"")</f>
        <v>CORTES HERRERA SIXTO PATRICIO</v>
      </c>
      <c r="C558" s="69" t="str">
        <f>IF(G558=$C$4,IF('Informe Kelly'!H551='Control informe Kelly'!$A$2,TEXT(((LEFT('Informe Kelly'!E551,2)*1)+1),"dd")&amp;"."&amp;MID('Informe Kelly'!E551,4,2)&amp;"."&amp;RIGHT('Informe Kelly'!E551,4),'Informe Kelly'!E551),'Informe Kelly'!E551)</f>
        <v>15.04.2011</v>
      </c>
      <c r="D558" s="69" t="str">
        <f>IF('Informe Kelly'!E551="","",'Informe Kelly'!E551)</f>
        <v>15.04.2011</v>
      </c>
      <c r="E558" s="72">
        <f t="shared" si="17"/>
        <v>280</v>
      </c>
      <c r="F558" s="72" t="str">
        <f>IFERROR(HLOOKUP(C558,Ingreso!$Q$8:$AD$9,2,FALSE),"v")</f>
        <v>Viernes</v>
      </c>
      <c r="G558" s="65" t="str">
        <f>IFERROR(VLOOKUP(A558,Ingreso!K:P,6,FALSE),"no esta ingresado")</f>
        <v>Turno B</v>
      </c>
      <c r="H558" s="65">
        <f>IFERROR(IF('Informe Kelly'!H551=$A$2,'Informe Kelly'!F551,""),0)</f>
        <v>0.60811342592592588</v>
      </c>
      <c r="I558" s="65" t="str">
        <f>IFERROR(IF('Informe Kelly'!H551=$A$3,'Informe Kelly'!F551,""),0)</f>
        <v/>
      </c>
      <c r="J558" s="65" t="str">
        <f>IF(IFERROR(IF(E558=E557,0,(HLOOKUP(D558,Ingreso!$AN$10:$AT$260,VLOOKUP(A558,Ingreso!$AL$11:$AM$260,2,FALSE)))/24),0)=0,"",IFERROR(IF(E558=E557,0,(HLOOKUP(D558,Ingreso!$AN$10:$AT$260,VLOOKUP(A558,Ingreso!$AL$11:$AM$260,2,FALSE)))/24),0))</f>
        <v/>
      </c>
      <c r="K558" s="65" t="str">
        <f>IF(IFERROR(IF(E558=E557,0,(HLOOKUP(C558,Ingreso!$AW$10:$BC$260,VLOOKUP(A558,Ingreso!$AL$11:$AM$260,2,FALSE)))/24),0)=0,"",IFERROR(IF(E558=E557,0,(HLOOKUP(C558,Ingreso!$AW$10:$BC$260,VLOOKUP(A558,Ingreso!$AL$11:$AM$260,2,FALSE)))/24),0))</f>
        <v/>
      </c>
      <c r="L558" s="63">
        <f t="shared" si="16"/>
        <v>0</v>
      </c>
      <c r="M558" s="63" t="str">
        <f>IF(IFERROR(IF(C558=C556,0,IF(E558=E557,0,IF(C558=$R$2,HLOOKUP($R$2,Ingreso!$AW$10:$BC$260,VLOOKUP(A558,Ingreso!AL:AM,2,FALSE),FALSE)/24,""))),"")=0,"",IFERROR(IF(C558=C556,0,IF(E558=E557,0,IF(C558=$R$2,HLOOKUP($R$2,Ingreso!$AW$10:$BC$260,VLOOKUP(A558,Ingreso!AL:AM,2,FALSE),FALSE)/24,""))),""))</f>
        <v/>
      </c>
      <c r="N558" s="95" t="str">
        <f>IF(IFERROR(IF(C558=C556,0,IF(E558=E557,0,IF(C558=$R$3,HLOOKUP($R$3,Ingreso!$AW$10:$BC$260,VLOOKUP(A558,Ingreso!AL:AM,2,FALSE),FALSE)/24,""))),"")=0,"",IFERROR(IF(C558=C556,0,IF(E558=E557,0,IF(C558=$R$3,HLOOKUP($R$3,Ingreso!$AW$10:$BC$260,VLOOKUP(A558,Ingreso!AL:AM,2,FALSE),FALSE)/24,""))),""))</f>
        <v/>
      </c>
      <c r="O558" s="95" t="str">
        <f>IF(IFERROR(IF(C558=C556,0,IF(E558=E557,0,IF(C558=$R$4,HLOOKUP($R$4,Ingreso!$AW$10:$BC$260,VLOOKUP(A558,Ingreso!AL:AM,2,FALSE),FALSE)/24,""))),"")=0,"",IFERROR(IF(C558=C556,0,IF(E558=E557,0,IF(C558=$R$4,HLOOKUP($R$4,Ingreso!$AW$10:$BC$260,VLOOKUP(A558,Ingreso!AL:AM,2,FALSE),FALSE)/24,""))),""))</f>
        <v/>
      </c>
      <c r="P558" s="90"/>
      <c r="V558"/>
      <c r="W558"/>
      <c r="X558"/>
      <c r="Y558"/>
      <c r="Z558"/>
      <c r="AA558"/>
      <c r="AB558"/>
      <c r="AC558"/>
      <c r="AD558"/>
    </row>
    <row r="559" spans="1:30">
      <c r="A559" s="65" t="str">
        <f>IFERROR(VLOOKUP('Informe Kelly'!A552,Base!A:B,2,FALSE),"")</f>
        <v>11.660.411-6</v>
      </c>
      <c r="B559" s="65" t="str">
        <f>IFERROR(VLOOKUP('Informe Kelly'!A552,Base!A:G,7,FALSE),"")</f>
        <v>CORTES HERRERA SIXTO PATRICIO</v>
      </c>
      <c r="C559" s="69" t="str">
        <f>IF(G559=$C$4,IF('Informe Kelly'!H552='Control informe Kelly'!$A$2,TEXT(((LEFT('Informe Kelly'!E552,2)*1)+1),"dd")&amp;"."&amp;MID('Informe Kelly'!E552,4,2)&amp;"."&amp;RIGHT('Informe Kelly'!E552,4),'Informe Kelly'!E552),'Informe Kelly'!E552)</f>
        <v>16.04.2011</v>
      </c>
      <c r="D559" s="69" t="str">
        <f>IF('Informe Kelly'!E552="","",'Informe Kelly'!E552)</f>
        <v>16.04.2011</v>
      </c>
      <c r="E559" s="72">
        <f t="shared" si="17"/>
        <v>281</v>
      </c>
      <c r="F559" s="72" t="str">
        <f>IFERROR(HLOOKUP(C559,Ingreso!$Q$8:$AD$9,2,FALSE),"v")</f>
        <v>Sábado</v>
      </c>
      <c r="G559" s="65" t="str">
        <f>IFERROR(VLOOKUP(A559,Ingreso!K:P,6,FALSE),"no esta ingresado")</f>
        <v>Turno B</v>
      </c>
      <c r="H559" s="65" t="str">
        <f>IFERROR(IF('Informe Kelly'!H552=$A$2,'Informe Kelly'!F552,""),0)</f>
        <v/>
      </c>
      <c r="I559" s="65">
        <f>IFERROR(IF('Informe Kelly'!H552=$A$3,'Informe Kelly'!F552,""),0)</f>
        <v>0.94651620370370371</v>
      </c>
      <c r="J559" s="65" t="str">
        <f>IF(IFERROR(IF(E559=E558,0,(HLOOKUP(D559,Ingreso!$AN$10:$AT$260,VLOOKUP(A559,Ingreso!$AL$11:$AM$260,2,FALSE)))/24),0)=0,"",IFERROR(IF(E559=E558,0,(HLOOKUP(D559,Ingreso!$AN$10:$AT$260,VLOOKUP(A559,Ingreso!$AL$11:$AM$260,2,FALSE)))/24),0))</f>
        <v/>
      </c>
      <c r="K559" s="65" t="str">
        <f>IF(IFERROR(IF(E559=E558,0,(HLOOKUP(C559,Ingreso!$AW$10:$BC$260,VLOOKUP(A559,Ingreso!$AL$11:$AM$260,2,FALSE)))/24),0)=0,"",IFERROR(IF(E559=E558,0,(HLOOKUP(C559,Ingreso!$AW$10:$BC$260,VLOOKUP(A559,Ingreso!$AL$11:$AM$260,2,FALSE)))/24),0))</f>
        <v/>
      </c>
      <c r="L559" s="63">
        <f t="shared" si="16"/>
        <v>0.3125</v>
      </c>
      <c r="M559" s="63" t="str">
        <f>IF(IFERROR(IF(C559=C557,0,IF(E559=E558,0,IF(C559=$R$2,HLOOKUP($R$2,Ingreso!$AW$10:$BC$260,VLOOKUP(A559,Ingreso!AL:AM,2,FALSE),FALSE)/24,""))),"")=0,"",IFERROR(IF(C559=C557,0,IF(E559=E558,0,IF(C559=$R$2,HLOOKUP($R$2,Ingreso!$AW$10:$BC$260,VLOOKUP(A559,Ingreso!AL:AM,2,FALSE),FALSE)/24,""))),""))</f>
        <v/>
      </c>
      <c r="N559" s="95" t="str">
        <f>IF(IFERROR(IF(C559=C557,0,IF(E559=E558,0,IF(C559=$R$3,HLOOKUP($R$3,Ingreso!$AW$10:$BC$260,VLOOKUP(A559,Ingreso!AL:AM,2,FALSE),FALSE)/24,""))),"")=0,"",IFERROR(IF(C559=C557,0,IF(E559=E558,0,IF(C559=$R$3,HLOOKUP($R$3,Ingreso!$AW$10:$BC$260,VLOOKUP(A559,Ingreso!AL:AM,2,FALSE),FALSE)/24,""))),""))</f>
        <v/>
      </c>
      <c r="O559" s="95" t="str">
        <f>IF(IFERROR(IF(C559=C557,0,IF(E559=E558,0,IF(C559=$R$4,HLOOKUP($R$4,Ingreso!$AW$10:$BC$260,VLOOKUP(A559,Ingreso!AL:AM,2,FALSE),FALSE)/24,""))),"")=0,"",IFERROR(IF(C559=C557,0,IF(E559=E558,0,IF(C559=$R$4,HLOOKUP($R$4,Ingreso!$AW$10:$BC$260,VLOOKUP(A559,Ingreso!AL:AM,2,FALSE),FALSE)/24,""))),""))</f>
        <v/>
      </c>
      <c r="P559" s="90"/>
      <c r="V559"/>
      <c r="W559"/>
      <c r="X559"/>
      <c r="Y559"/>
      <c r="Z559"/>
      <c r="AA559"/>
      <c r="AB559"/>
      <c r="AC559"/>
      <c r="AD559"/>
    </row>
    <row r="560" spans="1:30">
      <c r="A560" s="65" t="str">
        <f>IFERROR(VLOOKUP('Informe Kelly'!A553,Base!A:B,2,FALSE),"")</f>
        <v>11.660.411-6</v>
      </c>
      <c r="B560" s="65" t="str">
        <f>IFERROR(VLOOKUP('Informe Kelly'!A553,Base!A:G,7,FALSE),"")</f>
        <v>CORTES HERRERA SIXTO PATRICIO</v>
      </c>
      <c r="C560" s="69" t="str">
        <f>IF(G560=$C$4,IF('Informe Kelly'!H553='Control informe Kelly'!$A$2,TEXT(((LEFT('Informe Kelly'!E553,2)*1)+1),"dd")&amp;"."&amp;MID('Informe Kelly'!E553,4,2)&amp;"."&amp;RIGHT('Informe Kelly'!E553,4),'Informe Kelly'!E553),'Informe Kelly'!E553)</f>
        <v>16.04.2011</v>
      </c>
      <c r="D560" s="69" t="str">
        <f>IF('Informe Kelly'!E553="","",'Informe Kelly'!E553)</f>
        <v>16.04.2011</v>
      </c>
      <c r="E560" s="72">
        <f t="shared" si="17"/>
        <v>281</v>
      </c>
      <c r="F560" s="72" t="str">
        <f>IFERROR(HLOOKUP(C560,Ingreso!$Q$8:$AD$9,2,FALSE),"v")</f>
        <v>Sábado</v>
      </c>
      <c r="G560" s="65" t="str">
        <f>IFERROR(VLOOKUP(A560,Ingreso!K:P,6,FALSE),"no esta ingresado")</f>
        <v>Turno B</v>
      </c>
      <c r="H560" s="65">
        <f>IFERROR(IF('Informe Kelly'!H553=$A$2,'Informe Kelly'!F553,""),0)</f>
        <v>0.61135416666666664</v>
      </c>
      <c r="I560" s="65" t="str">
        <f>IFERROR(IF('Informe Kelly'!H553=$A$3,'Informe Kelly'!F553,""),0)</f>
        <v/>
      </c>
      <c r="J560" s="65" t="str">
        <f>IF(IFERROR(IF(E560=E559,0,(HLOOKUP(D560,Ingreso!$AN$10:$AT$260,VLOOKUP(A560,Ingreso!$AL$11:$AM$260,2,FALSE)))/24),0)=0,"",IFERROR(IF(E560=E559,0,(HLOOKUP(D560,Ingreso!$AN$10:$AT$260,VLOOKUP(A560,Ingreso!$AL$11:$AM$260,2,FALSE)))/24),0))</f>
        <v/>
      </c>
      <c r="K560" s="65" t="str">
        <f>IF(IFERROR(IF(E560=E559,0,(HLOOKUP(C560,Ingreso!$AW$10:$BC$260,VLOOKUP(A560,Ingreso!$AL$11:$AM$260,2,FALSE)))/24),0)=0,"",IFERROR(IF(E560=E559,0,(HLOOKUP(C560,Ingreso!$AW$10:$BC$260,VLOOKUP(A560,Ingreso!$AL$11:$AM$260,2,FALSE)))/24),0))</f>
        <v/>
      </c>
      <c r="L560" s="63">
        <f t="shared" si="16"/>
        <v>0</v>
      </c>
      <c r="M560" s="63" t="str">
        <f>IF(IFERROR(IF(C560=C558,0,IF(E560=E559,0,IF(C560=$R$2,HLOOKUP($R$2,Ingreso!$AW$10:$BC$260,VLOOKUP(A560,Ingreso!AL:AM,2,FALSE),FALSE)/24,""))),"")=0,"",IFERROR(IF(C560=C558,0,IF(E560=E559,0,IF(C560=$R$2,HLOOKUP($R$2,Ingreso!$AW$10:$BC$260,VLOOKUP(A560,Ingreso!AL:AM,2,FALSE),FALSE)/24,""))),""))</f>
        <v/>
      </c>
      <c r="N560" s="95" t="str">
        <f>IF(IFERROR(IF(C560=C558,0,IF(E560=E559,0,IF(C560=$R$3,HLOOKUP($R$3,Ingreso!$AW$10:$BC$260,VLOOKUP(A560,Ingreso!AL:AM,2,FALSE),FALSE)/24,""))),"")=0,"",IFERROR(IF(C560=C558,0,IF(E560=E559,0,IF(C560=$R$3,HLOOKUP($R$3,Ingreso!$AW$10:$BC$260,VLOOKUP(A560,Ingreso!AL:AM,2,FALSE),FALSE)/24,""))),""))</f>
        <v/>
      </c>
      <c r="O560" s="95" t="str">
        <f>IF(IFERROR(IF(C560=C558,0,IF(E560=E559,0,IF(C560=$R$4,HLOOKUP($R$4,Ingreso!$AW$10:$BC$260,VLOOKUP(A560,Ingreso!AL:AM,2,FALSE),FALSE)/24,""))),"")=0,"",IFERROR(IF(C560=C558,0,IF(E560=E559,0,IF(C560=$R$4,HLOOKUP($R$4,Ingreso!$AW$10:$BC$260,VLOOKUP(A560,Ingreso!AL:AM,2,FALSE),FALSE)/24,""))),""))</f>
        <v/>
      </c>
      <c r="P560" s="90"/>
      <c r="V560"/>
      <c r="W560"/>
      <c r="X560"/>
      <c r="Y560"/>
      <c r="Z560"/>
      <c r="AA560"/>
      <c r="AB560"/>
      <c r="AC560"/>
      <c r="AD560"/>
    </row>
    <row r="561" spans="1:30">
      <c r="A561" s="65" t="str">
        <f>IFERROR(VLOOKUP('Informe Kelly'!A554,Base!A:B,2,FALSE),"")</f>
        <v>12.020.450-5</v>
      </c>
      <c r="B561" s="65" t="str">
        <f>IFERROR(VLOOKUP('Informe Kelly'!A554,Base!A:G,7,FALSE),"")</f>
        <v>PINEDA PEREZ ROBERTO</v>
      </c>
      <c r="C561" s="69" t="str">
        <f>IF(G561=$C$4,IF('Informe Kelly'!H554='Control informe Kelly'!$A$2,TEXT(((LEFT('Informe Kelly'!E554,2)*1)+1),"dd")&amp;"."&amp;MID('Informe Kelly'!E554,4,2)&amp;"."&amp;RIGHT('Informe Kelly'!E554,4),'Informe Kelly'!E554),'Informe Kelly'!E554)</f>
        <v>11.04.2011</v>
      </c>
      <c r="D561" s="69" t="str">
        <f>IF('Informe Kelly'!E554="","",'Informe Kelly'!E554)</f>
        <v>11.04.2011</v>
      </c>
      <c r="E561" s="72">
        <f t="shared" si="17"/>
        <v>282</v>
      </c>
      <c r="F561" s="72" t="str">
        <f>IFERROR(HLOOKUP(C561,Ingreso!$Q$8:$AD$9,2,FALSE),"v")</f>
        <v>Lunes</v>
      </c>
      <c r="G561" s="65" t="str">
        <f>IFERROR(VLOOKUP(A561,Ingreso!K:P,6,FALSE),"no esta ingresado")</f>
        <v>Admin</v>
      </c>
      <c r="H561" s="65" t="str">
        <f>IFERROR(IF('Informe Kelly'!H554=$A$2,'Informe Kelly'!F554,""),0)</f>
        <v/>
      </c>
      <c r="I561" s="65">
        <f>IFERROR(IF('Informe Kelly'!H554=$A$3,'Informe Kelly'!F554,""),0)</f>
        <v>0.77932870370370377</v>
      </c>
      <c r="J561" s="65" t="str">
        <f>IF(IFERROR(IF(E561=E560,0,(HLOOKUP(D561,Ingreso!$AN$10:$AT$260,VLOOKUP(A561,Ingreso!$AL$11:$AM$260,2,FALSE)))/24),0)=0,"",IFERROR(IF(E561=E560,0,(HLOOKUP(D561,Ingreso!$AN$10:$AT$260,VLOOKUP(A561,Ingreso!$AL$11:$AM$260,2,FALSE)))/24),0))</f>
        <v/>
      </c>
      <c r="K561" s="65" t="str">
        <f>IF(IFERROR(IF(E561=E560,0,(HLOOKUP(C561,Ingreso!$AW$10:$BC$260,VLOOKUP(A561,Ingreso!$AL$11:$AM$260,2,FALSE)))/24),0)=0,"",IFERROR(IF(E561=E560,0,(HLOOKUP(C561,Ingreso!$AW$10:$BC$260,VLOOKUP(A561,Ingreso!$AL$11:$AM$260,2,FALSE)))/24),0))</f>
        <v/>
      </c>
      <c r="L561" s="63">
        <f t="shared" si="16"/>
        <v>0.41666666666666669</v>
      </c>
      <c r="M561" s="63" t="str">
        <f>IF(IFERROR(IF(C561=C559,0,IF(E561=E560,0,IF(C561=$R$2,HLOOKUP($R$2,Ingreso!$AW$10:$BC$260,VLOOKUP(A561,Ingreso!AL:AM,2,FALSE),FALSE)/24,""))),"")=0,"",IFERROR(IF(C561=C559,0,IF(E561=E560,0,IF(C561=$R$2,HLOOKUP($R$2,Ingreso!$AW$10:$BC$260,VLOOKUP(A561,Ingreso!AL:AM,2,FALSE),FALSE)/24,""))),""))</f>
        <v/>
      </c>
      <c r="N561" s="95" t="str">
        <f>IF(IFERROR(IF(C561=C559,0,IF(E561=E560,0,IF(C561=$R$3,HLOOKUP($R$3,Ingreso!$AW$10:$BC$260,VLOOKUP(A561,Ingreso!AL:AM,2,FALSE),FALSE)/24,""))),"")=0,"",IFERROR(IF(C561=C559,0,IF(E561=E560,0,IF(C561=$R$3,HLOOKUP($R$3,Ingreso!$AW$10:$BC$260,VLOOKUP(A561,Ingreso!AL:AM,2,FALSE),FALSE)/24,""))),""))</f>
        <v/>
      </c>
      <c r="O561" s="95" t="str">
        <f>IF(IFERROR(IF(C561=C559,0,IF(E561=E560,0,IF(C561=$R$4,HLOOKUP($R$4,Ingreso!$AW$10:$BC$260,VLOOKUP(A561,Ingreso!AL:AM,2,FALSE),FALSE)/24,""))),"")=0,"",IFERROR(IF(C561=C559,0,IF(E561=E560,0,IF(C561=$R$4,HLOOKUP($R$4,Ingreso!$AW$10:$BC$260,VLOOKUP(A561,Ingreso!AL:AM,2,FALSE),FALSE)/24,""))),""))</f>
        <v/>
      </c>
      <c r="P561" s="90"/>
      <c r="V561"/>
      <c r="W561"/>
      <c r="X561"/>
      <c r="Y561"/>
      <c r="Z561"/>
      <c r="AA561"/>
      <c r="AB561"/>
      <c r="AC561"/>
      <c r="AD561"/>
    </row>
    <row r="562" spans="1:30">
      <c r="A562" s="65" t="str">
        <f>IFERROR(VLOOKUP('Informe Kelly'!A555,Base!A:B,2,FALSE),"")</f>
        <v>12.020.450-5</v>
      </c>
      <c r="B562" s="65" t="str">
        <f>IFERROR(VLOOKUP('Informe Kelly'!A555,Base!A:G,7,FALSE),"")</f>
        <v>PINEDA PEREZ ROBERTO</v>
      </c>
      <c r="C562" s="69" t="str">
        <f>IF(G562=$C$4,IF('Informe Kelly'!H555='Control informe Kelly'!$A$2,TEXT(((LEFT('Informe Kelly'!E555,2)*1)+1),"dd")&amp;"."&amp;MID('Informe Kelly'!E555,4,2)&amp;"."&amp;RIGHT('Informe Kelly'!E555,4),'Informe Kelly'!E555),'Informe Kelly'!E555)</f>
        <v>11.04.2011</v>
      </c>
      <c r="D562" s="69" t="str">
        <f>IF('Informe Kelly'!E555="","",'Informe Kelly'!E555)</f>
        <v>11.04.2011</v>
      </c>
      <c r="E562" s="72">
        <f t="shared" si="17"/>
        <v>282</v>
      </c>
      <c r="F562" s="72" t="str">
        <f>IFERROR(HLOOKUP(C562,Ingreso!$Q$8:$AD$9,2,FALSE),"v")</f>
        <v>Lunes</v>
      </c>
      <c r="G562" s="65" t="str">
        <f>IFERROR(VLOOKUP(A562,Ingreso!K:P,6,FALSE),"no esta ingresado")</f>
        <v>Admin</v>
      </c>
      <c r="H562" s="65">
        <f>IFERROR(IF('Informe Kelly'!H555=$A$2,'Informe Kelly'!F555,""),0)</f>
        <v>0.36896990740740737</v>
      </c>
      <c r="I562" s="65" t="str">
        <f>IFERROR(IF('Informe Kelly'!H555=$A$3,'Informe Kelly'!F555,""),0)</f>
        <v/>
      </c>
      <c r="J562" s="65" t="str">
        <f>IF(IFERROR(IF(E562=E561,0,(HLOOKUP(D562,Ingreso!$AN$10:$AT$260,VLOOKUP(A562,Ingreso!$AL$11:$AM$260,2,FALSE)))/24),0)=0,"",IFERROR(IF(E562=E561,0,(HLOOKUP(D562,Ingreso!$AN$10:$AT$260,VLOOKUP(A562,Ingreso!$AL$11:$AM$260,2,FALSE)))/24),0))</f>
        <v/>
      </c>
      <c r="K562" s="65" t="str">
        <f>IF(IFERROR(IF(E562=E561,0,(HLOOKUP(C562,Ingreso!$AW$10:$BC$260,VLOOKUP(A562,Ingreso!$AL$11:$AM$260,2,FALSE)))/24),0)=0,"",IFERROR(IF(E562=E561,0,(HLOOKUP(C562,Ingreso!$AW$10:$BC$260,VLOOKUP(A562,Ingreso!$AL$11:$AM$260,2,FALSE)))/24),0))</f>
        <v/>
      </c>
      <c r="L562" s="63">
        <f t="shared" si="16"/>
        <v>0</v>
      </c>
      <c r="M562" s="63" t="str">
        <f>IF(IFERROR(IF(C562=C560,0,IF(E562=E561,0,IF(C562=$R$2,HLOOKUP($R$2,Ingreso!$AW$10:$BC$260,VLOOKUP(A562,Ingreso!AL:AM,2,FALSE),FALSE)/24,""))),"")=0,"",IFERROR(IF(C562=C560,0,IF(E562=E561,0,IF(C562=$R$2,HLOOKUP($R$2,Ingreso!$AW$10:$BC$260,VLOOKUP(A562,Ingreso!AL:AM,2,FALSE),FALSE)/24,""))),""))</f>
        <v/>
      </c>
      <c r="N562" s="95" t="str">
        <f>IF(IFERROR(IF(C562=C560,0,IF(E562=E561,0,IF(C562=$R$3,HLOOKUP($R$3,Ingreso!$AW$10:$BC$260,VLOOKUP(A562,Ingreso!AL:AM,2,FALSE),FALSE)/24,""))),"")=0,"",IFERROR(IF(C562=C560,0,IF(E562=E561,0,IF(C562=$R$3,HLOOKUP($R$3,Ingreso!$AW$10:$BC$260,VLOOKUP(A562,Ingreso!AL:AM,2,FALSE),FALSE)/24,""))),""))</f>
        <v/>
      </c>
      <c r="O562" s="95" t="str">
        <f>IF(IFERROR(IF(C562=C560,0,IF(E562=E561,0,IF(C562=$R$4,HLOOKUP($R$4,Ingreso!$AW$10:$BC$260,VLOOKUP(A562,Ingreso!AL:AM,2,FALSE),FALSE)/24,""))),"")=0,"",IFERROR(IF(C562=C560,0,IF(E562=E561,0,IF(C562=$R$4,HLOOKUP($R$4,Ingreso!$AW$10:$BC$260,VLOOKUP(A562,Ingreso!AL:AM,2,FALSE),FALSE)/24,""))),""))</f>
        <v/>
      </c>
      <c r="P562" s="90"/>
      <c r="V562"/>
      <c r="W562"/>
      <c r="X562"/>
      <c r="Y562"/>
      <c r="Z562"/>
      <c r="AA562"/>
      <c r="AB562"/>
      <c r="AC562"/>
      <c r="AD562"/>
    </row>
    <row r="563" spans="1:30">
      <c r="A563" s="65" t="str">
        <f>IFERROR(VLOOKUP('Informe Kelly'!A556,Base!A:B,2,FALSE),"")</f>
        <v>12.020.450-5</v>
      </c>
      <c r="B563" s="65" t="str">
        <f>IFERROR(VLOOKUP('Informe Kelly'!A556,Base!A:G,7,FALSE),"")</f>
        <v>PINEDA PEREZ ROBERTO</v>
      </c>
      <c r="C563" s="69" t="str">
        <f>IF(G563=$C$4,IF('Informe Kelly'!H556='Control informe Kelly'!$A$2,TEXT(((LEFT('Informe Kelly'!E556,2)*1)+1),"dd")&amp;"."&amp;MID('Informe Kelly'!E556,4,2)&amp;"."&amp;RIGHT('Informe Kelly'!E556,4),'Informe Kelly'!E556),'Informe Kelly'!E556)</f>
        <v>12.04.2011</v>
      </c>
      <c r="D563" s="69" t="str">
        <f>IF('Informe Kelly'!E556="","",'Informe Kelly'!E556)</f>
        <v>12.04.2011</v>
      </c>
      <c r="E563" s="72">
        <f t="shared" si="17"/>
        <v>283</v>
      </c>
      <c r="F563" s="72" t="str">
        <f>IFERROR(HLOOKUP(C563,Ingreso!$Q$8:$AD$9,2,FALSE),"v")</f>
        <v>Martes</v>
      </c>
      <c r="G563" s="65" t="str">
        <f>IFERROR(VLOOKUP(A563,Ingreso!K:P,6,FALSE),"no esta ingresado")</f>
        <v>Admin</v>
      </c>
      <c r="H563" s="65" t="str">
        <f>IFERROR(IF('Informe Kelly'!H556=$A$2,'Informe Kelly'!F556,""),0)</f>
        <v/>
      </c>
      <c r="I563" s="65">
        <f>IFERROR(IF('Informe Kelly'!H556=$A$3,'Informe Kelly'!F556,""),0)</f>
        <v>0.77114583333333331</v>
      </c>
      <c r="J563" s="65" t="str">
        <f>IF(IFERROR(IF(E563=E562,0,(HLOOKUP(D563,Ingreso!$AN$10:$AT$260,VLOOKUP(A563,Ingreso!$AL$11:$AM$260,2,FALSE)))/24),0)=0,"",IFERROR(IF(E563=E562,0,(HLOOKUP(D563,Ingreso!$AN$10:$AT$260,VLOOKUP(A563,Ingreso!$AL$11:$AM$260,2,FALSE)))/24),0))</f>
        <v/>
      </c>
      <c r="K563" s="65" t="str">
        <f>IF(IFERROR(IF(E563=E562,0,(HLOOKUP(C563,Ingreso!$AW$10:$BC$260,VLOOKUP(A563,Ingreso!$AL$11:$AM$260,2,FALSE)))/24),0)=0,"",IFERROR(IF(E563=E562,0,(HLOOKUP(C563,Ingreso!$AW$10:$BC$260,VLOOKUP(A563,Ingreso!$AL$11:$AM$260,2,FALSE)))/24),0))</f>
        <v/>
      </c>
      <c r="L563" s="63">
        <f t="shared" si="16"/>
        <v>0.41666666666666669</v>
      </c>
      <c r="M563" s="63" t="str">
        <f>IF(IFERROR(IF(C563=C561,0,IF(E563=E562,0,IF(C563=$R$2,HLOOKUP($R$2,Ingreso!$AW$10:$BC$260,VLOOKUP(A563,Ingreso!AL:AM,2,FALSE),FALSE)/24,""))),"")=0,"",IFERROR(IF(C563=C561,0,IF(E563=E562,0,IF(C563=$R$2,HLOOKUP($R$2,Ingreso!$AW$10:$BC$260,VLOOKUP(A563,Ingreso!AL:AM,2,FALSE),FALSE)/24,""))),""))</f>
        <v/>
      </c>
      <c r="N563" s="95" t="str">
        <f>IF(IFERROR(IF(C563=C561,0,IF(E563=E562,0,IF(C563=$R$3,HLOOKUP($R$3,Ingreso!$AW$10:$BC$260,VLOOKUP(A563,Ingreso!AL:AM,2,FALSE),FALSE)/24,""))),"")=0,"",IFERROR(IF(C563=C561,0,IF(E563=E562,0,IF(C563=$R$3,HLOOKUP($R$3,Ingreso!$AW$10:$BC$260,VLOOKUP(A563,Ingreso!AL:AM,2,FALSE),FALSE)/24,""))),""))</f>
        <v/>
      </c>
      <c r="O563" s="95" t="str">
        <f>IF(IFERROR(IF(C563=C561,0,IF(E563=E562,0,IF(C563=$R$4,HLOOKUP($R$4,Ingreso!$AW$10:$BC$260,VLOOKUP(A563,Ingreso!AL:AM,2,FALSE),FALSE)/24,""))),"")=0,"",IFERROR(IF(C563=C561,0,IF(E563=E562,0,IF(C563=$R$4,HLOOKUP($R$4,Ingreso!$AW$10:$BC$260,VLOOKUP(A563,Ingreso!AL:AM,2,FALSE),FALSE)/24,""))),""))</f>
        <v/>
      </c>
      <c r="P563" s="90"/>
      <c r="V563"/>
      <c r="W563"/>
      <c r="X563"/>
      <c r="Y563"/>
      <c r="Z563"/>
      <c r="AA563"/>
      <c r="AB563"/>
      <c r="AC563"/>
      <c r="AD563"/>
    </row>
    <row r="564" spans="1:30">
      <c r="A564" s="65" t="str">
        <f>IFERROR(VLOOKUP('Informe Kelly'!A557,Base!A:B,2,FALSE),"")</f>
        <v>12.020.450-5</v>
      </c>
      <c r="B564" s="65" t="str">
        <f>IFERROR(VLOOKUP('Informe Kelly'!A557,Base!A:G,7,FALSE),"")</f>
        <v>PINEDA PEREZ ROBERTO</v>
      </c>
      <c r="C564" s="69" t="str">
        <f>IF(G564=$C$4,IF('Informe Kelly'!H557='Control informe Kelly'!$A$2,TEXT(((LEFT('Informe Kelly'!E557,2)*1)+1),"dd")&amp;"."&amp;MID('Informe Kelly'!E557,4,2)&amp;"."&amp;RIGHT('Informe Kelly'!E557,4),'Informe Kelly'!E557),'Informe Kelly'!E557)</f>
        <v>12.04.2011</v>
      </c>
      <c r="D564" s="69" t="str">
        <f>IF('Informe Kelly'!E557="","",'Informe Kelly'!E557)</f>
        <v>12.04.2011</v>
      </c>
      <c r="E564" s="72">
        <f t="shared" si="17"/>
        <v>283</v>
      </c>
      <c r="F564" s="72" t="str">
        <f>IFERROR(HLOOKUP(C564,Ingreso!$Q$8:$AD$9,2,FALSE),"v")</f>
        <v>Martes</v>
      </c>
      <c r="G564" s="65" t="str">
        <f>IFERROR(VLOOKUP(A564,Ingreso!K:P,6,FALSE),"no esta ingresado")</f>
        <v>Admin</v>
      </c>
      <c r="H564" s="65">
        <f>IFERROR(IF('Informe Kelly'!H557=$A$2,'Informe Kelly'!F557,""),0)</f>
        <v>0.35831018518518515</v>
      </c>
      <c r="I564" s="65" t="str">
        <f>IFERROR(IF('Informe Kelly'!H557=$A$3,'Informe Kelly'!F557,""),0)</f>
        <v/>
      </c>
      <c r="J564" s="65" t="str">
        <f>IF(IFERROR(IF(E564=E563,0,(HLOOKUP(D564,Ingreso!$AN$10:$AT$260,VLOOKUP(A564,Ingreso!$AL$11:$AM$260,2,FALSE)))/24),0)=0,"",IFERROR(IF(E564=E563,0,(HLOOKUP(D564,Ingreso!$AN$10:$AT$260,VLOOKUP(A564,Ingreso!$AL$11:$AM$260,2,FALSE)))/24),0))</f>
        <v/>
      </c>
      <c r="K564" s="65" t="str">
        <f>IF(IFERROR(IF(E564=E563,0,(HLOOKUP(C564,Ingreso!$AW$10:$BC$260,VLOOKUP(A564,Ingreso!$AL$11:$AM$260,2,FALSE)))/24),0)=0,"",IFERROR(IF(E564=E563,0,(HLOOKUP(C564,Ingreso!$AW$10:$BC$260,VLOOKUP(A564,Ingreso!$AL$11:$AM$260,2,FALSE)))/24),0))</f>
        <v/>
      </c>
      <c r="L564" s="63">
        <f t="shared" si="16"/>
        <v>0</v>
      </c>
      <c r="M564" s="63" t="str">
        <f>IF(IFERROR(IF(C564=C562,0,IF(E564=E563,0,IF(C564=$R$2,HLOOKUP($R$2,Ingreso!$AW$10:$BC$260,VLOOKUP(A564,Ingreso!AL:AM,2,FALSE),FALSE)/24,""))),"")=0,"",IFERROR(IF(C564=C562,0,IF(E564=E563,0,IF(C564=$R$2,HLOOKUP($R$2,Ingreso!$AW$10:$BC$260,VLOOKUP(A564,Ingreso!AL:AM,2,FALSE),FALSE)/24,""))),""))</f>
        <v/>
      </c>
      <c r="N564" s="95" t="str">
        <f>IF(IFERROR(IF(C564=C562,0,IF(E564=E563,0,IF(C564=$R$3,HLOOKUP($R$3,Ingreso!$AW$10:$BC$260,VLOOKUP(A564,Ingreso!AL:AM,2,FALSE),FALSE)/24,""))),"")=0,"",IFERROR(IF(C564=C562,0,IF(E564=E563,0,IF(C564=$R$3,HLOOKUP($R$3,Ingreso!$AW$10:$BC$260,VLOOKUP(A564,Ingreso!AL:AM,2,FALSE),FALSE)/24,""))),""))</f>
        <v/>
      </c>
      <c r="O564" s="95" t="str">
        <f>IF(IFERROR(IF(C564=C562,0,IF(E564=E563,0,IF(C564=$R$4,HLOOKUP($R$4,Ingreso!$AW$10:$BC$260,VLOOKUP(A564,Ingreso!AL:AM,2,FALSE),FALSE)/24,""))),"")=0,"",IFERROR(IF(C564=C562,0,IF(E564=E563,0,IF(C564=$R$4,HLOOKUP($R$4,Ingreso!$AW$10:$BC$260,VLOOKUP(A564,Ingreso!AL:AM,2,FALSE),FALSE)/24,""))),""))</f>
        <v/>
      </c>
      <c r="P564" s="90"/>
      <c r="V564"/>
      <c r="W564"/>
      <c r="X564"/>
      <c r="Y564"/>
      <c r="Z564"/>
      <c r="AA564"/>
      <c r="AB564"/>
      <c r="AC564"/>
      <c r="AD564"/>
    </row>
    <row r="565" spans="1:30">
      <c r="A565" s="65" t="str">
        <f>IFERROR(VLOOKUP('Informe Kelly'!A558,Base!A:B,2,FALSE),"")</f>
        <v>12.020.450-5</v>
      </c>
      <c r="B565" s="65" t="str">
        <f>IFERROR(VLOOKUP('Informe Kelly'!A558,Base!A:G,7,FALSE),"")</f>
        <v>PINEDA PEREZ ROBERTO</v>
      </c>
      <c r="C565" s="69" t="str">
        <f>IF(G565=$C$4,IF('Informe Kelly'!H558='Control informe Kelly'!$A$2,TEXT(((LEFT('Informe Kelly'!E558,2)*1)+1),"dd")&amp;"."&amp;MID('Informe Kelly'!E558,4,2)&amp;"."&amp;RIGHT('Informe Kelly'!E558,4),'Informe Kelly'!E558),'Informe Kelly'!E558)</f>
        <v>13.04.2011</v>
      </c>
      <c r="D565" s="69" t="str">
        <f>IF('Informe Kelly'!E558="","",'Informe Kelly'!E558)</f>
        <v>13.04.2011</v>
      </c>
      <c r="E565" s="72">
        <f t="shared" si="17"/>
        <v>284</v>
      </c>
      <c r="F565" s="72" t="str">
        <f>IFERROR(HLOOKUP(C565,Ingreso!$Q$8:$AD$9,2,FALSE),"v")</f>
        <v>Miércoles</v>
      </c>
      <c r="G565" s="65" t="str">
        <f>IFERROR(VLOOKUP(A565,Ingreso!K:P,6,FALSE),"no esta ingresado")</f>
        <v>Admin</v>
      </c>
      <c r="H565" s="65" t="str">
        <f>IFERROR(IF('Informe Kelly'!H558=$A$2,'Informe Kelly'!F558,""),0)</f>
        <v/>
      </c>
      <c r="I565" s="65">
        <f>IFERROR(IF('Informe Kelly'!H558=$A$3,'Informe Kelly'!F558,""),0)</f>
        <v>0.773900462962963</v>
      </c>
      <c r="J565" s="65" t="str">
        <f>IF(IFERROR(IF(E565=E564,0,(HLOOKUP(D565,Ingreso!$AN$10:$AT$260,VLOOKUP(A565,Ingreso!$AL$11:$AM$260,2,FALSE)))/24),0)=0,"",IFERROR(IF(E565=E564,0,(HLOOKUP(D565,Ingreso!$AN$10:$AT$260,VLOOKUP(A565,Ingreso!$AL$11:$AM$260,2,FALSE)))/24),0))</f>
        <v/>
      </c>
      <c r="K565" s="65" t="str">
        <f>IF(IFERROR(IF(E565=E564,0,(HLOOKUP(C565,Ingreso!$AW$10:$BC$260,VLOOKUP(A565,Ingreso!$AL$11:$AM$260,2,FALSE)))/24),0)=0,"",IFERROR(IF(E565=E564,0,(HLOOKUP(C565,Ingreso!$AW$10:$BC$260,VLOOKUP(A565,Ingreso!$AL$11:$AM$260,2,FALSE)))/24),0))</f>
        <v/>
      </c>
      <c r="L565" s="63">
        <f t="shared" si="16"/>
        <v>0.41666666666666669</v>
      </c>
      <c r="M565" s="63" t="str">
        <f>IF(IFERROR(IF(C565=C563,0,IF(E565=E564,0,IF(C565=$R$2,HLOOKUP($R$2,Ingreso!$AW$10:$BC$260,VLOOKUP(A565,Ingreso!AL:AM,2,FALSE),FALSE)/24,""))),"")=0,"",IFERROR(IF(C565=C563,0,IF(E565=E564,0,IF(C565=$R$2,HLOOKUP($R$2,Ingreso!$AW$10:$BC$260,VLOOKUP(A565,Ingreso!AL:AM,2,FALSE),FALSE)/24,""))),""))</f>
        <v/>
      </c>
      <c r="N565" s="95" t="str">
        <f>IF(IFERROR(IF(C565=C563,0,IF(E565=E564,0,IF(C565=$R$3,HLOOKUP($R$3,Ingreso!$AW$10:$BC$260,VLOOKUP(A565,Ingreso!AL:AM,2,FALSE),FALSE)/24,""))),"")=0,"",IFERROR(IF(C565=C563,0,IF(E565=E564,0,IF(C565=$R$3,HLOOKUP($R$3,Ingreso!$AW$10:$BC$260,VLOOKUP(A565,Ingreso!AL:AM,2,FALSE),FALSE)/24,""))),""))</f>
        <v/>
      </c>
      <c r="O565" s="95" t="str">
        <f>IF(IFERROR(IF(C565=C563,0,IF(E565=E564,0,IF(C565=$R$4,HLOOKUP($R$4,Ingreso!$AW$10:$BC$260,VLOOKUP(A565,Ingreso!AL:AM,2,FALSE),FALSE)/24,""))),"")=0,"",IFERROR(IF(C565=C563,0,IF(E565=E564,0,IF(C565=$R$4,HLOOKUP($R$4,Ingreso!$AW$10:$BC$260,VLOOKUP(A565,Ingreso!AL:AM,2,FALSE),FALSE)/24,""))),""))</f>
        <v/>
      </c>
      <c r="P565" s="90"/>
      <c r="V565"/>
      <c r="W565"/>
      <c r="X565"/>
      <c r="Y565"/>
      <c r="Z565"/>
      <c r="AA565"/>
      <c r="AB565"/>
      <c r="AC565"/>
      <c r="AD565"/>
    </row>
    <row r="566" spans="1:30">
      <c r="A566" s="65" t="str">
        <f>IFERROR(VLOOKUP('Informe Kelly'!A559,Base!A:B,2,FALSE),"")</f>
        <v>12.020.450-5</v>
      </c>
      <c r="B566" s="65" t="str">
        <f>IFERROR(VLOOKUP('Informe Kelly'!A559,Base!A:G,7,FALSE),"")</f>
        <v>PINEDA PEREZ ROBERTO</v>
      </c>
      <c r="C566" s="69" t="str">
        <f>IF(G566=$C$4,IF('Informe Kelly'!H559='Control informe Kelly'!$A$2,TEXT(((LEFT('Informe Kelly'!E559,2)*1)+1),"dd")&amp;"."&amp;MID('Informe Kelly'!E559,4,2)&amp;"."&amp;RIGHT('Informe Kelly'!E559,4),'Informe Kelly'!E559),'Informe Kelly'!E559)</f>
        <v>13.04.2011</v>
      </c>
      <c r="D566" s="69" t="str">
        <f>IF('Informe Kelly'!E559="","",'Informe Kelly'!E559)</f>
        <v>13.04.2011</v>
      </c>
      <c r="E566" s="72">
        <f t="shared" si="17"/>
        <v>284</v>
      </c>
      <c r="F566" s="72" t="str">
        <f>IFERROR(HLOOKUP(C566,Ingreso!$Q$8:$AD$9,2,FALSE),"v")</f>
        <v>Miércoles</v>
      </c>
      <c r="G566" s="65" t="str">
        <f>IFERROR(VLOOKUP(A566,Ingreso!K:P,6,FALSE),"no esta ingresado")</f>
        <v>Admin</v>
      </c>
      <c r="H566" s="65">
        <f>IFERROR(IF('Informe Kelly'!H559=$A$2,'Informe Kelly'!F559,""),0)</f>
        <v>0.36357638888888894</v>
      </c>
      <c r="I566" s="65" t="str">
        <f>IFERROR(IF('Informe Kelly'!H559=$A$3,'Informe Kelly'!F559,""),0)</f>
        <v/>
      </c>
      <c r="J566" s="65" t="str">
        <f>IF(IFERROR(IF(E566=E565,0,(HLOOKUP(D566,Ingreso!$AN$10:$AT$260,VLOOKUP(A566,Ingreso!$AL$11:$AM$260,2,FALSE)))/24),0)=0,"",IFERROR(IF(E566=E565,0,(HLOOKUP(D566,Ingreso!$AN$10:$AT$260,VLOOKUP(A566,Ingreso!$AL$11:$AM$260,2,FALSE)))/24),0))</f>
        <v/>
      </c>
      <c r="K566" s="65" t="str">
        <f>IF(IFERROR(IF(E566=E565,0,(HLOOKUP(C566,Ingreso!$AW$10:$BC$260,VLOOKUP(A566,Ingreso!$AL$11:$AM$260,2,FALSE)))/24),0)=0,"",IFERROR(IF(E566=E565,0,(HLOOKUP(C566,Ingreso!$AW$10:$BC$260,VLOOKUP(A566,Ingreso!$AL$11:$AM$260,2,FALSE)))/24),0))</f>
        <v/>
      </c>
      <c r="L566" s="63">
        <f t="shared" si="16"/>
        <v>0</v>
      </c>
      <c r="M566" s="63" t="str">
        <f>IF(IFERROR(IF(C566=C564,0,IF(E566=E565,0,IF(C566=$R$2,HLOOKUP($R$2,Ingreso!$AW$10:$BC$260,VLOOKUP(A566,Ingreso!AL:AM,2,FALSE),FALSE)/24,""))),"")=0,"",IFERROR(IF(C566=C564,0,IF(E566=E565,0,IF(C566=$R$2,HLOOKUP($R$2,Ingreso!$AW$10:$BC$260,VLOOKUP(A566,Ingreso!AL:AM,2,FALSE),FALSE)/24,""))),""))</f>
        <v/>
      </c>
      <c r="N566" s="95" t="str">
        <f>IF(IFERROR(IF(C566=C564,0,IF(E566=E565,0,IF(C566=$R$3,HLOOKUP($R$3,Ingreso!$AW$10:$BC$260,VLOOKUP(A566,Ingreso!AL:AM,2,FALSE),FALSE)/24,""))),"")=0,"",IFERROR(IF(C566=C564,0,IF(E566=E565,0,IF(C566=$R$3,HLOOKUP($R$3,Ingreso!$AW$10:$BC$260,VLOOKUP(A566,Ingreso!AL:AM,2,FALSE),FALSE)/24,""))),""))</f>
        <v/>
      </c>
      <c r="O566" s="95" t="str">
        <f>IF(IFERROR(IF(C566=C564,0,IF(E566=E565,0,IF(C566=$R$4,HLOOKUP($R$4,Ingreso!$AW$10:$BC$260,VLOOKUP(A566,Ingreso!AL:AM,2,FALSE),FALSE)/24,""))),"")=0,"",IFERROR(IF(C566=C564,0,IF(E566=E565,0,IF(C566=$R$4,HLOOKUP($R$4,Ingreso!$AW$10:$BC$260,VLOOKUP(A566,Ingreso!AL:AM,2,FALSE),FALSE)/24,""))),""))</f>
        <v/>
      </c>
      <c r="P566" s="90"/>
      <c r="V566"/>
      <c r="W566"/>
      <c r="X566"/>
      <c r="Y566"/>
      <c r="Z566"/>
      <c r="AA566"/>
      <c r="AB566"/>
      <c r="AC566"/>
      <c r="AD566"/>
    </row>
    <row r="567" spans="1:30">
      <c r="A567" s="65" t="str">
        <f>IFERROR(VLOOKUP('Informe Kelly'!A560,Base!A:B,2,FALSE),"")</f>
        <v>12.020.450-5</v>
      </c>
      <c r="B567" s="65" t="str">
        <f>IFERROR(VLOOKUP('Informe Kelly'!A560,Base!A:G,7,FALSE),"")</f>
        <v>PINEDA PEREZ ROBERTO</v>
      </c>
      <c r="C567" s="69" t="str">
        <f>IF(G567=$C$4,IF('Informe Kelly'!H560='Control informe Kelly'!$A$2,TEXT(((LEFT('Informe Kelly'!E560,2)*1)+1),"dd")&amp;"."&amp;MID('Informe Kelly'!E560,4,2)&amp;"."&amp;RIGHT('Informe Kelly'!E560,4),'Informe Kelly'!E560),'Informe Kelly'!E560)</f>
        <v>14.04.2011</v>
      </c>
      <c r="D567" s="69" t="str">
        <f>IF('Informe Kelly'!E560="","",'Informe Kelly'!E560)</f>
        <v>14.04.2011</v>
      </c>
      <c r="E567" s="72">
        <f t="shared" si="17"/>
        <v>285</v>
      </c>
      <c r="F567" s="72" t="str">
        <f>IFERROR(HLOOKUP(C567,Ingreso!$Q$8:$AD$9,2,FALSE),"v")</f>
        <v>Jueves</v>
      </c>
      <c r="G567" s="65" t="str">
        <f>IFERROR(VLOOKUP(A567,Ingreso!K:P,6,FALSE),"no esta ingresado")</f>
        <v>Admin</v>
      </c>
      <c r="H567" s="65" t="str">
        <f>IFERROR(IF('Informe Kelly'!H560=$A$2,'Informe Kelly'!F560,""),0)</f>
        <v/>
      </c>
      <c r="I567" s="65">
        <f>IFERROR(IF('Informe Kelly'!H560=$A$3,'Informe Kelly'!F560,""),0)</f>
        <v>0.77729166666666671</v>
      </c>
      <c r="J567" s="65">
        <f>IF(IFERROR(IF(E567=E566,0,(HLOOKUP(D567,Ingreso!$AN$10:$AT$260,VLOOKUP(A567,Ingreso!$AL$11:$AM$260,2,FALSE)))/24),0)=0,"",IFERROR(IF(E567=E566,0,(HLOOKUP(D567,Ingreso!$AN$10:$AT$260,VLOOKUP(A567,Ingreso!$AL$11:$AM$260,2,FALSE)))/24),0))</f>
        <v>4.1666666666666664E-2</v>
      </c>
      <c r="K567" s="65" t="str">
        <f>IF(IFERROR(IF(E567=E566,0,(HLOOKUP(C567,Ingreso!$AW$10:$BC$260,VLOOKUP(A567,Ingreso!$AL$11:$AM$260,2,FALSE)))/24),0)=0,"",IFERROR(IF(E567=E566,0,(HLOOKUP(C567,Ingreso!$AW$10:$BC$260,VLOOKUP(A567,Ingreso!$AL$11:$AM$260,2,FALSE)))/24),0))</f>
        <v/>
      </c>
      <c r="L567" s="63">
        <f t="shared" si="16"/>
        <v>0.41666666666666669</v>
      </c>
      <c r="M567" s="63" t="str">
        <f>IF(IFERROR(IF(C567=C565,0,IF(E567=E566,0,IF(C567=$R$2,HLOOKUP($R$2,Ingreso!$AW$10:$BC$260,VLOOKUP(A567,Ingreso!AL:AM,2,FALSE),FALSE)/24,""))),"")=0,"",IFERROR(IF(C567=C565,0,IF(E567=E566,0,IF(C567=$R$2,HLOOKUP($R$2,Ingreso!$AW$10:$BC$260,VLOOKUP(A567,Ingreso!AL:AM,2,FALSE),FALSE)/24,""))),""))</f>
        <v/>
      </c>
      <c r="N567" s="95" t="str">
        <f>IF(IFERROR(IF(C567=C565,0,IF(E567=E566,0,IF(C567=$R$3,HLOOKUP($R$3,Ingreso!$AW$10:$BC$260,VLOOKUP(A567,Ingreso!AL:AM,2,FALSE),FALSE)/24,""))),"")=0,"",IFERROR(IF(C567=C565,0,IF(E567=E566,0,IF(C567=$R$3,HLOOKUP($R$3,Ingreso!$AW$10:$BC$260,VLOOKUP(A567,Ingreso!AL:AM,2,FALSE),FALSE)/24,""))),""))</f>
        <v/>
      </c>
      <c r="O567" s="95" t="str">
        <f>IF(IFERROR(IF(C567=C565,0,IF(E567=E566,0,IF(C567=$R$4,HLOOKUP($R$4,Ingreso!$AW$10:$BC$260,VLOOKUP(A567,Ingreso!AL:AM,2,FALSE),FALSE)/24,""))),"")=0,"",IFERROR(IF(C567=C565,0,IF(E567=E566,0,IF(C567=$R$4,HLOOKUP($R$4,Ingreso!$AW$10:$BC$260,VLOOKUP(A567,Ingreso!AL:AM,2,FALSE),FALSE)/24,""))),""))</f>
        <v/>
      </c>
      <c r="P567" s="90"/>
      <c r="V567"/>
      <c r="W567"/>
      <c r="X567"/>
      <c r="Y567"/>
      <c r="Z567"/>
      <c r="AA567"/>
      <c r="AB567"/>
      <c r="AC567"/>
      <c r="AD567"/>
    </row>
    <row r="568" spans="1:30">
      <c r="A568" s="65" t="str">
        <f>IFERROR(VLOOKUP('Informe Kelly'!A561,Base!A:B,2,FALSE),"")</f>
        <v>12.020.450-5</v>
      </c>
      <c r="B568" s="65" t="str">
        <f>IFERROR(VLOOKUP('Informe Kelly'!A561,Base!A:G,7,FALSE),"")</f>
        <v>PINEDA PEREZ ROBERTO</v>
      </c>
      <c r="C568" s="69" t="str">
        <f>IF(G568=$C$4,IF('Informe Kelly'!H561='Control informe Kelly'!$A$2,TEXT(((LEFT('Informe Kelly'!E561,2)*1)+1),"dd")&amp;"."&amp;MID('Informe Kelly'!E561,4,2)&amp;"."&amp;RIGHT('Informe Kelly'!E561,4),'Informe Kelly'!E561),'Informe Kelly'!E561)</f>
        <v>14.04.2011</v>
      </c>
      <c r="D568" s="69" t="str">
        <f>IF('Informe Kelly'!E561="","",'Informe Kelly'!E561)</f>
        <v>14.04.2011</v>
      </c>
      <c r="E568" s="72">
        <f t="shared" si="17"/>
        <v>285</v>
      </c>
      <c r="F568" s="72" t="str">
        <f>IFERROR(HLOOKUP(C568,Ingreso!$Q$8:$AD$9,2,FALSE),"v")</f>
        <v>Jueves</v>
      </c>
      <c r="G568" s="65" t="str">
        <f>IFERROR(VLOOKUP(A568,Ingreso!K:P,6,FALSE),"no esta ingresado")</f>
        <v>Admin</v>
      </c>
      <c r="H568" s="65">
        <f>IFERROR(IF('Informe Kelly'!H561=$A$2,'Informe Kelly'!F561,""),0)</f>
        <v>0.36394675925925929</v>
      </c>
      <c r="I568" s="65" t="str">
        <f>IFERROR(IF('Informe Kelly'!H561=$A$3,'Informe Kelly'!F561,""),0)</f>
        <v/>
      </c>
      <c r="J568" s="65" t="str">
        <f>IF(IFERROR(IF(E568=E567,0,(HLOOKUP(D568,Ingreso!$AN$10:$AT$260,VLOOKUP(A568,Ingreso!$AL$11:$AM$260,2,FALSE)))/24),0)=0,"",IFERROR(IF(E568=E567,0,(HLOOKUP(D568,Ingreso!$AN$10:$AT$260,VLOOKUP(A568,Ingreso!$AL$11:$AM$260,2,FALSE)))/24),0))</f>
        <v/>
      </c>
      <c r="K568" s="65" t="str">
        <f>IF(IFERROR(IF(E568=E567,0,(HLOOKUP(C568,Ingreso!$AW$10:$BC$260,VLOOKUP(A568,Ingreso!$AL$11:$AM$260,2,FALSE)))/24),0)=0,"",IFERROR(IF(E568=E567,0,(HLOOKUP(C568,Ingreso!$AW$10:$BC$260,VLOOKUP(A568,Ingreso!$AL$11:$AM$260,2,FALSE)))/24),0))</f>
        <v/>
      </c>
      <c r="L568" s="63">
        <f t="shared" si="16"/>
        <v>0</v>
      </c>
      <c r="M568" s="63" t="str">
        <f>IF(IFERROR(IF(C568=C566,0,IF(E568=E567,0,IF(C568=$R$2,HLOOKUP($R$2,Ingreso!$AW$10:$BC$260,VLOOKUP(A568,Ingreso!AL:AM,2,FALSE),FALSE)/24,""))),"")=0,"",IFERROR(IF(C568=C566,0,IF(E568=E567,0,IF(C568=$R$2,HLOOKUP($R$2,Ingreso!$AW$10:$BC$260,VLOOKUP(A568,Ingreso!AL:AM,2,FALSE),FALSE)/24,""))),""))</f>
        <v/>
      </c>
      <c r="N568" s="95" t="str">
        <f>IF(IFERROR(IF(C568=C566,0,IF(E568=E567,0,IF(C568=$R$3,HLOOKUP($R$3,Ingreso!$AW$10:$BC$260,VLOOKUP(A568,Ingreso!AL:AM,2,FALSE),FALSE)/24,""))),"")=0,"",IFERROR(IF(C568=C566,0,IF(E568=E567,0,IF(C568=$R$3,HLOOKUP($R$3,Ingreso!$AW$10:$BC$260,VLOOKUP(A568,Ingreso!AL:AM,2,FALSE),FALSE)/24,""))),""))</f>
        <v/>
      </c>
      <c r="O568" s="95" t="str">
        <f>IF(IFERROR(IF(C568=C566,0,IF(E568=E567,0,IF(C568=$R$4,HLOOKUP($R$4,Ingreso!$AW$10:$BC$260,VLOOKUP(A568,Ingreso!AL:AM,2,FALSE),FALSE)/24,""))),"")=0,"",IFERROR(IF(C568=C566,0,IF(E568=E567,0,IF(C568=$R$4,HLOOKUP($R$4,Ingreso!$AW$10:$BC$260,VLOOKUP(A568,Ingreso!AL:AM,2,FALSE),FALSE)/24,""))),""))</f>
        <v/>
      </c>
      <c r="P568" s="90"/>
      <c r="V568"/>
      <c r="W568"/>
      <c r="X568"/>
      <c r="Y568"/>
      <c r="Z568"/>
      <c r="AA568"/>
      <c r="AB568"/>
      <c r="AC568"/>
      <c r="AD568"/>
    </row>
    <row r="569" spans="1:30">
      <c r="A569" s="65" t="str">
        <f>IFERROR(VLOOKUP('Informe Kelly'!A562,Base!A:B,2,FALSE),"")</f>
        <v>12.020.450-5</v>
      </c>
      <c r="B569" s="65" t="str">
        <f>IFERROR(VLOOKUP('Informe Kelly'!A562,Base!A:G,7,FALSE),"")</f>
        <v>PINEDA PEREZ ROBERTO</v>
      </c>
      <c r="C569" s="69" t="str">
        <f>IF(G569=$C$4,IF('Informe Kelly'!H562='Control informe Kelly'!$A$2,TEXT(((LEFT('Informe Kelly'!E562,2)*1)+1),"dd")&amp;"."&amp;MID('Informe Kelly'!E562,4,2)&amp;"."&amp;RIGHT('Informe Kelly'!E562,4),'Informe Kelly'!E562),'Informe Kelly'!E562)</f>
        <v>15.04.2011</v>
      </c>
      <c r="D569" s="69" t="str">
        <f>IF('Informe Kelly'!E562="","",'Informe Kelly'!E562)</f>
        <v>15.04.2011</v>
      </c>
      <c r="E569" s="72">
        <f t="shared" si="17"/>
        <v>286</v>
      </c>
      <c r="F569" s="72" t="str">
        <f>IFERROR(HLOOKUP(C569,Ingreso!$Q$8:$AD$9,2,FALSE),"v")</f>
        <v>Viernes</v>
      </c>
      <c r="G569" s="65" t="str">
        <f>IFERROR(VLOOKUP(A569,Ingreso!K:P,6,FALSE),"no esta ingresado")</f>
        <v>Admin</v>
      </c>
      <c r="H569" s="65" t="str">
        <f>IFERROR(IF('Informe Kelly'!H562=$A$2,'Informe Kelly'!F562,""),0)</f>
        <v/>
      </c>
      <c r="I569" s="65">
        <f>IFERROR(IF('Informe Kelly'!H562=$A$3,'Informe Kelly'!F562,""),0)</f>
        <v>0.75525462962962964</v>
      </c>
      <c r="J569" s="65">
        <f>IF(IFERROR(IF(E569=E568,0,(HLOOKUP(D569,Ingreso!$AN$10:$AT$260,VLOOKUP(A569,Ingreso!$AL$11:$AM$260,2,FALSE)))/24),0)=0,"",IFERROR(IF(E569=E568,0,(HLOOKUP(D569,Ingreso!$AN$10:$AT$260,VLOOKUP(A569,Ingreso!$AL$11:$AM$260,2,FALSE)))/24),0))</f>
        <v>4.1666666666666664E-2</v>
      </c>
      <c r="K569" s="65" t="str">
        <f>IF(IFERROR(IF(E569=E568,0,(HLOOKUP(C569,Ingreso!$AW$10:$BC$260,VLOOKUP(A569,Ingreso!$AL$11:$AM$260,2,FALSE)))/24),0)=0,"",IFERROR(IF(E569=E568,0,(HLOOKUP(C569,Ingreso!$AW$10:$BC$260,VLOOKUP(A569,Ingreso!$AL$11:$AM$260,2,FALSE)))/24),0))</f>
        <v/>
      </c>
      <c r="L569" s="63">
        <f t="shared" si="16"/>
        <v>0.41666666666666669</v>
      </c>
      <c r="M569" s="63" t="str">
        <f>IF(IFERROR(IF(C569=C567,0,IF(E569=E568,0,IF(C569=$R$2,HLOOKUP($R$2,Ingreso!$AW$10:$BC$260,VLOOKUP(A569,Ingreso!AL:AM,2,FALSE),FALSE)/24,""))),"")=0,"",IFERROR(IF(C569=C567,0,IF(E569=E568,0,IF(C569=$R$2,HLOOKUP($R$2,Ingreso!$AW$10:$BC$260,VLOOKUP(A569,Ingreso!AL:AM,2,FALSE),FALSE)/24,""))),""))</f>
        <v/>
      </c>
      <c r="N569" s="95" t="str">
        <f>IF(IFERROR(IF(C569=C567,0,IF(E569=E568,0,IF(C569=$R$3,HLOOKUP($R$3,Ingreso!$AW$10:$BC$260,VLOOKUP(A569,Ingreso!AL:AM,2,FALSE),FALSE)/24,""))),"")=0,"",IFERROR(IF(C569=C567,0,IF(E569=E568,0,IF(C569=$R$3,HLOOKUP($R$3,Ingreso!$AW$10:$BC$260,VLOOKUP(A569,Ingreso!AL:AM,2,FALSE),FALSE)/24,""))),""))</f>
        <v/>
      </c>
      <c r="O569" s="95" t="str">
        <f>IF(IFERROR(IF(C569=C567,0,IF(E569=E568,0,IF(C569=$R$4,HLOOKUP($R$4,Ingreso!$AW$10:$BC$260,VLOOKUP(A569,Ingreso!AL:AM,2,FALSE),FALSE)/24,""))),"")=0,"",IFERROR(IF(C569=C567,0,IF(E569=E568,0,IF(C569=$R$4,HLOOKUP($R$4,Ingreso!$AW$10:$BC$260,VLOOKUP(A569,Ingreso!AL:AM,2,FALSE),FALSE)/24,""))),""))</f>
        <v/>
      </c>
      <c r="P569" s="90"/>
      <c r="V569"/>
      <c r="W569"/>
      <c r="X569"/>
      <c r="Y569"/>
      <c r="Z569"/>
      <c r="AA569"/>
      <c r="AB569"/>
      <c r="AC569"/>
      <c r="AD569"/>
    </row>
    <row r="570" spans="1:30">
      <c r="A570" s="65" t="str">
        <f>IFERROR(VLOOKUP('Informe Kelly'!A563,Base!A:B,2,FALSE),"")</f>
        <v>12.020.450-5</v>
      </c>
      <c r="B570" s="65" t="str">
        <f>IFERROR(VLOOKUP('Informe Kelly'!A563,Base!A:G,7,FALSE),"")</f>
        <v>PINEDA PEREZ ROBERTO</v>
      </c>
      <c r="C570" s="69" t="str">
        <f>IF(G570=$C$4,IF('Informe Kelly'!H563='Control informe Kelly'!$A$2,TEXT(((LEFT('Informe Kelly'!E563,2)*1)+1),"dd")&amp;"."&amp;MID('Informe Kelly'!E563,4,2)&amp;"."&amp;RIGHT('Informe Kelly'!E563,4),'Informe Kelly'!E563),'Informe Kelly'!E563)</f>
        <v>15.04.2011</v>
      </c>
      <c r="D570" s="69" t="str">
        <f>IF('Informe Kelly'!E563="","",'Informe Kelly'!E563)</f>
        <v>15.04.2011</v>
      </c>
      <c r="E570" s="72">
        <f t="shared" si="17"/>
        <v>286</v>
      </c>
      <c r="F570" s="72" t="str">
        <f>IFERROR(HLOOKUP(C570,Ingreso!$Q$8:$AD$9,2,FALSE),"v")</f>
        <v>Viernes</v>
      </c>
      <c r="G570" s="65" t="str">
        <f>IFERROR(VLOOKUP(A570,Ingreso!K:P,6,FALSE),"no esta ingresado")</f>
        <v>Admin</v>
      </c>
      <c r="H570" s="65">
        <f>IFERROR(IF('Informe Kelly'!H563=$A$2,'Informe Kelly'!F563,""),0)</f>
        <v>0.36821759259259257</v>
      </c>
      <c r="I570" s="65" t="str">
        <f>IFERROR(IF('Informe Kelly'!H563=$A$3,'Informe Kelly'!F563,""),0)</f>
        <v/>
      </c>
      <c r="J570" s="65" t="str">
        <f>IF(IFERROR(IF(E570=E569,0,(HLOOKUP(D570,Ingreso!$AN$10:$AT$260,VLOOKUP(A570,Ingreso!$AL$11:$AM$260,2,FALSE)))/24),0)=0,"",IFERROR(IF(E570=E569,0,(HLOOKUP(D570,Ingreso!$AN$10:$AT$260,VLOOKUP(A570,Ingreso!$AL$11:$AM$260,2,FALSE)))/24),0))</f>
        <v/>
      </c>
      <c r="K570" s="65" t="str">
        <f>IF(IFERROR(IF(E570=E569,0,(HLOOKUP(C570,Ingreso!$AW$10:$BC$260,VLOOKUP(A570,Ingreso!$AL$11:$AM$260,2,FALSE)))/24),0)=0,"",IFERROR(IF(E570=E569,0,(HLOOKUP(C570,Ingreso!$AW$10:$BC$260,VLOOKUP(A570,Ingreso!$AL$11:$AM$260,2,FALSE)))/24),0))</f>
        <v/>
      </c>
      <c r="L570" s="63">
        <f t="shared" si="16"/>
        <v>0</v>
      </c>
      <c r="M570" s="63" t="str">
        <f>IF(IFERROR(IF(C570=C568,0,IF(E570=E569,0,IF(C570=$R$2,HLOOKUP($R$2,Ingreso!$AW$10:$BC$260,VLOOKUP(A570,Ingreso!AL:AM,2,FALSE),FALSE)/24,""))),"")=0,"",IFERROR(IF(C570=C568,0,IF(E570=E569,0,IF(C570=$R$2,HLOOKUP($R$2,Ingreso!$AW$10:$BC$260,VLOOKUP(A570,Ingreso!AL:AM,2,FALSE),FALSE)/24,""))),""))</f>
        <v/>
      </c>
      <c r="N570" s="95" t="str">
        <f>IF(IFERROR(IF(C570=C568,0,IF(E570=E569,0,IF(C570=$R$3,HLOOKUP($R$3,Ingreso!$AW$10:$BC$260,VLOOKUP(A570,Ingreso!AL:AM,2,FALSE),FALSE)/24,""))),"")=0,"",IFERROR(IF(C570=C568,0,IF(E570=E569,0,IF(C570=$R$3,HLOOKUP($R$3,Ingreso!$AW$10:$BC$260,VLOOKUP(A570,Ingreso!AL:AM,2,FALSE),FALSE)/24,""))),""))</f>
        <v/>
      </c>
      <c r="O570" s="95" t="str">
        <f>IF(IFERROR(IF(C570=C568,0,IF(E570=E569,0,IF(C570=$R$4,HLOOKUP($R$4,Ingreso!$AW$10:$BC$260,VLOOKUP(A570,Ingreso!AL:AM,2,FALSE),FALSE)/24,""))),"")=0,"",IFERROR(IF(C570=C568,0,IF(E570=E569,0,IF(C570=$R$4,HLOOKUP($R$4,Ingreso!$AW$10:$BC$260,VLOOKUP(A570,Ingreso!AL:AM,2,FALSE),FALSE)/24,""))),""))</f>
        <v/>
      </c>
      <c r="P570" s="90"/>
      <c r="V570"/>
      <c r="W570"/>
      <c r="X570"/>
      <c r="Y570"/>
      <c r="Z570"/>
      <c r="AA570"/>
      <c r="AB570"/>
      <c r="AC570"/>
      <c r="AD570"/>
    </row>
    <row r="571" spans="1:30">
      <c r="A571" s="65" t="str">
        <f>IFERROR(VLOOKUP('Informe Kelly'!A564,Base!A:B,2,FALSE),"")</f>
        <v>12.093.149-0</v>
      </c>
      <c r="B571" s="65" t="str">
        <f>IFERROR(VLOOKUP('Informe Kelly'!A564,Base!A:G,7,FALSE),"")</f>
        <v>CONTRERAS CORTES ANGEL GUILLERMO</v>
      </c>
      <c r="C571" s="69" t="str">
        <f>IF(G571=$C$4,IF('Informe Kelly'!H564='Control informe Kelly'!$A$2,TEXT(((LEFT('Informe Kelly'!E564,2)*1)+1),"dd")&amp;"."&amp;MID('Informe Kelly'!E564,4,2)&amp;"."&amp;RIGHT('Informe Kelly'!E564,4),'Informe Kelly'!E564),'Informe Kelly'!E564)</f>
        <v>11.04.2011</v>
      </c>
      <c r="D571" s="69" t="str">
        <f>IF('Informe Kelly'!E564="","",'Informe Kelly'!E564)</f>
        <v>11.04.2011</v>
      </c>
      <c r="E571" s="72">
        <f t="shared" si="17"/>
        <v>287</v>
      </c>
      <c r="F571" s="72" t="str">
        <f>IFERROR(HLOOKUP(C571,Ingreso!$Q$8:$AD$9,2,FALSE),"v")</f>
        <v>Lunes</v>
      </c>
      <c r="G571" s="65" t="str">
        <f>IFERROR(VLOOKUP(A571,Ingreso!K:P,6,FALSE),"no esta ingresado")</f>
        <v>no esta ingresado</v>
      </c>
      <c r="H571" s="65">
        <f>IFERROR(IF('Informe Kelly'!H564=$A$2,'Informe Kelly'!F564,""),0)</f>
        <v>0.91502314814814811</v>
      </c>
      <c r="I571" s="65" t="str">
        <f>IFERROR(IF('Informe Kelly'!H564=$A$3,'Informe Kelly'!F564,""),0)</f>
        <v/>
      </c>
      <c r="J571" s="65" t="str">
        <f>IF(IFERROR(IF(E571=E570,0,(HLOOKUP(D571,Ingreso!$AN$10:$AT$260,VLOOKUP(A571,Ingreso!$AL$11:$AM$260,2,FALSE)))/24),0)=0,"",IFERROR(IF(E571=E570,0,(HLOOKUP(D571,Ingreso!$AN$10:$AT$260,VLOOKUP(A571,Ingreso!$AL$11:$AM$260,2,FALSE)))/24),0))</f>
        <v/>
      </c>
      <c r="K571" s="65" t="str">
        <f>IF(IFERROR(IF(E571=E570,0,(HLOOKUP(C571,Ingreso!$AW$10:$BC$260,VLOOKUP(A571,Ingreso!$AL$11:$AM$260,2,FALSE)))/24),0)=0,"",IFERROR(IF(E571=E570,0,(HLOOKUP(C571,Ingreso!$AW$10:$BC$260,VLOOKUP(A571,Ingreso!$AL$11:$AM$260,2,FALSE)))/24),0))</f>
        <v/>
      </c>
      <c r="L571" s="63" t="str">
        <f t="shared" si="16"/>
        <v/>
      </c>
      <c r="M571" s="63" t="str">
        <f>IF(IFERROR(IF(C571=C569,0,IF(E571=E570,0,IF(C571=$R$2,HLOOKUP($R$2,Ingreso!$AW$10:$BC$260,VLOOKUP(A571,Ingreso!AL:AM,2,FALSE),FALSE)/24,""))),"")=0,"",IFERROR(IF(C571=C569,0,IF(E571=E570,0,IF(C571=$R$2,HLOOKUP($R$2,Ingreso!$AW$10:$BC$260,VLOOKUP(A571,Ingreso!AL:AM,2,FALSE),FALSE)/24,""))),""))</f>
        <v/>
      </c>
      <c r="N571" s="95" t="str">
        <f>IF(IFERROR(IF(C571=C569,0,IF(E571=E570,0,IF(C571=$R$3,HLOOKUP($R$3,Ingreso!$AW$10:$BC$260,VLOOKUP(A571,Ingreso!AL:AM,2,FALSE),FALSE)/24,""))),"")=0,"",IFERROR(IF(C571=C569,0,IF(E571=E570,0,IF(C571=$R$3,HLOOKUP($R$3,Ingreso!$AW$10:$BC$260,VLOOKUP(A571,Ingreso!AL:AM,2,FALSE),FALSE)/24,""))),""))</f>
        <v/>
      </c>
      <c r="O571" s="95" t="str">
        <f>IF(IFERROR(IF(C571=C569,0,IF(E571=E570,0,IF(C571=$R$4,HLOOKUP($R$4,Ingreso!$AW$10:$BC$260,VLOOKUP(A571,Ingreso!AL:AM,2,FALSE),FALSE)/24,""))),"")=0,"",IFERROR(IF(C571=C569,0,IF(E571=E570,0,IF(C571=$R$4,HLOOKUP($R$4,Ingreso!$AW$10:$BC$260,VLOOKUP(A571,Ingreso!AL:AM,2,FALSE),FALSE)/24,""))),""))</f>
        <v/>
      </c>
      <c r="P571" s="90"/>
      <c r="V571"/>
      <c r="W571"/>
      <c r="X571"/>
      <c r="Y571"/>
      <c r="Z571"/>
      <c r="AA571"/>
      <c r="AB571"/>
      <c r="AC571"/>
      <c r="AD571"/>
    </row>
    <row r="572" spans="1:30">
      <c r="A572" s="65" t="str">
        <f>IFERROR(VLOOKUP('Informe Kelly'!A565,Base!A:B,2,FALSE),"")</f>
        <v>12.093.149-0</v>
      </c>
      <c r="B572" s="65" t="str">
        <f>IFERROR(VLOOKUP('Informe Kelly'!A565,Base!A:G,7,FALSE),"")</f>
        <v>CONTRERAS CORTES ANGEL GUILLERMO</v>
      </c>
      <c r="C572" s="69" t="str">
        <f>IF(G572=$C$4,IF('Informe Kelly'!H565='Control informe Kelly'!$A$2,TEXT(((LEFT('Informe Kelly'!E565,2)*1)+1),"dd")&amp;"."&amp;MID('Informe Kelly'!E565,4,2)&amp;"."&amp;RIGHT('Informe Kelly'!E565,4),'Informe Kelly'!E565),'Informe Kelly'!E565)</f>
        <v>12.04.2011</v>
      </c>
      <c r="D572" s="69" t="str">
        <f>IF('Informe Kelly'!E565="","",'Informe Kelly'!E565)</f>
        <v>12.04.2011</v>
      </c>
      <c r="E572" s="72">
        <f t="shared" si="17"/>
        <v>288</v>
      </c>
      <c r="F572" s="72" t="str">
        <f>IFERROR(HLOOKUP(C572,Ingreso!$Q$8:$AD$9,2,FALSE),"v")</f>
        <v>Martes</v>
      </c>
      <c r="G572" s="65" t="str">
        <f>IFERROR(VLOOKUP(A572,Ingreso!K:P,6,FALSE),"no esta ingresado")</f>
        <v>no esta ingresado</v>
      </c>
      <c r="H572" s="65" t="str">
        <f>IFERROR(IF('Informe Kelly'!H565=$A$2,'Informe Kelly'!F565,""),0)</f>
        <v/>
      </c>
      <c r="I572" s="65">
        <f>IFERROR(IF('Informe Kelly'!H565=$A$3,'Informe Kelly'!F565,""),0)</f>
        <v>0.32420138888888889</v>
      </c>
      <c r="J572" s="65" t="str">
        <f>IF(IFERROR(IF(E572=E571,0,(HLOOKUP(D572,Ingreso!$AN$10:$AT$260,VLOOKUP(A572,Ingreso!$AL$11:$AM$260,2,FALSE)))/24),0)=0,"",IFERROR(IF(E572=E571,0,(HLOOKUP(D572,Ingreso!$AN$10:$AT$260,VLOOKUP(A572,Ingreso!$AL$11:$AM$260,2,FALSE)))/24),0))</f>
        <v/>
      </c>
      <c r="K572" s="65" t="str">
        <f>IF(IFERROR(IF(E572=E571,0,(HLOOKUP(C572,Ingreso!$AW$10:$BC$260,VLOOKUP(A572,Ingreso!$AL$11:$AM$260,2,FALSE)))/24),0)=0,"",IFERROR(IF(E572=E571,0,(HLOOKUP(C572,Ingreso!$AW$10:$BC$260,VLOOKUP(A572,Ingreso!$AL$11:$AM$260,2,FALSE)))/24),0))</f>
        <v/>
      </c>
      <c r="L572" s="63" t="str">
        <f t="shared" si="16"/>
        <v/>
      </c>
      <c r="M572" s="63" t="str">
        <f>IF(IFERROR(IF(C572=C570,0,IF(E572=E571,0,IF(C572=$R$2,HLOOKUP($R$2,Ingreso!$AW$10:$BC$260,VLOOKUP(A572,Ingreso!AL:AM,2,FALSE),FALSE)/24,""))),"")=0,"",IFERROR(IF(C572=C570,0,IF(E572=E571,0,IF(C572=$R$2,HLOOKUP($R$2,Ingreso!$AW$10:$BC$260,VLOOKUP(A572,Ingreso!AL:AM,2,FALSE),FALSE)/24,""))),""))</f>
        <v/>
      </c>
      <c r="N572" s="95" t="str">
        <f>IF(IFERROR(IF(C572=C570,0,IF(E572=E571,0,IF(C572=$R$3,HLOOKUP($R$3,Ingreso!$AW$10:$BC$260,VLOOKUP(A572,Ingreso!AL:AM,2,FALSE),FALSE)/24,""))),"")=0,"",IFERROR(IF(C572=C570,0,IF(E572=E571,0,IF(C572=$R$3,HLOOKUP($R$3,Ingreso!$AW$10:$BC$260,VLOOKUP(A572,Ingreso!AL:AM,2,FALSE),FALSE)/24,""))),""))</f>
        <v/>
      </c>
      <c r="O572" s="95" t="str">
        <f>IF(IFERROR(IF(C572=C570,0,IF(E572=E571,0,IF(C572=$R$4,HLOOKUP($R$4,Ingreso!$AW$10:$BC$260,VLOOKUP(A572,Ingreso!AL:AM,2,FALSE),FALSE)/24,""))),"")=0,"",IFERROR(IF(C572=C570,0,IF(E572=E571,0,IF(C572=$R$4,HLOOKUP($R$4,Ingreso!$AW$10:$BC$260,VLOOKUP(A572,Ingreso!AL:AM,2,FALSE),FALSE)/24,""))),""))</f>
        <v/>
      </c>
      <c r="P572" s="90"/>
      <c r="V572"/>
      <c r="W572"/>
      <c r="X572"/>
      <c r="Y572"/>
      <c r="Z572"/>
      <c r="AA572"/>
      <c r="AB572"/>
      <c r="AC572"/>
      <c r="AD572"/>
    </row>
    <row r="573" spans="1:30">
      <c r="A573" s="65" t="str">
        <f>IFERROR(VLOOKUP('Informe Kelly'!A566,Base!A:B,2,FALSE),"")</f>
        <v>12.093.149-0</v>
      </c>
      <c r="B573" s="65" t="str">
        <f>IFERROR(VLOOKUP('Informe Kelly'!A566,Base!A:G,7,FALSE),"")</f>
        <v>CONTRERAS CORTES ANGEL GUILLERMO</v>
      </c>
      <c r="C573" s="69" t="str">
        <f>IF(G573=$C$4,IF('Informe Kelly'!H566='Control informe Kelly'!$A$2,TEXT(((LEFT('Informe Kelly'!E566,2)*1)+1),"dd")&amp;"."&amp;MID('Informe Kelly'!E566,4,2)&amp;"."&amp;RIGHT('Informe Kelly'!E566,4),'Informe Kelly'!E566),'Informe Kelly'!E566)</f>
        <v>12.04.2011</v>
      </c>
      <c r="D573" s="69" t="str">
        <f>IF('Informe Kelly'!E566="","",'Informe Kelly'!E566)</f>
        <v>12.04.2011</v>
      </c>
      <c r="E573" s="72">
        <f t="shared" si="17"/>
        <v>288</v>
      </c>
      <c r="F573" s="72" t="str">
        <f>IFERROR(HLOOKUP(C573,Ingreso!$Q$8:$AD$9,2,FALSE),"v")</f>
        <v>Martes</v>
      </c>
      <c r="G573" s="65" t="str">
        <f>IFERROR(VLOOKUP(A573,Ingreso!K:P,6,FALSE),"no esta ingresado")</f>
        <v>no esta ingresado</v>
      </c>
      <c r="H573" s="65">
        <f>IFERROR(IF('Informe Kelly'!H566=$A$2,'Informe Kelly'!F566,""),0)</f>
        <v>0.91811342592592593</v>
      </c>
      <c r="I573" s="65" t="str">
        <f>IFERROR(IF('Informe Kelly'!H566=$A$3,'Informe Kelly'!F566,""),0)</f>
        <v/>
      </c>
      <c r="J573" s="65" t="str">
        <f>IF(IFERROR(IF(E573=E572,0,(HLOOKUP(D573,Ingreso!$AN$10:$AT$260,VLOOKUP(A573,Ingreso!$AL$11:$AM$260,2,FALSE)))/24),0)=0,"",IFERROR(IF(E573=E572,0,(HLOOKUP(D573,Ingreso!$AN$10:$AT$260,VLOOKUP(A573,Ingreso!$AL$11:$AM$260,2,FALSE)))/24),0))</f>
        <v/>
      </c>
      <c r="K573" s="65" t="str">
        <f>IF(IFERROR(IF(E573=E572,0,(HLOOKUP(C573,Ingreso!$AW$10:$BC$260,VLOOKUP(A573,Ingreso!$AL$11:$AM$260,2,FALSE)))/24),0)=0,"",IFERROR(IF(E573=E572,0,(HLOOKUP(C573,Ingreso!$AW$10:$BC$260,VLOOKUP(A573,Ingreso!$AL$11:$AM$260,2,FALSE)))/24),0))</f>
        <v/>
      </c>
      <c r="L573" s="63">
        <f t="shared" si="16"/>
        <v>0</v>
      </c>
      <c r="M573" s="63" t="str">
        <f>IF(IFERROR(IF(C573=C571,0,IF(E573=E572,0,IF(C573=$R$2,HLOOKUP($R$2,Ingreso!$AW$10:$BC$260,VLOOKUP(A573,Ingreso!AL:AM,2,FALSE),FALSE)/24,""))),"")=0,"",IFERROR(IF(C573=C571,0,IF(E573=E572,0,IF(C573=$R$2,HLOOKUP($R$2,Ingreso!$AW$10:$BC$260,VLOOKUP(A573,Ingreso!AL:AM,2,FALSE),FALSE)/24,""))),""))</f>
        <v/>
      </c>
      <c r="N573" s="95" t="str">
        <f>IF(IFERROR(IF(C573=C571,0,IF(E573=E572,0,IF(C573=$R$3,HLOOKUP($R$3,Ingreso!$AW$10:$BC$260,VLOOKUP(A573,Ingreso!AL:AM,2,FALSE),FALSE)/24,""))),"")=0,"",IFERROR(IF(C573=C571,0,IF(E573=E572,0,IF(C573=$R$3,HLOOKUP($R$3,Ingreso!$AW$10:$BC$260,VLOOKUP(A573,Ingreso!AL:AM,2,FALSE),FALSE)/24,""))),""))</f>
        <v/>
      </c>
      <c r="O573" s="95" t="str">
        <f>IF(IFERROR(IF(C573=C571,0,IF(E573=E572,0,IF(C573=$R$4,HLOOKUP($R$4,Ingreso!$AW$10:$BC$260,VLOOKUP(A573,Ingreso!AL:AM,2,FALSE),FALSE)/24,""))),"")=0,"",IFERROR(IF(C573=C571,0,IF(E573=E572,0,IF(C573=$R$4,HLOOKUP($R$4,Ingreso!$AW$10:$BC$260,VLOOKUP(A573,Ingreso!AL:AM,2,FALSE),FALSE)/24,""))),""))</f>
        <v/>
      </c>
      <c r="P573" s="90"/>
      <c r="V573"/>
      <c r="W573"/>
      <c r="X573"/>
      <c r="Y573"/>
      <c r="Z573"/>
      <c r="AA573"/>
      <c r="AB573"/>
      <c r="AC573"/>
      <c r="AD573"/>
    </row>
    <row r="574" spans="1:30">
      <c r="A574" s="65" t="str">
        <f>IFERROR(VLOOKUP('Informe Kelly'!A567,Base!A:B,2,FALSE),"")</f>
        <v>12.093.149-0</v>
      </c>
      <c r="B574" s="65" t="str">
        <f>IFERROR(VLOOKUP('Informe Kelly'!A567,Base!A:G,7,FALSE),"")</f>
        <v>CONTRERAS CORTES ANGEL GUILLERMO</v>
      </c>
      <c r="C574" s="69" t="str">
        <f>IF(G574=$C$4,IF('Informe Kelly'!H567='Control informe Kelly'!$A$2,TEXT(((LEFT('Informe Kelly'!E567,2)*1)+1),"dd")&amp;"."&amp;MID('Informe Kelly'!E567,4,2)&amp;"."&amp;RIGHT('Informe Kelly'!E567,4),'Informe Kelly'!E567),'Informe Kelly'!E567)</f>
        <v>13.04.2011</v>
      </c>
      <c r="D574" s="69" t="str">
        <f>IF('Informe Kelly'!E567="","",'Informe Kelly'!E567)</f>
        <v>13.04.2011</v>
      </c>
      <c r="E574" s="72">
        <f t="shared" si="17"/>
        <v>289</v>
      </c>
      <c r="F574" s="72" t="str">
        <f>IFERROR(HLOOKUP(C574,Ingreso!$Q$8:$AD$9,2,FALSE),"v")</f>
        <v>Miércoles</v>
      </c>
      <c r="G574" s="65" t="str">
        <f>IFERROR(VLOOKUP(A574,Ingreso!K:P,6,FALSE),"no esta ingresado")</f>
        <v>no esta ingresado</v>
      </c>
      <c r="H574" s="65" t="str">
        <f>IFERROR(IF('Informe Kelly'!H567=$A$2,'Informe Kelly'!F567,""),0)</f>
        <v/>
      </c>
      <c r="I574" s="65">
        <f>IFERROR(IF('Informe Kelly'!H567=$A$3,'Informe Kelly'!F567,""),0)</f>
        <v>0.32450231481481479</v>
      </c>
      <c r="J574" s="65" t="str">
        <f>IF(IFERROR(IF(E574=E573,0,(HLOOKUP(D574,Ingreso!$AN$10:$AT$260,VLOOKUP(A574,Ingreso!$AL$11:$AM$260,2,FALSE)))/24),0)=0,"",IFERROR(IF(E574=E573,0,(HLOOKUP(D574,Ingreso!$AN$10:$AT$260,VLOOKUP(A574,Ingreso!$AL$11:$AM$260,2,FALSE)))/24),0))</f>
        <v/>
      </c>
      <c r="K574" s="65" t="str">
        <f>IF(IFERROR(IF(E574=E573,0,(HLOOKUP(C574,Ingreso!$AW$10:$BC$260,VLOOKUP(A574,Ingreso!$AL$11:$AM$260,2,FALSE)))/24),0)=0,"",IFERROR(IF(E574=E573,0,(HLOOKUP(C574,Ingreso!$AW$10:$BC$260,VLOOKUP(A574,Ingreso!$AL$11:$AM$260,2,FALSE)))/24),0))</f>
        <v/>
      </c>
      <c r="L574" s="63" t="str">
        <f t="shared" si="16"/>
        <v/>
      </c>
      <c r="M574" s="63" t="str">
        <f>IF(IFERROR(IF(C574=C572,0,IF(E574=E573,0,IF(C574=$R$2,HLOOKUP($R$2,Ingreso!$AW$10:$BC$260,VLOOKUP(A574,Ingreso!AL:AM,2,FALSE),FALSE)/24,""))),"")=0,"",IFERROR(IF(C574=C572,0,IF(E574=E573,0,IF(C574=$R$2,HLOOKUP($R$2,Ingreso!$AW$10:$BC$260,VLOOKUP(A574,Ingreso!AL:AM,2,FALSE),FALSE)/24,""))),""))</f>
        <v/>
      </c>
      <c r="N574" s="95" t="str">
        <f>IF(IFERROR(IF(C574=C572,0,IF(E574=E573,0,IF(C574=$R$3,HLOOKUP($R$3,Ingreso!$AW$10:$BC$260,VLOOKUP(A574,Ingreso!AL:AM,2,FALSE),FALSE)/24,""))),"")=0,"",IFERROR(IF(C574=C572,0,IF(E574=E573,0,IF(C574=$R$3,HLOOKUP($R$3,Ingreso!$AW$10:$BC$260,VLOOKUP(A574,Ingreso!AL:AM,2,FALSE),FALSE)/24,""))),""))</f>
        <v/>
      </c>
      <c r="O574" s="95" t="str">
        <f>IF(IFERROR(IF(C574=C572,0,IF(E574=E573,0,IF(C574=$R$4,HLOOKUP($R$4,Ingreso!$AW$10:$BC$260,VLOOKUP(A574,Ingreso!AL:AM,2,FALSE),FALSE)/24,""))),"")=0,"",IFERROR(IF(C574=C572,0,IF(E574=E573,0,IF(C574=$R$4,HLOOKUP($R$4,Ingreso!$AW$10:$BC$260,VLOOKUP(A574,Ingreso!AL:AM,2,FALSE),FALSE)/24,""))),""))</f>
        <v/>
      </c>
      <c r="P574" s="90"/>
      <c r="V574"/>
      <c r="W574"/>
      <c r="X574"/>
      <c r="Y574"/>
      <c r="Z574"/>
      <c r="AA574"/>
      <c r="AB574"/>
      <c r="AC574"/>
      <c r="AD574"/>
    </row>
    <row r="575" spans="1:30">
      <c r="A575" s="65" t="str">
        <f>IFERROR(VLOOKUP('Informe Kelly'!A568,Base!A:B,2,FALSE),"")</f>
        <v>12.093.149-0</v>
      </c>
      <c r="B575" s="65" t="str">
        <f>IFERROR(VLOOKUP('Informe Kelly'!A568,Base!A:G,7,FALSE),"")</f>
        <v>CONTRERAS CORTES ANGEL GUILLERMO</v>
      </c>
      <c r="C575" s="69" t="str">
        <f>IF(G575=$C$4,IF('Informe Kelly'!H568='Control informe Kelly'!$A$2,TEXT(((LEFT('Informe Kelly'!E568,2)*1)+1),"dd")&amp;"."&amp;MID('Informe Kelly'!E568,4,2)&amp;"."&amp;RIGHT('Informe Kelly'!E568,4),'Informe Kelly'!E568),'Informe Kelly'!E568)</f>
        <v>13.04.2011</v>
      </c>
      <c r="D575" s="69" t="str">
        <f>IF('Informe Kelly'!E568="","",'Informe Kelly'!E568)</f>
        <v>13.04.2011</v>
      </c>
      <c r="E575" s="72">
        <f t="shared" si="17"/>
        <v>289</v>
      </c>
      <c r="F575" s="72" t="str">
        <f>IFERROR(HLOOKUP(C575,Ingreso!$Q$8:$AD$9,2,FALSE),"v")</f>
        <v>Miércoles</v>
      </c>
      <c r="G575" s="65" t="str">
        <f>IFERROR(VLOOKUP(A575,Ingreso!K:P,6,FALSE),"no esta ingresado")</f>
        <v>no esta ingresado</v>
      </c>
      <c r="H575" s="65">
        <f>IFERROR(IF('Informe Kelly'!H568=$A$2,'Informe Kelly'!F568,""),0)</f>
        <v>0.91859953703703701</v>
      </c>
      <c r="I575" s="65" t="str">
        <f>IFERROR(IF('Informe Kelly'!H568=$A$3,'Informe Kelly'!F568,""),0)</f>
        <v/>
      </c>
      <c r="J575" s="65" t="str">
        <f>IF(IFERROR(IF(E575=E574,0,(HLOOKUP(D575,Ingreso!$AN$10:$AT$260,VLOOKUP(A575,Ingreso!$AL$11:$AM$260,2,FALSE)))/24),0)=0,"",IFERROR(IF(E575=E574,0,(HLOOKUP(D575,Ingreso!$AN$10:$AT$260,VLOOKUP(A575,Ingreso!$AL$11:$AM$260,2,FALSE)))/24),0))</f>
        <v/>
      </c>
      <c r="K575" s="65" t="str">
        <f>IF(IFERROR(IF(E575=E574,0,(HLOOKUP(C575,Ingreso!$AW$10:$BC$260,VLOOKUP(A575,Ingreso!$AL$11:$AM$260,2,FALSE)))/24),0)=0,"",IFERROR(IF(E575=E574,0,(HLOOKUP(C575,Ingreso!$AW$10:$BC$260,VLOOKUP(A575,Ingreso!$AL$11:$AM$260,2,FALSE)))/24),0))</f>
        <v/>
      </c>
      <c r="L575" s="63">
        <f t="shared" si="16"/>
        <v>0</v>
      </c>
      <c r="M575" s="63" t="str">
        <f>IF(IFERROR(IF(C575=C573,0,IF(E575=E574,0,IF(C575=$R$2,HLOOKUP($R$2,Ingreso!$AW$10:$BC$260,VLOOKUP(A575,Ingreso!AL:AM,2,FALSE),FALSE)/24,""))),"")=0,"",IFERROR(IF(C575=C573,0,IF(E575=E574,0,IF(C575=$R$2,HLOOKUP($R$2,Ingreso!$AW$10:$BC$260,VLOOKUP(A575,Ingreso!AL:AM,2,FALSE),FALSE)/24,""))),""))</f>
        <v/>
      </c>
      <c r="N575" s="95" t="str">
        <f>IF(IFERROR(IF(C575=C573,0,IF(E575=E574,0,IF(C575=$R$3,HLOOKUP($R$3,Ingreso!$AW$10:$BC$260,VLOOKUP(A575,Ingreso!AL:AM,2,FALSE),FALSE)/24,""))),"")=0,"",IFERROR(IF(C575=C573,0,IF(E575=E574,0,IF(C575=$R$3,HLOOKUP($R$3,Ingreso!$AW$10:$BC$260,VLOOKUP(A575,Ingreso!AL:AM,2,FALSE),FALSE)/24,""))),""))</f>
        <v/>
      </c>
      <c r="O575" s="95" t="str">
        <f>IF(IFERROR(IF(C575=C573,0,IF(E575=E574,0,IF(C575=$R$4,HLOOKUP($R$4,Ingreso!$AW$10:$BC$260,VLOOKUP(A575,Ingreso!AL:AM,2,FALSE),FALSE)/24,""))),"")=0,"",IFERROR(IF(C575=C573,0,IF(E575=E574,0,IF(C575=$R$4,HLOOKUP($R$4,Ingreso!$AW$10:$BC$260,VLOOKUP(A575,Ingreso!AL:AM,2,FALSE),FALSE)/24,""))),""))</f>
        <v/>
      </c>
      <c r="P575" s="90"/>
      <c r="V575"/>
      <c r="W575"/>
      <c r="X575"/>
      <c r="Y575"/>
      <c r="Z575"/>
      <c r="AA575"/>
      <c r="AB575"/>
      <c r="AC575"/>
      <c r="AD575"/>
    </row>
    <row r="576" spans="1:30">
      <c r="A576" s="65" t="str">
        <f>IFERROR(VLOOKUP('Informe Kelly'!A569,Base!A:B,2,FALSE),"")</f>
        <v>12.093.149-0</v>
      </c>
      <c r="B576" s="65" t="str">
        <f>IFERROR(VLOOKUP('Informe Kelly'!A569,Base!A:G,7,FALSE),"")</f>
        <v>CONTRERAS CORTES ANGEL GUILLERMO</v>
      </c>
      <c r="C576" s="69" t="str">
        <f>IF(G576=$C$4,IF('Informe Kelly'!H569='Control informe Kelly'!$A$2,TEXT(((LEFT('Informe Kelly'!E569,2)*1)+1),"dd")&amp;"."&amp;MID('Informe Kelly'!E569,4,2)&amp;"."&amp;RIGHT('Informe Kelly'!E569,4),'Informe Kelly'!E569),'Informe Kelly'!E569)</f>
        <v>14.04.2011</v>
      </c>
      <c r="D576" s="69" t="str">
        <f>IF('Informe Kelly'!E569="","",'Informe Kelly'!E569)</f>
        <v>14.04.2011</v>
      </c>
      <c r="E576" s="72">
        <f t="shared" si="17"/>
        <v>290</v>
      </c>
      <c r="F576" s="72" t="str">
        <f>IFERROR(HLOOKUP(C576,Ingreso!$Q$8:$AD$9,2,FALSE),"v")</f>
        <v>Jueves</v>
      </c>
      <c r="G576" s="65" t="str">
        <f>IFERROR(VLOOKUP(A576,Ingreso!K:P,6,FALSE),"no esta ingresado")</f>
        <v>no esta ingresado</v>
      </c>
      <c r="H576" s="65" t="str">
        <f>IFERROR(IF('Informe Kelly'!H569=$A$2,'Informe Kelly'!F569,""),0)</f>
        <v/>
      </c>
      <c r="I576" s="65">
        <f>IFERROR(IF('Informe Kelly'!H569=$A$3,'Informe Kelly'!F569,""),0)</f>
        <v>0.3288773148148148</v>
      </c>
      <c r="J576" s="65" t="str">
        <f>IF(IFERROR(IF(E576=E575,0,(HLOOKUP(D576,Ingreso!$AN$10:$AT$260,VLOOKUP(A576,Ingreso!$AL$11:$AM$260,2,FALSE)))/24),0)=0,"",IFERROR(IF(E576=E575,0,(HLOOKUP(D576,Ingreso!$AN$10:$AT$260,VLOOKUP(A576,Ingreso!$AL$11:$AM$260,2,FALSE)))/24),0))</f>
        <v/>
      </c>
      <c r="K576" s="65" t="str">
        <f>IF(IFERROR(IF(E576=E575,0,(HLOOKUP(C576,Ingreso!$AW$10:$BC$260,VLOOKUP(A576,Ingreso!$AL$11:$AM$260,2,FALSE)))/24),0)=0,"",IFERROR(IF(E576=E575,0,(HLOOKUP(C576,Ingreso!$AW$10:$BC$260,VLOOKUP(A576,Ingreso!$AL$11:$AM$260,2,FALSE)))/24),0))</f>
        <v/>
      </c>
      <c r="L576" s="63" t="str">
        <f t="shared" si="16"/>
        <v/>
      </c>
      <c r="M576" s="63" t="str">
        <f>IF(IFERROR(IF(C576=C574,0,IF(E576=E575,0,IF(C576=$R$2,HLOOKUP($R$2,Ingreso!$AW$10:$BC$260,VLOOKUP(A576,Ingreso!AL:AM,2,FALSE),FALSE)/24,""))),"")=0,"",IFERROR(IF(C576=C574,0,IF(E576=E575,0,IF(C576=$R$2,HLOOKUP($R$2,Ingreso!$AW$10:$BC$260,VLOOKUP(A576,Ingreso!AL:AM,2,FALSE),FALSE)/24,""))),""))</f>
        <v/>
      </c>
      <c r="N576" s="95" t="str">
        <f>IF(IFERROR(IF(C576=C574,0,IF(E576=E575,0,IF(C576=$R$3,HLOOKUP($R$3,Ingreso!$AW$10:$BC$260,VLOOKUP(A576,Ingreso!AL:AM,2,FALSE),FALSE)/24,""))),"")=0,"",IFERROR(IF(C576=C574,0,IF(E576=E575,0,IF(C576=$R$3,HLOOKUP($R$3,Ingreso!$AW$10:$BC$260,VLOOKUP(A576,Ingreso!AL:AM,2,FALSE),FALSE)/24,""))),""))</f>
        <v/>
      </c>
      <c r="O576" s="95" t="str">
        <f>IF(IFERROR(IF(C576=C574,0,IF(E576=E575,0,IF(C576=$R$4,HLOOKUP($R$4,Ingreso!$AW$10:$BC$260,VLOOKUP(A576,Ingreso!AL:AM,2,FALSE),FALSE)/24,""))),"")=0,"",IFERROR(IF(C576=C574,0,IF(E576=E575,0,IF(C576=$R$4,HLOOKUP($R$4,Ingreso!$AW$10:$BC$260,VLOOKUP(A576,Ingreso!AL:AM,2,FALSE),FALSE)/24,""))),""))</f>
        <v/>
      </c>
      <c r="P576" s="90"/>
      <c r="V576"/>
      <c r="W576"/>
      <c r="X576"/>
      <c r="Y576"/>
      <c r="Z576"/>
      <c r="AA576"/>
      <c r="AB576"/>
      <c r="AC576"/>
      <c r="AD576"/>
    </row>
    <row r="577" spans="1:30">
      <c r="A577" s="65" t="str">
        <f>IFERROR(VLOOKUP('Informe Kelly'!A570,Base!A:B,2,FALSE),"")</f>
        <v>12.093.149-0</v>
      </c>
      <c r="B577" s="65" t="str">
        <f>IFERROR(VLOOKUP('Informe Kelly'!A570,Base!A:G,7,FALSE),"")</f>
        <v>CONTRERAS CORTES ANGEL GUILLERMO</v>
      </c>
      <c r="C577" s="69" t="str">
        <f>IF(G577=$C$4,IF('Informe Kelly'!H570='Control informe Kelly'!$A$2,TEXT(((LEFT('Informe Kelly'!E570,2)*1)+1),"dd")&amp;"."&amp;MID('Informe Kelly'!E570,4,2)&amp;"."&amp;RIGHT('Informe Kelly'!E570,4),'Informe Kelly'!E570),'Informe Kelly'!E570)</f>
        <v>14.04.2011</v>
      </c>
      <c r="D577" s="69" t="str">
        <f>IF('Informe Kelly'!E570="","",'Informe Kelly'!E570)</f>
        <v>14.04.2011</v>
      </c>
      <c r="E577" s="72">
        <f t="shared" si="17"/>
        <v>290</v>
      </c>
      <c r="F577" s="72" t="str">
        <f>IFERROR(HLOOKUP(C577,Ingreso!$Q$8:$AD$9,2,FALSE),"v")</f>
        <v>Jueves</v>
      </c>
      <c r="G577" s="65" t="str">
        <f>IFERROR(VLOOKUP(A577,Ingreso!K:P,6,FALSE),"no esta ingresado")</f>
        <v>no esta ingresado</v>
      </c>
      <c r="H577" s="65">
        <f>IFERROR(IF('Informe Kelly'!H570=$A$2,'Informe Kelly'!F570,""),0)</f>
        <v>0.91442129629629632</v>
      </c>
      <c r="I577" s="65" t="str">
        <f>IFERROR(IF('Informe Kelly'!H570=$A$3,'Informe Kelly'!F570,""),0)</f>
        <v/>
      </c>
      <c r="J577" s="65" t="str">
        <f>IF(IFERROR(IF(E577=E576,0,(HLOOKUP(D577,Ingreso!$AN$10:$AT$260,VLOOKUP(A577,Ingreso!$AL$11:$AM$260,2,FALSE)))/24),0)=0,"",IFERROR(IF(E577=E576,0,(HLOOKUP(D577,Ingreso!$AN$10:$AT$260,VLOOKUP(A577,Ingreso!$AL$11:$AM$260,2,FALSE)))/24),0))</f>
        <v/>
      </c>
      <c r="K577" s="65" t="str">
        <f>IF(IFERROR(IF(E577=E576,0,(HLOOKUP(C577,Ingreso!$AW$10:$BC$260,VLOOKUP(A577,Ingreso!$AL$11:$AM$260,2,FALSE)))/24),0)=0,"",IFERROR(IF(E577=E576,0,(HLOOKUP(C577,Ingreso!$AW$10:$BC$260,VLOOKUP(A577,Ingreso!$AL$11:$AM$260,2,FALSE)))/24),0))</f>
        <v/>
      </c>
      <c r="L577" s="63">
        <f t="shared" si="16"/>
        <v>0</v>
      </c>
      <c r="M577" s="63" t="str">
        <f>IF(IFERROR(IF(C577=C575,0,IF(E577=E576,0,IF(C577=$R$2,HLOOKUP($R$2,Ingreso!$AW$10:$BC$260,VLOOKUP(A577,Ingreso!AL:AM,2,FALSE),FALSE)/24,""))),"")=0,"",IFERROR(IF(C577=C575,0,IF(E577=E576,0,IF(C577=$R$2,HLOOKUP($R$2,Ingreso!$AW$10:$BC$260,VLOOKUP(A577,Ingreso!AL:AM,2,FALSE),FALSE)/24,""))),""))</f>
        <v/>
      </c>
      <c r="N577" s="95" t="str">
        <f>IF(IFERROR(IF(C577=C575,0,IF(E577=E576,0,IF(C577=$R$3,HLOOKUP($R$3,Ingreso!$AW$10:$BC$260,VLOOKUP(A577,Ingreso!AL:AM,2,FALSE),FALSE)/24,""))),"")=0,"",IFERROR(IF(C577=C575,0,IF(E577=E576,0,IF(C577=$R$3,HLOOKUP($R$3,Ingreso!$AW$10:$BC$260,VLOOKUP(A577,Ingreso!AL:AM,2,FALSE),FALSE)/24,""))),""))</f>
        <v/>
      </c>
      <c r="O577" s="95" t="str">
        <f>IF(IFERROR(IF(C577=C575,0,IF(E577=E576,0,IF(C577=$R$4,HLOOKUP($R$4,Ingreso!$AW$10:$BC$260,VLOOKUP(A577,Ingreso!AL:AM,2,FALSE),FALSE)/24,""))),"")=0,"",IFERROR(IF(C577=C575,0,IF(E577=E576,0,IF(C577=$R$4,HLOOKUP($R$4,Ingreso!$AW$10:$BC$260,VLOOKUP(A577,Ingreso!AL:AM,2,FALSE),FALSE)/24,""))),""))</f>
        <v/>
      </c>
      <c r="P577" s="90"/>
      <c r="V577"/>
      <c r="W577"/>
      <c r="X577"/>
      <c r="Y577"/>
      <c r="Z577"/>
      <c r="AA577"/>
      <c r="AB577"/>
      <c r="AC577"/>
      <c r="AD577"/>
    </row>
    <row r="578" spans="1:30">
      <c r="A578" s="65" t="str">
        <f>IFERROR(VLOOKUP('Informe Kelly'!A571,Base!A:B,2,FALSE),"")</f>
        <v>12.093.149-0</v>
      </c>
      <c r="B578" s="65" t="str">
        <f>IFERROR(VLOOKUP('Informe Kelly'!A571,Base!A:G,7,FALSE),"")</f>
        <v>CONTRERAS CORTES ANGEL GUILLERMO</v>
      </c>
      <c r="C578" s="69" t="str">
        <f>IF(G578=$C$4,IF('Informe Kelly'!H571='Control informe Kelly'!$A$2,TEXT(((LEFT('Informe Kelly'!E571,2)*1)+1),"dd")&amp;"."&amp;MID('Informe Kelly'!E571,4,2)&amp;"."&amp;RIGHT('Informe Kelly'!E571,4),'Informe Kelly'!E571),'Informe Kelly'!E571)</f>
        <v>15.04.2011</v>
      </c>
      <c r="D578" s="69" t="str">
        <f>IF('Informe Kelly'!E571="","",'Informe Kelly'!E571)</f>
        <v>15.04.2011</v>
      </c>
      <c r="E578" s="72">
        <f t="shared" si="17"/>
        <v>291</v>
      </c>
      <c r="F578" s="72" t="str">
        <f>IFERROR(HLOOKUP(C578,Ingreso!$Q$8:$AD$9,2,FALSE),"v")</f>
        <v>Viernes</v>
      </c>
      <c r="G578" s="65" t="str">
        <f>IFERROR(VLOOKUP(A578,Ingreso!K:P,6,FALSE),"no esta ingresado")</f>
        <v>no esta ingresado</v>
      </c>
      <c r="H578" s="65" t="str">
        <f>IFERROR(IF('Informe Kelly'!H571=$A$2,'Informe Kelly'!F571,""),0)</f>
        <v/>
      </c>
      <c r="I578" s="65">
        <f>IFERROR(IF('Informe Kelly'!H571=$A$3,'Informe Kelly'!F571,""),0)</f>
        <v>0.32385416666666667</v>
      </c>
      <c r="J578" s="65" t="str">
        <f>IF(IFERROR(IF(E578=E577,0,(HLOOKUP(D578,Ingreso!$AN$10:$AT$260,VLOOKUP(A578,Ingreso!$AL$11:$AM$260,2,FALSE)))/24),0)=0,"",IFERROR(IF(E578=E577,0,(HLOOKUP(D578,Ingreso!$AN$10:$AT$260,VLOOKUP(A578,Ingreso!$AL$11:$AM$260,2,FALSE)))/24),0))</f>
        <v/>
      </c>
      <c r="K578" s="65" t="str">
        <f>IF(IFERROR(IF(E578=E577,0,(HLOOKUP(C578,Ingreso!$AW$10:$BC$260,VLOOKUP(A578,Ingreso!$AL$11:$AM$260,2,FALSE)))/24),0)=0,"",IFERROR(IF(E578=E577,0,(HLOOKUP(C578,Ingreso!$AW$10:$BC$260,VLOOKUP(A578,Ingreso!$AL$11:$AM$260,2,FALSE)))/24),0))</f>
        <v/>
      </c>
      <c r="L578" s="63" t="str">
        <f t="shared" si="16"/>
        <v/>
      </c>
      <c r="M578" s="63" t="str">
        <f>IF(IFERROR(IF(C578=C576,0,IF(E578=E577,0,IF(C578=$R$2,HLOOKUP($R$2,Ingreso!$AW$10:$BC$260,VLOOKUP(A578,Ingreso!AL:AM,2,FALSE),FALSE)/24,""))),"")=0,"",IFERROR(IF(C578=C576,0,IF(E578=E577,0,IF(C578=$R$2,HLOOKUP($R$2,Ingreso!$AW$10:$BC$260,VLOOKUP(A578,Ingreso!AL:AM,2,FALSE),FALSE)/24,""))),""))</f>
        <v/>
      </c>
      <c r="N578" s="95" t="str">
        <f>IF(IFERROR(IF(C578=C576,0,IF(E578=E577,0,IF(C578=$R$3,HLOOKUP($R$3,Ingreso!$AW$10:$BC$260,VLOOKUP(A578,Ingreso!AL:AM,2,FALSE),FALSE)/24,""))),"")=0,"",IFERROR(IF(C578=C576,0,IF(E578=E577,0,IF(C578=$R$3,HLOOKUP($R$3,Ingreso!$AW$10:$BC$260,VLOOKUP(A578,Ingreso!AL:AM,2,FALSE),FALSE)/24,""))),""))</f>
        <v/>
      </c>
      <c r="O578" s="95" t="str">
        <f>IF(IFERROR(IF(C578=C576,0,IF(E578=E577,0,IF(C578=$R$4,HLOOKUP($R$4,Ingreso!$AW$10:$BC$260,VLOOKUP(A578,Ingreso!AL:AM,2,FALSE),FALSE)/24,""))),"")=0,"",IFERROR(IF(C578=C576,0,IF(E578=E577,0,IF(C578=$R$4,HLOOKUP($R$4,Ingreso!$AW$10:$BC$260,VLOOKUP(A578,Ingreso!AL:AM,2,FALSE),FALSE)/24,""))),""))</f>
        <v/>
      </c>
      <c r="P578" s="90"/>
      <c r="V578"/>
      <c r="W578"/>
      <c r="X578"/>
      <c r="Y578"/>
      <c r="Z578"/>
      <c r="AA578"/>
      <c r="AB578"/>
      <c r="AC578"/>
      <c r="AD578"/>
    </row>
    <row r="579" spans="1:30">
      <c r="A579" s="65" t="str">
        <f>IFERROR(VLOOKUP('Informe Kelly'!A572,Base!A:B,2,FALSE),"")</f>
        <v>12.093.149-0</v>
      </c>
      <c r="B579" s="65" t="str">
        <f>IFERROR(VLOOKUP('Informe Kelly'!A572,Base!A:G,7,FALSE),"")</f>
        <v>CONTRERAS CORTES ANGEL GUILLERMO</v>
      </c>
      <c r="C579" s="69" t="str">
        <f>IF(G579=$C$4,IF('Informe Kelly'!H572='Control informe Kelly'!$A$2,TEXT(((LEFT('Informe Kelly'!E572,2)*1)+1),"dd")&amp;"."&amp;MID('Informe Kelly'!E572,4,2)&amp;"."&amp;RIGHT('Informe Kelly'!E572,4),'Informe Kelly'!E572),'Informe Kelly'!E572)</f>
        <v>15.04.2011</v>
      </c>
      <c r="D579" s="69" t="str">
        <f>IF('Informe Kelly'!E572="","",'Informe Kelly'!E572)</f>
        <v>15.04.2011</v>
      </c>
      <c r="E579" s="72">
        <f t="shared" si="17"/>
        <v>291</v>
      </c>
      <c r="F579" s="72" t="str">
        <f>IFERROR(HLOOKUP(C579,Ingreso!$Q$8:$AD$9,2,FALSE),"v")</f>
        <v>Viernes</v>
      </c>
      <c r="G579" s="65" t="str">
        <f>IFERROR(VLOOKUP(A579,Ingreso!K:P,6,FALSE),"no esta ingresado")</f>
        <v>no esta ingresado</v>
      </c>
      <c r="H579" s="65">
        <f>IFERROR(IF('Informe Kelly'!H572=$A$2,'Informe Kelly'!F572,""),0)</f>
        <v>0.92718750000000005</v>
      </c>
      <c r="I579" s="65" t="str">
        <f>IFERROR(IF('Informe Kelly'!H572=$A$3,'Informe Kelly'!F572,""),0)</f>
        <v/>
      </c>
      <c r="J579" s="65" t="str">
        <f>IF(IFERROR(IF(E579=E578,0,(HLOOKUP(D579,Ingreso!$AN$10:$AT$260,VLOOKUP(A579,Ingreso!$AL$11:$AM$260,2,FALSE)))/24),0)=0,"",IFERROR(IF(E579=E578,0,(HLOOKUP(D579,Ingreso!$AN$10:$AT$260,VLOOKUP(A579,Ingreso!$AL$11:$AM$260,2,FALSE)))/24),0))</f>
        <v/>
      </c>
      <c r="K579" s="65" t="str">
        <f>IF(IFERROR(IF(E579=E578,0,(HLOOKUP(C579,Ingreso!$AW$10:$BC$260,VLOOKUP(A579,Ingreso!$AL$11:$AM$260,2,FALSE)))/24),0)=0,"",IFERROR(IF(E579=E578,0,(HLOOKUP(C579,Ingreso!$AW$10:$BC$260,VLOOKUP(A579,Ingreso!$AL$11:$AM$260,2,FALSE)))/24),0))</f>
        <v/>
      </c>
      <c r="L579" s="63">
        <f t="shared" si="16"/>
        <v>0</v>
      </c>
      <c r="M579" s="63" t="str">
        <f>IF(IFERROR(IF(C579=C577,0,IF(E579=E578,0,IF(C579=$R$2,HLOOKUP($R$2,Ingreso!$AW$10:$BC$260,VLOOKUP(A579,Ingreso!AL:AM,2,FALSE),FALSE)/24,""))),"")=0,"",IFERROR(IF(C579=C577,0,IF(E579=E578,0,IF(C579=$R$2,HLOOKUP($R$2,Ingreso!$AW$10:$BC$260,VLOOKUP(A579,Ingreso!AL:AM,2,FALSE),FALSE)/24,""))),""))</f>
        <v/>
      </c>
      <c r="N579" s="95" t="str">
        <f>IF(IFERROR(IF(C579=C577,0,IF(E579=E578,0,IF(C579=$R$3,HLOOKUP($R$3,Ingreso!$AW$10:$BC$260,VLOOKUP(A579,Ingreso!AL:AM,2,FALSE),FALSE)/24,""))),"")=0,"",IFERROR(IF(C579=C577,0,IF(E579=E578,0,IF(C579=$R$3,HLOOKUP($R$3,Ingreso!$AW$10:$BC$260,VLOOKUP(A579,Ingreso!AL:AM,2,FALSE),FALSE)/24,""))),""))</f>
        <v/>
      </c>
      <c r="O579" s="95" t="str">
        <f>IF(IFERROR(IF(C579=C577,0,IF(E579=E578,0,IF(C579=$R$4,HLOOKUP($R$4,Ingreso!$AW$10:$BC$260,VLOOKUP(A579,Ingreso!AL:AM,2,FALSE),FALSE)/24,""))),"")=0,"",IFERROR(IF(C579=C577,0,IF(E579=E578,0,IF(C579=$R$4,HLOOKUP($R$4,Ingreso!$AW$10:$BC$260,VLOOKUP(A579,Ingreso!AL:AM,2,FALSE),FALSE)/24,""))),""))</f>
        <v/>
      </c>
      <c r="P579" s="90"/>
      <c r="V579"/>
      <c r="W579"/>
      <c r="X579"/>
      <c r="Y579"/>
      <c r="Z579"/>
      <c r="AA579"/>
      <c r="AB579"/>
      <c r="AC579"/>
      <c r="AD579"/>
    </row>
    <row r="580" spans="1:30">
      <c r="A580" s="65" t="str">
        <f>IFERROR(VLOOKUP('Informe Kelly'!A573,Base!A:B,2,FALSE),"")</f>
        <v>12.093.149-0</v>
      </c>
      <c r="B580" s="65" t="str">
        <f>IFERROR(VLOOKUP('Informe Kelly'!A573,Base!A:G,7,FALSE),"")</f>
        <v>CONTRERAS CORTES ANGEL GUILLERMO</v>
      </c>
      <c r="C580" s="69" t="str">
        <f>IF(G580=$C$4,IF('Informe Kelly'!H573='Control informe Kelly'!$A$2,TEXT(((LEFT('Informe Kelly'!E573,2)*1)+1),"dd")&amp;"."&amp;MID('Informe Kelly'!E573,4,2)&amp;"."&amp;RIGHT('Informe Kelly'!E573,4),'Informe Kelly'!E573),'Informe Kelly'!E573)</f>
        <v>16.04.2011</v>
      </c>
      <c r="D580" s="69" t="str">
        <f>IF('Informe Kelly'!E573="","",'Informe Kelly'!E573)</f>
        <v>16.04.2011</v>
      </c>
      <c r="E580" s="72">
        <f t="shared" si="17"/>
        <v>292</v>
      </c>
      <c r="F580" s="72" t="str">
        <f>IFERROR(HLOOKUP(C580,Ingreso!$Q$8:$AD$9,2,FALSE),"v")</f>
        <v>Sábado</v>
      </c>
      <c r="G580" s="65" t="str">
        <f>IFERROR(VLOOKUP(A580,Ingreso!K:P,6,FALSE),"no esta ingresado")</f>
        <v>no esta ingresado</v>
      </c>
      <c r="H580" s="65" t="str">
        <f>IFERROR(IF('Informe Kelly'!H573=$A$2,'Informe Kelly'!F573,""),0)</f>
        <v/>
      </c>
      <c r="I580" s="65">
        <f>IFERROR(IF('Informe Kelly'!H573=$A$3,'Informe Kelly'!F573,""),0)</f>
        <v>0.32806712962962964</v>
      </c>
      <c r="J580" s="65" t="str">
        <f>IF(IFERROR(IF(E580=E579,0,(HLOOKUP(D580,Ingreso!$AN$10:$AT$260,VLOOKUP(A580,Ingreso!$AL$11:$AM$260,2,FALSE)))/24),0)=0,"",IFERROR(IF(E580=E579,0,(HLOOKUP(D580,Ingreso!$AN$10:$AT$260,VLOOKUP(A580,Ingreso!$AL$11:$AM$260,2,FALSE)))/24),0))</f>
        <v/>
      </c>
      <c r="K580" s="65" t="str">
        <f>IF(IFERROR(IF(E580=E579,0,(HLOOKUP(C580,Ingreso!$AW$10:$BC$260,VLOOKUP(A580,Ingreso!$AL$11:$AM$260,2,FALSE)))/24),0)=0,"",IFERROR(IF(E580=E579,0,(HLOOKUP(C580,Ingreso!$AW$10:$BC$260,VLOOKUP(A580,Ingreso!$AL$11:$AM$260,2,FALSE)))/24),0))</f>
        <v/>
      </c>
      <c r="L580" s="63" t="str">
        <f t="shared" si="16"/>
        <v/>
      </c>
      <c r="M580" s="63" t="str">
        <f>IF(IFERROR(IF(C580=C578,0,IF(E580=E579,0,IF(C580=$R$2,HLOOKUP($R$2,Ingreso!$AW$10:$BC$260,VLOOKUP(A580,Ingreso!AL:AM,2,FALSE),FALSE)/24,""))),"")=0,"",IFERROR(IF(C580=C578,0,IF(E580=E579,0,IF(C580=$R$2,HLOOKUP($R$2,Ingreso!$AW$10:$BC$260,VLOOKUP(A580,Ingreso!AL:AM,2,FALSE),FALSE)/24,""))),""))</f>
        <v/>
      </c>
      <c r="N580" s="95" t="str">
        <f>IF(IFERROR(IF(C580=C578,0,IF(E580=E579,0,IF(C580=$R$3,HLOOKUP($R$3,Ingreso!$AW$10:$BC$260,VLOOKUP(A580,Ingreso!AL:AM,2,FALSE),FALSE)/24,""))),"")=0,"",IFERROR(IF(C580=C578,0,IF(E580=E579,0,IF(C580=$R$3,HLOOKUP($R$3,Ingreso!$AW$10:$BC$260,VLOOKUP(A580,Ingreso!AL:AM,2,FALSE),FALSE)/24,""))),""))</f>
        <v/>
      </c>
      <c r="O580" s="95" t="str">
        <f>IF(IFERROR(IF(C580=C578,0,IF(E580=E579,0,IF(C580=$R$4,HLOOKUP($R$4,Ingreso!$AW$10:$BC$260,VLOOKUP(A580,Ingreso!AL:AM,2,FALSE),FALSE)/24,""))),"")=0,"",IFERROR(IF(C580=C578,0,IF(E580=E579,0,IF(C580=$R$4,HLOOKUP($R$4,Ingreso!$AW$10:$BC$260,VLOOKUP(A580,Ingreso!AL:AM,2,FALSE),FALSE)/24,""))),""))</f>
        <v/>
      </c>
      <c r="P580" s="90"/>
      <c r="V580"/>
      <c r="W580"/>
      <c r="X580"/>
      <c r="Y580"/>
      <c r="Z580"/>
      <c r="AA580"/>
      <c r="AB580"/>
      <c r="AC580"/>
      <c r="AD580"/>
    </row>
    <row r="581" spans="1:30">
      <c r="A581" s="65" t="str">
        <f>IFERROR(VLOOKUP('Informe Kelly'!A574,Base!A:B,2,FALSE),"")</f>
        <v>12.093.228-4</v>
      </c>
      <c r="B581" s="65" t="str">
        <f>IFERROR(VLOOKUP('Informe Kelly'!A574,Base!A:G,7,FALSE),"")</f>
        <v>ARANCIBIA NIETO CRISTIAN</v>
      </c>
      <c r="C581" s="69" t="str">
        <f>IF(G581=$C$4,IF('Informe Kelly'!H574='Control informe Kelly'!$A$2,TEXT(((LEFT('Informe Kelly'!E574,2)*1)+1),"dd")&amp;"."&amp;MID('Informe Kelly'!E574,4,2)&amp;"."&amp;RIGHT('Informe Kelly'!E574,4),'Informe Kelly'!E574),'Informe Kelly'!E574)</f>
        <v>11.04.2011</v>
      </c>
      <c r="D581" s="69" t="str">
        <f>IF('Informe Kelly'!E574="","",'Informe Kelly'!E574)</f>
        <v>11.04.2011</v>
      </c>
      <c r="E581" s="72">
        <f t="shared" si="17"/>
        <v>293</v>
      </c>
      <c r="F581" s="72" t="str">
        <f>IFERROR(HLOOKUP(C581,Ingreso!$Q$8:$AD$9,2,FALSE),"v")</f>
        <v>Lunes</v>
      </c>
      <c r="G581" s="65" t="str">
        <f>IFERROR(VLOOKUP(A581,Ingreso!K:P,6,FALSE),"no esta ingresado")</f>
        <v>Admin</v>
      </c>
      <c r="H581" s="65" t="str">
        <f>IFERROR(IF('Informe Kelly'!H574=$A$2,'Informe Kelly'!F574,""),0)</f>
        <v/>
      </c>
      <c r="I581" s="65">
        <f>IFERROR(IF('Informe Kelly'!H574=$A$3,'Informe Kelly'!F574,""),0)</f>
        <v>0.78828703703703706</v>
      </c>
      <c r="J581" s="65">
        <f>IF(IFERROR(IF(E581=E580,0,(HLOOKUP(D581,Ingreso!$AN$10:$AT$260,VLOOKUP(A581,Ingreso!$AL$11:$AM$260,2,FALSE)))/24),0)=0,"",IFERROR(IF(E581=E580,0,(HLOOKUP(D581,Ingreso!$AN$10:$AT$260,VLOOKUP(A581,Ingreso!$AL$11:$AM$260,2,FALSE)))/24),0))</f>
        <v>8.3333333333333329E-2</v>
      </c>
      <c r="K581" s="65" t="str">
        <f>IF(IFERROR(IF(E581=E580,0,(HLOOKUP(C581,Ingreso!$AW$10:$BC$260,VLOOKUP(A581,Ingreso!$AL$11:$AM$260,2,FALSE)))/24),0)=0,"",IFERROR(IF(E581=E580,0,(HLOOKUP(C581,Ingreso!$AW$10:$BC$260,VLOOKUP(A581,Ingreso!$AL$11:$AM$260,2,FALSE)))/24),0))</f>
        <v/>
      </c>
      <c r="L581" s="63">
        <f t="shared" si="16"/>
        <v>0.41666666666666669</v>
      </c>
      <c r="M581" s="63" t="str">
        <f>IF(IFERROR(IF(C581=C579,0,IF(E581=E580,0,IF(C581=$R$2,HLOOKUP($R$2,Ingreso!$AW$10:$BC$260,VLOOKUP(A581,Ingreso!AL:AM,2,FALSE),FALSE)/24,""))),"")=0,"",IFERROR(IF(C581=C579,0,IF(E581=E580,0,IF(C581=$R$2,HLOOKUP($R$2,Ingreso!$AW$10:$BC$260,VLOOKUP(A581,Ingreso!AL:AM,2,FALSE),FALSE)/24,""))),""))</f>
        <v/>
      </c>
      <c r="N581" s="95" t="str">
        <f>IF(IFERROR(IF(C581=C579,0,IF(E581=E580,0,IF(C581=$R$3,HLOOKUP($R$3,Ingreso!$AW$10:$BC$260,VLOOKUP(A581,Ingreso!AL:AM,2,FALSE),FALSE)/24,""))),"")=0,"",IFERROR(IF(C581=C579,0,IF(E581=E580,0,IF(C581=$R$3,HLOOKUP($R$3,Ingreso!$AW$10:$BC$260,VLOOKUP(A581,Ingreso!AL:AM,2,FALSE),FALSE)/24,""))),""))</f>
        <v/>
      </c>
      <c r="O581" s="95" t="str">
        <f>IF(IFERROR(IF(C581=C579,0,IF(E581=E580,0,IF(C581=$R$4,HLOOKUP($R$4,Ingreso!$AW$10:$BC$260,VLOOKUP(A581,Ingreso!AL:AM,2,FALSE),FALSE)/24,""))),"")=0,"",IFERROR(IF(C581=C579,0,IF(E581=E580,0,IF(C581=$R$4,HLOOKUP($R$4,Ingreso!$AW$10:$BC$260,VLOOKUP(A581,Ingreso!AL:AM,2,FALSE),FALSE)/24,""))),""))</f>
        <v/>
      </c>
      <c r="P581" s="90"/>
      <c r="V581"/>
      <c r="W581"/>
      <c r="X581"/>
      <c r="Y581"/>
      <c r="Z581"/>
      <c r="AA581"/>
      <c r="AB581"/>
      <c r="AC581"/>
      <c r="AD581"/>
    </row>
    <row r="582" spans="1:30">
      <c r="A582" s="65" t="str">
        <f>IFERROR(VLOOKUP('Informe Kelly'!A575,Base!A:B,2,FALSE),"")</f>
        <v>12.093.228-4</v>
      </c>
      <c r="B582" s="65" t="str">
        <f>IFERROR(VLOOKUP('Informe Kelly'!A575,Base!A:G,7,FALSE),"")</f>
        <v>ARANCIBIA NIETO CRISTIAN</v>
      </c>
      <c r="C582" s="69" t="str">
        <f>IF(G582=$C$4,IF('Informe Kelly'!H575='Control informe Kelly'!$A$2,TEXT(((LEFT('Informe Kelly'!E575,2)*1)+1),"dd")&amp;"."&amp;MID('Informe Kelly'!E575,4,2)&amp;"."&amp;RIGHT('Informe Kelly'!E575,4),'Informe Kelly'!E575),'Informe Kelly'!E575)</f>
        <v>11.04.2011</v>
      </c>
      <c r="D582" s="69" t="str">
        <f>IF('Informe Kelly'!E575="","",'Informe Kelly'!E575)</f>
        <v>11.04.2011</v>
      </c>
      <c r="E582" s="72">
        <f t="shared" si="17"/>
        <v>293</v>
      </c>
      <c r="F582" s="72" t="str">
        <f>IFERROR(HLOOKUP(C582,Ingreso!$Q$8:$AD$9,2,FALSE),"v")</f>
        <v>Lunes</v>
      </c>
      <c r="G582" s="65" t="str">
        <f>IFERROR(VLOOKUP(A582,Ingreso!K:P,6,FALSE),"no esta ingresado")</f>
        <v>Admin</v>
      </c>
      <c r="H582" s="65">
        <f>IFERROR(IF('Informe Kelly'!H575=$A$2,'Informe Kelly'!F575,""),0)</f>
        <v>0.29274305555555552</v>
      </c>
      <c r="I582" s="65" t="str">
        <f>IFERROR(IF('Informe Kelly'!H575=$A$3,'Informe Kelly'!F575,""),0)</f>
        <v/>
      </c>
      <c r="J582" s="65" t="str">
        <f>IF(IFERROR(IF(E582=E581,0,(HLOOKUP(D582,Ingreso!$AN$10:$AT$260,VLOOKUP(A582,Ingreso!$AL$11:$AM$260,2,FALSE)))/24),0)=0,"",IFERROR(IF(E582=E581,0,(HLOOKUP(D582,Ingreso!$AN$10:$AT$260,VLOOKUP(A582,Ingreso!$AL$11:$AM$260,2,FALSE)))/24),0))</f>
        <v/>
      </c>
      <c r="K582" s="65" t="str">
        <f>IF(IFERROR(IF(E582=E581,0,(HLOOKUP(C582,Ingreso!$AW$10:$BC$260,VLOOKUP(A582,Ingreso!$AL$11:$AM$260,2,FALSE)))/24),0)=0,"",IFERROR(IF(E582=E581,0,(HLOOKUP(C582,Ingreso!$AW$10:$BC$260,VLOOKUP(A582,Ingreso!$AL$11:$AM$260,2,FALSE)))/24),0))</f>
        <v/>
      </c>
      <c r="L582" s="63">
        <f t="shared" si="16"/>
        <v>0</v>
      </c>
      <c r="M582" s="63" t="str">
        <f>IF(IFERROR(IF(C582=C580,0,IF(E582=E581,0,IF(C582=$R$2,HLOOKUP($R$2,Ingreso!$AW$10:$BC$260,VLOOKUP(A582,Ingreso!AL:AM,2,FALSE),FALSE)/24,""))),"")=0,"",IFERROR(IF(C582=C580,0,IF(E582=E581,0,IF(C582=$R$2,HLOOKUP($R$2,Ingreso!$AW$10:$BC$260,VLOOKUP(A582,Ingreso!AL:AM,2,FALSE),FALSE)/24,""))),""))</f>
        <v/>
      </c>
      <c r="N582" s="95" t="str">
        <f>IF(IFERROR(IF(C582=C580,0,IF(E582=E581,0,IF(C582=$R$3,HLOOKUP($R$3,Ingreso!$AW$10:$BC$260,VLOOKUP(A582,Ingreso!AL:AM,2,FALSE),FALSE)/24,""))),"")=0,"",IFERROR(IF(C582=C580,0,IF(E582=E581,0,IF(C582=$R$3,HLOOKUP($R$3,Ingreso!$AW$10:$BC$260,VLOOKUP(A582,Ingreso!AL:AM,2,FALSE),FALSE)/24,""))),""))</f>
        <v/>
      </c>
      <c r="O582" s="95" t="str">
        <f>IF(IFERROR(IF(C582=C580,0,IF(E582=E581,0,IF(C582=$R$4,HLOOKUP($R$4,Ingreso!$AW$10:$BC$260,VLOOKUP(A582,Ingreso!AL:AM,2,FALSE),FALSE)/24,""))),"")=0,"",IFERROR(IF(C582=C580,0,IF(E582=E581,0,IF(C582=$R$4,HLOOKUP($R$4,Ingreso!$AW$10:$BC$260,VLOOKUP(A582,Ingreso!AL:AM,2,FALSE),FALSE)/24,""))),""))</f>
        <v/>
      </c>
      <c r="P582" s="90"/>
      <c r="V582"/>
      <c r="W582"/>
      <c r="X582"/>
      <c r="Y582"/>
      <c r="Z582"/>
      <c r="AA582"/>
      <c r="AB582"/>
      <c r="AC582"/>
      <c r="AD582"/>
    </row>
    <row r="583" spans="1:30">
      <c r="A583" s="65" t="str">
        <f>IFERROR(VLOOKUP('Informe Kelly'!A576,Base!A:B,2,FALSE),"")</f>
        <v>12.093.228-4</v>
      </c>
      <c r="B583" s="65" t="str">
        <f>IFERROR(VLOOKUP('Informe Kelly'!A576,Base!A:G,7,FALSE),"")</f>
        <v>ARANCIBIA NIETO CRISTIAN</v>
      </c>
      <c r="C583" s="69" t="str">
        <f>IF(G583=$C$4,IF('Informe Kelly'!H576='Control informe Kelly'!$A$2,TEXT(((LEFT('Informe Kelly'!E576,2)*1)+1),"dd")&amp;"."&amp;MID('Informe Kelly'!E576,4,2)&amp;"."&amp;RIGHT('Informe Kelly'!E576,4),'Informe Kelly'!E576),'Informe Kelly'!E576)</f>
        <v>12.04.2011</v>
      </c>
      <c r="D583" s="69" t="str">
        <f>IF('Informe Kelly'!E576="","",'Informe Kelly'!E576)</f>
        <v>12.04.2011</v>
      </c>
      <c r="E583" s="72">
        <f t="shared" si="17"/>
        <v>294</v>
      </c>
      <c r="F583" s="72" t="str">
        <f>IFERROR(HLOOKUP(C583,Ingreso!$Q$8:$AD$9,2,FALSE),"v")</f>
        <v>Martes</v>
      </c>
      <c r="G583" s="65" t="str">
        <f>IFERROR(VLOOKUP(A583,Ingreso!K:P,6,FALSE),"no esta ingresado")</f>
        <v>Admin</v>
      </c>
      <c r="H583" s="65" t="str">
        <f>IFERROR(IF('Informe Kelly'!H576=$A$2,'Informe Kelly'!F576,""),0)</f>
        <v/>
      </c>
      <c r="I583" s="65">
        <f>IFERROR(IF('Informe Kelly'!H576=$A$3,'Informe Kelly'!F576,""),0)</f>
        <v>0.788599537037037</v>
      </c>
      <c r="J583" s="65">
        <f>IF(IFERROR(IF(E583=E582,0,(HLOOKUP(D583,Ingreso!$AN$10:$AT$260,VLOOKUP(A583,Ingreso!$AL$11:$AM$260,2,FALSE)))/24),0)=0,"",IFERROR(IF(E583=E582,0,(HLOOKUP(D583,Ingreso!$AN$10:$AT$260,VLOOKUP(A583,Ingreso!$AL$11:$AM$260,2,FALSE)))/24),0))</f>
        <v>8.3333333333333329E-2</v>
      </c>
      <c r="K583" s="65" t="str">
        <f>IF(IFERROR(IF(E583=E582,0,(HLOOKUP(C583,Ingreso!$AW$10:$BC$260,VLOOKUP(A583,Ingreso!$AL$11:$AM$260,2,FALSE)))/24),0)=0,"",IFERROR(IF(E583=E582,0,(HLOOKUP(C583,Ingreso!$AW$10:$BC$260,VLOOKUP(A583,Ingreso!$AL$11:$AM$260,2,FALSE)))/24),0))</f>
        <v/>
      </c>
      <c r="L583" s="63">
        <f t="shared" si="16"/>
        <v>0.41666666666666669</v>
      </c>
      <c r="M583" s="63" t="str">
        <f>IF(IFERROR(IF(C583=C581,0,IF(E583=E582,0,IF(C583=$R$2,HLOOKUP($R$2,Ingreso!$AW$10:$BC$260,VLOOKUP(A583,Ingreso!AL:AM,2,FALSE),FALSE)/24,""))),"")=0,"",IFERROR(IF(C583=C581,0,IF(E583=E582,0,IF(C583=$R$2,HLOOKUP($R$2,Ingreso!$AW$10:$BC$260,VLOOKUP(A583,Ingreso!AL:AM,2,FALSE),FALSE)/24,""))),""))</f>
        <v/>
      </c>
      <c r="N583" s="95" t="str">
        <f>IF(IFERROR(IF(C583=C581,0,IF(E583=E582,0,IF(C583=$R$3,HLOOKUP($R$3,Ingreso!$AW$10:$BC$260,VLOOKUP(A583,Ingreso!AL:AM,2,FALSE),FALSE)/24,""))),"")=0,"",IFERROR(IF(C583=C581,0,IF(E583=E582,0,IF(C583=$R$3,HLOOKUP($R$3,Ingreso!$AW$10:$BC$260,VLOOKUP(A583,Ingreso!AL:AM,2,FALSE),FALSE)/24,""))),""))</f>
        <v/>
      </c>
      <c r="O583" s="95" t="str">
        <f>IF(IFERROR(IF(C583=C581,0,IF(E583=E582,0,IF(C583=$R$4,HLOOKUP($R$4,Ingreso!$AW$10:$BC$260,VLOOKUP(A583,Ingreso!AL:AM,2,FALSE),FALSE)/24,""))),"")=0,"",IFERROR(IF(C583=C581,0,IF(E583=E582,0,IF(C583=$R$4,HLOOKUP($R$4,Ingreso!$AW$10:$BC$260,VLOOKUP(A583,Ingreso!AL:AM,2,FALSE),FALSE)/24,""))),""))</f>
        <v/>
      </c>
      <c r="P583" s="90"/>
      <c r="V583"/>
      <c r="W583"/>
      <c r="X583"/>
      <c r="Y583"/>
      <c r="Z583"/>
      <c r="AA583"/>
      <c r="AB583"/>
      <c r="AC583"/>
      <c r="AD583"/>
    </row>
    <row r="584" spans="1:30">
      <c r="A584" s="65" t="str">
        <f>IFERROR(VLOOKUP('Informe Kelly'!A577,Base!A:B,2,FALSE),"")</f>
        <v>12.093.228-4</v>
      </c>
      <c r="B584" s="65" t="str">
        <f>IFERROR(VLOOKUP('Informe Kelly'!A577,Base!A:G,7,FALSE),"")</f>
        <v>ARANCIBIA NIETO CRISTIAN</v>
      </c>
      <c r="C584" s="69" t="str">
        <f>IF(G584=$C$4,IF('Informe Kelly'!H577='Control informe Kelly'!$A$2,TEXT(((LEFT('Informe Kelly'!E577,2)*1)+1),"dd")&amp;"."&amp;MID('Informe Kelly'!E577,4,2)&amp;"."&amp;RIGHT('Informe Kelly'!E577,4),'Informe Kelly'!E577),'Informe Kelly'!E577)</f>
        <v>12.04.2011</v>
      </c>
      <c r="D584" s="69" t="str">
        <f>IF('Informe Kelly'!E577="","",'Informe Kelly'!E577)</f>
        <v>12.04.2011</v>
      </c>
      <c r="E584" s="72">
        <f t="shared" si="17"/>
        <v>294</v>
      </c>
      <c r="F584" s="72" t="str">
        <f>IFERROR(HLOOKUP(C584,Ingreso!$Q$8:$AD$9,2,FALSE),"v")</f>
        <v>Martes</v>
      </c>
      <c r="G584" s="65" t="str">
        <f>IFERROR(VLOOKUP(A584,Ingreso!K:P,6,FALSE),"no esta ingresado")</f>
        <v>Admin</v>
      </c>
      <c r="H584" s="65">
        <f>IFERROR(IF('Informe Kelly'!H577=$A$2,'Informe Kelly'!F577,""),0)</f>
        <v>0.29252314814814812</v>
      </c>
      <c r="I584" s="65" t="str">
        <f>IFERROR(IF('Informe Kelly'!H577=$A$3,'Informe Kelly'!F577,""),0)</f>
        <v/>
      </c>
      <c r="J584" s="65" t="str">
        <f>IF(IFERROR(IF(E584=E583,0,(HLOOKUP(D584,Ingreso!$AN$10:$AT$260,VLOOKUP(A584,Ingreso!$AL$11:$AM$260,2,FALSE)))/24),0)=0,"",IFERROR(IF(E584=E583,0,(HLOOKUP(D584,Ingreso!$AN$10:$AT$260,VLOOKUP(A584,Ingreso!$AL$11:$AM$260,2,FALSE)))/24),0))</f>
        <v/>
      </c>
      <c r="K584" s="65" t="str">
        <f>IF(IFERROR(IF(E584=E583,0,(HLOOKUP(C584,Ingreso!$AW$10:$BC$260,VLOOKUP(A584,Ingreso!$AL$11:$AM$260,2,FALSE)))/24),0)=0,"",IFERROR(IF(E584=E583,0,(HLOOKUP(C584,Ingreso!$AW$10:$BC$260,VLOOKUP(A584,Ingreso!$AL$11:$AM$260,2,FALSE)))/24),0))</f>
        <v/>
      </c>
      <c r="L584" s="63">
        <f t="shared" si="16"/>
        <v>0</v>
      </c>
      <c r="M584" s="63" t="str">
        <f>IF(IFERROR(IF(C584=C582,0,IF(E584=E583,0,IF(C584=$R$2,HLOOKUP($R$2,Ingreso!$AW$10:$BC$260,VLOOKUP(A584,Ingreso!AL:AM,2,FALSE),FALSE)/24,""))),"")=0,"",IFERROR(IF(C584=C582,0,IF(E584=E583,0,IF(C584=$R$2,HLOOKUP($R$2,Ingreso!$AW$10:$BC$260,VLOOKUP(A584,Ingreso!AL:AM,2,FALSE),FALSE)/24,""))),""))</f>
        <v/>
      </c>
      <c r="N584" s="95" t="str">
        <f>IF(IFERROR(IF(C584=C582,0,IF(E584=E583,0,IF(C584=$R$3,HLOOKUP($R$3,Ingreso!$AW$10:$BC$260,VLOOKUP(A584,Ingreso!AL:AM,2,FALSE),FALSE)/24,""))),"")=0,"",IFERROR(IF(C584=C582,0,IF(E584=E583,0,IF(C584=$R$3,HLOOKUP($R$3,Ingreso!$AW$10:$BC$260,VLOOKUP(A584,Ingreso!AL:AM,2,FALSE),FALSE)/24,""))),""))</f>
        <v/>
      </c>
      <c r="O584" s="95" t="str">
        <f>IF(IFERROR(IF(C584=C582,0,IF(E584=E583,0,IF(C584=$R$4,HLOOKUP($R$4,Ingreso!$AW$10:$BC$260,VLOOKUP(A584,Ingreso!AL:AM,2,FALSE),FALSE)/24,""))),"")=0,"",IFERROR(IF(C584=C582,0,IF(E584=E583,0,IF(C584=$R$4,HLOOKUP($R$4,Ingreso!$AW$10:$BC$260,VLOOKUP(A584,Ingreso!AL:AM,2,FALSE),FALSE)/24,""))),""))</f>
        <v/>
      </c>
      <c r="P584" s="90"/>
      <c r="V584"/>
      <c r="W584"/>
      <c r="X584"/>
      <c r="Y584"/>
      <c r="Z584"/>
      <c r="AA584"/>
      <c r="AB584"/>
      <c r="AC584"/>
      <c r="AD584"/>
    </row>
    <row r="585" spans="1:30">
      <c r="A585" s="65" t="str">
        <f>IFERROR(VLOOKUP('Informe Kelly'!A578,Base!A:B,2,FALSE),"")</f>
        <v>12.093.228-4</v>
      </c>
      <c r="B585" s="65" t="str">
        <f>IFERROR(VLOOKUP('Informe Kelly'!A578,Base!A:G,7,FALSE),"")</f>
        <v>ARANCIBIA NIETO CRISTIAN</v>
      </c>
      <c r="C585" s="69" t="str">
        <f>IF(G585=$C$4,IF('Informe Kelly'!H578='Control informe Kelly'!$A$2,TEXT(((LEFT('Informe Kelly'!E578,2)*1)+1),"dd")&amp;"."&amp;MID('Informe Kelly'!E578,4,2)&amp;"."&amp;RIGHT('Informe Kelly'!E578,4),'Informe Kelly'!E578),'Informe Kelly'!E578)</f>
        <v>13.04.2011</v>
      </c>
      <c r="D585" s="69" t="str">
        <f>IF('Informe Kelly'!E578="","",'Informe Kelly'!E578)</f>
        <v>13.04.2011</v>
      </c>
      <c r="E585" s="72">
        <f t="shared" si="17"/>
        <v>295</v>
      </c>
      <c r="F585" s="72" t="str">
        <f>IFERROR(HLOOKUP(C585,Ingreso!$Q$8:$AD$9,2,FALSE),"v")</f>
        <v>Miércoles</v>
      </c>
      <c r="G585" s="65" t="str">
        <f>IFERROR(VLOOKUP(A585,Ingreso!K:P,6,FALSE),"no esta ingresado")</f>
        <v>Admin</v>
      </c>
      <c r="H585" s="65" t="str">
        <f>IFERROR(IF('Informe Kelly'!H578=$A$2,'Informe Kelly'!F578,""),0)</f>
        <v/>
      </c>
      <c r="I585" s="65">
        <f>IFERROR(IF('Informe Kelly'!H578=$A$3,'Informe Kelly'!F578,""),0)</f>
        <v>0.7903472222222222</v>
      </c>
      <c r="J585" s="65">
        <f>IF(IFERROR(IF(E585=E584,0,(HLOOKUP(D585,Ingreso!$AN$10:$AT$260,VLOOKUP(A585,Ingreso!$AL$11:$AM$260,2,FALSE)))/24),0)=0,"",IFERROR(IF(E585=E584,0,(HLOOKUP(D585,Ingreso!$AN$10:$AT$260,VLOOKUP(A585,Ingreso!$AL$11:$AM$260,2,FALSE)))/24),0))</f>
        <v>8.3333333333333329E-2</v>
      </c>
      <c r="K585" s="65" t="str">
        <f>IF(IFERROR(IF(E585=E584,0,(HLOOKUP(C585,Ingreso!$AW$10:$BC$260,VLOOKUP(A585,Ingreso!$AL$11:$AM$260,2,FALSE)))/24),0)=0,"",IFERROR(IF(E585=E584,0,(HLOOKUP(C585,Ingreso!$AW$10:$BC$260,VLOOKUP(A585,Ingreso!$AL$11:$AM$260,2,FALSE)))/24),0))</f>
        <v/>
      </c>
      <c r="L585" s="63">
        <f t="shared" ref="L585:L648" si="18">IFERROR(IF(C585=C583,0,IF(E585=E584,0,(VLOOKUP(G585,$C$2:$D$5,2,FALSE)))),"")</f>
        <v>0.41666666666666669</v>
      </c>
      <c r="M585" s="63" t="str">
        <f>IF(IFERROR(IF(C585=C583,0,IF(E585=E584,0,IF(C585=$R$2,HLOOKUP($R$2,Ingreso!$AW$10:$BC$260,VLOOKUP(A585,Ingreso!AL:AM,2,FALSE),FALSE)/24,""))),"")=0,"",IFERROR(IF(C585=C583,0,IF(E585=E584,0,IF(C585=$R$2,HLOOKUP($R$2,Ingreso!$AW$10:$BC$260,VLOOKUP(A585,Ingreso!AL:AM,2,FALSE),FALSE)/24,""))),""))</f>
        <v/>
      </c>
      <c r="N585" s="95" t="str">
        <f>IF(IFERROR(IF(C585=C583,0,IF(E585=E584,0,IF(C585=$R$3,HLOOKUP($R$3,Ingreso!$AW$10:$BC$260,VLOOKUP(A585,Ingreso!AL:AM,2,FALSE),FALSE)/24,""))),"")=0,"",IFERROR(IF(C585=C583,0,IF(E585=E584,0,IF(C585=$R$3,HLOOKUP($R$3,Ingreso!$AW$10:$BC$260,VLOOKUP(A585,Ingreso!AL:AM,2,FALSE),FALSE)/24,""))),""))</f>
        <v/>
      </c>
      <c r="O585" s="95" t="str">
        <f>IF(IFERROR(IF(C585=C583,0,IF(E585=E584,0,IF(C585=$R$4,HLOOKUP($R$4,Ingreso!$AW$10:$BC$260,VLOOKUP(A585,Ingreso!AL:AM,2,FALSE),FALSE)/24,""))),"")=0,"",IFERROR(IF(C585=C583,0,IF(E585=E584,0,IF(C585=$R$4,HLOOKUP($R$4,Ingreso!$AW$10:$BC$260,VLOOKUP(A585,Ingreso!AL:AM,2,FALSE),FALSE)/24,""))),""))</f>
        <v/>
      </c>
      <c r="P585" s="90"/>
      <c r="V585"/>
      <c r="W585"/>
      <c r="X585"/>
      <c r="Y585"/>
      <c r="Z585"/>
      <c r="AA585"/>
      <c r="AB585"/>
      <c r="AC585"/>
      <c r="AD585"/>
    </row>
    <row r="586" spans="1:30">
      <c r="A586" s="65" t="str">
        <f>IFERROR(VLOOKUP('Informe Kelly'!A579,Base!A:B,2,FALSE),"")</f>
        <v>12.093.228-4</v>
      </c>
      <c r="B586" s="65" t="str">
        <f>IFERROR(VLOOKUP('Informe Kelly'!A579,Base!A:G,7,FALSE),"")</f>
        <v>ARANCIBIA NIETO CRISTIAN</v>
      </c>
      <c r="C586" s="69" t="str">
        <f>IF(G586=$C$4,IF('Informe Kelly'!H579='Control informe Kelly'!$A$2,TEXT(((LEFT('Informe Kelly'!E579,2)*1)+1),"dd")&amp;"."&amp;MID('Informe Kelly'!E579,4,2)&amp;"."&amp;RIGHT('Informe Kelly'!E579,4),'Informe Kelly'!E579),'Informe Kelly'!E579)</f>
        <v>13.04.2011</v>
      </c>
      <c r="D586" s="69" t="str">
        <f>IF('Informe Kelly'!E579="","",'Informe Kelly'!E579)</f>
        <v>13.04.2011</v>
      </c>
      <c r="E586" s="72">
        <f t="shared" ref="E586:E649" si="19">IF(C585=C586,IF(C586=C583,E585,IF(C586=C584,E585+1,E585)),E585+1)</f>
        <v>295</v>
      </c>
      <c r="F586" s="72" t="str">
        <f>IFERROR(HLOOKUP(C586,Ingreso!$Q$8:$AD$9,2,FALSE),"v")</f>
        <v>Miércoles</v>
      </c>
      <c r="G586" s="65" t="str">
        <f>IFERROR(VLOOKUP(A586,Ingreso!K:P,6,FALSE),"no esta ingresado")</f>
        <v>Admin</v>
      </c>
      <c r="H586" s="65">
        <f>IFERROR(IF('Informe Kelly'!H579=$A$2,'Informe Kelly'!F579,""),0)</f>
        <v>0.2945949074074074</v>
      </c>
      <c r="I586" s="65" t="str">
        <f>IFERROR(IF('Informe Kelly'!H579=$A$3,'Informe Kelly'!F579,""),0)</f>
        <v/>
      </c>
      <c r="J586" s="65" t="str">
        <f>IF(IFERROR(IF(E586=E585,0,(HLOOKUP(D586,Ingreso!$AN$10:$AT$260,VLOOKUP(A586,Ingreso!$AL$11:$AM$260,2,FALSE)))/24),0)=0,"",IFERROR(IF(E586=E585,0,(HLOOKUP(D586,Ingreso!$AN$10:$AT$260,VLOOKUP(A586,Ingreso!$AL$11:$AM$260,2,FALSE)))/24),0))</f>
        <v/>
      </c>
      <c r="K586" s="65" t="str">
        <f>IF(IFERROR(IF(E586=E585,0,(HLOOKUP(C586,Ingreso!$AW$10:$BC$260,VLOOKUP(A586,Ingreso!$AL$11:$AM$260,2,FALSE)))/24),0)=0,"",IFERROR(IF(E586=E585,0,(HLOOKUP(C586,Ingreso!$AW$10:$BC$260,VLOOKUP(A586,Ingreso!$AL$11:$AM$260,2,FALSE)))/24),0))</f>
        <v/>
      </c>
      <c r="L586" s="63">
        <f t="shared" si="18"/>
        <v>0</v>
      </c>
      <c r="M586" s="63" t="str">
        <f>IF(IFERROR(IF(C586=C584,0,IF(E586=E585,0,IF(C586=$R$2,HLOOKUP($R$2,Ingreso!$AW$10:$BC$260,VLOOKUP(A586,Ingreso!AL:AM,2,FALSE),FALSE)/24,""))),"")=0,"",IFERROR(IF(C586=C584,0,IF(E586=E585,0,IF(C586=$R$2,HLOOKUP($R$2,Ingreso!$AW$10:$BC$260,VLOOKUP(A586,Ingreso!AL:AM,2,FALSE),FALSE)/24,""))),""))</f>
        <v/>
      </c>
      <c r="N586" s="95" t="str">
        <f>IF(IFERROR(IF(C586=C584,0,IF(E586=E585,0,IF(C586=$R$3,HLOOKUP($R$3,Ingreso!$AW$10:$BC$260,VLOOKUP(A586,Ingreso!AL:AM,2,FALSE),FALSE)/24,""))),"")=0,"",IFERROR(IF(C586=C584,0,IF(E586=E585,0,IF(C586=$R$3,HLOOKUP($R$3,Ingreso!$AW$10:$BC$260,VLOOKUP(A586,Ingreso!AL:AM,2,FALSE),FALSE)/24,""))),""))</f>
        <v/>
      </c>
      <c r="O586" s="95" t="str">
        <f>IF(IFERROR(IF(C586=C584,0,IF(E586=E585,0,IF(C586=$R$4,HLOOKUP($R$4,Ingreso!$AW$10:$BC$260,VLOOKUP(A586,Ingreso!AL:AM,2,FALSE),FALSE)/24,""))),"")=0,"",IFERROR(IF(C586=C584,0,IF(E586=E585,0,IF(C586=$R$4,HLOOKUP($R$4,Ingreso!$AW$10:$BC$260,VLOOKUP(A586,Ingreso!AL:AM,2,FALSE),FALSE)/24,""))),""))</f>
        <v/>
      </c>
      <c r="P586" s="90"/>
      <c r="V586"/>
      <c r="W586"/>
      <c r="X586"/>
      <c r="Y586"/>
      <c r="Z586"/>
      <c r="AA586"/>
      <c r="AB586"/>
      <c r="AC586"/>
      <c r="AD586"/>
    </row>
    <row r="587" spans="1:30">
      <c r="A587" s="65" t="str">
        <f>IFERROR(VLOOKUP('Informe Kelly'!A580,Base!A:B,2,FALSE),"")</f>
        <v>12.093.228-4</v>
      </c>
      <c r="B587" s="65" t="str">
        <f>IFERROR(VLOOKUP('Informe Kelly'!A580,Base!A:G,7,FALSE),"")</f>
        <v>ARANCIBIA NIETO CRISTIAN</v>
      </c>
      <c r="C587" s="69" t="str">
        <f>IF(G587=$C$4,IF('Informe Kelly'!H580='Control informe Kelly'!$A$2,TEXT(((LEFT('Informe Kelly'!E580,2)*1)+1),"dd")&amp;"."&amp;MID('Informe Kelly'!E580,4,2)&amp;"."&amp;RIGHT('Informe Kelly'!E580,4),'Informe Kelly'!E580),'Informe Kelly'!E580)</f>
        <v>14.04.2011</v>
      </c>
      <c r="D587" s="69" t="str">
        <f>IF('Informe Kelly'!E580="","",'Informe Kelly'!E580)</f>
        <v>14.04.2011</v>
      </c>
      <c r="E587" s="72">
        <f t="shared" si="19"/>
        <v>296</v>
      </c>
      <c r="F587" s="72" t="str">
        <f>IFERROR(HLOOKUP(C587,Ingreso!$Q$8:$AD$9,2,FALSE),"v")</f>
        <v>Jueves</v>
      </c>
      <c r="G587" s="65" t="str">
        <f>IFERROR(VLOOKUP(A587,Ingreso!K:P,6,FALSE),"no esta ingresado")</f>
        <v>Admin</v>
      </c>
      <c r="H587" s="65" t="str">
        <f>IFERROR(IF('Informe Kelly'!H580=$A$2,'Informe Kelly'!F580,""),0)</f>
        <v/>
      </c>
      <c r="I587" s="65">
        <f>IFERROR(IF('Informe Kelly'!H580=$A$3,'Informe Kelly'!F580,""),0)</f>
        <v>0.80184027777777789</v>
      </c>
      <c r="J587" s="65">
        <f>IF(IFERROR(IF(E587=E586,0,(HLOOKUP(D587,Ingreso!$AN$10:$AT$260,VLOOKUP(A587,Ingreso!$AL$11:$AM$260,2,FALSE)))/24),0)=0,"",IFERROR(IF(E587=E586,0,(HLOOKUP(D587,Ingreso!$AN$10:$AT$260,VLOOKUP(A587,Ingreso!$AL$11:$AM$260,2,FALSE)))/24),0))</f>
        <v>8.3333333333333329E-2</v>
      </c>
      <c r="K587" s="65" t="str">
        <f>IF(IFERROR(IF(E587=E586,0,(HLOOKUP(C587,Ingreso!$AW$10:$BC$260,VLOOKUP(A587,Ingreso!$AL$11:$AM$260,2,FALSE)))/24),0)=0,"",IFERROR(IF(E587=E586,0,(HLOOKUP(C587,Ingreso!$AW$10:$BC$260,VLOOKUP(A587,Ingreso!$AL$11:$AM$260,2,FALSE)))/24),0))</f>
        <v/>
      </c>
      <c r="L587" s="63">
        <f t="shared" si="18"/>
        <v>0.41666666666666669</v>
      </c>
      <c r="M587" s="63" t="str">
        <f>IF(IFERROR(IF(C587=C585,0,IF(E587=E586,0,IF(C587=$R$2,HLOOKUP($R$2,Ingreso!$AW$10:$BC$260,VLOOKUP(A587,Ingreso!AL:AM,2,FALSE),FALSE)/24,""))),"")=0,"",IFERROR(IF(C587=C585,0,IF(E587=E586,0,IF(C587=$R$2,HLOOKUP($R$2,Ingreso!$AW$10:$BC$260,VLOOKUP(A587,Ingreso!AL:AM,2,FALSE),FALSE)/24,""))),""))</f>
        <v/>
      </c>
      <c r="N587" s="95" t="str">
        <f>IF(IFERROR(IF(C587=C585,0,IF(E587=E586,0,IF(C587=$R$3,HLOOKUP($R$3,Ingreso!$AW$10:$BC$260,VLOOKUP(A587,Ingreso!AL:AM,2,FALSE),FALSE)/24,""))),"")=0,"",IFERROR(IF(C587=C585,0,IF(E587=E586,0,IF(C587=$R$3,HLOOKUP($R$3,Ingreso!$AW$10:$BC$260,VLOOKUP(A587,Ingreso!AL:AM,2,FALSE),FALSE)/24,""))),""))</f>
        <v/>
      </c>
      <c r="O587" s="95" t="str">
        <f>IF(IFERROR(IF(C587=C585,0,IF(E587=E586,0,IF(C587=$R$4,HLOOKUP($R$4,Ingreso!$AW$10:$BC$260,VLOOKUP(A587,Ingreso!AL:AM,2,FALSE),FALSE)/24,""))),"")=0,"",IFERROR(IF(C587=C585,0,IF(E587=E586,0,IF(C587=$R$4,HLOOKUP($R$4,Ingreso!$AW$10:$BC$260,VLOOKUP(A587,Ingreso!AL:AM,2,FALSE),FALSE)/24,""))),""))</f>
        <v/>
      </c>
      <c r="P587" s="90"/>
      <c r="V587"/>
      <c r="W587"/>
      <c r="X587"/>
      <c r="Y587"/>
      <c r="Z587"/>
      <c r="AA587"/>
      <c r="AB587"/>
      <c r="AC587"/>
      <c r="AD587"/>
    </row>
    <row r="588" spans="1:30">
      <c r="A588" s="65" t="str">
        <f>IFERROR(VLOOKUP('Informe Kelly'!A581,Base!A:B,2,FALSE),"")</f>
        <v>12.093.228-4</v>
      </c>
      <c r="B588" s="65" t="str">
        <f>IFERROR(VLOOKUP('Informe Kelly'!A581,Base!A:G,7,FALSE),"")</f>
        <v>ARANCIBIA NIETO CRISTIAN</v>
      </c>
      <c r="C588" s="69" t="str">
        <f>IF(G588=$C$4,IF('Informe Kelly'!H581='Control informe Kelly'!$A$2,TEXT(((LEFT('Informe Kelly'!E581,2)*1)+1),"dd")&amp;"."&amp;MID('Informe Kelly'!E581,4,2)&amp;"."&amp;RIGHT('Informe Kelly'!E581,4),'Informe Kelly'!E581),'Informe Kelly'!E581)</f>
        <v>14.04.2011</v>
      </c>
      <c r="D588" s="69" t="str">
        <f>IF('Informe Kelly'!E581="","",'Informe Kelly'!E581)</f>
        <v>14.04.2011</v>
      </c>
      <c r="E588" s="72">
        <f t="shared" si="19"/>
        <v>296</v>
      </c>
      <c r="F588" s="72" t="str">
        <f>IFERROR(HLOOKUP(C588,Ingreso!$Q$8:$AD$9,2,FALSE),"v")</f>
        <v>Jueves</v>
      </c>
      <c r="G588" s="65" t="str">
        <f>IFERROR(VLOOKUP(A588,Ingreso!K:P,6,FALSE),"no esta ingresado")</f>
        <v>Admin</v>
      </c>
      <c r="H588" s="65">
        <f>IFERROR(IF('Informe Kelly'!H581=$A$2,'Informe Kelly'!F581,""),0)</f>
        <v>0.29274305555555552</v>
      </c>
      <c r="I588" s="65" t="str">
        <f>IFERROR(IF('Informe Kelly'!H581=$A$3,'Informe Kelly'!F581,""),0)</f>
        <v/>
      </c>
      <c r="J588" s="65" t="str">
        <f>IF(IFERROR(IF(E588=E587,0,(HLOOKUP(D588,Ingreso!$AN$10:$AT$260,VLOOKUP(A588,Ingreso!$AL$11:$AM$260,2,FALSE)))/24),0)=0,"",IFERROR(IF(E588=E587,0,(HLOOKUP(D588,Ingreso!$AN$10:$AT$260,VLOOKUP(A588,Ingreso!$AL$11:$AM$260,2,FALSE)))/24),0))</f>
        <v/>
      </c>
      <c r="K588" s="65" t="str">
        <f>IF(IFERROR(IF(E588=E587,0,(HLOOKUP(C588,Ingreso!$AW$10:$BC$260,VLOOKUP(A588,Ingreso!$AL$11:$AM$260,2,FALSE)))/24),0)=0,"",IFERROR(IF(E588=E587,0,(HLOOKUP(C588,Ingreso!$AW$10:$BC$260,VLOOKUP(A588,Ingreso!$AL$11:$AM$260,2,FALSE)))/24),0))</f>
        <v/>
      </c>
      <c r="L588" s="63">
        <f t="shared" si="18"/>
        <v>0</v>
      </c>
      <c r="M588" s="63" t="str">
        <f>IF(IFERROR(IF(C588=C586,0,IF(E588=E587,0,IF(C588=$R$2,HLOOKUP($R$2,Ingreso!$AW$10:$BC$260,VLOOKUP(A588,Ingreso!AL:AM,2,FALSE),FALSE)/24,""))),"")=0,"",IFERROR(IF(C588=C586,0,IF(E588=E587,0,IF(C588=$R$2,HLOOKUP($R$2,Ingreso!$AW$10:$BC$260,VLOOKUP(A588,Ingreso!AL:AM,2,FALSE),FALSE)/24,""))),""))</f>
        <v/>
      </c>
      <c r="N588" s="95" t="str">
        <f>IF(IFERROR(IF(C588=C586,0,IF(E588=E587,0,IF(C588=$R$3,HLOOKUP($R$3,Ingreso!$AW$10:$BC$260,VLOOKUP(A588,Ingreso!AL:AM,2,FALSE),FALSE)/24,""))),"")=0,"",IFERROR(IF(C588=C586,0,IF(E588=E587,0,IF(C588=$R$3,HLOOKUP($R$3,Ingreso!$AW$10:$BC$260,VLOOKUP(A588,Ingreso!AL:AM,2,FALSE),FALSE)/24,""))),""))</f>
        <v/>
      </c>
      <c r="O588" s="95" t="str">
        <f>IF(IFERROR(IF(C588=C586,0,IF(E588=E587,0,IF(C588=$R$4,HLOOKUP($R$4,Ingreso!$AW$10:$BC$260,VLOOKUP(A588,Ingreso!AL:AM,2,FALSE),FALSE)/24,""))),"")=0,"",IFERROR(IF(C588=C586,0,IF(E588=E587,0,IF(C588=$R$4,HLOOKUP($R$4,Ingreso!$AW$10:$BC$260,VLOOKUP(A588,Ingreso!AL:AM,2,FALSE),FALSE)/24,""))),""))</f>
        <v/>
      </c>
      <c r="P588" s="90"/>
      <c r="V588"/>
      <c r="W588"/>
      <c r="X588"/>
      <c r="Y588"/>
      <c r="Z588"/>
      <c r="AA588"/>
      <c r="AB588"/>
      <c r="AC588"/>
      <c r="AD588"/>
    </row>
    <row r="589" spans="1:30">
      <c r="A589" s="65" t="str">
        <f>IFERROR(VLOOKUP('Informe Kelly'!A582,Base!A:B,2,FALSE),"")</f>
        <v>12.093.228-4</v>
      </c>
      <c r="B589" s="65" t="str">
        <f>IFERROR(VLOOKUP('Informe Kelly'!A582,Base!A:G,7,FALSE),"")</f>
        <v>ARANCIBIA NIETO CRISTIAN</v>
      </c>
      <c r="C589" s="69" t="str">
        <f>IF(G589=$C$4,IF('Informe Kelly'!H582='Control informe Kelly'!$A$2,TEXT(((LEFT('Informe Kelly'!E582,2)*1)+1),"dd")&amp;"."&amp;MID('Informe Kelly'!E582,4,2)&amp;"."&amp;RIGHT('Informe Kelly'!E582,4),'Informe Kelly'!E582),'Informe Kelly'!E582)</f>
        <v>15.04.2011</v>
      </c>
      <c r="D589" s="69" t="str">
        <f>IF('Informe Kelly'!E582="","",'Informe Kelly'!E582)</f>
        <v>15.04.2011</v>
      </c>
      <c r="E589" s="72">
        <f t="shared" si="19"/>
        <v>297</v>
      </c>
      <c r="F589" s="72" t="str">
        <f>IFERROR(HLOOKUP(C589,Ingreso!$Q$8:$AD$9,2,FALSE),"v")</f>
        <v>Viernes</v>
      </c>
      <c r="G589" s="65" t="str">
        <f>IFERROR(VLOOKUP(A589,Ingreso!K:P,6,FALSE),"no esta ingresado")</f>
        <v>Admin</v>
      </c>
      <c r="H589" s="65" t="str">
        <f>IFERROR(IF('Informe Kelly'!H582=$A$2,'Informe Kelly'!F582,""),0)</f>
        <v/>
      </c>
      <c r="I589" s="65">
        <f>IFERROR(IF('Informe Kelly'!H582=$A$3,'Informe Kelly'!F582,""),0)</f>
        <v>0.75437500000000002</v>
      </c>
      <c r="J589" s="65">
        <f>IF(IFERROR(IF(E589=E588,0,(HLOOKUP(D589,Ingreso!$AN$10:$AT$260,VLOOKUP(A589,Ingreso!$AL$11:$AM$260,2,FALSE)))/24),0)=0,"",IFERROR(IF(E589=E588,0,(HLOOKUP(D589,Ingreso!$AN$10:$AT$260,VLOOKUP(A589,Ingreso!$AL$11:$AM$260,2,FALSE)))/24),0))</f>
        <v>4.1666666666666664E-2</v>
      </c>
      <c r="K589" s="65" t="str">
        <f>IF(IFERROR(IF(E589=E588,0,(HLOOKUP(C589,Ingreso!$AW$10:$BC$260,VLOOKUP(A589,Ingreso!$AL$11:$AM$260,2,FALSE)))/24),0)=0,"",IFERROR(IF(E589=E588,0,(HLOOKUP(C589,Ingreso!$AW$10:$BC$260,VLOOKUP(A589,Ingreso!$AL$11:$AM$260,2,FALSE)))/24),0))</f>
        <v/>
      </c>
      <c r="L589" s="63">
        <f t="shared" si="18"/>
        <v>0.41666666666666669</v>
      </c>
      <c r="M589" s="63" t="str">
        <f>IF(IFERROR(IF(C589=C587,0,IF(E589=E588,0,IF(C589=$R$2,HLOOKUP($R$2,Ingreso!$AW$10:$BC$260,VLOOKUP(A589,Ingreso!AL:AM,2,FALSE),FALSE)/24,""))),"")=0,"",IFERROR(IF(C589=C587,0,IF(E589=E588,0,IF(C589=$R$2,HLOOKUP($R$2,Ingreso!$AW$10:$BC$260,VLOOKUP(A589,Ingreso!AL:AM,2,FALSE),FALSE)/24,""))),""))</f>
        <v/>
      </c>
      <c r="N589" s="95" t="str">
        <f>IF(IFERROR(IF(C589=C587,0,IF(E589=E588,0,IF(C589=$R$3,HLOOKUP($R$3,Ingreso!$AW$10:$BC$260,VLOOKUP(A589,Ingreso!AL:AM,2,FALSE),FALSE)/24,""))),"")=0,"",IFERROR(IF(C589=C587,0,IF(E589=E588,0,IF(C589=$R$3,HLOOKUP($R$3,Ingreso!$AW$10:$BC$260,VLOOKUP(A589,Ingreso!AL:AM,2,FALSE),FALSE)/24,""))),""))</f>
        <v/>
      </c>
      <c r="O589" s="95" t="str">
        <f>IF(IFERROR(IF(C589=C587,0,IF(E589=E588,0,IF(C589=$R$4,HLOOKUP($R$4,Ingreso!$AW$10:$BC$260,VLOOKUP(A589,Ingreso!AL:AM,2,FALSE),FALSE)/24,""))),"")=0,"",IFERROR(IF(C589=C587,0,IF(E589=E588,0,IF(C589=$R$4,HLOOKUP($R$4,Ingreso!$AW$10:$BC$260,VLOOKUP(A589,Ingreso!AL:AM,2,FALSE),FALSE)/24,""))),""))</f>
        <v/>
      </c>
      <c r="P589" s="90"/>
      <c r="V589"/>
      <c r="W589"/>
      <c r="X589"/>
      <c r="Y589"/>
      <c r="Z589"/>
      <c r="AA589"/>
      <c r="AB589"/>
      <c r="AC589"/>
      <c r="AD589"/>
    </row>
    <row r="590" spans="1:30">
      <c r="A590" s="65" t="str">
        <f>IFERROR(VLOOKUP('Informe Kelly'!A583,Base!A:B,2,FALSE),"")</f>
        <v>12.093.228-4</v>
      </c>
      <c r="B590" s="65" t="str">
        <f>IFERROR(VLOOKUP('Informe Kelly'!A583,Base!A:G,7,FALSE),"")</f>
        <v>ARANCIBIA NIETO CRISTIAN</v>
      </c>
      <c r="C590" s="69" t="str">
        <f>IF(G590=$C$4,IF('Informe Kelly'!H583='Control informe Kelly'!$A$2,TEXT(((LEFT('Informe Kelly'!E583,2)*1)+1),"dd")&amp;"."&amp;MID('Informe Kelly'!E583,4,2)&amp;"."&amp;RIGHT('Informe Kelly'!E583,4),'Informe Kelly'!E583),'Informe Kelly'!E583)</f>
        <v>15.04.2011</v>
      </c>
      <c r="D590" s="69" t="str">
        <f>IF('Informe Kelly'!E583="","",'Informe Kelly'!E583)</f>
        <v>15.04.2011</v>
      </c>
      <c r="E590" s="72">
        <f t="shared" si="19"/>
        <v>297</v>
      </c>
      <c r="F590" s="72" t="str">
        <f>IFERROR(HLOOKUP(C590,Ingreso!$Q$8:$AD$9,2,FALSE),"v")</f>
        <v>Viernes</v>
      </c>
      <c r="G590" s="65" t="str">
        <f>IFERROR(VLOOKUP(A590,Ingreso!K:P,6,FALSE),"no esta ingresado")</f>
        <v>Admin</v>
      </c>
      <c r="H590" s="65" t="str">
        <f>IFERROR(IF('Informe Kelly'!H583=$A$2,'Informe Kelly'!F583,""),0)</f>
        <v/>
      </c>
      <c r="I590" s="65">
        <f>IFERROR(IF('Informe Kelly'!H583=$A$3,'Informe Kelly'!F583,""),0)</f>
        <v>0.30587962962962961</v>
      </c>
      <c r="J590" s="65" t="str">
        <f>IF(IFERROR(IF(E590=E589,0,(HLOOKUP(D590,Ingreso!$AN$10:$AT$260,VLOOKUP(A590,Ingreso!$AL$11:$AM$260,2,FALSE)))/24),0)=0,"",IFERROR(IF(E590=E589,0,(HLOOKUP(D590,Ingreso!$AN$10:$AT$260,VLOOKUP(A590,Ingreso!$AL$11:$AM$260,2,FALSE)))/24),0))</f>
        <v/>
      </c>
      <c r="K590" s="65" t="str">
        <f>IF(IFERROR(IF(E590=E589,0,(HLOOKUP(C590,Ingreso!$AW$10:$BC$260,VLOOKUP(A590,Ingreso!$AL$11:$AM$260,2,FALSE)))/24),0)=0,"",IFERROR(IF(E590=E589,0,(HLOOKUP(C590,Ingreso!$AW$10:$BC$260,VLOOKUP(A590,Ingreso!$AL$11:$AM$260,2,FALSE)))/24),0))</f>
        <v/>
      </c>
      <c r="L590" s="63">
        <f t="shared" si="18"/>
        <v>0</v>
      </c>
      <c r="M590" s="63" t="str">
        <f>IF(IFERROR(IF(C590=C588,0,IF(E590=E589,0,IF(C590=$R$2,HLOOKUP($R$2,Ingreso!$AW$10:$BC$260,VLOOKUP(A590,Ingreso!AL:AM,2,FALSE),FALSE)/24,""))),"")=0,"",IFERROR(IF(C590=C588,0,IF(E590=E589,0,IF(C590=$R$2,HLOOKUP($R$2,Ingreso!$AW$10:$BC$260,VLOOKUP(A590,Ingreso!AL:AM,2,FALSE),FALSE)/24,""))),""))</f>
        <v/>
      </c>
      <c r="N590" s="95" t="str">
        <f>IF(IFERROR(IF(C590=C588,0,IF(E590=E589,0,IF(C590=$R$3,HLOOKUP($R$3,Ingreso!$AW$10:$BC$260,VLOOKUP(A590,Ingreso!AL:AM,2,FALSE),FALSE)/24,""))),"")=0,"",IFERROR(IF(C590=C588,0,IF(E590=E589,0,IF(C590=$R$3,HLOOKUP($R$3,Ingreso!$AW$10:$BC$260,VLOOKUP(A590,Ingreso!AL:AM,2,FALSE),FALSE)/24,""))),""))</f>
        <v/>
      </c>
      <c r="O590" s="95" t="str">
        <f>IF(IFERROR(IF(C590=C588,0,IF(E590=E589,0,IF(C590=$R$4,HLOOKUP($R$4,Ingreso!$AW$10:$BC$260,VLOOKUP(A590,Ingreso!AL:AM,2,FALSE),FALSE)/24,""))),"")=0,"",IFERROR(IF(C590=C588,0,IF(E590=E589,0,IF(C590=$R$4,HLOOKUP($R$4,Ingreso!$AW$10:$BC$260,VLOOKUP(A590,Ingreso!AL:AM,2,FALSE),FALSE)/24,""))),""))</f>
        <v/>
      </c>
      <c r="P590" s="90"/>
      <c r="V590"/>
      <c r="W590"/>
      <c r="X590"/>
      <c r="Y590"/>
      <c r="Z590"/>
      <c r="AA590"/>
      <c r="AB590"/>
      <c r="AC590"/>
      <c r="AD590"/>
    </row>
    <row r="591" spans="1:30">
      <c r="A591" s="65" t="str">
        <f>IFERROR(VLOOKUP('Informe Kelly'!A584,Base!A:B,2,FALSE),"")</f>
        <v>12.210.109-0</v>
      </c>
      <c r="B591" s="65" t="str">
        <f>IFERROR(VLOOKUP('Informe Kelly'!A584,Base!A:G,7,FALSE),"")</f>
        <v>ESCOBAR RIVERA ROBERTO FERNANDO</v>
      </c>
      <c r="C591" s="69" t="str">
        <f>IF(G591=$C$4,IF('Informe Kelly'!H584='Control informe Kelly'!$A$2,TEXT(((LEFT('Informe Kelly'!E584,2)*1)+1),"dd")&amp;"."&amp;MID('Informe Kelly'!E584,4,2)&amp;"."&amp;RIGHT('Informe Kelly'!E584,4),'Informe Kelly'!E584),'Informe Kelly'!E584)</f>
        <v>11.04.2011</v>
      </c>
      <c r="D591" s="69" t="str">
        <f>IF('Informe Kelly'!E584="","",'Informe Kelly'!E584)</f>
        <v>11.04.2011</v>
      </c>
      <c r="E591" s="72">
        <f t="shared" si="19"/>
        <v>298</v>
      </c>
      <c r="F591" s="72" t="str">
        <f>IFERROR(HLOOKUP(C591,Ingreso!$Q$8:$AD$9,2,FALSE),"v")</f>
        <v>Lunes</v>
      </c>
      <c r="G591" s="65" t="str">
        <f>IFERROR(VLOOKUP(A591,Ingreso!K:P,6,FALSE),"no esta ingresado")</f>
        <v>no esta ingresado</v>
      </c>
      <c r="H591" s="65" t="str">
        <f>IFERROR(IF('Informe Kelly'!H584=$A$2,'Informe Kelly'!F584,""),0)</f>
        <v/>
      </c>
      <c r="I591" s="65">
        <f>IFERROR(IF('Informe Kelly'!H584=$A$3,'Informe Kelly'!F584,""),0)</f>
        <v>0.63315972222222217</v>
      </c>
      <c r="J591" s="65" t="str">
        <f>IF(IFERROR(IF(E591=E590,0,(HLOOKUP(D591,Ingreso!$AN$10:$AT$260,VLOOKUP(A591,Ingreso!$AL$11:$AM$260,2,FALSE)))/24),0)=0,"",IFERROR(IF(E591=E590,0,(HLOOKUP(D591,Ingreso!$AN$10:$AT$260,VLOOKUP(A591,Ingreso!$AL$11:$AM$260,2,FALSE)))/24),0))</f>
        <v/>
      </c>
      <c r="K591" s="65" t="str">
        <f>IF(IFERROR(IF(E591=E590,0,(HLOOKUP(C591,Ingreso!$AW$10:$BC$260,VLOOKUP(A591,Ingreso!$AL$11:$AM$260,2,FALSE)))/24),0)=0,"",IFERROR(IF(E591=E590,0,(HLOOKUP(C591,Ingreso!$AW$10:$BC$260,VLOOKUP(A591,Ingreso!$AL$11:$AM$260,2,FALSE)))/24),0))</f>
        <v/>
      </c>
      <c r="L591" s="63" t="str">
        <f t="shared" si="18"/>
        <v/>
      </c>
      <c r="M591" s="63" t="str">
        <f>IF(IFERROR(IF(C591=C589,0,IF(E591=E590,0,IF(C591=$R$2,HLOOKUP($R$2,Ingreso!$AW$10:$BC$260,VLOOKUP(A591,Ingreso!AL:AM,2,FALSE),FALSE)/24,""))),"")=0,"",IFERROR(IF(C591=C589,0,IF(E591=E590,0,IF(C591=$R$2,HLOOKUP($R$2,Ingreso!$AW$10:$BC$260,VLOOKUP(A591,Ingreso!AL:AM,2,FALSE),FALSE)/24,""))),""))</f>
        <v/>
      </c>
      <c r="N591" s="95" t="str">
        <f>IF(IFERROR(IF(C591=C589,0,IF(E591=E590,0,IF(C591=$R$3,HLOOKUP($R$3,Ingreso!$AW$10:$BC$260,VLOOKUP(A591,Ingreso!AL:AM,2,FALSE),FALSE)/24,""))),"")=0,"",IFERROR(IF(C591=C589,0,IF(E591=E590,0,IF(C591=$R$3,HLOOKUP($R$3,Ingreso!$AW$10:$BC$260,VLOOKUP(A591,Ingreso!AL:AM,2,FALSE),FALSE)/24,""))),""))</f>
        <v/>
      </c>
      <c r="O591" s="95" t="str">
        <f>IF(IFERROR(IF(C591=C589,0,IF(E591=E590,0,IF(C591=$R$4,HLOOKUP($R$4,Ingreso!$AW$10:$BC$260,VLOOKUP(A591,Ingreso!AL:AM,2,FALSE),FALSE)/24,""))),"")=0,"",IFERROR(IF(C591=C589,0,IF(E591=E590,0,IF(C591=$R$4,HLOOKUP($R$4,Ingreso!$AW$10:$BC$260,VLOOKUP(A591,Ingreso!AL:AM,2,FALSE),FALSE)/24,""))),""))</f>
        <v/>
      </c>
      <c r="P591" s="90"/>
      <c r="V591"/>
      <c r="W591"/>
      <c r="X591"/>
      <c r="Y591"/>
      <c r="Z591"/>
      <c r="AA591"/>
      <c r="AB591"/>
      <c r="AC591"/>
      <c r="AD591"/>
    </row>
    <row r="592" spans="1:30">
      <c r="A592" s="65" t="str">
        <f>IFERROR(VLOOKUP('Informe Kelly'!A585,Base!A:B,2,FALSE),"")</f>
        <v>12.210.109-0</v>
      </c>
      <c r="B592" s="65" t="str">
        <f>IFERROR(VLOOKUP('Informe Kelly'!A585,Base!A:G,7,FALSE),"")</f>
        <v>ESCOBAR RIVERA ROBERTO FERNANDO</v>
      </c>
      <c r="C592" s="69" t="str">
        <f>IF(G592=$C$4,IF('Informe Kelly'!H585='Control informe Kelly'!$A$2,TEXT(((LEFT('Informe Kelly'!E585,2)*1)+1),"dd")&amp;"."&amp;MID('Informe Kelly'!E585,4,2)&amp;"."&amp;RIGHT('Informe Kelly'!E585,4),'Informe Kelly'!E585),'Informe Kelly'!E585)</f>
        <v>11.04.2011</v>
      </c>
      <c r="D592" s="69" t="str">
        <f>IF('Informe Kelly'!E585="","",'Informe Kelly'!E585)</f>
        <v>11.04.2011</v>
      </c>
      <c r="E592" s="72">
        <f t="shared" si="19"/>
        <v>298</v>
      </c>
      <c r="F592" s="72" t="str">
        <f>IFERROR(HLOOKUP(C592,Ingreso!$Q$8:$AD$9,2,FALSE),"v")</f>
        <v>Lunes</v>
      </c>
      <c r="G592" s="65" t="str">
        <f>IFERROR(VLOOKUP(A592,Ingreso!K:P,6,FALSE),"no esta ingresado")</f>
        <v>no esta ingresado</v>
      </c>
      <c r="H592" s="65">
        <f>IFERROR(IF('Informe Kelly'!H585=$A$2,'Informe Kelly'!F585,""),0)</f>
        <v>0.29684027777777777</v>
      </c>
      <c r="I592" s="65" t="str">
        <f>IFERROR(IF('Informe Kelly'!H585=$A$3,'Informe Kelly'!F585,""),0)</f>
        <v/>
      </c>
      <c r="J592" s="65" t="str">
        <f>IF(IFERROR(IF(E592=E591,0,(HLOOKUP(D592,Ingreso!$AN$10:$AT$260,VLOOKUP(A592,Ingreso!$AL$11:$AM$260,2,FALSE)))/24),0)=0,"",IFERROR(IF(E592=E591,0,(HLOOKUP(D592,Ingreso!$AN$10:$AT$260,VLOOKUP(A592,Ingreso!$AL$11:$AM$260,2,FALSE)))/24),0))</f>
        <v/>
      </c>
      <c r="K592" s="65" t="str">
        <f>IF(IFERROR(IF(E592=E591,0,(HLOOKUP(C592,Ingreso!$AW$10:$BC$260,VLOOKUP(A592,Ingreso!$AL$11:$AM$260,2,FALSE)))/24),0)=0,"",IFERROR(IF(E592=E591,0,(HLOOKUP(C592,Ingreso!$AW$10:$BC$260,VLOOKUP(A592,Ingreso!$AL$11:$AM$260,2,FALSE)))/24),0))</f>
        <v/>
      </c>
      <c r="L592" s="63">
        <f t="shared" si="18"/>
        <v>0</v>
      </c>
      <c r="M592" s="63" t="str">
        <f>IF(IFERROR(IF(C592=C590,0,IF(E592=E591,0,IF(C592=$R$2,HLOOKUP($R$2,Ingreso!$AW$10:$BC$260,VLOOKUP(A592,Ingreso!AL:AM,2,FALSE),FALSE)/24,""))),"")=0,"",IFERROR(IF(C592=C590,0,IF(E592=E591,0,IF(C592=$R$2,HLOOKUP($R$2,Ingreso!$AW$10:$BC$260,VLOOKUP(A592,Ingreso!AL:AM,2,FALSE),FALSE)/24,""))),""))</f>
        <v/>
      </c>
      <c r="N592" s="95" t="str">
        <f>IF(IFERROR(IF(C592=C590,0,IF(E592=E591,0,IF(C592=$R$3,HLOOKUP($R$3,Ingreso!$AW$10:$BC$260,VLOOKUP(A592,Ingreso!AL:AM,2,FALSE),FALSE)/24,""))),"")=0,"",IFERROR(IF(C592=C590,0,IF(E592=E591,0,IF(C592=$R$3,HLOOKUP($R$3,Ingreso!$AW$10:$BC$260,VLOOKUP(A592,Ingreso!AL:AM,2,FALSE),FALSE)/24,""))),""))</f>
        <v/>
      </c>
      <c r="O592" s="95" t="str">
        <f>IF(IFERROR(IF(C592=C590,0,IF(E592=E591,0,IF(C592=$R$4,HLOOKUP($R$4,Ingreso!$AW$10:$BC$260,VLOOKUP(A592,Ingreso!AL:AM,2,FALSE),FALSE)/24,""))),"")=0,"",IFERROR(IF(C592=C590,0,IF(E592=E591,0,IF(C592=$R$4,HLOOKUP($R$4,Ingreso!$AW$10:$BC$260,VLOOKUP(A592,Ingreso!AL:AM,2,FALSE),FALSE)/24,""))),""))</f>
        <v/>
      </c>
      <c r="P592" s="90"/>
      <c r="V592"/>
      <c r="W592"/>
      <c r="X592"/>
      <c r="Y592"/>
      <c r="Z592"/>
      <c r="AA592"/>
      <c r="AB592"/>
      <c r="AC592"/>
      <c r="AD592"/>
    </row>
    <row r="593" spans="1:30">
      <c r="A593" s="65" t="str">
        <f>IFERROR(VLOOKUP('Informe Kelly'!A586,Base!A:B,2,FALSE),"")</f>
        <v>12.210.109-0</v>
      </c>
      <c r="B593" s="65" t="str">
        <f>IFERROR(VLOOKUP('Informe Kelly'!A586,Base!A:G,7,FALSE),"")</f>
        <v>ESCOBAR RIVERA ROBERTO FERNANDO</v>
      </c>
      <c r="C593" s="69" t="str">
        <f>IF(G593=$C$4,IF('Informe Kelly'!H586='Control informe Kelly'!$A$2,TEXT(((LEFT('Informe Kelly'!E586,2)*1)+1),"dd")&amp;"."&amp;MID('Informe Kelly'!E586,4,2)&amp;"."&amp;RIGHT('Informe Kelly'!E586,4),'Informe Kelly'!E586),'Informe Kelly'!E586)</f>
        <v>12.04.2011</v>
      </c>
      <c r="D593" s="69" t="str">
        <f>IF('Informe Kelly'!E586="","",'Informe Kelly'!E586)</f>
        <v>12.04.2011</v>
      </c>
      <c r="E593" s="72">
        <f t="shared" si="19"/>
        <v>299</v>
      </c>
      <c r="F593" s="72" t="str">
        <f>IFERROR(HLOOKUP(C593,Ingreso!$Q$8:$AD$9,2,FALSE),"v")</f>
        <v>Martes</v>
      </c>
      <c r="G593" s="65" t="str">
        <f>IFERROR(VLOOKUP(A593,Ingreso!K:P,6,FALSE),"no esta ingresado")</f>
        <v>no esta ingresado</v>
      </c>
      <c r="H593" s="65" t="str">
        <f>IFERROR(IF('Informe Kelly'!H586=$A$2,'Informe Kelly'!F586,""),0)</f>
        <v/>
      </c>
      <c r="I593" s="65">
        <f>IFERROR(IF('Informe Kelly'!H586=$A$3,'Informe Kelly'!F586,""),0)</f>
        <v>0.63312500000000005</v>
      </c>
      <c r="J593" s="65" t="str">
        <f>IF(IFERROR(IF(E593=E592,0,(HLOOKUP(D593,Ingreso!$AN$10:$AT$260,VLOOKUP(A593,Ingreso!$AL$11:$AM$260,2,FALSE)))/24),0)=0,"",IFERROR(IF(E593=E592,0,(HLOOKUP(D593,Ingreso!$AN$10:$AT$260,VLOOKUP(A593,Ingreso!$AL$11:$AM$260,2,FALSE)))/24),0))</f>
        <v/>
      </c>
      <c r="K593" s="65" t="str">
        <f>IF(IFERROR(IF(E593=E592,0,(HLOOKUP(C593,Ingreso!$AW$10:$BC$260,VLOOKUP(A593,Ingreso!$AL$11:$AM$260,2,FALSE)))/24),0)=0,"",IFERROR(IF(E593=E592,0,(HLOOKUP(C593,Ingreso!$AW$10:$BC$260,VLOOKUP(A593,Ingreso!$AL$11:$AM$260,2,FALSE)))/24),0))</f>
        <v/>
      </c>
      <c r="L593" s="63" t="str">
        <f t="shared" si="18"/>
        <v/>
      </c>
      <c r="M593" s="63" t="str">
        <f>IF(IFERROR(IF(C593=C591,0,IF(E593=E592,0,IF(C593=$R$2,HLOOKUP($R$2,Ingreso!$AW$10:$BC$260,VLOOKUP(A593,Ingreso!AL:AM,2,FALSE),FALSE)/24,""))),"")=0,"",IFERROR(IF(C593=C591,0,IF(E593=E592,0,IF(C593=$R$2,HLOOKUP($R$2,Ingreso!$AW$10:$BC$260,VLOOKUP(A593,Ingreso!AL:AM,2,FALSE),FALSE)/24,""))),""))</f>
        <v/>
      </c>
      <c r="N593" s="95" t="str">
        <f>IF(IFERROR(IF(C593=C591,0,IF(E593=E592,0,IF(C593=$R$3,HLOOKUP($R$3,Ingreso!$AW$10:$BC$260,VLOOKUP(A593,Ingreso!AL:AM,2,FALSE),FALSE)/24,""))),"")=0,"",IFERROR(IF(C593=C591,0,IF(E593=E592,0,IF(C593=$R$3,HLOOKUP($R$3,Ingreso!$AW$10:$BC$260,VLOOKUP(A593,Ingreso!AL:AM,2,FALSE),FALSE)/24,""))),""))</f>
        <v/>
      </c>
      <c r="O593" s="95" t="str">
        <f>IF(IFERROR(IF(C593=C591,0,IF(E593=E592,0,IF(C593=$R$4,HLOOKUP($R$4,Ingreso!$AW$10:$BC$260,VLOOKUP(A593,Ingreso!AL:AM,2,FALSE),FALSE)/24,""))),"")=0,"",IFERROR(IF(C593=C591,0,IF(E593=E592,0,IF(C593=$R$4,HLOOKUP($R$4,Ingreso!$AW$10:$BC$260,VLOOKUP(A593,Ingreso!AL:AM,2,FALSE),FALSE)/24,""))),""))</f>
        <v/>
      </c>
      <c r="P593" s="90"/>
      <c r="V593"/>
      <c r="W593"/>
      <c r="X593"/>
      <c r="Y593"/>
      <c r="Z593"/>
      <c r="AA593"/>
      <c r="AB593"/>
      <c r="AC593"/>
      <c r="AD593"/>
    </row>
    <row r="594" spans="1:30">
      <c r="A594" s="65" t="str">
        <f>IFERROR(VLOOKUP('Informe Kelly'!A587,Base!A:B,2,FALSE),"")</f>
        <v>12.210.109-0</v>
      </c>
      <c r="B594" s="65" t="str">
        <f>IFERROR(VLOOKUP('Informe Kelly'!A587,Base!A:G,7,FALSE),"")</f>
        <v>ESCOBAR RIVERA ROBERTO FERNANDO</v>
      </c>
      <c r="C594" s="69" t="str">
        <f>IF(G594=$C$4,IF('Informe Kelly'!H587='Control informe Kelly'!$A$2,TEXT(((LEFT('Informe Kelly'!E587,2)*1)+1),"dd")&amp;"."&amp;MID('Informe Kelly'!E587,4,2)&amp;"."&amp;RIGHT('Informe Kelly'!E587,4),'Informe Kelly'!E587),'Informe Kelly'!E587)</f>
        <v>12.04.2011</v>
      </c>
      <c r="D594" s="69" t="str">
        <f>IF('Informe Kelly'!E587="","",'Informe Kelly'!E587)</f>
        <v>12.04.2011</v>
      </c>
      <c r="E594" s="72">
        <f t="shared" si="19"/>
        <v>299</v>
      </c>
      <c r="F594" s="72" t="str">
        <f>IFERROR(HLOOKUP(C594,Ingreso!$Q$8:$AD$9,2,FALSE),"v")</f>
        <v>Martes</v>
      </c>
      <c r="G594" s="65" t="str">
        <f>IFERROR(VLOOKUP(A594,Ingreso!K:P,6,FALSE),"no esta ingresado")</f>
        <v>no esta ingresado</v>
      </c>
      <c r="H594" s="65">
        <f>IFERROR(IF('Informe Kelly'!H587=$A$2,'Informe Kelly'!F587,""),0)</f>
        <v>0.29693287037037036</v>
      </c>
      <c r="I594" s="65" t="str">
        <f>IFERROR(IF('Informe Kelly'!H587=$A$3,'Informe Kelly'!F587,""),0)</f>
        <v/>
      </c>
      <c r="J594" s="65" t="str">
        <f>IF(IFERROR(IF(E594=E593,0,(HLOOKUP(D594,Ingreso!$AN$10:$AT$260,VLOOKUP(A594,Ingreso!$AL$11:$AM$260,2,FALSE)))/24),0)=0,"",IFERROR(IF(E594=E593,0,(HLOOKUP(D594,Ingreso!$AN$10:$AT$260,VLOOKUP(A594,Ingreso!$AL$11:$AM$260,2,FALSE)))/24),0))</f>
        <v/>
      </c>
      <c r="K594" s="65" t="str">
        <f>IF(IFERROR(IF(E594=E593,0,(HLOOKUP(C594,Ingreso!$AW$10:$BC$260,VLOOKUP(A594,Ingreso!$AL$11:$AM$260,2,FALSE)))/24),0)=0,"",IFERROR(IF(E594=E593,0,(HLOOKUP(C594,Ingreso!$AW$10:$BC$260,VLOOKUP(A594,Ingreso!$AL$11:$AM$260,2,FALSE)))/24),0))</f>
        <v/>
      </c>
      <c r="L594" s="63">
        <f t="shared" si="18"/>
        <v>0</v>
      </c>
      <c r="M594" s="63" t="str">
        <f>IF(IFERROR(IF(C594=C592,0,IF(E594=E593,0,IF(C594=$R$2,HLOOKUP($R$2,Ingreso!$AW$10:$BC$260,VLOOKUP(A594,Ingreso!AL:AM,2,FALSE),FALSE)/24,""))),"")=0,"",IFERROR(IF(C594=C592,0,IF(E594=E593,0,IF(C594=$R$2,HLOOKUP($R$2,Ingreso!$AW$10:$BC$260,VLOOKUP(A594,Ingreso!AL:AM,2,FALSE),FALSE)/24,""))),""))</f>
        <v/>
      </c>
      <c r="N594" s="95" t="str">
        <f>IF(IFERROR(IF(C594=C592,0,IF(E594=E593,0,IF(C594=$R$3,HLOOKUP($R$3,Ingreso!$AW$10:$BC$260,VLOOKUP(A594,Ingreso!AL:AM,2,FALSE),FALSE)/24,""))),"")=0,"",IFERROR(IF(C594=C592,0,IF(E594=E593,0,IF(C594=$R$3,HLOOKUP($R$3,Ingreso!$AW$10:$BC$260,VLOOKUP(A594,Ingreso!AL:AM,2,FALSE),FALSE)/24,""))),""))</f>
        <v/>
      </c>
      <c r="O594" s="95" t="str">
        <f>IF(IFERROR(IF(C594=C592,0,IF(E594=E593,0,IF(C594=$R$4,HLOOKUP($R$4,Ingreso!$AW$10:$BC$260,VLOOKUP(A594,Ingreso!AL:AM,2,FALSE),FALSE)/24,""))),"")=0,"",IFERROR(IF(C594=C592,0,IF(E594=E593,0,IF(C594=$R$4,HLOOKUP($R$4,Ingreso!$AW$10:$BC$260,VLOOKUP(A594,Ingreso!AL:AM,2,FALSE),FALSE)/24,""))),""))</f>
        <v/>
      </c>
      <c r="P594" s="90"/>
      <c r="V594"/>
      <c r="W594"/>
      <c r="X594"/>
      <c r="Y594"/>
      <c r="Z594"/>
      <c r="AA594"/>
      <c r="AB594"/>
      <c r="AC594"/>
      <c r="AD594"/>
    </row>
    <row r="595" spans="1:30">
      <c r="A595" s="65" t="str">
        <f>IFERROR(VLOOKUP('Informe Kelly'!A588,Base!A:B,2,FALSE),"")</f>
        <v>12.210.109-0</v>
      </c>
      <c r="B595" s="65" t="str">
        <f>IFERROR(VLOOKUP('Informe Kelly'!A588,Base!A:G,7,FALSE),"")</f>
        <v>ESCOBAR RIVERA ROBERTO FERNANDO</v>
      </c>
      <c r="C595" s="69" t="str">
        <f>IF(G595=$C$4,IF('Informe Kelly'!H588='Control informe Kelly'!$A$2,TEXT(((LEFT('Informe Kelly'!E588,2)*1)+1),"dd")&amp;"."&amp;MID('Informe Kelly'!E588,4,2)&amp;"."&amp;RIGHT('Informe Kelly'!E588,4),'Informe Kelly'!E588),'Informe Kelly'!E588)</f>
        <v>13.04.2011</v>
      </c>
      <c r="D595" s="69" t="str">
        <f>IF('Informe Kelly'!E588="","",'Informe Kelly'!E588)</f>
        <v>13.04.2011</v>
      </c>
      <c r="E595" s="72">
        <f t="shared" si="19"/>
        <v>300</v>
      </c>
      <c r="F595" s="72" t="str">
        <f>IFERROR(HLOOKUP(C595,Ingreso!$Q$8:$AD$9,2,FALSE),"v")</f>
        <v>Miércoles</v>
      </c>
      <c r="G595" s="65" t="str">
        <f>IFERROR(VLOOKUP(A595,Ingreso!K:P,6,FALSE),"no esta ingresado")</f>
        <v>no esta ingresado</v>
      </c>
      <c r="H595" s="65" t="str">
        <f>IFERROR(IF('Informe Kelly'!H588=$A$2,'Informe Kelly'!F588,""),0)</f>
        <v/>
      </c>
      <c r="I595" s="65">
        <f>IFERROR(IF('Informe Kelly'!H588=$A$3,'Informe Kelly'!F588,""),0)</f>
        <v>0.62711805555555555</v>
      </c>
      <c r="J595" s="65" t="str">
        <f>IF(IFERROR(IF(E595=E594,0,(HLOOKUP(D595,Ingreso!$AN$10:$AT$260,VLOOKUP(A595,Ingreso!$AL$11:$AM$260,2,FALSE)))/24),0)=0,"",IFERROR(IF(E595=E594,0,(HLOOKUP(D595,Ingreso!$AN$10:$AT$260,VLOOKUP(A595,Ingreso!$AL$11:$AM$260,2,FALSE)))/24),0))</f>
        <v/>
      </c>
      <c r="K595" s="65" t="str">
        <f>IF(IFERROR(IF(E595=E594,0,(HLOOKUP(C595,Ingreso!$AW$10:$BC$260,VLOOKUP(A595,Ingreso!$AL$11:$AM$260,2,FALSE)))/24),0)=0,"",IFERROR(IF(E595=E594,0,(HLOOKUP(C595,Ingreso!$AW$10:$BC$260,VLOOKUP(A595,Ingreso!$AL$11:$AM$260,2,FALSE)))/24),0))</f>
        <v/>
      </c>
      <c r="L595" s="63" t="str">
        <f t="shared" si="18"/>
        <v/>
      </c>
      <c r="M595" s="63" t="str">
        <f>IF(IFERROR(IF(C595=C593,0,IF(E595=E594,0,IF(C595=$R$2,HLOOKUP($R$2,Ingreso!$AW$10:$BC$260,VLOOKUP(A595,Ingreso!AL:AM,2,FALSE),FALSE)/24,""))),"")=0,"",IFERROR(IF(C595=C593,0,IF(E595=E594,0,IF(C595=$R$2,HLOOKUP($R$2,Ingreso!$AW$10:$BC$260,VLOOKUP(A595,Ingreso!AL:AM,2,FALSE),FALSE)/24,""))),""))</f>
        <v/>
      </c>
      <c r="N595" s="95" t="str">
        <f>IF(IFERROR(IF(C595=C593,0,IF(E595=E594,0,IF(C595=$R$3,HLOOKUP($R$3,Ingreso!$AW$10:$BC$260,VLOOKUP(A595,Ingreso!AL:AM,2,FALSE),FALSE)/24,""))),"")=0,"",IFERROR(IF(C595=C593,0,IF(E595=E594,0,IF(C595=$R$3,HLOOKUP($R$3,Ingreso!$AW$10:$BC$260,VLOOKUP(A595,Ingreso!AL:AM,2,FALSE),FALSE)/24,""))),""))</f>
        <v/>
      </c>
      <c r="O595" s="95" t="str">
        <f>IF(IFERROR(IF(C595=C593,0,IF(E595=E594,0,IF(C595=$R$4,HLOOKUP($R$4,Ingreso!$AW$10:$BC$260,VLOOKUP(A595,Ingreso!AL:AM,2,FALSE),FALSE)/24,""))),"")=0,"",IFERROR(IF(C595=C593,0,IF(E595=E594,0,IF(C595=$R$4,HLOOKUP($R$4,Ingreso!$AW$10:$BC$260,VLOOKUP(A595,Ingreso!AL:AM,2,FALSE),FALSE)/24,""))),""))</f>
        <v/>
      </c>
      <c r="P595" s="90"/>
      <c r="V595"/>
      <c r="W595"/>
      <c r="X595"/>
      <c r="Y595"/>
      <c r="Z595"/>
      <c r="AA595"/>
      <c r="AB595"/>
      <c r="AC595"/>
      <c r="AD595"/>
    </row>
    <row r="596" spans="1:30">
      <c r="A596" s="65" t="str">
        <f>IFERROR(VLOOKUP('Informe Kelly'!A589,Base!A:B,2,FALSE),"")</f>
        <v>12.210.109-0</v>
      </c>
      <c r="B596" s="65" t="str">
        <f>IFERROR(VLOOKUP('Informe Kelly'!A589,Base!A:G,7,FALSE),"")</f>
        <v>ESCOBAR RIVERA ROBERTO FERNANDO</v>
      </c>
      <c r="C596" s="69" t="str">
        <f>IF(G596=$C$4,IF('Informe Kelly'!H589='Control informe Kelly'!$A$2,TEXT(((LEFT('Informe Kelly'!E589,2)*1)+1),"dd")&amp;"."&amp;MID('Informe Kelly'!E589,4,2)&amp;"."&amp;RIGHT('Informe Kelly'!E589,4),'Informe Kelly'!E589),'Informe Kelly'!E589)</f>
        <v>13.04.2011</v>
      </c>
      <c r="D596" s="69" t="str">
        <f>IF('Informe Kelly'!E589="","",'Informe Kelly'!E589)</f>
        <v>13.04.2011</v>
      </c>
      <c r="E596" s="72">
        <f t="shared" si="19"/>
        <v>300</v>
      </c>
      <c r="F596" s="72" t="str">
        <f>IFERROR(HLOOKUP(C596,Ingreso!$Q$8:$AD$9,2,FALSE),"v")</f>
        <v>Miércoles</v>
      </c>
      <c r="G596" s="65" t="str">
        <f>IFERROR(VLOOKUP(A596,Ingreso!K:P,6,FALSE),"no esta ingresado")</f>
        <v>no esta ingresado</v>
      </c>
      <c r="H596" s="65">
        <f>IFERROR(IF('Informe Kelly'!H589=$A$2,'Informe Kelly'!F589,""),0)</f>
        <v>0.30879629629629629</v>
      </c>
      <c r="I596" s="65" t="str">
        <f>IFERROR(IF('Informe Kelly'!H589=$A$3,'Informe Kelly'!F589,""),0)</f>
        <v/>
      </c>
      <c r="J596" s="65" t="str">
        <f>IF(IFERROR(IF(E596=E595,0,(HLOOKUP(D596,Ingreso!$AN$10:$AT$260,VLOOKUP(A596,Ingreso!$AL$11:$AM$260,2,FALSE)))/24),0)=0,"",IFERROR(IF(E596=E595,0,(HLOOKUP(D596,Ingreso!$AN$10:$AT$260,VLOOKUP(A596,Ingreso!$AL$11:$AM$260,2,FALSE)))/24),0))</f>
        <v/>
      </c>
      <c r="K596" s="65" t="str">
        <f>IF(IFERROR(IF(E596=E595,0,(HLOOKUP(C596,Ingreso!$AW$10:$BC$260,VLOOKUP(A596,Ingreso!$AL$11:$AM$260,2,FALSE)))/24),0)=0,"",IFERROR(IF(E596=E595,0,(HLOOKUP(C596,Ingreso!$AW$10:$BC$260,VLOOKUP(A596,Ingreso!$AL$11:$AM$260,2,FALSE)))/24),0))</f>
        <v/>
      </c>
      <c r="L596" s="63">
        <f t="shared" si="18"/>
        <v>0</v>
      </c>
      <c r="M596" s="63" t="str">
        <f>IF(IFERROR(IF(C596=C594,0,IF(E596=E595,0,IF(C596=$R$2,HLOOKUP($R$2,Ingreso!$AW$10:$BC$260,VLOOKUP(A596,Ingreso!AL:AM,2,FALSE),FALSE)/24,""))),"")=0,"",IFERROR(IF(C596=C594,0,IF(E596=E595,0,IF(C596=$R$2,HLOOKUP($R$2,Ingreso!$AW$10:$BC$260,VLOOKUP(A596,Ingreso!AL:AM,2,FALSE),FALSE)/24,""))),""))</f>
        <v/>
      </c>
      <c r="N596" s="95" t="str">
        <f>IF(IFERROR(IF(C596=C594,0,IF(E596=E595,0,IF(C596=$R$3,HLOOKUP($R$3,Ingreso!$AW$10:$BC$260,VLOOKUP(A596,Ingreso!AL:AM,2,FALSE),FALSE)/24,""))),"")=0,"",IFERROR(IF(C596=C594,0,IF(E596=E595,0,IF(C596=$R$3,HLOOKUP($R$3,Ingreso!$AW$10:$BC$260,VLOOKUP(A596,Ingreso!AL:AM,2,FALSE),FALSE)/24,""))),""))</f>
        <v/>
      </c>
      <c r="O596" s="95" t="str">
        <f>IF(IFERROR(IF(C596=C594,0,IF(E596=E595,0,IF(C596=$R$4,HLOOKUP($R$4,Ingreso!$AW$10:$BC$260,VLOOKUP(A596,Ingreso!AL:AM,2,FALSE),FALSE)/24,""))),"")=0,"",IFERROR(IF(C596=C594,0,IF(E596=E595,0,IF(C596=$R$4,HLOOKUP($R$4,Ingreso!$AW$10:$BC$260,VLOOKUP(A596,Ingreso!AL:AM,2,FALSE),FALSE)/24,""))),""))</f>
        <v/>
      </c>
      <c r="P596" s="90"/>
      <c r="V596"/>
      <c r="W596"/>
      <c r="X596"/>
      <c r="Y596"/>
      <c r="Z596"/>
      <c r="AA596"/>
      <c r="AB596"/>
      <c r="AC596"/>
      <c r="AD596"/>
    </row>
    <row r="597" spans="1:30">
      <c r="A597" s="65" t="str">
        <f>IFERROR(VLOOKUP('Informe Kelly'!A590,Base!A:B,2,FALSE),"")</f>
        <v>12.210.109-0</v>
      </c>
      <c r="B597" s="65" t="str">
        <f>IFERROR(VLOOKUP('Informe Kelly'!A590,Base!A:G,7,FALSE),"")</f>
        <v>ESCOBAR RIVERA ROBERTO FERNANDO</v>
      </c>
      <c r="C597" s="69" t="str">
        <f>IF(G597=$C$4,IF('Informe Kelly'!H590='Control informe Kelly'!$A$2,TEXT(((LEFT('Informe Kelly'!E590,2)*1)+1),"dd")&amp;"."&amp;MID('Informe Kelly'!E590,4,2)&amp;"."&amp;RIGHT('Informe Kelly'!E590,4),'Informe Kelly'!E590),'Informe Kelly'!E590)</f>
        <v>14.04.2011</v>
      </c>
      <c r="D597" s="69" t="str">
        <f>IF('Informe Kelly'!E590="","",'Informe Kelly'!E590)</f>
        <v>14.04.2011</v>
      </c>
      <c r="E597" s="72">
        <f t="shared" si="19"/>
        <v>301</v>
      </c>
      <c r="F597" s="72" t="str">
        <f>IFERROR(HLOOKUP(C597,Ingreso!$Q$8:$AD$9,2,FALSE),"v")</f>
        <v>Jueves</v>
      </c>
      <c r="G597" s="65" t="str">
        <f>IFERROR(VLOOKUP(A597,Ingreso!K:P,6,FALSE),"no esta ingresado")</f>
        <v>no esta ingresado</v>
      </c>
      <c r="H597" s="65" t="str">
        <f>IFERROR(IF('Informe Kelly'!H590=$A$2,'Informe Kelly'!F590,""),0)</f>
        <v/>
      </c>
      <c r="I597" s="65">
        <f>IFERROR(IF('Informe Kelly'!H590=$A$3,'Informe Kelly'!F590,""),0)</f>
        <v>0.63468749999999996</v>
      </c>
      <c r="J597" s="65" t="str">
        <f>IF(IFERROR(IF(E597=E596,0,(HLOOKUP(D597,Ingreso!$AN$10:$AT$260,VLOOKUP(A597,Ingreso!$AL$11:$AM$260,2,FALSE)))/24),0)=0,"",IFERROR(IF(E597=E596,0,(HLOOKUP(D597,Ingreso!$AN$10:$AT$260,VLOOKUP(A597,Ingreso!$AL$11:$AM$260,2,FALSE)))/24),0))</f>
        <v/>
      </c>
      <c r="K597" s="65" t="str">
        <f>IF(IFERROR(IF(E597=E596,0,(HLOOKUP(C597,Ingreso!$AW$10:$BC$260,VLOOKUP(A597,Ingreso!$AL$11:$AM$260,2,FALSE)))/24),0)=0,"",IFERROR(IF(E597=E596,0,(HLOOKUP(C597,Ingreso!$AW$10:$BC$260,VLOOKUP(A597,Ingreso!$AL$11:$AM$260,2,FALSE)))/24),0))</f>
        <v/>
      </c>
      <c r="L597" s="63" t="str">
        <f t="shared" si="18"/>
        <v/>
      </c>
      <c r="M597" s="63" t="str">
        <f>IF(IFERROR(IF(C597=C595,0,IF(E597=E596,0,IF(C597=$R$2,HLOOKUP($R$2,Ingreso!$AW$10:$BC$260,VLOOKUP(A597,Ingreso!AL:AM,2,FALSE),FALSE)/24,""))),"")=0,"",IFERROR(IF(C597=C595,0,IF(E597=E596,0,IF(C597=$R$2,HLOOKUP($R$2,Ingreso!$AW$10:$BC$260,VLOOKUP(A597,Ingreso!AL:AM,2,FALSE),FALSE)/24,""))),""))</f>
        <v/>
      </c>
      <c r="N597" s="95" t="str">
        <f>IF(IFERROR(IF(C597=C595,0,IF(E597=E596,0,IF(C597=$R$3,HLOOKUP($R$3,Ingreso!$AW$10:$BC$260,VLOOKUP(A597,Ingreso!AL:AM,2,FALSE),FALSE)/24,""))),"")=0,"",IFERROR(IF(C597=C595,0,IF(E597=E596,0,IF(C597=$R$3,HLOOKUP($R$3,Ingreso!$AW$10:$BC$260,VLOOKUP(A597,Ingreso!AL:AM,2,FALSE),FALSE)/24,""))),""))</f>
        <v/>
      </c>
      <c r="O597" s="95" t="str">
        <f>IF(IFERROR(IF(C597=C595,0,IF(E597=E596,0,IF(C597=$R$4,HLOOKUP($R$4,Ingreso!$AW$10:$BC$260,VLOOKUP(A597,Ingreso!AL:AM,2,FALSE),FALSE)/24,""))),"")=0,"",IFERROR(IF(C597=C595,0,IF(E597=E596,0,IF(C597=$R$4,HLOOKUP($R$4,Ingreso!$AW$10:$BC$260,VLOOKUP(A597,Ingreso!AL:AM,2,FALSE),FALSE)/24,""))),""))</f>
        <v/>
      </c>
      <c r="P597" s="90"/>
      <c r="V597"/>
      <c r="W597"/>
      <c r="X597"/>
      <c r="Y597"/>
      <c r="Z597"/>
      <c r="AA597"/>
      <c r="AB597"/>
      <c r="AC597"/>
      <c r="AD597"/>
    </row>
    <row r="598" spans="1:30">
      <c r="A598" s="65" t="str">
        <f>IFERROR(VLOOKUP('Informe Kelly'!A591,Base!A:B,2,FALSE),"")</f>
        <v>12.210.109-0</v>
      </c>
      <c r="B598" s="65" t="str">
        <f>IFERROR(VLOOKUP('Informe Kelly'!A591,Base!A:G,7,FALSE),"")</f>
        <v>ESCOBAR RIVERA ROBERTO FERNANDO</v>
      </c>
      <c r="C598" s="69" t="str">
        <f>IF(G598=$C$4,IF('Informe Kelly'!H591='Control informe Kelly'!$A$2,TEXT(((LEFT('Informe Kelly'!E591,2)*1)+1),"dd")&amp;"."&amp;MID('Informe Kelly'!E591,4,2)&amp;"."&amp;RIGHT('Informe Kelly'!E591,4),'Informe Kelly'!E591),'Informe Kelly'!E591)</f>
        <v>14.04.2011</v>
      </c>
      <c r="D598" s="69" t="str">
        <f>IF('Informe Kelly'!E591="","",'Informe Kelly'!E591)</f>
        <v>14.04.2011</v>
      </c>
      <c r="E598" s="72">
        <f t="shared" si="19"/>
        <v>301</v>
      </c>
      <c r="F598" s="72" t="str">
        <f>IFERROR(HLOOKUP(C598,Ingreso!$Q$8:$AD$9,2,FALSE),"v")</f>
        <v>Jueves</v>
      </c>
      <c r="G598" s="65" t="str">
        <f>IFERROR(VLOOKUP(A598,Ingreso!K:P,6,FALSE),"no esta ingresado")</f>
        <v>no esta ingresado</v>
      </c>
      <c r="H598" s="65">
        <f>IFERROR(IF('Informe Kelly'!H591=$A$2,'Informe Kelly'!F591,""),0)</f>
        <v>0.29684027777777777</v>
      </c>
      <c r="I598" s="65" t="str">
        <f>IFERROR(IF('Informe Kelly'!H591=$A$3,'Informe Kelly'!F591,""),0)</f>
        <v/>
      </c>
      <c r="J598" s="65" t="str">
        <f>IF(IFERROR(IF(E598=E597,0,(HLOOKUP(D598,Ingreso!$AN$10:$AT$260,VLOOKUP(A598,Ingreso!$AL$11:$AM$260,2,FALSE)))/24),0)=0,"",IFERROR(IF(E598=E597,0,(HLOOKUP(D598,Ingreso!$AN$10:$AT$260,VLOOKUP(A598,Ingreso!$AL$11:$AM$260,2,FALSE)))/24),0))</f>
        <v/>
      </c>
      <c r="K598" s="65" t="str">
        <f>IF(IFERROR(IF(E598=E597,0,(HLOOKUP(C598,Ingreso!$AW$10:$BC$260,VLOOKUP(A598,Ingreso!$AL$11:$AM$260,2,FALSE)))/24),0)=0,"",IFERROR(IF(E598=E597,0,(HLOOKUP(C598,Ingreso!$AW$10:$BC$260,VLOOKUP(A598,Ingreso!$AL$11:$AM$260,2,FALSE)))/24),0))</f>
        <v/>
      </c>
      <c r="L598" s="63">
        <f t="shared" si="18"/>
        <v>0</v>
      </c>
      <c r="M598" s="63" t="str">
        <f>IF(IFERROR(IF(C598=C596,0,IF(E598=E597,0,IF(C598=$R$2,HLOOKUP($R$2,Ingreso!$AW$10:$BC$260,VLOOKUP(A598,Ingreso!AL:AM,2,FALSE),FALSE)/24,""))),"")=0,"",IFERROR(IF(C598=C596,0,IF(E598=E597,0,IF(C598=$R$2,HLOOKUP($R$2,Ingreso!$AW$10:$BC$260,VLOOKUP(A598,Ingreso!AL:AM,2,FALSE),FALSE)/24,""))),""))</f>
        <v/>
      </c>
      <c r="N598" s="95" t="str">
        <f>IF(IFERROR(IF(C598=C596,0,IF(E598=E597,0,IF(C598=$R$3,HLOOKUP($R$3,Ingreso!$AW$10:$BC$260,VLOOKUP(A598,Ingreso!AL:AM,2,FALSE),FALSE)/24,""))),"")=0,"",IFERROR(IF(C598=C596,0,IF(E598=E597,0,IF(C598=$R$3,HLOOKUP($R$3,Ingreso!$AW$10:$BC$260,VLOOKUP(A598,Ingreso!AL:AM,2,FALSE),FALSE)/24,""))),""))</f>
        <v/>
      </c>
      <c r="O598" s="95" t="str">
        <f>IF(IFERROR(IF(C598=C596,0,IF(E598=E597,0,IF(C598=$R$4,HLOOKUP($R$4,Ingreso!$AW$10:$BC$260,VLOOKUP(A598,Ingreso!AL:AM,2,FALSE),FALSE)/24,""))),"")=0,"",IFERROR(IF(C598=C596,0,IF(E598=E597,0,IF(C598=$R$4,HLOOKUP($R$4,Ingreso!$AW$10:$BC$260,VLOOKUP(A598,Ingreso!AL:AM,2,FALSE),FALSE)/24,""))),""))</f>
        <v/>
      </c>
      <c r="P598" s="90"/>
      <c r="V598"/>
      <c r="W598"/>
      <c r="X598"/>
      <c r="Y598"/>
      <c r="Z598"/>
      <c r="AA598"/>
      <c r="AB598"/>
      <c r="AC598"/>
      <c r="AD598"/>
    </row>
    <row r="599" spans="1:30">
      <c r="A599" s="65" t="str">
        <f>IFERROR(VLOOKUP('Informe Kelly'!A592,Base!A:B,2,FALSE),"")</f>
        <v>12.210.109-0</v>
      </c>
      <c r="B599" s="65" t="str">
        <f>IFERROR(VLOOKUP('Informe Kelly'!A592,Base!A:G,7,FALSE),"")</f>
        <v>ESCOBAR RIVERA ROBERTO FERNANDO</v>
      </c>
      <c r="C599" s="69" t="str">
        <f>IF(G599=$C$4,IF('Informe Kelly'!H592='Control informe Kelly'!$A$2,TEXT(((LEFT('Informe Kelly'!E592,2)*1)+1),"dd")&amp;"."&amp;MID('Informe Kelly'!E592,4,2)&amp;"."&amp;RIGHT('Informe Kelly'!E592,4),'Informe Kelly'!E592),'Informe Kelly'!E592)</f>
        <v>15.04.2011</v>
      </c>
      <c r="D599" s="69" t="str">
        <f>IF('Informe Kelly'!E592="","",'Informe Kelly'!E592)</f>
        <v>15.04.2011</v>
      </c>
      <c r="E599" s="72">
        <f t="shared" si="19"/>
        <v>302</v>
      </c>
      <c r="F599" s="72" t="str">
        <f>IFERROR(HLOOKUP(C599,Ingreso!$Q$8:$AD$9,2,FALSE),"v")</f>
        <v>Viernes</v>
      </c>
      <c r="G599" s="65" t="str">
        <f>IFERROR(VLOOKUP(A599,Ingreso!K:P,6,FALSE),"no esta ingresado")</f>
        <v>no esta ingresado</v>
      </c>
      <c r="H599" s="65" t="str">
        <f>IFERROR(IF('Informe Kelly'!H592=$A$2,'Informe Kelly'!F592,""),0)</f>
        <v/>
      </c>
      <c r="I599" s="65">
        <f>IFERROR(IF('Informe Kelly'!H592=$A$3,'Informe Kelly'!F592,""),0)</f>
        <v>0.63479166666666664</v>
      </c>
      <c r="J599" s="65" t="str">
        <f>IF(IFERROR(IF(E599=E598,0,(HLOOKUP(D599,Ingreso!$AN$10:$AT$260,VLOOKUP(A599,Ingreso!$AL$11:$AM$260,2,FALSE)))/24),0)=0,"",IFERROR(IF(E599=E598,0,(HLOOKUP(D599,Ingreso!$AN$10:$AT$260,VLOOKUP(A599,Ingreso!$AL$11:$AM$260,2,FALSE)))/24),0))</f>
        <v/>
      </c>
      <c r="K599" s="65" t="str">
        <f>IF(IFERROR(IF(E599=E598,0,(HLOOKUP(C599,Ingreso!$AW$10:$BC$260,VLOOKUP(A599,Ingreso!$AL$11:$AM$260,2,FALSE)))/24),0)=0,"",IFERROR(IF(E599=E598,0,(HLOOKUP(C599,Ingreso!$AW$10:$BC$260,VLOOKUP(A599,Ingreso!$AL$11:$AM$260,2,FALSE)))/24),0))</f>
        <v/>
      </c>
      <c r="L599" s="63" t="str">
        <f t="shared" si="18"/>
        <v/>
      </c>
      <c r="M599" s="63" t="str">
        <f>IF(IFERROR(IF(C599=C597,0,IF(E599=E598,0,IF(C599=$R$2,HLOOKUP($R$2,Ingreso!$AW$10:$BC$260,VLOOKUP(A599,Ingreso!AL:AM,2,FALSE),FALSE)/24,""))),"")=0,"",IFERROR(IF(C599=C597,0,IF(E599=E598,0,IF(C599=$R$2,HLOOKUP($R$2,Ingreso!$AW$10:$BC$260,VLOOKUP(A599,Ingreso!AL:AM,2,FALSE),FALSE)/24,""))),""))</f>
        <v/>
      </c>
      <c r="N599" s="95" t="str">
        <f>IF(IFERROR(IF(C599=C597,0,IF(E599=E598,0,IF(C599=$R$3,HLOOKUP($R$3,Ingreso!$AW$10:$BC$260,VLOOKUP(A599,Ingreso!AL:AM,2,FALSE),FALSE)/24,""))),"")=0,"",IFERROR(IF(C599=C597,0,IF(E599=E598,0,IF(C599=$R$3,HLOOKUP($R$3,Ingreso!$AW$10:$BC$260,VLOOKUP(A599,Ingreso!AL:AM,2,FALSE),FALSE)/24,""))),""))</f>
        <v/>
      </c>
      <c r="O599" s="95" t="str">
        <f>IF(IFERROR(IF(C599=C597,0,IF(E599=E598,0,IF(C599=$R$4,HLOOKUP($R$4,Ingreso!$AW$10:$BC$260,VLOOKUP(A599,Ingreso!AL:AM,2,FALSE),FALSE)/24,""))),"")=0,"",IFERROR(IF(C599=C597,0,IF(E599=E598,0,IF(C599=$R$4,HLOOKUP($R$4,Ingreso!$AW$10:$BC$260,VLOOKUP(A599,Ingreso!AL:AM,2,FALSE),FALSE)/24,""))),""))</f>
        <v/>
      </c>
      <c r="P599" s="90"/>
      <c r="V599"/>
      <c r="W599"/>
      <c r="X599"/>
      <c r="Y599"/>
      <c r="Z599"/>
      <c r="AA599"/>
      <c r="AB599"/>
      <c r="AC599"/>
      <c r="AD599"/>
    </row>
    <row r="600" spans="1:30">
      <c r="A600" s="65" t="str">
        <f>IFERROR(VLOOKUP('Informe Kelly'!A593,Base!A:B,2,FALSE),"")</f>
        <v>12.210.109-0</v>
      </c>
      <c r="B600" s="65" t="str">
        <f>IFERROR(VLOOKUP('Informe Kelly'!A593,Base!A:G,7,FALSE),"")</f>
        <v>ESCOBAR RIVERA ROBERTO FERNANDO</v>
      </c>
      <c r="C600" s="69" t="str">
        <f>IF(G600=$C$4,IF('Informe Kelly'!H593='Control informe Kelly'!$A$2,TEXT(((LEFT('Informe Kelly'!E593,2)*1)+1),"dd")&amp;"."&amp;MID('Informe Kelly'!E593,4,2)&amp;"."&amp;RIGHT('Informe Kelly'!E593,4),'Informe Kelly'!E593),'Informe Kelly'!E593)</f>
        <v>15.04.2011</v>
      </c>
      <c r="D600" s="69" t="str">
        <f>IF('Informe Kelly'!E593="","",'Informe Kelly'!E593)</f>
        <v>15.04.2011</v>
      </c>
      <c r="E600" s="72">
        <f t="shared" si="19"/>
        <v>302</v>
      </c>
      <c r="F600" s="72" t="str">
        <f>IFERROR(HLOOKUP(C600,Ingreso!$Q$8:$AD$9,2,FALSE),"v")</f>
        <v>Viernes</v>
      </c>
      <c r="G600" s="65" t="str">
        <f>IFERROR(VLOOKUP(A600,Ingreso!K:P,6,FALSE),"no esta ingresado")</f>
        <v>no esta ingresado</v>
      </c>
      <c r="H600" s="65">
        <f>IFERROR(IF('Informe Kelly'!H593=$A$2,'Informe Kelly'!F593,""),0)</f>
        <v>0.29725694444444445</v>
      </c>
      <c r="I600" s="65" t="str">
        <f>IFERROR(IF('Informe Kelly'!H593=$A$3,'Informe Kelly'!F593,""),0)</f>
        <v/>
      </c>
      <c r="J600" s="65" t="str">
        <f>IF(IFERROR(IF(E600=E599,0,(HLOOKUP(D600,Ingreso!$AN$10:$AT$260,VLOOKUP(A600,Ingreso!$AL$11:$AM$260,2,FALSE)))/24),0)=0,"",IFERROR(IF(E600=E599,0,(HLOOKUP(D600,Ingreso!$AN$10:$AT$260,VLOOKUP(A600,Ingreso!$AL$11:$AM$260,2,FALSE)))/24),0))</f>
        <v/>
      </c>
      <c r="K600" s="65" t="str">
        <f>IF(IFERROR(IF(E600=E599,0,(HLOOKUP(C600,Ingreso!$AW$10:$BC$260,VLOOKUP(A600,Ingreso!$AL$11:$AM$260,2,FALSE)))/24),0)=0,"",IFERROR(IF(E600=E599,0,(HLOOKUP(C600,Ingreso!$AW$10:$BC$260,VLOOKUP(A600,Ingreso!$AL$11:$AM$260,2,FALSE)))/24),0))</f>
        <v/>
      </c>
      <c r="L600" s="63">
        <f t="shared" si="18"/>
        <v>0</v>
      </c>
      <c r="M600" s="63" t="str">
        <f>IF(IFERROR(IF(C600=C598,0,IF(E600=E599,0,IF(C600=$R$2,HLOOKUP($R$2,Ingreso!$AW$10:$BC$260,VLOOKUP(A600,Ingreso!AL:AM,2,FALSE),FALSE)/24,""))),"")=0,"",IFERROR(IF(C600=C598,0,IF(E600=E599,0,IF(C600=$R$2,HLOOKUP($R$2,Ingreso!$AW$10:$BC$260,VLOOKUP(A600,Ingreso!AL:AM,2,FALSE),FALSE)/24,""))),""))</f>
        <v/>
      </c>
      <c r="N600" s="95" t="str">
        <f>IF(IFERROR(IF(C600=C598,0,IF(E600=E599,0,IF(C600=$R$3,HLOOKUP($R$3,Ingreso!$AW$10:$BC$260,VLOOKUP(A600,Ingreso!AL:AM,2,FALSE),FALSE)/24,""))),"")=0,"",IFERROR(IF(C600=C598,0,IF(E600=E599,0,IF(C600=$R$3,HLOOKUP($R$3,Ingreso!$AW$10:$BC$260,VLOOKUP(A600,Ingreso!AL:AM,2,FALSE),FALSE)/24,""))),""))</f>
        <v/>
      </c>
      <c r="O600" s="95" t="str">
        <f>IF(IFERROR(IF(C600=C598,0,IF(E600=E599,0,IF(C600=$R$4,HLOOKUP($R$4,Ingreso!$AW$10:$BC$260,VLOOKUP(A600,Ingreso!AL:AM,2,FALSE),FALSE)/24,""))),"")=0,"",IFERROR(IF(C600=C598,0,IF(E600=E599,0,IF(C600=$R$4,HLOOKUP($R$4,Ingreso!$AW$10:$BC$260,VLOOKUP(A600,Ingreso!AL:AM,2,FALSE),FALSE)/24,""))),""))</f>
        <v/>
      </c>
      <c r="P600" s="90"/>
      <c r="V600"/>
      <c r="W600"/>
      <c r="X600"/>
      <c r="Y600"/>
      <c r="Z600"/>
      <c r="AA600"/>
      <c r="AB600"/>
      <c r="AC600"/>
      <c r="AD600"/>
    </row>
    <row r="601" spans="1:30">
      <c r="A601" s="65" t="str">
        <f>IFERROR(VLOOKUP('Informe Kelly'!A594,Base!A:B,2,FALSE),"")</f>
        <v>12.210.109-0</v>
      </c>
      <c r="B601" s="65" t="str">
        <f>IFERROR(VLOOKUP('Informe Kelly'!A594,Base!A:G,7,FALSE),"")</f>
        <v>ESCOBAR RIVERA ROBERTO FERNANDO</v>
      </c>
      <c r="C601" s="69" t="str">
        <f>IF(G601=$C$4,IF('Informe Kelly'!H594='Control informe Kelly'!$A$2,TEXT(((LEFT('Informe Kelly'!E594,2)*1)+1),"dd")&amp;"."&amp;MID('Informe Kelly'!E594,4,2)&amp;"."&amp;RIGHT('Informe Kelly'!E594,4),'Informe Kelly'!E594),'Informe Kelly'!E594)</f>
        <v>16.04.2011</v>
      </c>
      <c r="D601" s="69" t="str">
        <f>IF('Informe Kelly'!E594="","",'Informe Kelly'!E594)</f>
        <v>16.04.2011</v>
      </c>
      <c r="E601" s="72">
        <f t="shared" si="19"/>
        <v>303</v>
      </c>
      <c r="F601" s="72" t="str">
        <f>IFERROR(HLOOKUP(C601,Ingreso!$Q$8:$AD$9,2,FALSE),"v")</f>
        <v>Sábado</v>
      </c>
      <c r="G601" s="65" t="str">
        <f>IFERROR(VLOOKUP(A601,Ingreso!K:P,6,FALSE),"no esta ingresado")</f>
        <v>no esta ingresado</v>
      </c>
      <c r="H601" s="65" t="str">
        <f>IFERROR(IF('Informe Kelly'!H594=$A$2,'Informe Kelly'!F594,""),0)</f>
        <v/>
      </c>
      <c r="I601" s="65">
        <f>IFERROR(IF('Informe Kelly'!H594=$A$3,'Informe Kelly'!F594,""),0)</f>
        <v>0.63731481481481478</v>
      </c>
      <c r="J601" s="65" t="str">
        <f>IF(IFERROR(IF(E601=E600,0,(HLOOKUP(D601,Ingreso!$AN$10:$AT$260,VLOOKUP(A601,Ingreso!$AL$11:$AM$260,2,FALSE)))/24),0)=0,"",IFERROR(IF(E601=E600,0,(HLOOKUP(D601,Ingreso!$AN$10:$AT$260,VLOOKUP(A601,Ingreso!$AL$11:$AM$260,2,FALSE)))/24),0))</f>
        <v/>
      </c>
      <c r="K601" s="65" t="str">
        <f>IF(IFERROR(IF(E601=E600,0,(HLOOKUP(C601,Ingreso!$AW$10:$BC$260,VLOOKUP(A601,Ingreso!$AL$11:$AM$260,2,FALSE)))/24),0)=0,"",IFERROR(IF(E601=E600,0,(HLOOKUP(C601,Ingreso!$AW$10:$BC$260,VLOOKUP(A601,Ingreso!$AL$11:$AM$260,2,FALSE)))/24),0))</f>
        <v/>
      </c>
      <c r="L601" s="63" t="str">
        <f t="shared" si="18"/>
        <v/>
      </c>
      <c r="M601" s="63" t="str">
        <f>IF(IFERROR(IF(C601=C599,0,IF(E601=E600,0,IF(C601=$R$2,HLOOKUP($R$2,Ingreso!$AW$10:$BC$260,VLOOKUP(A601,Ingreso!AL:AM,2,FALSE),FALSE)/24,""))),"")=0,"",IFERROR(IF(C601=C599,0,IF(E601=E600,0,IF(C601=$R$2,HLOOKUP($R$2,Ingreso!$AW$10:$BC$260,VLOOKUP(A601,Ingreso!AL:AM,2,FALSE),FALSE)/24,""))),""))</f>
        <v/>
      </c>
      <c r="N601" s="95" t="str">
        <f>IF(IFERROR(IF(C601=C599,0,IF(E601=E600,0,IF(C601=$R$3,HLOOKUP($R$3,Ingreso!$AW$10:$BC$260,VLOOKUP(A601,Ingreso!AL:AM,2,FALSE),FALSE)/24,""))),"")=0,"",IFERROR(IF(C601=C599,0,IF(E601=E600,0,IF(C601=$R$3,HLOOKUP($R$3,Ingreso!$AW$10:$BC$260,VLOOKUP(A601,Ingreso!AL:AM,2,FALSE),FALSE)/24,""))),""))</f>
        <v/>
      </c>
      <c r="O601" s="95" t="str">
        <f>IF(IFERROR(IF(C601=C599,0,IF(E601=E600,0,IF(C601=$R$4,HLOOKUP($R$4,Ingreso!$AW$10:$BC$260,VLOOKUP(A601,Ingreso!AL:AM,2,FALSE),FALSE)/24,""))),"")=0,"",IFERROR(IF(C601=C599,0,IF(E601=E600,0,IF(C601=$R$4,HLOOKUP($R$4,Ingreso!$AW$10:$BC$260,VLOOKUP(A601,Ingreso!AL:AM,2,FALSE),FALSE)/24,""))),""))</f>
        <v/>
      </c>
      <c r="P601" s="90"/>
      <c r="V601"/>
      <c r="W601"/>
      <c r="X601"/>
      <c r="Y601"/>
      <c r="Z601"/>
      <c r="AA601"/>
      <c r="AB601"/>
      <c r="AC601"/>
      <c r="AD601"/>
    </row>
    <row r="602" spans="1:30">
      <c r="A602" s="65" t="str">
        <f>IFERROR(VLOOKUP('Informe Kelly'!A595,Base!A:B,2,FALSE),"")</f>
        <v>12.210.109-0</v>
      </c>
      <c r="B602" s="65" t="str">
        <f>IFERROR(VLOOKUP('Informe Kelly'!A595,Base!A:G,7,FALSE),"")</f>
        <v>ESCOBAR RIVERA ROBERTO FERNANDO</v>
      </c>
      <c r="C602" s="69" t="str">
        <f>IF(G602=$C$4,IF('Informe Kelly'!H595='Control informe Kelly'!$A$2,TEXT(((LEFT('Informe Kelly'!E595,2)*1)+1),"dd")&amp;"."&amp;MID('Informe Kelly'!E595,4,2)&amp;"."&amp;RIGHT('Informe Kelly'!E595,4),'Informe Kelly'!E595),'Informe Kelly'!E595)</f>
        <v>16.04.2011</v>
      </c>
      <c r="D602" s="69" t="str">
        <f>IF('Informe Kelly'!E595="","",'Informe Kelly'!E595)</f>
        <v>16.04.2011</v>
      </c>
      <c r="E602" s="72">
        <f t="shared" si="19"/>
        <v>303</v>
      </c>
      <c r="F602" s="72" t="str">
        <f>IFERROR(HLOOKUP(C602,Ingreso!$Q$8:$AD$9,2,FALSE),"v")</f>
        <v>Sábado</v>
      </c>
      <c r="G602" s="65" t="str">
        <f>IFERROR(VLOOKUP(A602,Ingreso!K:P,6,FALSE),"no esta ingresado")</f>
        <v>no esta ingresado</v>
      </c>
      <c r="H602" s="65">
        <f>IFERROR(IF('Informe Kelly'!H595=$A$2,'Informe Kelly'!F595,""),0)</f>
        <v>0.29531250000000003</v>
      </c>
      <c r="I602" s="65" t="str">
        <f>IFERROR(IF('Informe Kelly'!H595=$A$3,'Informe Kelly'!F595,""),0)</f>
        <v/>
      </c>
      <c r="J602" s="65" t="str">
        <f>IF(IFERROR(IF(E602=E601,0,(HLOOKUP(D602,Ingreso!$AN$10:$AT$260,VLOOKUP(A602,Ingreso!$AL$11:$AM$260,2,FALSE)))/24),0)=0,"",IFERROR(IF(E602=E601,0,(HLOOKUP(D602,Ingreso!$AN$10:$AT$260,VLOOKUP(A602,Ingreso!$AL$11:$AM$260,2,FALSE)))/24),0))</f>
        <v/>
      </c>
      <c r="K602" s="65" t="str">
        <f>IF(IFERROR(IF(E602=E601,0,(HLOOKUP(C602,Ingreso!$AW$10:$BC$260,VLOOKUP(A602,Ingreso!$AL$11:$AM$260,2,FALSE)))/24),0)=0,"",IFERROR(IF(E602=E601,0,(HLOOKUP(C602,Ingreso!$AW$10:$BC$260,VLOOKUP(A602,Ingreso!$AL$11:$AM$260,2,FALSE)))/24),0))</f>
        <v/>
      </c>
      <c r="L602" s="63">
        <f t="shared" si="18"/>
        <v>0</v>
      </c>
      <c r="M602" s="63" t="str">
        <f>IF(IFERROR(IF(C602=C600,0,IF(E602=E601,0,IF(C602=$R$2,HLOOKUP($R$2,Ingreso!$AW$10:$BC$260,VLOOKUP(A602,Ingreso!AL:AM,2,FALSE),FALSE)/24,""))),"")=0,"",IFERROR(IF(C602=C600,0,IF(E602=E601,0,IF(C602=$R$2,HLOOKUP($R$2,Ingreso!$AW$10:$BC$260,VLOOKUP(A602,Ingreso!AL:AM,2,FALSE),FALSE)/24,""))),""))</f>
        <v/>
      </c>
      <c r="N602" s="95" t="str">
        <f>IF(IFERROR(IF(C602=C600,0,IF(E602=E601,0,IF(C602=$R$3,HLOOKUP($R$3,Ingreso!$AW$10:$BC$260,VLOOKUP(A602,Ingreso!AL:AM,2,FALSE),FALSE)/24,""))),"")=0,"",IFERROR(IF(C602=C600,0,IF(E602=E601,0,IF(C602=$R$3,HLOOKUP($R$3,Ingreso!$AW$10:$BC$260,VLOOKUP(A602,Ingreso!AL:AM,2,FALSE),FALSE)/24,""))),""))</f>
        <v/>
      </c>
      <c r="O602" s="95" t="str">
        <f>IF(IFERROR(IF(C602=C600,0,IF(E602=E601,0,IF(C602=$R$4,HLOOKUP($R$4,Ingreso!$AW$10:$BC$260,VLOOKUP(A602,Ingreso!AL:AM,2,FALSE),FALSE)/24,""))),"")=0,"",IFERROR(IF(C602=C600,0,IF(E602=E601,0,IF(C602=$R$4,HLOOKUP($R$4,Ingreso!$AW$10:$BC$260,VLOOKUP(A602,Ingreso!AL:AM,2,FALSE),FALSE)/24,""))),""))</f>
        <v/>
      </c>
      <c r="P602" s="90"/>
      <c r="V602"/>
      <c r="W602"/>
      <c r="X602"/>
      <c r="Y602"/>
      <c r="Z602"/>
      <c r="AA602"/>
      <c r="AB602"/>
      <c r="AC602"/>
      <c r="AD602"/>
    </row>
    <row r="603" spans="1:30">
      <c r="A603" s="65" t="str">
        <f>IFERROR(VLOOKUP('Informe Kelly'!A596,Base!A:B,2,FALSE),"")</f>
        <v>12.500.119-K</v>
      </c>
      <c r="B603" s="65" t="str">
        <f>IFERROR(VLOOKUP('Informe Kelly'!A596,Base!A:G,7,FALSE),"")</f>
        <v>SANCHEZ TORRES FREDDY</v>
      </c>
      <c r="C603" s="69" t="str">
        <f>IF(G603=$C$4,IF('Informe Kelly'!H596='Control informe Kelly'!$A$2,TEXT(((LEFT('Informe Kelly'!E596,2)*1)+1),"dd")&amp;"."&amp;MID('Informe Kelly'!E596,4,2)&amp;"."&amp;RIGHT('Informe Kelly'!E596,4),'Informe Kelly'!E596),'Informe Kelly'!E596)</f>
        <v>11.04.2011</v>
      </c>
      <c r="D603" s="69" t="str">
        <f>IF('Informe Kelly'!E596="","",'Informe Kelly'!E596)</f>
        <v>11.04.2011</v>
      </c>
      <c r="E603" s="72">
        <f t="shared" si="19"/>
        <v>304</v>
      </c>
      <c r="F603" s="72" t="str">
        <f>IFERROR(HLOOKUP(C603,Ingreso!$Q$8:$AD$9,2,FALSE),"v")</f>
        <v>Lunes</v>
      </c>
      <c r="G603" s="65" t="str">
        <f>IFERROR(VLOOKUP(A603,Ingreso!K:P,6,FALSE),"no esta ingresado")</f>
        <v>Admin</v>
      </c>
      <c r="H603" s="65" t="str">
        <f>IFERROR(IF('Informe Kelly'!H596=$A$2,'Informe Kelly'!F596,""),0)</f>
        <v/>
      </c>
      <c r="I603" s="65">
        <f>IFERROR(IF('Informe Kelly'!H596=$A$3,'Informe Kelly'!F596,""),0)</f>
        <v>0.72804398148148142</v>
      </c>
      <c r="J603" s="65" t="str">
        <f>IF(IFERROR(IF(E603=E602,0,(HLOOKUP(D603,Ingreso!$AN$10:$AT$260,VLOOKUP(A603,Ingreso!$AL$11:$AM$260,2,FALSE)))/24),0)=0,"",IFERROR(IF(E603=E602,0,(HLOOKUP(D603,Ingreso!$AN$10:$AT$260,VLOOKUP(A603,Ingreso!$AL$11:$AM$260,2,FALSE)))/24),0))</f>
        <v/>
      </c>
      <c r="K603" s="65" t="str">
        <f>IF(IFERROR(IF(E603=E602,0,(HLOOKUP(C603,Ingreso!$AW$10:$BC$260,VLOOKUP(A603,Ingreso!$AL$11:$AM$260,2,FALSE)))/24),0)=0,"",IFERROR(IF(E603=E602,0,(HLOOKUP(C603,Ingreso!$AW$10:$BC$260,VLOOKUP(A603,Ingreso!$AL$11:$AM$260,2,FALSE)))/24),0))</f>
        <v/>
      </c>
      <c r="L603" s="63">
        <f t="shared" si="18"/>
        <v>0.41666666666666669</v>
      </c>
      <c r="M603" s="63" t="str">
        <f>IF(IFERROR(IF(C603=C601,0,IF(E603=E602,0,IF(C603=$R$2,HLOOKUP($R$2,Ingreso!$AW$10:$BC$260,VLOOKUP(A603,Ingreso!AL:AM,2,FALSE),FALSE)/24,""))),"")=0,"",IFERROR(IF(C603=C601,0,IF(E603=E602,0,IF(C603=$R$2,HLOOKUP($R$2,Ingreso!$AW$10:$BC$260,VLOOKUP(A603,Ingreso!AL:AM,2,FALSE),FALSE)/24,""))),""))</f>
        <v/>
      </c>
      <c r="N603" s="95" t="str">
        <f>IF(IFERROR(IF(C603=C601,0,IF(E603=E602,0,IF(C603=$R$3,HLOOKUP($R$3,Ingreso!$AW$10:$BC$260,VLOOKUP(A603,Ingreso!AL:AM,2,FALSE),FALSE)/24,""))),"")=0,"",IFERROR(IF(C603=C601,0,IF(E603=E602,0,IF(C603=$R$3,HLOOKUP($R$3,Ingreso!$AW$10:$BC$260,VLOOKUP(A603,Ingreso!AL:AM,2,FALSE),FALSE)/24,""))),""))</f>
        <v/>
      </c>
      <c r="O603" s="95" t="str">
        <f>IF(IFERROR(IF(C603=C601,0,IF(E603=E602,0,IF(C603=$R$4,HLOOKUP($R$4,Ingreso!$AW$10:$BC$260,VLOOKUP(A603,Ingreso!AL:AM,2,FALSE),FALSE)/24,""))),"")=0,"",IFERROR(IF(C603=C601,0,IF(E603=E602,0,IF(C603=$R$4,HLOOKUP($R$4,Ingreso!$AW$10:$BC$260,VLOOKUP(A603,Ingreso!AL:AM,2,FALSE),FALSE)/24,""))),""))</f>
        <v/>
      </c>
      <c r="P603" s="90"/>
      <c r="V603"/>
      <c r="W603"/>
      <c r="X603"/>
      <c r="Y603"/>
      <c r="Z603"/>
      <c r="AA603"/>
      <c r="AB603"/>
      <c r="AC603"/>
      <c r="AD603"/>
    </row>
    <row r="604" spans="1:30">
      <c r="A604" s="65" t="str">
        <f>IFERROR(VLOOKUP('Informe Kelly'!A597,Base!A:B,2,FALSE),"")</f>
        <v>12.500.119-K</v>
      </c>
      <c r="B604" s="65" t="str">
        <f>IFERROR(VLOOKUP('Informe Kelly'!A597,Base!A:G,7,FALSE),"")</f>
        <v>SANCHEZ TORRES FREDDY</v>
      </c>
      <c r="C604" s="69" t="str">
        <f>IF(G604=$C$4,IF('Informe Kelly'!H597='Control informe Kelly'!$A$2,TEXT(((LEFT('Informe Kelly'!E597,2)*1)+1),"dd")&amp;"."&amp;MID('Informe Kelly'!E597,4,2)&amp;"."&amp;RIGHT('Informe Kelly'!E597,4),'Informe Kelly'!E597),'Informe Kelly'!E597)</f>
        <v>11.04.2011</v>
      </c>
      <c r="D604" s="69" t="str">
        <f>IF('Informe Kelly'!E597="","",'Informe Kelly'!E597)</f>
        <v>11.04.2011</v>
      </c>
      <c r="E604" s="72">
        <f t="shared" si="19"/>
        <v>304</v>
      </c>
      <c r="F604" s="72" t="str">
        <f>IFERROR(HLOOKUP(C604,Ingreso!$Q$8:$AD$9,2,FALSE),"v")</f>
        <v>Lunes</v>
      </c>
      <c r="G604" s="65" t="str">
        <f>IFERROR(VLOOKUP(A604,Ingreso!K:P,6,FALSE),"no esta ingresado")</f>
        <v>Admin</v>
      </c>
      <c r="H604" s="65">
        <f>IFERROR(IF('Informe Kelly'!H597=$A$2,'Informe Kelly'!F597,""),0)</f>
        <v>0.33761574074074074</v>
      </c>
      <c r="I604" s="65" t="str">
        <f>IFERROR(IF('Informe Kelly'!H597=$A$3,'Informe Kelly'!F597,""),0)</f>
        <v/>
      </c>
      <c r="J604" s="65" t="str">
        <f>IF(IFERROR(IF(E604=E603,0,(HLOOKUP(D604,Ingreso!$AN$10:$AT$260,VLOOKUP(A604,Ingreso!$AL$11:$AM$260,2,FALSE)))/24),0)=0,"",IFERROR(IF(E604=E603,0,(HLOOKUP(D604,Ingreso!$AN$10:$AT$260,VLOOKUP(A604,Ingreso!$AL$11:$AM$260,2,FALSE)))/24),0))</f>
        <v/>
      </c>
      <c r="K604" s="65" t="str">
        <f>IF(IFERROR(IF(E604=E603,0,(HLOOKUP(C604,Ingreso!$AW$10:$BC$260,VLOOKUP(A604,Ingreso!$AL$11:$AM$260,2,FALSE)))/24),0)=0,"",IFERROR(IF(E604=E603,0,(HLOOKUP(C604,Ingreso!$AW$10:$BC$260,VLOOKUP(A604,Ingreso!$AL$11:$AM$260,2,FALSE)))/24),0))</f>
        <v/>
      </c>
      <c r="L604" s="63">
        <f t="shared" si="18"/>
        <v>0</v>
      </c>
      <c r="M604" s="63" t="str">
        <f>IF(IFERROR(IF(C604=C602,0,IF(E604=E603,0,IF(C604=$R$2,HLOOKUP($R$2,Ingreso!$AW$10:$BC$260,VLOOKUP(A604,Ingreso!AL:AM,2,FALSE),FALSE)/24,""))),"")=0,"",IFERROR(IF(C604=C602,0,IF(E604=E603,0,IF(C604=$R$2,HLOOKUP($R$2,Ingreso!$AW$10:$BC$260,VLOOKUP(A604,Ingreso!AL:AM,2,FALSE),FALSE)/24,""))),""))</f>
        <v/>
      </c>
      <c r="N604" s="95" t="str">
        <f>IF(IFERROR(IF(C604=C602,0,IF(E604=E603,0,IF(C604=$R$3,HLOOKUP($R$3,Ingreso!$AW$10:$BC$260,VLOOKUP(A604,Ingreso!AL:AM,2,FALSE),FALSE)/24,""))),"")=0,"",IFERROR(IF(C604=C602,0,IF(E604=E603,0,IF(C604=$R$3,HLOOKUP($R$3,Ingreso!$AW$10:$BC$260,VLOOKUP(A604,Ingreso!AL:AM,2,FALSE),FALSE)/24,""))),""))</f>
        <v/>
      </c>
      <c r="O604" s="95" t="str">
        <f>IF(IFERROR(IF(C604=C602,0,IF(E604=E603,0,IF(C604=$R$4,HLOOKUP($R$4,Ingreso!$AW$10:$BC$260,VLOOKUP(A604,Ingreso!AL:AM,2,FALSE),FALSE)/24,""))),"")=0,"",IFERROR(IF(C604=C602,0,IF(E604=E603,0,IF(C604=$R$4,HLOOKUP($R$4,Ingreso!$AW$10:$BC$260,VLOOKUP(A604,Ingreso!AL:AM,2,FALSE),FALSE)/24,""))),""))</f>
        <v/>
      </c>
      <c r="P604" s="90"/>
      <c r="V604"/>
      <c r="W604"/>
      <c r="X604"/>
      <c r="Y604"/>
      <c r="Z604"/>
      <c r="AA604"/>
      <c r="AB604"/>
      <c r="AC604"/>
      <c r="AD604"/>
    </row>
    <row r="605" spans="1:30">
      <c r="A605" s="65" t="str">
        <f>IFERROR(VLOOKUP('Informe Kelly'!A598,Base!A:B,2,FALSE),"")</f>
        <v>12.500.119-K</v>
      </c>
      <c r="B605" s="65" t="str">
        <f>IFERROR(VLOOKUP('Informe Kelly'!A598,Base!A:G,7,FALSE),"")</f>
        <v>SANCHEZ TORRES FREDDY</v>
      </c>
      <c r="C605" s="69" t="str">
        <f>IF(G605=$C$4,IF('Informe Kelly'!H598='Control informe Kelly'!$A$2,TEXT(((LEFT('Informe Kelly'!E598,2)*1)+1),"dd")&amp;"."&amp;MID('Informe Kelly'!E598,4,2)&amp;"."&amp;RIGHT('Informe Kelly'!E598,4),'Informe Kelly'!E598),'Informe Kelly'!E598)</f>
        <v>12.04.2011</v>
      </c>
      <c r="D605" s="69" t="str">
        <f>IF('Informe Kelly'!E598="","",'Informe Kelly'!E598)</f>
        <v>12.04.2011</v>
      </c>
      <c r="E605" s="72">
        <f t="shared" si="19"/>
        <v>305</v>
      </c>
      <c r="F605" s="72" t="str">
        <f>IFERROR(HLOOKUP(C605,Ingreso!$Q$8:$AD$9,2,FALSE),"v")</f>
        <v>Martes</v>
      </c>
      <c r="G605" s="65" t="str">
        <f>IFERROR(VLOOKUP(A605,Ingreso!K:P,6,FALSE),"no esta ingresado")</f>
        <v>Admin</v>
      </c>
      <c r="H605" s="65" t="str">
        <f>IFERROR(IF('Informe Kelly'!H598=$A$2,'Informe Kelly'!F598,""),0)</f>
        <v/>
      </c>
      <c r="I605" s="65">
        <f>IFERROR(IF('Informe Kelly'!H598=$A$3,'Informe Kelly'!F598,""),0)</f>
        <v>0.47752314814814811</v>
      </c>
      <c r="J605" s="65" t="str">
        <f>IF(IFERROR(IF(E605=E604,0,(HLOOKUP(D605,Ingreso!$AN$10:$AT$260,VLOOKUP(A605,Ingreso!$AL$11:$AM$260,2,FALSE)))/24),0)=0,"",IFERROR(IF(E605=E604,0,(HLOOKUP(D605,Ingreso!$AN$10:$AT$260,VLOOKUP(A605,Ingreso!$AL$11:$AM$260,2,FALSE)))/24),0))</f>
        <v/>
      </c>
      <c r="K605" s="65" t="str">
        <f>IF(IFERROR(IF(E605=E604,0,(HLOOKUP(C605,Ingreso!$AW$10:$BC$260,VLOOKUP(A605,Ingreso!$AL$11:$AM$260,2,FALSE)))/24),0)=0,"",IFERROR(IF(E605=E604,0,(HLOOKUP(C605,Ingreso!$AW$10:$BC$260,VLOOKUP(A605,Ingreso!$AL$11:$AM$260,2,FALSE)))/24),0))</f>
        <v/>
      </c>
      <c r="L605" s="63">
        <f t="shared" si="18"/>
        <v>0.41666666666666669</v>
      </c>
      <c r="M605" s="63" t="str">
        <f>IF(IFERROR(IF(C605=C603,0,IF(E605=E604,0,IF(C605=$R$2,HLOOKUP($R$2,Ingreso!$AW$10:$BC$260,VLOOKUP(A605,Ingreso!AL:AM,2,FALSE),FALSE)/24,""))),"")=0,"",IFERROR(IF(C605=C603,0,IF(E605=E604,0,IF(C605=$R$2,HLOOKUP($R$2,Ingreso!$AW$10:$BC$260,VLOOKUP(A605,Ingreso!AL:AM,2,FALSE),FALSE)/24,""))),""))</f>
        <v/>
      </c>
      <c r="N605" s="95" t="str">
        <f>IF(IFERROR(IF(C605=C603,0,IF(E605=E604,0,IF(C605=$R$3,HLOOKUP($R$3,Ingreso!$AW$10:$BC$260,VLOOKUP(A605,Ingreso!AL:AM,2,FALSE),FALSE)/24,""))),"")=0,"",IFERROR(IF(C605=C603,0,IF(E605=E604,0,IF(C605=$R$3,HLOOKUP($R$3,Ingreso!$AW$10:$BC$260,VLOOKUP(A605,Ingreso!AL:AM,2,FALSE),FALSE)/24,""))),""))</f>
        <v/>
      </c>
      <c r="O605" s="95" t="str">
        <f>IF(IFERROR(IF(C605=C603,0,IF(E605=E604,0,IF(C605=$R$4,HLOOKUP($R$4,Ingreso!$AW$10:$BC$260,VLOOKUP(A605,Ingreso!AL:AM,2,FALSE),FALSE)/24,""))),"")=0,"",IFERROR(IF(C605=C603,0,IF(E605=E604,0,IF(C605=$R$4,HLOOKUP($R$4,Ingreso!$AW$10:$BC$260,VLOOKUP(A605,Ingreso!AL:AM,2,FALSE),FALSE)/24,""))),""))</f>
        <v/>
      </c>
      <c r="P605" s="90"/>
      <c r="V605"/>
      <c r="W605"/>
      <c r="X605"/>
      <c r="Y605"/>
      <c r="Z605"/>
      <c r="AA605"/>
      <c r="AB605"/>
      <c r="AC605"/>
      <c r="AD605"/>
    </row>
    <row r="606" spans="1:30">
      <c r="A606" s="65" t="str">
        <f>IFERROR(VLOOKUP('Informe Kelly'!A599,Base!A:B,2,FALSE),"")</f>
        <v>12.500.119-K</v>
      </c>
      <c r="B606" s="65" t="str">
        <f>IFERROR(VLOOKUP('Informe Kelly'!A599,Base!A:G,7,FALSE),"")</f>
        <v>SANCHEZ TORRES FREDDY</v>
      </c>
      <c r="C606" s="69" t="str">
        <f>IF(G606=$C$4,IF('Informe Kelly'!H599='Control informe Kelly'!$A$2,TEXT(((LEFT('Informe Kelly'!E599,2)*1)+1),"dd")&amp;"."&amp;MID('Informe Kelly'!E599,4,2)&amp;"."&amp;RIGHT('Informe Kelly'!E599,4),'Informe Kelly'!E599),'Informe Kelly'!E599)</f>
        <v>12.04.2011</v>
      </c>
      <c r="D606" s="69" t="str">
        <f>IF('Informe Kelly'!E599="","",'Informe Kelly'!E599)</f>
        <v>12.04.2011</v>
      </c>
      <c r="E606" s="72">
        <f t="shared" si="19"/>
        <v>305</v>
      </c>
      <c r="F606" s="72" t="str">
        <f>IFERROR(HLOOKUP(C606,Ingreso!$Q$8:$AD$9,2,FALSE),"v")</f>
        <v>Martes</v>
      </c>
      <c r="G606" s="65" t="str">
        <f>IFERROR(VLOOKUP(A606,Ingreso!K:P,6,FALSE),"no esta ingresado")</f>
        <v>Admin</v>
      </c>
      <c r="H606" s="65">
        <f>IFERROR(IF('Informe Kelly'!H599=$A$2,'Informe Kelly'!F599,""),0)</f>
        <v>0.29636574074074074</v>
      </c>
      <c r="I606" s="65" t="str">
        <f>IFERROR(IF('Informe Kelly'!H599=$A$3,'Informe Kelly'!F599,""),0)</f>
        <v/>
      </c>
      <c r="J606" s="65" t="str">
        <f>IF(IFERROR(IF(E606=E605,0,(HLOOKUP(D606,Ingreso!$AN$10:$AT$260,VLOOKUP(A606,Ingreso!$AL$11:$AM$260,2,FALSE)))/24),0)=0,"",IFERROR(IF(E606=E605,0,(HLOOKUP(D606,Ingreso!$AN$10:$AT$260,VLOOKUP(A606,Ingreso!$AL$11:$AM$260,2,FALSE)))/24),0))</f>
        <v/>
      </c>
      <c r="K606" s="65" t="str">
        <f>IF(IFERROR(IF(E606=E605,0,(HLOOKUP(C606,Ingreso!$AW$10:$BC$260,VLOOKUP(A606,Ingreso!$AL$11:$AM$260,2,FALSE)))/24),0)=0,"",IFERROR(IF(E606=E605,0,(HLOOKUP(C606,Ingreso!$AW$10:$BC$260,VLOOKUP(A606,Ingreso!$AL$11:$AM$260,2,FALSE)))/24),0))</f>
        <v/>
      </c>
      <c r="L606" s="63">
        <f t="shared" si="18"/>
        <v>0</v>
      </c>
      <c r="M606" s="63" t="str">
        <f>IF(IFERROR(IF(C606=C604,0,IF(E606=E605,0,IF(C606=$R$2,HLOOKUP($R$2,Ingreso!$AW$10:$BC$260,VLOOKUP(A606,Ingreso!AL:AM,2,FALSE),FALSE)/24,""))),"")=0,"",IFERROR(IF(C606=C604,0,IF(E606=E605,0,IF(C606=$R$2,HLOOKUP($R$2,Ingreso!$AW$10:$BC$260,VLOOKUP(A606,Ingreso!AL:AM,2,FALSE),FALSE)/24,""))),""))</f>
        <v/>
      </c>
      <c r="N606" s="95" t="str">
        <f>IF(IFERROR(IF(C606=C604,0,IF(E606=E605,0,IF(C606=$R$3,HLOOKUP($R$3,Ingreso!$AW$10:$BC$260,VLOOKUP(A606,Ingreso!AL:AM,2,FALSE),FALSE)/24,""))),"")=0,"",IFERROR(IF(C606=C604,0,IF(E606=E605,0,IF(C606=$R$3,HLOOKUP($R$3,Ingreso!$AW$10:$BC$260,VLOOKUP(A606,Ingreso!AL:AM,2,FALSE),FALSE)/24,""))),""))</f>
        <v/>
      </c>
      <c r="O606" s="95" t="str">
        <f>IF(IFERROR(IF(C606=C604,0,IF(E606=E605,0,IF(C606=$R$4,HLOOKUP($R$4,Ingreso!$AW$10:$BC$260,VLOOKUP(A606,Ingreso!AL:AM,2,FALSE),FALSE)/24,""))),"")=0,"",IFERROR(IF(C606=C604,0,IF(E606=E605,0,IF(C606=$R$4,HLOOKUP($R$4,Ingreso!$AW$10:$BC$260,VLOOKUP(A606,Ingreso!AL:AM,2,FALSE),FALSE)/24,""))),""))</f>
        <v/>
      </c>
      <c r="P606" s="90"/>
      <c r="V606"/>
      <c r="W606"/>
      <c r="X606"/>
      <c r="Y606"/>
      <c r="Z606"/>
      <c r="AA606"/>
      <c r="AB606"/>
      <c r="AC606"/>
      <c r="AD606"/>
    </row>
    <row r="607" spans="1:30">
      <c r="A607" s="65" t="str">
        <f>IFERROR(VLOOKUP('Informe Kelly'!A600,Base!A:B,2,FALSE),"")</f>
        <v>12.500.119-K</v>
      </c>
      <c r="B607" s="65" t="str">
        <f>IFERROR(VLOOKUP('Informe Kelly'!A600,Base!A:G,7,FALSE),"")</f>
        <v>SANCHEZ TORRES FREDDY</v>
      </c>
      <c r="C607" s="69" t="str">
        <f>IF(G607=$C$4,IF('Informe Kelly'!H600='Control informe Kelly'!$A$2,TEXT(((LEFT('Informe Kelly'!E600,2)*1)+1),"dd")&amp;"."&amp;MID('Informe Kelly'!E600,4,2)&amp;"."&amp;RIGHT('Informe Kelly'!E600,4),'Informe Kelly'!E600),'Informe Kelly'!E600)</f>
        <v>13.04.2011</v>
      </c>
      <c r="D607" s="69" t="str">
        <f>IF('Informe Kelly'!E600="","",'Informe Kelly'!E600)</f>
        <v>13.04.2011</v>
      </c>
      <c r="E607" s="72">
        <f t="shared" si="19"/>
        <v>306</v>
      </c>
      <c r="F607" s="72" t="str">
        <f>IFERROR(HLOOKUP(C607,Ingreso!$Q$8:$AD$9,2,FALSE),"v")</f>
        <v>Miércoles</v>
      </c>
      <c r="G607" s="65" t="str">
        <f>IFERROR(VLOOKUP(A607,Ingreso!K:P,6,FALSE),"no esta ingresado")</f>
        <v>Admin</v>
      </c>
      <c r="H607" s="65" t="str">
        <f>IFERROR(IF('Informe Kelly'!H600=$A$2,'Informe Kelly'!F600,""),0)</f>
        <v/>
      </c>
      <c r="I607" s="65">
        <f>IFERROR(IF('Informe Kelly'!H600=$A$3,'Informe Kelly'!F600,""),0)</f>
        <v>0.73534722222222226</v>
      </c>
      <c r="J607" s="65" t="str">
        <f>IF(IFERROR(IF(E607=E606,0,(HLOOKUP(D607,Ingreso!$AN$10:$AT$260,VLOOKUP(A607,Ingreso!$AL$11:$AM$260,2,FALSE)))/24),0)=0,"",IFERROR(IF(E607=E606,0,(HLOOKUP(D607,Ingreso!$AN$10:$AT$260,VLOOKUP(A607,Ingreso!$AL$11:$AM$260,2,FALSE)))/24),0))</f>
        <v/>
      </c>
      <c r="K607" s="65" t="str">
        <f>IF(IFERROR(IF(E607=E606,0,(HLOOKUP(C607,Ingreso!$AW$10:$BC$260,VLOOKUP(A607,Ingreso!$AL$11:$AM$260,2,FALSE)))/24),0)=0,"",IFERROR(IF(E607=E606,0,(HLOOKUP(C607,Ingreso!$AW$10:$BC$260,VLOOKUP(A607,Ingreso!$AL$11:$AM$260,2,FALSE)))/24),0))</f>
        <v/>
      </c>
      <c r="L607" s="63">
        <f t="shared" si="18"/>
        <v>0.41666666666666669</v>
      </c>
      <c r="M607" s="63" t="str">
        <f>IF(IFERROR(IF(C607=C605,0,IF(E607=E606,0,IF(C607=$R$2,HLOOKUP($R$2,Ingreso!$AW$10:$BC$260,VLOOKUP(A607,Ingreso!AL:AM,2,FALSE),FALSE)/24,""))),"")=0,"",IFERROR(IF(C607=C605,0,IF(E607=E606,0,IF(C607=$R$2,HLOOKUP($R$2,Ingreso!$AW$10:$BC$260,VLOOKUP(A607,Ingreso!AL:AM,2,FALSE),FALSE)/24,""))),""))</f>
        <v/>
      </c>
      <c r="N607" s="95" t="str">
        <f>IF(IFERROR(IF(C607=C605,0,IF(E607=E606,0,IF(C607=$R$3,HLOOKUP($R$3,Ingreso!$AW$10:$BC$260,VLOOKUP(A607,Ingreso!AL:AM,2,FALSE),FALSE)/24,""))),"")=0,"",IFERROR(IF(C607=C605,0,IF(E607=E606,0,IF(C607=$R$3,HLOOKUP($R$3,Ingreso!$AW$10:$BC$260,VLOOKUP(A607,Ingreso!AL:AM,2,FALSE),FALSE)/24,""))),""))</f>
        <v/>
      </c>
      <c r="O607" s="95" t="str">
        <f>IF(IFERROR(IF(C607=C605,0,IF(E607=E606,0,IF(C607=$R$4,HLOOKUP($R$4,Ingreso!$AW$10:$BC$260,VLOOKUP(A607,Ingreso!AL:AM,2,FALSE),FALSE)/24,""))),"")=0,"",IFERROR(IF(C607=C605,0,IF(E607=E606,0,IF(C607=$R$4,HLOOKUP($R$4,Ingreso!$AW$10:$BC$260,VLOOKUP(A607,Ingreso!AL:AM,2,FALSE),FALSE)/24,""))),""))</f>
        <v/>
      </c>
      <c r="P607" s="90"/>
      <c r="V607"/>
      <c r="W607"/>
      <c r="X607"/>
      <c r="Y607"/>
      <c r="Z607"/>
      <c r="AA607"/>
      <c r="AB607"/>
      <c r="AC607"/>
      <c r="AD607"/>
    </row>
    <row r="608" spans="1:30">
      <c r="A608" s="65" t="str">
        <f>IFERROR(VLOOKUP('Informe Kelly'!A601,Base!A:B,2,FALSE),"")</f>
        <v>12.500.119-K</v>
      </c>
      <c r="B608" s="65" t="str">
        <f>IFERROR(VLOOKUP('Informe Kelly'!A601,Base!A:G,7,FALSE),"")</f>
        <v>SANCHEZ TORRES FREDDY</v>
      </c>
      <c r="C608" s="69" t="str">
        <f>IF(G608=$C$4,IF('Informe Kelly'!H601='Control informe Kelly'!$A$2,TEXT(((LEFT('Informe Kelly'!E601,2)*1)+1),"dd")&amp;"."&amp;MID('Informe Kelly'!E601,4,2)&amp;"."&amp;RIGHT('Informe Kelly'!E601,4),'Informe Kelly'!E601),'Informe Kelly'!E601)</f>
        <v>13.04.2011</v>
      </c>
      <c r="D608" s="69" t="str">
        <f>IF('Informe Kelly'!E601="","",'Informe Kelly'!E601)</f>
        <v>13.04.2011</v>
      </c>
      <c r="E608" s="72">
        <f t="shared" si="19"/>
        <v>306</v>
      </c>
      <c r="F608" s="72" t="str">
        <f>IFERROR(HLOOKUP(C608,Ingreso!$Q$8:$AD$9,2,FALSE),"v")</f>
        <v>Miércoles</v>
      </c>
      <c r="G608" s="65" t="str">
        <f>IFERROR(VLOOKUP(A608,Ingreso!K:P,6,FALSE),"no esta ingresado")</f>
        <v>Admin</v>
      </c>
      <c r="H608" s="65">
        <f>IFERROR(IF('Informe Kelly'!H601=$A$2,'Informe Kelly'!F601,""),0)</f>
        <v>0.34084490740740742</v>
      </c>
      <c r="I608" s="65" t="str">
        <f>IFERROR(IF('Informe Kelly'!H601=$A$3,'Informe Kelly'!F601,""),0)</f>
        <v/>
      </c>
      <c r="J608" s="65" t="str">
        <f>IF(IFERROR(IF(E608=E607,0,(HLOOKUP(D608,Ingreso!$AN$10:$AT$260,VLOOKUP(A608,Ingreso!$AL$11:$AM$260,2,FALSE)))/24),0)=0,"",IFERROR(IF(E608=E607,0,(HLOOKUP(D608,Ingreso!$AN$10:$AT$260,VLOOKUP(A608,Ingreso!$AL$11:$AM$260,2,FALSE)))/24),0))</f>
        <v/>
      </c>
      <c r="K608" s="65" t="str">
        <f>IF(IFERROR(IF(E608=E607,0,(HLOOKUP(C608,Ingreso!$AW$10:$BC$260,VLOOKUP(A608,Ingreso!$AL$11:$AM$260,2,FALSE)))/24),0)=0,"",IFERROR(IF(E608=E607,0,(HLOOKUP(C608,Ingreso!$AW$10:$BC$260,VLOOKUP(A608,Ingreso!$AL$11:$AM$260,2,FALSE)))/24),0))</f>
        <v/>
      </c>
      <c r="L608" s="63">
        <f t="shared" si="18"/>
        <v>0</v>
      </c>
      <c r="M608" s="63" t="str">
        <f>IF(IFERROR(IF(C608=C606,0,IF(E608=E607,0,IF(C608=$R$2,HLOOKUP($R$2,Ingreso!$AW$10:$BC$260,VLOOKUP(A608,Ingreso!AL:AM,2,FALSE),FALSE)/24,""))),"")=0,"",IFERROR(IF(C608=C606,0,IF(E608=E607,0,IF(C608=$R$2,HLOOKUP($R$2,Ingreso!$AW$10:$BC$260,VLOOKUP(A608,Ingreso!AL:AM,2,FALSE),FALSE)/24,""))),""))</f>
        <v/>
      </c>
      <c r="N608" s="95" t="str">
        <f>IF(IFERROR(IF(C608=C606,0,IF(E608=E607,0,IF(C608=$R$3,HLOOKUP($R$3,Ingreso!$AW$10:$BC$260,VLOOKUP(A608,Ingreso!AL:AM,2,FALSE),FALSE)/24,""))),"")=0,"",IFERROR(IF(C608=C606,0,IF(E608=E607,0,IF(C608=$R$3,HLOOKUP($R$3,Ingreso!$AW$10:$BC$260,VLOOKUP(A608,Ingreso!AL:AM,2,FALSE),FALSE)/24,""))),""))</f>
        <v/>
      </c>
      <c r="O608" s="95" t="str">
        <f>IF(IFERROR(IF(C608=C606,0,IF(E608=E607,0,IF(C608=$R$4,HLOOKUP($R$4,Ingreso!$AW$10:$BC$260,VLOOKUP(A608,Ingreso!AL:AM,2,FALSE),FALSE)/24,""))),"")=0,"",IFERROR(IF(C608=C606,0,IF(E608=E607,0,IF(C608=$R$4,HLOOKUP($R$4,Ingreso!$AW$10:$BC$260,VLOOKUP(A608,Ingreso!AL:AM,2,FALSE),FALSE)/24,""))),""))</f>
        <v/>
      </c>
      <c r="P608" s="90"/>
      <c r="V608"/>
      <c r="W608"/>
      <c r="X608"/>
      <c r="Y608"/>
      <c r="Z608"/>
      <c r="AA608"/>
      <c r="AB608"/>
      <c r="AC608"/>
      <c r="AD608"/>
    </row>
    <row r="609" spans="1:30">
      <c r="A609" s="65" t="str">
        <f>IFERROR(VLOOKUP('Informe Kelly'!A602,Base!A:B,2,FALSE),"")</f>
        <v>12.500.119-K</v>
      </c>
      <c r="B609" s="65" t="str">
        <f>IFERROR(VLOOKUP('Informe Kelly'!A602,Base!A:G,7,FALSE),"")</f>
        <v>SANCHEZ TORRES FREDDY</v>
      </c>
      <c r="C609" s="69" t="str">
        <f>IF(G609=$C$4,IF('Informe Kelly'!H602='Control informe Kelly'!$A$2,TEXT(((LEFT('Informe Kelly'!E602,2)*1)+1),"dd")&amp;"."&amp;MID('Informe Kelly'!E602,4,2)&amp;"."&amp;RIGHT('Informe Kelly'!E602,4),'Informe Kelly'!E602),'Informe Kelly'!E602)</f>
        <v>14.04.2011</v>
      </c>
      <c r="D609" s="69" t="str">
        <f>IF('Informe Kelly'!E602="","",'Informe Kelly'!E602)</f>
        <v>14.04.2011</v>
      </c>
      <c r="E609" s="72">
        <f t="shared" si="19"/>
        <v>307</v>
      </c>
      <c r="F609" s="72" t="str">
        <f>IFERROR(HLOOKUP(C609,Ingreso!$Q$8:$AD$9,2,FALSE),"v")</f>
        <v>Jueves</v>
      </c>
      <c r="G609" s="65" t="str">
        <f>IFERROR(VLOOKUP(A609,Ingreso!K:P,6,FALSE),"no esta ingresado")</f>
        <v>Admin</v>
      </c>
      <c r="H609" s="65" t="str">
        <f>IFERROR(IF('Informe Kelly'!H602=$A$2,'Informe Kelly'!F602,""),0)</f>
        <v/>
      </c>
      <c r="I609" s="65">
        <f>IFERROR(IF('Informe Kelly'!H602=$A$3,'Informe Kelly'!F602,""),0)</f>
        <v>0.7318634259259259</v>
      </c>
      <c r="J609" s="65" t="str">
        <f>IF(IFERROR(IF(E609=E608,0,(HLOOKUP(D609,Ingreso!$AN$10:$AT$260,VLOOKUP(A609,Ingreso!$AL$11:$AM$260,2,FALSE)))/24),0)=0,"",IFERROR(IF(E609=E608,0,(HLOOKUP(D609,Ingreso!$AN$10:$AT$260,VLOOKUP(A609,Ingreso!$AL$11:$AM$260,2,FALSE)))/24),0))</f>
        <v/>
      </c>
      <c r="K609" s="65" t="str">
        <f>IF(IFERROR(IF(E609=E608,0,(HLOOKUP(C609,Ingreso!$AW$10:$BC$260,VLOOKUP(A609,Ingreso!$AL$11:$AM$260,2,FALSE)))/24),0)=0,"",IFERROR(IF(E609=E608,0,(HLOOKUP(C609,Ingreso!$AW$10:$BC$260,VLOOKUP(A609,Ingreso!$AL$11:$AM$260,2,FALSE)))/24),0))</f>
        <v/>
      </c>
      <c r="L609" s="63">
        <f t="shared" si="18"/>
        <v>0.41666666666666669</v>
      </c>
      <c r="M609" s="63" t="str">
        <f>IF(IFERROR(IF(C609=C607,0,IF(E609=E608,0,IF(C609=$R$2,HLOOKUP($R$2,Ingreso!$AW$10:$BC$260,VLOOKUP(A609,Ingreso!AL:AM,2,FALSE),FALSE)/24,""))),"")=0,"",IFERROR(IF(C609=C607,0,IF(E609=E608,0,IF(C609=$R$2,HLOOKUP($R$2,Ingreso!$AW$10:$BC$260,VLOOKUP(A609,Ingreso!AL:AM,2,FALSE),FALSE)/24,""))),""))</f>
        <v/>
      </c>
      <c r="N609" s="95" t="str">
        <f>IF(IFERROR(IF(C609=C607,0,IF(E609=E608,0,IF(C609=$R$3,HLOOKUP($R$3,Ingreso!$AW$10:$BC$260,VLOOKUP(A609,Ingreso!AL:AM,2,FALSE),FALSE)/24,""))),"")=0,"",IFERROR(IF(C609=C607,0,IF(E609=E608,0,IF(C609=$R$3,HLOOKUP($R$3,Ingreso!$AW$10:$BC$260,VLOOKUP(A609,Ingreso!AL:AM,2,FALSE),FALSE)/24,""))),""))</f>
        <v/>
      </c>
      <c r="O609" s="95" t="str">
        <f>IF(IFERROR(IF(C609=C607,0,IF(E609=E608,0,IF(C609=$R$4,HLOOKUP($R$4,Ingreso!$AW$10:$BC$260,VLOOKUP(A609,Ingreso!AL:AM,2,FALSE),FALSE)/24,""))),"")=0,"",IFERROR(IF(C609=C607,0,IF(E609=E608,0,IF(C609=$R$4,HLOOKUP($R$4,Ingreso!$AW$10:$BC$260,VLOOKUP(A609,Ingreso!AL:AM,2,FALSE),FALSE)/24,""))),""))</f>
        <v/>
      </c>
      <c r="P609" s="90"/>
      <c r="V609"/>
      <c r="W609"/>
      <c r="X609"/>
      <c r="Y609"/>
      <c r="Z609"/>
      <c r="AA609"/>
      <c r="AB609"/>
      <c r="AC609"/>
      <c r="AD609"/>
    </row>
    <row r="610" spans="1:30">
      <c r="A610" s="65" t="str">
        <f>IFERROR(VLOOKUP('Informe Kelly'!A603,Base!A:B,2,FALSE),"")</f>
        <v>12.500.119-K</v>
      </c>
      <c r="B610" s="65" t="str">
        <f>IFERROR(VLOOKUP('Informe Kelly'!A603,Base!A:G,7,FALSE),"")</f>
        <v>SANCHEZ TORRES FREDDY</v>
      </c>
      <c r="C610" s="69" t="str">
        <f>IF(G610=$C$4,IF('Informe Kelly'!H603='Control informe Kelly'!$A$2,TEXT(((LEFT('Informe Kelly'!E603,2)*1)+1),"dd")&amp;"."&amp;MID('Informe Kelly'!E603,4,2)&amp;"."&amp;RIGHT('Informe Kelly'!E603,4),'Informe Kelly'!E603),'Informe Kelly'!E603)</f>
        <v>14.04.2011</v>
      </c>
      <c r="D610" s="69" t="str">
        <f>IF('Informe Kelly'!E603="","",'Informe Kelly'!E603)</f>
        <v>14.04.2011</v>
      </c>
      <c r="E610" s="72">
        <f t="shared" si="19"/>
        <v>307</v>
      </c>
      <c r="F610" s="72" t="str">
        <f>IFERROR(HLOOKUP(C610,Ingreso!$Q$8:$AD$9,2,FALSE),"v")</f>
        <v>Jueves</v>
      </c>
      <c r="G610" s="65" t="str">
        <f>IFERROR(VLOOKUP(A610,Ingreso!K:P,6,FALSE),"no esta ingresado")</f>
        <v>Admin</v>
      </c>
      <c r="H610" s="65">
        <f>IFERROR(IF('Informe Kelly'!H603=$A$2,'Informe Kelly'!F603,""),0)</f>
        <v>0.29609953703703701</v>
      </c>
      <c r="I610" s="65" t="str">
        <f>IFERROR(IF('Informe Kelly'!H603=$A$3,'Informe Kelly'!F603,""),0)</f>
        <v/>
      </c>
      <c r="J610" s="65" t="str">
        <f>IF(IFERROR(IF(E610=E609,0,(HLOOKUP(D610,Ingreso!$AN$10:$AT$260,VLOOKUP(A610,Ingreso!$AL$11:$AM$260,2,FALSE)))/24),0)=0,"",IFERROR(IF(E610=E609,0,(HLOOKUP(D610,Ingreso!$AN$10:$AT$260,VLOOKUP(A610,Ingreso!$AL$11:$AM$260,2,FALSE)))/24),0))</f>
        <v/>
      </c>
      <c r="K610" s="65" t="str">
        <f>IF(IFERROR(IF(E610=E609,0,(HLOOKUP(C610,Ingreso!$AW$10:$BC$260,VLOOKUP(A610,Ingreso!$AL$11:$AM$260,2,FALSE)))/24),0)=0,"",IFERROR(IF(E610=E609,0,(HLOOKUP(C610,Ingreso!$AW$10:$BC$260,VLOOKUP(A610,Ingreso!$AL$11:$AM$260,2,FALSE)))/24),0))</f>
        <v/>
      </c>
      <c r="L610" s="63">
        <f t="shared" si="18"/>
        <v>0</v>
      </c>
      <c r="M610" s="63" t="str">
        <f>IF(IFERROR(IF(C610=C608,0,IF(E610=E609,0,IF(C610=$R$2,HLOOKUP($R$2,Ingreso!$AW$10:$BC$260,VLOOKUP(A610,Ingreso!AL:AM,2,FALSE),FALSE)/24,""))),"")=0,"",IFERROR(IF(C610=C608,0,IF(E610=E609,0,IF(C610=$R$2,HLOOKUP($R$2,Ingreso!$AW$10:$BC$260,VLOOKUP(A610,Ingreso!AL:AM,2,FALSE),FALSE)/24,""))),""))</f>
        <v/>
      </c>
      <c r="N610" s="95" t="str">
        <f>IF(IFERROR(IF(C610=C608,0,IF(E610=E609,0,IF(C610=$R$3,HLOOKUP($R$3,Ingreso!$AW$10:$BC$260,VLOOKUP(A610,Ingreso!AL:AM,2,FALSE),FALSE)/24,""))),"")=0,"",IFERROR(IF(C610=C608,0,IF(E610=E609,0,IF(C610=$R$3,HLOOKUP($R$3,Ingreso!$AW$10:$BC$260,VLOOKUP(A610,Ingreso!AL:AM,2,FALSE),FALSE)/24,""))),""))</f>
        <v/>
      </c>
      <c r="O610" s="95" t="str">
        <f>IF(IFERROR(IF(C610=C608,0,IF(E610=E609,0,IF(C610=$R$4,HLOOKUP($R$4,Ingreso!$AW$10:$BC$260,VLOOKUP(A610,Ingreso!AL:AM,2,FALSE),FALSE)/24,""))),"")=0,"",IFERROR(IF(C610=C608,0,IF(E610=E609,0,IF(C610=$R$4,HLOOKUP($R$4,Ingreso!$AW$10:$BC$260,VLOOKUP(A610,Ingreso!AL:AM,2,FALSE),FALSE)/24,""))),""))</f>
        <v/>
      </c>
      <c r="P610" s="90"/>
      <c r="V610"/>
      <c r="W610"/>
      <c r="X610"/>
      <c r="Y610"/>
      <c r="Z610"/>
      <c r="AA610"/>
      <c r="AB610"/>
      <c r="AC610"/>
      <c r="AD610"/>
    </row>
    <row r="611" spans="1:30">
      <c r="A611" s="65" t="str">
        <f>IFERROR(VLOOKUP('Informe Kelly'!A604,Base!A:B,2,FALSE),"")</f>
        <v>12.500.119-K</v>
      </c>
      <c r="B611" s="65" t="str">
        <f>IFERROR(VLOOKUP('Informe Kelly'!A604,Base!A:G,7,FALSE),"")</f>
        <v>SANCHEZ TORRES FREDDY</v>
      </c>
      <c r="C611" s="69" t="str">
        <f>IF(G611=$C$4,IF('Informe Kelly'!H604='Control informe Kelly'!$A$2,TEXT(((LEFT('Informe Kelly'!E604,2)*1)+1),"dd")&amp;"."&amp;MID('Informe Kelly'!E604,4,2)&amp;"."&amp;RIGHT('Informe Kelly'!E604,4),'Informe Kelly'!E604),'Informe Kelly'!E604)</f>
        <v>15.04.2011</v>
      </c>
      <c r="D611" s="69" t="str">
        <f>IF('Informe Kelly'!E604="","",'Informe Kelly'!E604)</f>
        <v>15.04.2011</v>
      </c>
      <c r="E611" s="72">
        <f t="shared" si="19"/>
        <v>308</v>
      </c>
      <c r="F611" s="72" t="str">
        <f>IFERROR(HLOOKUP(C611,Ingreso!$Q$8:$AD$9,2,FALSE),"v")</f>
        <v>Viernes</v>
      </c>
      <c r="G611" s="65" t="str">
        <f>IFERROR(VLOOKUP(A611,Ingreso!K:P,6,FALSE),"no esta ingresado")</f>
        <v>Admin</v>
      </c>
      <c r="H611" s="65" t="str">
        <f>IFERROR(IF('Informe Kelly'!H604=$A$2,'Informe Kelly'!F604,""),0)</f>
        <v/>
      </c>
      <c r="I611" s="65">
        <f>IFERROR(IF('Informe Kelly'!H604=$A$3,'Informe Kelly'!F604,""),0)</f>
        <v>0.72800925925925919</v>
      </c>
      <c r="J611" s="65" t="str">
        <f>IF(IFERROR(IF(E611=E610,0,(HLOOKUP(D611,Ingreso!$AN$10:$AT$260,VLOOKUP(A611,Ingreso!$AL$11:$AM$260,2,FALSE)))/24),0)=0,"",IFERROR(IF(E611=E610,0,(HLOOKUP(D611,Ingreso!$AN$10:$AT$260,VLOOKUP(A611,Ingreso!$AL$11:$AM$260,2,FALSE)))/24),0))</f>
        <v/>
      </c>
      <c r="K611" s="65" t="str">
        <f>IF(IFERROR(IF(E611=E610,0,(HLOOKUP(C611,Ingreso!$AW$10:$BC$260,VLOOKUP(A611,Ingreso!$AL$11:$AM$260,2,FALSE)))/24),0)=0,"",IFERROR(IF(E611=E610,0,(HLOOKUP(C611,Ingreso!$AW$10:$BC$260,VLOOKUP(A611,Ingreso!$AL$11:$AM$260,2,FALSE)))/24),0))</f>
        <v/>
      </c>
      <c r="L611" s="63">
        <f t="shared" si="18"/>
        <v>0.41666666666666669</v>
      </c>
      <c r="M611" s="63" t="str">
        <f>IF(IFERROR(IF(C611=C609,0,IF(E611=E610,0,IF(C611=$R$2,HLOOKUP($R$2,Ingreso!$AW$10:$BC$260,VLOOKUP(A611,Ingreso!AL:AM,2,FALSE),FALSE)/24,""))),"")=0,"",IFERROR(IF(C611=C609,0,IF(E611=E610,0,IF(C611=$R$2,HLOOKUP($R$2,Ingreso!$AW$10:$BC$260,VLOOKUP(A611,Ingreso!AL:AM,2,FALSE),FALSE)/24,""))),""))</f>
        <v/>
      </c>
      <c r="N611" s="95" t="str">
        <f>IF(IFERROR(IF(C611=C609,0,IF(E611=E610,0,IF(C611=$R$3,HLOOKUP($R$3,Ingreso!$AW$10:$BC$260,VLOOKUP(A611,Ingreso!AL:AM,2,FALSE),FALSE)/24,""))),"")=0,"",IFERROR(IF(C611=C609,0,IF(E611=E610,0,IF(C611=$R$3,HLOOKUP($R$3,Ingreso!$AW$10:$BC$260,VLOOKUP(A611,Ingreso!AL:AM,2,FALSE),FALSE)/24,""))),""))</f>
        <v/>
      </c>
      <c r="O611" s="95" t="str">
        <f>IF(IFERROR(IF(C611=C609,0,IF(E611=E610,0,IF(C611=$R$4,HLOOKUP($R$4,Ingreso!$AW$10:$BC$260,VLOOKUP(A611,Ingreso!AL:AM,2,FALSE),FALSE)/24,""))),"")=0,"",IFERROR(IF(C611=C609,0,IF(E611=E610,0,IF(C611=$R$4,HLOOKUP($R$4,Ingreso!$AW$10:$BC$260,VLOOKUP(A611,Ingreso!AL:AM,2,FALSE),FALSE)/24,""))),""))</f>
        <v/>
      </c>
      <c r="P611" s="90"/>
      <c r="V611"/>
      <c r="W611"/>
      <c r="X611"/>
      <c r="Y611"/>
      <c r="Z611"/>
      <c r="AA611"/>
      <c r="AB611"/>
      <c r="AC611"/>
      <c r="AD611"/>
    </row>
    <row r="612" spans="1:30">
      <c r="A612" s="65" t="str">
        <f>IFERROR(VLOOKUP('Informe Kelly'!A605,Base!A:B,2,FALSE),"")</f>
        <v>12.500.119-K</v>
      </c>
      <c r="B612" s="65" t="str">
        <f>IFERROR(VLOOKUP('Informe Kelly'!A605,Base!A:G,7,FALSE),"")</f>
        <v>SANCHEZ TORRES FREDDY</v>
      </c>
      <c r="C612" s="69" t="str">
        <f>IF(G612=$C$4,IF('Informe Kelly'!H605='Control informe Kelly'!$A$2,TEXT(((LEFT('Informe Kelly'!E605,2)*1)+1),"dd")&amp;"."&amp;MID('Informe Kelly'!E605,4,2)&amp;"."&amp;RIGHT('Informe Kelly'!E605,4),'Informe Kelly'!E605),'Informe Kelly'!E605)</f>
        <v>15.04.2011</v>
      </c>
      <c r="D612" s="69" t="str">
        <f>IF('Informe Kelly'!E605="","",'Informe Kelly'!E605)</f>
        <v>15.04.2011</v>
      </c>
      <c r="E612" s="72">
        <f t="shared" si="19"/>
        <v>308</v>
      </c>
      <c r="F612" s="72" t="str">
        <f>IFERROR(HLOOKUP(C612,Ingreso!$Q$8:$AD$9,2,FALSE),"v")</f>
        <v>Viernes</v>
      </c>
      <c r="G612" s="65" t="str">
        <f>IFERROR(VLOOKUP(A612,Ingreso!K:P,6,FALSE),"no esta ingresado")</f>
        <v>Admin</v>
      </c>
      <c r="H612" s="65">
        <f>IFERROR(IF('Informe Kelly'!H605=$A$2,'Informe Kelly'!F605,""),0)</f>
        <v>0.29627314814814815</v>
      </c>
      <c r="I612" s="65" t="str">
        <f>IFERROR(IF('Informe Kelly'!H605=$A$3,'Informe Kelly'!F605,""),0)</f>
        <v/>
      </c>
      <c r="J612" s="65" t="str">
        <f>IF(IFERROR(IF(E612=E611,0,(HLOOKUP(D612,Ingreso!$AN$10:$AT$260,VLOOKUP(A612,Ingreso!$AL$11:$AM$260,2,FALSE)))/24),0)=0,"",IFERROR(IF(E612=E611,0,(HLOOKUP(D612,Ingreso!$AN$10:$AT$260,VLOOKUP(A612,Ingreso!$AL$11:$AM$260,2,FALSE)))/24),0))</f>
        <v/>
      </c>
      <c r="K612" s="65" t="str">
        <f>IF(IFERROR(IF(E612=E611,0,(HLOOKUP(C612,Ingreso!$AW$10:$BC$260,VLOOKUP(A612,Ingreso!$AL$11:$AM$260,2,FALSE)))/24),0)=0,"",IFERROR(IF(E612=E611,0,(HLOOKUP(C612,Ingreso!$AW$10:$BC$260,VLOOKUP(A612,Ingreso!$AL$11:$AM$260,2,FALSE)))/24),0))</f>
        <v/>
      </c>
      <c r="L612" s="63">
        <f t="shared" si="18"/>
        <v>0</v>
      </c>
      <c r="M612" s="63" t="str">
        <f>IF(IFERROR(IF(C612=C610,0,IF(E612=E611,0,IF(C612=$R$2,HLOOKUP($R$2,Ingreso!$AW$10:$BC$260,VLOOKUP(A612,Ingreso!AL:AM,2,FALSE),FALSE)/24,""))),"")=0,"",IFERROR(IF(C612=C610,0,IF(E612=E611,0,IF(C612=$R$2,HLOOKUP($R$2,Ingreso!$AW$10:$BC$260,VLOOKUP(A612,Ingreso!AL:AM,2,FALSE),FALSE)/24,""))),""))</f>
        <v/>
      </c>
      <c r="N612" s="95" t="str">
        <f>IF(IFERROR(IF(C612=C610,0,IF(E612=E611,0,IF(C612=$R$3,HLOOKUP($R$3,Ingreso!$AW$10:$BC$260,VLOOKUP(A612,Ingreso!AL:AM,2,FALSE),FALSE)/24,""))),"")=0,"",IFERROR(IF(C612=C610,0,IF(E612=E611,0,IF(C612=$R$3,HLOOKUP($R$3,Ingreso!$AW$10:$BC$260,VLOOKUP(A612,Ingreso!AL:AM,2,FALSE),FALSE)/24,""))),""))</f>
        <v/>
      </c>
      <c r="O612" s="95" t="str">
        <f>IF(IFERROR(IF(C612=C610,0,IF(E612=E611,0,IF(C612=$R$4,HLOOKUP($R$4,Ingreso!$AW$10:$BC$260,VLOOKUP(A612,Ingreso!AL:AM,2,FALSE),FALSE)/24,""))),"")=0,"",IFERROR(IF(C612=C610,0,IF(E612=E611,0,IF(C612=$R$4,HLOOKUP($R$4,Ingreso!$AW$10:$BC$260,VLOOKUP(A612,Ingreso!AL:AM,2,FALSE),FALSE)/24,""))),""))</f>
        <v/>
      </c>
      <c r="P612" s="90"/>
      <c r="V612"/>
      <c r="W612"/>
      <c r="X612"/>
      <c r="Y612"/>
      <c r="Z612"/>
      <c r="AA612"/>
      <c r="AB612"/>
      <c r="AC612"/>
      <c r="AD612"/>
    </row>
    <row r="613" spans="1:30">
      <c r="A613" s="65" t="str">
        <f>IFERROR(VLOOKUP('Informe Kelly'!A606,Base!A:B,2,FALSE),"")</f>
        <v>12.677.439-7</v>
      </c>
      <c r="B613" s="65" t="str">
        <f>IFERROR(VLOOKUP('Informe Kelly'!A606,Base!A:G,7,FALSE),"")</f>
        <v>AEDO MUÑOZ ANDRES RAUL</v>
      </c>
      <c r="C613" s="69" t="str">
        <f>IF(G613=$C$4,IF('Informe Kelly'!H606='Control informe Kelly'!$A$2,TEXT(((LEFT('Informe Kelly'!E606,2)*1)+1),"dd")&amp;"."&amp;MID('Informe Kelly'!E606,4,2)&amp;"."&amp;RIGHT('Informe Kelly'!E606,4),'Informe Kelly'!E606),'Informe Kelly'!E606)</f>
        <v>11.04.2011</v>
      </c>
      <c r="D613" s="69" t="str">
        <f>IF('Informe Kelly'!E606="","",'Informe Kelly'!E606)</f>
        <v>11.04.2011</v>
      </c>
      <c r="E613" s="72">
        <f t="shared" si="19"/>
        <v>309</v>
      </c>
      <c r="F613" s="72" t="str">
        <f>IFERROR(HLOOKUP(C613,Ingreso!$Q$8:$AD$9,2,FALSE),"v")</f>
        <v>Lunes</v>
      </c>
      <c r="G613" s="65" t="str">
        <f>IFERROR(VLOOKUP(A613,Ingreso!K:P,6,FALSE),"no esta ingresado")</f>
        <v>Turno A</v>
      </c>
      <c r="H613" s="65" t="str">
        <f>IFERROR(IF('Informe Kelly'!H606=$A$2,'Informe Kelly'!F606,""),0)</f>
        <v/>
      </c>
      <c r="I613" s="65">
        <f>IFERROR(IF('Informe Kelly'!H606=$A$3,'Informe Kelly'!F606,""),0)</f>
        <v>0.63282407407407404</v>
      </c>
      <c r="J613" s="65" t="str">
        <f>IF(IFERROR(IF(E613=E612,0,(HLOOKUP(D613,Ingreso!$AN$10:$AT$260,VLOOKUP(A613,Ingreso!$AL$11:$AM$260,2,FALSE)))/24),0)=0,"",IFERROR(IF(E613=E612,0,(HLOOKUP(D613,Ingreso!$AN$10:$AT$260,VLOOKUP(A613,Ingreso!$AL$11:$AM$260,2,FALSE)))/24),0))</f>
        <v/>
      </c>
      <c r="K613" s="65" t="str">
        <f>IF(IFERROR(IF(E613=E612,0,(HLOOKUP(C613,Ingreso!$AW$10:$BC$260,VLOOKUP(A613,Ingreso!$AL$11:$AM$260,2,FALSE)))/24),0)=0,"",IFERROR(IF(E613=E612,0,(HLOOKUP(C613,Ingreso!$AW$10:$BC$260,VLOOKUP(A613,Ingreso!$AL$11:$AM$260,2,FALSE)))/24),0))</f>
        <v/>
      </c>
      <c r="L613" s="63">
        <f t="shared" si="18"/>
        <v>0.3125</v>
      </c>
      <c r="M613" s="63" t="str">
        <f>IF(IFERROR(IF(C613=C611,0,IF(E613=E612,0,IF(C613=$R$2,HLOOKUP($R$2,Ingreso!$AW$10:$BC$260,VLOOKUP(A613,Ingreso!AL:AM,2,FALSE),FALSE)/24,""))),"")=0,"",IFERROR(IF(C613=C611,0,IF(E613=E612,0,IF(C613=$R$2,HLOOKUP($R$2,Ingreso!$AW$10:$BC$260,VLOOKUP(A613,Ingreso!AL:AM,2,FALSE),FALSE)/24,""))),""))</f>
        <v/>
      </c>
      <c r="N613" s="95" t="str">
        <f>IF(IFERROR(IF(C613=C611,0,IF(E613=E612,0,IF(C613=$R$3,HLOOKUP($R$3,Ingreso!$AW$10:$BC$260,VLOOKUP(A613,Ingreso!AL:AM,2,FALSE),FALSE)/24,""))),"")=0,"",IFERROR(IF(C613=C611,0,IF(E613=E612,0,IF(C613=$R$3,HLOOKUP($R$3,Ingreso!$AW$10:$BC$260,VLOOKUP(A613,Ingreso!AL:AM,2,FALSE),FALSE)/24,""))),""))</f>
        <v/>
      </c>
      <c r="O613" s="95" t="str">
        <f>IF(IFERROR(IF(C613=C611,0,IF(E613=E612,0,IF(C613=$R$4,HLOOKUP($R$4,Ingreso!$AW$10:$BC$260,VLOOKUP(A613,Ingreso!AL:AM,2,FALSE),FALSE)/24,""))),"")=0,"",IFERROR(IF(C613=C611,0,IF(E613=E612,0,IF(C613=$R$4,HLOOKUP($R$4,Ingreso!$AW$10:$BC$260,VLOOKUP(A613,Ingreso!AL:AM,2,FALSE),FALSE)/24,""))),""))</f>
        <v/>
      </c>
      <c r="P613" s="90"/>
      <c r="V613"/>
      <c r="W613"/>
      <c r="X613"/>
      <c r="Y613"/>
      <c r="Z613"/>
      <c r="AA613"/>
      <c r="AB613"/>
      <c r="AC613"/>
      <c r="AD613"/>
    </row>
    <row r="614" spans="1:30">
      <c r="A614" s="65" t="str">
        <f>IFERROR(VLOOKUP('Informe Kelly'!A607,Base!A:B,2,FALSE),"")</f>
        <v>12.677.439-7</v>
      </c>
      <c r="B614" s="65" t="str">
        <f>IFERROR(VLOOKUP('Informe Kelly'!A607,Base!A:G,7,FALSE),"")</f>
        <v>AEDO MUÑOZ ANDRES RAUL</v>
      </c>
      <c r="C614" s="69" t="str">
        <f>IF(G614=$C$4,IF('Informe Kelly'!H607='Control informe Kelly'!$A$2,TEXT(((LEFT('Informe Kelly'!E607,2)*1)+1),"dd")&amp;"."&amp;MID('Informe Kelly'!E607,4,2)&amp;"."&amp;RIGHT('Informe Kelly'!E607,4),'Informe Kelly'!E607),'Informe Kelly'!E607)</f>
        <v>11.04.2011</v>
      </c>
      <c r="D614" s="69" t="str">
        <f>IF('Informe Kelly'!E607="","",'Informe Kelly'!E607)</f>
        <v>11.04.2011</v>
      </c>
      <c r="E614" s="72">
        <f t="shared" si="19"/>
        <v>309</v>
      </c>
      <c r="F614" s="72" t="str">
        <f>IFERROR(HLOOKUP(C614,Ingreso!$Q$8:$AD$9,2,FALSE),"v")</f>
        <v>Lunes</v>
      </c>
      <c r="G614" s="65" t="str">
        <f>IFERROR(VLOOKUP(A614,Ingreso!K:P,6,FALSE),"no esta ingresado")</f>
        <v>Turno A</v>
      </c>
      <c r="H614" s="65">
        <f>IFERROR(IF('Informe Kelly'!H607=$A$2,'Informe Kelly'!F607,""),0)</f>
        <v>0.29577546296296298</v>
      </c>
      <c r="I614" s="65" t="str">
        <f>IFERROR(IF('Informe Kelly'!H607=$A$3,'Informe Kelly'!F607,""),0)</f>
        <v/>
      </c>
      <c r="J614" s="65" t="str">
        <f>IF(IFERROR(IF(E614=E613,0,(HLOOKUP(D614,Ingreso!$AN$10:$AT$260,VLOOKUP(A614,Ingreso!$AL$11:$AM$260,2,FALSE)))/24),0)=0,"",IFERROR(IF(E614=E613,0,(HLOOKUP(D614,Ingreso!$AN$10:$AT$260,VLOOKUP(A614,Ingreso!$AL$11:$AM$260,2,FALSE)))/24),0))</f>
        <v/>
      </c>
      <c r="K614" s="65" t="str">
        <f>IF(IFERROR(IF(E614=E613,0,(HLOOKUP(C614,Ingreso!$AW$10:$BC$260,VLOOKUP(A614,Ingreso!$AL$11:$AM$260,2,FALSE)))/24),0)=0,"",IFERROR(IF(E614=E613,0,(HLOOKUP(C614,Ingreso!$AW$10:$BC$260,VLOOKUP(A614,Ingreso!$AL$11:$AM$260,2,FALSE)))/24),0))</f>
        <v/>
      </c>
      <c r="L614" s="63">
        <f t="shared" si="18"/>
        <v>0</v>
      </c>
      <c r="M614" s="63" t="str">
        <f>IF(IFERROR(IF(C614=C612,0,IF(E614=E613,0,IF(C614=$R$2,HLOOKUP($R$2,Ingreso!$AW$10:$BC$260,VLOOKUP(A614,Ingreso!AL:AM,2,FALSE),FALSE)/24,""))),"")=0,"",IFERROR(IF(C614=C612,0,IF(E614=E613,0,IF(C614=$R$2,HLOOKUP($R$2,Ingreso!$AW$10:$BC$260,VLOOKUP(A614,Ingreso!AL:AM,2,FALSE),FALSE)/24,""))),""))</f>
        <v/>
      </c>
      <c r="N614" s="95" t="str">
        <f>IF(IFERROR(IF(C614=C612,0,IF(E614=E613,0,IF(C614=$R$3,HLOOKUP($R$3,Ingreso!$AW$10:$BC$260,VLOOKUP(A614,Ingreso!AL:AM,2,FALSE),FALSE)/24,""))),"")=0,"",IFERROR(IF(C614=C612,0,IF(E614=E613,0,IF(C614=$R$3,HLOOKUP($R$3,Ingreso!$AW$10:$BC$260,VLOOKUP(A614,Ingreso!AL:AM,2,FALSE),FALSE)/24,""))),""))</f>
        <v/>
      </c>
      <c r="O614" s="95" t="str">
        <f>IF(IFERROR(IF(C614=C612,0,IF(E614=E613,0,IF(C614=$R$4,HLOOKUP($R$4,Ingreso!$AW$10:$BC$260,VLOOKUP(A614,Ingreso!AL:AM,2,FALSE),FALSE)/24,""))),"")=0,"",IFERROR(IF(C614=C612,0,IF(E614=E613,0,IF(C614=$R$4,HLOOKUP($R$4,Ingreso!$AW$10:$BC$260,VLOOKUP(A614,Ingreso!AL:AM,2,FALSE),FALSE)/24,""))),""))</f>
        <v/>
      </c>
      <c r="P614" s="90"/>
      <c r="V614"/>
      <c r="W614"/>
      <c r="X614"/>
      <c r="Y614"/>
      <c r="Z614"/>
      <c r="AA614"/>
      <c r="AB614"/>
      <c r="AC614"/>
      <c r="AD614"/>
    </row>
    <row r="615" spans="1:30">
      <c r="A615" s="65" t="str">
        <f>IFERROR(VLOOKUP('Informe Kelly'!A608,Base!A:B,2,FALSE),"")</f>
        <v>12.677.439-7</v>
      </c>
      <c r="B615" s="65" t="str">
        <f>IFERROR(VLOOKUP('Informe Kelly'!A608,Base!A:G,7,FALSE),"")</f>
        <v>AEDO MUÑOZ ANDRES RAUL</v>
      </c>
      <c r="C615" s="69" t="str">
        <f>IF(G615=$C$4,IF('Informe Kelly'!H608='Control informe Kelly'!$A$2,TEXT(((LEFT('Informe Kelly'!E608,2)*1)+1),"dd")&amp;"."&amp;MID('Informe Kelly'!E608,4,2)&amp;"."&amp;RIGHT('Informe Kelly'!E608,4),'Informe Kelly'!E608),'Informe Kelly'!E608)</f>
        <v>12.04.2011</v>
      </c>
      <c r="D615" s="69" t="str">
        <f>IF('Informe Kelly'!E608="","",'Informe Kelly'!E608)</f>
        <v>12.04.2011</v>
      </c>
      <c r="E615" s="72">
        <f t="shared" si="19"/>
        <v>310</v>
      </c>
      <c r="F615" s="72" t="str">
        <f>IFERROR(HLOOKUP(C615,Ingreso!$Q$8:$AD$9,2,FALSE),"v")</f>
        <v>Martes</v>
      </c>
      <c r="G615" s="65" t="str">
        <f>IFERROR(VLOOKUP(A615,Ingreso!K:P,6,FALSE),"no esta ingresado")</f>
        <v>Turno A</v>
      </c>
      <c r="H615" s="65" t="str">
        <f>IFERROR(IF('Informe Kelly'!H608=$A$2,'Informe Kelly'!F608,""),0)</f>
        <v/>
      </c>
      <c r="I615" s="65">
        <f>IFERROR(IF('Informe Kelly'!H608=$A$3,'Informe Kelly'!F608,""),0)</f>
        <v>0.63318287037037035</v>
      </c>
      <c r="J615" s="65" t="str">
        <f>IF(IFERROR(IF(E615=E614,0,(HLOOKUP(D615,Ingreso!$AN$10:$AT$260,VLOOKUP(A615,Ingreso!$AL$11:$AM$260,2,FALSE)))/24),0)=0,"",IFERROR(IF(E615=E614,0,(HLOOKUP(D615,Ingreso!$AN$10:$AT$260,VLOOKUP(A615,Ingreso!$AL$11:$AM$260,2,FALSE)))/24),0))</f>
        <v/>
      </c>
      <c r="K615" s="65" t="str">
        <f>IF(IFERROR(IF(E615=E614,0,(HLOOKUP(C615,Ingreso!$AW$10:$BC$260,VLOOKUP(A615,Ingreso!$AL$11:$AM$260,2,FALSE)))/24),0)=0,"",IFERROR(IF(E615=E614,0,(HLOOKUP(C615,Ingreso!$AW$10:$BC$260,VLOOKUP(A615,Ingreso!$AL$11:$AM$260,2,FALSE)))/24),0))</f>
        <v/>
      </c>
      <c r="L615" s="63">
        <f t="shared" si="18"/>
        <v>0.3125</v>
      </c>
      <c r="M615" s="63" t="str">
        <f>IF(IFERROR(IF(C615=C613,0,IF(E615=E614,0,IF(C615=$R$2,HLOOKUP($R$2,Ingreso!$AW$10:$BC$260,VLOOKUP(A615,Ingreso!AL:AM,2,FALSE),FALSE)/24,""))),"")=0,"",IFERROR(IF(C615=C613,0,IF(E615=E614,0,IF(C615=$R$2,HLOOKUP($R$2,Ingreso!$AW$10:$BC$260,VLOOKUP(A615,Ingreso!AL:AM,2,FALSE),FALSE)/24,""))),""))</f>
        <v/>
      </c>
      <c r="N615" s="95" t="str">
        <f>IF(IFERROR(IF(C615=C613,0,IF(E615=E614,0,IF(C615=$R$3,HLOOKUP($R$3,Ingreso!$AW$10:$BC$260,VLOOKUP(A615,Ingreso!AL:AM,2,FALSE),FALSE)/24,""))),"")=0,"",IFERROR(IF(C615=C613,0,IF(E615=E614,0,IF(C615=$R$3,HLOOKUP($R$3,Ingreso!$AW$10:$BC$260,VLOOKUP(A615,Ingreso!AL:AM,2,FALSE),FALSE)/24,""))),""))</f>
        <v/>
      </c>
      <c r="O615" s="95" t="str">
        <f>IF(IFERROR(IF(C615=C613,0,IF(E615=E614,0,IF(C615=$R$4,HLOOKUP($R$4,Ingreso!$AW$10:$BC$260,VLOOKUP(A615,Ingreso!AL:AM,2,FALSE),FALSE)/24,""))),"")=0,"",IFERROR(IF(C615=C613,0,IF(E615=E614,0,IF(C615=$R$4,HLOOKUP($R$4,Ingreso!$AW$10:$BC$260,VLOOKUP(A615,Ingreso!AL:AM,2,FALSE),FALSE)/24,""))),""))</f>
        <v/>
      </c>
      <c r="P615" s="90"/>
      <c r="V615"/>
      <c r="W615"/>
      <c r="X615"/>
      <c r="Y615"/>
      <c r="Z615"/>
      <c r="AA615"/>
      <c r="AB615"/>
      <c r="AC615"/>
      <c r="AD615"/>
    </row>
    <row r="616" spans="1:30">
      <c r="A616" s="65" t="str">
        <f>IFERROR(VLOOKUP('Informe Kelly'!A609,Base!A:B,2,FALSE),"")</f>
        <v>12.677.439-7</v>
      </c>
      <c r="B616" s="65" t="str">
        <f>IFERROR(VLOOKUP('Informe Kelly'!A609,Base!A:G,7,FALSE),"")</f>
        <v>AEDO MUÑOZ ANDRES RAUL</v>
      </c>
      <c r="C616" s="69" t="str">
        <f>IF(G616=$C$4,IF('Informe Kelly'!H609='Control informe Kelly'!$A$2,TEXT(((LEFT('Informe Kelly'!E609,2)*1)+1),"dd")&amp;"."&amp;MID('Informe Kelly'!E609,4,2)&amp;"."&amp;RIGHT('Informe Kelly'!E609,4),'Informe Kelly'!E609),'Informe Kelly'!E609)</f>
        <v>12.04.2011</v>
      </c>
      <c r="D616" s="69" t="str">
        <f>IF('Informe Kelly'!E609="","",'Informe Kelly'!E609)</f>
        <v>12.04.2011</v>
      </c>
      <c r="E616" s="72">
        <f t="shared" si="19"/>
        <v>310</v>
      </c>
      <c r="F616" s="72" t="str">
        <f>IFERROR(HLOOKUP(C616,Ingreso!$Q$8:$AD$9,2,FALSE),"v")</f>
        <v>Martes</v>
      </c>
      <c r="G616" s="65" t="str">
        <f>IFERROR(VLOOKUP(A616,Ingreso!K:P,6,FALSE),"no esta ingresado")</f>
        <v>Turno A</v>
      </c>
      <c r="H616" s="65">
        <f>IFERROR(IF('Informe Kelly'!H609=$A$2,'Informe Kelly'!F609,""),0)</f>
        <v>0.30804398148148149</v>
      </c>
      <c r="I616" s="65" t="str">
        <f>IFERROR(IF('Informe Kelly'!H609=$A$3,'Informe Kelly'!F609,""),0)</f>
        <v/>
      </c>
      <c r="J616" s="65" t="str">
        <f>IF(IFERROR(IF(E616=E615,0,(HLOOKUP(D616,Ingreso!$AN$10:$AT$260,VLOOKUP(A616,Ingreso!$AL$11:$AM$260,2,FALSE)))/24),0)=0,"",IFERROR(IF(E616=E615,0,(HLOOKUP(D616,Ingreso!$AN$10:$AT$260,VLOOKUP(A616,Ingreso!$AL$11:$AM$260,2,FALSE)))/24),0))</f>
        <v/>
      </c>
      <c r="K616" s="65" t="str">
        <f>IF(IFERROR(IF(E616=E615,0,(HLOOKUP(C616,Ingreso!$AW$10:$BC$260,VLOOKUP(A616,Ingreso!$AL$11:$AM$260,2,FALSE)))/24),0)=0,"",IFERROR(IF(E616=E615,0,(HLOOKUP(C616,Ingreso!$AW$10:$BC$260,VLOOKUP(A616,Ingreso!$AL$11:$AM$260,2,FALSE)))/24),0))</f>
        <v/>
      </c>
      <c r="L616" s="63">
        <f t="shared" si="18"/>
        <v>0</v>
      </c>
      <c r="M616" s="63" t="str">
        <f>IF(IFERROR(IF(C616=C614,0,IF(E616=E615,0,IF(C616=$R$2,HLOOKUP($R$2,Ingreso!$AW$10:$BC$260,VLOOKUP(A616,Ingreso!AL:AM,2,FALSE),FALSE)/24,""))),"")=0,"",IFERROR(IF(C616=C614,0,IF(E616=E615,0,IF(C616=$R$2,HLOOKUP($R$2,Ingreso!$AW$10:$BC$260,VLOOKUP(A616,Ingreso!AL:AM,2,FALSE),FALSE)/24,""))),""))</f>
        <v/>
      </c>
      <c r="N616" s="95" t="str">
        <f>IF(IFERROR(IF(C616=C614,0,IF(E616=E615,0,IF(C616=$R$3,HLOOKUP($R$3,Ingreso!$AW$10:$BC$260,VLOOKUP(A616,Ingreso!AL:AM,2,FALSE),FALSE)/24,""))),"")=0,"",IFERROR(IF(C616=C614,0,IF(E616=E615,0,IF(C616=$R$3,HLOOKUP($R$3,Ingreso!$AW$10:$BC$260,VLOOKUP(A616,Ingreso!AL:AM,2,FALSE),FALSE)/24,""))),""))</f>
        <v/>
      </c>
      <c r="O616" s="95" t="str">
        <f>IF(IFERROR(IF(C616=C614,0,IF(E616=E615,0,IF(C616=$R$4,HLOOKUP($R$4,Ingreso!$AW$10:$BC$260,VLOOKUP(A616,Ingreso!AL:AM,2,FALSE),FALSE)/24,""))),"")=0,"",IFERROR(IF(C616=C614,0,IF(E616=E615,0,IF(C616=$R$4,HLOOKUP($R$4,Ingreso!$AW$10:$BC$260,VLOOKUP(A616,Ingreso!AL:AM,2,FALSE),FALSE)/24,""))),""))</f>
        <v/>
      </c>
      <c r="P616" s="90"/>
      <c r="V616"/>
      <c r="W616"/>
      <c r="X616"/>
      <c r="Y616"/>
      <c r="Z616"/>
      <c r="AA616"/>
      <c r="AB616"/>
      <c r="AC616"/>
      <c r="AD616"/>
    </row>
    <row r="617" spans="1:30">
      <c r="A617" s="65" t="str">
        <f>IFERROR(VLOOKUP('Informe Kelly'!A610,Base!A:B,2,FALSE),"")</f>
        <v>12.677.439-7</v>
      </c>
      <c r="B617" s="65" t="str">
        <f>IFERROR(VLOOKUP('Informe Kelly'!A610,Base!A:G,7,FALSE),"")</f>
        <v>AEDO MUÑOZ ANDRES RAUL</v>
      </c>
      <c r="C617" s="69" t="str">
        <f>IF(G617=$C$4,IF('Informe Kelly'!H610='Control informe Kelly'!$A$2,TEXT(((LEFT('Informe Kelly'!E610,2)*1)+1),"dd")&amp;"."&amp;MID('Informe Kelly'!E610,4,2)&amp;"."&amp;RIGHT('Informe Kelly'!E610,4),'Informe Kelly'!E610),'Informe Kelly'!E610)</f>
        <v>13.04.2011</v>
      </c>
      <c r="D617" s="69" t="str">
        <f>IF('Informe Kelly'!E610="","",'Informe Kelly'!E610)</f>
        <v>13.04.2011</v>
      </c>
      <c r="E617" s="72">
        <f t="shared" si="19"/>
        <v>311</v>
      </c>
      <c r="F617" s="72" t="str">
        <f>IFERROR(HLOOKUP(C617,Ingreso!$Q$8:$AD$9,2,FALSE),"v")</f>
        <v>Miércoles</v>
      </c>
      <c r="G617" s="65" t="str">
        <f>IFERROR(VLOOKUP(A617,Ingreso!K:P,6,FALSE),"no esta ingresado")</f>
        <v>Turno A</v>
      </c>
      <c r="H617" s="65" t="str">
        <f>IFERROR(IF('Informe Kelly'!H610=$A$2,'Informe Kelly'!F610,""),0)</f>
        <v/>
      </c>
      <c r="I617" s="65">
        <f>IFERROR(IF('Informe Kelly'!H610=$A$3,'Informe Kelly'!F610,""),0)</f>
        <v>0.6541203703703703</v>
      </c>
      <c r="J617" s="65" t="str">
        <f>IF(IFERROR(IF(E617=E616,0,(HLOOKUP(D617,Ingreso!$AN$10:$AT$260,VLOOKUP(A617,Ingreso!$AL$11:$AM$260,2,FALSE)))/24),0)=0,"",IFERROR(IF(E617=E616,0,(HLOOKUP(D617,Ingreso!$AN$10:$AT$260,VLOOKUP(A617,Ingreso!$AL$11:$AM$260,2,FALSE)))/24),0))</f>
        <v/>
      </c>
      <c r="K617" s="65" t="str">
        <f>IF(IFERROR(IF(E617=E616,0,(HLOOKUP(C617,Ingreso!$AW$10:$BC$260,VLOOKUP(A617,Ingreso!$AL$11:$AM$260,2,FALSE)))/24),0)=0,"",IFERROR(IF(E617=E616,0,(HLOOKUP(C617,Ingreso!$AW$10:$BC$260,VLOOKUP(A617,Ingreso!$AL$11:$AM$260,2,FALSE)))/24),0))</f>
        <v/>
      </c>
      <c r="L617" s="63">
        <f t="shared" si="18"/>
        <v>0.3125</v>
      </c>
      <c r="M617" s="63" t="str">
        <f>IF(IFERROR(IF(C617=C615,0,IF(E617=E616,0,IF(C617=$R$2,HLOOKUP($R$2,Ingreso!$AW$10:$BC$260,VLOOKUP(A617,Ingreso!AL:AM,2,FALSE),FALSE)/24,""))),"")=0,"",IFERROR(IF(C617=C615,0,IF(E617=E616,0,IF(C617=$R$2,HLOOKUP($R$2,Ingreso!$AW$10:$BC$260,VLOOKUP(A617,Ingreso!AL:AM,2,FALSE),FALSE)/24,""))),""))</f>
        <v/>
      </c>
      <c r="N617" s="95" t="str">
        <f>IF(IFERROR(IF(C617=C615,0,IF(E617=E616,0,IF(C617=$R$3,HLOOKUP($R$3,Ingreso!$AW$10:$BC$260,VLOOKUP(A617,Ingreso!AL:AM,2,FALSE),FALSE)/24,""))),"")=0,"",IFERROR(IF(C617=C615,0,IF(E617=E616,0,IF(C617=$R$3,HLOOKUP($R$3,Ingreso!$AW$10:$BC$260,VLOOKUP(A617,Ingreso!AL:AM,2,FALSE),FALSE)/24,""))),""))</f>
        <v/>
      </c>
      <c r="O617" s="95" t="str">
        <f>IF(IFERROR(IF(C617=C615,0,IF(E617=E616,0,IF(C617=$R$4,HLOOKUP($R$4,Ingreso!$AW$10:$BC$260,VLOOKUP(A617,Ingreso!AL:AM,2,FALSE),FALSE)/24,""))),"")=0,"",IFERROR(IF(C617=C615,0,IF(E617=E616,0,IF(C617=$R$4,HLOOKUP($R$4,Ingreso!$AW$10:$BC$260,VLOOKUP(A617,Ingreso!AL:AM,2,FALSE),FALSE)/24,""))),""))</f>
        <v/>
      </c>
      <c r="P617" s="90"/>
      <c r="V617"/>
      <c r="W617"/>
      <c r="X617"/>
      <c r="Y617"/>
      <c r="Z617"/>
      <c r="AA617"/>
      <c r="AB617"/>
      <c r="AC617"/>
      <c r="AD617"/>
    </row>
    <row r="618" spans="1:30">
      <c r="A618" s="65" t="str">
        <f>IFERROR(VLOOKUP('Informe Kelly'!A611,Base!A:B,2,FALSE),"")</f>
        <v>12.677.439-7</v>
      </c>
      <c r="B618" s="65" t="str">
        <f>IFERROR(VLOOKUP('Informe Kelly'!A611,Base!A:G,7,FALSE),"")</f>
        <v>AEDO MUÑOZ ANDRES RAUL</v>
      </c>
      <c r="C618" s="69" t="str">
        <f>IF(G618=$C$4,IF('Informe Kelly'!H611='Control informe Kelly'!$A$2,TEXT(((LEFT('Informe Kelly'!E611,2)*1)+1),"dd")&amp;"."&amp;MID('Informe Kelly'!E611,4,2)&amp;"."&amp;RIGHT('Informe Kelly'!E611,4),'Informe Kelly'!E611),'Informe Kelly'!E611)</f>
        <v>13.04.2011</v>
      </c>
      <c r="D618" s="69" t="str">
        <f>IF('Informe Kelly'!E611="","",'Informe Kelly'!E611)</f>
        <v>13.04.2011</v>
      </c>
      <c r="E618" s="72">
        <f t="shared" si="19"/>
        <v>311</v>
      </c>
      <c r="F618" s="72" t="str">
        <f>IFERROR(HLOOKUP(C618,Ingreso!$Q$8:$AD$9,2,FALSE),"v")</f>
        <v>Miércoles</v>
      </c>
      <c r="G618" s="65" t="str">
        <f>IFERROR(VLOOKUP(A618,Ingreso!K:P,6,FALSE),"no esta ingresado")</f>
        <v>Turno A</v>
      </c>
      <c r="H618" s="65">
        <f>IFERROR(IF('Informe Kelly'!H611=$A$2,'Informe Kelly'!F611,""),0)</f>
        <v>0.29628472222222224</v>
      </c>
      <c r="I618" s="65" t="str">
        <f>IFERROR(IF('Informe Kelly'!H611=$A$3,'Informe Kelly'!F611,""),0)</f>
        <v/>
      </c>
      <c r="J618" s="65" t="str">
        <f>IF(IFERROR(IF(E618=E617,0,(HLOOKUP(D618,Ingreso!$AN$10:$AT$260,VLOOKUP(A618,Ingreso!$AL$11:$AM$260,2,FALSE)))/24),0)=0,"",IFERROR(IF(E618=E617,0,(HLOOKUP(D618,Ingreso!$AN$10:$AT$260,VLOOKUP(A618,Ingreso!$AL$11:$AM$260,2,FALSE)))/24),0))</f>
        <v/>
      </c>
      <c r="K618" s="65" t="str">
        <f>IF(IFERROR(IF(E618=E617,0,(HLOOKUP(C618,Ingreso!$AW$10:$BC$260,VLOOKUP(A618,Ingreso!$AL$11:$AM$260,2,FALSE)))/24),0)=0,"",IFERROR(IF(E618=E617,0,(HLOOKUP(C618,Ingreso!$AW$10:$BC$260,VLOOKUP(A618,Ingreso!$AL$11:$AM$260,2,FALSE)))/24),0))</f>
        <v/>
      </c>
      <c r="L618" s="63">
        <f t="shared" si="18"/>
        <v>0</v>
      </c>
      <c r="M618" s="63" t="str">
        <f>IF(IFERROR(IF(C618=C616,0,IF(E618=E617,0,IF(C618=$R$2,HLOOKUP($R$2,Ingreso!$AW$10:$BC$260,VLOOKUP(A618,Ingreso!AL:AM,2,FALSE),FALSE)/24,""))),"")=0,"",IFERROR(IF(C618=C616,0,IF(E618=E617,0,IF(C618=$R$2,HLOOKUP($R$2,Ingreso!$AW$10:$BC$260,VLOOKUP(A618,Ingreso!AL:AM,2,FALSE),FALSE)/24,""))),""))</f>
        <v/>
      </c>
      <c r="N618" s="95" t="str">
        <f>IF(IFERROR(IF(C618=C616,0,IF(E618=E617,0,IF(C618=$R$3,HLOOKUP($R$3,Ingreso!$AW$10:$BC$260,VLOOKUP(A618,Ingreso!AL:AM,2,FALSE),FALSE)/24,""))),"")=0,"",IFERROR(IF(C618=C616,0,IF(E618=E617,0,IF(C618=$R$3,HLOOKUP($R$3,Ingreso!$AW$10:$BC$260,VLOOKUP(A618,Ingreso!AL:AM,2,FALSE),FALSE)/24,""))),""))</f>
        <v/>
      </c>
      <c r="O618" s="95" t="str">
        <f>IF(IFERROR(IF(C618=C616,0,IF(E618=E617,0,IF(C618=$R$4,HLOOKUP($R$4,Ingreso!$AW$10:$BC$260,VLOOKUP(A618,Ingreso!AL:AM,2,FALSE),FALSE)/24,""))),"")=0,"",IFERROR(IF(C618=C616,0,IF(E618=E617,0,IF(C618=$R$4,HLOOKUP($R$4,Ingreso!$AW$10:$BC$260,VLOOKUP(A618,Ingreso!AL:AM,2,FALSE),FALSE)/24,""))),""))</f>
        <v/>
      </c>
      <c r="P618" s="90"/>
      <c r="V618"/>
      <c r="W618"/>
      <c r="X618"/>
      <c r="Y618"/>
      <c r="Z618"/>
      <c r="AA618"/>
      <c r="AB618"/>
      <c r="AC618"/>
      <c r="AD618"/>
    </row>
    <row r="619" spans="1:30">
      <c r="A619" s="65" t="str">
        <f>IFERROR(VLOOKUP('Informe Kelly'!A612,Base!A:B,2,FALSE),"")</f>
        <v>12.677.439-7</v>
      </c>
      <c r="B619" s="65" t="str">
        <f>IFERROR(VLOOKUP('Informe Kelly'!A612,Base!A:G,7,FALSE),"")</f>
        <v>AEDO MUÑOZ ANDRES RAUL</v>
      </c>
      <c r="C619" s="69" t="str">
        <f>IF(G619=$C$4,IF('Informe Kelly'!H612='Control informe Kelly'!$A$2,TEXT(((LEFT('Informe Kelly'!E612,2)*1)+1),"dd")&amp;"."&amp;MID('Informe Kelly'!E612,4,2)&amp;"."&amp;RIGHT('Informe Kelly'!E612,4),'Informe Kelly'!E612),'Informe Kelly'!E612)</f>
        <v>14.04.2011</v>
      </c>
      <c r="D619" s="69" t="str">
        <f>IF('Informe Kelly'!E612="","",'Informe Kelly'!E612)</f>
        <v>14.04.2011</v>
      </c>
      <c r="E619" s="72">
        <f t="shared" si="19"/>
        <v>312</v>
      </c>
      <c r="F619" s="72" t="str">
        <f>IFERROR(HLOOKUP(C619,Ingreso!$Q$8:$AD$9,2,FALSE),"v")</f>
        <v>Jueves</v>
      </c>
      <c r="G619" s="65" t="str">
        <f>IFERROR(VLOOKUP(A619,Ingreso!K:P,6,FALSE),"no esta ingresado")</f>
        <v>Turno A</v>
      </c>
      <c r="H619" s="65" t="str">
        <f>IFERROR(IF('Informe Kelly'!H612=$A$2,'Informe Kelly'!F612,""),0)</f>
        <v/>
      </c>
      <c r="I619" s="65">
        <f>IFERROR(IF('Informe Kelly'!H612=$A$3,'Informe Kelly'!F612,""),0)</f>
        <v>0.63299768518518518</v>
      </c>
      <c r="J619" s="65" t="str">
        <f>IF(IFERROR(IF(E619=E618,0,(HLOOKUP(D619,Ingreso!$AN$10:$AT$260,VLOOKUP(A619,Ingreso!$AL$11:$AM$260,2,FALSE)))/24),0)=0,"",IFERROR(IF(E619=E618,0,(HLOOKUP(D619,Ingreso!$AN$10:$AT$260,VLOOKUP(A619,Ingreso!$AL$11:$AM$260,2,FALSE)))/24),0))</f>
        <v/>
      </c>
      <c r="K619" s="65" t="str">
        <f>IF(IFERROR(IF(E619=E618,0,(HLOOKUP(C619,Ingreso!$AW$10:$BC$260,VLOOKUP(A619,Ingreso!$AL$11:$AM$260,2,FALSE)))/24),0)=0,"",IFERROR(IF(E619=E618,0,(HLOOKUP(C619,Ingreso!$AW$10:$BC$260,VLOOKUP(A619,Ingreso!$AL$11:$AM$260,2,FALSE)))/24),0))</f>
        <v/>
      </c>
      <c r="L619" s="63">
        <f t="shared" si="18"/>
        <v>0.3125</v>
      </c>
      <c r="M619" s="63" t="str">
        <f>IF(IFERROR(IF(C619=C617,0,IF(E619=E618,0,IF(C619=$R$2,HLOOKUP($R$2,Ingreso!$AW$10:$BC$260,VLOOKUP(A619,Ingreso!AL:AM,2,FALSE),FALSE)/24,""))),"")=0,"",IFERROR(IF(C619=C617,0,IF(E619=E618,0,IF(C619=$R$2,HLOOKUP($R$2,Ingreso!$AW$10:$BC$260,VLOOKUP(A619,Ingreso!AL:AM,2,FALSE),FALSE)/24,""))),""))</f>
        <v/>
      </c>
      <c r="N619" s="95" t="str">
        <f>IF(IFERROR(IF(C619=C617,0,IF(E619=E618,0,IF(C619=$R$3,HLOOKUP($R$3,Ingreso!$AW$10:$BC$260,VLOOKUP(A619,Ingreso!AL:AM,2,FALSE),FALSE)/24,""))),"")=0,"",IFERROR(IF(C619=C617,0,IF(E619=E618,0,IF(C619=$R$3,HLOOKUP($R$3,Ingreso!$AW$10:$BC$260,VLOOKUP(A619,Ingreso!AL:AM,2,FALSE),FALSE)/24,""))),""))</f>
        <v/>
      </c>
      <c r="O619" s="95" t="str">
        <f>IF(IFERROR(IF(C619=C617,0,IF(E619=E618,0,IF(C619=$R$4,HLOOKUP($R$4,Ingreso!$AW$10:$BC$260,VLOOKUP(A619,Ingreso!AL:AM,2,FALSE),FALSE)/24,""))),"")=0,"",IFERROR(IF(C619=C617,0,IF(E619=E618,0,IF(C619=$R$4,HLOOKUP($R$4,Ingreso!$AW$10:$BC$260,VLOOKUP(A619,Ingreso!AL:AM,2,FALSE),FALSE)/24,""))),""))</f>
        <v/>
      </c>
      <c r="P619" s="90"/>
      <c r="V619"/>
      <c r="W619"/>
      <c r="X619"/>
      <c r="Y619"/>
      <c r="Z619"/>
      <c r="AA619"/>
      <c r="AB619"/>
      <c r="AC619"/>
      <c r="AD619"/>
    </row>
    <row r="620" spans="1:30">
      <c r="A620" s="65" t="str">
        <f>IFERROR(VLOOKUP('Informe Kelly'!A613,Base!A:B,2,FALSE),"")</f>
        <v>12.677.439-7</v>
      </c>
      <c r="B620" s="65" t="str">
        <f>IFERROR(VLOOKUP('Informe Kelly'!A613,Base!A:G,7,FALSE),"")</f>
        <v>AEDO MUÑOZ ANDRES RAUL</v>
      </c>
      <c r="C620" s="69" t="str">
        <f>IF(G620=$C$4,IF('Informe Kelly'!H613='Control informe Kelly'!$A$2,TEXT(((LEFT('Informe Kelly'!E613,2)*1)+1),"dd")&amp;"."&amp;MID('Informe Kelly'!E613,4,2)&amp;"."&amp;RIGHT('Informe Kelly'!E613,4),'Informe Kelly'!E613),'Informe Kelly'!E613)</f>
        <v>14.04.2011</v>
      </c>
      <c r="D620" s="69" t="str">
        <f>IF('Informe Kelly'!E613="","",'Informe Kelly'!E613)</f>
        <v>14.04.2011</v>
      </c>
      <c r="E620" s="72">
        <f t="shared" si="19"/>
        <v>312</v>
      </c>
      <c r="F620" s="72" t="str">
        <f>IFERROR(HLOOKUP(C620,Ingreso!$Q$8:$AD$9,2,FALSE),"v")</f>
        <v>Jueves</v>
      </c>
      <c r="G620" s="65" t="str">
        <f>IFERROR(VLOOKUP(A620,Ingreso!K:P,6,FALSE),"no esta ingresado")</f>
        <v>Turno A</v>
      </c>
      <c r="H620" s="65">
        <f>IFERROR(IF('Informe Kelly'!H613=$A$2,'Informe Kelly'!F613,""),0)</f>
        <v>0.29650462962962965</v>
      </c>
      <c r="I620" s="65" t="str">
        <f>IFERROR(IF('Informe Kelly'!H613=$A$3,'Informe Kelly'!F613,""),0)</f>
        <v/>
      </c>
      <c r="J620" s="65" t="str">
        <f>IF(IFERROR(IF(E620=E619,0,(HLOOKUP(D620,Ingreso!$AN$10:$AT$260,VLOOKUP(A620,Ingreso!$AL$11:$AM$260,2,FALSE)))/24),0)=0,"",IFERROR(IF(E620=E619,0,(HLOOKUP(D620,Ingreso!$AN$10:$AT$260,VLOOKUP(A620,Ingreso!$AL$11:$AM$260,2,FALSE)))/24),0))</f>
        <v/>
      </c>
      <c r="K620" s="65" t="str">
        <f>IF(IFERROR(IF(E620=E619,0,(HLOOKUP(C620,Ingreso!$AW$10:$BC$260,VLOOKUP(A620,Ingreso!$AL$11:$AM$260,2,FALSE)))/24),0)=0,"",IFERROR(IF(E620=E619,0,(HLOOKUP(C620,Ingreso!$AW$10:$BC$260,VLOOKUP(A620,Ingreso!$AL$11:$AM$260,2,FALSE)))/24),0))</f>
        <v/>
      </c>
      <c r="L620" s="63">
        <f t="shared" si="18"/>
        <v>0</v>
      </c>
      <c r="M620" s="63" t="str">
        <f>IF(IFERROR(IF(C620=C618,0,IF(E620=E619,0,IF(C620=$R$2,HLOOKUP($R$2,Ingreso!$AW$10:$BC$260,VLOOKUP(A620,Ingreso!AL:AM,2,FALSE),FALSE)/24,""))),"")=0,"",IFERROR(IF(C620=C618,0,IF(E620=E619,0,IF(C620=$R$2,HLOOKUP($R$2,Ingreso!$AW$10:$BC$260,VLOOKUP(A620,Ingreso!AL:AM,2,FALSE),FALSE)/24,""))),""))</f>
        <v/>
      </c>
      <c r="N620" s="95" t="str">
        <f>IF(IFERROR(IF(C620=C618,0,IF(E620=E619,0,IF(C620=$R$3,HLOOKUP($R$3,Ingreso!$AW$10:$BC$260,VLOOKUP(A620,Ingreso!AL:AM,2,FALSE),FALSE)/24,""))),"")=0,"",IFERROR(IF(C620=C618,0,IF(E620=E619,0,IF(C620=$R$3,HLOOKUP($R$3,Ingreso!$AW$10:$BC$260,VLOOKUP(A620,Ingreso!AL:AM,2,FALSE),FALSE)/24,""))),""))</f>
        <v/>
      </c>
      <c r="O620" s="95" t="str">
        <f>IF(IFERROR(IF(C620=C618,0,IF(E620=E619,0,IF(C620=$R$4,HLOOKUP($R$4,Ingreso!$AW$10:$BC$260,VLOOKUP(A620,Ingreso!AL:AM,2,FALSE),FALSE)/24,""))),"")=0,"",IFERROR(IF(C620=C618,0,IF(E620=E619,0,IF(C620=$R$4,HLOOKUP($R$4,Ingreso!$AW$10:$BC$260,VLOOKUP(A620,Ingreso!AL:AM,2,FALSE),FALSE)/24,""))),""))</f>
        <v/>
      </c>
      <c r="P620" s="90"/>
      <c r="V620"/>
      <c r="W620"/>
      <c r="X620"/>
      <c r="Y620"/>
      <c r="Z620"/>
      <c r="AA620"/>
      <c r="AB620"/>
      <c r="AC620"/>
      <c r="AD620"/>
    </row>
    <row r="621" spans="1:30">
      <c r="A621" s="65" t="str">
        <f>IFERROR(VLOOKUP('Informe Kelly'!A614,Base!A:B,2,FALSE),"")</f>
        <v>12.677.439-7</v>
      </c>
      <c r="B621" s="65" t="str">
        <f>IFERROR(VLOOKUP('Informe Kelly'!A614,Base!A:G,7,FALSE),"")</f>
        <v>AEDO MUÑOZ ANDRES RAUL</v>
      </c>
      <c r="C621" s="69" t="str">
        <f>IF(G621=$C$4,IF('Informe Kelly'!H614='Control informe Kelly'!$A$2,TEXT(((LEFT('Informe Kelly'!E614,2)*1)+1),"dd")&amp;"."&amp;MID('Informe Kelly'!E614,4,2)&amp;"."&amp;RIGHT('Informe Kelly'!E614,4),'Informe Kelly'!E614),'Informe Kelly'!E614)</f>
        <v>15.04.2011</v>
      </c>
      <c r="D621" s="69" t="str">
        <f>IF('Informe Kelly'!E614="","",'Informe Kelly'!E614)</f>
        <v>15.04.2011</v>
      </c>
      <c r="E621" s="72">
        <f t="shared" si="19"/>
        <v>313</v>
      </c>
      <c r="F621" s="72" t="str">
        <f>IFERROR(HLOOKUP(C621,Ingreso!$Q$8:$AD$9,2,FALSE),"v")</f>
        <v>Viernes</v>
      </c>
      <c r="G621" s="65" t="str">
        <f>IFERROR(VLOOKUP(A621,Ingreso!K:P,6,FALSE),"no esta ingresado")</f>
        <v>Turno A</v>
      </c>
      <c r="H621" s="65" t="str">
        <f>IFERROR(IF('Informe Kelly'!H614=$A$2,'Informe Kelly'!F614,""),0)</f>
        <v/>
      </c>
      <c r="I621" s="65">
        <f>IFERROR(IF('Informe Kelly'!H614=$A$3,'Informe Kelly'!F614,""),0)</f>
        <v>0.65210648148148154</v>
      </c>
      <c r="J621" s="65" t="str">
        <f>IF(IFERROR(IF(E621=E620,0,(HLOOKUP(D621,Ingreso!$AN$10:$AT$260,VLOOKUP(A621,Ingreso!$AL$11:$AM$260,2,FALSE)))/24),0)=0,"",IFERROR(IF(E621=E620,0,(HLOOKUP(D621,Ingreso!$AN$10:$AT$260,VLOOKUP(A621,Ingreso!$AL$11:$AM$260,2,FALSE)))/24),0))</f>
        <v/>
      </c>
      <c r="K621" s="65" t="str">
        <f>IF(IFERROR(IF(E621=E620,0,(HLOOKUP(C621,Ingreso!$AW$10:$BC$260,VLOOKUP(A621,Ingreso!$AL$11:$AM$260,2,FALSE)))/24),0)=0,"",IFERROR(IF(E621=E620,0,(HLOOKUP(C621,Ingreso!$AW$10:$BC$260,VLOOKUP(A621,Ingreso!$AL$11:$AM$260,2,FALSE)))/24),0))</f>
        <v/>
      </c>
      <c r="L621" s="63">
        <f t="shared" si="18"/>
        <v>0.3125</v>
      </c>
      <c r="M621" s="63" t="str">
        <f>IF(IFERROR(IF(C621=C619,0,IF(E621=E620,0,IF(C621=$R$2,HLOOKUP($R$2,Ingreso!$AW$10:$BC$260,VLOOKUP(A621,Ingreso!AL:AM,2,FALSE),FALSE)/24,""))),"")=0,"",IFERROR(IF(C621=C619,0,IF(E621=E620,0,IF(C621=$R$2,HLOOKUP($R$2,Ingreso!$AW$10:$BC$260,VLOOKUP(A621,Ingreso!AL:AM,2,FALSE),FALSE)/24,""))),""))</f>
        <v/>
      </c>
      <c r="N621" s="95" t="str">
        <f>IF(IFERROR(IF(C621=C619,0,IF(E621=E620,0,IF(C621=$R$3,HLOOKUP($R$3,Ingreso!$AW$10:$BC$260,VLOOKUP(A621,Ingreso!AL:AM,2,FALSE),FALSE)/24,""))),"")=0,"",IFERROR(IF(C621=C619,0,IF(E621=E620,0,IF(C621=$R$3,HLOOKUP($R$3,Ingreso!$AW$10:$BC$260,VLOOKUP(A621,Ingreso!AL:AM,2,FALSE),FALSE)/24,""))),""))</f>
        <v/>
      </c>
      <c r="O621" s="95" t="str">
        <f>IF(IFERROR(IF(C621=C619,0,IF(E621=E620,0,IF(C621=$R$4,HLOOKUP($R$4,Ingreso!$AW$10:$BC$260,VLOOKUP(A621,Ingreso!AL:AM,2,FALSE),FALSE)/24,""))),"")=0,"",IFERROR(IF(C621=C619,0,IF(E621=E620,0,IF(C621=$R$4,HLOOKUP($R$4,Ingreso!$AW$10:$BC$260,VLOOKUP(A621,Ingreso!AL:AM,2,FALSE),FALSE)/24,""))),""))</f>
        <v/>
      </c>
      <c r="P621" s="90"/>
      <c r="V621"/>
      <c r="W621"/>
      <c r="X621"/>
      <c r="Y621"/>
      <c r="Z621"/>
      <c r="AA621"/>
      <c r="AB621"/>
      <c r="AC621"/>
      <c r="AD621"/>
    </row>
    <row r="622" spans="1:30">
      <c r="A622" s="65" t="str">
        <f>IFERROR(VLOOKUP('Informe Kelly'!A615,Base!A:B,2,FALSE),"")</f>
        <v>12.677.439-7</v>
      </c>
      <c r="B622" s="65" t="str">
        <f>IFERROR(VLOOKUP('Informe Kelly'!A615,Base!A:G,7,FALSE),"")</f>
        <v>AEDO MUÑOZ ANDRES RAUL</v>
      </c>
      <c r="C622" s="69" t="str">
        <f>IF(G622=$C$4,IF('Informe Kelly'!H615='Control informe Kelly'!$A$2,TEXT(((LEFT('Informe Kelly'!E615,2)*1)+1),"dd")&amp;"."&amp;MID('Informe Kelly'!E615,4,2)&amp;"."&amp;RIGHT('Informe Kelly'!E615,4),'Informe Kelly'!E615),'Informe Kelly'!E615)</f>
        <v>15.04.2011</v>
      </c>
      <c r="D622" s="69" t="str">
        <f>IF('Informe Kelly'!E615="","",'Informe Kelly'!E615)</f>
        <v>15.04.2011</v>
      </c>
      <c r="E622" s="72">
        <f t="shared" si="19"/>
        <v>313</v>
      </c>
      <c r="F622" s="72" t="str">
        <f>IFERROR(HLOOKUP(C622,Ingreso!$Q$8:$AD$9,2,FALSE),"v")</f>
        <v>Viernes</v>
      </c>
      <c r="G622" s="65" t="str">
        <f>IFERROR(VLOOKUP(A622,Ingreso!K:P,6,FALSE),"no esta ingresado")</f>
        <v>Turno A</v>
      </c>
      <c r="H622" s="65">
        <f>IFERROR(IF('Informe Kelly'!H615=$A$2,'Informe Kelly'!F615,""),0)</f>
        <v>0.29653935185185182</v>
      </c>
      <c r="I622" s="65" t="str">
        <f>IFERROR(IF('Informe Kelly'!H615=$A$3,'Informe Kelly'!F615,""),0)</f>
        <v/>
      </c>
      <c r="J622" s="65" t="str">
        <f>IF(IFERROR(IF(E622=E621,0,(HLOOKUP(D622,Ingreso!$AN$10:$AT$260,VLOOKUP(A622,Ingreso!$AL$11:$AM$260,2,FALSE)))/24),0)=0,"",IFERROR(IF(E622=E621,0,(HLOOKUP(D622,Ingreso!$AN$10:$AT$260,VLOOKUP(A622,Ingreso!$AL$11:$AM$260,2,FALSE)))/24),0))</f>
        <v/>
      </c>
      <c r="K622" s="65" t="str">
        <f>IF(IFERROR(IF(E622=E621,0,(HLOOKUP(C622,Ingreso!$AW$10:$BC$260,VLOOKUP(A622,Ingreso!$AL$11:$AM$260,2,FALSE)))/24),0)=0,"",IFERROR(IF(E622=E621,0,(HLOOKUP(C622,Ingreso!$AW$10:$BC$260,VLOOKUP(A622,Ingreso!$AL$11:$AM$260,2,FALSE)))/24),0))</f>
        <v/>
      </c>
      <c r="L622" s="63">
        <f t="shared" si="18"/>
        <v>0</v>
      </c>
      <c r="M622" s="63" t="str">
        <f>IF(IFERROR(IF(C622=C620,0,IF(E622=E621,0,IF(C622=$R$2,HLOOKUP($R$2,Ingreso!$AW$10:$BC$260,VLOOKUP(A622,Ingreso!AL:AM,2,FALSE),FALSE)/24,""))),"")=0,"",IFERROR(IF(C622=C620,0,IF(E622=E621,0,IF(C622=$R$2,HLOOKUP($R$2,Ingreso!$AW$10:$BC$260,VLOOKUP(A622,Ingreso!AL:AM,2,FALSE),FALSE)/24,""))),""))</f>
        <v/>
      </c>
      <c r="N622" s="95" t="str">
        <f>IF(IFERROR(IF(C622=C620,0,IF(E622=E621,0,IF(C622=$R$3,HLOOKUP($R$3,Ingreso!$AW$10:$BC$260,VLOOKUP(A622,Ingreso!AL:AM,2,FALSE),FALSE)/24,""))),"")=0,"",IFERROR(IF(C622=C620,0,IF(E622=E621,0,IF(C622=$R$3,HLOOKUP($R$3,Ingreso!$AW$10:$BC$260,VLOOKUP(A622,Ingreso!AL:AM,2,FALSE),FALSE)/24,""))),""))</f>
        <v/>
      </c>
      <c r="O622" s="95" t="str">
        <f>IF(IFERROR(IF(C622=C620,0,IF(E622=E621,0,IF(C622=$R$4,HLOOKUP($R$4,Ingreso!$AW$10:$BC$260,VLOOKUP(A622,Ingreso!AL:AM,2,FALSE),FALSE)/24,""))),"")=0,"",IFERROR(IF(C622=C620,0,IF(E622=E621,0,IF(C622=$R$4,HLOOKUP($R$4,Ingreso!$AW$10:$BC$260,VLOOKUP(A622,Ingreso!AL:AM,2,FALSE),FALSE)/24,""))),""))</f>
        <v/>
      </c>
      <c r="P622" s="90"/>
      <c r="V622"/>
      <c r="W622"/>
      <c r="X622"/>
      <c r="Y622"/>
      <c r="Z622"/>
      <c r="AA622"/>
      <c r="AB622"/>
      <c r="AC622"/>
      <c r="AD622"/>
    </row>
    <row r="623" spans="1:30">
      <c r="A623" s="65" t="str">
        <f>IFERROR(VLOOKUP('Informe Kelly'!A616,Base!A:B,2,FALSE),"")</f>
        <v>12.677.439-7</v>
      </c>
      <c r="B623" s="65" t="str">
        <f>IFERROR(VLOOKUP('Informe Kelly'!A616,Base!A:G,7,FALSE),"")</f>
        <v>AEDO MUÑOZ ANDRES RAUL</v>
      </c>
      <c r="C623" s="69" t="str">
        <f>IF(G623=$C$4,IF('Informe Kelly'!H616='Control informe Kelly'!$A$2,TEXT(((LEFT('Informe Kelly'!E616,2)*1)+1),"dd")&amp;"."&amp;MID('Informe Kelly'!E616,4,2)&amp;"."&amp;RIGHT('Informe Kelly'!E616,4),'Informe Kelly'!E616),'Informe Kelly'!E616)</f>
        <v>16.04.2011</v>
      </c>
      <c r="D623" s="69" t="str">
        <f>IF('Informe Kelly'!E616="","",'Informe Kelly'!E616)</f>
        <v>16.04.2011</v>
      </c>
      <c r="E623" s="72">
        <f t="shared" si="19"/>
        <v>314</v>
      </c>
      <c r="F623" s="72" t="str">
        <f>IFERROR(HLOOKUP(C623,Ingreso!$Q$8:$AD$9,2,FALSE),"v")</f>
        <v>Sábado</v>
      </c>
      <c r="G623" s="65" t="str">
        <f>IFERROR(VLOOKUP(A623,Ingreso!K:P,6,FALSE),"no esta ingresado")</f>
        <v>Turno A</v>
      </c>
      <c r="H623" s="65" t="str">
        <f>IFERROR(IF('Informe Kelly'!H616=$A$2,'Informe Kelly'!F616,""),0)</f>
        <v/>
      </c>
      <c r="I623" s="65">
        <f>IFERROR(IF('Informe Kelly'!H616=$A$3,'Informe Kelly'!F616,""),0)</f>
        <v>0.62876157407407407</v>
      </c>
      <c r="J623" s="65" t="str">
        <f>IF(IFERROR(IF(E623=E622,0,(HLOOKUP(D623,Ingreso!$AN$10:$AT$260,VLOOKUP(A623,Ingreso!$AL$11:$AM$260,2,FALSE)))/24),0)=0,"",IFERROR(IF(E623=E622,0,(HLOOKUP(D623,Ingreso!$AN$10:$AT$260,VLOOKUP(A623,Ingreso!$AL$11:$AM$260,2,FALSE)))/24),0))</f>
        <v/>
      </c>
      <c r="K623" s="65" t="str">
        <f>IF(IFERROR(IF(E623=E622,0,(HLOOKUP(C623,Ingreso!$AW$10:$BC$260,VLOOKUP(A623,Ingreso!$AL$11:$AM$260,2,FALSE)))/24),0)=0,"",IFERROR(IF(E623=E622,0,(HLOOKUP(C623,Ingreso!$AW$10:$BC$260,VLOOKUP(A623,Ingreso!$AL$11:$AM$260,2,FALSE)))/24),0))</f>
        <v/>
      </c>
      <c r="L623" s="63">
        <f t="shared" si="18"/>
        <v>0.3125</v>
      </c>
      <c r="M623" s="63" t="str">
        <f>IF(IFERROR(IF(C623=C621,0,IF(E623=E622,0,IF(C623=$R$2,HLOOKUP($R$2,Ingreso!$AW$10:$BC$260,VLOOKUP(A623,Ingreso!AL:AM,2,FALSE),FALSE)/24,""))),"")=0,"",IFERROR(IF(C623=C621,0,IF(E623=E622,0,IF(C623=$R$2,HLOOKUP($R$2,Ingreso!$AW$10:$BC$260,VLOOKUP(A623,Ingreso!AL:AM,2,FALSE),FALSE)/24,""))),""))</f>
        <v/>
      </c>
      <c r="N623" s="95" t="str">
        <f>IF(IFERROR(IF(C623=C621,0,IF(E623=E622,0,IF(C623=$R$3,HLOOKUP($R$3,Ingreso!$AW$10:$BC$260,VLOOKUP(A623,Ingreso!AL:AM,2,FALSE),FALSE)/24,""))),"")=0,"",IFERROR(IF(C623=C621,0,IF(E623=E622,0,IF(C623=$R$3,HLOOKUP($R$3,Ingreso!$AW$10:$BC$260,VLOOKUP(A623,Ingreso!AL:AM,2,FALSE),FALSE)/24,""))),""))</f>
        <v/>
      </c>
      <c r="O623" s="95" t="str">
        <f>IF(IFERROR(IF(C623=C621,0,IF(E623=E622,0,IF(C623=$R$4,HLOOKUP($R$4,Ingreso!$AW$10:$BC$260,VLOOKUP(A623,Ingreso!AL:AM,2,FALSE),FALSE)/24,""))),"")=0,"",IFERROR(IF(C623=C621,0,IF(E623=E622,0,IF(C623=$R$4,HLOOKUP($R$4,Ingreso!$AW$10:$BC$260,VLOOKUP(A623,Ingreso!AL:AM,2,FALSE),FALSE)/24,""))),""))</f>
        <v/>
      </c>
      <c r="P623" s="90"/>
      <c r="V623"/>
      <c r="W623"/>
      <c r="X623"/>
      <c r="Y623"/>
      <c r="Z623"/>
      <c r="AA623"/>
      <c r="AB623"/>
      <c r="AC623"/>
      <c r="AD623"/>
    </row>
    <row r="624" spans="1:30">
      <c r="A624" s="65" t="str">
        <f>IFERROR(VLOOKUP('Informe Kelly'!A617,Base!A:B,2,FALSE),"")</f>
        <v>12.677.439-7</v>
      </c>
      <c r="B624" s="65" t="str">
        <f>IFERROR(VLOOKUP('Informe Kelly'!A617,Base!A:G,7,FALSE),"")</f>
        <v>AEDO MUÑOZ ANDRES RAUL</v>
      </c>
      <c r="C624" s="69" t="str">
        <f>IF(G624=$C$4,IF('Informe Kelly'!H617='Control informe Kelly'!$A$2,TEXT(((LEFT('Informe Kelly'!E617,2)*1)+1),"dd")&amp;"."&amp;MID('Informe Kelly'!E617,4,2)&amp;"."&amp;RIGHT('Informe Kelly'!E617,4),'Informe Kelly'!E617),'Informe Kelly'!E617)</f>
        <v>16.04.2011</v>
      </c>
      <c r="D624" s="69" t="str">
        <f>IF('Informe Kelly'!E617="","",'Informe Kelly'!E617)</f>
        <v>16.04.2011</v>
      </c>
      <c r="E624" s="72">
        <f t="shared" si="19"/>
        <v>314</v>
      </c>
      <c r="F624" s="72" t="str">
        <f>IFERROR(HLOOKUP(C624,Ingreso!$Q$8:$AD$9,2,FALSE),"v")</f>
        <v>Sábado</v>
      </c>
      <c r="G624" s="65" t="str">
        <f>IFERROR(VLOOKUP(A624,Ingreso!K:P,6,FALSE),"no esta ingresado")</f>
        <v>Turno A</v>
      </c>
      <c r="H624" s="65">
        <f>IFERROR(IF('Informe Kelly'!H617=$A$2,'Informe Kelly'!F617,""),0)</f>
        <v>0.29484953703703703</v>
      </c>
      <c r="I624" s="65" t="str">
        <f>IFERROR(IF('Informe Kelly'!H617=$A$3,'Informe Kelly'!F617,""),0)</f>
        <v/>
      </c>
      <c r="J624" s="65" t="str">
        <f>IF(IFERROR(IF(E624=E623,0,(HLOOKUP(D624,Ingreso!$AN$10:$AT$260,VLOOKUP(A624,Ingreso!$AL$11:$AM$260,2,FALSE)))/24),0)=0,"",IFERROR(IF(E624=E623,0,(HLOOKUP(D624,Ingreso!$AN$10:$AT$260,VLOOKUP(A624,Ingreso!$AL$11:$AM$260,2,FALSE)))/24),0))</f>
        <v/>
      </c>
      <c r="K624" s="65" t="str">
        <f>IF(IFERROR(IF(E624=E623,0,(HLOOKUP(C624,Ingreso!$AW$10:$BC$260,VLOOKUP(A624,Ingreso!$AL$11:$AM$260,2,FALSE)))/24),0)=0,"",IFERROR(IF(E624=E623,0,(HLOOKUP(C624,Ingreso!$AW$10:$BC$260,VLOOKUP(A624,Ingreso!$AL$11:$AM$260,2,FALSE)))/24),0))</f>
        <v/>
      </c>
      <c r="L624" s="63">
        <f t="shared" si="18"/>
        <v>0</v>
      </c>
      <c r="M624" s="63" t="str">
        <f>IF(IFERROR(IF(C624=C622,0,IF(E624=E623,0,IF(C624=$R$2,HLOOKUP($R$2,Ingreso!$AW$10:$BC$260,VLOOKUP(A624,Ingreso!AL:AM,2,FALSE),FALSE)/24,""))),"")=0,"",IFERROR(IF(C624=C622,0,IF(E624=E623,0,IF(C624=$R$2,HLOOKUP($R$2,Ingreso!$AW$10:$BC$260,VLOOKUP(A624,Ingreso!AL:AM,2,FALSE),FALSE)/24,""))),""))</f>
        <v/>
      </c>
      <c r="N624" s="95" t="str">
        <f>IF(IFERROR(IF(C624=C622,0,IF(E624=E623,0,IF(C624=$R$3,HLOOKUP($R$3,Ingreso!$AW$10:$BC$260,VLOOKUP(A624,Ingreso!AL:AM,2,FALSE),FALSE)/24,""))),"")=0,"",IFERROR(IF(C624=C622,0,IF(E624=E623,0,IF(C624=$R$3,HLOOKUP($R$3,Ingreso!$AW$10:$BC$260,VLOOKUP(A624,Ingreso!AL:AM,2,FALSE),FALSE)/24,""))),""))</f>
        <v/>
      </c>
      <c r="O624" s="95" t="str">
        <f>IF(IFERROR(IF(C624=C622,0,IF(E624=E623,0,IF(C624=$R$4,HLOOKUP($R$4,Ingreso!$AW$10:$BC$260,VLOOKUP(A624,Ingreso!AL:AM,2,FALSE),FALSE)/24,""))),"")=0,"",IFERROR(IF(C624=C622,0,IF(E624=E623,0,IF(C624=$R$4,HLOOKUP($R$4,Ingreso!$AW$10:$BC$260,VLOOKUP(A624,Ingreso!AL:AM,2,FALSE),FALSE)/24,""))),""))</f>
        <v/>
      </c>
      <c r="P624" s="90"/>
      <c r="V624"/>
      <c r="W624"/>
      <c r="X624"/>
      <c r="Y624"/>
      <c r="Z624"/>
      <c r="AA624"/>
      <c r="AB624"/>
      <c r="AC624"/>
      <c r="AD624"/>
    </row>
    <row r="625" spans="1:30">
      <c r="A625" s="65" t="str">
        <f>IFERROR(VLOOKUP('Informe Kelly'!A618,Base!A:B,2,FALSE),"")</f>
        <v>13.045.231-0</v>
      </c>
      <c r="B625" s="65" t="str">
        <f>IFERROR(VLOOKUP('Informe Kelly'!A618,Base!A:G,7,FALSE),"")</f>
        <v>ARANCIBIA SILVA FELIPE</v>
      </c>
      <c r="C625" s="69" t="str">
        <f>IF(G625=$C$4,IF('Informe Kelly'!H618='Control informe Kelly'!$A$2,TEXT(((LEFT('Informe Kelly'!E618,2)*1)+1),"dd")&amp;"."&amp;MID('Informe Kelly'!E618,4,2)&amp;"."&amp;RIGHT('Informe Kelly'!E618,4),'Informe Kelly'!E618),'Informe Kelly'!E618)</f>
        <v>11.04.2011</v>
      </c>
      <c r="D625" s="69" t="str">
        <f>IF('Informe Kelly'!E618="","",'Informe Kelly'!E618)</f>
        <v>11.04.2011</v>
      </c>
      <c r="E625" s="72">
        <f t="shared" si="19"/>
        <v>315</v>
      </c>
      <c r="F625" s="72" t="str">
        <f>IFERROR(HLOOKUP(C625,Ingreso!$Q$8:$AD$9,2,FALSE),"v")</f>
        <v>Lunes</v>
      </c>
      <c r="G625" s="65" t="str">
        <f>IFERROR(VLOOKUP(A625,Ingreso!K:P,6,FALSE),"no esta ingresado")</f>
        <v>Turno A</v>
      </c>
      <c r="H625" s="65" t="str">
        <f>IFERROR(IF('Informe Kelly'!H618=$A$2,'Informe Kelly'!F618,""),0)</f>
        <v/>
      </c>
      <c r="I625" s="65">
        <f>IFERROR(IF('Informe Kelly'!H618=$A$3,'Informe Kelly'!F618,""),0)</f>
        <v>0.64180555555555552</v>
      </c>
      <c r="J625" s="65" t="str">
        <f>IF(IFERROR(IF(E625=E624,0,(HLOOKUP(D625,Ingreso!$AN$10:$AT$260,VLOOKUP(A625,Ingreso!$AL$11:$AM$260,2,FALSE)))/24),0)=0,"",IFERROR(IF(E625=E624,0,(HLOOKUP(D625,Ingreso!$AN$10:$AT$260,VLOOKUP(A625,Ingreso!$AL$11:$AM$260,2,FALSE)))/24),0))</f>
        <v/>
      </c>
      <c r="K625" s="65" t="str">
        <f>IF(IFERROR(IF(E625=E624,0,(HLOOKUP(C625,Ingreso!$AW$10:$BC$260,VLOOKUP(A625,Ingreso!$AL$11:$AM$260,2,FALSE)))/24),0)=0,"",IFERROR(IF(E625=E624,0,(HLOOKUP(C625,Ingreso!$AW$10:$BC$260,VLOOKUP(A625,Ingreso!$AL$11:$AM$260,2,FALSE)))/24),0))</f>
        <v/>
      </c>
      <c r="L625" s="63">
        <f t="shared" si="18"/>
        <v>0.3125</v>
      </c>
      <c r="M625" s="63" t="str">
        <f>IF(IFERROR(IF(C625=C623,0,IF(E625=E624,0,IF(C625=$R$2,HLOOKUP($R$2,Ingreso!$AW$10:$BC$260,VLOOKUP(A625,Ingreso!AL:AM,2,FALSE),FALSE)/24,""))),"")=0,"",IFERROR(IF(C625=C623,0,IF(E625=E624,0,IF(C625=$R$2,HLOOKUP($R$2,Ingreso!$AW$10:$BC$260,VLOOKUP(A625,Ingreso!AL:AM,2,FALSE),FALSE)/24,""))),""))</f>
        <v/>
      </c>
      <c r="N625" s="95" t="str">
        <f>IF(IFERROR(IF(C625=C623,0,IF(E625=E624,0,IF(C625=$R$3,HLOOKUP($R$3,Ingreso!$AW$10:$BC$260,VLOOKUP(A625,Ingreso!AL:AM,2,FALSE),FALSE)/24,""))),"")=0,"",IFERROR(IF(C625=C623,0,IF(E625=E624,0,IF(C625=$R$3,HLOOKUP($R$3,Ingreso!$AW$10:$BC$260,VLOOKUP(A625,Ingreso!AL:AM,2,FALSE),FALSE)/24,""))),""))</f>
        <v/>
      </c>
      <c r="O625" s="95" t="str">
        <f>IF(IFERROR(IF(C625=C623,0,IF(E625=E624,0,IF(C625=$R$4,HLOOKUP($R$4,Ingreso!$AW$10:$BC$260,VLOOKUP(A625,Ingreso!AL:AM,2,FALSE),FALSE)/24,""))),"")=0,"",IFERROR(IF(C625=C623,0,IF(E625=E624,0,IF(C625=$R$4,HLOOKUP($R$4,Ingreso!$AW$10:$BC$260,VLOOKUP(A625,Ingreso!AL:AM,2,FALSE),FALSE)/24,""))),""))</f>
        <v/>
      </c>
      <c r="P625" s="90"/>
      <c r="V625"/>
      <c r="W625"/>
      <c r="X625"/>
      <c r="Y625"/>
      <c r="Z625"/>
      <c r="AA625"/>
      <c r="AB625"/>
      <c r="AC625"/>
      <c r="AD625"/>
    </row>
    <row r="626" spans="1:30">
      <c r="A626" s="65" t="str">
        <f>IFERROR(VLOOKUP('Informe Kelly'!A619,Base!A:B,2,FALSE),"")</f>
        <v>13.045.231-0</v>
      </c>
      <c r="B626" s="65" t="str">
        <f>IFERROR(VLOOKUP('Informe Kelly'!A619,Base!A:G,7,FALSE),"")</f>
        <v>ARANCIBIA SILVA FELIPE</v>
      </c>
      <c r="C626" s="69" t="str">
        <f>IF(G626=$C$4,IF('Informe Kelly'!H619='Control informe Kelly'!$A$2,TEXT(((LEFT('Informe Kelly'!E619,2)*1)+1),"dd")&amp;"."&amp;MID('Informe Kelly'!E619,4,2)&amp;"."&amp;RIGHT('Informe Kelly'!E619,4),'Informe Kelly'!E619),'Informe Kelly'!E619)</f>
        <v>11.04.2011</v>
      </c>
      <c r="D626" s="69" t="str">
        <f>IF('Informe Kelly'!E619="","",'Informe Kelly'!E619)</f>
        <v>11.04.2011</v>
      </c>
      <c r="E626" s="72">
        <f t="shared" si="19"/>
        <v>315</v>
      </c>
      <c r="F626" s="72" t="str">
        <f>IFERROR(HLOOKUP(C626,Ingreso!$Q$8:$AD$9,2,FALSE),"v")</f>
        <v>Lunes</v>
      </c>
      <c r="G626" s="65" t="str">
        <f>IFERROR(VLOOKUP(A626,Ingreso!K:P,6,FALSE),"no esta ingresado")</f>
        <v>Turno A</v>
      </c>
      <c r="H626" s="65">
        <f>IFERROR(IF('Informe Kelly'!H619=$A$2,'Informe Kelly'!F619,""),0)</f>
        <v>0.29543981481481479</v>
      </c>
      <c r="I626" s="65" t="str">
        <f>IFERROR(IF('Informe Kelly'!H619=$A$3,'Informe Kelly'!F619,""),0)</f>
        <v/>
      </c>
      <c r="J626" s="65" t="str">
        <f>IF(IFERROR(IF(E626=E625,0,(HLOOKUP(D626,Ingreso!$AN$10:$AT$260,VLOOKUP(A626,Ingreso!$AL$11:$AM$260,2,FALSE)))/24),0)=0,"",IFERROR(IF(E626=E625,0,(HLOOKUP(D626,Ingreso!$AN$10:$AT$260,VLOOKUP(A626,Ingreso!$AL$11:$AM$260,2,FALSE)))/24),0))</f>
        <v/>
      </c>
      <c r="K626" s="65" t="str">
        <f>IF(IFERROR(IF(E626=E625,0,(HLOOKUP(C626,Ingreso!$AW$10:$BC$260,VLOOKUP(A626,Ingreso!$AL$11:$AM$260,2,FALSE)))/24),0)=0,"",IFERROR(IF(E626=E625,0,(HLOOKUP(C626,Ingreso!$AW$10:$BC$260,VLOOKUP(A626,Ingreso!$AL$11:$AM$260,2,FALSE)))/24),0))</f>
        <v/>
      </c>
      <c r="L626" s="63">
        <f t="shared" si="18"/>
        <v>0</v>
      </c>
      <c r="M626" s="63" t="str">
        <f>IF(IFERROR(IF(C626=C624,0,IF(E626=E625,0,IF(C626=$R$2,HLOOKUP($R$2,Ingreso!$AW$10:$BC$260,VLOOKUP(A626,Ingreso!AL:AM,2,FALSE),FALSE)/24,""))),"")=0,"",IFERROR(IF(C626=C624,0,IF(E626=E625,0,IF(C626=$R$2,HLOOKUP($R$2,Ingreso!$AW$10:$BC$260,VLOOKUP(A626,Ingreso!AL:AM,2,FALSE),FALSE)/24,""))),""))</f>
        <v/>
      </c>
      <c r="N626" s="95" t="str">
        <f>IF(IFERROR(IF(C626=C624,0,IF(E626=E625,0,IF(C626=$R$3,HLOOKUP($R$3,Ingreso!$AW$10:$BC$260,VLOOKUP(A626,Ingreso!AL:AM,2,FALSE),FALSE)/24,""))),"")=0,"",IFERROR(IF(C626=C624,0,IF(E626=E625,0,IF(C626=$R$3,HLOOKUP($R$3,Ingreso!$AW$10:$BC$260,VLOOKUP(A626,Ingreso!AL:AM,2,FALSE),FALSE)/24,""))),""))</f>
        <v/>
      </c>
      <c r="O626" s="95" t="str">
        <f>IF(IFERROR(IF(C626=C624,0,IF(E626=E625,0,IF(C626=$R$4,HLOOKUP($R$4,Ingreso!$AW$10:$BC$260,VLOOKUP(A626,Ingreso!AL:AM,2,FALSE),FALSE)/24,""))),"")=0,"",IFERROR(IF(C626=C624,0,IF(E626=E625,0,IF(C626=$R$4,HLOOKUP($R$4,Ingreso!$AW$10:$BC$260,VLOOKUP(A626,Ingreso!AL:AM,2,FALSE),FALSE)/24,""))),""))</f>
        <v/>
      </c>
      <c r="P626" s="90"/>
      <c r="V626"/>
      <c r="W626"/>
      <c r="X626"/>
      <c r="Y626"/>
      <c r="Z626"/>
      <c r="AA626"/>
      <c r="AB626"/>
      <c r="AC626"/>
      <c r="AD626"/>
    </row>
    <row r="627" spans="1:30">
      <c r="A627" s="65" t="str">
        <f>IFERROR(VLOOKUP('Informe Kelly'!A620,Base!A:B,2,FALSE),"")</f>
        <v>13.045.231-0</v>
      </c>
      <c r="B627" s="65" t="str">
        <f>IFERROR(VLOOKUP('Informe Kelly'!A620,Base!A:G,7,FALSE),"")</f>
        <v>ARANCIBIA SILVA FELIPE</v>
      </c>
      <c r="C627" s="69" t="str">
        <f>IF(G627=$C$4,IF('Informe Kelly'!H620='Control informe Kelly'!$A$2,TEXT(((LEFT('Informe Kelly'!E620,2)*1)+1),"dd")&amp;"."&amp;MID('Informe Kelly'!E620,4,2)&amp;"."&amp;RIGHT('Informe Kelly'!E620,4),'Informe Kelly'!E620),'Informe Kelly'!E620)</f>
        <v>12.04.2011</v>
      </c>
      <c r="D627" s="69" t="str">
        <f>IF('Informe Kelly'!E620="","",'Informe Kelly'!E620)</f>
        <v>12.04.2011</v>
      </c>
      <c r="E627" s="72">
        <f t="shared" si="19"/>
        <v>316</v>
      </c>
      <c r="F627" s="72" t="str">
        <f>IFERROR(HLOOKUP(C627,Ingreso!$Q$8:$AD$9,2,FALSE),"v")</f>
        <v>Martes</v>
      </c>
      <c r="G627" s="65" t="str">
        <f>IFERROR(VLOOKUP(A627,Ingreso!K:P,6,FALSE),"no esta ingresado")</f>
        <v>Turno A</v>
      </c>
      <c r="H627" s="65" t="str">
        <f>IFERROR(IF('Informe Kelly'!H620=$A$2,'Informe Kelly'!F620,""),0)</f>
        <v/>
      </c>
      <c r="I627" s="65">
        <f>IFERROR(IF('Informe Kelly'!H620=$A$3,'Informe Kelly'!F620,""),0)</f>
        <v>0.63953703703703701</v>
      </c>
      <c r="J627" s="65" t="str">
        <f>IF(IFERROR(IF(E627=E626,0,(HLOOKUP(D627,Ingreso!$AN$10:$AT$260,VLOOKUP(A627,Ingreso!$AL$11:$AM$260,2,FALSE)))/24),0)=0,"",IFERROR(IF(E627=E626,0,(HLOOKUP(D627,Ingreso!$AN$10:$AT$260,VLOOKUP(A627,Ingreso!$AL$11:$AM$260,2,FALSE)))/24),0))</f>
        <v/>
      </c>
      <c r="K627" s="65" t="str">
        <f>IF(IFERROR(IF(E627=E626,0,(HLOOKUP(C627,Ingreso!$AW$10:$BC$260,VLOOKUP(A627,Ingreso!$AL$11:$AM$260,2,FALSE)))/24),0)=0,"",IFERROR(IF(E627=E626,0,(HLOOKUP(C627,Ingreso!$AW$10:$BC$260,VLOOKUP(A627,Ingreso!$AL$11:$AM$260,2,FALSE)))/24),0))</f>
        <v/>
      </c>
      <c r="L627" s="63">
        <f t="shared" si="18"/>
        <v>0.3125</v>
      </c>
      <c r="M627" s="63" t="str">
        <f>IF(IFERROR(IF(C627=C625,0,IF(E627=E626,0,IF(C627=$R$2,HLOOKUP($R$2,Ingreso!$AW$10:$BC$260,VLOOKUP(A627,Ingreso!AL:AM,2,FALSE),FALSE)/24,""))),"")=0,"",IFERROR(IF(C627=C625,0,IF(E627=E626,0,IF(C627=$R$2,HLOOKUP($R$2,Ingreso!$AW$10:$BC$260,VLOOKUP(A627,Ingreso!AL:AM,2,FALSE),FALSE)/24,""))),""))</f>
        <v/>
      </c>
      <c r="N627" s="95" t="str">
        <f>IF(IFERROR(IF(C627=C625,0,IF(E627=E626,0,IF(C627=$R$3,HLOOKUP($R$3,Ingreso!$AW$10:$BC$260,VLOOKUP(A627,Ingreso!AL:AM,2,FALSE),FALSE)/24,""))),"")=0,"",IFERROR(IF(C627=C625,0,IF(E627=E626,0,IF(C627=$R$3,HLOOKUP($R$3,Ingreso!$AW$10:$BC$260,VLOOKUP(A627,Ingreso!AL:AM,2,FALSE),FALSE)/24,""))),""))</f>
        <v/>
      </c>
      <c r="O627" s="95" t="str">
        <f>IF(IFERROR(IF(C627=C625,0,IF(E627=E626,0,IF(C627=$R$4,HLOOKUP($R$4,Ingreso!$AW$10:$BC$260,VLOOKUP(A627,Ingreso!AL:AM,2,FALSE),FALSE)/24,""))),"")=0,"",IFERROR(IF(C627=C625,0,IF(E627=E626,0,IF(C627=$R$4,HLOOKUP($R$4,Ingreso!$AW$10:$BC$260,VLOOKUP(A627,Ingreso!AL:AM,2,FALSE),FALSE)/24,""))),""))</f>
        <v/>
      </c>
      <c r="P627" s="90"/>
      <c r="V627"/>
      <c r="W627"/>
      <c r="X627"/>
      <c r="Y627"/>
      <c r="Z627"/>
      <c r="AA627"/>
      <c r="AB627"/>
      <c r="AC627"/>
      <c r="AD627"/>
    </row>
    <row r="628" spans="1:30">
      <c r="A628" s="65" t="str">
        <f>IFERROR(VLOOKUP('Informe Kelly'!A621,Base!A:B,2,FALSE),"")</f>
        <v>13.045.231-0</v>
      </c>
      <c r="B628" s="65" t="str">
        <f>IFERROR(VLOOKUP('Informe Kelly'!A621,Base!A:G,7,FALSE),"")</f>
        <v>ARANCIBIA SILVA FELIPE</v>
      </c>
      <c r="C628" s="69" t="str">
        <f>IF(G628=$C$4,IF('Informe Kelly'!H621='Control informe Kelly'!$A$2,TEXT(((LEFT('Informe Kelly'!E621,2)*1)+1),"dd")&amp;"."&amp;MID('Informe Kelly'!E621,4,2)&amp;"."&amp;RIGHT('Informe Kelly'!E621,4),'Informe Kelly'!E621),'Informe Kelly'!E621)</f>
        <v>12.04.2011</v>
      </c>
      <c r="D628" s="69" t="str">
        <f>IF('Informe Kelly'!E621="","",'Informe Kelly'!E621)</f>
        <v>12.04.2011</v>
      </c>
      <c r="E628" s="72">
        <f t="shared" si="19"/>
        <v>316</v>
      </c>
      <c r="F628" s="72" t="str">
        <f>IFERROR(HLOOKUP(C628,Ingreso!$Q$8:$AD$9,2,FALSE),"v")</f>
        <v>Martes</v>
      </c>
      <c r="G628" s="65" t="str">
        <f>IFERROR(VLOOKUP(A628,Ingreso!K:P,6,FALSE),"no esta ingresado")</f>
        <v>Turno A</v>
      </c>
      <c r="H628" s="65">
        <f>IFERROR(IF('Informe Kelly'!H621=$A$2,'Informe Kelly'!F621,""),0)</f>
        <v>0.29655092592592591</v>
      </c>
      <c r="I628" s="65" t="str">
        <f>IFERROR(IF('Informe Kelly'!H621=$A$3,'Informe Kelly'!F621,""),0)</f>
        <v/>
      </c>
      <c r="J628" s="65" t="str">
        <f>IF(IFERROR(IF(E628=E627,0,(HLOOKUP(D628,Ingreso!$AN$10:$AT$260,VLOOKUP(A628,Ingreso!$AL$11:$AM$260,2,FALSE)))/24),0)=0,"",IFERROR(IF(E628=E627,0,(HLOOKUP(D628,Ingreso!$AN$10:$AT$260,VLOOKUP(A628,Ingreso!$AL$11:$AM$260,2,FALSE)))/24),0))</f>
        <v/>
      </c>
      <c r="K628" s="65" t="str">
        <f>IF(IFERROR(IF(E628=E627,0,(HLOOKUP(C628,Ingreso!$AW$10:$BC$260,VLOOKUP(A628,Ingreso!$AL$11:$AM$260,2,FALSE)))/24),0)=0,"",IFERROR(IF(E628=E627,0,(HLOOKUP(C628,Ingreso!$AW$10:$BC$260,VLOOKUP(A628,Ingreso!$AL$11:$AM$260,2,FALSE)))/24),0))</f>
        <v/>
      </c>
      <c r="L628" s="63">
        <f t="shared" si="18"/>
        <v>0</v>
      </c>
      <c r="M628" s="63" t="str">
        <f>IF(IFERROR(IF(C628=C626,0,IF(E628=E627,0,IF(C628=$R$2,HLOOKUP($R$2,Ingreso!$AW$10:$BC$260,VLOOKUP(A628,Ingreso!AL:AM,2,FALSE),FALSE)/24,""))),"")=0,"",IFERROR(IF(C628=C626,0,IF(E628=E627,0,IF(C628=$R$2,HLOOKUP($R$2,Ingreso!$AW$10:$BC$260,VLOOKUP(A628,Ingreso!AL:AM,2,FALSE),FALSE)/24,""))),""))</f>
        <v/>
      </c>
      <c r="N628" s="95" t="str">
        <f>IF(IFERROR(IF(C628=C626,0,IF(E628=E627,0,IF(C628=$R$3,HLOOKUP($R$3,Ingreso!$AW$10:$BC$260,VLOOKUP(A628,Ingreso!AL:AM,2,FALSE),FALSE)/24,""))),"")=0,"",IFERROR(IF(C628=C626,0,IF(E628=E627,0,IF(C628=$R$3,HLOOKUP($R$3,Ingreso!$AW$10:$BC$260,VLOOKUP(A628,Ingreso!AL:AM,2,FALSE),FALSE)/24,""))),""))</f>
        <v/>
      </c>
      <c r="O628" s="95" t="str">
        <f>IF(IFERROR(IF(C628=C626,0,IF(E628=E627,0,IF(C628=$R$4,HLOOKUP($R$4,Ingreso!$AW$10:$BC$260,VLOOKUP(A628,Ingreso!AL:AM,2,FALSE),FALSE)/24,""))),"")=0,"",IFERROR(IF(C628=C626,0,IF(E628=E627,0,IF(C628=$R$4,HLOOKUP($R$4,Ingreso!$AW$10:$BC$260,VLOOKUP(A628,Ingreso!AL:AM,2,FALSE),FALSE)/24,""))),""))</f>
        <v/>
      </c>
      <c r="P628" s="90"/>
      <c r="V628"/>
      <c r="W628"/>
      <c r="X628"/>
      <c r="Y628"/>
      <c r="Z628"/>
      <c r="AA628"/>
      <c r="AB628"/>
      <c r="AC628"/>
      <c r="AD628"/>
    </row>
    <row r="629" spans="1:30">
      <c r="A629" s="65" t="str">
        <f>IFERROR(VLOOKUP('Informe Kelly'!A622,Base!A:B,2,FALSE),"")</f>
        <v>13.045.231-0</v>
      </c>
      <c r="B629" s="65" t="str">
        <f>IFERROR(VLOOKUP('Informe Kelly'!A622,Base!A:G,7,FALSE),"")</f>
        <v>ARANCIBIA SILVA FELIPE</v>
      </c>
      <c r="C629" s="69" t="str">
        <f>IF(G629=$C$4,IF('Informe Kelly'!H622='Control informe Kelly'!$A$2,TEXT(((LEFT('Informe Kelly'!E622,2)*1)+1),"dd")&amp;"."&amp;MID('Informe Kelly'!E622,4,2)&amp;"."&amp;RIGHT('Informe Kelly'!E622,4),'Informe Kelly'!E622),'Informe Kelly'!E622)</f>
        <v>13.04.2011</v>
      </c>
      <c r="D629" s="69" t="str">
        <f>IF('Informe Kelly'!E622="","",'Informe Kelly'!E622)</f>
        <v>13.04.2011</v>
      </c>
      <c r="E629" s="72">
        <f t="shared" si="19"/>
        <v>317</v>
      </c>
      <c r="F629" s="72" t="str">
        <f>IFERROR(HLOOKUP(C629,Ingreso!$Q$8:$AD$9,2,FALSE),"v")</f>
        <v>Miércoles</v>
      </c>
      <c r="G629" s="65" t="str">
        <f>IFERROR(VLOOKUP(A629,Ingreso!K:P,6,FALSE),"no esta ingresado")</f>
        <v>Turno A</v>
      </c>
      <c r="H629" s="65" t="str">
        <f>IFERROR(IF('Informe Kelly'!H622=$A$2,'Informe Kelly'!F622,""),0)</f>
        <v/>
      </c>
      <c r="I629" s="65">
        <f>IFERROR(IF('Informe Kelly'!H622=$A$3,'Informe Kelly'!F622,""),0)</f>
        <v>0.63694444444444442</v>
      </c>
      <c r="J629" s="65" t="str">
        <f>IF(IFERROR(IF(E629=E628,0,(HLOOKUP(D629,Ingreso!$AN$10:$AT$260,VLOOKUP(A629,Ingreso!$AL$11:$AM$260,2,FALSE)))/24),0)=0,"",IFERROR(IF(E629=E628,0,(HLOOKUP(D629,Ingreso!$AN$10:$AT$260,VLOOKUP(A629,Ingreso!$AL$11:$AM$260,2,FALSE)))/24),0))</f>
        <v/>
      </c>
      <c r="K629" s="65" t="str">
        <f>IF(IFERROR(IF(E629=E628,0,(HLOOKUP(C629,Ingreso!$AW$10:$BC$260,VLOOKUP(A629,Ingreso!$AL$11:$AM$260,2,FALSE)))/24),0)=0,"",IFERROR(IF(E629=E628,0,(HLOOKUP(C629,Ingreso!$AW$10:$BC$260,VLOOKUP(A629,Ingreso!$AL$11:$AM$260,2,FALSE)))/24),0))</f>
        <v/>
      </c>
      <c r="L629" s="63">
        <f t="shared" si="18"/>
        <v>0.3125</v>
      </c>
      <c r="M629" s="63" t="str">
        <f>IF(IFERROR(IF(C629=C627,0,IF(E629=E628,0,IF(C629=$R$2,HLOOKUP($R$2,Ingreso!$AW$10:$BC$260,VLOOKUP(A629,Ingreso!AL:AM,2,FALSE),FALSE)/24,""))),"")=0,"",IFERROR(IF(C629=C627,0,IF(E629=E628,0,IF(C629=$R$2,HLOOKUP($R$2,Ingreso!$AW$10:$BC$260,VLOOKUP(A629,Ingreso!AL:AM,2,FALSE),FALSE)/24,""))),""))</f>
        <v/>
      </c>
      <c r="N629" s="95" t="str">
        <f>IF(IFERROR(IF(C629=C627,0,IF(E629=E628,0,IF(C629=$R$3,HLOOKUP($R$3,Ingreso!$AW$10:$BC$260,VLOOKUP(A629,Ingreso!AL:AM,2,FALSE),FALSE)/24,""))),"")=0,"",IFERROR(IF(C629=C627,0,IF(E629=E628,0,IF(C629=$R$3,HLOOKUP($R$3,Ingreso!$AW$10:$BC$260,VLOOKUP(A629,Ingreso!AL:AM,2,FALSE),FALSE)/24,""))),""))</f>
        <v/>
      </c>
      <c r="O629" s="95" t="str">
        <f>IF(IFERROR(IF(C629=C627,0,IF(E629=E628,0,IF(C629=$R$4,HLOOKUP($R$4,Ingreso!$AW$10:$BC$260,VLOOKUP(A629,Ingreso!AL:AM,2,FALSE),FALSE)/24,""))),"")=0,"",IFERROR(IF(C629=C627,0,IF(E629=E628,0,IF(C629=$R$4,HLOOKUP($R$4,Ingreso!$AW$10:$BC$260,VLOOKUP(A629,Ingreso!AL:AM,2,FALSE),FALSE)/24,""))),""))</f>
        <v/>
      </c>
      <c r="P629" s="90"/>
      <c r="V629"/>
      <c r="W629"/>
      <c r="X629"/>
      <c r="Y629"/>
      <c r="Z629"/>
      <c r="AA629"/>
      <c r="AB629"/>
      <c r="AC629"/>
      <c r="AD629"/>
    </row>
    <row r="630" spans="1:30">
      <c r="A630" s="65" t="str">
        <f>IFERROR(VLOOKUP('Informe Kelly'!A623,Base!A:B,2,FALSE),"")</f>
        <v>13.045.231-0</v>
      </c>
      <c r="B630" s="65" t="str">
        <f>IFERROR(VLOOKUP('Informe Kelly'!A623,Base!A:G,7,FALSE),"")</f>
        <v>ARANCIBIA SILVA FELIPE</v>
      </c>
      <c r="C630" s="69" t="str">
        <f>IF(G630=$C$4,IF('Informe Kelly'!H623='Control informe Kelly'!$A$2,TEXT(((LEFT('Informe Kelly'!E623,2)*1)+1),"dd")&amp;"."&amp;MID('Informe Kelly'!E623,4,2)&amp;"."&amp;RIGHT('Informe Kelly'!E623,4),'Informe Kelly'!E623),'Informe Kelly'!E623)</f>
        <v>13.04.2011</v>
      </c>
      <c r="D630" s="69" t="str">
        <f>IF('Informe Kelly'!E623="","",'Informe Kelly'!E623)</f>
        <v>13.04.2011</v>
      </c>
      <c r="E630" s="72">
        <f t="shared" si="19"/>
        <v>317</v>
      </c>
      <c r="F630" s="72" t="str">
        <f>IFERROR(HLOOKUP(C630,Ingreso!$Q$8:$AD$9,2,FALSE),"v")</f>
        <v>Miércoles</v>
      </c>
      <c r="G630" s="65" t="str">
        <f>IFERROR(VLOOKUP(A630,Ingreso!K:P,6,FALSE),"no esta ingresado")</f>
        <v>Turno A</v>
      </c>
      <c r="H630" s="65">
        <f>IFERROR(IF('Informe Kelly'!H623=$A$2,'Informe Kelly'!F623,""),0)</f>
        <v>0.29640046296296296</v>
      </c>
      <c r="I630" s="65" t="str">
        <f>IFERROR(IF('Informe Kelly'!H623=$A$3,'Informe Kelly'!F623,""),0)</f>
        <v/>
      </c>
      <c r="J630" s="65" t="str">
        <f>IF(IFERROR(IF(E630=E629,0,(HLOOKUP(D630,Ingreso!$AN$10:$AT$260,VLOOKUP(A630,Ingreso!$AL$11:$AM$260,2,FALSE)))/24),0)=0,"",IFERROR(IF(E630=E629,0,(HLOOKUP(D630,Ingreso!$AN$10:$AT$260,VLOOKUP(A630,Ingreso!$AL$11:$AM$260,2,FALSE)))/24),0))</f>
        <v/>
      </c>
      <c r="K630" s="65" t="str">
        <f>IF(IFERROR(IF(E630=E629,0,(HLOOKUP(C630,Ingreso!$AW$10:$BC$260,VLOOKUP(A630,Ingreso!$AL$11:$AM$260,2,FALSE)))/24),0)=0,"",IFERROR(IF(E630=E629,0,(HLOOKUP(C630,Ingreso!$AW$10:$BC$260,VLOOKUP(A630,Ingreso!$AL$11:$AM$260,2,FALSE)))/24),0))</f>
        <v/>
      </c>
      <c r="L630" s="63">
        <f t="shared" si="18"/>
        <v>0</v>
      </c>
      <c r="M630" s="63" t="str">
        <f>IF(IFERROR(IF(C630=C628,0,IF(E630=E629,0,IF(C630=$R$2,HLOOKUP($R$2,Ingreso!$AW$10:$BC$260,VLOOKUP(A630,Ingreso!AL:AM,2,FALSE),FALSE)/24,""))),"")=0,"",IFERROR(IF(C630=C628,0,IF(E630=E629,0,IF(C630=$R$2,HLOOKUP($R$2,Ingreso!$AW$10:$BC$260,VLOOKUP(A630,Ingreso!AL:AM,2,FALSE),FALSE)/24,""))),""))</f>
        <v/>
      </c>
      <c r="N630" s="95" t="str">
        <f>IF(IFERROR(IF(C630=C628,0,IF(E630=E629,0,IF(C630=$R$3,HLOOKUP($R$3,Ingreso!$AW$10:$BC$260,VLOOKUP(A630,Ingreso!AL:AM,2,FALSE),FALSE)/24,""))),"")=0,"",IFERROR(IF(C630=C628,0,IF(E630=E629,0,IF(C630=$R$3,HLOOKUP($R$3,Ingreso!$AW$10:$BC$260,VLOOKUP(A630,Ingreso!AL:AM,2,FALSE),FALSE)/24,""))),""))</f>
        <v/>
      </c>
      <c r="O630" s="95" t="str">
        <f>IF(IFERROR(IF(C630=C628,0,IF(E630=E629,0,IF(C630=$R$4,HLOOKUP($R$4,Ingreso!$AW$10:$BC$260,VLOOKUP(A630,Ingreso!AL:AM,2,FALSE),FALSE)/24,""))),"")=0,"",IFERROR(IF(C630=C628,0,IF(E630=E629,0,IF(C630=$R$4,HLOOKUP($R$4,Ingreso!$AW$10:$BC$260,VLOOKUP(A630,Ingreso!AL:AM,2,FALSE),FALSE)/24,""))),""))</f>
        <v/>
      </c>
      <c r="P630" s="90"/>
      <c r="V630"/>
      <c r="W630"/>
      <c r="X630"/>
      <c r="Y630"/>
      <c r="Z630"/>
      <c r="AA630"/>
      <c r="AB630"/>
      <c r="AC630"/>
      <c r="AD630"/>
    </row>
    <row r="631" spans="1:30">
      <c r="A631" s="65" t="str">
        <f>IFERROR(VLOOKUP('Informe Kelly'!A624,Base!A:B,2,FALSE),"")</f>
        <v>13.045.231-0</v>
      </c>
      <c r="B631" s="65" t="str">
        <f>IFERROR(VLOOKUP('Informe Kelly'!A624,Base!A:G,7,FALSE),"")</f>
        <v>ARANCIBIA SILVA FELIPE</v>
      </c>
      <c r="C631" s="69" t="str">
        <f>IF(G631=$C$4,IF('Informe Kelly'!H624='Control informe Kelly'!$A$2,TEXT(((LEFT('Informe Kelly'!E624,2)*1)+1),"dd")&amp;"."&amp;MID('Informe Kelly'!E624,4,2)&amp;"."&amp;RIGHT('Informe Kelly'!E624,4),'Informe Kelly'!E624),'Informe Kelly'!E624)</f>
        <v>14.04.2011</v>
      </c>
      <c r="D631" s="69" t="str">
        <f>IF('Informe Kelly'!E624="","",'Informe Kelly'!E624)</f>
        <v>14.04.2011</v>
      </c>
      <c r="E631" s="72">
        <f t="shared" si="19"/>
        <v>318</v>
      </c>
      <c r="F631" s="72" t="str">
        <f>IFERROR(HLOOKUP(C631,Ingreso!$Q$8:$AD$9,2,FALSE),"v")</f>
        <v>Jueves</v>
      </c>
      <c r="G631" s="65" t="str">
        <f>IFERROR(VLOOKUP(A631,Ingreso!K:P,6,FALSE),"no esta ingresado")</f>
        <v>Turno A</v>
      </c>
      <c r="H631" s="65" t="str">
        <f>IFERROR(IF('Informe Kelly'!H624=$A$2,'Informe Kelly'!F624,""),0)</f>
        <v/>
      </c>
      <c r="I631" s="65">
        <f>IFERROR(IF('Informe Kelly'!H624=$A$3,'Informe Kelly'!F624,""),0)</f>
        <v>0.64226851851851852</v>
      </c>
      <c r="J631" s="65" t="str">
        <f>IF(IFERROR(IF(E631=E630,0,(HLOOKUP(D631,Ingreso!$AN$10:$AT$260,VLOOKUP(A631,Ingreso!$AL$11:$AM$260,2,FALSE)))/24),0)=0,"",IFERROR(IF(E631=E630,0,(HLOOKUP(D631,Ingreso!$AN$10:$AT$260,VLOOKUP(A631,Ingreso!$AL$11:$AM$260,2,FALSE)))/24),0))</f>
        <v/>
      </c>
      <c r="K631" s="65" t="str">
        <f>IF(IFERROR(IF(E631=E630,0,(HLOOKUP(C631,Ingreso!$AW$10:$BC$260,VLOOKUP(A631,Ingreso!$AL$11:$AM$260,2,FALSE)))/24),0)=0,"",IFERROR(IF(E631=E630,0,(HLOOKUP(C631,Ingreso!$AW$10:$BC$260,VLOOKUP(A631,Ingreso!$AL$11:$AM$260,2,FALSE)))/24),0))</f>
        <v/>
      </c>
      <c r="L631" s="63">
        <f t="shared" si="18"/>
        <v>0.3125</v>
      </c>
      <c r="M631" s="63" t="str">
        <f>IF(IFERROR(IF(C631=C629,0,IF(E631=E630,0,IF(C631=$R$2,HLOOKUP($R$2,Ingreso!$AW$10:$BC$260,VLOOKUP(A631,Ingreso!AL:AM,2,FALSE),FALSE)/24,""))),"")=0,"",IFERROR(IF(C631=C629,0,IF(E631=E630,0,IF(C631=$R$2,HLOOKUP($R$2,Ingreso!$AW$10:$BC$260,VLOOKUP(A631,Ingreso!AL:AM,2,FALSE),FALSE)/24,""))),""))</f>
        <v/>
      </c>
      <c r="N631" s="95" t="str">
        <f>IF(IFERROR(IF(C631=C629,0,IF(E631=E630,0,IF(C631=$R$3,HLOOKUP($R$3,Ingreso!$AW$10:$BC$260,VLOOKUP(A631,Ingreso!AL:AM,2,FALSE),FALSE)/24,""))),"")=0,"",IFERROR(IF(C631=C629,0,IF(E631=E630,0,IF(C631=$R$3,HLOOKUP($R$3,Ingreso!$AW$10:$BC$260,VLOOKUP(A631,Ingreso!AL:AM,2,FALSE),FALSE)/24,""))),""))</f>
        <v/>
      </c>
      <c r="O631" s="95" t="str">
        <f>IF(IFERROR(IF(C631=C629,0,IF(E631=E630,0,IF(C631=$R$4,HLOOKUP($R$4,Ingreso!$AW$10:$BC$260,VLOOKUP(A631,Ingreso!AL:AM,2,FALSE),FALSE)/24,""))),"")=0,"",IFERROR(IF(C631=C629,0,IF(E631=E630,0,IF(C631=$R$4,HLOOKUP($R$4,Ingreso!$AW$10:$BC$260,VLOOKUP(A631,Ingreso!AL:AM,2,FALSE),FALSE)/24,""))),""))</f>
        <v/>
      </c>
      <c r="P631" s="90"/>
      <c r="V631"/>
      <c r="W631"/>
      <c r="X631"/>
      <c r="Y631"/>
      <c r="Z631"/>
      <c r="AA631"/>
      <c r="AB631"/>
      <c r="AC631"/>
      <c r="AD631"/>
    </row>
    <row r="632" spans="1:30">
      <c r="A632" s="65" t="str">
        <f>IFERROR(VLOOKUP('Informe Kelly'!A625,Base!A:B,2,FALSE),"")</f>
        <v>13.045.231-0</v>
      </c>
      <c r="B632" s="65" t="str">
        <f>IFERROR(VLOOKUP('Informe Kelly'!A625,Base!A:G,7,FALSE),"")</f>
        <v>ARANCIBIA SILVA FELIPE</v>
      </c>
      <c r="C632" s="69" t="str">
        <f>IF(G632=$C$4,IF('Informe Kelly'!H625='Control informe Kelly'!$A$2,TEXT(((LEFT('Informe Kelly'!E625,2)*1)+1),"dd")&amp;"."&amp;MID('Informe Kelly'!E625,4,2)&amp;"."&amp;RIGHT('Informe Kelly'!E625,4),'Informe Kelly'!E625),'Informe Kelly'!E625)</f>
        <v>14.04.2011</v>
      </c>
      <c r="D632" s="69" t="str">
        <f>IF('Informe Kelly'!E625="","",'Informe Kelly'!E625)</f>
        <v>14.04.2011</v>
      </c>
      <c r="E632" s="72">
        <f t="shared" si="19"/>
        <v>318</v>
      </c>
      <c r="F632" s="72" t="str">
        <f>IFERROR(HLOOKUP(C632,Ingreso!$Q$8:$AD$9,2,FALSE),"v")</f>
        <v>Jueves</v>
      </c>
      <c r="G632" s="65" t="str">
        <f>IFERROR(VLOOKUP(A632,Ingreso!K:P,6,FALSE),"no esta ingresado")</f>
        <v>Turno A</v>
      </c>
      <c r="H632" s="65">
        <f>IFERROR(IF('Informe Kelly'!H625=$A$2,'Informe Kelly'!F625,""),0)</f>
        <v>0.29673611111111114</v>
      </c>
      <c r="I632" s="65" t="str">
        <f>IFERROR(IF('Informe Kelly'!H625=$A$3,'Informe Kelly'!F625,""),0)</f>
        <v/>
      </c>
      <c r="J632" s="65" t="str">
        <f>IF(IFERROR(IF(E632=E631,0,(HLOOKUP(D632,Ingreso!$AN$10:$AT$260,VLOOKUP(A632,Ingreso!$AL$11:$AM$260,2,FALSE)))/24),0)=0,"",IFERROR(IF(E632=E631,0,(HLOOKUP(D632,Ingreso!$AN$10:$AT$260,VLOOKUP(A632,Ingreso!$AL$11:$AM$260,2,FALSE)))/24),0))</f>
        <v/>
      </c>
      <c r="K632" s="65" t="str">
        <f>IF(IFERROR(IF(E632=E631,0,(HLOOKUP(C632,Ingreso!$AW$10:$BC$260,VLOOKUP(A632,Ingreso!$AL$11:$AM$260,2,FALSE)))/24),0)=0,"",IFERROR(IF(E632=E631,0,(HLOOKUP(C632,Ingreso!$AW$10:$BC$260,VLOOKUP(A632,Ingreso!$AL$11:$AM$260,2,FALSE)))/24),0))</f>
        <v/>
      </c>
      <c r="L632" s="63">
        <f t="shared" si="18"/>
        <v>0</v>
      </c>
      <c r="M632" s="63" t="str">
        <f>IF(IFERROR(IF(C632=C630,0,IF(E632=E631,0,IF(C632=$R$2,HLOOKUP($R$2,Ingreso!$AW$10:$BC$260,VLOOKUP(A632,Ingreso!AL:AM,2,FALSE),FALSE)/24,""))),"")=0,"",IFERROR(IF(C632=C630,0,IF(E632=E631,0,IF(C632=$R$2,HLOOKUP($R$2,Ingreso!$AW$10:$BC$260,VLOOKUP(A632,Ingreso!AL:AM,2,FALSE),FALSE)/24,""))),""))</f>
        <v/>
      </c>
      <c r="N632" s="95" t="str">
        <f>IF(IFERROR(IF(C632=C630,0,IF(E632=E631,0,IF(C632=$R$3,HLOOKUP($R$3,Ingreso!$AW$10:$BC$260,VLOOKUP(A632,Ingreso!AL:AM,2,FALSE),FALSE)/24,""))),"")=0,"",IFERROR(IF(C632=C630,0,IF(E632=E631,0,IF(C632=$R$3,HLOOKUP($R$3,Ingreso!$AW$10:$BC$260,VLOOKUP(A632,Ingreso!AL:AM,2,FALSE),FALSE)/24,""))),""))</f>
        <v/>
      </c>
      <c r="O632" s="95" t="str">
        <f>IF(IFERROR(IF(C632=C630,0,IF(E632=E631,0,IF(C632=$R$4,HLOOKUP($R$4,Ingreso!$AW$10:$BC$260,VLOOKUP(A632,Ingreso!AL:AM,2,FALSE),FALSE)/24,""))),"")=0,"",IFERROR(IF(C632=C630,0,IF(E632=E631,0,IF(C632=$R$4,HLOOKUP($R$4,Ingreso!$AW$10:$BC$260,VLOOKUP(A632,Ingreso!AL:AM,2,FALSE),FALSE)/24,""))),""))</f>
        <v/>
      </c>
      <c r="P632" s="90"/>
      <c r="V632"/>
      <c r="W632"/>
      <c r="X632"/>
      <c r="Y632"/>
      <c r="Z632"/>
      <c r="AA632"/>
      <c r="AB632"/>
      <c r="AC632"/>
      <c r="AD632"/>
    </row>
    <row r="633" spans="1:30">
      <c r="A633" s="65" t="str">
        <f>IFERROR(VLOOKUP('Informe Kelly'!A626,Base!A:B,2,FALSE),"")</f>
        <v>13.045.231-0</v>
      </c>
      <c r="B633" s="65" t="str">
        <f>IFERROR(VLOOKUP('Informe Kelly'!A626,Base!A:G,7,FALSE),"")</f>
        <v>ARANCIBIA SILVA FELIPE</v>
      </c>
      <c r="C633" s="69" t="str">
        <f>IF(G633=$C$4,IF('Informe Kelly'!H626='Control informe Kelly'!$A$2,TEXT(((LEFT('Informe Kelly'!E626,2)*1)+1),"dd")&amp;"."&amp;MID('Informe Kelly'!E626,4,2)&amp;"."&amp;RIGHT('Informe Kelly'!E626,4),'Informe Kelly'!E626),'Informe Kelly'!E626)</f>
        <v>15.04.2011</v>
      </c>
      <c r="D633" s="69" t="str">
        <f>IF('Informe Kelly'!E626="","",'Informe Kelly'!E626)</f>
        <v>15.04.2011</v>
      </c>
      <c r="E633" s="72">
        <f t="shared" si="19"/>
        <v>319</v>
      </c>
      <c r="F633" s="72" t="str">
        <f>IFERROR(HLOOKUP(C633,Ingreso!$Q$8:$AD$9,2,FALSE),"v")</f>
        <v>Viernes</v>
      </c>
      <c r="G633" s="65" t="str">
        <f>IFERROR(VLOOKUP(A633,Ingreso!K:P,6,FALSE),"no esta ingresado")</f>
        <v>Turno A</v>
      </c>
      <c r="H633" s="65" t="str">
        <f>IFERROR(IF('Informe Kelly'!H626=$A$2,'Informe Kelly'!F626,""),0)</f>
        <v/>
      </c>
      <c r="I633" s="65">
        <f>IFERROR(IF('Informe Kelly'!H626=$A$3,'Informe Kelly'!F626,""),0)</f>
        <v>0.69627314814814811</v>
      </c>
      <c r="J633" s="65">
        <f>IF(IFERROR(IF(E633=E632,0,(HLOOKUP(D633,Ingreso!$AN$10:$AT$260,VLOOKUP(A633,Ingreso!$AL$11:$AM$260,2,FALSE)))/24),0)=0,"",IFERROR(IF(E633=E632,0,(HLOOKUP(D633,Ingreso!$AN$10:$AT$260,VLOOKUP(A633,Ingreso!$AL$11:$AM$260,2,FALSE)))/24),0))</f>
        <v>4.1666666666666664E-2</v>
      </c>
      <c r="K633" s="65" t="str">
        <f>IF(IFERROR(IF(E633=E632,0,(HLOOKUP(C633,Ingreso!$AW$10:$BC$260,VLOOKUP(A633,Ingreso!$AL$11:$AM$260,2,FALSE)))/24),0)=0,"",IFERROR(IF(E633=E632,0,(HLOOKUP(C633,Ingreso!$AW$10:$BC$260,VLOOKUP(A633,Ingreso!$AL$11:$AM$260,2,FALSE)))/24),0))</f>
        <v/>
      </c>
      <c r="L633" s="63">
        <f t="shared" si="18"/>
        <v>0.3125</v>
      </c>
      <c r="M633" s="63" t="str">
        <f>IF(IFERROR(IF(C633=C631,0,IF(E633=E632,0,IF(C633=$R$2,HLOOKUP($R$2,Ingreso!$AW$10:$BC$260,VLOOKUP(A633,Ingreso!AL:AM,2,FALSE),FALSE)/24,""))),"")=0,"",IFERROR(IF(C633=C631,0,IF(E633=E632,0,IF(C633=$R$2,HLOOKUP($R$2,Ingreso!$AW$10:$BC$260,VLOOKUP(A633,Ingreso!AL:AM,2,FALSE),FALSE)/24,""))),""))</f>
        <v/>
      </c>
      <c r="N633" s="95" t="str">
        <f>IF(IFERROR(IF(C633=C631,0,IF(E633=E632,0,IF(C633=$R$3,HLOOKUP($R$3,Ingreso!$AW$10:$BC$260,VLOOKUP(A633,Ingreso!AL:AM,2,FALSE),FALSE)/24,""))),"")=0,"",IFERROR(IF(C633=C631,0,IF(E633=E632,0,IF(C633=$R$3,HLOOKUP($R$3,Ingreso!$AW$10:$BC$260,VLOOKUP(A633,Ingreso!AL:AM,2,FALSE),FALSE)/24,""))),""))</f>
        <v/>
      </c>
      <c r="O633" s="95" t="str">
        <f>IF(IFERROR(IF(C633=C631,0,IF(E633=E632,0,IF(C633=$R$4,HLOOKUP($R$4,Ingreso!$AW$10:$BC$260,VLOOKUP(A633,Ingreso!AL:AM,2,FALSE),FALSE)/24,""))),"")=0,"",IFERROR(IF(C633=C631,0,IF(E633=E632,0,IF(C633=$R$4,HLOOKUP($R$4,Ingreso!$AW$10:$BC$260,VLOOKUP(A633,Ingreso!AL:AM,2,FALSE),FALSE)/24,""))),""))</f>
        <v/>
      </c>
      <c r="P633" s="90"/>
      <c r="V633"/>
      <c r="W633"/>
      <c r="X633"/>
      <c r="Y633"/>
      <c r="Z633"/>
      <c r="AA633"/>
      <c r="AB633"/>
      <c r="AC633"/>
      <c r="AD633"/>
    </row>
    <row r="634" spans="1:30">
      <c r="A634" s="65" t="str">
        <f>IFERROR(VLOOKUP('Informe Kelly'!A627,Base!A:B,2,FALSE),"")</f>
        <v>13.045.231-0</v>
      </c>
      <c r="B634" s="65" t="str">
        <f>IFERROR(VLOOKUP('Informe Kelly'!A627,Base!A:G,7,FALSE),"")</f>
        <v>ARANCIBIA SILVA FELIPE</v>
      </c>
      <c r="C634" s="69" t="str">
        <f>IF(G634=$C$4,IF('Informe Kelly'!H627='Control informe Kelly'!$A$2,TEXT(((LEFT('Informe Kelly'!E627,2)*1)+1),"dd")&amp;"."&amp;MID('Informe Kelly'!E627,4,2)&amp;"."&amp;RIGHT('Informe Kelly'!E627,4),'Informe Kelly'!E627),'Informe Kelly'!E627)</f>
        <v>15.04.2011</v>
      </c>
      <c r="D634" s="69" t="str">
        <f>IF('Informe Kelly'!E627="","",'Informe Kelly'!E627)</f>
        <v>15.04.2011</v>
      </c>
      <c r="E634" s="72">
        <f t="shared" si="19"/>
        <v>319</v>
      </c>
      <c r="F634" s="72" t="str">
        <f>IFERROR(HLOOKUP(C634,Ingreso!$Q$8:$AD$9,2,FALSE),"v")</f>
        <v>Viernes</v>
      </c>
      <c r="G634" s="65" t="str">
        <f>IFERROR(VLOOKUP(A634,Ingreso!K:P,6,FALSE),"no esta ingresado")</f>
        <v>Turno A</v>
      </c>
      <c r="H634" s="65">
        <f>IFERROR(IF('Informe Kelly'!H627=$A$2,'Informe Kelly'!F627,""),0)</f>
        <v>0.29641203703703706</v>
      </c>
      <c r="I634" s="65" t="str">
        <f>IFERROR(IF('Informe Kelly'!H627=$A$3,'Informe Kelly'!F627,""),0)</f>
        <v/>
      </c>
      <c r="J634" s="65" t="str">
        <f>IF(IFERROR(IF(E634=E633,0,(HLOOKUP(D634,Ingreso!$AN$10:$AT$260,VLOOKUP(A634,Ingreso!$AL$11:$AM$260,2,FALSE)))/24),0)=0,"",IFERROR(IF(E634=E633,0,(HLOOKUP(D634,Ingreso!$AN$10:$AT$260,VLOOKUP(A634,Ingreso!$AL$11:$AM$260,2,FALSE)))/24),0))</f>
        <v/>
      </c>
      <c r="K634" s="65" t="str">
        <f>IF(IFERROR(IF(E634=E633,0,(HLOOKUP(C634,Ingreso!$AW$10:$BC$260,VLOOKUP(A634,Ingreso!$AL$11:$AM$260,2,FALSE)))/24),0)=0,"",IFERROR(IF(E634=E633,0,(HLOOKUP(C634,Ingreso!$AW$10:$BC$260,VLOOKUP(A634,Ingreso!$AL$11:$AM$260,2,FALSE)))/24),0))</f>
        <v/>
      </c>
      <c r="L634" s="63">
        <f t="shared" si="18"/>
        <v>0</v>
      </c>
      <c r="M634" s="63" t="str">
        <f>IF(IFERROR(IF(C634=C632,0,IF(E634=E633,0,IF(C634=$R$2,HLOOKUP($R$2,Ingreso!$AW$10:$BC$260,VLOOKUP(A634,Ingreso!AL:AM,2,FALSE),FALSE)/24,""))),"")=0,"",IFERROR(IF(C634=C632,0,IF(E634=E633,0,IF(C634=$R$2,HLOOKUP($R$2,Ingreso!$AW$10:$BC$260,VLOOKUP(A634,Ingreso!AL:AM,2,FALSE),FALSE)/24,""))),""))</f>
        <v/>
      </c>
      <c r="N634" s="95" t="str">
        <f>IF(IFERROR(IF(C634=C632,0,IF(E634=E633,0,IF(C634=$R$3,HLOOKUP($R$3,Ingreso!$AW$10:$BC$260,VLOOKUP(A634,Ingreso!AL:AM,2,FALSE),FALSE)/24,""))),"")=0,"",IFERROR(IF(C634=C632,0,IF(E634=E633,0,IF(C634=$R$3,HLOOKUP($R$3,Ingreso!$AW$10:$BC$260,VLOOKUP(A634,Ingreso!AL:AM,2,FALSE),FALSE)/24,""))),""))</f>
        <v/>
      </c>
      <c r="O634" s="95" t="str">
        <f>IF(IFERROR(IF(C634=C632,0,IF(E634=E633,0,IF(C634=$R$4,HLOOKUP($R$4,Ingreso!$AW$10:$BC$260,VLOOKUP(A634,Ingreso!AL:AM,2,FALSE),FALSE)/24,""))),"")=0,"",IFERROR(IF(C634=C632,0,IF(E634=E633,0,IF(C634=$R$4,HLOOKUP($R$4,Ingreso!$AW$10:$BC$260,VLOOKUP(A634,Ingreso!AL:AM,2,FALSE),FALSE)/24,""))),""))</f>
        <v/>
      </c>
      <c r="P634" s="90"/>
      <c r="V634"/>
      <c r="W634"/>
      <c r="X634"/>
      <c r="Y634"/>
      <c r="Z634"/>
      <c r="AA634"/>
      <c r="AB634"/>
      <c r="AC634"/>
      <c r="AD634"/>
    </row>
    <row r="635" spans="1:30">
      <c r="A635" s="65" t="str">
        <f>IFERROR(VLOOKUP('Informe Kelly'!A628,Base!A:B,2,FALSE),"")</f>
        <v>13.045.231-0</v>
      </c>
      <c r="B635" s="65" t="str">
        <f>IFERROR(VLOOKUP('Informe Kelly'!A628,Base!A:G,7,FALSE),"")</f>
        <v>ARANCIBIA SILVA FELIPE</v>
      </c>
      <c r="C635" s="69" t="str">
        <f>IF(G635=$C$4,IF('Informe Kelly'!H628='Control informe Kelly'!$A$2,TEXT(((LEFT('Informe Kelly'!E628,2)*1)+1),"dd")&amp;"."&amp;MID('Informe Kelly'!E628,4,2)&amp;"."&amp;RIGHT('Informe Kelly'!E628,4),'Informe Kelly'!E628),'Informe Kelly'!E628)</f>
        <v>16.04.2011</v>
      </c>
      <c r="D635" s="69" t="str">
        <f>IF('Informe Kelly'!E628="","",'Informe Kelly'!E628)</f>
        <v>16.04.2011</v>
      </c>
      <c r="E635" s="72">
        <f t="shared" si="19"/>
        <v>320</v>
      </c>
      <c r="F635" s="72" t="str">
        <f>IFERROR(HLOOKUP(C635,Ingreso!$Q$8:$AD$9,2,FALSE),"v")</f>
        <v>Sábado</v>
      </c>
      <c r="G635" s="65" t="str">
        <f>IFERROR(VLOOKUP(A635,Ingreso!K:P,6,FALSE),"no esta ingresado")</f>
        <v>Turno A</v>
      </c>
      <c r="H635" s="65" t="str">
        <f>IFERROR(IF('Informe Kelly'!H628=$A$2,'Informe Kelly'!F628,""),0)</f>
        <v/>
      </c>
      <c r="I635" s="65">
        <f>IFERROR(IF('Informe Kelly'!H628=$A$3,'Informe Kelly'!F628,""),0)</f>
        <v>0.63670138888888894</v>
      </c>
      <c r="J635" s="65" t="str">
        <f>IF(IFERROR(IF(E635=E634,0,(HLOOKUP(D635,Ingreso!$AN$10:$AT$260,VLOOKUP(A635,Ingreso!$AL$11:$AM$260,2,FALSE)))/24),0)=0,"",IFERROR(IF(E635=E634,0,(HLOOKUP(D635,Ingreso!$AN$10:$AT$260,VLOOKUP(A635,Ingreso!$AL$11:$AM$260,2,FALSE)))/24),0))</f>
        <v/>
      </c>
      <c r="K635" s="65" t="str">
        <f>IF(IFERROR(IF(E635=E634,0,(HLOOKUP(C635,Ingreso!$AW$10:$BC$260,VLOOKUP(A635,Ingreso!$AL$11:$AM$260,2,FALSE)))/24),0)=0,"",IFERROR(IF(E635=E634,0,(HLOOKUP(C635,Ingreso!$AW$10:$BC$260,VLOOKUP(A635,Ingreso!$AL$11:$AM$260,2,FALSE)))/24),0))</f>
        <v/>
      </c>
      <c r="L635" s="63">
        <f t="shared" si="18"/>
        <v>0.3125</v>
      </c>
      <c r="M635" s="63" t="str">
        <f>IF(IFERROR(IF(C635=C633,0,IF(E635=E634,0,IF(C635=$R$2,HLOOKUP($R$2,Ingreso!$AW$10:$BC$260,VLOOKUP(A635,Ingreso!AL:AM,2,FALSE),FALSE)/24,""))),"")=0,"",IFERROR(IF(C635=C633,0,IF(E635=E634,0,IF(C635=$R$2,HLOOKUP($R$2,Ingreso!$AW$10:$BC$260,VLOOKUP(A635,Ingreso!AL:AM,2,FALSE),FALSE)/24,""))),""))</f>
        <v/>
      </c>
      <c r="N635" s="95" t="str">
        <f>IF(IFERROR(IF(C635=C633,0,IF(E635=E634,0,IF(C635=$R$3,HLOOKUP($R$3,Ingreso!$AW$10:$BC$260,VLOOKUP(A635,Ingreso!AL:AM,2,FALSE),FALSE)/24,""))),"")=0,"",IFERROR(IF(C635=C633,0,IF(E635=E634,0,IF(C635=$R$3,HLOOKUP($R$3,Ingreso!$AW$10:$BC$260,VLOOKUP(A635,Ingreso!AL:AM,2,FALSE),FALSE)/24,""))),""))</f>
        <v/>
      </c>
      <c r="O635" s="95" t="str">
        <f>IF(IFERROR(IF(C635=C633,0,IF(E635=E634,0,IF(C635=$R$4,HLOOKUP($R$4,Ingreso!$AW$10:$BC$260,VLOOKUP(A635,Ingreso!AL:AM,2,FALSE),FALSE)/24,""))),"")=0,"",IFERROR(IF(C635=C633,0,IF(E635=E634,0,IF(C635=$R$4,HLOOKUP($R$4,Ingreso!$AW$10:$BC$260,VLOOKUP(A635,Ingreso!AL:AM,2,FALSE),FALSE)/24,""))),""))</f>
        <v/>
      </c>
      <c r="P635" s="90"/>
      <c r="V635"/>
      <c r="W635"/>
      <c r="X635"/>
      <c r="Y635"/>
      <c r="Z635"/>
      <c r="AA635"/>
      <c r="AB635"/>
      <c r="AC635"/>
      <c r="AD635"/>
    </row>
    <row r="636" spans="1:30">
      <c r="A636" s="65" t="str">
        <f>IFERROR(VLOOKUP('Informe Kelly'!A629,Base!A:B,2,FALSE),"")</f>
        <v>13.045.231-0</v>
      </c>
      <c r="B636" s="65" t="str">
        <f>IFERROR(VLOOKUP('Informe Kelly'!A629,Base!A:G,7,FALSE),"")</f>
        <v>ARANCIBIA SILVA FELIPE</v>
      </c>
      <c r="C636" s="69" t="str">
        <f>IF(G636=$C$4,IF('Informe Kelly'!H629='Control informe Kelly'!$A$2,TEXT(((LEFT('Informe Kelly'!E629,2)*1)+1),"dd")&amp;"."&amp;MID('Informe Kelly'!E629,4,2)&amp;"."&amp;RIGHT('Informe Kelly'!E629,4),'Informe Kelly'!E629),'Informe Kelly'!E629)</f>
        <v>16.04.2011</v>
      </c>
      <c r="D636" s="69" t="str">
        <f>IF('Informe Kelly'!E629="","",'Informe Kelly'!E629)</f>
        <v>16.04.2011</v>
      </c>
      <c r="E636" s="72">
        <f t="shared" si="19"/>
        <v>320</v>
      </c>
      <c r="F636" s="72" t="str">
        <f>IFERROR(HLOOKUP(C636,Ingreso!$Q$8:$AD$9,2,FALSE),"v")</f>
        <v>Sábado</v>
      </c>
      <c r="G636" s="65" t="str">
        <f>IFERROR(VLOOKUP(A636,Ingreso!K:P,6,FALSE),"no esta ingresado")</f>
        <v>Turno A</v>
      </c>
      <c r="H636" s="65">
        <f>IFERROR(IF('Informe Kelly'!H629=$A$2,'Informe Kelly'!F629,""),0)</f>
        <v>0.30158564814814814</v>
      </c>
      <c r="I636" s="65" t="str">
        <f>IFERROR(IF('Informe Kelly'!H629=$A$3,'Informe Kelly'!F629,""),0)</f>
        <v/>
      </c>
      <c r="J636" s="65" t="str">
        <f>IF(IFERROR(IF(E636=E635,0,(HLOOKUP(D636,Ingreso!$AN$10:$AT$260,VLOOKUP(A636,Ingreso!$AL$11:$AM$260,2,FALSE)))/24),0)=0,"",IFERROR(IF(E636=E635,0,(HLOOKUP(D636,Ingreso!$AN$10:$AT$260,VLOOKUP(A636,Ingreso!$AL$11:$AM$260,2,FALSE)))/24),0))</f>
        <v/>
      </c>
      <c r="K636" s="65" t="str">
        <f>IF(IFERROR(IF(E636=E635,0,(HLOOKUP(C636,Ingreso!$AW$10:$BC$260,VLOOKUP(A636,Ingreso!$AL$11:$AM$260,2,FALSE)))/24),0)=0,"",IFERROR(IF(E636=E635,0,(HLOOKUP(C636,Ingreso!$AW$10:$BC$260,VLOOKUP(A636,Ingreso!$AL$11:$AM$260,2,FALSE)))/24),0))</f>
        <v/>
      </c>
      <c r="L636" s="63">
        <f t="shared" si="18"/>
        <v>0</v>
      </c>
      <c r="M636" s="63" t="str">
        <f>IF(IFERROR(IF(C636=C634,0,IF(E636=E635,0,IF(C636=$R$2,HLOOKUP($R$2,Ingreso!$AW$10:$BC$260,VLOOKUP(A636,Ingreso!AL:AM,2,FALSE),FALSE)/24,""))),"")=0,"",IFERROR(IF(C636=C634,0,IF(E636=E635,0,IF(C636=$R$2,HLOOKUP($R$2,Ingreso!$AW$10:$BC$260,VLOOKUP(A636,Ingreso!AL:AM,2,FALSE),FALSE)/24,""))),""))</f>
        <v/>
      </c>
      <c r="N636" s="95" t="str">
        <f>IF(IFERROR(IF(C636=C634,0,IF(E636=E635,0,IF(C636=$R$3,HLOOKUP($R$3,Ingreso!$AW$10:$BC$260,VLOOKUP(A636,Ingreso!AL:AM,2,FALSE),FALSE)/24,""))),"")=0,"",IFERROR(IF(C636=C634,0,IF(E636=E635,0,IF(C636=$R$3,HLOOKUP($R$3,Ingreso!$AW$10:$BC$260,VLOOKUP(A636,Ingreso!AL:AM,2,FALSE),FALSE)/24,""))),""))</f>
        <v/>
      </c>
      <c r="O636" s="95" t="str">
        <f>IF(IFERROR(IF(C636=C634,0,IF(E636=E635,0,IF(C636=$R$4,HLOOKUP($R$4,Ingreso!$AW$10:$BC$260,VLOOKUP(A636,Ingreso!AL:AM,2,FALSE),FALSE)/24,""))),"")=0,"",IFERROR(IF(C636=C634,0,IF(E636=E635,0,IF(C636=$R$4,HLOOKUP($R$4,Ingreso!$AW$10:$BC$260,VLOOKUP(A636,Ingreso!AL:AM,2,FALSE),FALSE)/24,""))),""))</f>
        <v/>
      </c>
      <c r="P636" s="90"/>
      <c r="V636"/>
      <c r="W636"/>
      <c r="X636"/>
      <c r="Y636"/>
      <c r="Z636"/>
      <c r="AA636"/>
      <c r="AB636"/>
      <c r="AC636"/>
      <c r="AD636"/>
    </row>
    <row r="637" spans="1:30">
      <c r="A637" s="65" t="str">
        <f>IFERROR(VLOOKUP('Informe Kelly'!A630,Base!A:B,2,FALSE),"")</f>
        <v>13.100.464-8</v>
      </c>
      <c r="B637" s="65" t="str">
        <f>IFERROR(VLOOKUP('Informe Kelly'!A630,Base!A:G,7,FALSE),"")</f>
        <v>GALLARDO  OYARCE,JOSE A.</v>
      </c>
      <c r="C637" s="69" t="str">
        <f>IF(G637=$C$4,IF('Informe Kelly'!H630='Control informe Kelly'!$A$2,TEXT(((LEFT('Informe Kelly'!E630,2)*1)+1),"dd")&amp;"."&amp;MID('Informe Kelly'!E630,4,2)&amp;"."&amp;RIGHT('Informe Kelly'!E630,4),'Informe Kelly'!E630),'Informe Kelly'!E630)</f>
        <v>11.04.2011</v>
      </c>
      <c r="D637" s="69" t="str">
        <f>IF('Informe Kelly'!E630="","",'Informe Kelly'!E630)</f>
        <v>11.04.2011</v>
      </c>
      <c r="E637" s="72">
        <f t="shared" si="19"/>
        <v>321</v>
      </c>
      <c r="F637" s="72" t="str">
        <f>IFERROR(HLOOKUP(C637,Ingreso!$Q$8:$AD$9,2,FALSE),"v")</f>
        <v>Lunes</v>
      </c>
      <c r="G637" s="65" t="str">
        <f>IFERROR(VLOOKUP(A637,Ingreso!K:P,6,FALSE),"no esta ingresado")</f>
        <v>no esta ingresado</v>
      </c>
      <c r="H637" s="65" t="str">
        <f>IFERROR(IF('Informe Kelly'!H630=$A$2,'Informe Kelly'!F630,""),0)</f>
        <v/>
      </c>
      <c r="I637" s="65">
        <f>IFERROR(IF('Informe Kelly'!H630=$A$3,'Informe Kelly'!F630,""),0)</f>
        <v>0.63862268518518517</v>
      </c>
      <c r="J637" s="65" t="str">
        <f>IF(IFERROR(IF(E637=E636,0,(HLOOKUP(D637,Ingreso!$AN$10:$AT$260,VLOOKUP(A637,Ingreso!$AL$11:$AM$260,2,FALSE)))/24),0)=0,"",IFERROR(IF(E637=E636,0,(HLOOKUP(D637,Ingreso!$AN$10:$AT$260,VLOOKUP(A637,Ingreso!$AL$11:$AM$260,2,FALSE)))/24),0))</f>
        <v/>
      </c>
      <c r="K637" s="65" t="str">
        <f>IF(IFERROR(IF(E637=E636,0,(HLOOKUP(C637,Ingreso!$AW$10:$BC$260,VLOOKUP(A637,Ingreso!$AL$11:$AM$260,2,FALSE)))/24),0)=0,"",IFERROR(IF(E637=E636,0,(HLOOKUP(C637,Ingreso!$AW$10:$BC$260,VLOOKUP(A637,Ingreso!$AL$11:$AM$260,2,FALSE)))/24),0))</f>
        <v/>
      </c>
      <c r="L637" s="63" t="str">
        <f t="shared" si="18"/>
        <v/>
      </c>
      <c r="M637" s="63" t="str">
        <f>IF(IFERROR(IF(C637=C635,0,IF(E637=E636,0,IF(C637=$R$2,HLOOKUP($R$2,Ingreso!$AW$10:$BC$260,VLOOKUP(A637,Ingreso!AL:AM,2,FALSE),FALSE)/24,""))),"")=0,"",IFERROR(IF(C637=C635,0,IF(E637=E636,0,IF(C637=$R$2,HLOOKUP($R$2,Ingreso!$AW$10:$BC$260,VLOOKUP(A637,Ingreso!AL:AM,2,FALSE),FALSE)/24,""))),""))</f>
        <v/>
      </c>
      <c r="N637" s="95" t="str">
        <f>IF(IFERROR(IF(C637=C635,0,IF(E637=E636,0,IF(C637=$R$3,HLOOKUP($R$3,Ingreso!$AW$10:$BC$260,VLOOKUP(A637,Ingreso!AL:AM,2,FALSE),FALSE)/24,""))),"")=0,"",IFERROR(IF(C637=C635,0,IF(E637=E636,0,IF(C637=$R$3,HLOOKUP($R$3,Ingreso!$AW$10:$BC$260,VLOOKUP(A637,Ingreso!AL:AM,2,FALSE),FALSE)/24,""))),""))</f>
        <v/>
      </c>
      <c r="O637" s="95" t="str">
        <f>IF(IFERROR(IF(C637=C635,0,IF(E637=E636,0,IF(C637=$R$4,HLOOKUP($R$4,Ingreso!$AW$10:$BC$260,VLOOKUP(A637,Ingreso!AL:AM,2,FALSE),FALSE)/24,""))),"")=0,"",IFERROR(IF(C637=C635,0,IF(E637=E636,0,IF(C637=$R$4,HLOOKUP($R$4,Ingreso!$AW$10:$BC$260,VLOOKUP(A637,Ingreso!AL:AM,2,FALSE),FALSE)/24,""))),""))</f>
        <v/>
      </c>
      <c r="P637" s="90"/>
      <c r="V637"/>
      <c r="W637"/>
      <c r="X637"/>
      <c r="Y637"/>
      <c r="Z637"/>
      <c r="AA637"/>
      <c r="AB637"/>
      <c r="AC637"/>
      <c r="AD637"/>
    </row>
    <row r="638" spans="1:30">
      <c r="A638" s="65" t="str">
        <f>IFERROR(VLOOKUP('Informe Kelly'!A631,Base!A:B,2,FALSE),"")</f>
        <v>13.100.464-8</v>
      </c>
      <c r="B638" s="65" t="str">
        <f>IFERROR(VLOOKUP('Informe Kelly'!A631,Base!A:G,7,FALSE),"")</f>
        <v>GALLARDO  OYARCE,JOSE A.</v>
      </c>
      <c r="C638" s="69" t="str">
        <f>IF(G638=$C$4,IF('Informe Kelly'!H631='Control informe Kelly'!$A$2,TEXT(((LEFT('Informe Kelly'!E631,2)*1)+1),"dd")&amp;"."&amp;MID('Informe Kelly'!E631,4,2)&amp;"."&amp;RIGHT('Informe Kelly'!E631,4),'Informe Kelly'!E631),'Informe Kelly'!E631)</f>
        <v>11.04.2011</v>
      </c>
      <c r="D638" s="69" t="str">
        <f>IF('Informe Kelly'!E631="","",'Informe Kelly'!E631)</f>
        <v>11.04.2011</v>
      </c>
      <c r="E638" s="72">
        <f t="shared" si="19"/>
        <v>321</v>
      </c>
      <c r="F638" s="72" t="str">
        <f>IFERROR(HLOOKUP(C638,Ingreso!$Q$8:$AD$9,2,FALSE),"v")</f>
        <v>Lunes</v>
      </c>
      <c r="G638" s="65" t="str">
        <f>IFERROR(VLOOKUP(A638,Ingreso!K:P,6,FALSE),"no esta ingresado")</f>
        <v>no esta ingresado</v>
      </c>
      <c r="H638" s="65">
        <f>IFERROR(IF('Informe Kelly'!H631=$A$2,'Informe Kelly'!F631,""),0)</f>
        <v>0.29659722222222223</v>
      </c>
      <c r="I638" s="65" t="str">
        <f>IFERROR(IF('Informe Kelly'!H631=$A$3,'Informe Kelly'!F631,""),0)</f>
        <v/>
      </c>
      <c r="J638" s="65" t="str">
        <f>IF(IFERROR(IF(E638=E637,0,(HLOOKUP(D638,Ingreso!$AN$10:$AT$260,VLOOKUP(A638,Ingreso!$AL$11:$AM$260,2,FALSE)))/24),0)=0,"",IFERROR(IF(E638=E637,0,(HLOOKUP(D638,Ingreso!$AN$10:$AT$260,VLOOKUP(A638,Ingreso!$AL$11:$AM$260,2,FALSE)))/24),0))</f>
        <v/>
      </c>
      <c r="K638" s="65" t="str">
        <f>IF(IFERROR(IF(E638=E637,0,(HLOOKUP(C638,Ingreso!$AW$10:$BC$260,VLOOKUP(A638,Ingreso!$AL$11:$AM$260,2,FALSE)))/24),0)=0,"",IFERROR(IF(E638=E637,0,(HLOOKUP(C638,Ingreso!$AW$10:$BC$260,VLOOKUP(A638,Ingreso!$AL$11:$AM$260,2,FALSE)))/24),0))</f>
        <v/>
      </c>
      <c r="L638" s="63">
        <f t="shared" si="18"/>
        <v>0</v>
      </c>
      <c r="M638" s="63" t="str">
        <f>IF(IFERROR(IF(C638=C636,0,IF(E638=E637,0,IF(C638=$R$2,HLOOKUP($R$2,Ingreso!$AW$10:$BC$260,VLOOKUP(A638,Ingreso!AL:AM,2,FALSE),FALSE)/24,""))),"")=0,"",IFERROR(IF(C638=C636,0,IF(E638=E637,0,IF(C638=$R$2,HLOOKUP($R$2,Ingreso!$AW$10:$BC$260,VLOOKUP(A638,Ingreso!AL:AM,2,FALSE),FALSE)/24,""))),""))</f>
        <v/>
      </c>
      <c r="N638" s="95" t="str">
        <f>IF(IFERROR(IF(C638=C636,0,IF(E638=E637,0,IF(C638=$R$3,HLOOKUP($R$3,Ingreso!$AW$10:$BC$260,VLOOKUP(A638,Ingreso!AL:AM,2,FALSE),FALSE)/24,""))),"")=0,"",IFERROR(IF(C638=C636,0,IF(E638=E637,0,IF(C638=$R$3,HLOOKUP($R$3,Ingreso!$AW$10:$BC$260,VLOOKUP(A638,Ingreso!AL:AM,2,FALSE),FALSE)/24,""))),""))</f>
        <v/>
      </c>
      <c r="O638" s="95" t="str">
        <f>IF(IFERROR(IF(C638=C636,0,IF(E638=E637,0,IF(C638=$R$4,HLOOKUP($R$4,Ingreso!$AW$10:$BC$260,VLOOKUP(A638,Ingreso!AL:AM,2,FALSE),FALSE)/24,""))),"")=0,"",IFERROR(IF(C638=C636,0,IF(E638=E637,0,IF(C638=$R$4,HLOOKUP($R$4,Ingreso!$AW$10:$BC$260,VLOOKUP(A638,Ingreso!AL:AM,2,FALSE),FALSE)/24,""))),""))</f>
        <v/>
      </c>
      <c r="P638" s="90"/>
      <c r="V638"/>
      <c r="W638"/>
      <c r="X638"/>
      <c r="Y638"/>
      <c r="Z638"/>
      <c r="AA638"/>
      <c r="AB638"/>
      <c r="AC638"/>
      <c r="AD638"/>
    </row>
    <row r="639" spans="1:30">
      <c r="A639" s="65" t="str">
        <f>IFERROR(VLOOKUP('Informe Kelly'!A632,Base!A:B,2,FALSE),"")</f>
        <v>13.100.464-8</v>
      </c>
      <c r="B639" s="65" t="str">
        <f>IFERROR(VLOOKUP('Informe Kelly'!A632,Base!A:G,7,FALSE),"")</f>
        <v>GALLARDO  OYARCE,JOSE A.</v>
      </c>
      <c r="C639" s="69" t="str">
        <f>IF(G639=$C$4,IF('Informe Kelly'!H632='Control informe Kelly'!$A$2,TEXT(((LEFT('Informe Kelly'!E632,2)*1)+1),"dd")&amp;"."&amp;MID('Informe Kelly'!E632,4,2)&amp;"."&amp;RIGHT('Informe Kelly'!E632,4),'Informe Kelly'!E632),'Informe Kelly'!E632)</f>
        <v>12.04.2011</v>
      </c>
      <c r="D639" s="69" t="str">
        <f>IF('Informe Kelly'!E632="","",'Informe Kelly'!E632)</f>
        <v>12.04.2011</v>
      </c>
      <c r="E639" s="72">
        <f t="shared" si="19"/>
        <v>322</v>
      </c>
      <c r="F639" s="72" t="str">
        <f>IFERROR(HLOOKUP(C639,Ingreso!$Q$8:$AD$9,2,FALSE),"v")</f>
        <v>Martes</v>
      </c>
      <c r="G639" s="65" t="str">
        <f>IFERROR(VLOOKUP(A639,Ingreso!K:P,6,FALSE),"no esta ingresado")</f>
        <v>no esta ingresado</v>
      </c>
      <c r="H639" s="65" t="str">
        <f>IFERROR(IF('Informe Kelly'!H632=$A$2,'Informe Kelly'!F632,""),0)</f>
        <v/>
      </c>
      <c r="I639" s="65">
        <f>IFERROR(IF('Informe Kelly'!H632=$A$3,'Informe Kelly'!F632,""),0)</f>
        <v>0.64288194444444446</v>
      </c>
      <c r="J639" s="65" t="str">
        <f>IF(IFERROR(IF(E639=E638,0,(HLOOKUP(D639,Ingreso!$AN$10:$AT$260,VLOOKUP(A639,Ingreso!$AL$11:$AM$260,2,FALSE)))/24),0)=0,"",IFERROR(IF(E639=E638,0,(HLOOKUP(D639,Ingreso!$AN$10:$AT$260,VLOOKUP(A639,Ingreso!$AL$11:$AM$260,2,FALSE)))/24),0))</f>
        <v/>
      </c>
      <c r="K639" s="65" t="str">
        <f>IF(IFERROR(IF(E639=E638,0,(HLOOKUP(C639,Ingreso!$AW$10:$BC$260,VLOOKUP(A639,Ingreso!$AL$11:$AM$260,2,FALSE)))/24),0)=0,"",IFERROR(IF(E639=E638,0,(HLOOKUP(C639,Ingreso!$AW$10:$BC$260,VLOOKUP(A639,Ingreso!$AL$11:$AM$260,2,FALSE)))/24),0))</f>
        <v/>
      </c>
      <c r="L639" s="63" t="str">
        <f t="shared" si="18"/>
        <v/>
      </c>
      <c r="M639" s="63" t="str">
        <f>IF(IFERROR(IF(C639=C637,0,IF(E639=E638,0,IF(C639=$R$2,HLOOKUP($R$2,Ingreso!$AW$10:$BC$260,VLOOKUP(A639,Ingreso!AL:AM,2,FALSE),FALSE)/24,""))),"")=0,"",IFERROR(IF(C639=C637,0,IF(E639=E638,0,IF(C639=$R$2,HLOOKUP($R$2,Ingreso!$AW$10:$BC$260,VLOOKUP(A639,Ingreso!AL:AM,2,FALSE),FALSE)/24,""))),""))</f>
        <v/>
      </c>
      <c r="N639" s="95" t="str">
        <f>IF(IFERROR(IF(C639=C637,0,IF(E639=E638,0,IF(C639=$R$3,HLOOKUP($R$3,Ingreso!$AW$10:$BC$260,VLOOKUP(A639,Ingreso!AL:AM,2,FALSE),FALSE)/24,""))),"")=0,"",IFERROR(IF(C639=C637,0,IF(E639=E638,0,IF(C639=$R$3,HLOOKUP($R$3,Ingreso!$AW$10:$BC$260,VLOOKUP(A639,Ingreso!AL:AM,2,FALSE),FALSE)/24,""))),""))</f>
        <v/>
      </c>
      <c r="O639" s="95" t="str">
        <f>IF(IFERROR(IF(C639=C637,0,IF(E639=E638,0,IF(C639=$R$4,HLOOKUP($R$4,Ingreso!$AW$10:$BC$260,VLOOKUP(A639,Ingreso!AL:AM,2,FALSE),FALSE)/24,""))),"")=0,"",IFERROR(IF(C639=C637,0,IF(E639=E638,0,IF(C639=$R$4,HLOOKUP($R$4,Ingreso!$AW$10:$BC$260,VLOOKUP(A639,Ingreso!AL:AM,2,FALSE),FALSE)/24,""))),""))</f>
        <v/>
      </c>
      <c r="P639" s="90"/>
      <c r="V639"/>
      <c r="W639"/>
      <c r="X639"/>
      <c r="Y639"/>
      <c r="Z639"/>
      <c r="AA639"/>
      <c r="AB639"/>
      <c r="AC639"/>
      <c r="AD639"/>
    </row>
    <row r="640" spans="1:30">
      <c r="A640" s="65" t="str">
        <f>IFERROR(VLOOKUP('Informe Kelly'!A633,Base!A:B,2,FALSE),"")</f>
        <v>13.100.464-8</v>
      </c>
      <c r="B640" s="65" t="str">
        <f>IFERROR(VLOOKUP('Informe Kelly'!A633,Base!A:G,7,FALSE),"")</f>
        <v>GALLARDO  OYARCE,JOSE A.</v>
      </c>
      <c r="C640" s="69" t="str">
        <f>IF(G640=$C$4,IF('Informe Kelly'!H633='Control informe Kelly'!$A$2,TEXT(((LEFT('Informe Kelly'!E633,2)*1)+1),"dd")&amp;"."&amp;MID('Informe Kelly'!E633,4,2)&amp;"."&amp;RIGHT('Informe Kelly'!E633,4),'Informe Kelly'!E633),'Informe Kelly'!E633)</f>
        <v>12.04.2011</v>
      </c>
      <c r="D640" s="69" t="str">
        <f>IF('Informe Kelly'!E633="","",'Informe Kelly'!E633)</f>
        <v>12.04.2011</v>
      </c>
      <c r="E640" s="72">
        <f t="shared" si="19"/>
        <v>322</v>
      </c>
      <c r="F640" s="72" t="str">
        <f>IFERROR(HLOOKUP(C640,Ingreso!$Q$8:$AD$9,2,FALSE),"v")</f>
        <v>Martes</v>
      </c>
      <c r="G640" s="65" t="str">
        <f>IFERROR(VLOOKUP(A640,Ingreso!K:P,6,FALSE),"no esta ingresado")</f>
        <v>no esta ingresado</v>
      </c>
      <c r="H640" s="65">
        <f>IFERROR(IF('Informe Kelly'!H633=$A$2,'Informe Kelly'!F633,""),0)</f>
        <v>0.2951388888888889</v>
      </c>
      <c r="I640" s="65" t="str">
        <f>IFERROR(IF('Informe Kelly'!H633=$A$3,'Informe Kelly'!F633,""),0)</f>
        <v/>
      </c>
      <c r="J640" s="65" t="str">
        <f>IF(IFERROR(IF(E640=E639,0,(HLOOKUP(D640,Ingreso!$AN$10:$AT$260,VLOOKUP(A640,Ingreso!$AL$11:$AM$260,2,FALSE)))/24),0)=0,"",IFERROR(IF(E640=E639,0,(HLOOKUP(D640,Ingreso!$AN$10:$AT$260,VLOOKUP(A640,Ingreso!$AL$11:$AM$260,2,FALSE)))/24),0))</f>
        <v/>
      </c>
      <c r="K640" s="65" t="str">
        <f>IF(IFERROR(IF(E640=E639,0,(HLOOKUP(C640,Ingreso!$AW$10:$BC$260,VLOOKUP(A640,Ingreso!$AL$11:$AM$260,2,FALSE)))/24),0)=0,"",IFERROR(IF(E640=E639,0,(HLOOKUP(C640,Ingreso!$AW$10:$BC$260,VLOOKUP(A640,Ingreso!$AL$11:$AM$260,2,FALSE)))/24),0))</f>
        <v/>
      </c>
      <c r="L640" s="63">
        <f t="shared" si="18"/>
        <v>0</v>
      </c>
      <c r="M640" s="63" t="str">
        <f>IF(IFERROR(IF(C640=C638,0,IF(E640=E639,0,IF(C640=$R$2,HLOOKUP($R$2,Ingreso!$AW$10:$BC$260,VLOOKUP(A640,Ingreso!AL:AM,2,FALSE),FALSE)/24,""))),"")=0,"",IFERROR(IF(C640=C638,0,IF(E640=E639,0,IF(C640=$R$2,HLOOKUP($R$2,Ingreso!$AW$10:$BC$260,VLOOKUP(A640,Ingreso!AL:AM,2,FALSE),FALSE)/24,""))),""))</f>
        <v/>
      </c>
      <c r="N640" s="95" t="str">
        <f>IF(IFERROR(IF(C640=C638,0,IF(E640=E639,0,IF(C640=$R$3,HLOOKUP($R$3,Ingreso!$AW$10:$BC$260,VLOOKUP(A640,Ingreso!AL:AM,2,FALSE),FALSE)/24,""))),"")=0,"",IFERROR(IF(C640=C638,0,IF(E640=E639,0,IF(C640=$R$3,HLOOKUP($R$3,Ingreso!$AW$10:$BC$260,VLOOKUP(A640,Ingreso!AL:AM,2,FALSE),FALSE)/24,""))),""))</f>
        <v/>
      </c>
      <c r="O640" s="95" t="str">
        <f>IF(IFERROR(IF(C640=C638,0,IF(E640=E639,0,IF(C640=$R$4,HLOOKUP($R$4,Ingreso!$AW$10:$BC$260,VLOOKUP(A640,Ingreso!AL:AM,2,FALSE),FALSE)/24,""))),"")=0,"",IFERROR(IF(C640=C638,0,IF(E640=E639,0,IF(C640=$R$4,HLOOKUP($R$4,Ingreso!$AW$10:$BC$260,VLOOKUP(A640,Ingreso!AL:AM,2,FALSE),FALSE)/24,""))),""))</f>
        <v/>
      </c>
      <c r="P640" s="90"/>
      <c r="V640"/>
      <c r="W640"/>
      <c r="X640"/>
      <c r="Y640"/>
      <c r="Z640"/>
      <c r="AA640"/>
      <c r="AB640"/>
      <c r="AC640"/>
      <c r="AD640"/>
    </row>
    <row r="641" spans="1:30">
      <c r="A641" s="65" t="str">
        <f>IFERROR(VLOOKUP('Informe Kelly'!A634,Base!A:B,2,FALSE),"")</f>
        <v>13.100.464-8</v>
      </c>
      <c r="B641" s="65" t="str">
        <f>IFERROR(VLOOKUP('Informe Kelly'!A634,Base!A:G,7,FALSE),"")</f>
        <v>GALLARDO  OYARCE,JOSE A.</v>
      </c>
      <c r="C641" s="69" t="str">
        <f>IF(G641=$C$4,IF('Informe Kelly'!H634='Control informe Kelly'!$A$2,TEXT(((LEFT('Informe Kelly'!E634,2)*1)+1),"dd")&amp;"."&amp;MID('Informe Kelly'!E634,4,2)&amp;"."&amp;RIGHT('Informe Kelly'!E634,4),'Informe Kelly'!E634),'Informe Kelly'!E634)</f>
        <v>13.04.2011</v>
      </c>
      <c r="D641" s="69" t="str">
        <f>IF('Informe Kelly'!E634="","",'Informe Kelly'!E634)</f>
        <v>13.04.2011</v>
      </c>
      <c r="E641" s="72">
        <f t="shared" si="19"/>
        <v>323</v>
      </c>
      <c r="F641" s="72" t="str">
        <f>IFERROR(HLOOKUP(C641,Ingreso!$Q$8:$AD$9,2,FALSE),"v")</f>
        <v>Miércoles</v>
      </c>
      <c r="G641" s="65" t="str">
        <f>IFERROR(VLOOKUP(A641,Ingreso!K:P,6,FALSE),"no esta ingresado")</f>
        <v>no esta ingresado</v>
      </c>
      <c r="H641" s="65" t="str">
        <f>IFERROR(IF('Informe Kelly'!H634=$A$2,'Informe Kelly'!F634,""),0)</f>
        <v/>
      </c>
      <c r="I641" s="65">
        <f>IFERROR(IF('Informe Kelly'!H634=$A$3,'Informe Kelly'!F634,""),0)</f>
        <v>0.64461805555555551</v>
      </c>
      <c r="J641" s="65" t="str">
        <f>IF(IFERROR(IF(E641=E640,0,(HLOOKUP(D641,Ingreso!$AN$10:$AT$260,VLOOKUP(A641,Ingreso!$AL$11:$AM$260,2,FALSE)))/24),0)=0,"",IFERROR(IF(E641=E640,0,(HLOOKUP(D641,Ingreso!$AN$10:$AT$260,VLOOKUP(A641,Ingreso!$AL$11:$AM$260,2,FALSE)))/24),0))</f>
        <v/>
      </c>
      <c r="K641" s="65" t="str">
        <f>IF(IFERROR(IF(E641=E640,0,(HLOOKUP(C641,Ingreso!$AW$10:$BC$260,VLOOKUP(A641,Ingreso!$AL$11:$AM$260,2,FALSE)))/24),0)=0,"",IFERROR(IF(E641=E640,0,(HLOOKUP(C641,Ingreso!$AW$10:$BC$260,VLOOKUP(A641,Ingreso!$AL$11:$AM$260,2,FALSE)))/24),0))</f>
        <v/>
      </c>
      <c r="L641" s="63" t="str">
        <f t="shared" si="18"/>
        <v/>
      </c>
      <c r="M641" s="63" t="str">
        <f>IF(IFERROR(IF(C641=C639,0,IF(E641=E640,0,IF(C641=$R$2,HLOOKUP($R$2,Ingreso!$AW$10:$BC$260,VLOOKUP(A641,Ingreso!AL:AM,2,FALSE),FALSE)/24,""))),"")=0,"",IFERROR(IF(C641=C639,0,IF(E641=E640,0,IF(C641=$R$2,HLOOKUP($R$2,Ingreso!$AW$10:$BC$260,VLOOKUP(A641,Ingreso!AL:AM,2,FALSE),FALSE)/24,""))),""))</f>
        <v/>
      </c>
      <c r="N641" s="95" t="str">
        <f>IF(IFERROR(IF(C641=C639,0,IF(E641=E640,0,IF(C641=$R$3,HLOOKUP($R$3,Ingreso!$AW$10:$BC$260,VLOOKUP(A641,Ingreso!AL:AM,2,FALSE),FALSE)/24,""))),"")=0,"",IFERROR(IF(C641=C639,0,IF(E641=E640,0,IF(C641=$R$3,HLOOKUP($R$3,Ingreso!$AW$10:$BC$260,VLOOKUP(A641,Ingreso!AL:AM,2,FALSE),FALSE)/24,""))),""))</f>
        <v/>
      </c>
      <c r="O641" s="95" t="str">
        <f>IF(IFERROR(IF(C641=C639,0,IF(E641=E640,0,IF(C641=$R$4,HLOOKUP($R$4,Ingreso!$AW$10:$BC$260,VLOOKUP(A641,Ingreso!AL:AM,2,FALSE),FALSE)/24,""))),"")=0,"",IFERROR(IF(C641=C639,0,IF(E641=E640,0,IF(C641=$R$4,HLOOKUP($R$4,Ingreso!$AW$10:$BC$260,VLOOKUP(A641,Ingreso!AL:AM,2,FALSE),FALSE)/24,""))),""))</f>
        <v/>
      </c>
      <c r="P641" s="90"/>
      <c r="V641"/>
      <c r="W641"/>
      <c r="X641"/>
      <c r="Y641"/>
      <c r="Z641"/>
      <c r="AA641"/>
      <c r="AB641"/>
      <c r="AC641"/>
      <c r="AD641"/>
    </row>
    <row r="642" spans="1:30">
      <c r="A642" s="65" t="str">
        <f>IFERROR(VLOOKUP('Informe Kelly'!A635,Base!A:B,2,FALSE),"")</f>
        <v>13.100.464-8</v>
      </c>
      <c r="B642" s="65" t="str">
        <f>IFERROR(VLOOKUP('Informe Kelly'!A635,Base!A:G,7,FALSE),"")</f>
        <v>GALLARDO  OYARCE,JOSE A.</v>
      </c>
      <c r="C642" s="69" t="str">
        <f>IF(G642=$C$4,IF('Informe Kelly'!H635='Control informe Kelly'!$A$2,TEXT(((LEFT('Informe Kelly'!E635,2)*1)+1),"dd")&amp;"."&amp;MID('Informe Kelly'!E635,4,2)&amp;"."&amp;RIGHT('Informe Kelly'!E635,4),'Informe Kelly'!E635),'Informe Kelly'!E635)</f>
        <v>13.04.2011</v>
      </c>
      <c r="D642" s="69" t="str">
        <f>IF('Informe Kelly'!E635="","",'Informe Kelly'!E635)</f>
        <v>13.04.2011</v>
      </c>
      <c r="E642" s="72">
        <f t="shared" si="19"/>
        <v>323</v>
      </c>
      <c r="F642" s="72" t="str">
        <f>IFERROR(HLOOKUP(C642,Ingreso!$Q$8:$AD$9,2,FALSE),"v")</f>
        <v>Miércoles</v>
      </c>
      <c r="G642" s="65" t="str">
        <f>IFERROR(VLOOKUP(A642,Ingreso!K:P,6,FALSE),"no esta ingresado")</f>
        <v>no esta ingresado</v>
      </c>
      <c r="H642" s="65">
        <f>IFERROR(IF('Informe Kelly'!H635=$A$2,'Informe Kelly'!F635,""),0)</f>
        <v>0.29472222222222222</v>
      </c>
      <c r="I642" s="65" t="str">
        <f>IFERROR(IF('Informe Kelly'!H635=$A$3,'Informe Kelly'!F635,""),0)</f>
        <v/>
      </c>
      <c r="J642" s="65" t="str">
        <f>IF(IFERROR(IF(E642=E641,0,(HLOOKUP(D642,Ingreso!$AN$10:$AT$260,VLOOKUP(A642,Ingreso!$AL$11:$AM$260,2,FALSE)))/24),0)=0,"",IFERROR(IF(E642=E641,0,(HLOOKUP(D642,Ingreso!$AN$10:$AT$260,VLOOKUP(A642,Ingreso!$AL$11:$AM$260,2,FALSE)))/24),0))</f>
        <v/>
      </c>
      <c r="K642" s="65" t="str">
        <f>IF(IFERROR(IF(E642=E641,0,(HLOOKUP(C642,Ingreso!$AW$10:$BC$260,VLOOKUP(A642,Ingreso!$AL$11:$AM$260,2,FALSE)))/24),0)=0,"",IFERROR(IF(E642=E641,0,(HLOOKUP(C642,Ingreso!$AW$10:$BC$260,VLOOKUP(A642,Ingreso!$AL$11:$AM$260,2,FALSE)))/24),0))</f>
        <v/>
      </c>
      <c r="L642" s="63">
        <f t="shared" si="18"/>
        <v>0</v>
      </c>
      <c r="M642" s="63" t="str">
        <f>IF(IFERROR(IF(C642=C640,0,IF(E642=E641,0,IF(C642=$R$2,HLOOKUP($R$2,Ingreso!$AW$10:$BC$260,VLOOKUP(A642,Ingreso!AL:AM,2,FALSE),FALSE)/24,""))),"")=0,"",IFERROR(IF(C642=C640,0,IF(E642=E641,0,IF(C642=$R$2,HLOOKUP($R$2,Ingreso!$AW$10:$BC$260,VLOOKUP(A642,Ingreso!AL:AM,2,FALSE),FALSE)/24,""))),""))</f>
        <v/>
      </c>
      <c r="N642" s="95" t="str">
        <f>IF(IFERROR(IF(C642=C640,0,IF(E642=E641,0,IF(C642=$R$3,HLOOKUP($R$3,Ingreso!$AW$10:$BC$260,VLOOKUP(A642,Ingreso!AL:AM,2,FALSE),FALSE)/24,""))),"")=0,"",IFERROR(IF(C642=C640,0,IF(E642=E641,0,IF(C642=$R$3,HLOOKUP($R$3,Ingreso!$AW$10:$BC$260,VLOOKUP(A642,Ingreso!AL:AM,2,FALSE),FALSE)/24,""))),""))</f>
        <v/>
      </c>
      <c r="O642" s="95" t="str">
        <f>IF(IFERROR(IF(C642=C640,0,IF(E642=E641,0,IF(C642=$R$4,HLOOKUP($R$4,Ingreso!$AW$10:$BC$260,VLOOKUP(A642,Ingreso!AL:AM,2,FALSE),FALSE)/24,""))),"")=0,"",IFERROR(IF(C642=C640,0,IF(E642=E641,0,IF(C642=$R$4,HLOOKUP($R$4,Ingreso!$AW$10:$BC$260,VLOOKUP(A642,Ingreso!AL:AM,2,FALSE),FALSE)/24,""))),""))</f>
        <v/>
      </c>
      <c r="P642" s="90"/>
      <c r="V642"/>
      <c r="W642"/>
      <c r="X642"/>
      <c r="Y642"/>
      <c r="Z642"/>
      <c r="AA642"/>
      <c r="AB642"/>
      <c r="AC642"/>
      <c r="AD642"/>
    </row>
    <row r="643" spans="1:30">
      <c r="A643" s="65" t="str">
        <f>IFERROR(VLOOKUP('Informe Kelly'!A636,Base!A:B,2,FALSE),"")</f>
        <v>13.100.464-8</v>
      </c>
      <c r="B643" s="65" t="str">
        <f>IFERROR(VLOOKUP('Informe Kelly'!A636,Base!A:G,7,FALSE),"")</f>
        <v>GALLARDO  OYARCE,JOSE A.</v>
      </c>
      <c r="C643" s="69" t="str">
        <f>IF(G643=$C$4,IF('Informe Kelly'!H636='Control informe Kelly'!$A$2,TEXT(((LEFT('Informe Kelly'!E636,2)*1)+1),"dd")&amp;"."&amp;MID('Informe Kelly'!E636,4,2)&amp;"."&amp;RIGHT('Informe Kelly'!E636,4),'Informe Kelly'!E636),'Informe Kelly'!E636)</f>
        <v>14.04.2011</v>
      </c>
      <c r="D643" s="69" t="str">
        <f>IF('Informe Kelly'!E636="","",'Informe Kelly'!E636)</f>
        <v>14.04.2011</v>
      </c>
      <c r="E643" s="72">
        <f t="shared" si="19"/>
        <v>324</v>
      </c>
      <c r="F643" s="72" t="str">
        <f>IFERROR(HLOOKUP(C643,Ingreso!$Q$8:$AD$9,2,FALSE),"v")</f>
        <v>Jueves</v>
      </c>
      <c r="G643" s="65" t="str">
        <f>IFERROR(VLOOKUP(A643,Ingreso!K:P,6,FALSE),"no esta ingresado")</f>
        <v>no esta ingresado</v>
      </c>
      <c r="H643" s="65" t="str">
        <f>IFERROR(IF('Informe Kelly'!H636=$A$2,'Informe Kelly'!F636,""),0)</f>
        <v/>
      </c>
      <c r="I643" s="65">
        <f>IFERROR(IF('Informe Kelly'!H636=$A$3,'Informe Kelly'!F636,""),0)</f>
        <v>0.64398148148148149</v>
      </c>
      <c r="J643" s="65" t="str">
        <f>IF(IFERROR(IF(E643=E642,0,(HLOOKUP(D643,Ingreso!$AN$10:$AT$260,VLOOKUP(A643,Ingreso!$AL$11:$AM$260,2,FALSE)))/24),0)=0,"",IFERROR(IF(E643=E642,0,(HLOOKUP(D643,Ingreso!$AN$10:$AT$260,VLOOKUP(A643,Ingreso!$AL$11:$AM$260,2,FALSE)))/24),0))</f>
        <v/>
      </c>
      <c r="K643" s="65" t="str">
        <f>IF(IFERROR(IF(E643=E642,0,(HLOOKUP(C643,Ingreso!$AW$10:$BC$260,VLOOKUP(A643,Ingreso!$AL$11:$AM$260,2,FALSE)))/24),0)=0,"",IFERROR(IF(E643=E642,0,(HLOOKUP(C643,Ingreso!$AW$10:$BC$260,VLOOKUP(A643,Ingreso!$AL$11:$AM$260,2,FALSE)))/24),0))</f>
        <v/>
      </c>
      <c r="L643" s="63" t="str">
        <f t="shared" si="18"/>
        <v/>
      </c>
      <c r="M643" s="63" t="str">
        <f>IF(IFERROR(IF(C643=C641,0,IF(E643=E642,0,IF(C643=$R$2,HLOOKUP($R$2,Ingreso!$AW$10:$BC$260,VLOOKUP(A643,Ingreso!AL:AM,2,FALSE),FALSE)/24,""))),"")=0,"",IFERROR(IF(C643=C641,0,IF(E643=E642,0,IF(C643=$R$2,HLOOKUP($R$2,Ingreso!$AW$10:$BC$260,VLOOKUP(A643,Ingreso!AL:AM,2,FALSE),FALSE)/24,""))),""))</f>
        <v/>
      </c>
      <c r="N643" s="95" t="str">
        <f>IF(IFERROR(IF(C643=C641,0,IF(E643=E642,0,IF(C643=$R$3,HLOOKUP($R$3,Ingreso!$AW$10:$BC$260,VLOOKUP(A643,Ingreso!AL:AM,2,FALSE),FALSE)/24,""))),"")=0,"",IFERROR(IF(C643=C641,0,IF(E643=E642,0,IF(C643=$R$3,HLOOKUP($R$3,Ingreso!$AW$10:$BC$260,VLOOKUP(A643,Ingreso!AL:AM,2,FALSE),FALSE)/24,""))),""))</f>
        <v/>
      </c>
      <c r="O643" s="95" t="str">
        <f>IF(IFERROR(IF(C643=C641,0,IF(E643=E642,0,IF(C643=$R$4,HLOOKUP($R$4,Ingreso!$AW$10:$BC$260,VLOOKUP(A643,Ingreso!AL:AM,2,FALSE),FALSE)/24,""))),"")=0,"",IFERROR(IF(C643=C641,0,IF(E643=E642,0,IF(C643=$R$4,HLOOKUP($R$4,Ingreso!$AW$10:$BC$260,VLOOKUP(A643,Ingreso!AL:AM,2,FALSE),FALSE)/24,""))),""))</f>
        <v/>
      </c>
      <c r="P643" s="90"/>
      <c r="V643"/>
      <c r="W643"/>
      <c r="X643"/>
      <c r="Y643"/>
      <c r="Z643"/>
      <c r="AA643"/>
      <c r="AB643"/>
      <c r="AC643"/>
      <c r="AD643"/>
    </row>
    <row r="644" spans="1:30">
      <c r="A644" s="65" t="str">
        <f>IFERROR(VLOOKUP('Informe Kelly'!A637,Base!A:B,2,FALSE),"")</f>
        <v>13.100.464-8</v>
      </c>
      <c r="B644" s="65" t="str">
        <f>IFERROR(VLOOKUP('Informe Kelly'!A637,Base!A:G,7,FALSE),"")</f>
        <v>GALLARDO  OYARCE,JOSE A.</v>
      </c>
      <c r="C644" s="69" t="str">
        <f>IF(G644=$C$4,IF('Informe Kelly'!H637='Control informe Kelly'!$A$2,TEXT(((LEFT('Informe Kelly'!E637,2)*1)+1),"dd")&amp;"."&amp;MID('Informe Kelly'!E637,4,2)&amp;"."&amp;RIGHT('Informe Kelly'!E637,4),'Informe Kelly'!E637),'Informe Kelly'!E637)</f>
        <v>14.04.2011</v>
      </c>
      <c r="D644" s="69" t="str">
        <f>IF('Informe Kelly'!E637="","",'Informe Kelly'!E637)</f>
        <v>14.04.2011</v>
      </c>
      <c r="E644" s="72">
        <f t="shared" si="19"/>
        <v>324</v>
      </c>
      <c r="F644" s="72" t="str">
        <f>IFERROR(HLOOKUP(C644,Ingreso!$Q$8:$AD$9,2,FALSE),"v")</f>
        <v>Jueves</v>
      </c>
      <c r="G644" s="65" t="str">
        <f>IFERROR(VLOOKUP(A644,Ingreso!K:P,6,FALSE),"no esta ingresado")</f>
        <v>no esta ingresado</v>
      </c>
      <c r="H644" s="65">
        <f>IFERROR(IF('Informe Kelly'!H637=$A$2,'Informe Kelly'!F637,""),0)</f>
        <v>0.29421296296296295</v>
      </c>
      <c r="I644" s="65" t="str">
        <f>IFERROR(IF('Informe Kelly'!H637=$A$3,'Informe Kelly'!F637,""),0)</f>
        <v/>
      </c>
      <c r="J644" s="65" t="str">
        <f>IF(IFERROR(IF(E644=E643,0,(HLOOKUP(D644,Ingreso!$AN$10:$AT$260,VLOOKUP(A644,Ingreso!$AL$11:$AM$260,2,FALSE)))/24),0)=0,"",IFERROR(IF(E644=E643,0,(HLOOKUP(D644,Ingreso!$AN$10:$AT$260,VLOOKUP(A644,Ingreso!$AL$11:$AM$260,2,FALSE)))/24),0))</f>
        <v/>
      </c>
      <c r="K644" s="65" t="str">
        <f>IF(IFERROR(IF(E644=E643,0,(HLOOKUP(C644,Ingreso!$AW$10:$BC$260,VLOOKUP(A644,Ingreso!$AL$11:$AM$260,2,FALSE)))/24),0)=0,"",IFERROR(IF(E644=E643,0,(HLOOKUP(C644,Ingreso!$AW$10:$BC$260,VLOOKUP(A644,Ingreso!$AL$11:$AM$260,2,FALSE)))/24),0))</f>
        <v/>
      </c>
      <c r="L644" s="63">
        <f t="shared" si="18"/>
        <v>0</v>
      </c>
      <c r="M644" s="63" t="str">
        <f>IF(IFERROR(IF(C644=C642,0,IF(E644=E643,0,IF(C644=$R$2,HLOOKUP($R$2,Ingreso!$AW$10:$BC$260,VLOOKUP(A644,Ingreso!AL:AM,2,FALSE),FALSE)/24,""))),"")=0,"",IFERROR(IF(C644=C642,0,IF(E644=E643,0,IF(C644=$R$2,HLOOKUP($R$2,Ingreso!$AW$10:$BC$260,VLOOKUP(A644,Ingreso!AL:AM,2,FALSE),FALSE)/24,""))),""))</f>
        <v/>
      </c>
      <c r="N644" s="95" t="str">
        <f>IF(IFERROR(IF(C644=C642,0,IF(E644=E643,0,IF(C644=$R$3,HLOOKUP($R$3,Ingreso!$AW$10:$BC$260,VLOOKUP(A644,Ingreso!AL:AM,2,FALSE),FALSE)/24,""))),"")=0,"",IFERROR(IF(C644=C642,0,IF(E644=E643,0,IF(C644=$R$3,HLOOKUP($R$3,Ingreso!$AW$10:$BC$260,VLOOKUP(A644,Ingreso!AL:AM,2,FALSE),FALSE)/24,""))),""))</f>
        <v/>
      </c>
      <c r="O644" s="95" t="str">
        <f>IF(IFERROR(IF(C644=C642,0,IF(E644=E643,0,IF(C644=$R$4,HLOOKUP($R$4,Ingreso!$AW$10:$BC$260,VLOOKUP(A644,Ingreso!AL:AM,2,FALSE),FALSE)/24,""))),"")=0,"",IFERROR(IF(C644=C642,0,IF(E644=E643,0,IF(C644=$R$4,HLOOKUP($R$4,Ingreso!$AW$10:$BC$260,VLOOKUP(A644,Ingreso!AL:AM,2,FALSE),FALSE)/24,""))),""))</f>
        <v/>
      </c>
      <c r="P644" s="90"/>
      <c r="V644"/>
      <c r="W644"/>
      <c r="X644"/>
      <c r="Y644"/>
      <c r="Z644"/>
      <c r="AA644"/>
      <c r="AB644"/>
      <c r="AC644"/>
      <c r="AD644"/>
    </row>
    <row r="645" spans="1:30">
      <c r="A645" s="65" t="str">
        <f>IFERROR(VLOOKUP('Informe Kelly'!A638,Base!A:B,2,FALSE),"")</f>
        <v>13.100.464-8</v>
      </c>
      <c r="B645" s="65" t="str">
        <f>IFERROR(VLOOKUP('Informe Kelly'!A638,Base!A:G,7,FALSE),"")</f>
        <v>GALLARDO  OYARCE,JOSE A.</v>
      </c>
      <c r="C645" s="69" t="str">
        <f>IF(G645=$C$4,IF('Informe Kelly'!H638='Control informe Kelly'!$A$2,TEXT(((LEFT('Informe Kelly'!E638,2)*1)+1),"dd")&amp;"."&amp;MID('Informe Kelly'!E638,4,2)&amp;"."&amp;RIGHT('Informe Kelly'!E638,4),'Informe Kelly'!E638),'Informe Kelly'!E638)</f>
        <v>15.04.2011</v>
      </c>
      <c r="D645" s="69" t="str">
        <f>IF('Informe Kelly'!E638="","",'Informe Kelly'!E638)</f>
        <v>15.04.2011</v>
      </c>
      <c r="E645" s="72">
        <f t="shared" si="19"/>
        <v>325</v>
      </c>
      <c r="F645" s="72" t="str">
        <f>IFERROR(HLOOKUP(C645,Ingreso!$Q$8:$AD$9,2,FALSE),"v")</f>
        <v>Viernes</v>
      </c>
      <c r="G645" s="65" t="str">
        <f>IFERROR(VLOOKUP(A645,Ingreso!K:P,6,FALSE),"no esta ingresado")</f>
        <v>no esta ingresado</v>
      </c>
      <c r="H645" s="65" t="str">
        <f>IFERROR(IF('Informe Kelly'!H638=$A$2,'Informe Kelly'!F638,""),0)</f>
        <v/>
      </c>
      <c r="I645" s="65">
        <f>IFERROR(IF('Informe Kelly'!H638=$A$3,'Informe Kelly'!F638,""),0)</f>
        <v>0.64377314814814812</v>
      </c>
      <c r="J645" s="65" t="str">
        <f>IF(IFERROR(IF(E645=E644,0,(HLOOKUP(D645,Ingreso!$AN$10:$AT$260,VLOOKUP(A645,Ingreso!$AL$11:$AM$260,2,FALSE)))/24),0)=0,"",IFERROR(IF(E645=E644,0,(HLOOKUP(D645,Ingreso!$AN$10:$AT$260,VLOOKUP(A645,Ingreso!$AL$11:$AM$260,2,FALSE)))/24),0))</f>
        <v/>
      </c>
      <c r="K645" s="65" t="str">
        <f>IF(IFERROR(IF(E645=E644,0,(HLOOKUP(C645,Ingreso!$AW$10:$BC$260,VLOOKUP(A645,Ingreso!$AL$11:$AM$260,2,FALSE)))/24),0)=0,"",IFERROR(IF(E645=E644,0,(HLOOKUP(C645,Ingreso!$AW$10:$BC$260,VLOOKUP(A645,Ingreso!$AL$11:$AM$260,2,FALSE)))/24),0))</f>
        <v/>
      </c>
      <c r="L645" s="63" t="str">
        <f t="shared" si="18"/>
        <v/>
      </c>
      <c r="M645" s="63" t="str">
        <f>IF(IFERROR(IF(C645=C643,0,IF(E645=E644,0,IF(C645=$R$2,HLOOKUP($R$2,Ingreso!$AW$10:$BC$260,VLOOKUP(A645,Ingreso!AL:AM,2,FALSE),FALSE)/24,""))),"")=0,"",IFERROR(IF(C645=C643,0,IF(E645=E644,0,IF(C645=$R$2,HLOOKUP($R$2,Ingreso!$AW$10:$BC$260,VLOOKUP(A645,Ingreso!AL:AM,2,FALSE),FALSE)/24,""))),""))</f>
        <v/>
      </c>
      <c r="N645" s="95" t="str">
        <f>IF(IFERROR(IF(C645=C643,0,IF(E645=E644,0,IF(C645=$R$3,HLOOKUP($R$3,Ingreso!$AW$10:$BC$260,VLOOKUP(A645,Ingreso!AL:AM,2,FALSE),FALSE)/24,""))),"")=0,"",IFERROR(IF(C645=C643,0,IF(E645=E644,0,IF(C645=$R$3,HLOOKUP($R$3,Ingreso!$AW$10:$BC$260,VLOOKUP(A645,Ingreso!AL:AM,2,FALSE),FALSE)/24,""))),""))</f>
        <v/>
      </c>
      <c r="O645" s="95" t="str">
        <f>IF(IFERROR(IF(C645=C643,0,IF(E645=E644,0,IF(C645=$R$4,HLOOKUP($R$4,Ingreso!$AW$10:$BC$260,VLOOKUP(A645,Ingreso!AL:AM,2,FALSE),FALSE)/24,""))),"")=0,"",IFERROR(IF(C645=C643,0,IF(E645=E644,0,IF(C645=$R$4,HLOOKUP($R$4,Ingreso!$AW$10:$BC$260,VLOOKUP(A645,Ingreso!AL:AM,2,FALSE),FALSE)/24,""))),""))</f>
        <v/>
      </c>
      <c r="P645" s="90"/>
      <c r="V645"/>
      <c r="W645"/>
      <c r="X645"/>
      <c r="Y645"/>
      <c r="Z645"/>
      <c r="AA645"/>
      <c r="AB645"/>
      <c r="AC645"/>
      <c r="AD645"/>
    </row>
    <row r="646" spans="1:30">
      <c r="A646" s="65" t="str">
        <f>IFERROR(VLOOKUP('Informe Kelly'!A639,Base!A:B,2,FALSE),"")</f>
        <v>13.100.464-8</v>
      </c>
      <c r="B646" s="65" t="str">
        <f>IFERROR(VLOOKUP('Informe Kelly'!A639,Base!A:G,7,FALSE),"")</f>
        <v>GALLARDO  OYARCE,JOSE A.</v>
      </c>
      <c r="C646" s="69" t="str">
        <f>IF(G646=$C$4,IF('Informe Kelly'!H639='Control informe Kelly'!$A$2,TEXT(((LEFT('Informe Kelly'!E639,2)*1)+1),"dd")&amp;"."&amp;MID('Informe Kelly'!E639,4,2)&amp;"."&amp;RIGHT('Informe Kelly'!E639,4),'Informe Kelly'!E639),'Informe Kelly'!E639)</f>
        <v>15.04.2011</v>
      </c>
      <c r="D646" s="69" t="str">
        <f>IF('Informe Kelly'!E639="","",'Informe Kelly'!E639)</f>
        <v>15.04.2011</v>
      </c>
      <c r="E646" s="72">
        <f t="shared" si="19"/>
        <v>325</v>
      </c>
      <c r="F646" s="72" t="str">
        <f>IFERROR(HLOOKUP(C646,Ingreso!$Q$8:$AD$9,2,FALSE),"v")</f>
        <v>Viernes</v>
      </c>
      <c r="G646" s="65" t="str">
        <f>IFERROR(VLOOKUP(A646,Ingreso!K:P,6,FALSE),"no esta ingresado")</f>
        <v>no esta ingresado</v>
      </c>
      <c r="H646" s="65">
        <f>IFERROR(IF('Informe Kelly'!H639=$A$2,'Informe Kelly'!F639,""),0)</f>
        <v>0.29508101851851853</v>
      </c>
      <c r="I646" s="65" t="str">
        <f>IFERROR(IF('Informe Kelly'!H639=$A$3,'Informe Kelly'!F639,""),0)</f>
        <v/>
      </c>
      <c r="J646" s="65" t="str">
        <f>IF(IFERROR(IF(E646=E645,0,(HLOOKUP(D646,Ingreso!$AN$10:$AT$260,VLOOKUP(A646,Ingreso!$AL$11:$AM$260,2,FALSE)))/24),0)=0,"",IFERROR(IF(E646=E645,0,(HLOOKUP(D646,Ingreso!$AN$10:$AT$260,VLOOKUP(A646,Ingreso!$AL$11:$AM$260,2,FALSE)))/24),0))</f>
        <v/>
      </c>
      <c r="K646" s="65" t="str">
        <f>IF(IFERROR(IF(E646=E645,0,(HLOOKUP(C646,Ingreso!$AW$10:$BC$260,VLOOKUP(A646,Ingreso!$AL$11:$AM$260,2,FALSE)))/24),0)=0,"",IFERROR(IF(E646=E645,0,(HLOOKUP(C646,Ingreso!$AW$10:$BC$260,VLOOKUP(A646,Ingreso!$AL$11:$AM$260,2,FALSE)))/24),0))</f>
        <v/>
      </c>
      <c r="L646" s="63">
        <f t="shared" si="18"/>
        <v>0</v>
      </c>
      <c r="M646" s="63" t="str">
        <f>IF(IFERROR(IF(C646=C644,0,IF(E646=E645,0,IF(C646=$R$2,HLOOKUP($R$2,Ingreso!$AW$10:$BC$260,VLOOKUP(A646,Ingreso!AL:AM,2,FALSE),FALSE)/24,""))),"")=0,"",IFERROR(IF(C646=C644,0,IF(E646=E645,0,IF(C646=$R$2,HLOOKUP($R$2,Ingreso!$AW$10:$BC$260,VLOOKUP(A646,Ingreso!AL:AM,2,FALSE),FALSE)/24,""))),""))</f>
        <v/>
      </c>
      <c r="N646" s="95" t="str">
        <f>IF(IFERROR(IF(C646=C644,0,IF(E646=E645,0,IF(C646=$R$3,HLOOKUP($R$3,Ingreso!$AW$10:$BC$260,VLOOKUP(A646,Ingreso!AL:AM,2,FALSE),FALSE)/24,""))),"")=0,"",IFERROR(IF(C646=C644,0,IF(E646=E645,0,IF(C646=$R$3,HLOOKUP($R$3,Ingreso!$AW$10:$BC$260,VLOOKUP(A646,Ingreso!AL:AM,2,FALSE),FALSE)/24,""))),""))</f>
        <v/>
      </c>
      <c r="O646" s="95" t="str">
        <f>IF(IFERROR(IF(C646=C644,0,IF(E646=E645,0,IF(C646=$R$4,HLOOKUP($R$4,Ingreso!$AW$10:$BC$260,VLOOKUP(A646,Ingreso!AL:AM,2,FALSE),FALSE)/24,""))),"")=0,"",IFERROR(IF(C646=C644,0,IF(E646=E645,0,IF(C646=$R$4,HLOOKUP($R$4,Ingreso!$AW$10:$BC$260,VLOOKUP(A646,Ingreso!AL:AM,2,FALSE),FALSE)/24,""))),""))</f>
        <v/>
      </c>
      <c r="P646" s="90"/>
      <c r="V646"/>
      <c r="W646"/>
      <c r="X646"/>
      <c r="Y646"/>
      <c r="Z646"/>
      <c r="AA646"/>
      <c r="AB646"/>
      <c r="AC646"/>
      <c r="AD646"/>
    </row>
    <row r="647" spans="1:30">
      <c r="A647" s="65" t="str">
        <f>IFERROR(VLOOKUP('Informe Kelly'!A640,Base!A:B,2,FALSE),"")</f>
        <v>13.100.464-8</v>
      </c>
      <c r="B647" s="65" t="str">
        <f>IFERROR(VLOOKUP('Informe Kelly'!A640,Base!A:G,7,FALSE),"")</f>
        <v>GALLARDO  OYARCE,JOSE A.</v>
      </c>
      <c r="C647" s="69" t="str">
        <f>IF(G647=$C$4,IF('Informe Kelly'!H640='Control informe Kelly'!$A$2,TEXT(((LEFT('Informe Kelly'!E640,2)*1)+1),"dd")&amp;"."&amp;MID('Informe Kelly'!E640,4,2)&amp;"."&amp;RIGHT('Informe Kelly'!E640,4),'Informe Kelly'!E640),'Informe Kelly'!E640)</f>
        <v>16.04.2011</v>
      </c>
      <c r="D647" s="69" t="str">
        <f>IF('Informe Kelly'!E640="","",'Informe Kelly'!E640)</f>
        <v>16.04.2011</v>
      </c>
      <c r="E647" s="72">
        <f t="shared" si="19"/>
        <v>326</v>
      </c>
      <c r="F647" s="72" t="str">
        <f>IFERROR(HLOOKUP(C647,Ingreso!$Q$8:$AD$9,2,FALSE),"v")</f>
        <v>Sábado</v>
      </c>
      <c r="G647" s="65" t="str">
        <f>IFERROR(VLOOKUP(A647,Ingreso!K:P,6,FALSE),"no esta ingresado")</f>
        <v>no esta ingresado</v>
      </c>
      <c r="H647" s="65" t="str">
        <f>IFERROR(IF('Informe Kelly'!H640=$A$2,'Informe Kelly'!F640,""),0)</f>
        <v/>
      </c>
      <c r="I647" s="65">
        <f>IFERROR(IF('Informe Kelly'!H640=$A$3,'Informe Kelly'!F640,""),0)</f>
        <v>0.63990740740740737</v>
      </c>
      <c r="J647" s="65" t="str">
        <f>IF(IFERROR(IF(E647=E646,0,(HLOOKUP(D647,Ingreso!$AN$10:$AT$260,VLOOKUP(A647,Ingreso!$AL$11:$AM$260,2,FALSE)))/24),0)=0,"",IFERROR(IF(E647=E646,0,(HLOOKUP(D647,Ingreso!$AN$10:$AT$260,VLOOKUP(A647,Ingreso!$AL$11:$AM$260,2,FALSE)))/24),0))</f>
        <v/>
      </c>
      <c r="K647" s="65" t="str">
        <f>IF(IFERROR(IF(E647=E646,0,(HLOOKUP(C647,Ingreso!$AW$10:$BC$260,VLOOKUP(A647,Ingreso!$AL$11:$AM$260,2,FALSE)))/24),0)=0,"",IFERROR(IF(E647=E646,0,(HLOOKUP(C647,Ingreso!$AW$10:$BC$260,VLOOKUP(A647,Ingreso!$AL$11:$AM$260,2,FALSE)))/24),0))</f>
        <v/>
      </c>
      <c r="L647" s="63" t="str">
        <f t="shared" si="18"/>
        <v/>
      </c>
      <c r="M647" s="63" t="str">
        <f>IF(IFERROR(IF(C647=C645,0,IF(E647=E646,0,IF(C647=$R$2,HLOOKUP($R$2,Ingreso!$AW$10:$BC$260,VLOOKUP(A647,Ingreso!AL:AM,2,FALSE),FALSE)/24,""))),"")=0,"",IFERROR(IF(C647=C645,0,IF(E647=E646,0,IF(C647=$R$2,HLOOKUP($R$2,Ingreso!$AW$10:$BC$260,VLOOKUP(A647,Ingreso!AL:AM,2,FALSE),FALSE)/24,""))),""))</f>
        <v/>
      </c>
      <c r="N647" s="95" t="str">
        <f>IF(IFERROR(IF(C647=C645,0,IF(E647=E646,0,IF(C647=$R$3,HLOOKUP($R$3,Ingreso!$AW$10:$BC$260,VLOOKUP(A647,Ingreso!AL:AM,2,FALSE),FALSE)/24,""))),"")=0,"",IFERROR(IF(C647=C645,0,IF(E647=E646,0,IF(C647=$R$3,HLOOKUP($R$3,Ingreso!$AW$10:$BC$260,VLOOKUP(A647,Ingreso!AL:AM,2,FALSE),FALSE)/24,""))),""))</f>
        <v/>
      </c>
      <c r="O647" s="95" t="str">
        <f>IF(IFERROR(IF(C647=C645,0,IF(E647=E646,0,IF(C647=$R$4,HLOOKUP($R$4,Ingreso!$AW$10:$BC$260,VLOOKUP(A647,Ingreso!AL:AM,2,FALSE),FALSE)/24,""))),"")=0,"",IFERROR(IF(C647=C645,0,IF(E647=E646,0,IF(C647=$R$4,HLOOKUP($R$4,Ingreso!$AW$10:$BC$260,VLOOKUP(A647,Ingreso!AL:AM,2,FALSE),FALSE)/24,""))),""))</f>
        <v/>
      </c>
      <c r="P647" s="90"/>
      <c r="V647"/>
      <c r="W647"/>
      <c r="X647"/>
      <c r="Y647"/>
      <c r="Z647"/>
      <c r="AA647"/>
      <c r="AB647"/>
      <c r="AC647"/>
      <c r="AD647"/>
    </row>
    <row r="648" spans="1:30">
      <c r="A648" s="65" t="str">
        <f>IFERROR(VLOOKUP('Informe Kelly'!A641,Base!A:B,2,FALSE),"")</f>
        <v>13.100.464-8</v>
      </c>
      <c r="B648" s="65" t="str">
        <f>IFERROR(VLOOKUP('Informe Kelly'!A641,Base!A:G,7,FALSE),"")</f>
        <v>GALLARDO  OYARCE,JOSE A.</v>
      </c>
      <c r="C648" s="69" t="str">
        <f>IF(G648=$C$4,IF('Informe Kelly'!H641='Control informe Kelly'!$A$2,TEXT(((LEFT('Informe Kelly'!E641,2)*1)+1),"dd")&amp;"."&amp;MID('Informe Kelly'!E641,4,2)&amp;"."&amp;RIGHT('Informe Kelly'!E641,4),'Informe Kelly'!E641),'Informe Kelly'!E641)</f>
        <v>16.04.2011</v>
      </c>
      <c r="D648" s="69" t="str">
        <f>IF('Informe Kelly'!E641="","",'Informe Kelly'!E641)</f>
        <v>16.04.2011</v>
      </c>
      <c r="E648" s="72">
        <f t="shared" si="19"/>
        <v>326</v>
      </c>
      <c r="F648" s="72" t="str">
        <f>IFERROR(HLOOKUP(C648,Ingreso!$Q$8:$AD$9,2,FALSE),"v")</f>
        <v>Sábado</v>
      </c>
      <c r="G648" s="65" t="str">
        <f>IFERROR(VLOOKUP(A648,Ingreso!K:P,6,FALSE),"no esta ingresado")</f>
        <v>no esta ingresado</v>
      </c>
      <c r="H648" s="65">
        <f>IFERROR(IF('Informe Kelly'!H641=$A$2,'Informe Kelly'!F641,""),0)</f>
        <v>0.29398148148148145</v>
      </c>
      <c r="I648" s="65" t="str">
        <f>IFERROR(IF('Informe Kelly'!H641=$A$3,'Informe Kelly'!F641,""),0)</f>
        <v/>
      </c>
      <c r="J648" s="65" t="str">
        <f>IF(IFERROR(IF(E648=E647,0,(HLOOKUP(D648,Ingreso!$AN$10:$AT$260,VLOOKUP(A648,Ingreso!$AL$11:$AM$260,2,FALSE)))/24),0)=0,"",IFERROR(IF(E648=E647,0,(HLOOKUP(D648,Ingreso!$AN$10:$AT$260,VLOOKUP(A648,Ingreso!$AL$11:$AM$260,2,FALSE)))/24),0))</f>
        <v/>
      </c>
      <c r="K648" s="65" t="str">
        <f>IF(IFERROR(IF(E648=E647,0,(HLOOKUP(C648,Ingreso!$AW$10:$BC$260,VLOOKUP(A648,Ingreso!$AL$11:$AM$260,2,FALSE)))/24),0)=0,"",IFERROR(IF(E648=E647,0,(HLOOKUP(C648,Ingreso!$AW$10:$BC$260,VLOOKUP(A648,Ingreso!$AL$11:$AM$260,2,FALSE)))/24),0))</f>
        <v/>
      </c>
      <c r="L648" s="63">
        <f t="shared" si="18"/>
        <v>0</v>
      </c>
      <c r="M648" s="63" t="str">
        <f>IF(IFERROR(IF(C648=C646,0,IF(E648=E647,0,IF(C648=$R$2,HLOOKUP($R$2,Ingreso!$AW$10:$BC$260,VLOOKUP(A648,Ingreso!AL:AM,2,FALSE),FALSE)/24,""))),"")=0,"",IFERROR(IF(C648=C646,0,IF(E648=E647,0,IF(C648=$R$2,HLOOKUP($R$2,Ingreso!$AW$10:$BC$260,VLOOKUP(A648,Ingreso!AL:AM,2,FALSE),FALSE)/24,""))),""))</f>
        <v/>
      </c>
      <c r="N648" s="95" t="str">
        <f>IF(IFERROR(IF(C648=C646,0,IF(E648=E647,0,IF(C648=$R$3,HLOOKUP($R$3,Ingreso!$AW$10:$BC$260,VLOOKUP(A648,Ingreso!AL:AM,2,FALSE),FALSE)/24,""))),"")=0,"",IFERROR(IF(C648=C646,0,IF(E648=E647,0,IF(C648=$R$3,HLOOKUP($R$3,Ingreso!$AW$10:$BC$260,VLOOKUP(A648,Ingreso!AL:AM,2,FALSE),FALSE)/24,""))),""))</f>
        <v/>
      </c>
      <c r="O648" s="95" t="str">
        <f>IF(IFERROR(IF(C648=C646,0,IF(E648=E647,0,IF(C648=$R$4,HLOOKUP($R$4,Ingreso!$AW$10:$BC$260,VLOOKUP(A648,Ingreso!AL:AM,2,FALSE),FALSE)/24,""))),"")=0,"",IFERROR(IF(C648=C646,0,IF(E648=E647,0,IF(C648=$R$4,HLOOKUP($R$4,Ingreso!$AW$10:$BC$260,VLOOKUP(A648,Ingreso!AL:AM,2,FALSE),FALSE)/24,""))),""))</f>
        <v/>
      </c>
      <c r="P648" s="90"/>
      <c r="V648"/>
      <c r="W648"/>
      <c r="X648"/>
      <c r="Y648"/>
      <c r="Z648"/>
      <c r="AA648"/>
      <c r="AB648"/>
      <c r="AC648"/>
      <c r="AD648"/>
    </row>
    <row r="649" spans="1:30">
      <c r="A649" s="65" t="str">
        <f>IFERROR(VLOOKUP('Informe Kelly'!A642,Base!A:B,2,FALSE),"")</f>
        <v>13.236.100-2</v>
      </c>
      <c r="B649" s="65" t="str">
        <f>IFERROR(VLOOKUP('Informe Kelly'!A642,Base!A:G,7,FALSE),"")</f>
        <v>BUSTAMANTE GONZALEZ MARCO ANTONIO</v>
      </c>
      <c r="C649" s="69" t="str">
        <f>IF(G649=$C$4,IF('Informe Kelly'!H642='Control informe Kelly'!$A$2,TEXT(((LEFT('Informe Kelly'!E642,2)*1)+1),"dd")&amp;"."&amp;MID('Informe Kelly'!E642,4,2)&amp;"."&amp;RIGHT('Informe Kelly'!E642,4),'Informe Kelly'!E642),'Informe Kelly'!E642)</f>
        <v>11.04.2011</v>
      </c>
      <c r="D649" s="69" t="str">
        <f>IF('Informe Kelly'!E642="","",'Informe Kelly'!E642)</f>
        <v>11.04.2011</v>
      </c>
      <c r="E649" s="72">
        <f t="shared" si="19"/>
        <v>327</v>
      </c>
      <c r="F649" s="72" t="str">
        <f>IFERROR(HLOOKUP(C649,Ingreso!$Q$8:$AD$9,2,FALSE),"v")</f>
        <v>Lunes</v>
      </c>
      <c r="G649" s="65" t="str">
        <f>IFERROR(VLOOKUP(A649,Ingreso!K:P,6,FALSE),"no esta ingresado")</f>
        <v>Admin</v>
      </c>
      <c r="H649" s="65" t="str">
        <f>IFERROR(IF('Informe Kelly'!H642=$A$2,'Informe Kelly'!F642,""),0)</f>
        <v/>
      </c>
      <c r="I649" s="65">
        <f>IFERROR(IF('Informe Kelly'!H642=$A$3,'Informe Kelly'!F642,""),0)</f>
        <v>0.76302083333333337</v>
      </c>
      <c r="J649" s="65">
        <f>IF(IFERROR(IF(E649=E648,0,(HLOOKUP(D649,Ingreso!$AN$10:$AT$260,VLOOKUP(A649,Ingreso!$AL$11:$AM$260,2,FALSE)))/24),0)=0,"",IFERROR(IF(E649=E648,0,(HLOOKUP(D649,Ingreso!$AN$10:$AT$260,VLOOKUP(A649,Ingreso!$AL$11:$AM$260,2,FALSE)))/24),0))</f>
        <v>4.1666666666666664E-2</v>
      </c>
      <c r="K649" s="65" t="str">
        <f>IF(IFERROR(IF(E649=E648,0,(HLOOKUP(C649,Ingreso!$AW$10:$BC$260,VLOOKUP(A649,Ingreso!$AL$11:$AM$260,2,FALSE)))/24),0)=0,"",IFERROR(IF(E649=E648,0,(HLOOKUP(C649,Ingreso!$AW$10:$BC$260,VLOOKUP(A649,Ingreso!$AL$11:$AM$260,2,FALSE)))/24),0))</f>
        <v/>
      </c>
      <c r="L649" s="63">
        <f t="shared" ref="L649:L712" si="20">IFERROR(IF(C649=C647,0,IF(E649=E648,0,(VLOOKUP(G649,$C$2:$D$5,2,FALSE)))),"")</f>
        <v>0.41666666666666669</v>
      </c>
      <c r="M649" s="63" t="str">
        <f>IF(IFERROR(IF(C649=C647,0,IF(E649=E648,0,IF(C649=$R$2,HLOOKUP($R$2,Ingreso!$AW$10:$BC$260,VLOOKUP(A649,Ingreso!AL:AM,2,FALSE),FALSE)/24,""))),"")=0,"",IFERROR(IF(C649=C647,0,IF(E649=E648,0,IF(C649=$R$2,HLOOKUP($R$2,Ingreso!$AW$10:$BC$260,VLOOKUP(A649,Ingreso!AL:AM,2,FALSE),FALSE)/24,""))),""))</f>
        <v/>
      </c>
      <c r="N649" s="95" t="str">
        <f>IF(IFERROR(IF(C649=C647,0,IF(E649=E648,0,IF(C649=$R$3,HLOOKUP($R$3,Ingreso!$AW$10:$BC$260,VLOOKUP(A649,Ingreso!AL:AM,2,FALSE),FALSE)/24,""))),"")=0,"",IFERROR(IF(C649=C647,0,IF(E649=E648,0,IF(C649=$R$3,HLOOKUP($R$3,Ingreso!$AW$10:$BC$260,VLOOKUP(A649,Ingreso!AL:AM,2,FALSE),FALSE)/24,""))),""))</f>
        <v/>
      </c>
      <c r="O649" s="95" t="str">
        <f>IF(IFERROR(IF(C649=C647,0,IF(E649=E648,0,IF(C649=$R$4,HLOOKUP($R$4,Ingreso!$AW$10:$BC$260,VLOOKUP(A649,Ingreso!AL:AM,2,FALSE),FALSE)/24,""))),"")=0,"",IFERROR(IF(C649=C647,0,IF(E649=E648,0,IF(C649=$R$4,HLOOKUP($R$4,Ingreso!$AW$10:$BC$260,VLOOKUP(A649,Ingreso!AL:AM,2,FALSE),FALSE)/24,""))),""))</f>
        <v/>
      </c>
      <c r="P649" s="90"/>
      <c r="V649"/>
      <c r="W649"/>
      <c r="X649"/>
      <c r="Y649"/>
      <c r="Z649"/>
      <c r="AA649"/>
      <c r="AB649"/>
      <c r="AC649"/>
      <c r="AD649"/>
    </row>
    <row r="650" spans="1:30">
      <c r="A650" s="65" t="str">
        <f>IFERROR(VLOOKUP('Informe Kelly'!A643,Base!A:B,2,FALSE),"")</f>
        <v>13.236.100-2</v>
      </c>
      <c r="B650" s="65" t="str">
        <f>IFERROR(VLOOKUP('Informe Kelly'!A643,Base!A:G,7,FALSE),"")</f>
        <v>BUSTAMANTE GONZALEZ MARCO ANTONIO</v>
      </c>
      <c r="C650" s="69" t="str">
        <f>IF(G650=$C$4,IF('Informe Kelly'!H643='Control informe Kelly'!$A$2,TEXT(((LEFT('Informe Kelly'!E643,2)*1)+1),"dd")&amp;"."&amp;MID('Informe Kelly'!E643,4,2)&amp;"."&amp;RIGHT('Informe Kelly'!E643,4),'Informe Kelly'!E643),'Informe Kelly'!E643)</f>
        <v>11.04.2011</v>
      </c>
      <c r="D650" s="69" t="str">
        <f>IF('Informe Kelly'!E643="","",'Informe Kelly'!E643)</f>
        <v>11.04.2011</v>
      </c>
      <c r="E650" s="72">
        <f t="shared" ref="E650:E713" si="21">IF(C649=C650,IF(C650=C647,E649,IF(C650=C648,E649+1,E649)),E649+1)</f>
        <v>327</v>
      </c>
      <c r="F650" s="72" t="str">
        <f>IFERROR(HLOOKUP(C650,Ingreso!$Q$8:$AD$9,2,FALSE),"v")</f>
        <v>Lunes</v>
      </c>
      <c r="G650" s="65" t="str">
        <f>IFERROR(VLOOKUP(A650,Ingreso!K:P,6,FALSE),"no esta ingresado")</f>
        <v>Admin</v>
      </c>
      <c r="H650" s="65">
        <f>IFERROR(IF('Informe Kelly'!H643=$A$2,'Informe Kelly'!F643,""),0)</f>
        <v>0.37665509259259261</v>
      </c>
      <c r="I650" s="65" t="str">
        <f>IFERROR(IF('Informe Kelly'!H643=$A$3,'Informe Kelly'!F643,""),0)</f>
        <v/>
      </c>
      <c r="J650" s="65" t="str">
        <f>IF(IFERROR(IF(E650=E649,0,(HLOOKUP(D650,Ingreso!$AN$10:$AT$260,VLOOKUP(A650,Ingreso!$AL$11:$AM$260,2,FALSE)))/24),0)=0,"",IFERROR(IF(E650=E649,0,(HLOOKUP(D650,Ingreso!$AN$10:$AT$260,VLOOKUP(A650,Ingreso!$AL$11:$AM$260,2,FALSE)))/24),0))</f>
        <v/>
      </c>
      <c r="K650" s="65" t="str">
        <f>IF(IFERROR(IF(E650=E649,0,(HLOOKUP(C650,Ingreso!$AW$10:$BC$260,VLOOKUP(A650,Ingreso!$AL$11:$AM$260,2,FALSE)))/24),0)=0,"",IFERROR(IF(E650=E649,0,(HLOOKUP(C650,Ingreso!$AW$10:$BC$260,VLOOKUP(A650,Ingreso!$AL$11:$AM$260,2,FALSE)))/24),0))</f>
        <v/>
      </c>
      <c r="L650" s="63">
        <f t="shared" si="20"/>
        <v>0</v>
      </c>
      <c r="M650" s="63" t="str">
        <f>IF(IFERROR(IF(C650=C648,0,IF(E650=E649,0,IF(C650=$R$2,HLOOKUP($R$2,Ingreso!$AW$10:$BC$260,VLOOKUP(A650,Ingreso!AL:AM,2,FALSE),FALSE)/24,""))),"")=0,"",IFERROR(IF(C650=C648,0,IF(E650=E649,0,IF(C650=$R$2,HLOOKUP($R$2,Ingreso!$AW$10:$BC$260,VLOOKUP(A650,Ingreso!AL:AM,2,FALSE),FALSE)/24,""))),""))</f>
        <v/>
      </c>
      <c r="N650" s="95" t="str">
        <f>IF(IFERROR(IF(C650=C648,0,IF(E650=E649,0,IF(C650=$R$3,HLOOKUP($R$3,Ingreso!$AW$10:$BC$260,VLOOKUP(A650,Ingreso!AL:AM,2,FALSE),FALSE)/24,""))),"")=0,"",IFERROR(IF(C650=C648,0,IF(E650=E649,0,IF(C650=$R$3,HLOOKUP($R$3,Ingreso!$AW$10:$BC$260,VLOOKUP(A650,Ingreso!AL:AM,2,FALSE),FALSE)/24,""))),""))</f>
        <v/>
      </c>
      <c r="O650" s="95" t="str">
        <f>IF(IFERROR(IF(C650=C648,0,IF(E650=E649,0,IF(C650=$R$4,HLOOKUP($R$4,Ingreso!$AW$10:$BC$260,VLOOKUP(A650,Ingreso!AL:AM,2,FALSE),FALSE)/24,""))),"")=0,"",IFERROR(IF(C650=C648,0,IF(E650=E649,0,IF(C650=$R$4,HLOOKUP($R$4,Ingreso!$AW$10:$BC$260,VLOOKUP(A650,Ingreso!AL:AM,2,FALSE),FALSE)/24,""))),""))</f>
        <v/>
      </c>
      <c r="P650" s="90"/>
      <c r="V650"/>
      <c r="W650"/>
      <c r="X650"/>
      <c r="Y650"/>
      <c r="Z650"/>
      <c r="AA650"/>
      <c r="AB650"/>
      <c r="AC650"/>
      <c r="AD650"/>
    </row>
    <row r="651" spans="1:30">
      <c r="A651" s="65" t="str">
        <f>IFERROR(VLOOKUP('Informe Kelly'!A644,Base!A:B,2,FALSE),"")</f>
        <v>13.236.100-2</v>
      </c>
      <c r="B651" s="65" t="str">
        <f>IFERROR(VLOOKUP('Informe Kelly'!A644,Base!A:G,7,FALSE),"")</f>
        <v>BUSTAMANTE GONZALEZ MARCO ANTONIO</v>
      </c>
      <c r="C651" s="69" t="str">
        <f>IF(G651=$C$4,IF('Informe Kelly'!H644='Control informe Kelly'!$A$2,TEXT(((LEFT('Informe Kelly'!E644,2)*1)+1),"dd")&amp;"."&amp;MID('Informe Kelly'!E644,4,2)&amp;"."&amp;RIGHT('Informe Kelly'!E644,4),'Informe Kelly'!E644),'Informe Kelly'!E644)</f>
        <v>12.04.2011</v>
      </c>
      <c r="D651" s="69" t="str">
        <f>IF('Informe Kelly'!E644="","",'Informe Kelly'!E644)</f>
        <v>12.04.2011</v>
      </c>
      <c r="E651" s="72">
        <f t="shared" si="21"/>
        <v>328</v>
      </c>
      <c r="F651" s="72" t="str">
        <f>IFERROR(HLOOKUP(C651,Ingreso!$Q$8:$AD$9,2,FALSE),"v")</f>
        <v>Martes</v>
      </c>
      <c r="G651" s="65" t="str">
        <f>IFERROR(VLOOKUP(A651,Ingreso!K:P,6,FALSE),"no esta ingresado")</f>
        <v>Admin</v>
      </c>
      <c r="H651" s="65" t="str">
        <f>IFERROR(IF('Informe Kelly'!H644=$A$2,'Informe Kelly'!F644,""),0)</f>
        <v/>
      </c>
      <c r="I651" s="65">
        <f>IFERROR(IF('Informe Kelly'!H644=$A$3,'Informe Kelly'!F644,""),0)</f>
        <v>0.82534722222222223</v>
      </c>
      <c r="J651" s="65">
        <f>IF(IFERROR(IF(E651=E650,0,(HLOOKUP(D651,Ingreso!$AN$10:$AT$260,VLOOKUP(A651,Ingreso!$AL$11:$AM$260,2,FALSE)))/24),0)=0,"",IFERROR(IF(E651=E650,0,(HLOOKUP(D651,Ingreso!$AN$10:$AT$260,VLOOKUP(A651,Ingreso!$AL$11:$AM$260,2,FALSE)))/24),0))</f>
        <v>4.1666666666666664E-2</v>
      </c>
      <c r="K651" s="65" t="str">
        <f>IF(IFERROR(IF(E651=E650,0,(HLOOKUP(C651,Ingreso!$AW$10:$BC$260,VLOOKUP(A651,Ingreso!$AL$11:$AM$260,2,FALSE)))/24),0)=0,"",IFERROR(IF(E651=E650,0,(HLOOKUP(C651,Ingreso!$AW$10:$BC$260,VLOOKUP(A651,Ingreso!$AL$11:$AM$260,2,FALSE)))/24),0))</f>
        <v/>
      </c>
      <c r="L651" s="63">
        <f t="shared" si="20"/>
        <v>0.41666666666666669</v>
      </c>
      <c r="M651" s="63" t="str">
        <f>IF(IFERROR(IF(C651=C649,0,IF(E651=E650,0,IF(C651=$R$2,HLOOKUP($R$2,Ingreso!$AW$10:$BC$260,VLOOKUP(A651,Ingreso!AL:AM,2,FALSE),FALSE)/24,""))),"")=0,"",IFERROR(IF(C651=C649,0,IF(E651=E650,0,IF(C651=$R$2,HLOOKUP($R$2,Ingreso!$AW$10:$BC$260,VLOOKUP(A651,Ingreso!AL:AM,2,FALSE),FALSE)/24,""))),""))</f>
        <v/>
      </c>
      <c r="N651" s="95" t="str">
        <f>IF(IFERROR(IF(C651=C649,0,IF(E651=E650,0,IF(C651=$R$3,HLOOKUP($R$3,Ingreso!$AW$10:$BC$260,VLOOKUP(A651,Ingreso!AL:AM,2,FALSE),FALSE)/24,""))),"")=0,"",IFERROR(IF(C651=C649,0,IF(E651=E650,0,IF(C651=$R$3,HLOOKUP($R$3,Ingreso!$AW$10:$BC$260,VLOOKUP(A651,Ingreso!AL:AM,2,FALSE),FALSE)/24,""))),""))</f>
        <v/>
      </c>
      <c r="O651" s="95" t="str">
        <f>IF(IFERROR(IF(C651=C649,0,IF(E651=E650,0,IF(C651=$R$4,HLOOKUP($R$4,Ingreso!$AW$10:$BC$260,VLOOKUP(A651,Ingreso!AL:AM,2,FALSE),FALSE)/24,""))),"")=0,"",IFERROR(IF(C651=C649,0,IF(E651=E650,0,IF(C651=$R$4,HLOOKUP($R$4,Ingreso!$AW$10:$BC$260,VLOOKUP(A651,Ingreso!AL:AM,2,FALSE),FALSE)/24,""))),""))</f>
        <v/>
      </c>
      <c r="P651" s="90"/>
      <c r="V651"/>
      <c r="W651"/>
      <c r="X651"/>
      <c r="Y651"/>
      <c r="Z651"/>
      <c r="AA651"/>
      <c r="AB651"/>
      <c r="AC651"/>
      <c r="AD651"/>
    </row>
    <row r="652" spans="1:30">
      <c r="A652" s="65" t="str">
        <f>IFERROR(VLOOKUP('Informe Kelly'!A645,Base!A:B,2,FALSE),"")</f>
        <v>13.236.100-2</v>
      </c>
      <c r="B652" s="65" t="str">
        <f>IFERROR(VLOOKUP('Informe Kelly'!A645,Base!A:G,7,FALSE),"")</f>
        <v>BUSTAMANTE GONZALEZ MARCO ANTONIO</v>
      </c>
      <c r="C652" s="69" t="str">
        <f>IF(G652=$C$4,IF('Informe Kelly'!H645='Control informe Kelly'!$A$2,TEXT(((LEFT('Informe Kelly'!E645,2)*1)+1),"dd")&amp;"."&amp;MID('Informe Kelly'!E645,4,2)&amp;"."&amp;RIGHT('Informe Kelly'!E645,4),'Informe Kelly'!E645),'Informe Kelly'!E645)</f>
        <v>12.04.2011</v>
      </c>
      <c r="D652" s="69" t="str">
        <f>IF('Informe Kelly'!E645="","",'Informe Kelly'!E645)</f>
        <v>12.04.2011</v>
      </c>
      <c r="E652" s="72">
        <f t="shared" si="21"/>
        <v>328</v>
      </c>
      <c r="F652" s="72" t="str">
        <f>IFERROR(HLOOKUP(C652,Ingreso!$Q$8:$AD$9,2,FALSE),"v")</f>
        <v>Martes</v>
      </c>
      <c r="G652" s="65" t="str">
        <f>IFERROR(VLOOKUP(A652,Ingreso!K:P,6,FALSE),"no esta ingresado")</f>
        <v>Admin</v>
      </c>
      <c r="H652" s="65">
        <f>IFERROR(IF('Informe Kelly'!H645=$A$2,'Informe Kelly'!F645,""),0)</f>
        <v>0.36283564814814812</v>
      </c>
      <c r="I652" s="65" t="str">
        <f>IFERROR(IF('Informe Kelly'!H645=$A$3,'Informe Kelly'!F645,""),0)</f>
        <v/>
      </c>
      <c r="J652" s="65" t="str">
        <f>IF(IFERROR(IF(E652=E651,0,(HLOOKUP(D652,Ingreso!$AN$10:$AT$260,VLOOKUP(A652,Ingreso!$AL$11:$AM$260,2,FALSE)))/24),0)=0,"",IFERROR(IF(E652=E651,0,(HLOOKUP(D652,Ingreso!$AN$10:$AT$260,VLOOKUP(A652,Ingreso!$AL$11:$AM$260,2,FALSE)))/24),0))</f>
        <v/>
      </c>
      <c r="K652" s="65" t="str">
        <f>IF(IFERROR(IF(E652=E651,0,(HLOOKUP(C652,Ingreso!$AW$10:$BC$260,VLOOKUP(A652,Ingreso!$AL$11:$AM$260,2,FALSE)))/24),0)=0,"",IFERROR(IF(E652=E651,0,(HLOOKUP(C652,Ingreso!$AW$10:$BC$260,VLOOKUP(A652,Ingreso!$AL$11:$AM$260,2,FALSE)))/24),0))</f>
        <v/>
      </c>
      <c r="L652" s="63">
        <f t="shared" si="20"/>
        <v>0</v>
      </c>
      <c r="M652" s="63" t="str">
        <f>IF(IFERROR(IF(C652=C650,0,IF(E652=E651,0,IF(C652=$R$2,HLOOKUP($R$2,Ingreso!$AW$10:$BC$260,VLOOKUP(A652,Ingreso!AL:AM,2,FALSE),FALSE)/24,""))),"")=0,"",IFERROR(IF(C652=C650,0,IF(E652=E651,0,IF(C652=$R$2,HLOOKUP($R$2,Ingreso!$AW$10:$BC$260,VLOOKUP(A652,Ingreso!AL:AM,2,FALSE),FALSE)/24,""))),""))</f>
        <v/>
      </c>
      <c r="N652" s="95" t="str">
        <f>IF(IFERROR(IF(C652=C650,0,IF(E652=E651,0,IF(C652=$R$3,HLOOKUP($R$3,Ingreso!$AW$10:$BC$260,VLOOKUP(A652,Ingreso!AL:AM,2,FALSE),FALSE)/24,""))),"")=0,"",IFERROR(IF(C652=C650,0,IF(E652=E651,0,IF(C652=$R$3,HLOOKUP($R$3,Ingreso!$AW$10:$BC$260,VLOOKUP(A652,Ingreso!AL:AM,2,FALSE),FALSE)/24,""))),""))</f>
        <v/>
      </c>
      <c r="O652" s="95" t="str">
        <f>IF(IFERROR(IF(C652=C650,0,IF(E652=E651,0,IF(C652=$R$4,HLOOKUP($R$4,Ingreso!$AW$10:$BC$260,VLOOKUP(A652,Ingreso!AL:AM,2,FALSE),FALSE)/24,""))),"")=0,"",IFERROR(IF(C652=C650,0,IF(E652=E651,0,IF(C652=$R$4,HLOOKUP($R$4,Ingreso!$AW$10:$BC$260,VLOOKUP(A652,Ingreso!AL:AM,2,FALSE),FALSE)/24,""))),""))</f>
        <v/>
      </c>
      <c r="P652" s="90"/>
      <c r="V652"/>
      <c r="W652"/>
      <c r="X652"/>
      <c r="Y652"/>
      <c r="Z652"/>
      <c r="AA652"/>
      <c r="AB652"/>
      <c r="AC652"/>
      <c r="AD652"/>
    </row>
    <row r="653" spans="1:30">
      <c r="A653" s="65" t="str">
        <f>IFERROR(VLOOKUP('Informe Kelly'!A646,Base!A:B,2,FALSE),"")</f>
        <v>13.236.100-2</v>
      </c>
      <c r="B653" s="65" t="str">
        <f>IFERROR(VLOOKUP('Informe Kelly'!A646,Base!A:G,7,FALSE),"")</f>
        <v>BUSTAMANTE GONZALEZ MARCO ANTONIO</v>
      </c>
      <c r="C653" s="69" t="str">
        <f>IF(G653=$C$4,IF('Informe Kelly'!H646='Control informe Kelly'!$A$2,TEXT(((LEFT('Informe Kelly'!E646,2)*1)+1),"dd")&amp;"."&amp;MID('Informe Kelly'!E646,4,2)&amp;"."&amp;RIGHT('Informe Kelly'!E646,4),'Informe Kelly'!E646),'Informe Kelly'!E646)</f>
        <v>13.04.2011</v>
      </c>
      <c r="D653" s="69" t="str">
        <f>IF('Informe Kelly'!E646="","",'Informe Kelly'!E646)</f>
        <v>13.04.2011</v>
      </c>
      <c r="E653" s="72">
        <f t="shared" si="21"/>
        <v>329</v>
      </c>
      <c r="F653" s="72" t="str">
        <f>IFERROR(HLOOKUP(C653,Ingreso!$Q$8:$AD$9,2,FALSE),"v")</f>
        <v>Miércoles</v>
      </c>
      <c r="G653" s="65" t="str">
        <f>IFERROR(VLOOKUP(A653,Ingreso!K:P,6,FALSE),"no esta ingresado")</f>
        <v>Admin</v>
      </c>
      <c r="H653" s="65" t="str">
        <f>IFERROR(IF('Informe Kelly'!H646=$A$2,'Informe Kelly'!F646,""),0)</f>
        <v/>
      </c>
      <c r="I653" s="65">
        <f>IFERROR(IF('Informe Kelly'!H646=$A$3,'Informe Kelly'!F646,""),0)</f>
        <v>0.8189467592592593</v>
      </c>
      <c r="J653" s="65">
        <f>IF(IFERROR(IF(E653=E652,0,(HLOOKUP(D653,Ingreso!$AN$10:$AT$260,VLOOKUP(A653,Ingreso!$AL$11:$AM$260,2,FALSE)))/24),0)=0,"",IFERROR(IF(E653=E652,0,(HLOOKUP(D653,Ingreso!$AN$10:$AT$260,VLOOKUP(A653,Ingreso!$AL$11:$AM$260,2,FALSE)))/24),0))</f>
        <v>4.1666666666666664E-2</v>
      </c>
      <c r="K653" s="65" t="str">
        <f>IF(IFERROR(IF(E653=E652,0,(HLOOKUP(C653,Ingreso!$AW$10:$BC$260,VLOOKUP(A653,Ingreso!$AL$11:$AM$260,2,FALSE)))/24),0)=0,"",IFERROR(IF(E653=E652,0,(HLOOKUP(C653,Ingreso!$AW$10:$BC$260,VLOOKUP(A653,Ingreso!$AL$11:$AM$260,2,FALSE)))/24),0))</f>
        <v/>
      </c>
      <c r="L653" s="63">
        <f t="shared" si="20"/>
        <v>0.41666666666666669</v>
      </c>
      <c r="M653" s="63" t="str">
        <f>IF(IFERROR(IF(C653=C651,0,IF(E653=E652,0,IF(C653=$R$2,HLOOKUP($R$2,Ingreso!$AW$10:$BC$260,VLOOKUP(A653,Ingreso!AL:AM,2,FALSE),FALSE)/24,""))),"")=0,"",IFERROR(IF(C653=C651,0,IF(E653=E652,0,IF(C653=$R$2,HLOOKUP($R$2,Ingreso!$AW$10:$BC$260,VLOOKUP(A653,Ingreso!AL:AM,2,FALSE),FALSE)/24,""))),""))</f>
        <v/>
      </c>
      <c r="N653" s="95" t="str">
        <f>IF(IFERROR(IF(C653=C651,0,IF(E653=E652,0,IF(C653=$R$3,HLOOKUP($R$3,Ingreso!$AW$10:$BC$260,VLOOKUP(A653,Ingreso!AL:AM,2,FALSE),FALSE)/24,""))),"")=0,"",IFERROR(IF(C653=C651,0,IF(E653=E652,0,IF(C653=$R$3,HLOOKUP($R$3,Ingreso!$AW$10:$BC$260,VLOOKUP(A653,Ingreso!AL:AM,2,FALSE),FALSE)/24,""))),""))</f>
        <v/>
      </c>
      <c r="O653" s="95" t="str">
        <f>IF(IFERROR(IF(C653=C651,0,IF(E653=E652,0,IF(C653=$R$4,HLOOKUP($R$4,Ingreso!$AW$10:$BC$260,VLOOKUP(A653,Ingreso!AL:AM,2,FALSE),FALSE)/24,""))),"")=0,"",IFERROR(IF(C653=C651,0,IF(E653=E652,0,IF(C653=$R$4,HLOOKUP($R$4,Ingreso!$AW$10:$BC$260,VLOOKUP(A653,Ingreso!AL:AM,2,FALSE),FALSE)/24,""))),""))</f>
        <v/>
      </c>
      <c r="P653" s="90"/>
      <c r="V653"/>
      <c r="W653"/>
      <c r="X653"/>
      <c r="Y653"/>
      <c r="Z653"/>
      <c r="AA653"/>
      <c r="AB653"/>
      <c r="AC653"/>
      <c r="AD653"/>
    </row>
    <row r="654" spans="1:30">
      <c r="A654" s="65" t="str">
        <f>IFERROR(VLOOKUP('Informe Kelly'!A647,Base!A:B,2,FALSE),"")</f>
        <v>13.236.100-2</v>
      </c>
      <c r="B654" s="65" t="str">
        <f>IFERROR(VLOOKUP('Informe Kelly'!A647,Base!A:G,7,FALSE),"")</f>
        <v>BUSTAMANTE GONZALEZ MARCO ANTONIO</v>
      </c>
      <c r="C654" s="69" t="str">
        <f>IF(G654=$C$4,IF('Informe Kelly'!H647='Control informe Kelly'!$A$2,TEXT(((LEFT('Informe Kelly'!E647,2)*1)+1),"dd")&amp;"."&amp;MID('Informe Kelly'!E647,4,2)&amp;"."&amp;RIGHT('Informe Kelly'!E647,4),'Informe Kelly'!E647),'Informe Kelly'!E647)</f>
        <v>13.04.2011</v>
      </c>
      <c r="D654" s="69" t="str">
        <f>IF('Informe Kelly'!E647="","",'Informe Kelly'!E647)</f>
        <v>13.04.2011</v>
      </c>
      <c r="E654" s="72">
        <f t="shared" si="21"/>
        <v>329</v>
      </c>
      <c r="F654" s="72" t="str">
        <f>IFERROR(HLOOKUP(C654,Ingreso!$Q$8:$AD$9,2,FALSE),"v")</f>
        <v>Miércoles</v>
      </c>
      <c r="G654" s="65" t="str">
        <f>IFERROR(VLOOKUP(A654,Ingreso!K:P,6,FALSE),"no esta ingresado")</f>
        <v>Admin</v>
      </c>
      <c r="H654" s="65">
        <f>IFERROR(IF('Informe Kelly'!H647=$A$2,'Informe Kelly'!F647,""),0)</f>
        <v>0.35728009259259258</v>
      </c>
      <c r="I654" s="65" t="str">
        <f>IFERROR(IF('Informe Kelly'!H647=$A$3,'Informe Kelly'!F647,""),0)</f>
        <v/>
      </c>
      <c r="J654" s="65" t="str">
        <f>IF(IFERROR(IF(E654=E653,0,(HLOOKUP(D654,Ingreso!$AN$10:$AT$260,VLOOKUP(A654,Ingreso!$AL$11:$AM$260,2,FALSE)))/24),0)=0,"",IFERROR(IF(E654=E653,0,(HLOOKUP(D654,Ingreso!$AN$10:$AT$260,VLOOKUP(A654,Ingreso!$AL$11:$AM$260,2,FALSE)))/24),0))</f>
        <v/>
      </c>
      <c r="K654" s="65" t="str">
        <f>IF(IFERROR(IF(E654=E653,0,(HLOOKUP(C654,Ingreso!$AW$10:$BC$260,VLOOKUP(A654,Ingreso!$AL$11:$AM$260,2,FALSE)))/24),0)=0,"",IFERROR(IF(E654=E653,0,(HLOOKUP(C654,Ingreso!$AW$10:$BC$260,VLOOKUP(A654,Ingreso!$AL$11:$AM$260,2,FALSE)))/24),0))</f>
        <v/>
      </c>
      <c r="L654" s="63">
        <f t="shared" si="20"/>
        <v>0</v>
      </c>
      <c r="M654" s="63" t="str">
        <f>IF(IFERROR(IF(C654=C652,0,IF(E654=E653,0,IF(C654=$R$2,HLOOKUP($R$2,Ingreso!$AW$10:$BC$260,VLOOKUP(A654,Ingreso!AL:AM,2,FALSE),FALSE)/24,""))),"")=0,"",IFERROR(IF(C654=C652,0,IF(E654=E653,0,IF(C654=$R$2,HLOOKUP($R$2,Ingreso!$AW$10:$BC$260,VLOOKUP(A654,Ingreso!AL:AM,2,FALSE),FALSE)/24,""))),""))</f>
        <v/>
      </c>
      <c r="N654" s="95" t="str">
        <f>IF(IFERROR(IF(C654=C652,0,IF(E654=E653,0,IF(C654=$R$3,HLOOKUP($R$3,Ingreso!$AW$10:$BC$260,VLOOKUP(A654,Ingreso!AL:AM,2,FALSE),FALSE)/24,""))),"")=0,"",IFERROR(IF(C654=C652,0,IF(E654=E653,0,IF(C654=$R$3,HLOOKUP($R$3,Ingreso!$AW$10:$BC$260,VLOOKUP(A654,Ingreso!AL:AM,2,FALSE),FALSE)/24,""))),""))</f>
        <v/>
      </c>
      <c r="O654" s="95" t="str">
        <f>IF(IFERROR(IF(C654=C652,0,IF(E654=E653,0,IF(C654=$R$4,HLOOKUP($R$4,Ingreso!$AW$10:$BC$260,VLOOKUP(A654,Ingreso!AL:AM,2,FALSE),FALSE)/24,""))),"")=0,"",IFERROR(IF(C654=C652,0,IF(E654=E653,0,IF(C654=$R$4,HLOOKUP($R$4,Ingreso!$AW$10:$BC$260,VLOOKUP(A654,Ingreso!AL:AM,2,FALSE),FALSE)/24,""))),""))</f>
        <v/>
      </c>
      <c r="P654" s="90"/>
      <c r="V654"/>
      <c r="W654"/>
      <c r="X654"/>
      <c r="Y654"/>
      <c r="Z654"/>
      <c r="AA654"/>
      <c r="AB654"/>
      <c r="AC654"/>
      <c r="AD654"/>
    </row>
    <row r="655" spans="1:30">
      <c r="A655" s="65" t="str">
        <f>IFERROR(VLOOKUP('Informe Kelly'!A648,Base!A:B,2,FALSE),"")</f>
        <v>13.236.100-2</v>
      </c>
      <c r="B655" s="65" t="str">
        <f>IFERROR(VLOOKUP('Informe Kelly'!A648,Base!A:G,7,FALSE),"")</f>
        <v>BUSTAMANTE GONZALEZ MARCO ANTONIO</v>
      </c>
      <c r="C655" s="69" t="str">
        <f>IF(G655=$C$4,IF('Informe Kelly'!H648='Control informe Kelly'!$A$2,TEXT(((LEFT('Informe Kelly'!E648,2)*1)+1),"dd")&amp;"."&amp;MID('Informe Kelly'!E648,4,2)&amp;"."&amp;RIGHT('Informe Kelly'!E648,4),'Informe Kelly'!E648),'Informe Kelly'!E648)</f>
        <v>14.04.2011</v>
      </c>
      <c r="D655" s="69" t="str">
        <f>IF('Informe Kelly'!E648="","",'Informe Kelly'!E648)</f>
        <v>14.04.2011</v>
      </c>
      <c r="E655" s="72">
        <f t="shared" si="21"/>
        <v>330</v>
      </c>
      <c r="F655" s="72" t="str">
        <f>IFERROR(HLOOKUP(C655,Ingreso!$Q$8:$AD$9,2,FALSE),"v")</f>
        <v>Jueves</v>
      </c>
      <c r="G655" s="65" t="str">
        <f>IFERROR(VLOOKUP(A655,Ingreso!K:P,6,FALSE),"no esta ingresado")</f>
        <v>Admin</v>
      </c>
      <c r="H655" s="65" t="str">
        <f>IFERROR(IF('Informe Kelly'!H648=$A$2,'Informe Kelly'!F648,""),0)</f>
        <v/>
      </c>
      <c r="I655" s="65">
        <f>IFERROR(IF('Informe Kelly'!H648=$A$3,'Informe Kelly'!F648,""),0)</f>
        <v>0.79861111111111116</v>
      </c>
      <c r="J655" s="65">
        <f>IF(IFERROR(IF(E655=E654,0,(HLOOKUP(D655,Ingreso!$AN$10:$AT$260,VLOOKUP(A655,Ingreso!$AL$11:$AM$260,2,FALSE)))/24),0)=0,"",IFERROR(IF(E655=E654,0,(HLOOKUP(D655,Ingreso!$AN$10:$AT$260,VLOOKUP(A655,Ingreso!$AL$11:$AM$260,2,FALSE)))/24),0))</f>
        <v>4.1666666666666664E-2</v>
      </c>
      <c r="K655" s="65" t="str">
        <f>IF(IFERROR(IF(E655=E654,0,(HLOOKUP(C655,Ingreso!$AW$10:$BC$260,VLOOKUP(A655,Ingreso!$AL$11:$AM$260,2,FALSE)))/24),0)=0,"",IFERROR(IF(E655=E654,0,(HLOOKUP(C655,Ingreso!$AW$10:$BC$260,VLOOKUP(A655,Ingreso!$AL$11:$AM$260,2,FALSE)))/24),0))</f>
        <v/>
      </c>
      <c r="L655" s="63">
        <f t="shared" si="20"/>
        <v>0.41666666666666669</v>
      </c>
      <c r="M655" s="63" t="str">
        <f>IF(IFERROR(IF(C655=C653,0,IF(E655=E654,0,IF(C655=$R$2,HLOOKUP($R$2,Ingreso!$AW$10:$BC$260,VLOOKUP(A655,Ingreso!AL:AM,2,FALSE),FALSE)/24,""))),"")=0,"",IFERROR(IF(C655=C653,0,IF(E655=E654,0,IF(C655=$R$2,HLOOKUP($R$2,Ingreso!$AW$10:$BC$260,VLOOKUP(A655,Ingreso!AL:AM,2,FALSE),FALSE)/24,""))),""))</f>
        <v/>
      </c>
      <c r="N655" s="95" t="str">
        <f>IF(IFERROR(IF(C655=C653,0,IF(E655=E654,0,IF(C655=$R$3,HLOOKUP($R$3,Ingreso!$AW$10:$BC$260,VLOOKUP(A655,Ingreso!AL:AM,2,FALSE),FALSE)/24,""))),"")=0,"",IFERROR(IF(C655=C653,0,IF(E655=E654,0,IF(C655=$R$3,HLOOKUP($R$3,Ingreso!$AW$10:$BC$260,VLOOKUP(A655,Ingreso!AL:AM,2,FALSE),FALSE)/24,""))),""))</f>
        <v/>
      </c>
      <c r="O655" s="95" t="str">
        <f>IF(IFERROR(IF(C655=C653,0,IF(E655=E654,0,IF(C655=$R$4,HLOOKUP($R$4,Ingreso!$AW$10:$BC$260,VLOOKUP(A655,Ingreso!AL:AM,2,FALSE),FALSE)/24,""))),"")=0,"",IFERROR(IF(C655=C653,0,IF(E655=E654,0,IF(C655=$R$4,HLOOKUP($R$4,Ingreso!$AW$10:$BC$260,VLOOKUP(A655,Ingreso!AL:AM,2,FALSE),FALSE)/24,""))),""))</f>
        <v/>
      </c>
      <c r="P655" s="90"/>
      <c r="V655"/>
      <c r="W655"/>
      <c r="X655"/>
      <c r="Y655"/>
      <c r="Z655"/>
      <c r="AA655"/>
      <c r="AB655"/>
      <c r="AC655"/>
      <c r="AD655"/>
    </row>
    <row r="656" spans="1:30">
      <c r="A656" s="65" t="str">
        <f>IFERROR(VLOOKUP('Informe Kelly'!A649,Base!A:B,2,FALSE),"")</f>
        <v>13.236.100-2</v>
      </c>
      <c r="B656" s="65" t="str">
        <f>IFERROR(VLOOKUP('Informe Kelly'!A649,Base!A:G,7,FALSE),"")</f>
        <v>BUSTAMANTE GONZALEZ MARCO ANTONIO</v>
      </c>
      <c r="C656" s="69" t="str">
        <f>IF(G656=$C$4,IF('Informe Kelly'!H649='Control informe Kelly'!$A$2,TEXT(((LEFT('Informe Kelly'!E649,2)*1)+1),"dd")&amp;"."&amp;MID('Informe Kelly'!E649,4,2)&amp;"."&amp;RIGHT('Informe Kelly'!E649,4),'Informe Kelly'!E649),'Informe Kelly'!E649)</f>
        <v>14.04.2011</v>
      </c>
      <c r="D656" s="69" t="str">
        <f>IF('Informe Kelly'!E649="","",'Informe Kelly'!E649)</f>
        <v>14.04.2011</v>
      </c>
      <c r="E656" s="72">
        <f t="shared" si="21"/>
        <v>330</v>
      </c>
      <c r="F656" s="72" t="str">
        <f>IFERROR(HLOOKUP(C656,Ingreso!$Q$8:$AD$9,2,FALSE),"v")</f>
        <v>Jueves</v>
      </c>
      <c r="G656" s="65" t="str">
        <f>IFERROR(VLOOKUP(A656,Ingreso!K:P,6,FALSE),"no esta ingresado")</f>
        <v>Admin</v>
      </c>
      <c r="H656" s="65">
        <f>IFERROR(IF('Informe Kelly'!H649=$A$2,'Informe Kelly'!F649,""),0)</f>
        <v>0.35567129629629629</v>
      </c>
      <c r="I656" s="65" t="str">
        <f>IFERROR(IF('Informe Kelly'!H649=$A$3,'Informe Kelly'!F649,""),0)</f>
        <v/>
      </c>
      <c r="J656" s="65" t="str">
        <f>IF(IFERROR(IF(E656=E655,0,(HLOOKUP(D656,Ingreso!$AN$10:$AT$260,VLOOKUP(A656,Ingreso!$AL$11:$AM$260,2,FALSE)))/24),0)=0,"",IFERROR(IF(E656=E655,0,(HLOOKUP(D656,Ingreso!$AN$10:$AT$260,VLOOKUP(A656,Ingreso!$AL$11:$AM$260,2,FALSE)))/24),0))</f>
        <v/>
      </c>
      <c r="K656" s="65" t="str">
        <f>IF(IFERROR(IF(E656=E655,0,(HLOOKUP(C656,Ingreso!$AW$10:$BC$260,VLOOKUP(A656,Ingreso!$AL$11:$AM$260,2,FALSE)))/24),0)=0,"",IFERROR(IF(E656=E655,0,(HLOOKUP(C656,Ingreso!$AW$10:$BC$260,VLOOKUP(A656,Ingreso!$AL$11:$AM$260,2,FALSE)))/24),0))</f>
        <v/>
      </c>
      <c r="L656" s="63">
        <f t="shared" si="20"/>
        <v>0</v>
      </c>
      <c r="M656" s="63" t="str">
        <f>IF(IFERROR(IF(C656=C654,0,IF(E656=E655,0,IF(C656=$R$2,HLOOKUP($R$2,Ingreso!$AW$10:$BC$260,VLOOKUP(A656,Ingreso!AL:AM,2,FALSE),FALSE)/24,""))),"")=0,"",IFERROR(IF(C656=C654,0,IF(E656=E655,0,IF(C656=$R$2,HLOOKUP($R$2,Ingreso!$AW$10:$BC$260,VLOOKUP(A656,Ingreso!AL:AM,2,FALSE),FALSE)/24,""))),""))</f>
        <v/>
      </c>
      <c r="N656" s="95" t="str">
        <f>IF(IFERROR(IF(C656=C654,0,IF(E656=E655,0,IF(C656=$R$3,HLOOKUP($R$3,Ingreso!$AW$10:$BC$260,VLOOKUP(A656,Ingreso!AL:AM,2,FALSE),FALSE)/24,""))),"")=0,"",IFERROR(IF(C656=C654,0,IF(E656=E655,0,IF(C656=$R$3,HLOOKUP($R$3,Ingreso!$AW$10:$BC$260,VLOOKUP(A656,Ingreso!AL:AM,2,FALSE),FALSE)/24,""))),""))</f>
        <v/>
      </c>
      <c r="O656" s="95" t="str">
        <f>IF(IFERROR(IF(C656=C654,0,IF(E656=E655,0,IF(C656=$R$4,HLOOKUP($R$4,Ingreso!$AW$10:$BC$260,VLOOKUP(A656,Ingreso!AL:AM,2,FALSE),FALSE)/24,""))),"")=0,"",IFERROR(IF(C656=C654,0,IF(E656=E655,0,IF(C656=$R$4,HLOOKUP($R$4,Ingreso!$AW$10:$BC$260,VLOOKUP(A656,Ingreso!AL:AM,2,FALSE),FALSE)/24,""))),""))</f>
        <v/>
      </c>
      <c r="P656" s="90"/>
      <c r="V656"/>
      <c r="W656"/>
      <c r="X656"/>
      <c r="Y656"/>
      <c r="Z656"/>
      <c r="AA656"/>
      <c r="AB656"/>
      <c r="AC656"/>
      <c r="AD656"/>
    </row>
    <row r="657" spans="1:30">
      <c r="A657" s="65" t="str">
        <f>IFERROR(VLOOKUP('Informe Kelly'!A650,Base!A:B,2,FALSE),"")</f>
        <v>13.236.100-2</v>
      </c>
      <c r="B657" s="65" t="str">
        <f>IFERROR(VLOOKUP('Informe Kelly'!A650,Base!A:G,7,FALSE),"")</f>
        <v>BUSTAMANTE GONZALEZ MARCO ANTONIO</v>
      </c>
      <c r="C657" s="69" t="str">
        <f>IF(G657=$C$4,IF('Informe Kelly'!H650='Control informe Kelly'!$A$2,TEXT(((LEFT('Informe Kelly'!E650,2)*1)+1),"dd")&amp;"."&amp;MID('Informe Kelly'!E650,4,2)&amp;"."&amp;RIGHT('Informe Kelly'!E650,4),'Informe Kelly'!E650),'Informe Kelly'!E650)</f>
        <v>15.04.2011</v>
      </c>
      <c r="D657" s="69" t="str">
        <f>IF('Informe Kelly'!E650="","",'Informe Kelly'!E650)</f>
        <v>15.04.2011</v>
      </c>
      <c r="E657" s="72">
        <f t="shared" si="21"/>
        <v>331</v>
      </c>
      <c r="F657" s="72" t="str">
        <f>IFERROR(HLOOKUP(C657,Ingreso!$Q$8:$AD$9,2,FALSE),"v")</f>
        <v>Viernes</v>
      </c>
      <c r="G657" s="65" t="str">
        <f>IFERROR(VLOOKUP(A657,Ingreso!K:P,6,FALSE),"no esta ingresado")</f>
        <v>Admin</v>
      </c>
      <c r="H657" s="65" t="str">
        <f>IFERROR(IF('Informe Kelly'!H650=$A$2,'Informe Kelly'!F650,""),0)</f>
        <v/>
      </c>
      <c r="I657" s="65">
        <f>IFERROR(IF('Informe Kelly'!H650=$A$3,'Informe Kelly'!F650,""),0)</f>
        <v>0.75521990740740741</v>
      </c>
      <c r="J657" s="65">
        <f>IF(IFERROR(IF(E657=E656,0,(HLOOKUP(D657,Ingreso!$AN$10:$AT$260,VLOOKUP(A657,Ingreso!$AL$11:$AM$260,2,FALSE)))/24),0)=0,"",IFERROR(IF(E657=E656,0,(HLOOKUP(D657,Ingreso!$AN$10:$AT$260,VLOOKUP(A657,Ingreso!$AL$11:$AM$260,2,FALSE)))/24),0))</f>
        <v>4.1666666666666664E-2</v>
      </c>
      <c r="K657" s="65" t="str">
        <f>IF(IFERROR(IF(E657=E656,0,(HLOOKUP(C657,Ingreso!$AW$10:$BC$260,VLOOKUP(A657,Ingreso!$AL$11:$AM$260,2,FALSE)))/24),0)=0,"",IFERROR(IF(E657=E656,0,(HLOOKUP(C657,Ingreso!$AW$10:$BC$260,VLOOKUP(A657,Ingreso!$AL$11:$AM$260,2,FALSE)))/24),0))</f>
        <v/>
      </c>
      <c r="L657" s="63">
        <f t="shared" si="20"/>
        <v>0.41666666666666669</v>
      </c>
      <c r="M657" s="63" t="str">
        <f>IF(IFERROR(IF(C657=C655,0,IF(E657=E656,0,IF(C657=$R$2,HLOOKUP($R$2,Ingreso!$AW$10:$BC$260,VLOOKUP(A657,Ingreso!AL:AM,2,FALSE),FALSE)/24,""))),"")=0,"",IFERROR(IF(C657=C655,0,IF(E657=E656,0,IF(C657=$R$2,HLOOKUP($R$2,Ingreso!$AW$10:$BC$260,VLOOKUP(A657,Ingreso!AL:AM,2,FALSE),FALSE)/24,""))),""))</f>
        <v/>
      </c>
      <c r="N657" s="95" t="str">
        <f>IF(IFERROR(IF(C657=C655,0,IF(E657=E656,0,IF(C657=$R$3,HLOOKUP($R$3,Ingreso!$AW$10:$BC$260,VLOOKUP(A657,Ingreso!AL:AM,2,FALSE),FALSE)/24,""))),"")=0,"",IFERROR(IF(C657=C655,0,IF(E657=E656,0,IF(C657=$R$3,HLOOKUP($R$3,Ingreso!$AW$10:$BC$260,VLOOKUP(A657,Ingreso!AL:AM,2,FALSE),FALSE)/24,""))),""))</f>
        <v/>
      </c>
      <c r="O657" s="95" t="str">
        <f>IF(IFERROR(IF(C657=C655,0,IF(E657=E656,0,IF(C657=$R$4,HLOOKUP($R$4,Ingreso!$AW$10:$BC$260,VLOOKUP(A657,Ingreso!AL:AM,2,FALSE),FALSE)/24,""))),"")=0,"",IFERROR(IF(C657=C655,0,IF(E657=E656,0,IF(C657=$R$4,HLOOKUP($R$4,Ingreso!$AW$10:$BC$260,VLOOKUP(A657,Ingreso!AL:AM,2,FALSE),FALSE)/24,""))),""))</f>
        <v/>
      </c>
      <c r="P657" s="90"/>
      <c r="V657"/>
      <c r="W657"/>
      <c r="X657"/>
      <c r="Y657"/>
      <c r="Z657"/>
      <c r="AA657"/>
      <c r="AB657"/>
      <c r="AC657"/>
      <c r="AD657"/>
    </row>
    <row r="658" spans="1:30">
      <c r="A658" s="65" t="str">
        <f>IFERROR(VLOOKUP('Informe Kelly'!A651,Base!A:B,2,FALSE),"")</f>
        <v>13.236.100-2</v>
      </c>
      <c r="B658" s="65" t="str">
        <f>IFERROR(VLOOKUP('Informe Kelly'!A651,Base!A:G,7,FALSE),"")</f>
        <v>BUSTAMANTE GONZALEZ MARCO ANTONIO</v>
      </c>
      <c r="C658" s="69" t="str">
        <f>IF(G658=$C$4,IF('Informe Kelly'!H651='Control informe Kelly'!$A$2,TEXT(((LEFT('Informe Kelly'!E651,2)*1)+1),"dd")&amp;"."&amp;MID('Informe Kelly'!E651,4,2)&amp;"."&amp;RIGHT('Informe Kelly'!E651,4),'Informe Kelly'!E651),'Informe Kelly'!E651)</f>
        <v>15.04.2011</v>
      </c>
      <c r="D658" s="69" t="str">
        <f>IF('Informe Kelly'!E651="","",'Informe Kelly'!E651)</f>
        <v>15.04.2011</v>
      </c>
      <c r="E658" s="72">
        <f t="shared" si="21"/>
        <v>331</v>
      </c>
      <c r="F658" s="72" t="str">
        <f>IFERROR(HLOOKUP(C658,Ingreso!$Q$8:$AD$9,2,FALSE),"v")</f>
        <v>Viernes</v>
      </c>
      <c r="G658" s="65" t="str">
        <f>IFERROR(VLOOKUP(A658,Ingreso!K:P,6,FALSE),"no esta ingresado")</f>
        <v>Admin</v>
      </c>
      <c r="H658" s="65">
        <f>IFERROR(IF('Informe Kelly'!H651=$A$2,'Informe Kelly'!F651,""),0)</f>
        <v>0.36826388888888889</v>
      </c>
      <c r="I658" s="65" t="str">
        <f>IFERROR(IF('Informe Kelly'!H651=$A$3,'Informe Kelly'!F651,""),0)</f>
        <v/>
      </c>
      <c r="J658" s="65" t="str">
        <f>IF(IFERROR(IF(E658=E657,0,(HLOOKUP(D658,Ingreso!$AN$10:$AT$260,VLOOKUP(A658,Ingreso!$AL$11:$AM$260,2,FALSE)))/24),0)=0,"",IFERROR(IF(E658=E657,0,(HLOOKUP(D658,Ingreso!$AN$10:$AT$260,VLOOKUP(A658,Ingreso!$AL$11:$AM$260,2,FALSE)))/24),0))</f>
        <v/>
      </c>
      <c r="K658" s="65" t="str">
        <f>IF(IFERROR(IF(E658=E657,0,(HLOOKUP(C658,Ingreso!$AW$10:$BC$260,VLOOKUP(A658,Ingreso!$AL$11:$AM$260,2,FALSE)))/24),0)=0,"",IFERROR(IF(E658=E657,0,(HLOOKUP(C658,Ingreso!$AW$10:$BC$260,VLOOKUP(A658,Ingreso!$AL$11:$AM$260,2,FALSE)))/24),0))</f>
        <v/>
      </c>
      <c r="L658" s="63">
        <f t="shared" si="20"/>
        <v>0</v>
      </c>
      <c r="M658" s="63" t="str">
        <f>IF(IFERROR(IF(C658=C656,0,IF(E658=E657,0,IF(C658=$R$2,HLOOKUP($R$2,Ingreso!$AW$10:$BC$260,VLOOKUP(A658,Ingreso!AL:AM,2,FALSE),FALSE)/24,""))),"")=0,"",IFERROR(IF(C658=C656,0,IF(E658=E657,0,IF(C658=$R$2,HLOOKUP($R$2,Ingreso!$AW$10:$BC$260,VLOOKUP(A658,Ingreso!AL:AM,2,FALSE),FALSE)/24,""))),""))</f>
        <v/>
      </c>
      <c r="N658" s="95" t="str">
        <f>IF(IFERROR(IF(C658=C656,0,IF(E658=E657,0,IF(C658=$R$3,HLOOKUP($R$3,Ingreso!$AW$10:$BC$260,VLOOKUP(A658,Ingreso!AL:AM,2,FALSE),FALSE)/24,""))),"")=0,"",IFERROR(IF(C658=C656,0,IF(E658=E657,0,IF(C658=$R$3,HLOOKUP($R$3,Ingreso!$AW$10:$BC$260,VLOOKUP(A658,Ingreso!AL:AM,2,FALSE),FALSE)/24,""))),""))</f>
        <v/>
      </c>
      <c r="O658" s="95" t="str">
        <f>IF(IFERROR(IF(C658=C656,0,IF(E658=E657,0,IF(C658=$R$4,HLOOKUP($R$4,Ingreso!$AW$10:$BC$260,VLOOKUP(A658,Ingreso!AL:AM,2,FALSE),FALSE)/24,""))),"")=0,"",IFERROR(IF(C658=C656,0,IF(E658=E657,0,IF(C658=$R$4,HLOOKUP($R$4,Ingreso!$AW$10:$BC$260,VLOOKUP(A658,Ingreso!AL:AM,2,FALSE),FALSE)/24,""))),""))</f>
        <v/>
      </c>
      <c r="P658" s="90"/>
      <c r="V658"/>
      <c r="W658"/>
      <c r="X658"/>
      <c r="Y658"/>
      <c r="Z658"/>
      <c r="AA658"/>
      <c r="AB658"/>
      <c r="AC658"/>
      <c r="AD658"/>
    </row>
    <row r="659" spans="1:30">
      <c r="A659" s="65" t="str">
        <f>IFERROR(VLOOKUP('Informe Kelly'!A652,Base!A:B,2,FALSE),"")</f>
        <v>13.295.279-5</v>
      </c>
      <c r="B659" s="65" t="str">
        <f>IFERROR(VLOOKUP('Informe Kelly'!A652,Base!A:G,7,FALSE),"")</f>
        <v>TOLEDO YENEVES JUAN OSVALDO</v>
      </c>
      <c r="C659" s="69" t="str">
        <f>IF(G659=$C$4,IF('Informe Kelly'!H652='Control informe Kelly'!$A$2,TEXT(((LEFT('Informe Kelly'!E652,2)*1)+1),"dd")&amp;"."&amp;MID('Informe Kelly'!E652,4,2)&amp;"."&amp;RIGHT('Informe Kelly'!E652,4),'Informe Kelly'!E652),'Informe Kelly'!E652)</f>
        <v>11.04.2011</v>
      </c>
      <c r="D659" s="69" t="str">
        <f>IF('Informe Kelly'!E652="","",'Informe Kelly'!E652)</f>
        <v>11.04.2011</v>
      </c>
      <c r="E659" s="72">
        <f t="shared" si="21"/>
        <v>332</v>
      </c>
      <c r="F659" s="72" t="str">
        <f>IFERROR(HLOOKUP(C659,Ingreso!$Q$8:$AD$9,2,FALSE),"v")</f>
        <v>Lunes</v>
      </c>
      <c r="G659" s="65" t="str">
        <f>IFERROR(VLOOKUP(A659,Ingreso!K:P,6,FALSE),"no esta ingresado")</f>
        <v>Turno C</v>
      </c>
      <c r="H659" s="65" t="str">
        <f>IFERROR(IF('Informe Kelly'!H652=$A$2,'Informe Kelly'!F652,""),0)</f>
        <v/>
      </c>
      <c r="I659" s="65">
        <f>IFERROR(IF('Informe Kelly'!H652=$A$3,'Informe Kelly'!F652,""),0)</f>
        <v>0.33414351851851848</v>
      </c>
      <c r="J659" s="65" t="str">
        <f>IF(IFERROR(IF(E659=E658,0,(HLOOKUP(D659,Ingreso!$AN$10:$AT$260,VLOOKUP(A659,Ingreso!$AL$11:$AM$260,2,FALSE)))/24),0)=0,"",IFERROR(IF(E659=E658,0,(HLOOKUP(D659,Ingreso!$AN$10:$AT$260,VLOOKUP(A659,Ingreso!$AL$11:$AM$260,2,FALSE)))/24),0))</f>
        <v/>
      </c>
      <c r="K659" s="65">
        <f>IF(IFERROR(IF(E659=E658,0,(HLOOKUP(C659,Ingreso!$AW$10:$BC$260,VLOOKUP(A659,Ingreso!$AL$11:$AM$260,2,FALSE)))/24),0)=0,"",IFERROR(IF(E659=E658,0,(HLOOKUP(C659,Ingreso!$AW$10:$BC$260,VLOOKUP(A659,Ingreso!$AL$11:$AM$260,2,FALSE)))/24),0))</f>
        <v>0.3125</v>
      </c>
      <c r="L659" s="63">
        <f t="shared" si="20"/>
        <v>0.375</v>
      </c>
      <c r="M659" s="63">
        <f>IF(IFERROR(IF(C659=C657,0,IF(E659=E658,0,IF(C659=$R$2,HLOOKUP($R$2,Ingreso!$AW$10:$BC$260,VLOOKUP(A659,Ingreso!AL:AM,2,FALSE),FALSE)/24,""))),"")=0,"",IFERROR(IF(C659=C657,0,IF(E659=E658,0,IF(C659=$R$2,HLOOKUP($R$2,Ingreso!$AW$10:$BC$260,VLOOKUP(A659,Ingreso!AL:AM,2,FALSE),FALSE)/24,""))),""))</f>
        <v>0.3125</v>
      </c>
      <c r="N659" s="95" t="str">
        <f>IF(IFERROR(IF(C659=C657,0,IF(E659=E658,0,IF(C659=$R$3,HLOOKUP($R$3,Ingreso!$AW$10:$BC$260,VLOOKUP(A659,Ingreso!AL:AM,2,FALSE),FALSE)/24,""))),"")=0,"",IFERROR(IF(C659=C657,0,IF(E659=E658,0,IF(C659=$R$3,HLOOKUP($R$3,Ingreso!$AW$10:$BC$260,VLOOKUP(A659,Ingreso!AL:AM,2,FALSE),FALSE)/24,""))),""))</f>
        <v/>
      </c>
      <c r="O659" s="95" t="str">
        <f>IF(IFERROR(IF(C659=C657,0,IF(E659=E658,0,IF(C659=$R$4,HLOOKUP($R$4,Ingreso!$AW$10:$BC$260,VLOOKUP(A659,Ingreso!AL:AM,2,FALSE),FALSE)/24,""))),"")=0,"",IFERROR(IF(C659=C657,0,IF(E659=E658,0,IF(C659=$R$4,HLOOKUP($R$4,Ingreso!$AW$10:$BC$260,VLOOKUP(A659,Ingreso!AL:AM,2,FALSE),FALSE)/24,""))),""))</f>
        <v/>
      </c>
      <c r="P659" s="90"/>
      <c r="V659"/>
      <c r="W659"/>
      <c r="X659"/>
      <c r="Y659"/>
      <c r="Z659"/>
      <c r="AA659"/>
      <c r="AB659"/>
      <c r="AC659"/>
      <c r="AD659"/>
    </row>
    <row r="660" spans="1:30">
      <c r="A660" s="65" t="str">
        <f>IFERROR(VLOOKUP('Informe Kelly'!A653,Base!A:B,2,FALSE),"")</f>
        <v>13.295.279-5</v>
      </c>
      <c r="B660" s="65" t="str">
        <f>IFERROR(VLOOKUP('Informe Kelly'!A653,Base!A:G,7,FALSE),"")</f>
        <v>TOLEDO YENEVES JUAN OSVALDO</v>
      </c>
      <c r="C660" s="69" t="str">
        <f>IF(G660=$C$4,IF('Informe Kelly'!H653='Control informe Kelly'!$A$2,TEXT(((LEFT('Informe Kelly'!E653,2)*1)+1),"dd")&amp;"."&amp;MID('Informe Kelly'!E653,4,2)&amp;"."&amp;RIGHT('Informe Kelly'!E653,4),'Informe Kelly'!E653),'Informe Kelly'!E653)</f>
        <v>12.04.2011</v>
      </c>
      <c r="D660" s="69" t="str">
        <f>IF('Informe Kelly'!E653="","",'Informe Kelly'!E653)</f>
        <v>11.04.2011</v>
      </c>
      <c r="E660" s="72">
        <f t="shared" si="21"/>
        <v>333</v>
      </c>
      <c r="F660" s="72" t="str">
        <f>IFERROR(HLOOKUP(C660,Ingreso!$Q$8:$AD$9,2,FALSE),"v")</f>
        <v>Martes</v>
      </c>
      <c r="G660" s="65" t="str">
        <f>IFERROR(VLOOKUP(A660,Ingreso!K:P,6,FALSE),"no esta ingresado")</f>
        <v>Turno C</v>
      </c>
      <c r="H660" s="65">
        <f>IFERROR(IF('Informe Kelly'!H653=$A$2,'Informe Kelly'!F653,""),0)</f>
        <v>1.0543981481481481E-2</v>
      </c>
      <c r="I660" s="65" t="str">
        <f>IFERROR(IF('Informe Kelly'!H653=$A$3,'Informe Kelly'!F653,""),0)</f>
        <v/>
      </c>
      <c r="J660" s="65" t="str">
        <f>IF(IFERROR(IF(E660=E659,0,(HLOOKUP(D660,Ingreso!$AN$10:$AT$260,VLOOKUP(A660,Ingreso!$AL$11:$AM$260,2,FALSE)))/24),0)=0,"",IFERROR(IF(E660=E659,0,(HLOOKUP(D660,Ingreso!$AN$10:$AT$260,VLOOKUP(A660,Ingreso!$AL$11:$AM$260,2,FALSE)))/24),0))</f>
        <v/>
      </c>
      <c r="K660" s="65" t="str">
        <f>IF(IFERROR(IF(E660=E659,0,(HLOOKUP(C660,Ingreso!$AW$10:$BC$260,VLOOKUP(A660,Ingreso!$AL$11:$AM$260,2,FALSE)))/24),0)=0,"",IFERROR(IF(E660=E659,0,(HLOOKUP(C660,Ingreso!$AW$10:$BC$260,VLOOKUP(A660,Ingreso!$AL$11:$AM$260,2,FALSE)))/24),0))</f>
        <v/>
      </c>
      <c r="L660" s="63">
        <f t="shared" si="20"/>
        <v>0.375</v>
      </c>
      <c r="M660" s="63" t="str">
        <f>IF(IFERROR(IF(C660=C658,0,IF(E660=E659,0,IF(C660=$R$2,HLOOKUP($R$2,Ingreso!$AW$10:$BC$260,VLOOKUP(A660,Ingreso!AL:AM,2,FALSE),FALSE)/24,""))),"")=0,"",IFERROR(IF(C660=C658,0,IF(E660=E659,0,IF(C660=$R$2,HLOOKUP($R$2,Ingreso!$AW$10:$BC$260,VLOOKUP(A660,Ingreso!AL:AM,2,FALSE),FALSE)/24,""))),""))</f>
        <v/>
      </c>
      <c r="N660" s="95" t="str">
        <f>IF(IFERROR(IF(C660=C658,0,IF(E660=E659,0,IF(C660=$R$3,HLOOKUP($R$3,Ingreso!$AW$10:$BC$260,VLOOKUP(A660,Ingreso!AL:AM,2,FALSE),FALSE)/24,""))),"")=0,"",IFERROR(IF(C660=C658,0,IF(E660=E659,0,IF(C660=$R$3,HLOOKUP($R$3,Ingreso!$AW$10:$BC$260,VLOOKUP(A660,Ingreso!AL:AM,2,FALSE),FALSE)/24,""))),""))</f>
        <v/>
      </c>
      <c r="O660" s="95" t="str">
        <f>IF(IFERROR(IF(C660=C658,0,IF(E660=E659,0,IF(C660=$R$4,HLOOKUP($R$4,Ingreso!$AW$10:$BC$260,VLOOKUP(A660,Ingreso!AL:AM,2,FALSE),FALSE)/24,""))),"")=0,"",IFERROR(IF(C660=C658,0,IF(E660=E659,0,IF(C660=$R$4,HLOOKUP($R$4,Ingreso!$AW$10:$BC$260,VLOOKUP(A660,Ingreso!AL:AM,2,FALSE),FALSE)/24,""))),""))</f>
        <v/>
      </c>
      <c r="P660" s="90"/>
      <c r="V660"/>
      <c r="W660"/>
      <c r="X660"/>
      <c r="Y660"/>
      <c r="Z660"/>
      <c r="AA660"/>
      <c r="AB660"/>
      <c r="AC660"/>
      <c r="AD660"/>
    </row>
    <row r="661" spans="1:30">
      <c r="A661" s="65" t="str">
        <f>IFERROR(VLOOKUP('Informe Kelly'!A654,Base!A:B,2,FALSE),"")</f>
        <v>13.295.279-5</v>
      </c>
      <c r="B661" s="65" t="str">
        <f>IFERROR(VLOOKUP('Informe Kelly'!A654,Base!A:G,7,FALSE),"")</f>
        <v>TOLEDO YENEVES JUAN OSVALDO</v>
      </c>
      <c r="C661" s="69" t="str">
        <f>IF(G661=$C$4,IF('Informe Kelly'!H654='Control informe Kelly'!$A$2,TEXT(((LEFT('Informe Kelly'!E654,2)*1)+1),"dd")&amp;"."&amp;MID('Informe Kelly'!E654,4,2)&amp;"."&amp;RIGHT('Informe Kelly'!E654,4),'Informe Kelly'!E654),'Informe Kelly'!E654)</f>
        <v>12.04.2011</v>
      </c>
      <c r="D661" s="69" t="str">
        <f>IF('Informe Kelly'!E654="","",'Informe Kelly'!E654)</f>
        <v>11.04.2011</v>
      </c>
      <c r="E661" s="72">
        <f t="shared" si="21"/>
        <v>333</v>
      </c>
      <c r="F661" s="72" t="str">
        <f>IFERROR(HLOOKUP(C661,Ingreso!$Q$8:$AD$9,2,FALSE),"v")</f>
        <v>Martes</v>
      </c>
      <c r="G661" s="65" t="str">
        <f>IFERROR(VLOOKUP(A661,Ingreso!K:P,6,FALSE),"no esta ingresado")</f>
        <v>Turno C</v>
      </c>
      <c r="H661" s="65">
        <f>IFERROR(IF('Informe Kelly'!H654=$A$2,'Informe Kelly'!F654,""),0)</f>
        <v>0.91506944444444438</v>
      </c>
      <c r="I661" s="65" t="str">
        <f>IFERROR(IF('Informe Kelly'!H654=$A$3,'Informe Kelly'!F654,""),0)</f>
        <v/>
      </c>
      <c r="J661" s="65" t="str">
        <f>IF(IFERROR(IF(E661=E660,0,(HLOOKUP(D661,Ingreso!$AN$10:$AT$260,VLOOKUP(A661,Ingreso!$AL$11:$AM$260,2,FALSE)))/24),0)=0,"",IFERROR(IF(E661=E660,0,(HLOOKUP(D661,Ingreso!$AN$10:$AT$260,VLOOKUP(A661,Ingreso!$AL$11:$AM$260,2,FALSE)))/24),0))</f>
        <v/>
      </c>
      <c r="K661" s="65" t="str">
        <f>IF(IFERROR(IF(E661=E660,0,(HLOOKUP(C661,Ingreso!$AW$10:$BC$260,VLOOKUP(A661,Ingreso!$AL$11:$AM$260,2,FALSE)))/24),0)=0,"",IFERROR(IF(E661=E660,0,(HLOOKUP(C661,Ingreso!$AW$10:$BC$260,VLOOKUP(A661,Ingreso!$AL$11:$AM$260,2,FALSE)))/24),0))</f>
        <v/>
      </c>
      <c r="L661" s="63">
        <f t="shared" si="20"/>
        <v>0</v>
      </c>
      <c r="M661" s="63" t="str">
        <f>IF(IFERROR(IF(C661=C659,0,IF(E661=E660,0,IF(C661=$R$2,HLOOKUP($R$2,Ingreso!$AW$10:$BC$260,VLOOKUP(A661,Ingreso!AL:AM,2,FALSE),FALSE)/24,""))),"")=0,"",IFERROR(IF(C661=C659,0,IF(E661=E660,0,IF(C661=$R$2,HLOOKUP($R$2,Ingreso!$AW$10:$BC$260,VLOOKUP(A661,Ingreso!AL:AM,2,FALSE),FALSE)/24,""))),""))</f>
        <v/>
      </c>
      <c r="N661" s="95" t="str">
        <f>IF(IFERROR(IF(C661=C659,0,IF(E661=E660,0,IF(C661=$R$3,HLOOKUP($R$3,Ingreso!$AW$10:$BC$260,VLOOKUP(A661,Ingreso!AL:AM,2,FALSE),FALSE)/24,""))),"")=0,"",IFERROR(IF(C661=C659,0,IF(E661=E660,0,IF(C661=$R$3,HLOOKUP($R$3,Ingreso!$AW$10:$BC$260,VLOOKUP(A661,Ingreso!AL:AM,2,FALSE),FALSE)/24,""))),""))</f>
        <v/>
      </c>
      <c r="O661" s="95" t="str">
        <f>IF(IFERROR(IF(C661=C659,0,IF(E661=E660,0,IF(C661=$R$4,HLOOKUP($R$4,Ingreso!$AW$10:$BC$260,VLOOKUP(A661,Ingreso!AL:AM,2,FALSE),FALSE)/24,""))),"")=0,"",IFERROR(IF(C661=C659,0,IF(E661=E660,0,IF(C661=$R$4,HLOOKUP($R$4,Ingreso!$AW$10:$BC$260,VLOOKUP(A661,Ingreso!AL:AM,2,FALSE),FALSE)/24,""))),""))</f>
        <v/>
      </c>
      <c r="P661" s="90"/>
      <c r="V661"/>
      <c r="W661"/>
      <c r="X661"/>
      <c r="Y661"/>
      <c r="Z661"/>
      <c r="AA661"/>
      <c r="AB661"/>
      <c r="AC661"/>
      <c r="AD661"/>
    </row>
    <row r="662" spans="1:30">
      <c r="A662" s="65" t="str">
        <f>IFERROR(VLOOKUP('Informe Kelly'!A655,Base!A:B,2,FALSE),"")</f>
        <v>13.295.279-5</v>
      </c>
      <c r="B662" s="65" t="str">
        <f>IFERROR(VLOOKUP('Informe Kelly'!A655,Base!A:G,7,FALSE),"")</f>
        <v>TOLEDO YENEVES JUAN OSVALDO</v>
      </c>
      <c r="C662" s="69" t="str">
        <f>IF(G662=$C$4,IF('Informe Kelly'!H655='Control informe Kelly'!$A$2,TEXT(((LEFT('Informe Kelly'!E655,2)*1)+1),"dd")&amp;"."&amp;MID('Informe Kelly'!E655,4,2)&amp;"."&amp;RIGHT('Informe Kelly'!E655,4),'Informe Kelly'!E655),'Informe Kelly'!E655)</f>
        <v>12.04.2011</v>
      </c>
      <c r="D662" s="69" t="str">
        <f>IF('Informe Kelly'!E655="","",'Informe Kelly'!E655)</f>
        <v>12.04.2011</v>
      </c>
      <c r="E662" s="72">
        <f t="shared" si="21"/>
        <v>334</v>
      </c>
      <c r="F662" s="72" t="str">
        <f>IFERROR(HLOOKUP(C662,Ingreso!$Q$8:$AD$9,2,FALSE),"v")</f>
        <v>Martes</v>
      </c>
      <c r="G662" s="65" t="str">
        <f>IFERROR(VLOOKUP(A662,Ingreso!K:P,6,FALSE),"no esta ingresado")</f>
        <v>Turno C</v>
      </c>
      <c r="H662" s="65" t="str">
        <f>IFERROR(IF('Informe Kelly'!H655=$A$2,'Informe Kelly'!F655,""),0)</f>
        <v/>
      </c>
      <c r="I662" s="65">
        <f>IFERROR(IF('Informe Kelly'!H655=$A$3,'Informe Kelly'!F655,""),0)</f>
        <v>0.32425925925925925</v>
      </c>
      <c r="J662" s="65" t="str">
        <f>IF(IFERROR(IF(E662=E661,0,(HLOOKUP(D662,Ingreso!$AN$10:$AT$260,VLOOKUP(A662,Ingreso!$AL$11:$AM$260,2,FALSE)))/24),0)=0,"",IFERROR(IF(E662=E661,0,(HLOOKUP(D662,Ingreso!$AN$10:$AT$260,VLOOKUP(A662,Ingreso!$AL$11:$AM$260,2,FALSE)))/24),0))</f>
        <v/>
      </c>
      <c r="K662" s="65" t="str">
        <f>IF(IFERROR(IF(E662=E661,0,(HLOOKUP(C662,Ingreso!$AW$10:$BC$260,VLOOKUP(A662,Ingreso!$AL$11:$AM$260,2,FALSE)))/24),0)=0,"",IFERROR(IF(E662=E661,0,(HLOOKUP(C662,Ingreso!$AW$10:$BC$260,VLOOKUP(A662,Ingreso!$AL$11:$AM$260,2,FALSE)))/24),0))</f>
        <v/>
      </c>
      <c r="L662" s="63">
        <f t="shared" si="20"/>
        <v>0</v>
      </c>
      <c r="M662" s="63" t="str">
        <f>IF(IFERROR(IF(C662=C660,0,IF(E662=E661,0,IF(C662=$R$2,HLOOKUP($R$2,Ingreso!$AW$10:$BC$260,VLOOKUP(A662,Ingreso!AL:AM,2,FALSE),FALSE)/24,""))),"")=0,"",IFERROR(IF(C662=C660,0,IF(E662=E661,0,IF(C662=$R$2,HLOOKUP($R$2,Ingreso!$AW$10:$BC$260,VLOOKUP(A662,Ingreso!AL:AM,2,FALSE),FALSE)/24,""))),""))</f>
        <v/>
      </c>
      <c r="N662" s="95" t="str">
        <f>IF(IFERROR(IF(C662=C660,0,IF(E662=E661,0,IF(C662=$R$3,HLOOKUP($R$3,Ingreso!$AW$10:$BC$260,VLOOKUP(A662,Ingreso!AL:AM,2,FALSE),FALSE)/24,""))),"")=0,"",IFERROR(IF(C662=C660,0,IF(E662=E661,0,IF(C662=$R$3,HLOOKUP($R$3,Ingreso!$AW$10:$BC$260,VLOOKUP(A662,Ingreso!AL:AM,2,FALSE),FALSE)/24,""))),""))</f>
        <v/>
      </c>
      <c r="O662" s="95" t="str">
        <f>IF(IFERROR(IF(C662=C660,0,IF(E662=E661,0,IF(C662=$R$4,HLOOKUP($R$4,Ingreso!$AW$10:$BC$260,VLOOKUP(A662,Ingreso!AL:AM,2,FALSE),FALSE)/24,""))),"")=0,"",IFERROR(IF(C662=C660,0,IF(E662=E661,0,IF(C662=$R$4,HLOOKUP($R$4,Ingreso!$AW$10:$BC$260,VLOOKUP(A662,Ingreso!AL:AM,2,FALSE),FALSE)/24,""))),""))</f>
        <v/>
      </c>
      <c r="P662" s="90"/>
      <c r="V662"/>
      <c r="W662"/>
      <c r="X662"/>
      <c r="Y662"/>
      <c r="Z662"/>
      <c r="AA662"/>
      <c r="AB662"/>
      <c r="AC662"/>
      <c r="AD662"/>
    </row>
    <row r="663" spans="1:30">
      <c r="A663" s="65" t="str">
        <f>IFERROR(VLOOKUP('Informe Kelly'!A656,Base!A:B,2,FALSE),"")</f>
        <v>13.295.279-5</v>
      </c>
      <c r="B663" s="65" t="str">
        <f>IFERROR(VLOOKUP('Informe Kelly'!A656,Base!A:G,7,FALSE),"")</f>
        <v>TOLEDO YENEVES JUAN OSVALDO</v>
      </c>
      <c r="C663" s="69" t="str">
        <f>IF(G663=$C$4,IF('Informe Kelly'!H656='Control informe Kelly'!$A$2,TEXT(((LEFT('Informe Kelly'!E656,2)*1)+1),"dd")&amp;"."&amp;MID('Informe Kelly'!E656,4,2)&amp;"."&amp;RIGHT('Informe Kelly'!E656,4),'Informe Kelly'!E656),'Informe Kelly'!E656)</f>
        <v>13.04.2011</v>
      </c>
      <c r="D663" s="69" t="str">
        <f>IF('Informe Kelly'!E656="","",'Informe Kelly'!E656)</f>
        <v>12.04.2011</v>
      </c>
      <c r="E663" s="72">
        <f t="shared" si="21"/>
        <v>335</v>
      </c>
      <c r="F663" s="72" t="str">
        <f>IFERROR(HLOOKUP(C663,Ingreso!$Q$8:$AD$9,2,FALSE),"v")</f>
        <v>Miércoles</v>
      </c>
      <c r="G663" s="65" t="str">
        <f>IFERROR(VLOOKUP(A663,Ingreso!K:P,6,FALSE),"no esta ingresado")</f>
        <v>Turno C</v>
      </c>
      <c r="H663" s="65">
        <f>IFERROR(IF('Informe Kelly'!H656=$A$2,'Informe Kelly'!F656,""),0)</f>
        <v>0.91802083333333329</v>
      </c>
      <c r="I663" s="65" t="str">
        <f>IFERROR(IF('Informe Kelly'!H656=$A$3,'Informe Kelly'!F656,""),0)</f>
        <v/>
      </c>
      <c r="J663" s="65" t="str">
        <f>IF(IFERROR(IF(E663=E662,0,(HLOOKUP(D663,Ingreso!$AN$10:$AT$260,VLOOKUP(A663,Ingreso!$AL$11:$AM$260,2,FALSE)))/24),0)=0,"",IFERROR(IF(E663=E662,0,(HLOOKUP(D663,Ingreso!$AN$10:$AT$260,VLOOKUP(A663,Ingreso!$AL$11:$AM$260,2,FALSE)))/24),0))</f>
        <v/>
      </c>
      <c r="K663" s="65" t="str">
        <f>IF(IFERROR(IF(E663=E662,0,(HLOOKUP(C663,Ingreso!$AW$10:$BC$260,VLOOKUP(A663,Ingreso!$AL$11:$AM$260,2,FALSE)))/24),0)=0,"",IFERROR(IF(E663=E662,0,(HLOOKUP(C663,Ingreso!$AW$10:$BC$260,VLOOKUP(A663,Ingreso!$AL$11:$AM$260,2,FALSE)))/24),0))</f>
        <v/>
      </c>
      <c r="L663" s="63">
        <f t="shared" si="20"/>
        <v>0.375</v>
      </c>
      <c r="M663" s="63" t="str">
        <f>IF(IFERROR(IF(C663=C661,0,IF(E663=E662,0,IF(C663=$R$2,HLOOKUP($R$2,Ingreso!$AW$10:$BC$260,VLOOKUP(A663,Ingreso!AL:AM,2,FALSE),FALSE)/24,""))),"")=0,"",IFERROR(IF(C663=C661,0,IF(E663=E662,0,IF(C663=$R$2,HLOOKUP($R$2,Ingreso!$AW$10:$BC$260,VLOOKUP(A663,Ingreso!AL:AM,2,FALSE),FALSE)/24,""))),""))</f>
        <v/>
      </c>
      <c r="N663" s="95" t="str">
        <f>IF(IFERROR(IF(C663=C661,0,IF(E663=E662,0,IF(C663=$R$3,HLOOKUP($R$3,Ingreso!$AW$10:$BC$260,VLOOKUP(A663,Ingreso!AL:AM,2,FALSE),FALSE)/24,""))),"")=0,"",IFERROR(IF(C663=C661,0,IF(E663=E662,0,IF(C663=$R$3,HLOOKUP($R$3,Ingreso!$AW$10:$BC$260,VLOOKUP(A663,Ingreso!AL:AM,2,FALSE),FALSE)/24,""))),""))</f>
        <v/>
      </c>
      <c r="O663" s="95" t="str">
        <f>IF(IFERROR(IF(C663=C661,0,IF(E663=E662,0,IF(C663=$R$4,HLOOKUP($R$4,Ingreso!$AW$10:$BC$260,VLOOKUP(A663,Ingreso!AL:AM,2,FALSE),FALSE)/24,""))),"")=0,"",IFERROR(IF(C663=C661,0,IF(E663=E662,0,IF(C663=$R$4,HLOOKUP($R$4,Ingreso!$AW$10:$BC$260,VLOOKUP(A663,Ingreso!AL:AM,2,FALSE),FALSE)/24,""))),""))</f>
        <v/>
      </c>
      <c r="P663" s="90"/>
      <c r="V663"/>
      <c r="W663"/>
      <c r="X663"/>
      <c r="Y663"/>
      <c r="Z663"/>
      <c r="AA663"/>
      <c r="AB663"/>
      <c r="AC663"/>
      <c r="AD663"/>
    </row>
    <row r="664" spans="1:30">
      <c r="A664" s="65" t="str">
        <f>IFERROR(VLOOKUP('Informe Kelly'!A657,Base!A:B,2,FALSE),"")</f>
        <v>13.295.279-5</v>
      </c>
      <c r="B664" s="65" t="str">
        <f>IFERROR(VLOOKUP('Informe Kelly'!A657,Base!A:G,7,FALSE),"")</f>
        <v>TOLEDO YENEVES JUAN OSVALDO</v>
      </c>
      <c r="C664" s="69" t="str">
        <f>IF(G664=$C$4,IF('Informe Kelly'!H657='Control informe Kelly'!$A$2,TEXT(((LEFT('Informe Kelly'!E657,2)*1)+1),"dd")&amp;"."&amp;MID('Informe Kelly'!E657,4,2)&amp;"."&amp;RIGHT('Informe Kelly'!E657,4),'Informe Kelly'!E657),'Informe Kelly'!E657)</f>
        <v>13.04.2011</v>
      </c>
      <c r="D664" s="69" t="str">
        <f>IF('Informe Kelly'!E657="","",'Informe Kelly'!E657)</f>
        <v>13.04.2011</v>
      </c>
      <c r="E664" s="72">
        <f t="shared" si="21"/>
        <v>335</v>
      </c>
      <c r="F664" s="72" t="str">
        <f>IFERROR(HLOOKUP(C664,Ingreso!$Q$8:$AD$9,2,FALSE),"v")</f>
        <v>Miércoles</v>
      </c>
      <c r="G664" s="65" t="str">
        <f>IFERROR(VLOOKUP(A664,Ingreso!K:P,6,FALSE),"no esta ingresado")</f>
        <v>Turno C</v>
      </c>
      <c r="H664" s="65" t="str">
        <f>IFERROR(IF('Informe Kelly'!H657=$A$2,'Informe Kelly'!F657,""),0)</f>
        <v/>
      </c>
      <c r="I664" s="65">
        <f>IFERROR(IF('Informe Kelly'!H657=$A$3,'Informe Kelly'!F657,""),0)</f>
        <v>0.32768518518518519</v>
      </c>
      <c r="J664" s="65" t="str">
        <f>IF(IFERROR(IF(E664=E663,0,(HLOOKUP(D664,Ingreso!$AN$10:$AT$260,VLOOKUP(A664,Ingreso!$AL$11:$AM$260,2,FALSE)))/24),0)=0,"",IFERROR(IF(E664=E663,0,(HLOOKUP(D664,Ingreso!$AN$10:$AT$260,VLOOKUP(A664,Ingreso!$AL$11:$AM$260,2,FALSE)))/24),0))</f>
        <v/>
      </c>
      <c r="K664" s="65" t="str">
        <f>IF(IFERROR(IF(E664=E663,0,(HLOOKUP(C664,Ingreso!$AW$10:$BC$260,VLOOKUP(A664,Ingreso!$AL$11:$AM$260,2,FALSE)))/24),0)=0,"",IFERROR(IF(E664=E663,0,(HLOOKUP(C664,Ingreso!$AW$10:$BC$260,VLOOKUP(A664,Ingreso!$AL$11:$AM$260,2,FALSE)))/24),0))</f>
        <v/>
      </c>
      <c r="L664" s="63">
        <f t="shared" si="20"/>
        <v>0</v>
      </c>
      <c r="M664" s="63" t="str">
        <f>IF(IFERROR(IF(C664=C662,0,IF(E664=E663,0,IF(C664=$R$2,HLOOKUP($R$2,Ingreso!$AW$10:$BC$260,VLOOKUP(A664,Ingreso!AL:AM,2,FALSE),FALSE)/24,""))),"")=0,"",IFERROR(IF(C664=C662,0,IF(E664=E663,0,IF(C664=$R$2,HLOOKUP($R$2,Ingreso!$AW$10:$BC$260,VLOOKUP(A664,Ingreso!AL:AM,2,FALSE),FALSE)/24,""))),""))</f>
        <v/>
      </c>
      <c r="N664" s="95" t="str">
        <f>IF(IFERROR(IF(C664=C662,0,IF(E664=E663,0,IF(C664=$R$3,HLOOKUP($R$3,Ingreso!$AW$10:$BC$260,VLOOKUP(A664,Ingreso!AL:AM,2,FALSE),FALSE)/24,""))),"")=0,"",IFERROR(IF(C664=C662,0,IF(E664=E663,0,IF(C664=$R$3,HLOOKUP($R$3,Ingreso!$AW$10:$BC$260,VLOOKUP(A664,Ingreso!AL:AM,2,FALSE),FALSE)/24,""))),""))</f>
        <v/>
      </c>
      <c r="O664" s="95" t="str">
        <f>IF(IFERROR(IF(C664=C662,0,IF(E664=E663,0,IF(C664=$R$4,HLOOKUP($R$4,Ingreso!$AW$10:$BC$260,VLOOKUP(A664,Ingreso!AL:AM,2,FALSE),FALSE)/24,""))),"")=0,"",IFERROR(IF(C664=C662,0,IF(E664=E663,0,IF(C664=$R$4,HLOOKUP($R$4,Ingreso!$AW$10:$BC$260,VLOOKUP(A664,Ingreso!AL:AM,2,FALSE),FALSE)/24,""))),""))</f>
        <v/>
      </c>
      <c r="P664" s="90"/>
      <c r="V664"/>
      <c r="W664"/>
      <c r="X664"/>
      <c r="Y664"/>
      <c r="Z664"/>
      <c r="AA664"/>
      <c r="AB664"/>
      <c r="AC664"/>
      <c r="AD664"/>
    </row>
    <row r="665" spans="1:30">
      <c r="A665" s="65" t="str">
        <f>IFERROR(VLOOKUP('Informe Kelly'!A658,Base!A:B,2,FALSE),"")</f>
        <v>13.295.279-5</v>
      </c>
      <c r="B665" s="65" t="str">
        <f>IFERROR(VLOOKUP('Informe Kelly'!A658,Base!A:G,7,FALSE),"")</f>
        <v>TOLEDO YENEVES JUAN OSVALDO</v>
      </c>
      <c r="C665" s="69" t="str">
        <f>IF(G665=$C$4,IF('Informe Kelly'!H658='Control informe Kelly'!$A$2,TEXT(((LEFT('Informe Kelly'!E658,2)*1)+1),"dd")&amp;"."&amp;MID('Informe Kelly'!E658,4,2)&amp;"."&amp;RIGHT('Informe Kelly'!E658,4),'Informe Kelly'!E658),'Informe Kelly'!E658)</f>
        <v>14.04.2011</v>
      </c>
      <c r="D665" s="69" t="str">
        <f>IF('Informe Kelly'!E658="","",'Informe Kelly'!E658)</f>
        <v>13.04.2011</v>
      </c>
      <c r="E665" s="72">
        <f t="shared" si="21"/>
        <v>336</v>
      </c>
      <c r="F665" s="72" t="str">
        <f>IFERROR(HLOOKUP(C665,Ingreso!$Q$8:$AD$9,2,FALSE),"v")</f>
        <v>Jueves</v>
      </c>
      <c r="G665" s="65" t="str">
        <f>IFERROR(VLOOKUP(A665,Ingreso!K:P,6,FALSE),"no esta ingresado")</f>
        <v>Turno C</v>
      </c>
      <c r="H665" s="65">
        <f>IFERROR(IF('Informe Kelly'!H658=$A$2,'Informe Kelly'!F658,""),0)</f>
        <v>0.91839120370370375</v>
      </c>
      <c r="I665" s="65" t="str">
        <f>IFERROR(IF('Informe Kelly'!H658=$A$3,'Informe Kelly'!F658,""),0)</f>
        <v/>
      </c>
      <c r="J665" s="65" t="str">
        <f>IF(IFERROR(IF(E665=E664,0,(HLOOKUP(D665,Ingreso!$AN$10:$AT$260,VLOOKUP(A665,Ingreso!$AL$11:$AM$260,2,FALSE)))/24),0)=0,"",IFERROR(IF(E665=E664,0,(HLOOKUP(D665,Ingreso!$AN$10:$AT$260,VLOOKUP(A665,Ingreso!$AL$11:$AM$260,2,FALSE)))/24),0))</f>
        <v/>
      </c>
      <c r="K665" s="65" t="str">
        <f>IF(IFERROR(IF(E665=E664,0,(HLOOKUP(C665,Ingreso!$AW$10:$BC$260,VLOOKUP(A665,Ingreso!$AL$11:$AM$260,2,FALSE)))/24),0)=0,"",IFERROR(IF(E665=E664,0,(HLOOKUP(C665,Ingreso!$AW$10:$BC$260,VLOOKUP(A665,Ingreso!$AL$11:$AM$260,2,FALSE)))/24),0))</f>
        <v/>
      </c>
      <c r="L665" s="63">
        <f t="shared" si="20"/>
        <v>0.375</v>
      </c>
      <c r="M665" s="63" t="str">
        <f>IF(IFERROR(IF(C665=C663,0,IF(E665=E664,0,IF(C665=$R$2,HLOOKUP($R$2,Ingreso!$AW$10:$BC$260,VLOOKUP(A665,Ingreso!AL:AM,2,FALSE),FALSE)/24,""))),"")=0,"",IFERROR(IF(C665=C663,0,IF(E665=E664,0,IF(C665=$R$2,HLOOKUP($R$2,Ingreso!$AW$10:$BC$260,VLOOKUP(A665,Ingreso!AL:AM,2,FALSE),FALSE)/24,""))),""))</f>
        <v/>
      </c>
      <c r="N665" s="95" t="str">
        <f>IF(IFERROR(IF(C665=C663,0,IF(E665=E664,0,IF(C665=$R$3,HLOOKUP($R$3,Ingreso!$AW$10:$BC$260,VLOOKUP(A665,Ingreso!AL:AM,2,FALSE),FALSE)/24,""))),"")=0,"",IFERROR(IF(C665=C663,0,IF(E665=E664,0,IF(C665=$R$3,HLOOKUP($R$3,Ingreso!$AW$10:$BC$260,VLOOKUP(A665,Ingreso!AL:AM,2,FALSE),FALSE)/24,""))),""))</f>
        <v/>
      </c>
      <c r="O665" s="95" t="str">
        <f>IF(IFERROR(IF(C665=C663,0,IF(E665=E664,0,IF(C665=$R$4,HLOOKUP($R$4,Ingreso!$AW$10:$BC$260,VLOOKUP(A665,Ingreso!AL:AM,2,FALSE),FALSE)/24,""))),"")=0,"",IFERROR(IF(C665=C663,0,IF(E665=E664,0,IF(C665=$R$4,HLOOKUP($R$4,Ingreso!$AW$10:$BC$260,VLOOKUP(A665,Ingreso!AL:AM,2,FALSE),FALSE)/24,""))),""))</f>
        <v/>
      </c>
      <c r="P665" s="90"/>
      <c r="V665"/>
      <c r="W665"/>
      <c r="X665"/>
      <c r="Y665"/>
      <c r="Z665"/>
      <c r="AA665"/>
      <c r="AB665"/>
      <c r="AC665"/>
      <c r="AD665"/>
    </row>
    <row r="666" spans="1:30">
      <c r="A666" s="65" t="str">
        <f>IFERROR(VLOOKUP('Informe Kelly'!A659,Base!A:B,2,FALSE),"")</f>
        <v>13.295.279-5</v>
      </c>
      <c r="B666" s="65" t="str">
        <f>IFERROR(VLOOKUP('Informe Kelly'!A659,Base!A:G,7,FALSE),"")</f>
        <v>TOLEDO YENEVES JUAN OSVALDO</v>
      </c>
      <c r="C666" s="69" t="str">
        <f>IF(G666=$C$4,IF('Informe Kelly'!H659='Control informe Kelly'!$A$2,TEXT(((LEFT('Informe Kelly'!E659,2)*1)+1),"dd")&amp;"."&amp;MID('Informe Kelly'!E659,4,2)&amp;"."&amp;RIGHT('Informe Kelly'!E659,4),'Informe Kelly'!E659),'Informe Kelly'!E659)</f>
        <v>14.04.2011</v>
      </c>
      <c r="D666" s="69" t="str">
        <f>IF('Informe Kelly'!E659="","",'Informe Kelly'!E659)</f>
        <v>14.04.2011</v>
      </c>
      <c r="E666" s="72">
        <f t="shared" si="21"/>
        <v>336</v>
      </c>
      <c r="F666" s="72" t="str">
        <f>IFERROR(HLOOKUP(C666,Ingreso!$Q$8:$AD$9,2,FALSE),"v")</f>
        <v>Jueves</v>
      </c>
      <c r="G666" s="65" t="str">
        <f>IFERROR(VLOOKUP(A666,Ingreso!K:P,6,FALSE),"no esta ingresado")</f>
        <v>Turno C</v>
      </c>
      <c r="H666" s="65" t="str">
        <f>IFERROR(IF('Informe Kelly'!H659=$A$2,'Informe Kelly'!F659,""),0)</f>
        <v/>
      </c>
      <c r="I666" s="65">
        <f>IFERROR(IF('Informe Kelly'!H659=$A$3,'Informe Kelly'!F659,""),0)</f>
        <v>0.32872685185185185</v>
      </c>
      <c r="J666" s="65" t="str">
        <f>IF(IFERROR(IF(E666=E665,0,(HLOOKUP(D666,Ingreso!$AN$10:$AT$260,VLOOKUP(A666,Ingreso!$AL$11:$AM$260,2,FALSE)))/24),0)=0,"",IFERROR(IF(E666=E665,0,(HLOOKUP(D666,Ingreso!$AN$10:$AT$260,VLOOKUP(A666,Ingreso!$AL$11:$AM$260,2,FALSE)))/24),0))</f>
        <v/>
      </c>
      <c r="K666" s="65" t="str">
        <f>IF(IFERROR(IF(E666=E665,0,(HLOOKUP(C666,Ingreso!$AW$10:$BC$260,VLOOKUP(A666,Ingreso!$AL$11:$AM$260,2,FALSE)))/24),0)=0,"",IFERROR(IF(E666=E665,0,(HLOOKUP(C666,Ingreso!$AW$10:$BC$260,VLOOKUP(A666,Ingreso!$AL$11:$AM$260,2,FALSE)))/24),0))</f>
        <v/>
      </c>
      <c r="L666" s="63">
        <f t="shared" si="20"/>
        <v>0</v>
      </c>
      <c r="M666" s="63" t="str">
        <f>IF(IFERROR(IF(C666=C664,0,IF(E666=E665,0,IF(C666=$R$2,HLOOKUP($R$2,Ingreso!$AW$10:$BC$260,VLOOKUP(A666,Ingreso!AL:AM,2,FALSE),FALSE)/24,""))),"")=0,"",IFERROR(IF(C666=C664,0,IF(E666=E665,0,IF(C666=$R$2,HLOOKUP($R$2,Ingreso!$AW$10:$BC$260,VLOOKUP(A666,Ingreso!AL:AM,2,FALSE),FALSE)/24,""))),""))</f>
        <v/>
      </c>
      <c r="N666" s="95" t="str">
        <f>IF(IFERROR(IF(C666=C664,0,IF(E666=E665,0,IF(C666=$R$3,HLOOKUP($R$3,Ingreso!$AW$10:$BC$260,VLOOKUP(A666,Ingreso!AL:AM,2,FALSE),FALSE)/24,""))),"")=0,"",IFERROR(IF(C666=C664,0,IF(E666=E665,0,IF(C666=$R$3,HLOOKUP($R$3,Ingreso!$AW$10:$BC$260,VLOOKUP(A666,Ingreso!AL:AM,2,FALSE),FALSE)/24,""))),""))</f>
        <v/>
      </c>
      <c r="O666" s="95" t="str">
        <f>IF(IFERROR(IF(C666=C664,0,IF(E666=E665,0,IF(C666=$R$4,HLOOKUP($R$4,Ingreso!$AW$10:$BC$260,VLOOKUP(A666,Ingreso!AL:AM,2,FALSE),FALSE)/24,""))),"")=0,"",IFERROR(IF(C666=C664,0,IF(E666=E665,0,IF(C666=$R$4,HLOOKUP($R$4,Ingreso!$AW$10:$BC$260,VLOOKUP(A666,Ingreso!AL:AM,2,FALSE),FALSE)/24,""))),""))</f>
        <v/>
      </c>
      <c r="P666" s="90"/>
      <c r="V666"/>
      <c r="W666"/>
      <c r="X666"/>
      <c r="Y666"/>
      <c r="Z666"/>
      <c r="AA666"/>
      <c r="AB666"/>
      <c r="AC666"/>
      <c r="AD666"/>
    </row>
    <row r="667" spans="1:30">
      <c r="A667" s="65" t="str">
        <f>IFERROR(VLOOKUP('Informe Kelly'!A660,Base!A:B,2,FALSE),"")</f>
        <v>13.295.279-5</v>
      </c>
      <c r="B667" s="65" t="str">
        <f>IFERROR(VLOOKUP('Informe Kelly'!A660,Base!A:G,7,FALSE),"")</f>
        <v>TOLEDO YENEVES JUAN OSVALDO</v>
      </c>
      <c r="C667" s="69" t="str">
        <f>IF(G667=$C$4,IF('Informe Kelly'!H660='Control informe Kelly'!$A$2,TEXT(((LEFT('Informe Kelly'!E660,2)*1)+1),"dd")&amp;"."&amp;MID('Informe Kelly'!E660,4,2)&amp;"."&amp;RIGHT('Informe Kelly'!E660,4),'Informe Kelly'!E660),'Informe Kelly'!E660)</f>
        <v>15.04.2011</v>
      </c>
      <c r="D667" s="69" t="str">
        <f>IF('Informe Kelly'!E660="","",'Informe Kelly'!E660)</f>
        <v>14.04.2011</v>
      </c>
      <c r="E667" s="72">
        <f t="shared" si="21"/>
        <v>337</v>
      </c>
      <c r="F667" s="72" t="str">
        <f>IFERROR(HLOOKUP(C667,Ingreso!$Q$8:$AD$9,2,FALSE),"v")</f>
        <v>Viernes</v>
      </c>
      <c r="G667" s="65" t="str">
        <f>IFERROR(VLOOKUP(A667,Ingreso!K:P,6,FALSE),"no esta ingresado")</f>
        <v>Turno C</v>
      </c>
      <c r="H667" s="65">
        <f>IFERROR(IF('Informe Kelly'!H660=$A$2,'Informe Kelly'!F660,""),0)</f>
        <v>0.91447916666666673</v>
      </c>
      <c r="I667" s="65" t="str">
        <f>IFERROR(IF('Informe Kelly'!H660=$A$3,'Informe Kelly'!F660,""),0)</f>
        <v/>
      </c>
      <c r="J667" s="65" t="str">
        <f>IF(IFERROR(IF(E667=E666,0,(HLOOKUP(D667,Ingreso!$AN$10:$AT$260,VLOOKUP(A667,Ingreso!$AL$11:$AM$260,2,FALSE)))/24),0)=0,"",IFERROR(IF(E667=E666,0,(HLOOKUP(D667,Ingreso!$AN$10:$AT$260,VLOOKUP(A667,Ingreso!$AL$11:$AM$260,2,FALSE)))/24),0))</f>
        <v/>
      </c>
      <c r="K667" s="65" t="str">
        <f>IF(IFERROR(IF(E667=E666,0,(HLOOKUP(C667,Ingreso!$AW$10:$BC$260,VLOOKUP(A667,Ingreso!$AL$11:$AM$260,2,FALSE)))/24),0)=0,"",IFERROR(IF(E667=E666,0,(HLOOKUP(C667,Ingreso!$AW$10:$BC$260,VLOOKUP(A667,Ingreso!$AL$11:$AM$260,2,FALSE)))/24),0))</f>
        <v/>
      </c>
      <c r="L667" s="63">
        <f t="shared" si="20"/>
        <v>0.375</v>
      </c>
      <c r="M667" s="63" t="str">
        <f>IF(IFERROR(IF(C667=C665,0,IF(E667=E666,0,IF(C667=$R$2,HLOOKUP($R$2,Ingreso!$AW$10:$BC$260,VLOOKUP(A667,Ingreso!AL:AM,2,FALSE),FALSE)/24,""))),"")=0,"",IFERROR(IF(C667=C665,0,IF(E667=E666,0,IF(C667=$R$2,HLOOKUP($R$2,Ingreso!$AW$10:$BC$260,VLOOKUP(A667,Ingreso!AL:AM,2,FALSE),FALSE)/24,""))),""))</f>
        <v/>
      </c>
      <c r="N667" s="95" t="str">
        <f>IF(IFERROR(IF(C667=C665,0,IF(E667=E666,0,IF(C667=$R$3,HLOOKUP($R$3,Ingreso!$AW$10:$BC$260,VLOOKUP(A667,Ingreso!AL:AM,2,FALSE),FALSE)/24,""))),"")=0,"",IFERROR(IF(C667=C665,0,IF(E667=E666,0,IF(C667=$R$3,HLOOKUP($R$3,Ingreso!$AW$10:$BC$260,VLOOKUP(A667,Ingreso!AL:AM,2,FALSE),FALSE)/24,""))),""))</f>
        <v/>
      </c>
      <c r="O667" s="95" t="str">
        <f>IF(IFERROR(IF(C667=C665,0,IF(E667=E666,0,IF(C667=$R$4,HLOOKUP($R$4,Ingreso!$AW$10:$BC$260,VLOOKUP(A667,Ingreso!AL:AM,2,FALSE),FALSE)/24,""))),"")=0,"",IFERROR(IF(C667=C665,0,IF(E667=E666,0,IF(C667=$R$4,HLOOKUP($R$4,Ingreso!$AW$10:$BC$260,VLOOKUP(A667,Ingreso!AL:AM,2,FALSE),FALSE)/24,""))),""))</f>
        <v/>
      </c>
      <c r="P667" s="90"/>
      <c r="V667"/>
      <c r="W667"/>
      <c r="X667"/>
      <c r="Y667"/>
      <c r="Z667"/>
      <c r="AA667"/>
      <c r="AB667"/>
      <c r="AC667"/>
      <c r="AD667"/>
    </row>
    <row r="668" spans="1:30">
      <c r="A668" s="65" t="str">
        <f>IFERROR(VLOOKUP('Informe Kelly'!A661,Base!A:B,2,FALSE),"")</f>
        <v>13.295.279-5</v>
      </c>
      <c r="B668" s="65" t="str">
        <f>IFERROR(VLOOKUP('Informe Kelly'!A661,Base!A:G,7,FALSE),"")</f>
        <v>TOLEDO YENEVES JUAN OSVALDO</v>
      </c>
      <c r="C668" s="69" t="str">
        <f>IF(G668=$C$4,IF('Informe Kelly'!H661='Control informe Kelly'!$A$2,TEXT(((LEFT('Informe Kelly'!E661,2)*1)+1),"dd")&amp;"."&amp;MID('Informe Kelly'!E661,4,2)&amp;"."&amp;RIGHT('Informe Kelly'!E661,4),'Informe Kelly'!E661),'Informe Kelly'!E661)</f>
        <v>15.04.2011</v>
      </c>
      <c r="D668" s="69" t="str">
        <f>IF('Informe Kelly'!E661="","",'Informe Kelly'!E661)</f>
        <v>15.04.2011</v>
      </c>
      <c r="E668" s="72">
        <f t="shared" si="21"/>
        <v>337</v>
      </c>
      <c r="F668" s="72" t="str">
        <f>IFERROR(HLOOKUP(C668,Ingreso!$Q$8:$AD$9,2,FALSE),"v")</f>
        <v>Viernes</v>
      </c>
      <c r="G668" s="65" t="str">
        <f>IFERROR(VLOOKUP(A668,Ingreso!K:P,6,FALSE),"no esta ingresado")</f>
        <v>Turno C</v>
      </c>
      <c r="H668" s="65" t="str">
        <f>IFERROR(IF('Informe Kelly'!H661=$A$2,'Informe Kelly'!F661,""),0)</f>
        <v/>
      </c>
      <c r="I668" s="65">
        <f>IFERROR(IF('Informe Kelly'!H661=$A$3,'Informe Kelly'!F661,""),0)</f>
        <v>0.32505787037037037</v>
      </c>
      <c r="J668" s="65" t="str">
        <f>IF(IFERROR(IF(E668=E667,0,(HLOOKUP(D668,Ingreso!$AN$10:$AT$260,VLOOKUP(A668,Ingreso!$AL$11:$AM$260,2,FALSE)))/24),0)=0,"",IFERROR(IF(E668=E667,0,(HLOOKUP(D668,Ingreso!$AN$10:$AT$260,VLOOKUP(A668,Ingreso!$AL$11:$AM$260,2,FALSE)))/24),0))</f>
        <v/>
      </c>
      <c r="K668" s="65" t="str">
        <f>IF(IFERROR(IF(E668=E667,0,(HLOOKUP(C668,Ingreso!$AW$10:$BC$260,VLOOKUP(A668,Ingreso!$AL$11:$AM$260,2,FALSE)))/24),0)=0,"",IFERROR(IF(E668=E667,0,(HLOOKUP(C668,Ingreso!$AW$10:$BC$260,VLOOKUP(A668,Ingreso!$AL$11:$AM$260,2,FALSE)))/24),0))</f>
        <v/>
      </c>
      <c r="L668" s="63">
        <f t="shared" si="20"/>
        <v>0</v>
      </c>
      <c r="M668" s="63" t="str">
        <f>IF(IFERROR(IF(C668=C666,0,IF(E668=E667,0,IF(C668=$R$2,HLOOKUP($R$2,Ingreso!$AW$10:$BC$260,VLOOKUP(A668,Ingreso!AL:AM,2,FALSE),FALSE)/24,""))),"")=0,"",IFERROR(IF(C668=C666,0,IF(E668=E667,0,IF(C668=$R$2,HLOOKUP($R$2,Ingreso!$AW$10:$BC$260,VLOOKUP(A668,Ingreso!AL:AM,2,FALSE),FALSE)/24,""))),""))</f>
        <v/>
      </c>
      <c r="N668" s="95" t="str">
        <f>IF(IFERROR(IF(C668=C666,0,IF(E668=E667,0,IF(C668=$R$3,HLOOKUP($R$3,Ingreso!$AW$10:$BC$260,VLOOKUP(A668,Ingreso!AL:AM,2,FALSE),FALSE)/24,""))),"")=0,"",IFERROR(IF(C668=C666,0,IF(E668=E667,0,IF(C668=$R$3,HLOOKUP($R$3,Ingreso!$AW$10:$BC$260,VLOOKUP(A668,Ingreso!AL:AM,2,FALSE),FALSE)/24,""))),""))</f>
        <v/>
      </c>
      <c r="O668" s="95" t="str">
        <f>IF(IFERROR(IF(C668=C666,0,IF(E668=E667,0,IF(C668=$R$4,HLOOKUP($R$4,Ingreso!$AW$10:$BC$260,VLOOKUP(A668,Ingreso!AL:AM,2,FALSE),FALSE)/24,""))),"")=0,"",IFERROR(IF(C668=C666,0,IF(E668=E667,0,IF(C668=$R$4,HLOOKUP($R$4,Ingreso!$AW$10:$BC$260,VLOOKUP(A668,Ingreso!AL:AM,2,FALSE),FALSE)/24,""))),""))</f>
        <v/>
      </c>
      <c r="P668" s="90"/>
      <c r="V668"/>
      <c r="W668"/>
      <c r="X668"/>
      <c r="Y668"/>
      <c r="Z668"/>
      <c r="AA668"/>
      <c r="AB668"/>
      <c r="AC668"/>
      <c r="AD668"/>
    </row>
    <row r="669" spans="1:30">
      <c r="A669" s="65" t="str">
        <f>IFERROR(VLOOKUP('Informe Kelly'!A662,Base!A:B,2,FALSE),"")</f>
        <v>13.295.279-5</v>
      </c>
      <c r="B669" s="65" t="str">
        <f>IFERROR(VLOOKUP('Informe Kelly'!A662,Base!A:G,7,FALSE),"")</f>
        <v>TOLEDO YENEVES JUAN OSVALDO</v>
      </c>
      <c r="C669" s="69" t="str">
        <f>IF(G669=$C$4,IF('Informe Kelly'!H662='Control informe Kelly'!$A$2,TEXT(((LEFT('Informe Kelly'!E662,2)*1)+1),"dd")&amp;"."&amp;MID('Informe Kelly'!E662,4,2)&amp;"."&amp;RIGHT('Informe Kelly'!E662,4),'Informe Kelly'!E662),'Informe Kelly'!E662)</f>
        <v>16.04.2011</v>
      </c>
      <c r="D669" s="69" t="str">
        <f>IF('Informe Kelly'!E662="","",'Informe Kelly'!E662)</f>
        <v>15.04.2011</v>
      </c>
      <c r="E669" s="72">
        <f t="shared" si="21"/>
        <v>338</v>
      </c>
      <c r="F669" s="72" t="str">
        <f>IFERROR(HLOOKUP(C669,Ingreso!$Q$8:$AD$9,2,FALSE),"v")</f>
        <v>Sábado</v>
      </c>
      <c r="G669" s="65" t="str">
        <f>IFERROR(VLOOKUP(A669,Ingreso!K:P,6,FALSE),"no esta ingresado")</f>
        <v>Turno C</v>
      </c>
      <c r="H669" s="65">
        <f>IFERROR(IF('Informe Kelly'!H662=$A$2,'Informe Kelly'!F662,""),0)</f>
        <v>0.92722222222222228</v>
      </c>
      <c r="I669" s="65" t="str">
        <f>IFERROR(IF('Informe Kelly'!H662=$A$3,'Informe Kelly'!F662,""),0)</f>
        <v/>
      </c>
      <c r="J669" s="65" t="str">
        <f>IF(IFERROR(IF(E669=E668,0,(HLOOKUP(D669,Ingreso!$AN$10:$AT$260,VLOOKUP(A669,Ingreso!$AL$11:$AM$260,2,FALSE)))/24),0)=0,"",IFERROR(IF(E669=E668,0,(HLOOKUP(D669,Ingreso!$AN$10:$AT$260,VLOOKUP(A669,Ingreso!$AL$11:$AM$260,2,FALSE)))/24),0))</f>
        <v/>
      </c>
      <c r="K669" s="65" t="str">
        <f>IF(IFERROR(IF(E669=E668,0,(HLOOKUP(C669,Ingreso!$AW$10:$BC$260,VLOOKUP(A669,Ingreso!$AL$11:$AM$260,2,FALSE)))/24),0)=0,"",IFERROR(IF(E669=E668,0,(HLOOKUP(C669,Ingreso!$AW$10:$BC$260,VLOOKUP(A669,Ingreso!$AL$11:$AM$260,2,FALSE)))/24),0))</f>
        <v/>
      </c>
      <c r="L669" s="63">
        <f t="shared" si="20"/>
        <v>0.375</v>
      </c>
      <c r="M669" s="63" t="str">
        <f>IF(IFERROR(IF(C669=C667,0,IF(E669=E668,0,IF(C669=$R$2,HLOOKUP($R$2,Ingreso!$AW$10:$BC$260,VLOOKUP(A669,Ingreso!AL:AM,2,FALSE),FALSE)/24,""))),"")=0,"",IFERROR(IF(C669=C667,0,IF(E669=E668,0,IF(C669=$R$2,HLOOKUP($R$2,Ingreso!$AW$10:$BC$260,VLOOKUP(A669,Ingreso!AL:AM,2,FALSE),FALSE)/24,""))),""))</f>
        <v/>
      </c>
      <c r="N669" s="95" t="str">
        <f>IF(IFERROR(IF(C669=C667,0,IF(E669=E668,0,IF(C669=$R$3,HLOOKUP($R$3,Ingreso!$AW$10:$BC$260,VLOOKUP(A669,Ingreso!AL:AM,2,FALSE),FALSE)/24,""))),"")=0,"",IFERROR(IF(C669=C667,0,IF(E669=E668,0,IF(C669=$R$3,HLOOKUP($R$3,Ingreso!$AW$10:$BC$260,VLOOKUP(A669,Ingreso!AL:AM,2,FALSE),FALSE)/24,""))),""))</f>
        <v/>
      </c>
      <c r="O669" s="95" t="str">
        <f>IF(IFERROR(IF(C669=C667,0,IF(E669=E668,0,IF(C669=$R$4,HLOOKUP($R$4,Ingreso!$AW$10:$BC$260,VLOOKUP(A669,Ingreso!AL:AM,2,FALSE),FALSE)/24,""))),"")=0,"",IFERROR(IF(C669=C667,0,IF(E669=E668,0,IF(C669=$R$4,HLOOKUP($R$4,Ingreso!$AW$10:$BC$260,VLOOKUP(A669,Ingreso!AL:AM,2,FALSE),FALSE)/24,""))),""))</f>
        <v/>
      </c>
      <c r="P669" s="90"/>
      <c r="V669"/>
      <c r="W669"/>
      <c r="X669"/>
      <c r="Y669"/>
      <c r="Z669"/>
      <c r="AA669"/>
      <c r="AB669"/>
      <c r="AC669"/>
      <c r="AD669"/>
    </row>
    <row r="670" spans="1:30">
      <c r="A670" s="65" t="str">
        <f>IFERROR(VLOOKUP('Informe Kelly'!A663,Base!A:B,2,FALSE),"")</f>
        <v>13.295.279-5</v>
      </c>
      <c r="B670" s="65" t="str">
        <f>IFERROR(VLOOKUP('Informe Kelly'!A663,Base!A:G,7,FALSE),"")</f>
        <v>TOLEDO YENEVES JUAN OSVALDO</v>
      </c>
      <c r="C670" s="69" t="str">
        <f>IF(G670=$C$4,IF('Informe Kelly'!H663='Control informe Kelly'!$A$2,TEXT(((LEFT('Informe Kelly'!E663,2)*1)+1),"dd")&amp;"."&amp;MID('Informe Kelly'!E663,4,2)&amp;"."&amp;RIGHT('Informe Kelly'!E663,4),'Informe Kelly'!E663),'Informe Kelly'!E663)</f>
        <v>16.04.2011</v>
      </c>
      <c r="D670" s="69" t="str">
        <f>IF('Informe Kelly'!E663="","",'Informe Kelly'!E663)</f>
        <v>16.04.2011</v>
      </c>
      <c r="E670" s="72">
        <f t="shared" si="21"/>
        <v>338</v>
      </c>
      <c r="F670" s="72" t="str">
        <f>IFERROR(HLOOKUP(C670,Ingreso!$Q$8:$AD$9,2,FALSE),"v")</f>
        <v>Sábado</v>
      </c>
      <c r="G670" s="65" t="str">
        <f>IFERROR(VLOOKUP(A670,Ingreso!K:P,6,FALSE),"no esta ingresado")</f>
        <v>Turno C</v>
      </c>
      <c r="H670" s="65" t="str">
        <f>IFERROR(IF('Informe Kelly'!H663=$A$2,'Informe Kelly'!F663,""),0)</f>
        <v/>
      </c>
      <c r="I670" s="65">
        <f>IFERROR(IF('Informe Kelly'!H663=$A$3,'Informe Kelly'!F663,""),0)</f>
        <v>0.32791666666666669</v>
      </c>
      <c r="J670" s="65" t="str">
        <f>IF(IFERROR(IF(E670=E669,0,(HLOOKUP(D670,Ingreso!$AN$10:$AT$260,VLOOKUP(A670,Ingreso!$AL$11:$AM$260,2,FALSE)))/24),0)=0,"",IFERROR(IF(E670=E669,0,(HLOOKUP(D670,Ingreso!$AN$10:$AT$260,VLOOKUP(A670,Ingreso!$AL$11:$AM$260,2,FALSE)))/24),0))</f>
        <v/>
      </c>
      <c r="K670" s="65" t="str">
        <f>IF(IFERROR(IF(E670=E669,0,(HLOOKUP(C670,Ingreso!$AW$10:$BC$260,VLOOKUP(A670,Ingreso!$AL$11:$AM$260,2,FALSE)))/24),0)=0,"",IFERROR(IF(E670=E669,0,(HLOOKUP(C670,Ingreso!$AW$10:$BC$260,VLOOKUP(A670,Ingreso!$AL$11:$AM$260,2,FALSE)))/24),0))</f>
        <v/>
      </c>
      <c r="L670" s="63">
        <f t="shared" si="20"/>
        <v>0</v>
      </c>
      <c r="M670" s="63" t="str">
        <f>IF(IFERROR(IF(C670=C668,0,IF(E670=E669,0,IF(C670=$R$2,HLOOKUP($R$2,Ingreso!$AW$10:$BC$260,VLOOKUP(A670,Ingreso!AL:AM,2,FALSE),FALSE)/24,""))),"")=0,"",IFERROR(IF(C670=C668,0,IF(E670=E669,0,IF(C670=$R$2,HLOOKUP($R$2,Ingreso!$AW$10:$BC$260,VLOOKUP(A670,Ingreso!AL:AM,2,FALSE),FALSE)/24,""))),""))</f>
        <v/>
      </c>
      <c r="N670" s="95" t="str">
        <f>IF(IFERROR(IF(C670=C668,0,IF(E670=E669,0,IF(C670=$R$3,HLOOKUP($R$3,Ingreso!$AW$10:$BC$260,VLOOKUP(A670,Ingreso!AL:AM,2,FALSE),FALSE)/24,""))),"")=0,"",IFERROR(IF(C670=C668,0,IF(E670=E669,0,IF(C670=$R$3,HLOOKUP($R$3,Ingreso!$AW$10:$BC$260,VLOOKUP(A670,Ingreso!AL:AM,2,FALSE),FALSE)/24,""))),""))</f>
        <v/>
      </c>
      <c r="O670" s="95" t="str">
        <f>IF(IFERROR(IF(C670=C668,0,IF(E670=E669,0,IF(C670=$R$4,HLOOKUP($R$4,Ingreso!$AW$10:$BC$260,VLOOKUP(A670,Ingreso!AL:AM,2,FALSE),FALSE)/24,""))),"")=0,"",IFERROR(IF(C670=C668,0,IF(E670=E669,0,IF(C670=$R$4,HLOOKUP($R$4,Ingreso!$AW$10:$BC$260,VLOOKUP(A670,Ingreso!AL:AM,2,FALSE),FALSE)/24,""))),""))</f>
        <v/>
      </c>
      <c r="P670" s="90"/>
      <c r="V670"/>
      <c r="W670"/>
      <c r="X670"/>
      <c r="Y670"/>
      <c r="Z670"/>
      <c r="AA670"/>
      <c r="AB670"/>
      <c r="AC670"/>
      <c r="AD670"/>
    </row>
    <row r="671" spans="1:30">
      <c r="A671" s="65" t="str">
        <f>IFERROR(VLOOKUP('Informe Kelly'!A664,Base!A:B,2,FALSE),"")</f>
        <v>13.486.907-0</v>
      </c>
      <c r="B671" s="65" t="str">
        <f>IFERROR(VLOOKUP('Informe Kelly'!A664,Base!A:G,7,FALSE),"")</f>
        <v>MALDONADO DIAZ MIGUEL</v>
      </c>
      <c r="C671" s="69" t="str">
        <f>IF(G671=$C$4,IF('Informe Kelly'!H664='Control informe Kelly'!$A$2,TEXT(((LEFT('Informe Kelly'!E664,2)*1)+1),"dd")&amp;"."&amp;MID('Informe Kelly'!E664,4,2)&amp;"."&amp;RIGHT('Informe Kelly'!E664,4),'Informe Kelly'!E664),'Informe Kelly'!E664)</f>
        <v>11.04.2011</v>
      </c>
      <c r="D671" s="69" t="str">
        <f>IF('Informe Kelly'!E664="","",'Informe Kelly'!E664)</f>
        <v>11.04.2011</v>
      </c>
      <c r="E671" s="72">
        <f t="shared" si="21"/>
        <v>339</v>
      </c>
      <c r="F671" s="72" t="str">
        <f>IFERROR(HLOOKUP(C671,Ingreso!$Q$8:$AD$9,2,FALSE),"v")</f>
        <v>Lunes</v>
      </c>
      <c r="G671" s="65" t="str">
        <f>IFERROR(VLOOKUP(A671,Ingreso!K:P,6,FALSE),"no esta ingresado")</f>
        <v>Turno A</v>
      </c>
      <c r="H671" s="65" t="str">
        <f>IFERROR(IF('Informe Kelly'!H664=$A$2,'Informe Kelly'!F664,""),0)</f>
        <v/>
      </c>
      <c r="I671" s="65">
        <f>IFERROR(IF('Informe Kelly'!H664=$A$3,'Informe Kelly'!F664,""),0)</f>
        <v>0.63241898148148146</v>
      </c>
      <c r="J671" s="65" t="str">
        <f>IF(IFERROR(IF(E671=E670,0,(HLOOKUP(D671,Ingreso!$AN$10:$AT$260,VLOOKUP(A671,Ingreso!$AL$11:$AM$260,2,FALSE)))/24),0)=0,"",IFERROR(IF(E671=E670,0,(HLOOKUP(D671,Ingreso!$AN$10:$AT$260,VLOOKUP(A671,Ingreso!$AL$11:$AM$260,2,FALSE)))/24),0))</f>
        <v/>
      </c>
      <c r="K671" s="65" t="str">
        <f>IF(IFERROR(IF(E671=E670,0,(HLOOKUP(C671,Ingreso!$AW$10:$BC$260,VLOOKUP(A671,Ingreso!$AL$11:$AM$260,2,FALSE)))/24),0)=0,"",IFERROR(IF(E671=E670,0,(HLOOKUP(C671,Ingreso!$AW$10:$BC$260,VLOOKUP(A671,Ingreso!$AL$11:$AM$260,2,FALSE)))/24),0))</f>
        <v/>
      </c>
      <c r="L671" s="63">
        <f t="shared" si="20"/>
        <v>0.3125</v>
      </c>
      <c r="M671" s="63" t="str">
        <f>IF(IFERROR(IF(C671=C669,0,IF(E671=E670,0,IF(C671=$R$2,HLOOKUP($R$2,Ingreso!$AW$10:$BC$260,VLOOKUP(A671,Ingreso!AL:AM,2,FALSE),FALSE)/24,""))),"")=0,"",IFERROR(IF(C671=C669,0,IF(E671=E670,0,IF(C671=$R$2,HLOOKUP($R$2,Ingreso!$AW$10:$BC$260,VLOOKUP(A671,Ingreso!AL:AM,2,FALSE),FALSE)/24,""))),""))</f>
        <v/>
      </c>
      <c r="N671" s="95" t="str">
        <f>IF(IFERROR(IF(C671=C669,0,IF(E671=E670,0,IF(C671=$R$3,HLOOKUP($R$3,Ingreso!$AW$10:$BC$260,VLOOKUP(A671,Ingreso!AL:AM,2,FALSE),FALSE)/24,""))),"")=0,"",IFERROR(IF(C671=C669,0,IF(E671=E670,0,IF(C671=$R$3,HLOOKUP($R$3,Ingreso!$AW$10:$BC$260,VLOOKUP(A671,Ingreso!AL:AM,2,FALSE),FALSE)/24,""))),""))</f>
        <v/>
      </c>
      <c r="O671" s="95" t="str">
        <f>IF(IFERROR(IF(C671=C669,0,IF(E671=E670,0,IF(C671=$R$4,HLOOKUP($R$4,Ingreso!$AW$10:$BC$260,VLOOKUP(A671,Ingreso!AL:AM,2,FALSE),FALSE)/24,""))),"")=0,"",IFERROR(IF(C671=C669,0,IF(E671=E670,0,IF(C671=$R$4,HLOOKUP($R$4,Ingreso!$AW$10:$BC$260,VLOOKUP(A671,Ingreso!AL:AM,2,FALSE),FALSE)/24,""))),""))</f>
        <v/>
      </c>
      <c r="P671" s="90"/>
      <c r="V671"/>
      <c r="W671"/>
      <c r="X671"/>
      <c r="Y671"/>
      <c r="Z671"/>
      <c r="AA671"/>
      <c r="AB671"/>
      <c r="AC671"/>
      <c r="AD671"/>
    </row>
    <row r="672" spans="1:30">
      <c r="A672" s="65" t="str">
        <f>IFERROR(VLOOKUP('Informe Kelly'!A665,Base!A:B,2,FALSE),"")</f>
        <v>13.486.907-0</v>
      </c>
      <c r="B672" s="65" t="str">
        <f>IFERROR(VLOOKUP('Informe Kelly'!A665,Base!A:G,7,FALSE),"")</f>
        <v>MALDONADO DIAZ MIGUEL</v>
      </c>
      <c r="C672" s="69" t="str">
        <f>IF(G672=$C$4,IF('Informe Kelly'!H665='Control informe Kelly'!$A$2,TEXT(((LEFT('Informe Kelly'!E665,2)*1)+1),"dd")&amp;"."&amp;MID('Informe Kelly'!E665,4,2)&amp;"."&amp;RIGHT('Informe Kelly'!E665,4),'Informe Kelly'!E665),'Informe Kelly'!E665)</f>
        <v>11.04.2011</v>
      </c>
      <c r="D672" s="69" t="str">
        <f>IF('Informe Kelly'!E665="","",'Informe Kelly'!E665)</f>
        <v>11.04.2011</v>
      </c>
      <c r="E672" s="72">
        <f t="shared" si="21"/>
        <v>339</v>
      </c>
      <c r="F672" s="72" t="str">
        <f>IFERROR(HLOOKUP(C672,Ingreso!$Q$8:$AD$9,2,FALSE),"v")</f>
        <v>Lunes</v>
      </c>
      <c r="G672" s="65" t="str">
        <f>IFERROR(VLOOKUP(A672,Ingreso!K:P,6,FALSE),"no esta ingresado")</f>
        <v>Turno A</v>
      </c>
      <c r="H672" s="65">
        <f>IFERROR(IF('Informe Kelly'!H665=$A$2,'Informe Kelly'!F665,""),0)</f>
        <v>0.29071759259259261</v>
      </c>
      <c r="I672" s="65" t="str">
        <f>IFERROR(IF('Informe Kelly'!H665=$A$3,'Informe Kelly'!F665,""),0)</f>
        <v/>
      </c>
      <c r="J672" s="65" t="str">
        <f>IF(IFERROR(IF(E672=E671,0,(HLOOKUP(D672,Ingreso!$AN$10:$AT$260,VLOOKUP(A672,Ingreso!$AL$11:$AM$260,2,FALSE)))/24),0)=0,"",IFERROR(IF(E672=E671,0,(HLOOKUP(D672,Ingreso!$AN$10:$AT$260,VLOOKUP(A672,Ingreso!$AL$11:$AM$260,2,FALSE)))/24),0))</f>
        <v/>
      </c>
      <c r="K672" s="65" t="str">
        <f>IF(IFERROR(IF(E672=E671,0,(HLOOKUP(C672,Ingreso!$AW$10:$BC$260,VLOOKUP(A672,Ingreso!$AL$11:$AM$260,2,FALSE)))/24),0)=0,"",IFERROR(IF(E672=E671,0,(HLOOKUP(C672,Ingreso!$AW$10:$BC$260,VLOOKUP(A672,Ingreso!$AL$11:$AM$260,2,FALSE)))/24),0))</f>
        <v/>
      </c>
      <c r="L672" s="63">
        <f t="shared" si="20"/>
        <v>0</v>
      </c>
      <c r="M672" s="63" t="str">
        <f>IF(IFERROR(IF(C672=C670,0,IF(E672=E671,0,IF(C672=$R$2,HLOOKUP($R$2,Ingreso!$AW$10:$BC$260,VLOOKUP(A672,Ingreso!AL:AM,2,FALSE),FALSE)/24,""))),"")=0,"",IFERROR(IF(C672=C670,0,IF(E672=E671,0,IF(C672=$R$2,HLOOKUP($R$2,Ingreso!$AW$10:$BC$260,VLOOKUP(A672,Ingreso!AL:AM,2,FALSE),FALSE)/24,""))),""))</f>
        <v/>
      </c>
      <c r="N672" s="95" t="str">
        <f>IF(IFERROR(IF(C672=C670,0,IF(E672=E671,0,IF(C672=$R$3,HLOOKUP($R$3,Ingreso!$AW$10:$BC$260,VLOOKUP(A672,Ingreso!AL:AM,2,FALSE),FALSE)/24,""))),"")=0,"",IFERROR(IF(C672=C670,0,IF(E672=E671,0,IF(C672=$R$3,HLOOKUP($R$3,Ingreso!$AW$10:$BC$260,VLOOKUP(A672,Ingreso!AL:AM,2,FALSE),FALSE)/24,""))),""))</f>
        <v/>
      </c>
      <c r="O672" s="95" t="str">
        <f>IF(IFERROR(IF(C672=C670,0,IF(E672=E671,0,IF(C672=$R$4,HLOOKUP($R$4,Ingreso!$AW$10:$BC$260,VLOOKUP(A672,Ingreso!AL:AM,2,FALSE),FALSE)/24,""))),"")=0,"",IFERROR(IF(C672=C670,0,IF(E672=E671,0,IF(C672=$R$4,HLOOKUP($R$4,Ingreso!$AW$10:$BC$260,VLOOKUP(A672,Ingreso!AL:AM,2,FALSE),FALSE)/24,""))),""))</f>
        <v/>
      </c>
      <c r="P672" s="90"/>
      <c r="V672"/>
      <c r="W672"/>
      <c r="X672"/>
      <c r="Y672"/>
      <c r="Z672"/>
      <c r="AA672"/>
      <c r="AB672"/>
      <c r="AC672"/>
      <c r="AD672"/>
    </row>
    <row r="673" spans="1:33">
      <c r="A673" s="65" t="str">
        <f>IFERROR(VLOOKUP('Informe Kelly'!A666,Base!A:B,2,FALSE),"")</f>
        <v>13.486.907-0</v>
      </c>
      <c r="B673" s="65" t="str">
        <f>IFERROR(VLOOKUP('Informe Kelly'!A666,Base!A:G,7,FALSE),"")</f>
        <v>MALDONADO DIAZ MIGUEL</v>
      </c>
      <c r="C673" s="69" t="str">
        <f>IF(G673=$C$4,IF('Informe Kelly'!H666='Control informe Kelly'!$A$2,TEXT(((LEFT('Informe Kelly'!E666,2)*1)+1),"dd")&amp;"."&amp;MID('Informe Kelly'!E666,4,2)&amp;"."&amp;RIGHT('Informe Kelly'!E666,4),'Informe Kelly'!E666),'Informe Kelly'!E666)</f>
        <v>12.04.2011</v>
      </c>
      <c r="D673" s="69" t="str">
        <f>IF('Informe Kelly'!E666="","",'Informe Kelly'!E666)</f>
        <v>12.04.2011</v>
      </c>
      <c r="E673" s="72">
        <f t="shared" si="21"/>
        <v>340</v>
      </c>
      <c r="F673" s="72" t="str">
        <f>IFERROR(HLOOKUP(C673,Ingreso!$Q$8:$AD$9,2,FALSE),"v")</f>
        <v>Martes</v>
      </c>
      <c r="G673" s="65" t="str">
        <f>IFERROR(VLOOKUP(A673,Ingreso!K:P,6,FALSE),"no esta ingresado")</f>
        <v>Turno A</v>
      </c>
      <c r="H673" s="65" t="str">
        <f>IFERROR(IF('Informe Kelly'!H666=$A$2,'Informe Kelly'!F666,""),0)</f>
        <v/>
      </c>
      <c r="I673" s="65">
        <f>IFERROR(IF('Informe Kelly'!H666=$A$3,'Informe Kelly'!F666,""),0)</f>
        <v>0.62767361111111108</v>
      </c>
      <c r="J673" s="65" t="str">
        <f>IF(IFERROR(IF(E673=E672,0,(HLOOKUP(D673,Ingreso!$AN$10:$AT$260,VLOOKUP(A673,Ingreso!$AL$11:$AM$260,2,FALSE)))/24),0)=0,"",IFERROR(IF(E673=E672,0,(HLOOKUP(D673,Ingreso!$AN$10:$AT$260,VLOOKUP(A673,Ingreso!$AL$11:$AM$260,2,FALSE)))/24),0))</f>
        <v/>
      </c>
      <c r="K673" s="65" t="str">
        <f>IF(IFERROR(IF(E673=E672,0,(HLOOKUP(C673,Ingreso!$AW$10:$BC$260,VLOOKUP(A673,Ingreso!$AL$11:$AM$260,2,FALSE)))/24),0)=0,"",IFERROR(IF(E673=E672,0,(HLOOKUP(C673,Ingreso!$AW$10:$BC$260,VLOOKUP(A673,Ingreso!$AL$11:$AM$260,2,FALSE)))/24),0))</f>
        <v/>
      </c>
      <c r="L673" s="63">
        <f t="shared" si="20"/>
        <v>0.3125</v>
      </c>
      <c r="M673" s="63" t="str">
        <f>IF(IFERROR(IF(C673=C671,0,IF(E673=E672,0,IF(C673=$R$2,HLOOKUP($R$2,Ingreso!$AW$10:$BC$260,VLOOKUP(A673,Ingreso!AL:AM,2,FALSE),FALSE)/24,""))),"")=0,"",IFERROR(IF(C673=C671,0,IF(E673=E672,0,IF(C673=$R$2,HLOOKUP($R$2,Ingreso!$AW$10:$BC$260,VLOOKUP(A673,Ingreso!AL:AM,2,FALSE),FALSE)/24,""))),""))</f>
        <v/>
      </c>
      <c r="N673" s="95" t="str">
        <f>IF(IFERROR(IF(C673=C671,0,IF(E673=E672,0,IF(C673=$R$3,HLOOKUP($R$3,Ingreso!$AW$10:$BC$260,VLOOKUP(A673,Ingreso!AL:AM,2,FALSE),FALSE)/24,""))),"")=0,"",IFERROR(IF(C673=C671,0,IF(E673=E672,0,IF(C673=$R$3,HLOOKUP($R$3,Ingreso!$AW$10:$BC$260,VLOOKUP(A673,Ingreso!AL:AM,2,FALSE),FALSE)/24,""))),""))</f>
        <v/>
      </c>
      <c r="O673" s="95" t="str">
        <f>IF(IFERROR(IF(C673=C671,0,IF(E673=E672,0,IF(C673=$R$4,HLOOKUP($R$4,Ingreso!$AW$10:$BC$260,VLOOKUP(A673,Ingreso!AL:AM,2,FALSE),FALSE)/24,""))),"")=0,"",IFERROR(IF(C673=C671,0,IF(E673=E672,0,IF(C673=$R$4,HLOOKUP($R$4,Ingreso!$AW$10:$BC$260,VLOOKUP(A673,Ingreso!AL:AM,2,FALSE),FALSE)/24,""))),""))</f>
        <v/>
      </c>
      <c r="P673" s="90"/>
      <c r="V673"/>
      <c r="W673"/>
      <c r="X673"/>
      <c r="Y673"/>
      <c r="Z673"/>
      <c r="AA673"/>
      <c r="AB673"/>
      <c r="AC673"/>
      <c r="AD673"/>
    </row>
    <row r="674" spans="1:33">
      <c r="A674" s="65" t="str">
        <f>IFERROR(VLOOKUP('Informe Kelly'!A667,Base!A:B,2,FALSE),"")</f>
        <v>13.486.907-0</v>
      </c>
      <c r="B674" s="65" t="str">
        <f>IFERROR(VLOOKUP('Informe Kelly'!A667,Base!A:G,7,FALSE),"")</f>
        <v>MALDONADO DIAZ MIGUEL</v>
      </c>
      <c r="C674" s="69" t="str">
        <f>IF(G674=$C$4,IF('Informe Kelly'!H667='Control informe Kelly'!$A$2,TEXT(((LEFT('Informe Kelly'!E667,2)*1)+1),"dd")&amp;"."&amp;MID('Informe Kelly'!E667,4,2)&amp;"."&amp;RIGHT('Informe Kelly'!E667,4),'Informe Kelly'!E667),'Informe Kelly'!E667)</f>
        <v>12.04.2011</v>
      </c>
      <c r="D674" s="69" t="str">
        <f>IF('Informe Kelly'!E667="","",'Informe Kelly'!E667)</f>
        <v>12.04.2011</v>
      </c>
      <c r="E674" s="72">
        <f t="shared" si="21"/>
        <v>340</v>
      </c>
      <c r="F674" s="72" t="str">
        <f>IFERROR(HLOOKUP(C674,Ingreso!$Q$8:$AD$9,2,FALSE),"v")</f>
        <v>Martes</v>
      </c>
      <c r="G674" s="65" t="str">
        <f>IFERROR(VLOOKUP(A674,Ingreso!K:P,6,FALSE),"no esta ingresado")</f>
        <v>Turno A</v>
      </c>
      <c r="H674" s="65">
        <f>IFERROR(IF('Informe Kelly'!H667=$A$2,'Informe Kelly'!F667,""),0)</f>
        <v>0.29060185185185183</v>
      </c>
      <c r="I674" s="65" t="str">
        <f>IFERROR(IF('Informe Kelly'!H667=$A$3,'Informe Kelly'!F667,""),0)</f>
        <v/>
      </c>
      <c r="J674" s="65" t="str">
        <f>IF(IFERROR(IF(E674=E673,0,(HLOOKUP(D674,Ingreso!$AN$10:$AT$260,VLOOKUP(A674,Ingreso!$AL$11:$AM$260,2,FALSE)))/24),0)=0,"",IFERROR(IF(E674=E673,0,(HLOOKUP(D674,Ingreso!$AN$10:$AT$260,VLOOKUP(A674,Ingreso!$AL$11:$AM$260,2,FALSE)))/24),0))</f>
        <v/>
      </c>
      <c r="K674" s="65" t="str">
        <f>IF(IFERROR(IF(E674=E673,0,(HLOOKUP(C674,Ingreso!$AW$10:$BC$260,VLOOKUP(A674,Ingreso!$AL$11:$AM$260,2,FALSE)))/24),0)=0,"",IFERROR(IF(E674=E673,0,(HLOOKUP(C674,Ingreso!$AW$10:$BC$260,VLOOKUP(A674,Ingreso!$AL$11:$AM$260,2,FALSE)))/24),0))</f>
        <v/>
      </c>
      <c r="L674" s="63">
        <f t="shared" si="20"/>
        <v>0</v>
      </c>
      <c r="M674" s="63" t="str">
        <f>IF(IFERROR(IF(C674=C672,0,IF(E674=E673,0,IF(C674=$R$2,HLOOKUP($R$2,Ingreso!$AW$10:$BC$260,VLOOKUP(A674,Ingreso!AL:AM,2,FALSE),FALSE)/24,""))),"")=0,"",IFERROR(IF(C674=C672,0,IF(E674=E673,0,IF(C674=$R$2,HLOOKUP($R$2,Ingreso!$AW$10:$BC$260,VLOOKUP(A674,Ingreso!AL:AM,2,FALSE),FALSE)/24,""))),""))</f>
        <v/>
      </c>
      <c r="N674" s="95" t="str">
        <f>IF(IFERROR(IF(C674=C672,0,IF(E674=E673,0,IF(C674=$R$3,HLOOKUP($R$3,Ingreso!$AW$10:$BC$260,VLOOKUP(A674,Ingreso!AL:AM,2,FALSE),FALSE)/24,""))),"")=0,"",IFERROR(IF(C674=C672,0,IF(E674=E673,0,IF(C674=$R$3,HLOOKUP($R$3,Ingreso!$AW$10:$BC$260,VLOOKUP(A674,Ingreso!AL:AM,2,FALSE),FALSE)/24,""))),""))</f>
        <v/>
      </c>
      <c r="O674" s="95" t="str">
        <f>IF(IFERROR(IF(C674=C672,0,IF(E674=E673,0,IF(C674=$R$4,HLOOKUP($R$4,Ingreso!$AW$10:$BC$260,VLOOKUP(A674,Ingreso!AL:AM,2,FALSE),FALSE)/24,""))),"")=0,"",IFERROR(IF(C674=C672,0,IF(E674=E673,0,IF(C674=$R$4,HLOOKUP($R$4,Ingreso!$AW$10:$BC$260,VLOOKUP(A674,Ingreso!AL:AM,2,FALSE),FALSE)/24,""))),""))</f>
        <v/>
      </c>
      <c r="P674" s="90"/>
      <c r="V674"/>
      <c r="W674"/>
      <c r="X674"/>
      <c r="Y674"/>
      <c r="Z674"/>
      <c r="AA674"/>
      <c r="AB674"/>
      <c r="AC674"/>
      <c r="AD674"/>
    </row>
    <row r="675" spans="1:33">
      <c r="A675" s="65" t="str">
        <f>IFERROR(VLOOKUP('Informe Kelly'!A668,Base!A:B,2,FALSE),"")</f>
        <v>13.486.907-0</v>
      </c>
      <c r="B675" s="65" t="str">
        <f>IFERROR(VLOOKUP('Informe Kelly'!A668,Base!A:G,7,FALSE),"")</f>
        <v>MALDONADO DIAZ MIGUEL</v>
      </c>
      <c r="C675" s="69" t="str">
        <f>IF(G675=$C$4,IF('Informe Kelly'!H668='Control informe Kelly'!$A$2,TEXT(((LEFT('Informe Kelly'!E668,2)*1)+1),"dd")&amp;"."&amp;MID('Informe Kelly'!E668,4,2)&amp;"."&amp;RIGHT('Informe Kelly'!E668,4),'Informe Kelly'!E668),'Informe Kelly'!E668)</f>
        <v>13.04.2011</v>
      </c>
      <c r="D675" s="69" t="str">
        <f>IF('Informe Kelly'!E668="","",'Informe Kelly'!E668)</f>
        <v>13.04.2011</v>
      </c>
      <c r="E675" s="72">
        <f t="shared" si="21"/>
        <v>341</v>
      </c>
      <c r="F675" s="72" t="str">
        <f>IFERROR(HLOOKUP(C675,Ingreso!$Q$8:$AD$9,2,FALSE),"v")</f>
        <v>Miércoles</v>
      </c>
      <c r="G675" s="65" t="str">
        <f>IFERROR(VLOOKUP(A675,Ingreso!K:P,6,FALSE),"no esta ingresado")</f>
        <v>Turno A</v>
      </c>
      <c r="H675" s="65" t="str">
        <f>IFERROR(IF('Informe Kelly'!H668=$A$2,'Informe Kelly'!F668,""),0)</f>
        <v/>
      </c>
      <c r="I675" s="65">
        <f>IFERROR(IF('Informe Kelly'!H668=$A$3,'Informe Kelly'!F668,""),0)</f>
        <v>0.63296296296296295</v>
      </c>
      <c r="J675" s="65" t="str">
        <f>IF(IFERROR(IF(E675=E674,0,(HLOOKUP(D675,Ingreso!$AN$10:$AT$260,VLOOKUP(A675,Ingreso!$AL$11:$AM$260,2,FALSE)))/24),0)=0,"",IFERROR(IF(E675=E674,0,(HLOOKUP(D675,Ingreso!$AN$10:$AT$260,VLOOKUP(A675,Ingreso!$AL$11:$AM$260,2,FALSE)))/24),0))</f>
        <v/>
      </c>
      <c r="K675" s="65" t="str">
        <f>IF(IFERROR(IF(E675=E674,0,(HLOOKUP(C675,Ingreso!$AW$10:$BC$260,VLOOKUP(A675,Ingreso!$AL$11:$AM$260,2,FALSE)))/24),0)=0,"",IFERROR(IF(E675=E674,0,(HLOOKUP(C675,Ingreso!$AW$10:$BC$260,VLOOKUP(A675,Ingreso!$AL$11:$AM$260,2,FALSE)))/24),0))</f>
        <v/>
      </c>
      <c r="L675" s="63">
        <f t="shared" si="20"/>
        <v>0.3125</v>
      </c>
      <c r="M675" s="63" t="str">
        <f>IF(IFERROR(IF(C675=C673,0,IF(E675=E674,0,IF(C675=$R$2,HLOOKUP($R$2,Ingreso!$AW$10:$BC$260,VLOOKUP(A675,Ingreso!AL:AM,2,FALSE),FALSE)/24,""))),"")=0,"",IFERROR(IF(C675=C673,0,IF(E675=E674,0,IF(C675=$R$2,HLOOKUP($R$2,Ingreso!$AW$10:$BC$260,VLOOKUP(A675,Ingreso!AL:AM,2,FALSE),FALSE)/24,""))),""))</f>
        <v/>
      </c>
      <c r="N675" s="95" t="str">
        <f>IF(IFERROR(IF(C675=C673,0,IF(E675=E674,0,IF(C675=$R$3,HLOOKUP($R$3,Ingreso!$AW$10:$BC$260,VLOOKUP(A675,Ingreso!AL:AM,2,FALSE),FALSE)/24,""))),"")=0,"",IFERROR(IF(C675=C673,0,IF(E675=E674,0,IF(C675=$R$3,HLOOKUP($R$3,Ingreso!$AW$10:$BC$260,VLOOKUP(A675,Ingreso!AL:AM,2,FALSE),FALSE)/24,""))),""))</f>
        <v/>
      </c>
      <c r="O675" s="95" t="str">
        <f>IF(IFERROR(IF(C675=C673,0,IF(E675=E674,0,IF(C675=$R$4,HLOOKUP($R$4,Ingreso!$AW$10:$BC$260,VLOOKUP(A675,Ingreso!AL:AM,2,FALSE),FALSE)/24,""))),"")=0,"",IFERROR(IF(C675=C673,0,IF(E675=E674,0,IF(C675=$R$4,HLOOKUP($R$4,Ingreso!$AW$10:$BC$260,VLOOKUP(A675,Ingreso!AL:AM,2,FALSE),FALSE)/24,""))),""))</f>
        <v/>
      </c>
      <c r="P675" s="90"/>
      <c r="V675"/>
      <c r="W675"/>
      <c r="X675"/>
      <c r="Y675"/>
      <c r="Z675"/>
      <c r="AA675"/>
      <c r="AB675"/>
      <c r="AC675"/>
      <c r="AD675"/>
    </row>
    <row r="676" spans="1:33">
      <c r="A676" s="65" t="str">
        <f>IFERROR(VLOOKUP('Informe Kelly'!A669,Base!A:B,2,FALSE),"")</f>
        <v>13.486.907-0</v>
      </c>
      <c r="B676" s="65" t="str">
        <f>IFERROR(VLOOKUP('Informe Kelly'!A669,Base!A:G,7,FALSE),"")</f>
        <v>MALDONADO DIAZ MIGUEL</v>
      </c>
      <c r="C676" s="69" t="str">
        <f>IF(G676=$C$4,IF('Informe Kelly'!H669='Control informe Kelly'!$A$2,TEXT(((LEFT('Informe Kelly'!E669,2)*1)+1),"dd")&amp;"."&amp;MID('Informe Kelly'!E669,4,2)&amp;"."&amp;RIGHT('Informe Kelly'!E669,4),'Informe Kelly'!E669),'Informe Kelly'!E669)</f>
        <v>13.04.2011</v>
      </c>
      <c r="D676" s="69" t="str">
        <f>IF('Informe Kelly'!E669="","",'Informe Kelly'!E669)</f>
        <v>13.04.2011</v>
      </c>
      <c r="E676" s="72">
        <f t="shared" si="21"/>
        <v>341</v>
      </c>
      <c r="F676" s="72" t="str">
        <f>IFERROR(HLOOKUP(C676,Ingreso!$Q$8:$AD$9,2,FALSE),"v")</f>
        <v>Miércoles</v>
      </c>
      <c r="G676" s="65" t="str">
        <f>IFERROR(VLOOKUP(A676,Ingreso!K:P,6,FALSE),"no esta ingresado")</f>
        <v>Turno A</v>
      </c>
      <c r="H676" s="65">
        <f>IFERROR(IF('Informe Kelly'!H669=$A$2,'Informe Kelly'!F669,""),0)</f>
        <v>0.28907407407407409</v>
      </c>
      <c r="I676" s="65" t="str">
        <f>IFERROR(IF('Informe Kelly'!H669=$A$3,'Informe Kelly'!F669,""),0)</f>
        <v/>
      </c>
      <c r="J676" s="65" t="str">
        <f>IF(IFERROR(IF(E676=E675,0,(HLOOKUP(D676,Ingreso!$AN$10:$AT$260,VLOOKUP(A676,Ingreso!$AL$11:$AM$260,2,FALSE)))/24),0)=0,"",IFERROR(IF(E676=E675,0,(HLOOKUP(D676,Ingreso!$AN$10:$AT$260,VLOOKUP(A676,Ingreso!$AL$11:$AM$260,2,FALSE)))/24),0))</f>
        <v/>
      </c>
      <c r="K676" s="65" t="str">
        <f>IF(IFERROR(IF(E676=E675,0,(HLOOKUP(C676,Ingreso!$AW$10:$BC$260,VLOOKUP(A676,Ingreso!$AL$11:$AM$260,2,FALSE)))/24),0)=0,"",IFERROR(IF(E676=E675,0,(HLOOKUP(C676,Ingreso!$AW$10:$BC$260,VLOOKUP(A676,Ingreso!$AL$11:$AM$260,2,FALSE)))/24),0))</f>
        <v/>
      </c>
      <c r="L676" s="63">
        <f t="shared" si="20"/>
        <v>0</v>
      </c>
      <c r="M676" s="63" t="str">
        <f>IF(IFERROR(IF(C676=C674,0,IF(E676=E675,0,IF(C676=$R$2,HLOOKUP($R$2,Ingreso!$AW$10:$BC$260,VLOOKUP(A676,Ingreso!AL:AM,2,FALSE),FALSE)/24,""))),"")=0,"",IFERROR(IF(C676=C674,0,IF(E676=E675,0,IF(C676=$R$2,HLOOKUP($R$2,Ingreso!$AW$10:$BC$260,VLOOKUP(A676,Ingreso!AL:AM,2,FALSE),FALSE)/24,""))),""))</f>
        <v/>
      </c>
      <c r="N676" s="95" t="str">
        <f>IF(IFERROR(IF(C676=C674,0,IF(E676=E675,0,IF(C676=$R$3,HLOOKUP($R$3,Ingreso!$AW$10:$BC$260,VLOOKUP(A676,Ingreso!AL:AM,2,FALSE),FALSE)/24,""))),"")=0,"",IFERROR(IF(C676=C674,0,IF(E676=E675,0,IF(C676=$R$3,HLOOKUP($R$3,Ingreso!$AW$10:$BC$260,VLOOKUP(A676,Ingreso!AL:AM,2,FALSE),FALSE)/24,""))),""))</f>
        <v/>
      </c>
      <c r="O676" s="95" t="str">
        <f>IF(IFERROR(IF(C676=C674,0,IF(E676=E675,0,IF(C676=$R$4,HLOOKUP($R$4,Ingreso!$AW$10:$BC$260,VLOOKUP(A676,Ingreso!AL:AM,2,FALSE),FALSE)/24,""))),"")=0,"",IFERROR(IF(C676=C674,0,IF(E676=E675,0,IF(C676=$R$4,HLOOKUP($R$4,Ingreso!$AW$10:$BC$260,VLOOKUP(A676,Ingreso!AL:AM,2,FALSE),FALSE)/24,""))),""))</f>
        <v/>
      </c>
      <c r="P676" s="90"/>
      <c r="V676"/>
      <c r="W676"/>
      <c r="X676"/>
      <c r="Y676"/>
      <c r="Z676"/>
      <c r="AA676"/>
      <c r="AB676"/>
      <c r="AC676"/>
      <c r="AD676"/>
    </row>
    <row r="677" spans="1:33">
      <c r="A677" s="65" t="str">
        <f>IFERROR(VLOOKUP('Informe Kelly'!A670,Base!A:B,2,FALSE),"")</f>
        <v>13.486.907-0</v>
      </c>
      <c r="B677" s="65" t="str">
        <f>IFERROR(VLOOKUP('Informe Kelly'!A670,Base!A:G,7,FALSE),"")</f>
        <v>MALDONADO DIAZ MIGUEL</v>
      </c>
      <c r="C677" s="69" t="str">
        <f>IF(G677=$C$4,IF('Informe Kelly'!H670='Control informe Kelly'!$A$2,TEXT(((LEFT('Informe Kelly'!E670,2)*1)+1),"dd")&amp;"."&amp;MID('Informe Kelly'!E670,4,2)&amp;"."&amp;RIGHT('Informe Kelly'!E670,4),'Informe Kelly'!E670),'Informe Kelly'!E670)</f>
        <v>14.04.2011</v>
      </c>
      <c r="D677" s="69" t="str">
        <f>IF('Informe Kelly'!E670="","",'Informe Kelly'!E670)</f>
        <v>14.04.2011</v>
      </c>
      <c r="E677" s="72">
        <f t="shared" si="21"/>
        <v>342</v>
      </c>
      <c r="F677" s="72" t="str">
        <f>IFERROR(HLOOKUP(C677,Ingreso!$Q$8:$AD$9,2,FALSE),"v")</f>
        <v>Jueves</v>
      </c>
      <c r="G677" s="65" t="str">
        <f>IFERROR(VLOOKUP(A677,Ingreso!K:P,6,FALSE),"no esta ingresado")</f>
        <v>Turno A</v>
      </c>
      <c r="H677" s="65" t="str">
        <f>IFERROR(IF('Informe Kelly'!H670=$A$2,'Informe Kelly'!F670,""),0)</f>
        <v/>
      </c>
      <c r="I677" s="65">
        <f>IFERROR(IF('Informe Kelly'!H670=$A$3,'Informe Kelly'!F670,""),0)</f>
        <v>0.62357638888888889</v>
      </c>
      <c r="J677" s="65" t="str">
        <f>IF(IFERROR(IF(E677=E676,0,(HLOOKUP(D677,Ingreso!$AN$10:$AT$260,VLOOKUP(A677,Ingreso!$AL$11:$AM$260,2,FALSE)))/24),0)=0,"",IFERROR(IF(E677=E676,0,(HLOOKUP(D677,Ingreso!$AN$10:$AT$260,VLOOKUP(A677,Ingreso!$AL$11:$AM$260,2,FALSE)))/24),0))</f>
        <v/>
      </c>
      <c r="K677" s="65" t="str">
        <f>IF(IFERROR(IF(E677=E676,0,(HLOOKUP(C677,Ingreso!$AW$10:$BC$260,VLOOKUP(A677,Ingreso!$AL$11:$AM$260,2,FALSE)))/24),0)=0,"",IFERROR(IF(E677=E676,0,(HLOOKUP(C677,Ingreso!$AW$10:$BC$260,VLOOKUP(A677,Ingreso!$AL$11:$AM$260,2,FALSE)))/24),0))</f>
        <v/>
      </c>
      <c r="L677" s="63">
        <f t="shared" si="20"/>
        <v>0.3125</v>
      </c>
      <c r="M677" s="63" t="str">
        <f>IF(IFERROR(IF(C677=C675,0,IF(E677=E676,0,IF(C677=$R$2,HLOOKUP($R$2,Ingreso!$AW$10:$BC$260,VLOOKUP(A677,Ingreso!AL:AM,2,FALSE),FALSE)/24,""))),"")=0,"",IFERROR(IF(C677=C675,0,IF(E677=E676,0,IF(C677=$R$2,HLOOKUP($R$2,Ingreso!$AW$10:$BC$260,VLOOKUP(A677,Ingreso!AL:AM,2,FALSE),FALSE)/24,""))),""))</f>
        <v/>
      </c>
      <c r="N677" s="95" t="str">
        <f>IF(IFERROR(IF(C677=C675,0,IF(E677=E676,0,IF(C677=$R$3,HLOOKUP($R$3,Ingreso!$AW$10:$BC$260,VLOOKUP(A677,Ingreso!AL:AM,2,FALSE),FALSE)/24,""))),"")=0,"",IFERROR(IF(C677=C675,0,IF(E677=E676,0,IF(C677=$R$3,HLOOKUP($R$3,Ingreso!$AW$10:$BC$260,VLOOKUP(A677,Ingreso!AL:AM,2,FALSE),FALSE)/24,""))),""))</f>
        <v/>
      </c>
      <c r="O677" s="95" t="str">
        <f>IF(IFERROR(IF(C677=C675,0,IF(E677=E676,0,IF(C677=$R$4,HLOOKUP($R$4,Ingreso!$AW$10:$BC$260,VLOOKUP(A677,Ingreso!AL:AM,2,FALSE),FALSE)/24,""))),"")=0,"",IFERROR(IF(C677=C675,0,IF(E677=E676,0,IF(C677=$R$4,HLOOKUP($R$4,Ingreso!$AW$10:$BC$260,VLOOKUP(A677,Ingreso!AL:AM,2,FALSE),FALSE)/24,""))),""))</f>
        <v/>
      </c>
      <c r="P677" s="90"/>
      <c r="V677"/>
      <c r="W677"/>
      <c r="X677"/>
      <c r="Y677"/>
      <c r="Z677"/>
      <c r="AA677"/>
      <c r="AB677"/>
      <c r="AC677"/>
      <c r="AD677"/>
    </row>
    <row r="678" spans="1:33">
      <c r="A678" s="65" t="str">
        <f>IFERROR(VLOOKUP('Informe Kelly'!A671,Base!A:B,2,FALSE),"")</f>
        <v>13.486.907-0</v>
      </c>
      <c r="B678" s="65" t="str">
        <f>IFERROR(VLOOKUP('Informe Kelly'!A671,Base!A:G,7,FALSE),"")</f>
        <v>MALDONADO DIAZ MIGUEL</v>
      </c>
      <c r="C678" s="69" t="str">
        <f>IF(G678=$C$4,IF('Informe Kelly'!H671='Control informe Kelly'!$A$2,TEXT(((LEFT('Informe Kelly'!E671,2)*1)+1),"dd")&amp;"."&amp;MID('Informe Kelly'!E671,4,2)&amp;"."&amp;RIGHT('Informe Kelly'!E671,4),'Informe Kelly'!E671),'Informe Kelly'!E671)</f>
        <v>14.04.2011</v>
      </c>
      <c r="D678" s="69" t="str">
        <f>IF('Informe Kelly'!E671="","",'Informe Kelly'!E671)</f>
        <v>14.04.2011</v>
      </c>
      <c r="E678" s="72">
        <f t="shared" si="21"/>
        <v>342</v>
      </c>
      <c r="F678" s="72" t="str">
        <f>IFERROR(HLOOKUP(C678,Ingreso!$Q$8:$AD$9,2,FALSE),"v")</f>
        <v>Jueves</v>
      </c>
      <c r="G678" s="65" t="str">
        <f>IFERROR(VLOOKUP(A678,Ingreso!K:P,6,FALSE),"no esta ingresado")</f>
        <v>Turno A</v>
      </c>
      <c r="H678" s="65">
        <f>IFERROR(IF('Informe Kelly'!H671=$A$2,'Informe Kelly'!F671,""),0)</f>
        <v>0.29898148148148146</v>
      </c>
      <c r="I678" s="65" t="str">
        <f>IFERROR(IF('Informe Kelly'!H671=$A$3,'Informe Kelly'!F671,""),0)</f>
        <v/>
      </c>
      <c r="J678" s="65" t="str">
        <f>IF(IFERROR(IF(E678=E677,0,(HLOOKUP(D678,Ingreso!$AN$10:$AT$260,VLOOKUP(A678,Ingreso!$AL$11:$AM$260,2,FALSE)))/24),0)=0,"",IFERROR(IF(E678=E677,0,(HLOOKUP(D678,Ingreso!$AN$10:$AT$260,VLOOKUP(A678,Ingreso!$AL$11:$AM$260,2,FALSE)))/24),0))</f>
        <v/>
      </c>
      <c r="K678" s="65" t="str">
        <f>IF(IFERROR(IF(E678=E677,0,(HLOOKUP(C678,Ingreso!$AW$10:$BC$260,VLOOKUP(A678,Ingreso!$AL$11:$AM$260,2,FALSE)))/24),0)=0,"",IFERROR(IF(E678=E677,0,(HLOOKUP(C678,Ingreso!$AW$10:$BC$260,VLOOKUP(A678,Ingreso!$AL$11:$AM$260,2,FALSE)))/24),0))</f>
        <v/>
      </c>
      <c r="L678" s="63">
        <f t="shared" si="20"/>
        <v>0</v>
      </c>
      <c r="M678" s="63" t="str">
        <f>IF(IFERROR(IF(C678=C676,0,IF(E678=E677,0,IF(C678=$R$2,HLOOKUP($R$2,Ingreso!$AW$10:$BC$260,VLOOKUP(A678,Ingreso!AL:AM,2,FALSE),FALSE)/24,""))),"")=0,"",IFERROR(IF(C678=C676,0,IF(E678=E677,0,IF(C678=$R$2,HLOOKUP($R$2,Ingreso!$AW$10:$BC$260,VLOOKUP(A678,Ingreso!AL:AM,2,FALSE),FALSE)/24,""))),""))</f>
        <v/>
      </c>
      <c r="N678" s="95" t="str">
        <f>IF(IFERROR(IF(C678=C676,0,IF(E678=E677,0,IF(C678=$R$3,HLOOKUP($R$3,Ingreso!$AW$10:$BC$260,VLOOKUP(A678,Ingreso!AL:AM,2,FALSE),FALSE)/24,""))),"")=0,"",IFERROR(IF(C678=C676,0,IF(E678=E677,0,IF(C678=$R$3,HLOOKUP($R$3,Ingreso!$AW$10:$BC$260,VLOOKUP(A678,Ingreso!AL:AM,2,FALSE),FALSE)/24,""))),""))</f>
        <v/>
      </c>
      <c r="O678" s="95" t="str">
        <f>IF(IFERROR(IF(C678=C676,0,IF(E678=E677,0,IF(C678=$R$4,HLOOKUP($R$4,Ingreso!$AW$10:$BC$260,VLOOKUP(A678,Ingreso!AL:AM,2,FALSE),FALSE)/24,""))),"")=0,"",IFERROR(IF(C678=C676,0,IF(E678=E677,0,IF(C678=$R$4,HLOOKUP($R$4,Ingreso!$AW$10:$BC$260,VLOOKUP(A678,Ingreso!AL:AM,2,FALSE),FALSE)/24,""))),""))</f>
        <v/>
      </c>
      <c r="P678" s="90"/>
      <c r="V678"/>
      <c r="W678"/>
      <c r="X678"/>
      <c r="Y678"/>
      <c r="Z678"/>
      <c r="AA678"/>
      <c r="AB678"/>
      <c r="AC678"/>
      <c r="AD678"/>
    </row>
    <row r="679" spans="1:33">
      <c r="A679" s="65" t="str">
        <f>IFERROR(VLOOKUP('Informe Kelly'!A672,Base!A:B,2,FALSE),"")</f>
        <v>13.486.907-0</v>
      </c>
      <c r="B679" s="65" t="str">
        <f>IFERROR(VLOOKUP('Informe Kelly'!A672,Base!A:G,7,FALSE),"")</f>
        <v>MALDONADO DIAZ MIGUEL</v>
      </c>
      <c r="C679" s="69" t="str">
        <f>IF(G679=$C$4,IF('Informe Kelly'!H672='Control informe Kelly'!$A$2,TEXT(((LEFT('Informe Kelly'!E672,2)*1)+1),"dd")&amp;"."&amp;MID('Informe Kelly'!E672,4,2)&amp;"."&amp;RIGHT('Informe Kelly'!E672,4),'Informe Kelly'!E672),'Informe Kelly'!E672)</f>
        <v>15.04.2011</v>
      </c>
      <c r="D679" s="69" t="str">
        <f>IF('Informe Kelly'!E672="","",'Informe Kelly'!E672)</f>
        <v>15.04.2011</v>
      </c>
      <c r="E679" s="72">
        <f t="shared" si="21"/>
        <v>343</v>
      </c>
      <c r="F679" s="72" t="str">
        <f>IFERROR(HLOOKUP(C679,Ingreso!$Q$8:$AD$9,2,FALSE),"v")</f>
        <v>Viernes</v>
      </c>
      <c r="G679" s="65" t="str">
        <f>IFERROR(VLOOKUP(A679,Ingreso!K:P,6,FALSE),"no esta ingresado")</f>
        <v>Turno A</v>
      </c>
      <c r="H679" s="65" t="str">
        <f>IFERROR(IF('Informe Kelly'!H672=$A$2,'Informe Kelly'!F672,""),0)</f>
        <v/>
      </c>
      <c r="I679" s="65">
        <f>IFERROR(IF('Informe Kelly'!H672=$A$3,'Informe Kelly'!F672,""),0)</f>
        <v>0.63518518518518519</v>
      </c>
      <c r="J679" s="65" t="str">
        <f>IF(IFERROR(IF(E679=E678,0,(HLOOKUP(D679,Ingreso!$AN$10:$AT$260,VLOOKUP(A679,Ingreso!$AL$11:$AM$260,2,FALSE)))/24),0)=0,"",IFERROR(IF(E679=E678,0,(HLOOKUP(D679,Ingreso!$AN$10:$AT$260,VLOOKUP(A679,Ingreso!$AL$11:$AM$260,2,FALSE)))/24),0))</f>
        <v/>
      </c>
      <c r="K679" s="65" t="str">
        <f>IF(IFERROR(IF(E679=E678,0,(HLOOKUP(C679,Ingreso!$AW$10:$BC$260,VLOOKUP(A679,Ingreso!$AL$11:$AM$260,2,FALSE)))/24),0)=0,"",IFERROR(IF(E679=E678,0,(HLOOKUP(C679,Ingreso!$AW$10:$BC$260,VLOOKUP(A679,Ingreso!$AL$11:$AM$260,2,FALSE)))/24),0))</f>
        <v/>
      </c>
      <c r="L679" s="63">
        <f t="shared" si="20"/>
        <v>0.3125</v>
      </c>
      <c r="M679" s="63" t="str">
        <f>IF(IFERROR(IF(C679=C677,0,IF(E679=E678,0,IF(C679=$R$2,HLOOKUP($R$2,Ingreso!$AW$10:$BC$260,VLOOKUP(A679,Ingreso!AL:AM,2,FALSE),FALSE)/24,""))),"")=0,"",IFERROR(IF(C679=C677,0,IF(E679=E678,0,IF(C679=$R$2,HLOOKUP($R$2,Ingreso!$AW$10:$BC$260,VLOOKUP(A679,Ingreso!AL:AM,2,FALSE),FALSE)/24,""))),""))</f>
        <v/>
      </c>
      <c r="N679" s="95" t="str">
        <f>IF(IFERROR(IF(C679=C677,0,IF(E679=E678,0,IF(C679=$R$3,HLOOKUP($R$3,Ingreso!$AW$10:$BC$260,VLOOKUP(A679,Ingreso!AL:AM,2,FALSE),FALSE)/24,""))),"")=0,"",IFERROR(IF(C679=C677,0,IF(E679=E678,0,IF(C679=$R$3,HLOOKUP($R$3,Ingreso!$AW$10:$BC$260,VLOOKUP(A679,Ingreso!AL:AM,2,FALSE),FALSE)/24,""))),""))</f>
        <v/>
      </c>
      <c r="O679" s="95" t="str">
        <f>IF(IFERROR(IF(C679=C677,0,IF(E679=E678,0,IF(C679=$R$4,HLOOKUP($R$4,Ingreso!$AW$10:$BC$260,VLOOKUP(A679,Ingreso!AL:AM,2,FALSE),FALSE)/24,""))),"")=0,"",IFERROR(IF(C679=C677,0,IF(E679=E678,0,IF(C679=$R$4,HLOOKUP($R$4,Ingreso!$AW$10:$BC$260,VLOOKUP(A679,Ingreso!AL:AM,2,FALSE),FALSE)/24,""))),""))</f>
        <v/>
      </c>
      <c r="P679" s="90"/>
      <c r="V679"/>
      <c r="W679"/>
      <c r="X679"/>
      <c r="Y679"/>
      <c r="Z679"/>
      <c r="AA679"/>
      <c r="AB679"/>
      <c r="AC679"/>
      <c r="AD679"/>
    </row>
    <row r="680" spans="1:33">
      <c r="A680" s="65" t="str">
        <f>IFERROR(VLOOKUP('Informe Kelly'!A673,Base!A:B,2,FALSE),"")</f>
        <v>13.486.907-0</v>
      </c>
      <c r="B680" s="65" t="str">
        <f>IFERROR(VLOOKUP('Informe Kelly'!A673,Base!A:G,7,FALSE),"")</f>
        <v>MALDONADO DIAZ MIGUEL</v>
      </c>
      <c r="C680" s="69" t="str">
        <f>IF(G680=$C$4,IF('Informe Kelly'!H673='Control informe Kelly'!$A$2,TEXT(((LEFT('Informe Kelly'!E673,2)*1)+1),"dd")&amp;"."&amp;MID('Informe Kelly'!E673,4,2)&amp;"."&amp;RIGHT('Informe Kelly'!E673,4),'Informe Kelly'!E673),'Informe Kelly'!E673)</f>
        <v>15.04.2011</v>
      </c>
      <c r="D680" s="69" t="str">
        <f>IF('Informe Kelly'!E673="","",'Informe Kelly'!E673)</f>
        <v>15.04.2011</v>
      </c>
      <c r="E680" s="72">
        <f t="shared" si="21"/>
        <v>343</v>
      </c>
      <c r="F680" s="72" t="str">
        <f>IFERROR(HLOOKUP(C680,Ingreso!$Q$8:$AD$9,2,FALSE),"v")</f>
        <v>Viernes</v>
      </c>
      <c r="G680" s="65" t="str">
        <f>IFERROR(VLOOKUP(A680,Ingreso!K:P,6,FALSE),"no esta ingresado")</f>
        <v>Turno A</v>
      </c>
      <c r="H680" s="65">
        <f>IFERROR(IF('Informe Kelly'!H673=$A$2,'Informe Kelly'!F673,""),0)</f>
        <v>0.29298611111111111</v>
      </c>
      <c r="I680" s="65" t="str">
        <f>IFERROR(IF('Informe Kelly'!H673=$A$3,'Informe Kelly'!F673,""),0)</f>
        <v/>
      </c>
      <c r="J680" s="65" t="str">
        <f>IF(IFERROR(IF(E680=E679,0,(HLOOKUP(D680,Ingreso!$AN$10:$AT$260,VLOOKUP(A680,Ingreso!$AL$11:$AM$260,2,FALSE)))/24),0)=0,"",IFERROR(IF(E680=E679,0,(HLOOKUP(D680,Ingreso!$AN$10:$AT$260,VLOOKUP(A680,Ingreso!$AL$11:$AM$260,2,FALSE)))/24),0))</f>
        <v/>
      </c>
      <c r="K680" s="65" t="str">
        <f>IF(IFERROR(IF(E680=E679,0,(HLOOKUP(C680,Ingreso!$AW$10:$BC$260,VLOOKUP(A680,Ingreso!$AL$11:$AM$260,2,FALSE)))/24),0)=0,"",IFERROR(IF(E680=E679,0,(HLOOKUP(C680,Ingreso!$AW$10:$BC$260,VLOOKUP(A680,Ingreso!$AL$11:$AM$260,2,FALSE)))/24),0))</f>
        <v/>
      </c>
      <c r="L680" s="63">
        <f t="shared" si="20"/>
        <v>0</v>
      </c>
      <c r="M680" s="63" t="str">
        <f>IF(IFERROR(IF(C680=C678,0,IF(E680=E679,0,IF(C680=$R$2,HLOOKUP($R$2,Ingreso!$AW$10:$BC$260,VLOOKUP(A680,Ingreso!AL:AM,2,FALSE),FALSE)/24,""))),"")=0,"",IFERROR(IF(C680=C678,0,IF(E680=E679,0,IF(C680=$R$2,HLOOKUP($R$2,Ingreso!$AW$10:$BC$260,VLOOKUP(A680,Ingreso!AL:AM,2,FALSE),FALSE)/24,""))),""))</f>
        <v/>
      </c>
      <c r="N680" s="95" t="str">
        <f>IF(IFERROR(IF(C680=C678,0,IF(E680=E679,0,IF(C680=$R$3,HLOOKUP($R$3,Ingreso!$AW$10:$BC$260,VLOOKUP(A680,Ingreso!AL:AM,2,FALSE),FALSE)/24,""))),"")=0,"",IFERROR(IF(C680=C678,0,IF(E680=E679,0,IF(C680=$R$3,HLOOKUP($R$3,Ingreso!$AW$10:$BC$260,VLOOKUP(A680,Ingreso!AL:AM,2,FALSE),FALSE)/24,""))),""))</f>
        <v/>
      </c>
      <c r="O680" s="95" t="str">
        <f>IF(IFERROR(IF(C680=C678,0,IF(E680=E679,0,IF(C680=$R$4,HLOOKUP($R$4,Ingreso!$AW$10:$BC$260,VLOOKUP(A680,Ingreso!AL:AM,2,FALSE),FALSE)/24,""))),"")=0,"",IFERROR(IF(C680=C678,0,IF(E680=E679,0,IF(C680=$R$4,HLOOKUP($R$4,Ingreso!$AW$10:$BC$260,VLOOKUP(A680,Ingreso!AL:AM,2,FALSE),FALSE)/24,""))),""))</f>
        <v/>
      </c>
      <c r="P680" s="90"/>
      <c r="V680"/>
      <c r="W680"/>
      <c r="X680"/>
      <c r="Y680"/>
      <c r="Z680"/>
      <c r="AA680"/>
      <c r="AB680"/>
      <c r="AC680"/>
      <c r="AD680"/>
    </row>
    <row r="681" spans="1:33">
      <c r="A681" s="65" t="str">
        <f>IFERROR(VLOOKUP('Informe Kelly'!A674,Base!A:B,2,FALSE),"")</f>
        <v>13.486.907-0</v>
      </c>
      <c r="B681" s="65" t="str">
        <f>IFERROR(VLOOKUP('Informe Kelly'!A674,Base!A:G,7,FALSE),"")</f>
        <v>MALDONADO DIAZ MIGUEL</v>
      </c>
      <c r="C681" s="69" t="str">
        <f>IF(G681=$C$4,IF('Informe Kelly'!H674='Control informe Kelly'!$A$2,TEXT(((LEFT('Informe Kelly'!E674,2)*1)+1),"dd")&amp;"."&amp;MID('Informe Kelly'!E674,4,2)&amp;"."&amp;RIGHT('Informe Kelly'!E674,4),'Informe Kelly'!E674),'Informe Kelly'!E674)</f>
        <v>16.04.2011</v>
      </c>
      <c r="D681" s="69" t="str">
        <f>IF('Informe Kelly'!E674="","",'Informe Kelly'!E674)</f>
        <v>16.04.2011</v>
      </c>
      <c r="E681" s="72">
        <f t="shared" si="21"/>
        <v>344</v>
      </c>
      <c r="F681" s="72" t="str">
        <f>IFERROR(HLOOKUP(C681,Ingreso!$Q$8:$AD$9,2,FALSE),"v")</f>
        <v>Sábado</v>
      </c>
      <c r="G681" s="65" t="str">
        <f>IFERROR(VLOOKUP(A681,Ingreso!K:P,6,FALSE),"no esta ingresado")</f>
        <v>Turno A</v>
      </c>
      <c r="H681" s="65" t="str">
        <f>IFERROR(IF('Informe Kelly'!H674=$A$2,'Informe Kelly'!F674,""),0)</f>
        <v/>
      </c>
      <c r="I681" s="65">
        <f>IFERROR(IF('Informe Kelly'!H674=$A$3,'Informe Kelly'!F674,""),0)</f>
        <v>0.62688657407407411</v>
      </c>
      <c r="J681" s="65" t="str">
        <f>IF(IFERROR(IF(E681=E680,0,(HLOOKUP(D681,Ingreso!$AN$10:$AT$260,VLOOKUP(A681,Ingreso!$AL$11:$AM$260,2,FALSE)))/24),0)=0,"",IFERROR(IF(E681=E680,0,(HLOOKUP(D681,Ingreso!$AN$10:$AT$260,VLOOKUP(A681,Ingreso!$AL$11:$AM$260,2,FALSE)))/24),0))</f>
        <v/>
      </c>
      <c r="K681" s="65" t="str">
        <f>IF(IFERROR(IF(E681=E680,0,(HLOOKUP(C681,Ingreso!$AW$10:$BC$260,VLOOKUP(A681,Ingreso!$AL$11:$AM$260,2,FALSE)))/24),0)=0,"",IFERROR(IF(E681=E680,0,(HLOOKUP(C681,Ingreso!$AW$10:$BC$260,VLOOKUP(A681,Ingreso!$AL$11:$AM$260,2,FALSE)))/24),0))</f>
        <v/>
      </c>
      <c r="L681" s="63">
        <f t="shared" si="20"/>
        <v>0.3125</v>
      </c>
      <c r="M681" s="63" t="str">
        <f>IF(IFERROR(IF(C681=C679,0,IF(E681=E680,0,IF(C681=$R$2,HLOOKUP($R$2,Ingreso!$AW$10:$BC$260,VLOOKUP(A681,Ingreso!AL:AM,2,FALSE),FALSE)/24,""))),"")=0,"",IFERROR(IF(C681=C679,0,IF(E681=E680,0,IF(C681=$R$2,HLOOKUP($R$2,Ingreso!$AW$10:$BC$260,VLOOKUP(A681,Ingreso!AL:AM,2,FALSE),FALSE)/24,""))),""))</f>
        <v/>
      </c>
      <c r="N681" s="95" t="str">
        <f>IF(IFERROR(IF(C681=C679,0,IF(E681=E680,0,IF(C681=$R$3,HLOOKUP($R$3,Ingreso!$AW$10:$BC$260,VLOOKUP(A681,Ingreso!AL:AM,2,FALSE),FALSE)/24,""))),"")=0,"",IFERROR(IF(C681=C679,0,IF(E681=E680,0,IF(C681=$R$3,HLOOKUP($R$3,Ingreso!$AW$10:$BC$260,VLOOKUP(A681,Ingreso!AL:AM,2,FALSE),FALSE)/24,""))),""))</f>
        <v/>
      </c>
      <c r="O681" s="95" t="str">
        <f>IF(IFERROR(IF(C681=C679,0,IF(E681=E680,0,IF(C681=$R$4,HLOOKUP($R$4,Ingreso!$AW$10:$BC$260,VLOOKUP(A681,Ingreso!AL:AM,2,FALSE),FALSE)/24,""))),"")=0,"",IFERROR(IF(C681=C679,0,IF(E681=E680,0,IF(C681=$R$4,HLOOKUP($R$4,Ingreso!$AW$10:$BC$260,VLOOKUP(A681,Ingreso!AL:AM,2,FALSE),FALSE)/24,""))),""))</f>
        <v/>
      </c>
      <c r="P681" s="90"/>
      <c r="V681"/>
      <c r="W681"/>
      <c r="X681"/>
      <c r="Y681"/>
      <c r="Z681"/>
      <c r="AA681"/>
      <c r="AB681"/>
      <c r="AC681"/>
      <c r="AD681"/>
    </row>
    <row r="682" spans="1:33">
      <c r="A682" s="65" t="str">
        <f>IFERROR(VLOOKUP('Informe Kelly'!A675,Base!A:B,2,FALSE),"")</f>
        <v>13.486.907-0</v>
      </c>
      <c r="B682" s="65" t="str">
        <f>IFERROR(VLOOKUP('Informe Kelly'!A675,Base!A:G,7,FALSE),"")</f>
        <v>MALDONADO DIAZ MIGUEL</v>
      </c>
      <c r="C682" s="69" t="str">
        <f>IF(G682=$C$4,IF('Informe Kelly'!H675='Control informe Kelly'!$A$2,TEXT(((LEFT('Informe Kelly'!E675,2)*1)+1),"dd")&amp;"."&amp;MID('Informe Kelly'!E675,4,2)&amp;"."&amp;RIGHT('Informe Kelly'!E675,4),'Informe Kelly'!E675),'Informe Kelly'!E675)</f>
        <v>16.04.2011</v>
      </c>
      <c r="D682" s="69" t="str">
        <f>IF('Informe Kelly'!E675="","",'Informe Kelly'!E675)</f>
        <v>16.04.2011</v>
      </c>
      <c r="E682" s="72">
        <f t="shared" si="21"/>
        <v>344</v>
      </c>
      <c r="F682" s="72" t="str">
        <f>IFERROR(HLOOKUP(C682,Ingreso!$Q$8:$AD$9,2,FALSE),"v")</f>
        <v>Sábado</v>
      </c>
      <c r="G682" s="65" t="str">
        <f>IFERROR(VLOOKUP(A682,Ingreso!K:P,6,FALSE),"no esta ingresado")</f>
        <v>Turno A</v>
      </c>
      <c r="H682" s="65">
        <f>IFERROR(IF('Informe Kelly'!H675=$A$2,'Informe Kelly'!F675,""),0)</f>
        <v>0.29138888888888886</v>
      </c>
      <c r="I682" s="65" t="str">
        <f>IFERROR(IF('Informe Kelly'!H675=$A$3,'Informe Kelly'!F675,""),0)</f>
        <v/>
      </c>
      <c r="J682" s="65" t="str">
        <f>IF(IFERROR(IF(E682=E681,0,(HLOOKUP(D682,Ingreso!$AN$10:$AT$260,VLOOKUP(A682,Ingreso!$AL$11:$AM$260,2,FALSE)))/24),0)=0,"",IFERROR(IF(E682=E681,0,(HLOOKUP(D682,Ingreso!$AN$10:$AT$260,VLOOKUP(A682,Ingreso!$AL$11:$AM$260,2,FALSE)))/24),0))</f>
        <v/>
      </c>
      <c r="K682" s="65" t="str">
        <f>IF(IFERROR(IF(E682=E681,0,(HLOOKUP(C682,Ingreso!$AW$10:$BC$260,VLOOKUP(A682,Ingreso!$AL$11:$AM$260,2,FALSE)))/24),0)=0,"",IFERROR(IF(E682=E681,0,(HLOOKUP(C682,Ingreso!$AW$10:$BC$260,VLOOKUP(A682,Ingreso!$AL$11:$AM$260,2,FALSE)))/24),0))</f>
        <v/>
      </c>
      <c r="L682" s="63">
        <f t="shared" si="20"/>
        <v>0</v>
      </c>
      <c r="M682" s="63" t="str">
        <f>IF(IFERROR(IF(C682=C680,0,IF(E682=E681,0,IF(C682=$R$2,HLOOKUP($R$2,Ingreso!$AW$10:$BC$260,VLOOKUP(A682,Ingreso!AL:AM,2,FALSE),FALSE)/24,""))),"")=0,"",IFERROR(IF(C682=C680,0,IF(E682=E681,0,IF(C682=$R$2,HLOOKUP($R$2,Ingreso!$AW$10:$BC$260,VLOOKUP(A682,Ingreso!AL:AM,2,FALSE),FALSE)/24,""))),""))</f>
        <v/>
      </c>
      <c r="N682" s="95" t="str">
        <f>IF(IFERROR(IF(C682=C680,0,IF(E682=E681,0,IF(C682=$R$3,HLOOKUP($R$3,Ingreso!$AW$10:$BC$260,VLOOKUP(A682,Ingreso!AL:AM,2,FALSE),FALSE)/24,""))),"")=0,"",IFERROR(IF(C682=C680,0,IF(E682=E681,0,IF(C682=$R$3,HLOOKUP($R$3,Ingreso!$AW$10:$BC$260,VLOOKUP(A682,Ingreso!AL:AM,2,FALSE),FALSE)/24,""))),""))</f>
        <v/>
      </c>
      <c r="O682" s="95" t="str">
        <f>IF(IFERROR(IF(C682=C680,0,IF(E682=E681,0,IF(C682=$R$4,HLOOKUP($R$4,Ingreso!$AW$10:$BC$260,VLOOKUP(A682,Ingreso!AL:AM,2,FALSE),FALSE)/24,""))),"")=0,"",IFERROR(IF(C682=C680,0,IF(E682=E681,0,IF(C682=$R$4,HLOOKUP($R$4,Ingreso!$AW$10:$BC$260,VLOOKUP(A682,Ingreso!AL:AM,2,FALSE),FALSE)/24,""))),""))</f>
        <v/>
      </c>
      <c r="P682" s="90"/>
      <c r="V682"/>
      <c r="W682"/>
      <c r="X682"/>
      <c r="Y682"/>
      <c r="Z682"/>
      <c r="AA682"/>
      <c r="AB682"/>
      <c r="AC682"/>
      <c r="AD682"/>
    </row>
    <row r="683" spans="1:33" s="58" customFormat="1">
      <c r="A683" s="65" t="str">
        <f>IFERROR(VLOOKUP('Informe Kelly'!A676,Base!A:B,2,FALSE),"")</f>
        <v>13.557.248-9</v>
      </c>
      <c r="B683" s="65" t="str">
        <f>IFERROR(VLOOKUP('Informe Kelly'!A676,Base!A:G,7,FALSE),"")</f>
        <v>BERRIOS LOPEZ OSCAR MAURICIO</v>
      </c>
      <c r="C683" s="69" t="str">
        <f>IF(G683=$C$4,IF('Informe Kelly'!H676='Control informe Kelly'!$A$2,TEXT(((LEFT('Informe Kelly'!E676,2)*1)+1),"dd")&amp;"."&amp;MID('Informe Kelly'!E676,4,2)&amp;"."&amp;RIGHT('Informe Kelly'!E676,4),'Informe Kelly'!E676),'Informe Kelly'!E676)</f>
        <v>11.04.2011</v>
      </c>
      <c r="D683" s="69" t="str">
        <f>IF('Informe Kelly'!E676="","",'Informe Kelly'!E676)</f>
        <v>11.04.2011</v>
      </c>
      <c r="E683" s="72">
        <f t="shared" si="21"/>
        <v>345</v>
      </c>
      <c r="F683" s="72" t="str">
        <f>IFERROR(HLOOKUP(C683,Ingreso!$Q$8:$AD$9,2,FALSE),"v")</f>
        <v>Lunes</v>
      </c>
      <c r="G683" s="65" t="str">
        <f>IFERROR(VLOOKUP(A683,Ingreso!K:P,6,FALSE),"no esta ingresado")</f>
        <v>Admin</v>
      </c>
      <c r="H683" s="65" t="str">
        <f>IFERROR(IF('Informe Kelly'!H676=$A$2,'Informe Kelly'!F676,""),0)</f>
        <v/>
      </c>
      <c r="I683" s="65">
        <f>IFERROR(IF('Informe Kelly'!H676=$A$3,'Informe Kelly'!F676,""),0)</f>
        <v>0.35031250000000003</v>
      </c>
      <c r="J683" s="65" t="str">
        <f>IF(IFERROR(IF(E683=E682,0,(HLOOKUP(D683,Ingreso!$AN$10:$AT$260,VLOOKUP(A683,Ingreso!$AL$11:$AM$260,2,FALSE)))/24),0)=0,"",IFERROR(IF(E683=E682,0,(HLOOKUP(D683,Ingreso!$AN$10:$AT$260,VLOOKUP(A683,Ingreso!$AL$11:$AM$260,2,FALSE)))/24),0))</f>
        <v/>
      </c>
      <c r="K683" s="65">
        <f>IF(IFERROR(IF(E683=E682,0,(HLOOKUP(C683,Ingreso!$AW$10:$BC$260,VLOOKUP(A683,Ingreso!$AL$11:$AM$260,2,FALSE)))/24),0)=0,"",IFERROR(IF(E683=E682,0,(HLOOKUP(C683,Ingreso!$AW$10:$BC$260,VLOOKUP(A683,Ingreso!$AL$11:$AM$260,2,FALSE)))/24),0))</f>
        <v>0.3125</v>
      </c>
      <c r="L683" s="63">
        <f t="shared" si="20"/>
        <v>0.41666666666666669</v>
      </c>
      <c r="M683" s="63">
        <f>IF(IFERROR(IF(C683=C681,0,IF(E683=E682,0,IF(C683=$R$2,HLOOKUP($R$2,Ingreso!$AW$10:$BC$260,VLOOKUP(A683,Ingreso!AL:AM,2,FALSE),FALSE)/24,""))),"")=0,"",IFERROR(IF(C683=C681,0,IF(E683=E682,0,IF(C683=$R$2,HLOOKUP($R$2,Ingreso!$AW$10:$BC$260,VLOOKUP(A683,Ingreso!AL:AM,2,FALSE),FALSE)/24,""))),""))</f>
        <v>0.3125</v>
      </c>
      <c r="N683" s="95" t="str">
        <f>IF(IFERROR(IF(C683=C681,0,IF(E683=E682,0,IF(C683=$R$3,HLOOKUP($R$3,Ingreso!$AW$10:$BC$260,VLOOKUP(A683,Ingreso!AL:AM,2,FALSE),FALSE)/24,""))),"")=0,"",IFERROR(IF(C683=C681,0,IF(E683=E682,0,IF(C683=$R$3,HLOOKUP($R$3,Ingreso!$AW$10:$BC$260,VLOOKUP(A683,Ingreso!AL:AM,2,FALSE),FALSE)/24,""))),""))</f>
        <v/>
      </c>
      <c r="O683" s="95" t="str">
        <f>IF(IFERROR(IF(C683=C681,0,IF(E683=E682,0,IF(C683=$R$4,HLOOKUP($R$4,Ingreso!$AW$10:$BC$260,VLOOKUP(A683,Ingreso!AL:AM,2,FALSE),FALSE)/24,""))),"")=0,"",IFERROR(IF(C683=C681,0,IF(E683=E682,0,IF(C683=$R$4,HLOOKUP($R$4,Ingreso!$AW$10:$BC$260,VLOOKUP(A683,Ingreso!AL:AM,2,FALSE),FALSE)/24,""))),""))</f>
        <v/>
      </c>
      <c r="P683" s="90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s="58" customFormat="1">
      <c r="A684" s="65" t="str">
        <f>IFERROR(VLOOKUP('Informe Kelly'!A677,Base!A:B,2,FALSE),"")</f>
        <v>13.557.248-9</v>
      </c>
      <c r="B684" s="65" t="str">
        <f>IFERROR(VLOOKUP('Informe Kelly'!A677,Base!A:G,7,FALSE),"")</f>
        <v>BERRIOS LOPEZ OSCAR MAURICIO</v>
      </c>
      <c r="C684" s="69" t="str">
        <f>IF(G684=$C$4,IF('Informe Kelly'!H677='Control informe Kelly'!$A$2,TEXT(((LEFT('Informe Kelly'!E677,2)*1)+1),"dd")&amp;"."&amp;MID('Informe Kelly'!E677,4,2)&amp;"."&amp;RIGHT('Informe Kelly'!E677,4),'Informe Kelly'!E677),'Informe Kelly'!E677)</f>
        <v>11.04.2011</v>
      </c>
      <c r="D684" s="69" t="str">
        <f>IF('Informe Kelly'!E677="","",'Informe Kelly'!E677)</f>
        <v>11.04.2011</v>
      </c>
      <c r="E684" s="72">
        <f t="shared" si="21"/>
        <v>345</v>
      </c>
      <c r="F684" s="72" t="str">
        <f>IFERROR(HLOOKUP(C684,Ingreso!$Q$8:$AD$9,2,FALSE),"v")</f>
        <v>Lunes</v>
      </c>
      <c r="G684" s="65" t="str">
        <f>IFERROR(VLOOKUP(A684,Ingreso!K:P,6,FALSE),"no esta ingresado")</f>
        <v>Admin</v>
      </c>
      <c r="H684" s="65">
        <f>IFERROR(IF('Informe Kelly'!H677=$A$2,'Informe Kelly'!F677,""),0)</f>
        <v>4.0393518518518521E-3</v>
      </c>
      <c r="I684" s="65" t="str">
        <f>IFERROR(IF('Informe Kelly'!H677=$A$3,'Informe Kelly'!F677,""),0)</f>
        <v/>
      </c>
      <c r="J684" s="65" t="str">
        <f>IF(IFERROR(IF(E684=E683,0,(HLOOKUP(D684,Ingreso!$AN$10:$AT$260,VLOOKUP(A684,Ingreso!$AL$11:$AM$260,2,FALSE)))/24),0)=0,"",IFERROR(IF(E684=E683,0,(HLOOKUP(D684,Ingreso!$AN$10:$AT$260,VLOOKUP(A684,Ingreso!$AL$11:$AM$260,2,FALSE)))/24),0))</f>
        <v/>
      </c>
      <c r="K684" s="65" t="str">
        <f>IF(IFERROR(IF(E684=E683,0,(HLOOKUP(C684,Ingreso!$AW$10:$BC$260,VLOOKUP(A684,Ingreso!$AL$11:$AM$260,2,FALSE)))/24),0)=0,"",IFERROR(IF(E684=E683,0,(HLOOKUP(C684,Ingreso!$AW$10:$BC$260,VLOOKUP(A684,Ingreso!$AL$11:$AM$260,2,FALSE)))/24),0))</f>
        <v/>
      </c>
      <c r="L684" s="63">
        <f t="shared" si="20"/>
        <v>0</v>
      </c>
      <c r="M684" s="63" t="str">
        <f>IF(IFERROR(IF(C684=C682,0,IF(E684=E683,0,IF(C684=$R$2,HLOOKUP($R$2,Ingreso!$AW$10:$BC$260,VLOOKUP(A684,Ingreso!AL:AM,2,FALSE),FALSE)/24,""))),"")=0,"",IFERROR(IF(C684=C682,0,IF(E684=E683,0,IF(C684=$R$2,HLOOKUP($R$2,Ingreso!$AW$10:$BC$260,VLOOKUP(A684,Ingreso!AL:AM,2,FALSE),FALSE)/24,""))),""))</f>
        <v/>
      </c>
      <c r="N684" s="95" t="str">
        <f>IF(IFERROR(IF(C684=C682,0,IF(E684=E683,0,IF(C684=$R$3,HLOOKUP($R$3,Ingreso!$AW$10:$BC$260,VLOOKUP(A684,Ingreso!AL:AM,2,FALSE),FALSE)/24,""))),"")=0,"",IFERROR(IF(C684=C682,0,IF(E684=E683,0,IF(C684=$R$3,HLOOKUP($R$3,Ingreso!$AW$10:$BC$260,VLOOKUP(A684,Ingreso!AL:AM,2,FALSE),FALSE)/24,""))),""))</f>
        <v/>
      </c>
      <c r="O684" s="95" t="str">
        <f>IF(IFERROR(IF(C684=C682,0,IF(E684=E683,0,IF(C684=$R$4,HLOOKUP($R$4,Ingreso!$AW$10:$BC$260,VLOOKUP(A684,Ingreso!AL:AM,2,FALSE),FALSE)/24,""))),"")=0,"",IFERROR(IF(C684=C682,0,IF(E684=E683,0,IF(C684=$R$4,HLOOKUP($R$4,Ingreso!$AW$10:$BC$260,VLOOKUP(A684,Ingreso!AL:AM,2,FALSE),FALSE)/24,""))),""))</f>
        <v/>
      </c>
      <c r="P684" s="90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s="58" customFormat="1">
      <c r="A685" s="65" t="str">
        <f>IFERROR(VLOOKUP('Informe Kelly'!A678,Base!A:B,2,FALSE),"")</f>
        <v>13.557.248-9</v>
      </c>
      <c r="B685" s="65" t="str">
        <f>IFERROR(VLOOKUP('Informe Kelly'!A678,Base!A:G,7,FALSE),"")</f>
        <v>BERRIOS LOPEZ OSCAR MAURICIO</v>
      </c>
      <c r="C685" s="69" t="str">
        <f>IF(G685=$C$4,IF('Informe Kelly'!H678='Control informe Kelly'!$A$2,TEXT(((LEFT('Informe Kelly'!E678,2)*1)+1),"dd")&amp;"."&amp;MID('Informe Kelly'!E678,4,2)&amp;"."&amp;RIGHT('Informe Kelly'!E678,4),'Informe Kelly'!E678),'Informe Kelly'!E678)</f>
        <v>12.04.2011</v>
      </c>
      <c r="D685" s="69" t="str">
        <f>IF('Informe Kelly'!E678="","",'Informe Kelly'!E678)</f>
        <v>12.04.2011</v>
      </c>
      <c r="E685" s="72">
        <f t="shared" si="21"/>
        <v>346</v>
      </c>
      <c r="F685" s="72" t="str">
        <f>IFERROR(HLOOKUP(C685,Ingreso!$Q$8:$AD$9,2,FALSE),"v")</f>
        <v>Martes</v>
      </c>
      <c r="G685" s="65" t="str">
        <f>IFERROR(VLOOKUP(A685,Ingreso!K:P,6,FALSE),"no esta ingresado")</f>
        <v>Admin</v>
      </c>
      <c r="H685" s="65" t="str">
        <f>IFERROR(IF('Informe Kelly'!H678=$A$2,'Informe Kelly'!F678,""),0)</f>
        <v/>
      </c>
      <c r="I685" s="65">
        <f>IFERROR(IF('Informe Kelly'!H678=$A$3,'Informe Kelly'!F678,""),0)</f>
        <v>0.81896990740740738</v>
      </c>
      <c r="J685" s="65" t="str">
        <f>IF(IFERROR(IF(E685=E684,0,(HLOOKUP(D685,Ingreso!$AN$10:$AT$260,VLOOKUP(A685,Ingreso!$AL$11:$AM$260,2,FALSE)))/24),0)=0,"",IFERROR(IF(E685=E684,0,(HLOOKUP(D685,Ingreso!$AN$10:$AT$260,VLOOKUP(A685,Ingreso!$AL$11:$AM$260,2,FALSE)))/24),0))</f>
        <v/>
      </c>
      <c r="K685" s="65" t="str">
        <f>IF(IFERROR(IF(E685=E684,0,(HLOOKUP(C685,Ingreso!$AW$10:$BC$260,VLOOKUP(A685,Ingreso!$AL$11:$AM$260,2,FALSE)))/24),0)=0,"",IFERROR(IF(E685=E684,0,(HLOOKUP(C685,Ingreso!$AW$10:$BC$260,VLOOKUP(A685,Ingreso!$AL$11:$AM$260,2,FALSE)))/24),0))</f>
        <v/>
      </c>
      <c r="L685" s="63">
        <f t="shared" si="20"/>
        <v>0.41666666666666669</v>
      </c>
      <c r="M685" s="63" t="str">
        <f>IF(IFERROR(IF(C685=C683,0,IF(E685=E684,0,IF(C685=$R$2,HLOOKUP($R$2,Ingreso!$AW$10:$BC$260,VLOOKUP(A685,Ingreso!AL:AM,2,FALSE),FALSE)/24,""))),"")=0,"",IFERROR(IF(C685=C683,0,IF(E685=E684,0,IF(C685=$R$2,HLOOKUP($R$2,Ingreso!$AW$10:$BC$260,VLOOKUP(A685,Ingreso!AL:AM,2,FALSE),FALSE)/24,""))),""))</f>
        <v/>
      </c>
      <c r="N685" s="95" t="str">
        <f>IF(IFERROR(IF(C685=C683,0,IF(E685=E684,0,IF(C685=$R$3,HLOOKUP($R$3,Ingreso!$AW$10:$BC$260,VLOOKUP(A685,Ingreso!AL:AM,2,FALSE),FALSE)/24,""))),"")=0,"",IFERROR(IF(C685=C683,0,IF(E685=E684,0,IF(C685=$R$3,HLOOKUP($R$3,Ingreso!$AW$10:$BC$260,VLOOKUP(A685,Ingreso!AL:AM,2,FALSE),FALSE)/24,""))),""))</f>
        <v/>
      </c>
      <c r="O685" s="95" t="str">
        <f>IF(IFERROR(IF(C685=C683,0,IF(E685=E684,0,IF(C685=$R$4,HLOOKUP($R$4,Ingreso!$AW$10:$BC$260,VLOOKUP(A685,Ingreso!AL:AM,2,FALSE),FALSE)/24,""))),"")=0,"",IFERROR(IF(C685=C683,0,IF(E685=E684,0,IF(C685=$R$4,HLOOKUP($R$4,Ingreso!$AW$10:$BC$260,VLOOKUP(A685,Ingreso!AL:AM,2,FALSE),FALSE)/24,""))),""))</f>
        <v/>
      </c>
      <c r="P685" s="90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s="58" customFormat="1">
      <c r="A686" s="65" t="str">
        <f>IFERROR(VLOOKUP('Informe Kelly'!A679,Base!A:B,2,FALSE),"")</f>
        <v>13.557.248-9</v>
      </c>
      <c r="B686" s="65" t="str">
        <f>IFERROR(VLOOKUP('Informe Kelly'!A679,Base!A:G,7,FALSE),"")</f>
        <v>BERRIOS LOPEZ OSCAR MAURICIO</v>
      </c>
      <c r="C686" s="69" t="str">
        <f>IF(G686=$C$4,IF('Informe Kelly'!H679='Control informe Kelly'!$A$2,TEXT(((LEFT('Informe Kelly'!E679,2)*1)+1),"dd")&amp;"."&amp;MID('Informe Kelly'!E679,4,2)&amp;"."&amp;RIGHT('Informe Kelly'!E679,4),'Informe Kelly'!E679),'Informe Kelly'!E679)</f>
        <v>12.04.2011</v>
      </c>
      <c r="D686" s="69" t="str">
        <f>IF('Informe Kelly'!E679="","",'Informe Kelly'!E679)</f>
        <v>12.04.2011</v>
      </c>
      <c r="E686" s="72">
        <f t="shared" si="21"/>
        <v>346</v>
      </c>
      <c r="F686" s="72" t="str">
        <f>IFERROR(HLOOKUP(C686,Ingreso!$Q$8:$AD$9,2,FALSE),"v")</f>
        <v>Martes</v>
      </c>
      <c r="G686" s="65" t="str">
        <f>IFERROR(VLOOKUP(A686,Ingreso!K:P,6,FALSE),"no esta ingresado")</f>
        <v>Admin</v>
      </c>
      <c r="H686" s="65">
        <f>IFERROR(IF('Informe Kelly'!H679=$A$2,'Informe Kelly'!F679,""),0)</f>
        <v>0.31578703703703703</v>
      </c>
      <c r="I686" s="65" t="str">
        <f>IFERROR(IF('Informe Kelly'!H679=$A$3,'Informe Kelly'!F679,""),0)</f>
        <v/>
      </c>
      <c r="J686" s="65" t="str">
        <f>IF(IFERROR(IF(E686=E685,0,(HLOOKUP(D686,Ingreso!$AN$10:$AT$260,VLOOKUP(A686,Ingreso!$AL$11:$AM$260,2,FALSE)))/24),0)=0,"",IFERROR(IF(E686=E685,0,(HLOOKUP(D686,Ingreso!$AN$10:$AT$260,VLOOKUP(A686,Ingreso!$AL$11:$AM$260,2,FALSE)))/24),0))</f>
        <v/>
      </c>
      <c r="K686" s="65" t="str">
        <f>IF(IFERROR(IF(E686=E685,0,(HLOOKUP(C686,Ingreso!$AW$10:$BC$260,VLOOKUP(A686,Ingreso!$AL$11:$AM$260,2,FALSE)))/24),0)=0,"",IFERROR(IF(E686=E685,0,(HLOOKUP(C686,Ingreso!$AW$10:$BC$260,VLOOKUP(A686,Ingreso!$AL$11:$AM$260,2,FALSE)))/24),0))</f>
        <v/>
      </c>
      <c r="L686" s="63">
        <f t="shared" si="20"/>
        <v>0</v>
      </c>
      <c r="M686" s="63" t="str">
        <f>IF(IFERROR(IF(C686=C684,0,IF(E686=E685,0,IF(C686=$R$2,HLOOKUP($R$2,Ingreso!$AW$10:$BC$260,VLOOKUP(A686,Ingreso!AL:AM,2,FALSE),FALSE)/24,""))),"")=0,"",IFERROR(IF(C686=C684,0,IF(E686=E685,0,IF(C686=$R$2,HLOOKUP($R$2,Ingreso!$AW$10:$BC$260,VLOOKUP(A686,Ingreso!AL:AM,2,FALSE),FALSE)/24,""))),""))</f>
        <v/>
      </c>
      <c r="N686" s="95" t="str">
        <f>IF(IFERROR(IF(C686=C684,0,IF(E686=E685,0,IF(C686=$R$3,HLOOKUP($R$3,Ingreso!$AW$10:$BC$260,VLOOKUP(A686,Ingreso!AL:AM,2,FALSE),FALSE)/24,""))),"")=0,"",IFERROR(IF(C686=C684,0,IF(E686=E685,0,IF(C686=$R$3,HLOOKUP($R$3,Ingreso!$AW$10:$BC$260,VLOOKUP(A686,Ingreso!AL:AM,2,FALSE),FALSE)/24,""))),""))</f>
        <v/>
      </c>
      <c r="O686" s="95" t="str">
        <f>IF(IFERROR(IF(C686=C684,0,IF(E686=E685,0,IF(C686=$R$4,HLOOKUP($R$4,Ingreso!$AW$10:$BC$260,VLOOKUP(A686,Ingreso!AL:AM,2,FALSE),FALSE)/24,""))),"")=0,"",IFERROR(IF(C686=C684,0,IF(E686=E685,0,IF(C686=$R$4,HLOOKUP($R$4,Ingreso!$AW$10:$BC$260,VLOOKUP(A686,Ingreso!AL:AM,2,FALSE),FALSE)/24,""))),""))</f>
        <v/>
      </c>
      <c r="P686" s="90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s="58" customFormat="1">
      <c r="A687" s="65" t="str">
        <f>IFERROR(VLOOKUP('Informe Kelly'!A680,Base!A:B,2,FALSE),"")</f>
        <v>13.557.248-9</v>
      </c>
      <c r="B687" s="65" t="str">
        <f>IFERROR(VLOOKUP('Informe Kelly'!A680,Base!A:G,7,FALSE),"")</f>
        <v>BERRIOS LOPEZ OSCAR MAURICIO</v>
      </c>
      <c r="C687" s="69" t="str">
        <f>IF(G687=$C$4,IF('Informe Kelly'!H680='Control informe Kelly'!$A$2,TEXT(((LEFT('Informe Kelly'!E680,2)*1)+1),"dd")&amp;"."&amp;MID('Informe Kelly'!E680,4,2)&amp;"."&amp;RIGHT('Informe Kelly'!E680,4),'Informe Kelly'!E680),'Informe Kelly'!E680)</f>
        <v>13.04.2011</v>
      </c>
      <c r="D687" s="69" t="str">
        <f>IF('Informe Kelly'!E680="","",'Informe Kelly'!E680)</f>
        <v>13.04.2011</v>
      </c>
      <c r="E687" s="72">
        <f t="shared" si="21"/>
        <v>347</v>
      </c>
      <c r="F687" s="72" t="str">
        <f>IFERROR(HLOOKUP(C687,Ingreso!$Q$8:$AD$9,2,FALSE),"v")</f>
        <v>Miércoles</v>
      </c>
      <c r="G687" s="65" t="str">
        <f>IFERROR(VLOOKUP(A687,Ingreso!K:P,6,FALSE),"no esta ingresado")</f>
        <v>Admin</v>
      </c>
      <c r="H687" s="65" t="str">
        <f>IFERROR(IF('Informe Kelly'!H680=$A$2,'Informe Kelly'!F680,""),0)</f>
        <v/>
      </c>
      <c r="I687" s="65">
        <f>IFERROR(IF('Informe Kelly'!H680=$A$3,'Informe Kelly'!F680,""),0)</f>
        <v>0.85385416666666669</v>
      </c>
      <c r="J687" s="65" t="str">
        <f>IF(IFERROR(IF(E687=E686,0,(HLOOKUP(D687,Ingreso!$AN$10:$AT$260,VLOOKUP(A687,Ingreso!$AL$11:$AM$260,2,FALSE)))/24),0)=0,"",IFERROR(IF(E687=E686,0,(HLOOKUP(D687,Ingreso!$AN$10:$AT$260,VLOOKUP(A687,Ingreso!$AL$11:$AM$260,2,FALSE)))/24),0))</f>
        <v/>
      </c>
      <c r="K687" s="65" t="str">
        <f>IF(IFERROR(IF(E687=E686,0,(HLOOKUP(C687,Ingreso!$AW$10:$BC$260,VLOOKUP(A687,Ingreso!$AL$11:$AM$260,2,FALSE)))/24),0)=0,"",IFERROR(IF(E687=E686,0,(HLOOKUP(C687,Ingreso!$AW$10:$BC$260,VLOOKUP(A687,Ingreso!$AL$11:$AM$260,2,FALSE)))/24),0))</f>
        <v/>
      </c>
      <c r="L687" s="63">
        <f t="shared" si="20"/>
        <v>0.41666666666666669</v>
      </c>
      <c r="M687" s="63" t="str">
        <f>IF(IFERROR(IF(C687=C685,0,IF(E687=E686,0,IF(C687=$R$2,HLOOKUP($R$2,Ingreso!$AW$10:$BC$260,VLOOKUP(A687,Ingreso!AL:AM,2,FALSE),FALSE)/24,""))),"")=0,"",IFERROR(IF(C687=C685,0,IF(E687=E686,0,IF(C687=$R$2,HLOOKUP($R$2,Ingreso!$AW$10:$BC$260,VLOOKUP(A687,Ingreso!AL:AM,2,FALSE),FALSE)/24,""))),""))</f>
        <v/>
      </c>
      <c r="N687" s="95" t="str">
        <f>IF(IFERROR(IF(C687=C685,0,IF(E687=E686,0,IF(C687=$R$3,HLOOKUP($R$3,Ingreso!$AW$10:$BC$260,VLOOKUP(A687,Ingreso!AL:AM,2,FALSE),FALSE)/24,""))),"")=0,"",IFERROR(IF(C687=C685,0,IF(E687=E686,0,IF(C687=$R$3,HLOOKUP($R$3,Ingreso!$AW$10:$BC$260,VLOOKUP(A687,Ingreso!AL:AM,2,FALSE),FALSE)/24,""))),""))</f>
        <v/>
      </c>
      <c r="O687" s="95" t="str">
        <f>IF(IFERROR(IF(C687=C685,0,IF(E687=E686,0,IF(C687=$R$4,HLOOKUP($R$4,Ingreso!$AW$10:$BC$260,VLOOKUP(A687,Ingreso!AL:AM,2,FALSE),FALSE)/24,""))),"")=0,"",IFERROR(IF(C687=C685,0,IF(E687=E686,0,IF(C687=$R$4,HLOOKUP($R$4,Ingreso!$AW$10:$BC$260,VLOOKUP(A687,Ingreso!AL:AM,2,FALSE),FALSE)/24,""))),""))</f>
        <v/>
      </c>
      <c r="P687" s="90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s="58" customFormat="1">
      <c r="A688" s="65" t="str">
        <f>IFERROR(VLOOKUP('Informe Kelly'!A681,Base!A:B,2,FALSE),"")</f>
        <v>13.557.248-9</v>
      </c>
      <c r="B688" s="65" t="str">
        <f>IFERROR(VLOOKUP('Informe Kelly'!A681,Base!A:G,7,FALSE),"")</f>
        <v>BERRIOS LOPEZ OSCAR MAURICIO</v>
      </c>
      <c r="C688" s="69" t="str">
        <f>IF(G688=$C$4,IF('Informe Kelly'!H681='Control informe Kelly'!$A$2,TEXT(((LEFT('Informe Kelly'!E681,2)*1)+1),"dd")&amp;"."&amp;MID('Informe Kelly'!E681,4,2)&amp;"."&amp;RIGHT('Informe Kelly'!E681,4),'Informe Kelly'!E681),'Informe Kelly'!E681)</f>
        <v>13.04.2011</v>
      </c>
      <c r="D688" s="69" t="str">
        <f>IF('Informe Kelly'!E681="","",'Informe Kelly'!E681)</f>
        <v>13.04.2011</v>
      </c>
      <c r="E688" s="72">
        <f t="shared" si="21"/>
        <v>347</v>
      </c>
      <c r="F688" s="72" t="str">
        <f>IFERROR(HLOOKUP(C688,Ingreso!$Q$8:$AD$9,2,FALSE),"v")</f>
        <v>Miércoles</v>
      </c>
      <c r="G688" s="65" t="str">
        <f>IFERROR(VLOOKUP(A688,Ingreso!K:P,6,FALSE),"no esta ingresado")</f>
        <v>Admin</v>
      </c>
      <c r="H688" s="65">
        <f>IFERROR(IF('Informe Kelly'!H681=$A$2,'Informe Kelly'!F681,""),0)</f>
        <v>0.31509259259259259</v>
      </c>
      <c r="I688" s="65" t="str">
        <f>IFERROR(IF('Informe Kelly'!H681=$A$3,'Informe Kelly'!F681,""),0)</f>
        <v/>
      </c>
      <c r="J688" s="65" t="str">
        <f>IF(IFERROR(IF(E688=E687,0,(HLOOKUP(D688,Ingreso!$AN$10:$AT$260,VLOOKUP(A688,Ingreso!$AL$11:$AM$260,2,FALSE)))/24),0)=0,"",IFERROR(IF(E688=E687,0,(HLOOKUP(D688,Ingreso!$AN$10:$AT$260,VLOOKUP(A688,Ingreso!$AL$11:$AM$260,2,FALSE)))/24),0))</f>
        <v/>
      </c>
      <c r="K688" s="65" t="str">
        <f>IF(IFERROR(IF(E688=E687,0,(HLOOKUP(C688,Ingreso!$AW$10:$BC$260,VLOOKUP(A688,Ingreso!$AL$11:$AM$260,2,FALSE)))/24),0)=0,"",IFERROR(IF(E688=E687,0,(HLOOKUP(C688,Ingreso!$AW$10:$BC$260,VLOOKUP(A688,Ingreso!$AL$11:$AM$260,2,FALSE)))/24),0))</f>
        <v/>
      </c>
      <c r="L688" s="63">
        <f t="shared" si="20"/>
        <v>0</v>
      </c>
      <c r="M688" s="63" t="str">
        <f>IF(IFERROR(IF(C688=C686,0,IF(E688=E687,0,IF(C688=$R$2,HLOOKUP($R$2,Ingreso!$AW$10:$BC$260,VLOOKUP(A688,Ingreso!AL:AM,2,FALSE),FALSE)/24,""))),"")=0,"",IFERROR(IF(C688=C686,0,IF(E688=E687,0,IF(C688=$R$2,HLOOKUP($R$2,Ingreso!$AW$10:$BC$260,VLOOKUP(A688,Ingreso!AL:AM,2,FALSE),FALSE)/24,""))),""))</f>
        <v/>
      </c>
      <c r="N688" s="95" t="str">
        <f>IF(IFERROR(IF(C688=C686,0,IF(E688=E687,0,IF(C688=$R$3,HLOOKUP($R$3,Ingreso!$AW$10:$BC$260,VLOOKUP(A688,Ingreso!AL:AM,2,FALSE),FALSE)/24,""))),"")=0,"",IFERROR(IF(C688=C686,0,IF(E688=E687,0,IF(C688=$R$3,HLOOKUP($R$3,Ingreso!$AW$10:$BC$260,VLOOKUP(A688,Ingreso!AL:AM,2,FALSE),FALSE)/24,""))),""))</f>
        <v/>
      </c>
      <c r="O688" s="95" t="str">
        <f>IF(IFERROR(IF(C688=C686,0,IF(E688=E687,0,IF(C688=$R$4,HLOOKUP($R$4,Ingreso!$AW$10:$BC$260,VLOOKUP(A688,Ingreso!AL:AM,2,FALSE),FALSE)/24,""))),"")=0,"",IFERROR(IF(C688=C686,0,IF(E688=E687,0,IF(C688=$R$4,HLOOKUP($R$4,Ingreso!$AW$10:$BC$260,VLOOKUP(A688,Ingreso!AL:AM,2,FALSE),FALSE)/24,""))),""))</f>
        <v/>
      </c>
      <c r="P688" s="90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s="58" customFormat="1">
      <c r="A689" s="65" t="str">
        <f>IFERROR(VLOOKUP('Informe Kelly'!A682,Base!A:B,2,FALSE),"")</f>
        <v>13.557.248-9</v>
      </c>
      <c r="B689" s="65" t="str">
        <f>IFERROR(VLOOKUP('Informe Kelly'!A682,Base!A:G,7,FALSE),"")</f>
        <v>BERRIOS LOPEZ OSCAR MAURICIO</v>
      </c>
      <c r="C689" s="69" t="str">
        <f>IF(G689=$C$4,IF('Informe Kelly'!H682='Control informe Kelly'!$A$2,TEXT(((LEFT('Informe Kelly'!E682,2)*1)+1),"dd")&amp;"."&amp;MID('Informe Kelly'!E682,4,2)&amp;"."&amp;RIGHT('Informe Kelly'!E682,4),'Informe Kelly'!E682),'Informe Kelly'!E682)</f>
        <v>14.04.2011</v>
      </c>
      <c r="D689" s="69" t="str">
        <f>IF('Informe Kelly'!E682="","",'Informe Kelly'!E682)</f>
        <v>14.04.2011</v>
      </c>
      <c r="E689" s="72">
        <f t="shared" si="21"/>
        <v>348</v>
      </c>
      <c r="F689" s="72" t="str">
        <f>IFERROR(HLOOKUP(C689,Ingreso!$Q$8:$AD$9,2,FALSE),"v")</f>
        <v>Jueves</v>
      </c>
      <c r="G689" s="65" t="str">
        <f>IFERROR(VLOOKUP(A689,Ingreso!K:P,6,FALSE),"no esta ingresado")</f>
        <v>Admin</v>
      </c>
      <c r="H689" s="65">
        <f>IFERROR(IF('Informe Kelly'!H682=$A$2,'Informe Kelly'!F682,""),0)</f>
        <v>0.3162847222222222</v>
      </c>
      <c r="I689" s="65" t="str">
        <f>IFERROR(IF('Informe Kelly'!H682=$A$3,'Informe Kelly'!F682,""),0)</f>
        <v/>
      </c>
      <c r="J689" s="65" t="str">
        <f>IF(IFERROR(IF(E689=E688,0,(HLOOKUP(D689,Ingreso!$AN$10:$AT$260,VLOOKUP(A689,Ingreso!$AL$11:$AM$260,2,FALSE)))/24),0)=0,"",IFERROR(IF(E689=E688,0,(HLOOKUP(D689,Ingreso!$AN$10:$AT$260,VLOOKUP(A689,Ingreso!$AL$11:$AM$260,2,FALSE)))/24),0))</f>
        <v/>
      </c>
      <c r="K689" s="65" t="str">
        <f>IF(IFERROR(IF(E689=E688,0,(HLOOKUP(C689,Ingreso!$AW$10:$BC$260,VLOOKUP(A689,Ingreso!$AL$11:$AM$260,2,FALSE)))/24),0)=0,"",IFERROR(IF(E689=E688,0,(HLOOKUP(C689,Ingreso!$AW$10:$BC$260,VLOOKUP(A689,Ingreso!$AL$11:$AM$260,2,FALSE)))/24),0))</f>
        <v/>
      </c>
      <c r="L689" s="63">
        <f t="shared" si="20"/>
        <v>0.41666666666666669</v>
      </c>
      <c r="M689" s="63" t="str">
        <f>IF(IFERROR(IF(C689=C687,0,IF(E689=E688,0,IF(C689=$R$2,HLOOKUP($R$2,Ingreso!$AW$10:$BC$260,VLOOKUP(A689,Ingreso!AL:AM,2,FALSE),FALSE)/24,""))),"")=0,"",IFERROR(IF(C689=C687,0,IF(E689=E688,0,IF(C689=$R$2,HLOOKUP($R$2,Ingreso!$AW$10:$BC$260,VLOOKUP(A689,Ingreso!AL:AM,2,FALSE),FALSE)/24,""))),""))</f>
        <v/>
      </c>
      <c r="N689" s="95" t="str">
        <f>IF(IFERROR(IF(C689=C687,0,IF(E689=E688,0,IF(C689=$R$3,HLOOKUP($R$3,Ingreso!$AW$10:$BC$260,VLOOKUP(A689,Ingreso!AL:AM,2,FALSE),FALSE)/24,""))),"")=0,"",IFERROR(IF(C689=C687,0,IF(E689=E688,0,IF(C689=$R$3,HLOOKUP($R$3,Ingreso!$AW$10:$BC$260,VLOOKUP(A689,Ingreso!AL:AM,2,FALSE),FALSE)/24,""))),""))</f>
        <v/>
      </c>
      <c r="O689" s="95" t="str">
        <f>IF(IFERROR(IF(C689=C687,0,IF(E689=E688,0,IF(C689=$R$4,HLOOKUP($R$4,Ingreso!$AW$10:$BC$260,VLOOKUP(A689,Ingreso!AL:AM,2,FALSE),FALSE)/24,""))),"")=0,"",IFERROR(IF(C689=C687,0,IF(E689=E688,0,IF(C689=$R$4,HLOOKUP($R$4,Ingreso!$AW$10:$BC$260,VLOOKUP(A689,Ingreso!AL:AM,2,FALSE),FALSE)/24,""))),""))</f>
        <v/>
      </c>
      <c r="P689" s="90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s="58" customFormat="1">
      <c r="A690" s="65" t="str">
        <f>IFERROR(VLOOKUP('Informe Kelly'!A683,Base!A:B,2,FALSE),"")</f>
        <v>13.557.248-9</v>
      </c>
      <c r="B690" s="65" t="str">
        <f>IFERROR(VLOOKUP('Informe Kelly'!A683,Base!A:G,7,FALSE),"")</f>
        <v>BERRIOS LOPEZ OSCAR MAURICIO</v>
      </c>
      <c r="C690" s="69" t="str">
        <f>IF(G690=$C$4,IF('Informe Kelly'!H683='Control informe Kelly'!$A$2,TEXT(((LEFT('Informe Kelly'!E683,2)*1)+1),"dd")&amp;"."&amp;MID('Informe Kelly'!E683,4,2)&amp;"."&amp;RIGHT('Informe Kelly'!E683,4),'Informe Kelly'!E683),'Informe Kelly'!E683)</f>
        <v>14.04.2011</v>
      </c>
      <c r="D690" s="69" t="str">
        <f>IF('Informe Kelly'!E683="","",'Informe Kelly'!E683)</f>
        <v>14.04.2011</v>
      </c>
      <c r="E690" s="72">
        <f t="shared" si="21"/>
        <v>348</v>
      </c>
      <c r="F690" s="72" t="str">
        <f>IFERROR(HLOOKUP(C690,Ingreso!$Q$8:$AD$9,2,FALSE),"v")</f>
        <v>Jueves</v>
      </c>
      <c r="G690" s="65" t="str">
        <f>IFERROR(VLOOKUP(A690,Ingreso!K:P,6,FALSE),"no esta ingresado")</f>
        <v>Admin</v>
      </c>
      <c r="H690" s="65">
        <f>IFERROR(IF('Informe Kelly'!H683=$A$2,'Informe Kelly'!F683,""),0)</f>
        <v>0.75315972222222216</v>
      </c>
      <c r="I690" s="65" t="str">
        <f>IFERROR(IF('Informe Kelly'!H683=$A$3,'Informe Kelly'!F683,""),0)</f>
        <v/>
      </c>
      <c r="J690" s="65" t="str">
        <f>IF(IFERROR(IF(E690=E689,0,(HLOOKUP(D690,Ingreso!$AN$10:$AT$260,VLOOKUP(A690,Ingreso!$AL$11:$AM$260,2,FALSE)))/24),0)=0,"",IFERROR(IF(E690=E689,0,(HLOOKUP(D690,Ingreso!$AN$10:$AT$260,VLOOKUP(A690,Ingreso!$AL$11:$AM$260,2,FALSE)))/24),0))</f>
        <v/>
      </c>
      <c r="K690" s="65" t="str">
        <f>IF(IFERROR(IF(E690=E689,0,(HLOOKUP(C690,Ingreso!$AW$10:$BC$260,VLOOKUP(A690,Ingreso!$AL$11:$AM$260,2,FALSE)))/24),0)=0,"",IFERROR(IF(E690=E689,0,(HLOOKUP(C690,Ingreso!$AW$10:$BC$260,VLOOKUP(A690,Ingreso!$AL$11:$AM$260,2,FALSE)))/24),0))</f>
        <v/>
      </c>
      <c r="L690" s="63">
        <f t="shared" si="20"/>
        <v>0</v>
      </c>
      <c r="M690" s="63" t="str">
        <f>IF(IFERROR(IF(C690=C688,0,IF(E690=E689,0,IF(C690=$R$2,HLOOKUP($R$2,Ingreso!$AW$10:$BC$260,VLOOKUP(A690,Ingreso!AL:AM,2,FALSE),FALSE)/24,""))),"")=0,"",IFERROR(IF(C690=C688,0,IF(E690=E689,0,IF(C690=$R$2,HLOOKUP($R$2,Ingreso!$AW$10:$BC$260,VLOOKUP(A690,Ingreso!AL:AM,2,FALSE),FALSE)/24,""))),""))</f>
        <v/>
      </c>
      <c r="N690" s="95" t="str">
        <f>IF(IFERROR(IF(C690=C688,0,IF(E690=E689,0,IF(C690=$R$3,HLOOKUP($R$3,Ingreso!$AW$10:$BC$260,VLOOKUP(A690,Ingreso!AL:AM,2,FALSE),FALSE)/24,""))),"")=0,"",IFERROR(IF(C690=C688,0,IF(E690=E689,0,IF(C690=$R$3,HLOOKUP($R$3,Ingreso!$AW$10:$BC$260,VLOOKUP(A690,Ingreso!AL:AM,2,FALSE),FALSE)/24,""))),""))</f>
        <v/>
      </c>
      <c r="O690" s="95" t="str">
        <f>IF(IFERROR(IF(C690=C688,0,IF(E690=E689,0,IF(C690=$R$4,HLOOKUP($R$4,Ingreso!$AW$10:$BC$260,VLOOKUP(A690,Ingreso!AL:AM,2,FALSE),FALSE)/24,""))),"")=0,"",IFERROR(IF(C690=C688,0,IF(E690=E689,0,IF(C690=$R$4,HLOOKUP($R$4,Ingreso!$AW$10:$BC$260,VLOOKUP(A690,Ingreso!AL:AM,2,FALSE),FALSE)/24,""))),""))</f>
        <v/>
      </c>
      <c r="P690" s="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s="58" customFormat="1">
      <c r="A691" s="65" t="str">
        <f>IFERROR(VLOOKUP('Informe Kelly'!A684,Base!A:B,2,FALSE),"")</f>
        <v>13.557.248-9</v>
      </c>
      <c r="B691" s="65" t="str">
        <f>IFERROR(VLOOKUP('Informe Kelly'!A684,Base!A:G,7,FALSE),"")</f>
        <v>BERRIOS LOPEZ OSCAR MAURICIO</v>
      </c>
      <c r="C691" s="69" t="str">
        <f>IF(G691=$C$4,IF('Informe Kelly'!H684='Control informe Kelly'!$A$2,TEXT(((LEFT('Informe Kelly'!E684,2)*1)+1),"dd")&amp;"."&amp;MID('Informe Kelly'!E684,4,2)&amp;"."&amp;RIGHT('Informe Kelly'!E684,4),'Informe Kelly'!E684),'Informe Kelly'!E684)</f>
        <v>15.04.2011</v>
      </c>
      <c r="D691" s="69" t="str">
        <f>IF('Informe Kelly'!E684="","",'Informe Kelly'!E684)</f>
        <v>15.04.2011</v>
      </c>
      <c r="E691" s="72">
        <f t="shared" si="21"/>
        <v>349</v>
      </c>
      <c r="F691" s="72" t="str">
        <f>IFERROR(HLOOKUP(C691,Ingreso!$Q$8:$AD$9,2,FALSE),"v")</f>
        <v>Viernes</v>
      </c>
      <c r="G691" s="65" t="str">
        <f>IFERROR(VLOOKUP(A691,Ingreso!K:P,6,FALSE),"no esta ingresado")</f>
        <v>Admin</v>
      </c>
      <c r="H691" s="65" t="str">
        <f>IFERROR(IF('Informe Kelly'!H684=$A$2,'Informe Kelly'!F684,""),0)</f>
        <v/>
      </c>
      <c r="I691" s="65">
        <f>IFERROR(IF('Informe Kelly'!H684=$A$3,'Informe Kelly'!F684,""),0)</f>
        <v>0.67237268518518523</v>
      </c>
      <c r="J691" s="65" t="str">
        <f>IF(IFERROR(IF(E691=E690,0,(HLOOKUP(D691,Ingreso!$AN$10:$AT$260,VLOOKUP(A691,Ingreso!$AL$11:$AM$260,2,FALSE)))/24),0)=0,"",IFERROR(IF(E691=E690,0,(HLOOKUP(D691,Ingreso!$AN$10:$AT$260,VLOOKUP(A691,Ingreso!$AL$11:$AM$260,2,FALSE)))/24),0))</f>
        <v/>
      </c>
      <c r="K691" s="65" t="str">
        <f>IF(IFERROR(IF(E691=E690,0,(HLOOKUP(C691,Ingreso!$AW$10:$BC$260,VLOOKUP(A691,Ingreso!$AL$11:$AM$260,2,FALSE)))/24),0)=0,"",IFERROR(IF(E691=E690,0,(HLOOKUP(C691,Ingreso!$AW$10:$BC$260,VLOOKUP(A691,Ingreso!$AL$11:$AM$260,2,FALSE)))/24),0))</f>
        <v/>
      </c>
      <c r="L691" s="63">
        <f t="shared" si="20"/>
        <v>0.41666666666666669</v>
      </c>
      <c r="M691" s="63" t="str">
        <f>IF(IFERROR(IF(C691=C689,0,IF(E691=E690,0,IF(C691=$R$2,HLOOKUP($R$2,Ingreso!$AW$10:$BC$260,VLOOKUP(A691,Ingreso!AL:AM,2,FALSE),FALSE)/24,""))),"")=0,"",IFERROR(IF(C691=C689,0,IF(E691=E690,0,IF(C691=$R$2,HLOOKUP($R$2,Ingreso!$AW$10:$BC$260,VLOOKUP(A691,Ingreso!AL:AM,2,FALSE),FALSE)/24,""))),""))</f>
        <v/>
      </c>
      <c r="N691" s="95" t="str">
        <f>IF(IFERROR(IF(C691=C689,0,IF(E691=E690,0,IF(C691=$R$3,HLOOKUP($R$3,Ingreso!$AW$10:$BC$260,VLOOKUP(A691,Ingreso!AL:AM,2,FALSE),FALSE)/24,""))),"")=0,"",IFERROR(IF(C691=C689,0,IF(E691=E690,0,IF(C691=$R$3,HLOOKUP($R$3,Ingreso!$AW$10:$BC$260,VLOOKUP(A691,Ingreso!AL:AM,2,FALSE),FALSE)/24,""))),""))</f>
        <v/>
      </c>
      <c r="O691" s="95" t="str">
        <f>IF(IFERROR(IF(C691=C689,0,IF(E691=E690,0,IF(C691=$R$4,HLOOKUP($R$4,Ingreso!$AW$10:$BC$260,VLOOKUP(A691,Ingreso!AL:AM,2,FALSE),FALSE)/24,""))),"")=0,"",IFERROR(IF(C691=C689,0,IF(E691=E690,0,IF(C691=$R$4,HLOOKUP($R$4,Ingreso!$AW$10:$BC$260,VLOOKUP(A691,Ingreso!AL:AM,2,FALSE),FALSE)/24,""))),""))</f>
        <v/>
      </c>
      <c r="P691" s="90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s="58" customFormat="1">
      <c r="A692" s="65" t="str">
        <f>IFERROR(VLOOKUP('Informe Kelly'!A685,Base!A:B,2,FALSE),"")</f>
        <v>13.557.248-9</v>
      </c>
      <c r="B692" s="65" t="str">
        <f>IFERROR(VLOOKUP('Informe Kelly'!A685,Base!A:G,7,FALSE),"")</f>
        <v>BERRIOS LOPEZ OSCAR MAURICIO</v>
      </c>
      <c r="C692" s="69" t="str">
        <f>IF(G692=$C$4,IF('Informe Kelly'!H685='Control informe Kelly'!$A$2,TEXT(((LEFT('Informe Kelly'!E685,2)*1)+1),"dd")&amp;"."&amp;MID('Informe Kelly'!E685,4,2)&amp;"."&amp;RIGHT('Informe Kelly'!E685,4),'Informe Kelly'!E685),'Informe Kelly'!E685)</f>
        <v>15.04.2011</v>
      </c>
      <c r="D692" s="69" t="str">
        <f>IF('Informe Kelly'!E685="","",'Informe Kelly'!E685)</f>
        <v>15.04.2011</v>
      </c>
      <c r="E692" s="72">
        <f t="shared" si="21"/>
        <v>349</v>
      </c>
      <c r="F692" s="72" t="str">
        <f>IFERROR(HLOOKUP(C692,Ingreso!$Q$8:$AD$9,2,FALSE),"v")</f>
        <v>Viernes</v>
      </c>
      <c r="G692" s="65" t="str">
        <f>IFERROR(VLOOKUP(A692,Ingreso!K:P,6,FALSE),"no esta ingresado")</f>
        <v>Admin</v>
      </c>
      <c r="H692" s="65">
        <f>IFERROR(IF('Informe Kelly'!H685=$A$2,'Informe Kelly'!F685,""),0)</f>
        <v>0.31231481481481482</v>
      </c>
      <c r="I692" s="65" t="str">
        <f>IFERROR(IF('Informe Kelly'!H685=$A$3,'Informe Kelly'!F685,""),0)</f>
        <v/>
      </c>
      <c r="J692" s="65" t="str">
        <f>IF(IFERROR(IF(E692=E691,0,(HLOOKUP(D692,Ingreso!$AN$10:$AT$260,VLOOKUP(A692,Ingreso!$AL$11:$AM$260,2,FALSE)))/24),0)=0,"",IFERROR(IF(E692=E691,0,(HLOOKUP(D692,Ingreso!$AN$10:$AT$260,VLOOKUP(A692,Ingreso!$AL$11:$AM$260,2,FALSE)))/24),0))</f>
        <v/>
      </c>
      <c r="K692" s="65" t="str">
        <f>IF(IFERROR(IF(E692=E691,0,(HLOOKUP(C692,Ingreso!$AW$10:$BC$260,VLOOKUP(A692,Ingreso!$AL$11:$AM$260,2,FALSE)))/24),0)=0,"",IFERROR(IF(E692=E691,0,(HLOOKUP(C692,Ingreso!$AW$10:$BC$260,VLOOKUP(A692,Ingreso!$AL$11:$AM$260,2,FALSE)))/24),0))</f>
        <v/>
      </c>
      <c r="L692" s="63">
        <f t="shared" si="20"/>
        <v>0</v>
      </c>
      <c r="M692" s="63" t="str">
        <f>IF(IFERROR(IF(C692=C690,0,IF(E692=E691,0,IF(C692=$R$2,HLOOKUP($R$2,Ingreso!$AW$10:$BC$260,VLOOKUP(A692,Ingreso!AL:AM,2,FALSE),FALSE)/24,""))),"")=0,"",IFERROR(IF(C692=C690,0,IF(E692=E691,0,IF(C692=$R$2,HLOOKUP($R$2,Ingreso!$AW$10:$BC$260,VLOOKUP(A692,Ingreso!AL:AM,2,FALSE),FALSE)/24,""))),""))</f>
        <v/>
      </c>
      <c r="N692" s="95" t="str">
        <f>IF(IFERROR(IF(C692=C690,0,IF(E692=E691,0,IF(C692=$R$3,HLOOKUP($R$3,Ingreso!$AW$10:$BC$260,VLOOKUP(A692,Ingreso!AL:AM,2,FALSE),FALSE)/24,""))),"")=0,"",IFERROR(IF(C692=C690,0,IF(E692=E691,0,IF(C692=$R$3,HLOOKUP($R$3,Ingreso!$AW$10:$BC$260,VLOOKUP(A692,Ingreso!AL:AM,2,FALSE),FALSE)/24,""))),""))</f>
        <v/>
      </c>
      <c r="O692" s="95" t="str">
        <f>IF(IFERROR(IF(C692=C690,0,IF(E692=E691,0,IF(C692=$R$4,HLOOKUP($R$4,Ingreso!$AW$10:$BC$260,VLOOKUP(A692,Ingreso!AL:AM,2,FALSE),FALSE)/24,""))),"")=0,"",IFERROR(IF(C692=C690,0,IF(E692=E691,0,IF(C692=$R$4,HLOOKUP($R$4,Ingreso!$AW$10:$BC$260,VLOOKUP(A692,Ingreso!AL:AM,2,FALSE),FALSE)/24,""))),""))</f>
        <v/>
      </c>
      <c r="P692" s="90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65" t="str">
        <f>IFERROR(VLOOKUP('Informe Kelly'!A686,Base!A:B,2,FALSE),"")</f>
        <v>13.681.026-K</v>
      </c>
      <c r="B693" s="65" t="str">
        <f>IFERROR(VLOOKUP('Informe Kelly'!A686,Base!A:G,7,FALSE),"")</f>
        <v>OYANEDEL COFRE JULIO HERNAN</v>
      </c>
      <c r="C693" s="69" t="str">
        <f>IF(G693=$C$4,IF('Informe Kelly'!H686='Control informe Kelly'!$A$2,TEXT(((LEFT('Informe Kelly'!E686,2)*1)+1),"dd")&amp;"."&amp;MID('Informe Kelly'!E686,4,2)&amp;"."&amp;RIGHT('Informe Kelly'!E686,4),'Informe Kelly'!E686),'Informe Kelly'!E686)</f>
        <v>11.04.2011</v>
      </c>
      <c r="D693" s="69" t="str">
        <f>IF('Informe Kelly'!E686="","",'Informe Kelly'!E686)</f>
        <v>11.04.2011</v>
      </c>
      <c r="E693" s="72">
        <f t="shared" si="21"/>
        <v>350</v>
      </c>
      <c r="F693" s="72" t="str">
        <f>IFERROR(HLOOKUP(C693,Ingreso!$Q$8:$AD$9,2,FALSE),"v")</f>
        <v>Lunes</v>
      </c>
      <c r="G693" s="65" t="str">
        <f>IFERROR(VLOOKUP(A693,Ingreso!K:P,6,FALSE),"no esta ingresado")</f>
        <v>Turno A</v>
      </c>
      <c r="H693" s="65" t="str">
        <f>IFERROR(IF('Informe Kelly'!H686=$A$2,'Informe Kelly'!F686,""),0)</f>
        <v/>
      </c>
      <c r="I693" s="65">
        <f>IFERROR(IF('Informe Kelly'!H686=$A$3,'Informe Kelly'!F686,""),0)</f>
        <v>0.64091435185185186</v>
      </c>
      <c r="J693" s="65" t="str">
        <f>IF(IFERROR(IF(E693=E692,0,(HLOOKUP(D693,Ingreso!$AN$10:$AT$260,VLOOKUP(A693,Ingreso!$AL$11:$AM$260,2,FALSE)))/24),0)=0,"",IFERROR(IF(E693=E692,0,(HLOOKUP(D693,Ingreso!$AN$10:$AT$260,VLOOKUP(A693,Ingreso!$AL$11:$AM$260,2,FALSE)))/24),0))</f>
        <v/>
      </c>
      <c r="K693" s="65" t="str">
        <f>IF(IFERROR(IF(E693=E692,0,(HLOOKUP(C693,Ingreso!$AW$10:$BC$260,VLOOKUP(A693,Ingreso!$AL$11:$AM$260,2,FALSE)))/24),0)=0,"",IFERROR(IF(E693=E692,0,(HLOOKUP(C693,Ingreso!$AW$10:$BC$260,VLOOKUP(A693,Ingreso!$AL$11:$AM$260,2,FALSE)))/24),0))</f>
        <v/>
      </c>
      <c r="L693" s="63">
        <f t="shared" si="20"/>
        <v>0.3125</v>
      </c>
      <c r="M693" s="63" t="str">
        <f>IF(IFERROR(IF(C693=C691,0,IF(E693=E692,0,IF(C693=$R$2,HLOOKUP($R$2,Ingreso!$AW$10:$BC$260,VLOOKUP(A693,Ingreso!AL:AM,2,FALSE),FALSE)/24,""))),"")=0,"",IFERROR(IF(C693=C691,0,IF(E693=E692,0,IF(C693=$R$2,HLOOKUP($R$2,Ingreso!$AW$10:$BC$260,VLOOKUP(A693,Ingreso!AL:AM,2,FALSE),FALSE)/24,""))),""))</f>
        <v/>
      </c>
      <c r="N693" s="95" t="str">
        <f>IF(IFERROR(IF(C693=C691,0,IF(E693=E692,0,IF(C693=$R$3,HLOOKUP($R$3,Ingreso!$AW$10:$BC$260,VLOOKUP(A693,Ingreso!AL:AM,2,FALSE),FALSE)/24,""))),"")=0,"",IFERROR(IF(C693=C691,0,IF(E693=E692,0,IF(C693=$R$3,HLOOKUP($R$3,Ingreso!$AW$10:$BC$260,VLOOKUP(A693,Ingreso!AL:AM,2,FALSE),FALSE)/24,""))),""))</f>
        <v/>
      </c>
      <c r="O693" s="95" t="str">
        <f>IF(IFERROR(IF(C693=C691,0,IF(E693=E692,0,IF(C693=$R$4,HLOOKUP($R$4,Ingreso!$AW$10:$BC$260,VLOOKUP(A693,Ingreso!AL:AM,2,FALSE),FALSE)/24,""))),"")=0,"",IFERROR(IF(C693=C691,0,IF(E693=E692,0,IF(C693=$R$4,HLOOKUP($R$4,Ingreso!$AW$10:$BC$260,VLOOKUP(A693,Ingreso!AL:AM,2,FALSE),FALSE)/24,""))),""))</f>
        <v/>
      </c>
      <c r="P693" s="90"/>
      <c r="V693"/>
      <c r="W693"/>
      <c r="X693"/>
      <c r="Y693"/>
      <c r="Z693"/>
      <c r="AA693"/>
      <c r="AB693"/>
      <c r="AC693"/>
      <c r="AD693"/>
    </row>
    <row r="694" spans="1:33">
      <c r="A694" s="65" t="str">
        <f>IFERROR(VLOOKUP('Informe Kelly'!A687,Base!A:B,2,FALSE),"")</f>
        <v>13.681.026-K</v>
      </c>
      <c r="B694" s="65" t="str">
        <f>IFERROR(VLOOKUP('Informe Kelly'!A687,Base!A:G,7,FALSE),"")</f>
        <v>OYANEDEL COFRE JULIO HERNAN</v>
      </c>
      <c r="C694" s="69" t="str">
        <f>IF(G694=$C$4,IF('Informe Kelly'!H687='Control informe Kelly'!$A$2,TEXT(((LEFT('Informe Kelly'!E687,2)*1)+1),"dd")&amp;"."&amp;MID('Informe Kelly'!E687,4,2)&amp;"."&amp;RIGHT('Informe Kelly'!E687,4),'Informe Kelly'!E687),'Informe Kelly'!E687)</f>
        <v>11.04.2011</v>
      </c>
      <c r="D694" s="69" t="str">
        <f>IF('Informe Kelly'!E687="","",'Informe Kelly'!E687)</f>
        <v>11.04.2011</v>
      </c>
      <c r="E694" s="72">
        <f t="shared" si="21"/>
        <v>350</v>
      </c>
      <c r="F694" s="72" t="str">
        <f>IFERROR(HLOOKUP(C694,Ingreso!$Q$8:$AD$9,2,FALSE),"v")</f>
        <v>Lunes</v>
      </c>
      <c r="G694" s="65" t="str">
        <f>IFERROR(VLOOKUP(A694,Ingreso!K:P,6,FALSE),"no esta ingresado")</f>
        <v>Turno A</v>
      </c>
      <c r="H694" s="65">
        <f>IFERROR(IF('Informe Kelly'!H687=$A$2,'Informe Kelly'!F687,""),0)</f>
        <v>0.29075231481481484</v>
      </c>
      <c r="I694" s="65" t="str">
        <f>IFERROR(IF('Informe Kelly'!H687=$A$3,'Informe Kelly'!F687,""),0)</f>
        <v/>
      </c>
      <c r="J694" s="65" t="str">
        <f>IF(IFERROR(IF(E694=E693,0,(HLOOKUP(D694,Ingreso!$AN$10:$AT$260,VLOOKUP(A694,Ingreso!$AL$11:$AM$260,2,FALSE)))/24),0)=0,"",IFERROR(IF(E694=E693,0,(HLOOKUP(D694,Ingreso!$AN$10:$AT$260,VLOOKUP(A694,Ingreso!$AL$11:$AM$260,2,FALSE)))/24),0))</f>
        <v/>
      </c>
      <c r="K694" s="65" t="str">
        <f>IF(IFERROR(IF(E694=E693,0,(HLOOKUP(C694,Ingreso!$AW$10:$BC$260,VLOOKUP(A694,Ingreso!$AL$11:$AM$260,2,FALSE)))/24),0)=0,"",IFERROR(IF(E694=E693,0,(HLOOKUP(C694,Ingreso!$AW$10:$BC$260,VLOOKUP(A694,Ingreso!$AL$11:$AM$260,2,FALSE)))/24),0))</f>
        <v/>
      </c>
      <c r="L694" s="63">
        <f t="shared" si="20"/>
        <v>0</v>
      </c>
      <c r="M694" s="63" t="str">
        <f>IF(IFERROR(IF(C694=C692,0,IF(E694=E693,0,IF(C694=$R$2,HLOOKUP($R$2,Ingreso!$AW$10:$BC$260,VLOOKUP(A694,Ingreso!AL:AM,2,FALSE),FALSE)/24,""))),"")=0,"",IFERROR(IF(C694=C692,0,IF(E694=E693,0,IF(C694=$R$2,HLOOKUP($R$2,Ingreso!$AW$10:$BC$260,VLOOKUP(A694,Ingreso!AL:AM,2,FALSE),FALSE)/24,""))),""))</f>
        <v/>
      </c>
      <c r="N694" s="95" t="str">
        <f>IF(IFERROR(IF(C694=C692,0,IF(E694=E693,0,IF(C694=$R$3,HLOOKUP($R$3,Ingreso!$AW$10:$BC$260,VLOOKUP(A694,Ingreso!AL:AM,2,FALSE),FALSE)/24,""))),"")=0,"",IFERROR(IF(C694=C692,0,IF(E694=E693,0,IF(C694=$R$3,HLOOKUP($R$3,Ingreso!$AW$10:$BC$260,VLOOKUP(A694,Ingreso!AL:AM,2,FALSE),FALSE)/24,""))),""))</f>
        <v/>
      </c>
      <c r="O694" s="95" t="str">
        <f>IF(IFERROR(IF(C694=C692,0,IF(E694=E693,0,IF(C694=$R$4,HLOOKUP($R$4,Ingreso!$AW$10:$BC$260,VLOOKUP(A694,Ingreso!AL:AM,2,FALSE),FALSE)/24,""))),"")=0,"",IFERROR(IF(C694=C692,0,IF(E694=E693,0,IF(C694=$R$4,HLOOKUP($R$4,Ingreso!$AW$10:$BC$260,VLOOKUP(A694,Ingreso!AL:AM,2,FALSE),FALSE)/24,""))),""))</f>
        <v/>
      </c>
      <c r="P694" s="90"/>
      <c r="V694"/>
      <c r="W694"/>
      <c r="X694"/>
      <c r="Y694"/>
      <c r="Z694"/>
      <c r="AA694"/>
      <c r="AB694"/>
      <c r="AC694"/>
      <c r="AD694"/>
    </row>
    <row r="695" spans="1:33">
      <c r="A695" s="65" t="str">
        <f>IFERROR(VLOOKUP('Informe Kelly'!A688,Base!A:B,2,FALSE),"")</f>
        <v>13.681.026-K</v>
      </c>
      <c r="B695" s="65" t="str">
        <f>IFERROR(VLOOKUP('Informe Kelly'!A688,Base!A:G,7,FALSE),"")</f>
        <v>OYANEDEL COFRE JULIO HERNAN</v>
      </c>
      <c r="C695" s="69" t="str">
        <f>IF(G695=$C$4,IF('Informe Kelly'!H688='Control informe Kelly'!$A$2,TEXT(((LEFT('Informe Kelly'!E688,2)*1)+1),"dd")&amp;"."&amp;MID('Informe Kelly'!E688,4,2)&amp;"."&amp;RIGHT('Informe Kelly'!E688,4),'Informe Kelly'!E688),'Informe Kelly'!E688)</f>
        <v>12.04.2011</v>
      </c>
      <c r="D695" s="69" t="str">
        <f>IF('Informe Kelly'!E688="","",'Informe Kelly'!E688)</f>
        <v>12.04.2011</v>
      </c>
      <c r="E695" s="72">
        <f t="shared" si="21"/>
        <v>351</v>
      </c>
      <c r="F695" s="72" t="str">
        <f>IFERROR(HLOOKUP(C695,Ingreso!$Q$8:$AD$9,2,FALSE),"v")</f>
        <v>Martes</v>
      </c>
      <c r="G695" s="65" t="str">
        <f>IFERROR(VLOOKUP(A695,Ingreso!K:P,6,FALSE),"no esta ingresado")</f>
        <v>Turno A</v>
      </c>
      <c r="H695" s="65" t="str">
        <f>IFERROR(IF('Informe Kelly'!H688=$A$2,'Informe Kelly'!F688,""),0)</f>
        <v/>
      </c>
      <c r="I695" s="65">
        <f>IFERROR(IF('Informe Kelly'!H688=$A$3,'Informe Kelly'!F688,""),0)</f>
        <v>0.6381944444444444</v>
      </c>
      <c r="J695" s="65" t="str">
        <f>IF(IFERROR(IF(E695=E694,0,(HLOOKUP(D695,Ingreso!$AN$10:$AT$260,VLOOKUP(A695,Ingreso!$AL$11:$AM$260,2,FALSE)))/24),0)=0,"",IFERROR(IF(E695=E694,0,(HLOOKUP(D695,Ingreso!$AN$10:$AT$260,VLOOKUP(A695,Ingreso!$AL$11:$AM$260,2,FALSE)))/24),0))</f>
        <v/>
      </c>
      <c r="K695" s="65" t="str">
        <f>IF(IFERROR(IF(E695=E694,0,(HLOOKUP(C695,Ingreso!$AW$10:$BC$260,VLOOKUP(A695,Ingreso!$AL$11:$AM$260,2,FALSE)))/24),0)=0,"",IFERROR(IF(E695=E694,0,(HLOOKUP(C695,Ingreso!$AW$10:$BC$260,VLOOKUP(A695,Ingreso!$AL$11:$AM$260,2,FALSE)))/24),0))</f>
        <v/>
      </c>
      <c r="L695" s="63">
        <f t="shared" si="20"/>
        <v>0.3125</v>
      </c>
      <c r="M695" s="63" t="str">
        <f>IF(IFERROR(IF(C695=C693,0,IF(E695=E694,0,IF(C695=$R$2,HLOOKUP($R$2,Ingreso!$AW$10:$BC$260,VLOOKUP(A695,Ingreso!AL:AM,2,FALSE),FALSE)/24,""))),"")=0,"",IFERROR(IF(C695=C693,0,IF(E695=E694,0,IF(C695=$R$2,HLOOKUP($R$2,Ingreso!$AW$10:$BC$260,VLOOKUP(A695,Ingreso!AL:AM,2,FALSE),FALSE)/24,""))),""))</f>
        <v/>
      </c>
      <c r="N695" s="95" t="str">
        <f>IF(IFERROR(IF(C695=C693,0,IF(E695=E694,0,IF(C695=$R$3,HLOOKUP($R$3,Ingreso!$AW$10:$BC$260,VLOOKUP(A695,Ingreso!AL:AM,2,FALSE),FALSE)/24,""))),"")=0,"",IFERROR(IF(C695=C693,0,IF(E695=E694,0,IF(C695=$R$3,HLOOKUP($R$3,Ingreso!$AW$10:$BC$260,VLOOKUP(A695,Ingreso!AL:AM,2,FALSE),FALSE)/24,""))),""))</f>
        <v/>
      </c>
      <c r="O695" s="95" t="str">
        <f>IF(IFERROR(IF(C695=C693,0,IF(E695=E694,0,IF(C695=$R$4,HLOOKUP($R$4,Ingreso!$AW$10:$BC$260,VLOOKUP(A695,Ingreso!AL:AM,2,FALSE),FALSE)/24,""))),"")=0,"",IFERROR(IF(C695=C693,0,IF(E695=E694,0,IF(C695=$R$4,HLOOKUP($R$4,Ingreso!$AW$10:$BC$260,VLOOKUP(A695,Ingreso!AL:AM,2,FALSE),FALSE)/24,""))),""))</f>
        <v/>
      </c>
      <c r="P695" s="90"/>
      <c r="V695"/>
      <c r="W695"/>
      <c r="X695"/>
      <c r="Y695"/>
      <c r="Z695"/>
      <c r="AA695"/>
      <c r="AB695"/>
      <c r="AC695"/>
      <c r="AD695"/>
    </row>
    <row r="696" spans="1:33">
      <c r="A696" s="65" t="str">
        <f>IFERROR(VLOOKUP('Informe Kelly'!A689,Base!A:B,2,FALSE),"")</f>
        <v>13.681.026-K</v>
      </c>
      <c r="B696" s="65" t="str">
        <f>IFERROR(VLOOKUP('Informe Kelly'!A689,Base!A:G,7,FALSE),"")</f>
        <v>OYANEDEL COFRE JULIO HERNAN</v>
      </c>
      <c r="C696" s="69" t="str">
        <f>IF(G696=$C$4,IF('Informe Kelly'!H689='Control informe Kelly'!$A$2,TEXT(((LEFT('Informe Kelly'!E689,2)*1)+1),"dd")&amp;"."&amp;MID('Informe Kelly'!E689,4,2)&amp;"."&amp;RIGHT('Informe Kelly'!E689,4),'Informe Kelly'!E689),'Informe Kelly'!E689)</f>
        <v>12.04.2011</v>
      </c>
      <c r="D696" s="69" t="str">
        <f>IF('Informe Kelly'!E689="","",'Informe Kelly'!E689)</f>
        <v>12.04.2011</v>
      </c>
      <c r="E696" s="72">
        <f t="shared" si="21"/>
        <v>351</v>
      </c>
      <c r="F696" s="72" t="str">
        <f>IFERROR(HLOOKUP(C696,Ingreso!$Q$8:$AD$9,2,FALSE),"v")</f>
        <v>Martes</v>
      </c>
      <c r="G696" s="65" t="str">
        <f>IFERROR(VLOOKUP(A696,Ingreso!K:P,6,FALSE),"no esta ingresado")</f>
        <v>Turno A</v>
      </c>
      <c r="H696" s="65">
        <f>IFERROR(IF('Informe Kelly'!H689=$A$2,'Informe Kelly'!F689,""),0)</f>
        <v>0.35446759259259258</v>
      </c>
      <c r="I696" s="65" t="str">
        <f>IFERROR(IF('Informe Kelly'!H689=$A$3,'Informe Kelly'!F689,""),0)</f>
        <v/>
      </c>
      <c r="J696" s="65" t="str">
        <f>IF(IFERROR(IF(E696=E695,0,(HLOOKUP(D696,Ingreso!$AN$10:$AT$260,VLOOKUP(A696,Ingreso!$AL$11:$AM$260,2,FALSE)))/24),0)=0,"",IFERROR(IF(E696=E695,0,(HLOOKUP(D696,Ingreso!$AN$10:$AT$260,VLOOKUP(A696,Ingreso!$AL$11:$AM$260,2,FALSE)))/24),0))</f>
        <v/>
      </c>
      <c r="K696" s="65" t="str">
        <f>IF(IFERROR(IF(E696=E695,0,(HLOOKUP(C696,Ingreso!$AW$10:$BC$260,VLOOKUP(A696,Ingreso!$AL$11:$AM$260,2,FALSE)))/24),0)=0,"",IFERROR(IF(E696=E695,0,(HLOOKUP(C696,Ingreso!$AW$10:$BC$260,VLOOKUP(A696,Ingreso!$AL$11:$AM$260,2,FALSE)))/24),0))</f>
        <v/>
      </c>
      <c r="L696" s="63">
        <f t="shared" si="20"/>
        <v>0</v>
      </c>
      <c r="M696" s="63" t="str">
        <f>IF(IFERROR(IF(C696=C694,0,IF(E696=E695,0,IF(C696=$R$2,HLOOKUP($R$2,Ingreso!$AW$10:$BC$260,VLOOKUP(A696,Ingreso!AL:AM,2,FALSE),FALSE)/24,""))),"")=0,"",IFERROR(IF(C696=C694,0,IF(E696=E695,0,IF(C696=$R$2,HLOOKUP($R$2,Ingreso!$AW$10:$BC$260,VLOOKUP(A696,Ingreso!AL:AM,2,FALSE),FALSE)/24,""))),""))</f>
        <v/>
      </c>
      <c r="N696" s="95" t="str">
        <f>IF(IFERROR(IF(C696=C694,0,IF(E696=E695,0,IF(C696=$R$3,HLOOKUP($R$3,Ingreso!$AW$10:$BC$260,VLOOKUP(A696,Ingreso!AL:AM,2,FALSE),FALSE)/24,""))),"")=0,"",IFERROR(IF(C696=C694,0,IF(E696=E695,0,IF(C696=$R$3,HLOOKUP($R$3,Ingreso!$AW$10:$BC$260,VLOOKUP(A696,Ingreso!AL:AM,2,FALSE),FALSE)/24,""))),""))</f>
        <v/>
      </c>
      <c r="O696" s="95" t="str">
        <f>IF(IFERROR(IF(C696=C694,0,IF(E696=E695,0,IF(C696=$R$4,HLOOKUP($R$4,Ingreso!$AW$10:$BC$260,VLOOKUP(A696,Ingreso!AL:AM,2,FALSE),FALSE)/24,""))),"")=0,"",IFERROR(IF(C696=C694,0,IF(E696=E695,0,IF(C696=$R$4,HLOOKUP($R$4,Ingreso!$AW$10:$BC$260,VLOOKUP(A696,Ingreso!AL:AM,2,FALSE),FALSE)/24,""))),""))</f>
        <v/>
      </c>
      <c r="P696" s="90"/>
      <c r="V696"/>
      <c r="W696"/>
      <c r="X696"/>
      <c r="Y696"/>
      <c r="Z696"/>
      <c r="AA696"/>
      <c r="AB696"/>
      <c r="AC696"/>
      <c r="AD696"/>
    </row>
    <row r="697" spans="1:33">
      <c r="A697" s="65" t="str">
        <f>IFERROR(VLOOKUP('Informe Kelly'!A690,Base!A:B,2,FALSE),"")</f>
        <v>13.681.026-K</v>
      </c>
      <c r="B697" s="65" t="str">
        <f>IFERROR(VLOOKUP('Informe Kelly'!A690,Base!A:G,7,FALSE),"")</f>
        <v>OYANEDEL COFRE JULIO HERNAN</v>
      </c>
      <c r="C697" s="69" t="str">
        <f>IF(G697=$C$4,IF('Informe Kelly'!H690='Control informe Kelly'!$A$2,TEXT(((LEFT('Informe Kelly'!E690,2)*1)+1),"dd")&amp;"."&amp;MID('Informe Kelly'!E690,4,2)&amp;"."&amp;RIGHT('Informe Kelly'!E690,4),'Informe Kelly'!E690),'Informe Kelly'!E690)</f>
        <v>13.04.2011</v>
      </c>
      <c r="D697" s="69" t="str">
        <f>IF('Informe Kelly'!E690="","",'Informe Kelly'!E690)</f>
        <v>13.04.2011</v>
      </c>
      <c r="E697" s="72">
        <f t="shared" si="21"/>
        <v>352</v>
      </c>
      <c r="F697" s="72" t="str">
        <f>IFERROR(HLOOKUP(C697,Ingreso!$Q$8:$AD$9,2,FALSE),"v")</f>
        <v>Miércoles</v>
      </c>
      <c r="G697" s="65" t="str">
        <f>IFERROR(VLOOKUP(A697,Ingreso!K:P,6,FALSE),"no esta ingresado")</f>
        <v>Turno A</v>
      </c>
      <c r="H697" s="65" t="str">
        <f>IFERROR(IF('Informe Kelly'!H690=$A$2,'Informe Kelly'!F690,""),0)</f>
        <v/>
      </c>
      <c r="I697" s="65">
        <f>IFERROR(IF('Informe Kelly'!H690=$A$3,'Informe Kelly'!F690,""),0)</f>
        <v>0.64315972222222217</v>
      </c>
      <c r="J697" s="65" t="str">
        <f>IF(IFERROR(IF(E697=E696,0,(HLOOKUP(D697,Ingreso!$AN$10:$AT$260,VLOOKUP(A697,Ingreso!$AL$11:$AM$260,2,FALSE)))/24),0)=0,"",IFERROR(IF(E697=E696,0,(HLOOKUP(D697,Ingreso!$AN$10:$AT$260,VLOOKUP(A697,Ingreso!$AL$11:$AM$260,2,FALSE)))/24),0))</f>
        <v/>
      </c>
      <c r="K697" s="65" t="str">
        <f>IF(IFERROR(IF(E697=E696,0,(HLOOKUP(C697,Ingreso!$AW$10:$BC$260,VLOOKUP(A697,Ingreso!$AL$11:$AM$260,2,FALSE)))/24),0)=0,"",IFERROR(IF(E697=E696,0,(HLOOKUP(C697,Ingreso!$AW$10:$BC$260,VLOOKUP(A697,Ingreso!$AL$11:$AM$260,2,FALSE)))/24),0))</f>
        <v/>
      </c>
      <c r="L697" s="63">
        <f t="shared" si="20"/>
        <v>0.3125</v>
      </c>
      <c r="M697" s="63" t="str">
        <f>IF(IFERROR(IF(C697=C695,0,IF(E697=E696,0,IF(C697=$R$2,HLOOKUP($R$2,Ingreso!$AW$10:$BC$260,VLOOKUP(A697,Ingreso!AL:AM,2,FALSE),FALSE)/24,""))),"")=0,"",IFERROR(IF(C697=C695,0,IF(E697=E696,0,IF(C697=$R$2,HLOOKUP($R$2,Ingreso!$AW$10:$BC$260,VLOOKUP(A697,Ingreso!AL:AM,2,FALSE),FALSE)/24,""))),""))</f>
        <v/>
      </c>
      <c r="N697" s="95" t="str">
        <f>IF(IFERROR(IF(C697=C695,0,IF(E697=E696,0,IF(C697=$R$3,HLOOKUP($R$3,Ingreso!$AW$10:$BC$260,VLOOKUP(A697,Ingreso!AL:AM,2,FALSE),FALSE)/24,""))),"")=0,"",IFERROR(IF(C697=C695,0,IF(E697=E696,0,IF(C697=$R$3,HLOOKUP($R$3,Ingreso!$AW$10:$BC$260,VLOOKUP(A697,Ingreso!AL:AM,2,FALSE),FALSE)/24,""))),""))</f>
        <v/>
      </c>
      <c r="O697" s="95" t="str">
        <f>IF(IFERROR(IF(C697=C695,0,IF(E697=E696,0,IF(C697=$R$4,HLOOKUP($R$4,Ingreso!$AW$10:$BC$260,VLOOKUP(A697,Ingreso!AL:AM,2,FALSE),FALSE)/24,""))),"")=0,"",IFERROR(IF(C697=C695,0,IF(E697=E696,0,IF(C697=$R$4,HLOOKUP($R$4,Ingreso!$AW$10:$BC$260,VLOOKUP(A697,Ingreso!AL:AM,2,FALSE),FALSE)/24,""))),""))</f>
        <v/>
      </c>
      <c r="P697" s="90"/>
      <c r="V697"/>
      <c r="W697"/>
      <c r="X697"/>
      <c r="Y697"/>
      <c r="Z697"/>
      <c r="AA697"/>
      <c r="AB697"/>
      <c r="AC697"/>
      <c r="AD697"/>
    </row>
    <row r="698" spans="1:33">
      <c r="A698" s="65" t="str">
        <f>IFERROR(VLOOKUP('Informe Kelly'!A691,Base!A:B,2,FALSE),"")</f>
        <v>13.681.026-K</v>
      </c>
      <c r="B698" s="65" t="str">
        <f>IFERROR(VLOOKUP('Informe Kelly'!A691,Base!A:G,7,FALSE),"")</f>
        <v>OYANEDEL COFRE JULIO HERNAN</v>
      </c>
      <c r="C698" s="69" t="str">
        <f>IF(G698=$C$4,IF('Informe Kelly'!H691='Control informe Kelly'!$A$2,TEXT(((LEFT('Informe Kelly'!E691,2)*1)+1),"dd")&amp;"."&amp;MID('Informe Kelly'!E691,4,2)&amp;"."&amp;RIGHT('Informe Kelly'!E691,4),'Informe Kelly'!E691),'Informe Kelly'!E691)</f>
        <v>13.04.2011</v>
      </c>
      <c r="D698" s="69" t="str">
        <f>IF('Informe Kelly'!E691="","",'Informe Kelly'!E691)</f>
        <v>13.04.2011</v>
      </c>
      <c r="E698" s="72">
        <f t="shared" si="21"/>
        <v>352</v>
      </c>
      <c r="F698" s="72" t="str">
        <f>IFERROR(HLOOKUP(C698,Ingreso!$Q$8:$AD$9,2,FALSE),"v")</f>
        <v>Miércoles</v>
      </c>
      <c r="G698" s="65" t="str">
        <f>IFERROR(VLOOKUP(A698,Ingreso!K:P,6,FALSE),"no esta ingresado")</f>
        <v>Turno A</v>
      </c>
      <c r="H698" s="65">
        <f>IFERROR(IF('Informe Kelly'!H691=$A$2,'Informe Kelly'!F691,""),0)</f>
        <v>0.29596064814814815</v>
      </c>
      <c r="I698" s="65" t="str">
        <f>IFERROR(IF('Informe Kelly'!H691=$A$3,'Informe Kelly'!F691,""),0)</f>
        <v/>
      </c>
      <c r="J698" s="65" t="str">
        <f>IF(IFERROR(IF(E698=E697,0,(HLOOKUP(D698,Ingreso!$AN$10:$AT$260,VLOOKUP(A698,Ingreso!$AL$11:$AM$260,2,FALSE)))/24),0)=0,"",IFERROR(IF(E698=E697,0,(HLOOKUP(D698,Ingreso!$AN$10:$AT$260,VLOOKUP(A698,Ingreso!$AL$11:$AM$260,2,FALSE)))/24),0))</f>
        <v/>
      </c>
      <c r="K698" s="65" t="str">
        <f>IF(IFERROR(IF(E698=E697,0,(HLOOKUP(C698,Ingreso!$AW$10:$BC$260,VLOOKUP(A698,Ingreso!$AL$11:$AM$260,2,FALSE)))/24),0)=0,"",IFERROR(IF(E698=E697,0,(HLOOKUP(C698,Ingreso!$AW$10:$BC$260,VLOOKUP(A698,Ingreso!$AL$11:$AM$260,2,FALSE)))/24),0))</f>
        <v/>
      </c>
      <c r="L698" s="63">
        <f t="shared" si="20"/>
        <v>0</v>
      </c>
      <c r="M698" s="63" t="str">
        <f>IF(IFERROR(IF(C698=C696,0,IF(E698=E697,0,IF(C698=$R$2,HLOOKUP($R$2,Ingreso!$AW$10:$BC$260,VLOOKUP(A698,Ingreso!AL:AM,2,FALSE),FALSE)/24,""))),"")=0,"",IFERROR(IF(C698=C696,0,IF(E698=E697,0,IF(C698=$R$2,HLOOKUP($R$2,Ingreso!$AW$10:$BC$260,VLOOKUP(A698,Ingreso!AL:AM,2,FALSE),FALSE)/24,""))),""))</f>
        <v/>
      </c>
      <c r="N698" s="95" t="str">
        <f>IF(IFERROR(IF(C698=C696,0,IF(E698=E697,0,IF(C698=$R$3,HLOOKUP($R$3,Ingreso!$AW$10:$BC$260,VLOOKUP(A698,Ingreso!AL:AM,2,FALSE),FALSE)/24,""))),"")=0,"",IFERROR(IF(C698=C696,0,IF(E698=E697,0,IF(C698=$R$3,HLOOKUP($R$3,Ingreso!$AW$10:$BC$260,VLOOKUP(A698,Ingreso!AL:AM,2,FALSE),FALSE)/24,""))),""))</f>
        <v/>
      </c>
      <c r="O698" s="95" t="str">
        <f>IF(IFERROR(IF(C698=C696,0,IF(E698=E697,0,IF(C698=$R$4,HLOOKUP($R$4,Ingreso!$AW$10:$BC$260,VLOOKUP(A698,Ingreso!AL:AM,2,FALSE),FALSE)/24,""))),"")=0,"",IFERROR(IF(C698=C696,0,IF(E698=E697,0,IF(C698=$R$4,HLOOKUP($R$4,Ingreso!$AW$10:$BC$260,VLOOKUP(A698,Ingreso!AL:AM,2,FALSE),FALSE)/24,""))),""))</f>
        <v/>
      </c>
      <c r="P698" s="90"/>
      <c r="V698"/>
      <c r="W698"/>
      <c r="X698"/>
      <c r="Y698"/>
      <c r="Z698"/>
      <c r="AA698"/>
      <c r="AB698"/>
      <c r="AC698"/>
      <c r="AD698"/>
    </row>
    <row r="699" spans="1:33">
      <c r="A699" s="65" t="str">
        <f>IFERROR(VLOOKUP('Informe Kelly'!A692,Base!A:B,2,FALSE),"")</f>
        <v>13.681.026-K</v>
      </c>
      <c r="B699" s="65" t="str">
        <f>IFERROR(VLOOKUP('Informe Kelly'!A692,Base!A:G,7,FALSE),"")</f>
        <v>OYANEDEL COFRE JULIO HERNAN</v>
      </c>
      <c r="C699" s="69" t="str">
        <f>IF(G699=$C$4,IF('Informe Kelly'!H692='Control informe Kelly'!$A$2,TEXT(((LEFT('Informe Kelly'!E692,2)*1)+1),"dd")&amp;"."&amp;MID('Informe Kelly'!E692,4,2)&amp;"."&amp;RIGHT('Informe Kelly'!E692,4),'Informe Kelly'!E692),'Informe Kelly'!E692)</f>
        <v>14.04.2011</v>
      </c>
      <c r="D699" s="69" t="str">
        <f>IF('Informe Kelly'!E692="","",'Informe Kelly'!E692)</f>
        <v>14.04.2011</v>
      </c>
      <c r="E699" s="72">
        <f t="shared" si="21"/>
        <v>353</v>
      </c>
      <c r="F699" s="72" t="str">
        <f>IFERROR(HLOOKUP(C699,Ingreso!$Q$8:$AD$9,2,FALSE),"v")</f>
        <v>Jueves</v>
      </c>
      <c r="G699" s="65" t="str">
        <f>IFERROR(VLOOKUP(A699,Ingreso!K:P,6,FALSE),"no esta ingresado")</f>
        <v>Turno A</v>
      </c>
      <c r="H699" s="65" t="str">
        <f>IFERROR(IF('Informe Kelly'!H692=$A$2,'Informe Kelly'!F692,""),0)</f>
        <v/>
      </c>
      <c r="I699" s="65">
        <f>IFERROR(IF('Informe Kelly'!H692=$A$3,'Informe Kelly'!F692,""),0)</f>
        <v>0.63341435185185191</v>
      </c>
      <c r="J699" s="65" t="str">
        <f>IF(IFERROR(IF(E699=E698,0,(HLOOKUP(D699,Ingreso!$AN$10:$AT$260,VLOOKUP(A699,Ingreso!$AL$11:$AM$260,2,FALSE)))/24),0)=0,"",IFERROR(IF(E699=E698,0,(HLOOKUP(D699,Ingreso!$AN$10:$AT$260,VLOOKUP(A699,Ingreso!$AL$11:$AM$260,2,FALSE)))/24),0))</f>
        <v/>
      </c>
      <c r="K699" s="65" t="str">
        <f>IF(IFERROR(IF(E699=E698,0,(HLOOKUP(C699,Ingreso!$AW$10:$BC$260,VLOOKUP(A699,Ingreso!$AL$11:$AM$260,2,FALSE)))/24),0)=0,"",IFERROR(IF(E699=E698,0,(HLOOKUP(C699,Ingreso!$AW$10:$BC$260,VLOOKUP(A699,Ingreso!$AL$11:$AM$260,2,FALSE)))/24),0))</f>
        <v/>
      </c>
      <c r="L699" s="63">
        <f t="shared" si="20"/>
        <v>0.3125</v>
      </c>
      <c r="M699" s="63" t="str">
        <f>IF(IFERROR(IF(C699=C697,0,IF(E699=E698,0,IF(C699=$R$2,HLOOKUP($R$2,Ingreso!$AW$10:$BC$260,VLOOKUP(A699,Ingreso!AL:AM,2,FALSE),FALSE)/24,""))),"")=0,"",IFERROR(IF(C699=C697,0,IF(E699=E698,0,IF(C699=$R$2,HLOOKUP($R$2,Ingreso!$AW$10:$BC$260,VLOOKUP(A699,Ingreso!AL:AM,2,FALSE),FALSE)/24,""))),""))</f>
        <v/>
      </c>
      <c r="N699" s="95" t="str">
        <f>IF(IFERROR(IF(C699=C697,0,IF(E699=E698,0,IF(C699=$R$3,HLOOKUP($R$3,Ingreso!$AW$10:$BC$260,VLOOKUP(A699,Ingreso!AL:AM,2,FALSE),FALSE)/24,""))),"")=0,"",IFERROR(IF(C699=C697,0,IF(E699=E698,0,IF(C699=$R$3,HLOOKUP($R$3,Ingreso!$AW$10:$BC$260,VLOOKUP(A699,Ingreso!AL:AM,2,FALSE),FALSE)/24,""))),""))</f>
        <v/>
      </c>
      <c r="O699" s="95" t="str">
        <f>IF(IFERROR(IF(C699=C697,0,IF(E699=E698,0,IF(C699=$R$4,HLOOKUP($R$4,Ingreso!$AW$10:$BC$260,VLOOKUP(A699,Ingreso!AL:AM,2,FALSE),FALSE)/24,""))),"")=0,"",IFERROR(IF(C699=C697,0,IF(E699=E698,0,IF(C699=$R$4,HLOOKUP($R$4,Ingreso!$AW$10:$BC$260,VLOOKUP(A699,Ingreso!AL:AM,2,FALSE),FALSE)/24,""))),""))</f>
        <v/>
      </c>
      <c r="P699" s="90"/>
      <c r="V699"/>
      <c r="W699"/>
      <c r="X699"/>
      <c r="Y699"/>
      <c r="Z699"/>
      <c r="AA699"/>
      <c r="AB699"/>
      <c r="AC699"/>
      <c r="AD699"/>
    </row>
    <row r="700" spans="1:33">
      <c r="A700" s="65" t="str">
        <f>IFERROR(VLOOKUP('Informe Kelly'!A693,Base!A:B,2,FALSE),"")</f>
        <v>13.681.026-K</v>
      </c>
      <c r="B700" s="65" t="str">
        <f>IFERROR(VLOOKUP('Informe Kelly'!A693,Base!A:G,7,FALSE),"")</f>
        <v>OYANEDEL COFRE JULIO HERNAN</v>
      </c>
      <c r="C700" s="69" t="str">
        <f>IF(G700=$C$4,IF('Informe Kelly'!H693='Control informe Kelly'!$A$2,TEXT(((LEFT('Informe Kelly'!E693,2)*1)+1),"dd")&amp;"."&amp;MID('Informe Kelly'!E693,4,2)&amp;"."&amp;RIGHT('Informe Kelly'!E693,4),'Informe Kelly'!E693),'Informe Kelly'!E693)</f>
        <v>14.04.2011</v>
      </c>
      <c r="D700" s="69" t="str">
        <f>IF('Informe Kelly'!E693="","",'Informe Kelly'!E693)</f>
        <v>14.04.2011</v>
      </c>
      <c r="E700" s="72">
        <f t="shared" si="21"/>
        <v>353</v>
      </c>
      <c r="F700" s="72" t="str">
        <f>IFERROR(HLOOKUP(C700,Ingreso!$Q$8:$AD$9,2,FALSE),"v")</f>
        <v>Jueves</v>
      </c>
      <c r="G700" s="65" t="str">
        <f>IFERROR(VLOOKUP(A700,Ingreso!K:P,6,FALSE),"no esta ingresado")</f>
        <v>Turno A</v>
      </c>
      <c r="H700" s="65">
        <f>IFERROR(IF('Informe Kelly'!H693=$A$2,'Informe Kelly'!F693,""),0)</f>
        <v>0.29993055555555553</v>
      </c>
      <c r="I700" s="65" t="str">
        <f>IFERROR(IF('Informe Kelly'!H693=$A$3,'Informe Kelly'!F693,""),0)</f>
        <v/>
      </c>
      <c r="J700" s="65" t="str">
        <f>IF(IFERROR(IF(E700=E699,0,(HLOOKUP(D700,Ingreso!$AN$10:$AT$260,VLOOKUP(A700,Ingreso!$AL$11:$AM$260,2,FALSE)))/24),0)=0,"",IFERROR(IF(E700=E699,0,(HLOOKUP(D700,Ingreso!$AN$10:$AT$260,VLOOKUP(A700,Ingreso!$AL$11:$AM$260,2,FALSE)))/24),0))</f>
        <v/>
      </c>
      <c r="K700" s="65" t="str">
        <f>IF(IFERROR(IF(E700=E699,0,(HLOOKUP(C700,Ingreso!$AW$10:$BC$260,VLOOKUP(A700,Ingreso!$AL$11:$AM$260,2,FALSE)))/24),0)=0,"",IFERROR(IF(E700=E699,0,(HLOOKUP(C700,Ingreso!$AW$10:$BC$260,VLOOKUP(A700,Ingreso!$AL$11:$AM$260,2,FALSE)))/24),0))</f>
        <v/>
      </c>
      <c r="L700" s="63">
        <f t="shared" si="20"/>
        <v>0</v>
      </c>
      <c r="M700" s="63" t="str">
        <f>IF(IFERROR(IF(C700=C698,0,IF(E700=E699,0,IF(C700=$R$2,HLOOKUP($R$2,Ingreso!$AW$10:$BC$260,VLOOKUP(A700,Ingreso!AL:AM,2,FALSE),FALSE)/24,""))),"")=0,"",IFERROR(IF(C700=C698,0,IF(E700=E699,0,IF(C700=$R$2,HLOOKUP($R$2,Ingreso!$AW$10:$BC$260,VLOOKUP(A700,Ingreso!AL:AM,2,FALSE),FALSE)/24,""))),""))</f>
        <v/>
      </c>
      <c r="N700" s="95" t="str">
        <f>IF(IFERROR(IF(C700=C698,0,IF(E700=E699,0,IF(C700=$R$3,HLOOKUP($R$3,Ingreso!$AW$10:$BC$260,VLOOKUP(A700,Ingreso!AL:AM,2,FALSE),FALSE)/24,""))),"")=0,"",IFERROR(IF(C700=C698,0,IF(E700=E699,0,IF(C700=$R$3,HLOOKUP($R$3,Ingreso!$AW$10:$BC$260,VLOOKUP(A700,Ingreso!AL:AM,2,FALSE),FALSE)/24,""))),""))</f>
        <v/>
      </c>
      <c r="O700" s="95" t="str">
        <f>IF(IFERROR(IF(C700=C698,0,IF(E700=E699,0,IF(C700=$R$4,HLOOKUP($R$4,Ingreso!$AW$10:$BC$260,VLOOKUP(A700,Ingreso!AL:AM,2,FALSE),FALSE)/24,""))),"")=0,"",IFERROR(IF(C700=C698,0,IF(E700=E699,0,IF(C700=$R$4,HLOOKUP($R$4,Ingreso!$AW$10:$BC$260,VLOOKUP(A700,Ingreso!AL:AM,2,FALSE),FALSE)/24,""))),""))</f>
        <v/>
      </c>
      <c r="P700" s="90"/>
      <c r="V700"/>
      <c r="W700"/>
      <c r="X700"/>
      <c r="Y700"/>
      <c r="Z700"/>
      <c r="AA700"/>
      <c r="AB700"/>
      <c r="AC700"/>
      <c r="AD700"/>
    </row>
    <row r="701" spans="1:33">
      <c r="A701" s="65" t="str">
        <f>IFERROR(VLOOKUP('Informe Kelly'!A694,Base!A:B,2,FALSE),"")</f>
        <v>13.681.026-K</v>
      </c>
      <c r="B701" s="65" t="str">
        <f>IFERROR(VLOOKUP('Informe Kelly'!A694,Base!A:G,7,FALSE),"")</f>
        <v>OYANEDEL COFRE JULIO HERNAN</v>
      </c>
      <c r="C701" s="69" t="str">
        <f>IF(G701=$C$4,IF('Informe Kelly'!H694='Control informe Kelly'!$A$2,TEXT(((LEFT('Informe Kelly'!E694,2)*1)+1),"dd")&amp;"."&amp;MID('Informe Kelly'!E694,4,2)&amp;"."&amp;RIGHT('Informe Kelly'!E694,4),'Informe Kelly'!E694),'Informe Kelly'!E694)</f>
        <v>15.04.2011</v>
      </c>
      <c r="D701" s="69" t="str">
        <f>IF('Informe Kelly'!E694="","",'Informe Kelly'!E694)</f>
        <v>15.04.2011</v>
      </c>
      <c r="E701" s="72">
        <f t="shared" si="21"/>
        <v>354</v>
      </c>
      <c r="F701" s="72" t="str">
        <f>IFERROR(HLOOKUP(C701,Ingreso!$Q$8:$AD$9,2,FALSE),"v")</f>
        <v>Viernes</v>
      </c>
      <c r="G701" s="65" t="str">
        <f>IFERROR(VLOOKUP(A701,Ingreso!K:P,6,FALSE),"no esta ingresado")</f>
        <v>Turno A</v>
      </c>
      <c r="H701" s="65" t="str">
        <f>IFERROR(IF('Informe Kelly'!H694=$A$2,'Informe Kelly'!F694,""),0)</f>
        <v/>
      </c>
      <c r="I701" s="65">
        <f>IFERROR(IF('Informe Kelly'!H694=$A$3,'Informe Kelly'!F694,""),0)</f>
        <v>0.6390393518518519</v>
      </c>
      <c r="J701" s="65" t="str">
        <f>IF(IFERROR(IF(E701=E700,0,(HLOOKUP(D701,Ingreso!$AN$10:$AT$260,VLOOKUP(A701,Ingreso!$AL$11:$AM$260,2,FALSE)))/24),0)=0,"",IFERROR(IF(E701=E700,0,(HLOOKUP(D701,Ingreso!$AN$10:$AT$260,VLOOKUP(A701,Ingreso!$AL$11:$AM$260,2,FALSE)))/24),0))</f>
        <v/>
      </c>
      <c r="K701" s="65" t="str">
        <f>IF(IFERROR(IF(E701=E700,0,(HLOOKUP(C701,Ingreso!$AW$10:$BC$260,VLOOKUP(A701,Ingreso!$AL$11:$AM$260,2,FALSE)))/24),0)=0,"",IFERROR(IF(E701=E700,0,(HLOOKUP(C701,Ingreso!$AW$10:$BC$260,VLOOKUP(A701,Ingreso!$AL$11:$AM$260,2,FALSE)))/24),0))</f>
        <v/>
      </c>
      <c r="L701" s="63">
        <f t="shared" si="20"/>
        <v>0.3125</v>
      </c>
      <c r="M701" s="63" t="str">
        <f>IF(IFERROR(IF(C701=C699,0,IF(E701=E700,0,IF(C701=$R$2,HLOOKUP($R$2,Ingreso!$AW$10:$BC$260,VLOOKUP(A701,Ingreso!AL:AM,2,FALSE),FALSE)/24,""))),"")=0,"",IFERROR(IF(C701=C699,0,IF(E701=E700,0,IF(C701=$R$2,HLOOKUP($R$2,Ingreso!$AW$10:$BC$260,VLOOKUP(A701,Ingreso!AL:AM,2,FALSE),FALSE)/24,""))),""))</f>
        <v/>
      </c>
      <c r="N701" s="95" t="str">
        <f>IF(IFERROR(IF(C701=C699,0,IF(E701=E700,0,IF(C701=$R$3,HLOOKUP($R$3,Ingreso!$AW$10:$BC$260,VLOOKUP(A701,Ingreso!AL:AM,2,FALSE),FALSE)/24,""))),"")=0,"",IFERROR(IF(C701=C699,0,IF(E701=E700,0,IF(C701=$R$3,HLOOKUP($R$3,Ingreso!$AW$10:$BC$260,VLOOKUP(A701,Ingreso!AL:AM,2,FALSE),FALSE)/24,""))),""))</f>
        <v/>
      </c>
      <c r="O701" s="95" t="str">
        <f>IF(IFERROR(IF(C701=C699,0,IF(E701=E700,0,IF(C701=$R$4,HLOOKUP($R$4,Ingreso!$AW$10:$BC$260,VLOOKUP(A701,Ingreso!AL:AM,2,FALSE),FALSE)/24,""))),"")=0,"",IFERROR(IF(C701=C699,0,IF(E701=E700,0,IF(C701=$R$4,HLOOKUP($R$4,Ingreso!$AW$10:$BC$260,VLOOKUP(A701,Ingreso!AL:AM,2,FALSE),FALSE)/24,""))),""))</f>
        <v/>
      </c>
      <c r="P701" s="90"/>
      <c r="V701"/>
      <c r="W701"/>
      <c r="X701"/>
      <c r="Y701"/>
      <c r="Z701"/>
      <c r="AA701"/>
      <c r="AB701"/>
      <c r="AC701"/>
      <c r="AD701"/>
    </row>
    <row r="702" spans="1:33">
      <c r="A702" s="65" t="str">
        <f>IFERROR(VLOOKUP('Informe Kelly'!A695,Base!A:B,2,FALSE),"")</f>
        <v>13.681.026-K</v>
      </c>
      <c r="B702" s="65" t="str">
        <f>IFERROR(VLOOKUP('Informe Kelly'!A695,Base!A:G,7,FALSE),"")</f>
        <v>OYANEDEL COFRE JULIO HERNAN</v>
      </c>
      <c r="C702" s="69" t="str">
        <f>IF(G702=$C$4,IF('Informe Kelly'!H695='Control informe Kelly'!$A$2,TEXT(((LEFT('Informe Kelly'!E695,2)*1)+1),"dd")&amp;"."&amp;MID('Informe Kelly'!E695,4,2)&amp;"."&amp;RIGHT('Informe Kelly'!E695,4),'Informe Kelly'!E695),'Informe Kelly'!E695)</f>
        <v>15.04.2011</v>
      </c>
      <c r="D702" s="69" t="str">
        <f>IF('Informe Kelly'!E695="","",'Informe Kelly'!E695)</f>
        <v>15.04.2011</v>
      </c>
      <c r="E702" s="72">
        <f t="shared" si="21"/>
        <v>354</v>
      </c>
      <c r="F702" s="72" t="str">
        <f>IFERROR(HLOOKUP(C702,Ingreso!$Q$8:$AD$9,2,FALSE),"v")</f>
        <v>Viernes</v>
      </c>
      <c r="G702" s="65" t="str">
        <f>IFERROR(VLOOKUP(A702,Ingreso!K:P,6,FALSE),"no esta ingresado")</f>
        <v>Turno A</v>
      </c>
      <c r="H702" s="65">
        <f>IFERROR(IF('Informe Kelly'!H695=$A$2,'Informe Kelly'!F695,""),0)</f>
        <v>0.29693287037037036</v>
      </c>
      <c r="I702" s="65" t="str">
        <f>IFERROR(IF('Informe Kelly'!H695=$A$3,'Informe Kelly'!F695,""),0)</f>
        <v/>
      </c>
      <c r="J702" s="65" t="str">
        <f>IF(IFERROR(IF(E702=E701,0,(HLOOKUP(D702,Ingreso!$AN$10:$AT$260,VLOOKUP(A702,Ingreso!$AL$11:$AM$260,2,FALSE)))/24),0)=0,"",IFERROR(IF(E702=E701,0,(HLOOKUP(D702,Ingreso!$AN$10:$AT$260,VLOOKUP(A702,Ingreso!$AL$11:$AM$260,2,FALSE)))/24),0))</f>
        <v/>
      </c>
      <c r="K702" s="65" t="str">
        <f>IF(IFERROR(IF(E702=E701,0,(HLOOKUP(C702,Ingreso!$AW$10:$BC$260,VLOOKUP(A702,Ingreso!$AL$11:$AM$260,2,FALSE)))/24),0)=0,"",IFERROR(IF(E702=E701,0,(HLOOKUP(C702,Ingreso!$AW$10:$BC$260,VLOOKUP(A702,Ingreso!$AL$11:$AM$260,2,FALSE)))/24),0))</f>
        <v/>
      </c>
      <c r="L702" s="63">
        <f t="shared" si="20"/>
        <v>0</v>
      </c>
      <c r="M702" s="63" t="str">
        <f>IF(IFERROR(IF(C702=C700,0,IF(E702=E701,0,IF(C702=$R$2,HLOOKUP($R$2,Ingreso!$AW$10:$BC$260,VLOOKUP(A702,Ingreso!AL:AM,2,FALSE),FALSE)/24,""))),"")=0,"",IFERROR(IF(C702=C700,0,IF(E702=E701,0,IF(C702=$R$2,HLOOKUP($R$2,Ingreso!$AW$10:$BC$260,VLOOKUP(A702,Ingreso!AL:AM,2,FALSE),FALSE)/24,""))),""))</f>
        <v/>
      </c>
      <c r="N702" s="95" t="str">
        <f>IF(IFERROR(IF(C702=C700,0,IF(E702=E701,0,IF(C702=$R$3,HLOOKUP($R$3,Ingreso!$AW$10:$BC$260,VLOOKUP(A702,Ingreso!AL:AM,2,FALSE),FALSE)/24,""))),"")=0,"",IFERROR(IF(C702=C700,0,IF(E702=E701,0,IF(C702=$R$3,HLOOKUP($R$3,Ingreso!$AW$10:$BC$260,VLOOKUP(A702,Ingreso!AL:AM,2,FALSE),FALSE)/24,""))),""))</f>
        <v/>
      </c>
      <c r="O702" s="95" t="str">
        <f>IF(IFERROR(IF(C702=C700,0,IF(E702=E701,0,IF(C702=$R$4,HLOOKUP($R$4,Ingreso!$AW$10:$BC$260,VLOOKUP(A702,Ingreso!AL:AM,2,FALSE),FALSE)/24,""))),"")=0,"",IFERROR(IF(C702=C700,0,IF(E702=E701,0,IF(C702=$R$4,HLOOKUP($R$4,Ingreso!$AW$10:$BC$260,VLOOKUP(A702,Ingreso!AL:AM,2,FALSE),FALSE)/24,""))),""))</f>
        <v/>
      </c>
      <c r="P702" s="90"/>
      <c r="V702"/>
      <c r="W702"/>
      <c r="X702"/>
      <c r="Y702"/>
      <c r="Z702"/>
      <c r="AA702"/>
      <c r="AB702"/>
      <c r="AC702"/>
      <c r="AD702"/>
    </row>
    <row r="703" spans="1:33">
      <c r="A703" s="65" t="str">
        <f>IFERROR(VLOOKUP('Informe Kelly'!A696,Base!A:B,2,FALSE),"")</f>
        <v>13.681.026-K</v>
      </c>
      <c r="B703" s="65" t="str">
        <f>IFERROR(VLOOKUP('Informe Kelly'!A696,Base!A:G,7,FALSE),"")</f>
        <v>OYANEDEL COFRE JULIO HERNAN</v>
      </c>
      <c r="C703" s="69" t="str">
        <f>IF(G703=$C$4,IF('Informe Kelly'!H696='Control informe Kelly'!$A$2,TEXT(((LEFT('Informe Kelly'!E696,2)*1)+1),"dd")&amp;"."&amp;MID('Informe Kelly'!E696,4,2)&amp;"."&amp;RIGHT('Informe Kelly'!E696,4),'Informe Kelly'!E696),'Informe Kelly'!E696)</f>
        <v>16.04.2011</v>
      </c>
      <c r="D703" s="69" t="str">
        <f>IF('Informe Kelly'!E696="","",'Informe Kelly'!E696)</f>
        <v>16.04.2011</v>
      </c>
      <c r="E703" s="72">
        <f t="shared" si="21"/>
        <v>355</v>
      </c>
      <c r="F703" s="72" t="str">
        <f>IFERROR(HLOOKUP(C703,Ingreso!$Q$8:$AD$9,2,FALSE),"v")</f>
        <v>Sábado</v>
      </c>
      <c r="G703" s="65" t="str">
        <f>IFERROR(VLOOKUP(A703,Ingreso!K:P,6,FALSE),"no esta ingresado")</f>
        <v>Turno A</v>
      </c>
      <c r="H703" s="65" t="str">
        <f>IFERROR(IF('Informe Kelly'!H696=$A$2,'Informe Kelly'!F696,""),0)</f>
        <v/>
      </c>
      <c r="I703" s="65">
        <f>IFERROR(IF('Informe Kelly'!H696=$A$3,'Informe Kelly'!F696,""),0)</f>
        <v>0.62699074074074079</v>
      </c>
      <c r="J703" s="65" t="str">
        <f>IF(IFERROR(IF(E703=E702,0,(HLOOKUP(D703,Ingreso!$AN$10:$AT$260,VLOOKUP(A703,Ingreso!$AL$11:$AM$260,2,FALSE)))/24),0)=0,"",IFERROR(IF(E703=E702,0,(HLOOKUP(D703,Ingreso!$AN$10:$AT$260,VLOOKUP(A703,Ingreso!$AL$11:$AM$260,2,FALSE)))/24),0))</f>
        <v/>
      </c>
      <c r="K703" s="65" t="str">
        <f>IF(IFERROR(IF(E703=E702,0,(HLOOKUP(C703,Ingreso!$AW$10:$BC$260,VLOOKUP(A703,Ingreso!$AL$11:$AM$260,2,FALSE)))/24),0)=0,"",IFERROR(IF(E703=E702,0,(HLOOKUP(C703,Ingreso!$AW$10:$BC$260,VLOOKUP(A703,Ingreso!$AL$11:$AM$260,2,FALSE)))/24),0))</f>
        <v/>
      </c>
      <c r="L703" s="63">
        <f t="shared" si="20"/>
        <v>0.3125</v>
      </c>
      <c r="M703" s="63" t="str">
        <f>IF(IFERROR(IF(C703=C701,0,IF(E703=E702,0,IF(C703=$R$2,HLOOKUP($R$2,Ingreso!$AW$10:$BC$260,VLOOKUP(A703,Ingreso!AL:AM,2,FALSE),FALSE)/24,""))),"")=0,"",IFERROR(IF(C703=C701,0,IF(E703=E702,0,IF(C703=$R$2,HLOOKUP($R$2,Ingreso!$AW$10:$BC$260,VLOOKUP(A703,Ingreso!AL:AM,2,FALSE),FALSE)/24,""))),""))</f>
        <v/>
      </c>
      <c r="N703" s="95" t="str">
        <f>IF(IFERROR(IF(C703=C701,0,IF(E703=E702,0,IF(C703=$R$3,HLOOKUP($R$3,Ingreso!$AW$10:$BC$260,VLOOKUP(A703,Ingreso!AL:AM,2,FALSE),FALSE)/24,""))),"")=0,"",IFERROR(IF(C703=C701,0,IF(E703=E702,0,IF(C703=$R$3,HLOOKUP($R$3,Ingreso!$AW$10:$BC$260,VLOOKUP(A703,Ingreso!AL:AM,2,FALSE),FALSE)/24,""))),""))</f>
        <v/>
      </c>
      <c r="O703" s="95" t="str">
        <f>IF(IFERROR(IF(C703=C701,0,IF(E703=E702,0,IF(C703=$R$4,HLOOKUP($R$4,Ingreso!$AW$10:$BC$260,VLOOKUP(A703,Ingreso!AL:AM,2,FALSE),FALSE)/24,""))),"")=0,"",IFERROR(IF(C703=C701,0,IF(E703=E702,0,IF(C703=$R$4,HLOOKUP($R$4,Ingreso!$AW$10:$BC$260,VLOOKUP(A703,Ingreso!AL:AM,2,FALSE),FALSE)/24,""))),""))</f>
        <v/>
      </c>
      <c r="P703" s="90"/>
      <c r="V703"/>
      <c r="W703"/>
      <c r="X703"/>
      <c r="Y703"/>
      <c r="Z703"/>
      <c r="AA703"/>
      <c r="AB703"/>
      <c r="AC703"/>
      <c r="AD703"/>
    </row>
    <row r="704" spans="1:33">
      <c r="A704" s="65" t="str">
        <f>IFERROR(VLOOKUP('Informe Kelly'!A697,Base!A:B,2,FALSE),"")</f>
        <v>13.681.026-K</v>
      </c>
      <c r="B704" s="65" t="str">
        <f>IFERROR(VLOOKUP('Informe Kelly'!A697,Base!A:G,7,FALSE),"")</f>
        <v>OYANEDEL COFRE JULIO HERNAN</v>
      </c>
      <c r="C704" s="69" t="str">
        <f>IF(G704=$C$4,IF('Informe Kelly'!H697='Control informe Kelly'!$A$2,TEXT(((LEFT('Informe Kelly'!E697,2)*1)+1),"dd")&amp;"."&amp;MID('Informe Kelly'!E697,4,2)&amp;"."&amp;RIGHT('Informe Kelly'!E697,4),'Informe Kelly'!E697),'Informe Kelly'!E697)</f>
        <v>16.04.2011</v>
      </c>
      <c r="D704" s="69" t="str">
        <f>IF('Informe Kelly'!E697="","",'Informe Kelly'!E697)</f>
        <v>16.04.2011</v>
      </c>
      <c r="E704" s="72">
        <f t="shared" si="21"/>
        <v>355</v>
      </c>
      <c r="F704" s="72" t="str">
        <f>IFERROR(HLOOKUP(C704,Ingreso!$Q$8:$AD$9,2,FALSE),"v")</f>
        <v>Sábado</v>
      </c>
      <c r="G704" s="65" t="str">
        <f>IFERROR(VLOOKUP(A704,Ingreso!K:P,6,FALSE),"no esta ingresado")</f>
        <v>Turno A</v>
      </c>
      <c r="H704" s="65">
        <f>IFERROR(IF('Informe Kelly'!H697=$A$2,'Informe Kelly'!F697,""),0)</f>
        <v>0.29452546296296295</v>
      </c>
      <c r="I704" s="65" t="str">
        <f>IFERROR(IF('Informe Kelly'!H697=$A$3,'Informe Kelly'!F697,""),0)</f>
        <v/>
      </c>
      <c r="J704" s="65" t="str">
        <f>IF(IFERROR(IF(E704=E703,0,(HLOOKUP(D704,Ingreso!$AN$10:$AT$260,VLOOKUP(A704,Ingreso!$AL$11:$AM$260,2,FALSE)))/24),0)=0,"",IFERROR(IF(E704=E703,0,(HLOOKUP(D704,Ingreso!$AN$10:$AT$260,VLOOKUP(A704,Ingreso!$AL$11:$AM$260,2,FALSE)))/24),0))</f>
        <v/>
      </c>
      <c r="K704" s="65" t="str">
        <f>IF(IFERROR(IF(E704=E703,0,(HLOOKUP(C704,Ingreso!$AW$10:$BC$260,VLOOKUP(A704,Ingreso!$AL$11:$AM$260,2,FALSE)))/24),0)=0,"",IFERROR(IF(E704=E703,0,(HLOOKUP(C704,Ingreso!$AW$10:$BC$260,VLOOKUP(A704,Ingreso!$AL$11:$AM$260,2,FALSE)))/24),0))</f>
        <v/>
      </c>
      <c r="L704" s="63">
        <f t="shared" si="20"/>
        <v>0</v>
      </c>
      <c r="M704" s="63" t="str">
        <f>IF(IFERROR(IF(C704=C702,0,IF(E704=E703,0,IF(C704=$R$2,HLOOKUP($R$2,Ingreso!$AW$10:$BC$260,VLOOKUP(A704,Ingreso!AL:AM,2,FALSE),FALSE)/24,""))),"")=0,"",IFERROR(IF(C704=C702,0,IF(E704=E703,0,IF(C704=$R$2,HLOOKUP($R$2,Ingreso!$AW$10:$BC$260,VLOOKUP(A704,Ingreso!AL:AM,2,FALSE),FALSE)/24,""))),""))</f>
        <v/>
      </c>
      <c r="N704" s="95" t="str">
        <f>IF(IFERROR(IF(C704=C702,0,IF(E704=E703,0,IF(C704=$R$3,HLOOKUP($R$3,Ingreso!$AW$10:$BC$260,VLOOKUP(A704,Ingreso!AL:AM,2,FALSE),FALSE)/24,""))),"")=0,"",IFERROR(IF(C704=C702,0,IF(E704=E703,0,IF(C704=$R$3,HLOOKUP($R$3,Ingreso!$AW$10:$BC$260,VLOOKUP(A704,Ingreso!AL:AM,2,FALSE),FALSE)/24,""))),""))</f>
        <v/>
      </c>
      <c r="O704" s="95" t="str">
        <f>IF(IFERROR(IF(C704=C702,0,IF(E704=E703,0,IF(C704=$R$4,HLOOKUP($R$4,Ingreso!$AW$10:$BC$260,VLOOKUP(A704,Ingreso!AL:AM,2,FALSE),FALSE)/24,""))),"")=0,"",IFERROR(IF(C704=C702,0,IF(E704=E703,0,IF(C704=$R$4,HLOOKUP($R$4,Ingreso!$AW$10:$BC$260,VLOOKUP(A704,Ingreso!AL:AM,2,FALSE),FALSE)/24,""))),""))</f>
        <v/>
      </c>
      <c r="P704" s="90"/>
      <c r="V704"/>
      <c r="W704"/>
      <c r="X704"/>
      <c r="Y704"/>
      <c r="Z704"/>
      <c r="AA704"/>
      <c r="AB704"/>
      <c r="AC704"/>
      <c r="AD704"/>
    </row>
    <row r="705" spans="1:30">
      <c r="A705" s="65" t="str">
        <f>IFERROR(VLOOKUP('Informe Kelly'!A698,Base!A:B,2,FALSE),"")</f>
        <v>13.701.209-K</v>
      </c>
      <c r="B705" s="65" t="str">
        <f>IFERROR(VLOOKUP('Informe Kelly'!A698,Base!A:G,7,FALSE),"")</f>
        <v>SANCHEZ TORRES MARCELINO JHONATTAN</v>
      </c>
      <c r="C705" s="69" t="str">
        <f>IF(G705=$C$4,IF('Informe Kelly'!H698='Control informe Kelly'!$A$2,TEXT(((LEFT('Informe Kelly'!E698,2)*1)+1),"dd")&amp;"."&amp;MID('Informe Kelly'!E698,4,2)&amp;"."&amp;RIGHT('Informe Kelly'!E698,4),'Informe Kelly'!E698),'Informe Kelly'!E698)</f>
        <v>11.04.2011</v>
      </c>
      <c r="D705" s="69" t="str">
        <f>IF('Informe Kelly'!E698="","",'Informe Kelly'!E698)</f>
        <v>11.04.2011</v>
      </c>
      <c r="E705" s="72">
        <f t="shared" si="21"/>
        <v>356</v>
      </c>
      <c r="F705" s="72" t="str">
        <f>IFERROR(HLOOKUP(C705,Ingreso!$Q$8:$AD$9,2,FALSE),"v")</f>
        <v>Lunes</v>
      </c>
      <c r="G705" s="65" t="str">
        <f>IFERROR(VLOOKUP(A705,Ingreso!K:P,6,FALSE),"no esta ingresado")</f>
        <v>Turno B</v>
      </c>
      <c r="H705" s="65" t="str">
        <f>IFERROR(IF('Informe Kelly'!H698=$A$2,'Informe Kelly'!F698,""),0)</f>
        <v/>
      </c>
      <c r="I705" s="65">
        <f>IFERROR(IF('Informe Kelly'!H698=$A$3,'Informe Kelly'!F698,""),0)</f>
        <v>0.9425</v>
      </c>
      <c r="J705" s="65" t="str">
        <f>IF(IFERROR(IF(E705=E704,0,(HLOOKUP(D705,Ingreso!$AN$10:$AT$260,VLOOKUP(A705,Ingreso!$AL$11:$AM$260,2,FALSE)))/24),0)=0,"",IFERROR(IF(E705=E704,0,(HLOOKUP(D705,Ingreso!$AN$10:$AT$260,VLOOKUP(A705,Ingreso!$AL$11:$AM$260,2,FALSE)))/24),0))</f>
        <v/>
      </c>
      <c r="K705" s="65" t="str">
        <f>IF(IFERROR(IF(E705=E704,0,(HLOOKUP(C705,Ingreso!$AW$10:$BC$260,VLOOKUP(A705,Ingreso!$AL$11:$AM$260,2,FALSE)))/24),0)=0,"",IFERROR(IF(E705=E704,0,(HLOOKUP(C705,Ingreso!$AW$10:$BC$260,VLOOKUP(A705,Ingreso!$AL$11:$AM$260,2,FALSE)))/24),0))</f>
        <v/>
      </c>
      <c r="L705" s="63">
        <f t="shared" si="20"/>
        <v>0.3125</v>
      </c>
      <c r="M705" s="63" t="str">
        <f>IF(IFERROR(IF(C705=C703,0,IF(E705=E704,0,IF(C705=$R$2,HLOOKUP($R$2,Ingreso!$AW$10:$BC$260,VLOOKUP(A705,Ingreso!AL:AM,2,FALSE),FALSE)/24,""))),"")=0,"",IFERROR(IF(C705=C703,0,IF(E705=E704,0,IF(C705=$R$2,HLOOKUP($R$2,Ingreso!$AW$10:$BC$260,VLOOKUP(A705,Ingreso!AL:AM,2,FALSE),FALSE)/24,""))),""))</f>
        <v/>
      </c>
      <c r="N705" s="95" t="str">
        <f>IF(IFERROR(IF(C705=C703,0,IF(E705=E704,0,IF(C705=$R$3,HLOOKUP($R$3,Ingreso!$AW$10:$BC$260,VLOOKUP(A705,Ingreso!AL:AM,2,FALSE),FALSE)/24,""))),"")=0,"",IFERROR(IF(C705=C703,0,IF(E705=E704,0,IF(C705=$R$3,HLOOKUP($R$3,Ingreso!$AW$10:$BC$260,VLOOKUP(A705,Ingreso!AL:AM,2,FALSE),FALSE)/24,""))),""))</f>
        <v/>
      </c>
      <c r="O705" s="95" t="str">
        <f>IF(IFERROR(IF(C705=C703,0,IF(E705=E704,0,IF(C705=$R$4,HLOOKUP($R$4,Ingreso!$AW$10:$BC$260,VLOOKUP(A705,Ingreso!AL:AM,2,FALSE),FALSE)/24,""))),"")=0,"",IFERROR(IF(C705=C703,0,IF(E705=E704,0,IF(C705=$R$4,HLOOKUP($R$4,Ingreso!$AW$10:$BC$260,VLOOKUP(A705,Ingreso!AL:AM,2,FALSE),FALSE)/24,""))),""))</f>
        <v/>
      </c>
      <c r="P705" s="90"/>
      <c r="V705"/>
      <c r="W705"/>
      <c r="X705"/>
      <c r="Y705"/>
      <c r="Z705"/>
      <c r="AA705"/>
      <c r="AB705"/>
      <c r="AC705"/>
      <c r="AD705"/>
    </row>
    <row r="706" spans="1:30">
      <c r="A706" s="65" t="str">
        <f>IFERROR(VLOOKUP('Informe Kelly'!A699,Base!A:B,2,FALSE),"")</f>
        <v>13.701.209-K</v>
      </c>
      <c r="B706" s="65" t="str">
        <f>IFERROR(VLOOKUP('Informe Kelly'!A699,Base!A:G,7,FALSE),"")</f>
        <v>SANCHEZ TORRES MARCELINO JHONATTAN</v>
      </c>
      <c r="C706" s="69" t="str">
        <f>IF(G706=$C$4,IF('Informe Kelly'!H699='Control informe Kelly'!$A$2,TEXT(((LEFT('Informe Kelly'!E699,2)*1)+1),"dd")&amp;"."&amp;MID('Informe Kelly'!E699,4,2)&amp;"."&amp;RIGHT('Informe Kelly'!E699,4),'Informe Kelly'!E699),'Informe Kelly'!E699)</f>
        <v>11.04.2011</v>
      </c>
      <c r="D706" s="69" t="str">
        <f>IF('Informe Kelly'!E699="","",'Informe Kelly'!E699)</f>
        <v>11.04.2011</v>
      </c>
      <c r="E706" s="72">
        <f t="shared" si="21"/>
        <v>356</v>
      </c>
      <c r="F706" s="72" t="str">
        <f>IFERROR(HLOOKUP(C706,Ingreso!$Q$8:$AD$9,2,FALSE),"v")</f>
        <v>Lunes</v>
      </c>
      <c r="G706" s="65" t="str">
        <f>IFERROR(VLOOKUP(A706,Ingreso!K:P,6,FALSE),"no esta ingresado")</f>
        <v>Turno B</v>
      </c>
      <c r="H706" s="65">
        <f>IFERROR(IF('Informe Kelly'!H699=$A$2,'Informe Kelly'!F699,""),0)</f>
        <v>0.60895833333333338</v>
      </c>
      <c r="I706" s="65" t="str">
        <f>IFERROR(IF('Informe Kelly'!H699=$A$3,'Informe Kelly'!F699,""),0)</f>
        <v/>
      </c>
      <c r="J706" s="65" t="str">
        <f>IF(IFERROR(IF(E706=E705,0,(HLOOKUP(D706,Ingreso!$AN$10:$AT$260,VLOOKUP(A706,Ingreso!$AL$11:$AM$260,2,FALSE)))/24),0)=0,"",IFERROR(IF(E706=E705,0,(HLOOKUP(D706,Ingreso!$AN$10:$AT$260,VLOOKUP(A706,Ingreso!$AL$11:$AM$260,2,FALSE)))/24),0))</f>
        <v/>
      </c>
      <c r="K706" s="65" t="str">
        <f>IF(IFERROR(IF(E706=E705,0,(HLOOKUP(C706,Ingreso!$AW$10:$BC$260,VLOOKUP(A706,Ingreso!$AL$11:$AM$260,2,FALSE)))/24),0)=0,"",IFERROR(IF(E706=E705,0,(HLOOKUP(C706,Ingreso!$AW$10:$BC$260,VLOOKUP(A706,Ingreso!$AL$11:$AM$260,2,FALSE)))/24),0))</f>
        <v/>
      </c>
      <c r="L706" s="63">
        <f t="shared" si="20"/>
        <v>0</v>
      </c>
      <c r="M706" s="63" t="str">
        <f>IF(IFERROR(IF(C706=C704,0,IF(E706=E705,0,IF(C706=$R$2,HLOOKUP($R$2,Ingreso!$AW$10:$BC$260,VLOOKUP(A706,Ingreso!AL:AM,2,FALSE),FALSE)/24,""))),"")=0,"",IFERROR(IF(C706=C704,0,IF(E706=E705,0,IF(C706=$R$2,HLOOKUP($R$2,Ingreso!$AW$10:$BC$260,VLOOKUP(A706,Ingreso!AL:AM,2,FALSE),FALSE)/24,""))),""))</f>
        <v/>
      </c>
      <c r="N706" s="95" t="str">
        <f>IF(IFERROR(IF(C706=C704,0,IF(E706=E705,0,IF(C706=$R$3,HLOOKUP($R$3,Ingreso!$AW$10:$BC$260,VLOOKUP(A706,Ingreso!AL:AM,2,FALSE),FALSE)/24,""))),"")=0,"",IFERROR(IF(C706=C704,0,IF(E706=E705,0,IF(C706=$R$3,HLOOKUP($R$3,Ingreso!$AW$10:$BC$260,VLOOKUP(A706,Ingreso!AL:AM,2,FALSE),FALSE)/24,""))),""))</f>
        <v/>
      </c>
      <c r="O706" s="95" t="str">
        <f>IF(IFERROR(IF(C706=C704,0,IF(E706=E705,0,IF(C706=$R$4,HLOOKUP($R$4,Ingreso!$AW$10:$BC$260,VLOOKUP(A706,Ingreso!AL:AM,2,FALSE),FALSE)/24,""))),"")=0,"",IFERROR(IF(C706=C704,0,IF(E706=E705,0,IF(C706=$R$4,HLOOKUP($R$4,Ingreso!$AW$10:$BC$260,VLOOKUP(A706,Ingreso!AL:AM,2,FALSE),FALSE)/24,""))),""))</f>
        <v/>
      </c>
      <c r="P706" s="90"/>
      <c r="V706"/>
      <c r="W706"/>
      <c r="X706"/>
      <c r="Y706"/>
      <c r="Z706"/>
      <c r="AA706"/>
      <c r="AB706"/>
      <c r="AC706"/>
      <c r="AD706"/>
    </row>
    <row r="707" spans="1:30">
      <c r="A707" s="65" t="str">
        <f>IFERROR(VLOOKUP('Informe Kelly'!A700,Base!A:B,2,FALSE),"")</f>
        <v>13.701.209-K</v>
      </c>
      <c r="B707" s="65" t="str">
        <f>IFERROR(VLOOKUP('Informe Kelly'!A700,Base!A:G,7,FALSE),"")</f>
        <v>SANCHEZ TORRES MARCELINO JHONATTAN</v>
      </c>
      <c r="C707" s="69" t="str">
        <f>IF(G707=$C$4,IF('Informe Kelly'!H700='Control informe Kelly'!$A$2,TEXT(((LEFT('Informe Kelly'!E700,2)*1)+1),"dd")&amp;"."&amp;MID('Informe Kelly'!E700,4,2)&amp;"."&amp;RIGHT('Informe Kelly'!E700,4),'Informe Kelly'!E700),'Informe Kelly'!E700)</f>
        <v>12.04.2011</v>
      </c>
      <c r="D707" s="69" t="str">
        <f>IF('Informe Kelly'!E700="","",'Informe Kelly'!E700)</f>
        <v>12.04.2011</v>
      </c>
      <c r="E707" s="72">
        <f t="shared" si="21"/>
        <v>357</v>
      </c>
      <c r="F707" s="72" t="str">
        <f>IFERROR(HLOOKUP(C707,Ingreso!$Q$8:$AD$9,2,FALSE),"v")</f>
        <v>Martes</v>
      </c>
      <c r="G707" s="65" t="str">
        <f>IFERROR(VLOOKUP(A707,Ingreso!K:P,6,FALSE),"no esta ingresado")</f>
        <v>Turno B</v>
      </c>
      <c r="H707" s="65" t="str">
        <f>IFERROR(IF('Informe Kelly'!H700=$A$2,'Informe Kelly'!F700,""),0)</f>
        <v/>
      </c>
      <c r="I707" s="65">
        <f>IFERROR(IF('Informe Kelly'!H700=$A$3,'Informe Kelly'!F700,""),0)</f>
        <v>0.94557870370370367</v>
      </c>
      <c r="J707" s="65" t="str">
        <f>IF(IFERROR(IF(E707=E706,0,(HLOOKUP(D707,Ingreso!$AN$10:$AT$260,VLOOKUP(A707,Ingreso!$AL$11:$AM$260,2,FALSE)))/24),0)=0,"",IFERROR(IF(E707=E706,0,(HLOOKUP(D707,Ingreso!$AN$10:$AT$260,VLOOKUP(A707,Ingreso!$AL$11:$AM$260,2,FALSE)))/24),0))</f>
        <v/>
      </c>
      <c r="K707" s="65" t="str">
        <f>IF(IFERROR(IF(E707=E706,0,(HLOOKUP(C707,Ingreso!$AW$10:$BC$260,VLOOKUP(A707,Ingreso!$AL$11:$AM$260,2,FALSE)))/24),0)=0,"",IFERROR(IF(E707=E706,0,(HLOOKUP(C707,Ingreso!$AW$10:$BC$260,VLOOKUP(A707,Ingreso!$AL$11:$AM$260,2,FALSE)))/24),0))</f>
        <v/>
      </c>
      <c r="L707" s="63">
        <f t="shared" si="20"/>
        <v>0.3125</v>
      </c>
      <c r="M707" s="63" t="str">
        <f>IF(IFERROR(IF(C707=C705,0,IF(E707=E706,0,IF(C707=$R$2,HLOOKUP($R$2,Ingreso!$AW$10:$BC$260,VLOOKUP(A707,Ingreso!AL:AM,2,FALSE),FALSE)/24,""))),"")=0,"",IFERROR(IF(C707=C705,0,IF(E707=E706,0,IF(C707=$R$2,HLOOKUP($R$2,Ingreso!$AW$10:$BC$260,VLOOKUP(A707,Ingreso!AL:AM,2,FALSE),FALSE)/24,""))),""))</f>
        <v/>
      </c>
      <c r="N707" s="95" t="str">
        <f>IF(IFERROR(IF(C707=C705,0,IF(E707=E706,0,IF(C707=$R$3,HLOOKUP($R$3,Ingreso!$AW$10:$BC$260,VLOOKUP(A707,Ingreso!AL:AM,2,FALSE),FALSE)/24,""))),"")=0,"",IFERROR(IF(C707=C705,0,IF(E707=E706,0,IF(C707=$R$3,HLOOKUP($R$3,Ingreso!$AW$10:$BC$260,VLOOKUP(A707,Ingreso!AL:AM,2,FALSE),FALSE)/24,""))),""))</f>
        <v/>
      </c>
      <c r="O707" s="95" t="str">
        <f>IF(IFERROR(IF(C707=C705,0,IF(E707=E706,0,IF(C707=$R$4,HLOOKUP($R$4,Ingreso!$AW$10:$BC$260,VLOOKUP(A707,Ingreso!AL:AM,2,FALSE),FALSE)/24,""))),"")=0,"",IFERROR(IF(C707=C705,0,IF(E707=E706,0,IF(C707=$R$4,HLOOKUP($R$4,Ingreso!$AW$10:$BC$260,VLOOKUP(A707,Ingreso!AL:AM,2,FALSE),FALSE)/24,""))),""))</f>
        <v/>
      </c>
      <c r="P707" s="90"/>
      <c r="V707"/>
      <c r="W707"/>
      <c r="X707"/>
      <c r="Y707"/>
      <c r="Z707"/>
      <c r="AA707"/>
      <c r="AB707"/>
      <c r="AC707"/>
      <c r="AD707"/>
    </row>
    <row r="708" spans="1:30">
      <c r="A708" s="65" t="str">
        <f>IFERROR(VLOOKUP('Informe Kelly'!A701,Base!A:B,2,FALSE),"")</f>
        <v>13.701.209-K</v>
      </c>
      <c r="B708" s="65" t="str">
        <f>IFERROR(VLOOKUP('Informe Kelly'!A701,Base!A:G,7,FALSE),"")</f>
        <v>SANCHEZ TORRES MARCELINO JHONATTAN</v>
      </c>
      <c r="C708" s="69" t="str">
        <f>IF(G708=$C$4,IF('Informe Kelly'!H701='Control informe Kelly'!$A$2,TEXT(((LEFT('Informe Kelly'!E701,2)*1)+1),"dd")&amp;"."&amp;MID('Informe Kelly'!E701,4,2)&amp;"."&amp;RIGHT('Informe Kelly'!E701,4),'Informe Kelly'!E701),'Informe Kelly'!E701)</f>
        <v>12.04.2011</v>
      </c>
      <c r="D708" s="69" t="str">
        <f>IF('Informe Kelly'!E701="","",'Informe Kelly'!E701)</f>
        <v>12.04.2011</v>
      </c>
      <c r="E708" s="72">
        <f t="shared" si="21"/>
        <v>357</v>
      </c>
      <c r="F708" s="72" t="str">
        <f>IFERROR(HLOOKUP(C708,Ingreso!$Q$8:$AD$9,2,FALSE),"v")</f>
        <v>Martes</v>
      </c>
      <c r="G708" s="65" t="str">
        <f>IFERROR(VLOOKUP(A708,Ingreso!K:P,6,FALSE),"no esta ingresado")</f>
        <v>Turno B</v>
      </c>
      <c r="H708" s="65">
        <f>IFERROR(IF('Informe Kelly'!H701=$A$2,'Informe Kelly'!F701,""),0)</f>
        <v>0.6050578703703704</v>
      </c>
      <c r="I708" s="65" t="str">
        <f>IFERROR(IF('Informe Kelly'!H701=$A$3,'Informe Kelly'!F701,""),0)</f>
        <v/>
      </c>
      <c r="J708" s="65" t="str">
        <f>IF(IFERROR(IF(E708=E707,0,(HLOOKUP(D708,Ingreso!$AN$10:$AT$260,VLOOKUP(A708,Ingreso!$AL$11:$AM$260,2,FALSE)))/24),0)=0,"",IFERROR(IF(E708=E707,0,(HLOOKUP(D708,Ingreso!$AN$10:$AT$260,VLOOKUP(A708,Ingreso!$AL$11:$AM$260,2,FALSE)))/24),0))</f>
        <v/>
      </c>
      <c r="K708" s="65" t="str">
        <f>IF(IFERROR(IF(E708=E707,0,(HLOOKUP(C708,Ingreso!$AW$10:$BC$260,VLOOKUP(A708,Ingreso!$AL$11:$AM$260,2,FALSE)))/24),0)=0,"",IFERROR(IF(E708=E707,0,(HLOOKUP(C708,Ingreso!$AW$10:$BC$260,VLOOKUP(A708,Ingreso!$AL$11:$AM$260,2,FALSE)))/24),0))</f>
        <v/>
      </c>
      <c r="L708" s="63">
        <f t="shared" si="20"/>
        <v>0</v>
      </c>
      <c r="M708" s="63" t="str">
        <f>IF(IFERROR(IF(C708=C706,0,IF(E708=E707,0,IF(C708=$R$2,HLOOKUP($R$2,Ingreso!$AW$10:$BC$260,VLOOKUP(A708,Ingreso!AL:AM,2,FALSE),FALSE)/24,""))),"")=0,"",IFERROR(IF(C708=C706,0,IF(E708=E707,0,IF(C708=$R$2,HLOOKUP($R$2,Ingreso!$AW$10:$BC$260,VLOOKUP(A708,Ingreso!AL:AM,2,FALSE),FALSE)/24,""))),""))</f>
        <v/>
      </c>
      <c r="N708" s="95" t="str">
        <f>IF(IFERROR(IF(C708=C706,0,IF(E708=E707,0,IF(C708=$R$3,HLOOKUP($R$3,Ingreso!$AW$10:$BC$260,VLOOKUP(A708,Ingreso!AL:AM,2,FALSE),FALSE)/24,""))),"")=0,"",IFERROR(IF(C708=C706,0,IF(E708=E707,0,IF(C708=$R$3,HLOOKUP($R$3,Ingreso!$AW$10:$BC$260,VLOOKUP(A708,Ingreso!AL:AM,2,FALSE),FALSE)/24,""))),""))</f>
        <v/>
      </c>
      <c r="O708" s="95" t="str">
        <f>IF(IFERROR(IF(C708=C706,0,IF(E708=E707,0,IF(C708=$R$4,HLOOKUP($R$4,Ingreso!$AW$10:$BC$260,VLOOKUP(A708,Ingreso!AL:AM,2,FALSE),FALSE)/24,""))),"")=0,"",IFERROR(IF(C708=C706,0,IF(E708=E707,0,IF(C708=$R$4,HLOOKUP($R$4,Ingreso!$AW$10:$BC$260,VLOOKUP(A708,Ingreso!AL:AM,2,FALSE),FALSE)/24,""))),""))</f>
        <v/>
      </c>
      <c r="P708" s="90"/>
      <c r="V708"/>
      <c r="W708"/>
      <c r="X708"/>
      <c r="Y708"/>
      <c r="Z708"/>
      <c r="AA708"/>
      <c r="AB708"/>
      <c r="AC708"/>
      <c r="AD708"/>
    </row>
    <row r="709" spans="1:30">
      <c r="A709" s="65" t="str">
        <f>IFERROR(VLOOKUP('Informe Kelly'!A702,Base!A:B,2,FALSE),"")</f>
        <v>13.701.209-K</v>
      </c>
      <c r="B709" s="65" t="str">
        <f>IFERROR(VLOOKUP('Informe Kelly'!A702,Base!A:G,7,FALSE),"")</f>
        <v>SANCHEZ TORRES MARCELINO JHONATTAN</v>
      </c>
      <c r="C709" s="69" t="str">
        <f>IF(G709=$C$4,IF('Informe Kelly'!H702='Control informe Kelly'!$A$2,TEXT(((LEFT('Informe Kelly'!E702,2)*1)+1),"dd")&amp;"."&amp;MID('Informe Kelly'!E702,4,2)&amp;"."&amp;RIGHT('Informe Kelly'!E702,4),'Informe Kelly'!E702),'Informe Kelly'!E702)</f>
        <v>13.04.2011</v>
      </c>
      <c r="D709" s="69" t="str">
        <f>IF('Informe Kelly'!E702="","",'Informe Kelly'!E702)</f>
        <v>13.04.2011</v>
      </c>
      <c r="E709" s="72">
        <f t="shared" si="21"/>
        <v>358</v>
      </c>
      <c r="F709" s="72" t="str">
        <f>IFERROR(HLOOKUP(C709,Ingreso!$Q$8:$AD$9,2,FALSE),"v")</f>
        <v>Miércoles</v>
      </c>
      <c r="G709" s="65" t="str">
        <f>IFERROR(VLOOKUP(A709,Ingreso!K:P,6,FALSE),"no esta ingresado")</f>
        <v>Turno B</v>
      </c>
      <c r="H709" s="65" t="str">
        <f>IFERROR(IF('Informe Kelly'!H702=$A$2,'Informe Kelly'!F702,""),0)</f>
        <v/>
      </c>
      <c r="I709" s="65">
        <f>IFERROR(IF('Informe Kelly'!H702=$A$3,'Informe Kelly'!F702,""),0)</f>
        <v>0.9435069444444445</v>
      </c>
      <c r="J709" s="65" t="str">
        <f>IF(IFERROR(IF(E709=E708,0,(HLOOKUP(D709,Ingreso!$AN$10:$AT$260,VLOOKUP(A709,Ingreso!$AL$11:$AM$260,2,FALSE)))/24),0)=0,"",IFERROR(IF(E709=E708,0,(HLOOKUP(D709,Ingreso!$AN$10:$AT$260,VLOOKUP(A709,Ingreso!$AL$11:$AM$260,2,FALSE)))/24),0))</f>
        <v/>
      </c>
      <c r="K709" s="65" t="str">
        <f>IF(IFERROR(IF(E709=E708,0,(HLOOKUP(C709,Ingreso!$AW$10:$BC$260,VLOOKUP(A709,Ingreso!$AL$11:$AM$260,2,FALSE)))/24),0)=0,"",IFERROR(IF(E709=E708,0,(HLOOKUP(C709,Ingreso!$AW$10:$BC$260,VLOOKUP(A709,Ingreso!$AL$11:$AM$260,2,FALSE)))/24),0))</f>
        <v/>
      </c>
      <c r="L709" s="63">
        <f t="shared" si="20"/>
        <v>0.3125</v>
      </c>
      <c r="M709" s="63" t="str">
        <f>IF(IFERROR(IF(C709=C707,0,IF(E709=E708,0,IF(C709=$R$2,HLOOKUP($R$2,Ingreso!$AW$10:$BC$260,VLOOKUP(A709,Ingreso!AL:AM,2,FALSE),FALSE)/24,""))),"")=0,"",IFERROR(IF(C709=C707,0,IF(E709=E708,0,IF(C709=$R$2,HLOOKUP($R$2,Ingreso!$AW$10:$BC$260,VLOOKUP(A709,Ingreso!AL:AM,2,FALSE),FALSE)/24,""))),""))</f>
        <v/>
      </c>
      <c r="N709" s="95" t="str">
        <f>IF(IFERROR(IF(C709=C707,0,IF(E709=E708,0,IF(C709=$R$3,HLOOKUP($R$3,Ingreso!$AW$10:$BC$260,VLOOKUP(A709,Ingreso!AL:AM,2,FALSE),FALSE)/24,""))),"")=0,"",IFERROR(IF(C709=C707,0,IF(E709=E708,0,IF(C709=$R$3,HLOOKUP($R$3,Ingreso!$AW$10:$BC$260,VLOOKUP(A709,Ingreso!AL:AM,2,FALSE),FALSE)/24,""))),""))</f>
        <v/>
      </c>
      <c r="O709" s="95" t="str">
        <f>IF(IFERROR(IF(C709=C707,0,IF(E709=E708,0,IF(C709=$R$4,HLOOKUP($R$4,Ingreso!$AW$10:$BC$260,VLOOKUP(A709,Ingreso!AL:AM,2,FALSE),FALSE)/24,""))),"")=0,"",IFERROR(IF(C709=C707,0,IF(E709=E708,0,IF(C709=$R$4,HLOOKUP($R$4,Ingreso!$AW$10:$BC$260,VLOOKUP(A709,Ingreso!AL:AM,2,FALSE),FALSE)/24,""))),""))</f>
        <v/>
      </c>
      <c r="P709" s="90"/>
      <c r="V709"/>
      <c r="W709"/>
      <c r="X709"/>
      <c r="Y709"/>
      <c r="Z709"/>
      <c r="AA709"/>
      <c r="AB709"/>
      <c r="AC709"/>
      <c r="AD709"/>
    </row>
    <row r="710" spans="1:30">
      <c r="A710" s="65" t="str">
        <f>IFERROR(VLOOKUP('Informe Kelly'!A703,Base!A:B,2,FALSE),"")</f>
        <v>13.701.209-K</v>
      </c>
      <c r="B710" s="65" t="str">
        <f>IFERROR(VLOOKUP('Informe Kelly'!A703,Base!A:G,7,FALSE),"")</f>
        <v>SANCHEZ TORRES MARCELINO JHONATTAN</v>
      </c>
      <c r="C710" s="69" t="str">
        <f>IF(G710=$C$4,IF('Informe Kelly'!H703='Control informe Kelly'!$A$2,TEXT(((LEFT('Informe Kelly'!E703,2)*1)+1),"dd")&amp;"."&amp;MID('Informe Kelly'!E703,4,2)&amp;"."&amp;RIGHT('Informe Kelly'!E703,4),'Informe Kelly'!E703),'Informe Kelly'!E703)</f>
        <v>13.04.2011</v>
      </c>
      <c r="D710" s="69" t="str">
        <f>IF('Informe Kelly'!E703="","",'Informe Kelly'!E703)</f>
        <v>13.04.2011</v>
      </c>
      <c r="E710" s="72">
        <f t="shared" si="21"/>
        <v>358</v>
      </c>
      <c r="F710" s="72" t="str">
        <f>IFERROR(HLOOKUP(C710,Ingreso!$Q$8:$AD$9,2,FALSE),"v")</f>
        <v>Miércoles</v>
      </c>
      <c r="G710" s="65" t="str">
        <f>IFERROR(VLOOKUP(A710,Ingreso!K:P,6,FALSE),"no esta ingresado")</f>
        <v>Turno B</v>
      </c>
      <c r="H710" s="65">
        <f>IFERROR(IF('Informe Kelly'!H703=$A$2,'Informe Kelly'!F703,""),0)</f>
        <v>0.60796296296296293</v>
      </c>
      <c r="I710" s="65" t="str">
        <f>IFERROR(IF('Informe Kelly'!H703=$A$3,'Informe Kelly'!F703,""),0)</f>
        <v/>
      </c>
      <c r="J710" s="65" t="str">
        <f>IF(IFERROR(IF(E710=E709,0,(HLOOKUP(D710,Ingreso!$AN$10:$AT$260,VLOOKUP(A710,Ingreso!$AL$11:$AM$260,2,FALSE)))/24),0)=0,"",IFERROR(IF(E710=E709,0,(HLOOKUP(D710,Ingreso!$AN$10:$AT$260,VLOOKUP(A710,Ingreso!$AL$11:$AM$260,2,FALSE)))/24),0))</f>
        <v/>
      </c>
      <c r="K710" s="65" t="str">
        <f>IF(IFERROR(IF(E710=E709,0,(HLOOKUP(C710,Ingreso!$AW$10:$BC$260,VLOOKUP(A710,Ingreso!$AL$11:$AM$260,2,FALSE)))/24),0)=0,"",IFERROR(IF(E710=E709,0,(HLOOKUP(C710,Ingreso!$AW$10:$BC$260,VLOOKUP(A710,Ingreso!$AL$11:$AM$260,2,FALSE)))/24),0))</f>
        <v/>
      </c>
      <c r="L710" s="63">
        <f t="shared" si="20"/>
        <v>0</v>
      </c>
      <c r="M710" s="63" t="str">
        <f>IF(IFERROR(IF(C710=C708,0,IF(E710=E709,0,IF(C710=$R$2,HLOOKUP($R$2,Ingreso!$AW$10:$BC$260,VLOOKUP(A710,Ingreso!AL:AM,2,FALSE),FALSE)/24,""))),"")=0,"",IFERROR(IF(C710=C708,0,IF(E710=E709,0,IF(C710=$R$2,HLOOKUP($R$2,Ingreso!$AW$10:$BC$260,VLOOKUP(A710,Ingreso!AL:AM,2,FALSE),FALSE)/24,""))),""))</f>
        <v/>
      </c>
      <c r="N710" s="95" t="str">
        <f>IF(IFERROR(IF(C710=C708,0,IF(E710=E709,0,IF(C710=$R$3,HLOOKUP($R$3,Ingreso!$AW$10:$BC$260,VLOOKUP(A710,Ingreso!AL:AM,2,FALSE),FALSE)/24,""))),"")=0,"",IFERROR(IF(C710=C708,0,IF(E710=E709,0,IF(C710=$R$3,HLOOKUP($R$3,Ingreso!$AW$10:$BC$260,VLOOKUP(A710,Ingreso!AL:AM,2,FALSE),FALSE)/24,""))),""))</f>
        <v/>
      </c>
      <c r="O710" s="95" t="str">
        <f>IF(IFERROR(IF(C710=C708,0,IF(E710=E709,0,IF(C710=$R$4,HLOOKUP($R$4,Ingreso!$AW$10:$BC$260,VLOOKUP(A710,Ingreso!AL:AM,2,FALSE),FALSE)/24,""))),"")=0,"",IFERROR(IF(C710=C708,0,IF(E710=E709,0,IF(C710=$R$4,HLOOKUP($R$4,Ingreso!$AW$10:$BC$260,VLOOKUP(A710,Ingreso!AL:AM,2,FALSE),FALSE)/24,""))),""))</f>
        <v/>
      </c>
      <c r="P710" s="90"/>
      <c r="V710"/>
      <c r="W710"/>
      <c r="X710"/>
      <c r="Y710"/>
      <c r="Z710"/>
      <c r="AA710"/>
      <c r="AB710"/>
      <c r="AC710"/>
      <c r="AD710"/>
    </row>
    <row r="711" spans="1:30">
      <c r="A711" s="65" t="str">
        <f>IFERROR(VLOOKUP('Informe Kelly'!A704,Base!A:B,2,FALSE),"")</f>
        <v>13.701.209-K</v>
      </c>
      <c r="B711" s="65" t="str">
        <f>IFERROR(VLOOKUP('Informe Kelly'!A704,Base!A:G,7,FALSE),"")</f>
        <v>SANCHEZ TORRES MARCELINO JHONATTAN</v>
      </c>
      <c r="C711" s="69" t="str">
        <f>IF(G711=$C$4,IF('Informe Kelly'!H704='Control informe Kelly'!$A$2,TEXT(((LEFT('Informe Kelly'!E704,2)*1)+1),"dd")&amp;"."&amp;MID('Informe Kelly'!E704,4,2)&amp;"."&amp;RIGHT('Informe Kelly'!E704,4),'Informe Kelly'!E704),'Informe Kelly'!E704)</f>
        <v>14.04.2011</v>
      </c>
      <c r="D711" s="69" t="str">
        <f>IF('Informe Kelly'!E704="","",'Informe Kelly'!E704)</f>
        <v>14.04.2011</v>
      </c>
      <c r="E711" s="72">
        <f t="shared" si="21"/>
        <v>359</v>
      </c>
      <c r="F711" s="72" t="str">
        <f>IFERROR(HLOOKUP(C711,Ingreso!$Q$8:$AD$9,2,FALSE),"v")</f>
        <v>Jueves</v>
      </c>
      <c r="G711" s="65" t="str">
        <f>IFERROR(VLOOKUP(A711,Ingreso!K:P,6,FALSE),"no esta ingresado")</f>
        <v>Turno B</v>
      </c>
      <c r="H711" s="65" t="str">
        <f>IFERROR(IF('Informe Kelly'!H704=$A$2,'Informe Kelly'!F704,""),0)</f>
        <v/>
      </c>
      <c r="I711" s="65">
        <f>IFERROR(IF('Informe Kelly'!H704=$A$3,'Informe Kelly'!F704,""),0)</f>
        <v>0.94106481481481474</v>
      </c>
      <c r="J711" s="65" t="str">
        <f>IF(IFERROR(IF(E711=E710,0,(HLOOKUP(D711,Ingreso!$AN$10:$AT$260,VLOOKUP(A711,Ingreso!$AL$11:$AM$260,2,FALSE)))/24),0)=0,"",IFERROR(IF(E711=E710,0,(HLOOKUP(D711,Ingreso!$AN$10:$AT$260,VLOOKUP(A711,Ingreso!$AL$11:$AM$260,2,FALSE)))/24),0))</f>
        <v/>
      </c>
      <c r="K711" s="65" t="str">
        <f>IF(IFERROR(IF(E711=E710,0,(HLOOKUP(C711,Ingreso!$AW$10:$BC$260,VLOOKUP(A711,Ingreso!$AL$11:$AM$260,2,FALSE)))/24),0)=0,"",IFERROR(IF(E711=E710,0,(HLOOKUP(C711,Ingreso!$AW$10:$BC$260,VLOOKUP(A711,Ingreso!$AL$11:$AM$260,2,FALSE)))/24),0))</f>
        <v/>
      </c>
      <c r="L711" s="63">
        <f t="shared" si="20"/>
        <v>0.3125</v>
      </c>
      <c r="M711" s="63" t="str">
        <f>IF(IFERROR(IF(C711=C709,0,IF(E711=E710,0,IF(C711=$R$2,HLOOKUP($R$2,Ingreso!$AW$10:$BC$260,VLOOKUP(A711,Ingreso!AL:AM,2,FALSE),FALSE)/24,""))),"")=0,"",IFERROR(IF(C711=C709,0,IF(E711=E710,0,IF(C711=$R$2,HLOOKUP($R$2,Ingreso!$AW$10:$BC$260,VLOOKUP(A711,Ingreso!AL:AM,2,FALSE),FALSE)/24,""))),""))</f>
        <v/>
      </c>
      <c r="N711" s="95" t="str">
        <f>IF(IFERROR(IF(C711=C709,0,IF(E711=E710,0,IF(C711=$R$3,HLOOKUP($R$3,Ingreso!$AW$10:$BC$260,VLOOKUP(A711,Ingreso!AL:AM,2,FALSE),FALSE)/24,""))),"")=0,"",IFERROR(IF(C711=C709,0,IF(E711=E710,0,IF(C711=$R$3,HLOOKUP($R$3,Ingreso!$AW$10:$BC$260,VLOOKUP(A711,Ingreso!AL:AM,2,FALSE),FALSE)/24,""))),""))</f>
        <v/>
      </c>
      <c r="O711" s="95" t="str">
        <f>IF(IFERROR(IF(C711=C709,0,IF(E711=E710,0,IF(C711=$R$4,HLOOKUP($R$4,Ingreso!$AW$10:$BC$260,VLOOKUP(A711,Ingreso!AL:AM,2,FALSE),FALSE)/24,""))),"")=0,"",IFERROR(IF(C711=C709,0,IF(E711=E710,0,IF(C711=$R$4,HLOOKUP($R$4,Ingreso!$AW$10:$BC$260,VLOOKUP(A711,Ingreso!AL:AM,2,FALSE),FALSE)/24,""))),""))</f>
        <v/>
      </c>
      <c r="P711" s="90"/>
      <c r="V711"/>
      <c r="W711"/>
      <c r="X711"/>
      <c r="Y711"/>
      <c r="Z711"/>
      <c r="AA711"/>
      <c r="AB711"/>
      <c r="AC711"/>
      <c r="AD711"/>
    </row>
    <row r="712" spans="1:30">
      <c r="A712" s="65" t="str">
        <f>IFERROR(VLOOKUP('Informe Kelly'!A705,Base!A:B,2,FALSE),"")</f>
        <v>13.701.209-K</v>
      </c>
      <c r="B712" s="65" t="str">
        <f>IFERROR(VLOOKUP('Informe Kelly'!A705,Base!A:G,7,FALSE),"")</f>
        <v>SANCHEZ TORRES MARCELINO JHONATTAN</v>
      </c>
      <c r="C712" s="69" t="str">
        <f>IF(G712=$C$4,IF('Informe Kelly'!H705='Control informe Kelly'!$A$2,TEXT(((LEFT('Informe Kelly'!E705,2)*1)+1),"dd")&amp;"."&amp;MID('Informe Kelly'!E705,4,2)&amp;"."&amp;RIGHT('Informe Kelly'!E705,4),'Informe Kelly'!E705),'Informe Kelly'!E705)</f>
        <v>14.04.2011</v>
      </c>
      <c r="D712" s="69" t="str">
        <f>IF('Informe Kelly'!E705="","",'Informe Kelly'!E705)</f>
        <v>14.04.2011</v>
      </c>
      <c r="E712" s="72">
        <f t="shared" si="21"/>
        <v>359</v>
      </c>
      <c r="F712" s="72" t="str">
        <f>IFERROR(HLOOKUP(C712,Ingreso!$Q$8:$AD$9,2,FALSE),"v")</f>
        <v>Jueves</v>
      </c>
      <c r="G712" s="65" t="str">
        <f>IFERROR(VLOOKUP(A712,Ingreso!K:P,6,FALSE),"no esta ingresado")</f>
        <v>Turno B</v>
      </c>
      <c r="H712" s="65">
        <f>IFERROR(IF('Informe Kelly'!H705=$A$2,'Informe Kelly'!F705,""),0)</f>
        <v>0.60704861111111108</v>
      </c>
      <c r="I712" s="65" t="str">
        <f>IFERROR(IF('Informe Kelly'!H705=$A$3,'Informe Kelly'!F705,""),0)</f>
        <v/>
      </c>
      <c r="J712" s="65" t="str">
        <f>IF(IFERROR(IF(E712=E711,0,(HLOOKUP(D712,Ingreso!$AN$10:$AT$260,VLOOKUP(A712,Ingreso!$AL$11:$AM$260,2,FALSE)))/24),0)=0,"",IFERROR(IF(E712=E711,0,(HLOOKUP(D712,Ingreso!$AN$10:$AT$260,VLOOKUP(A712,Ingreso!$AL$11:$AM$260,2,FALSE)))/24),0))</f>
        <v/>
      </c>
      <c r="K712" s="65" t="str">
        <f>IF(IFERROR(IF(E712=E711,0,(HLOOKUP(C712,Ingreso!$AW$10:$BC$260,VLOOKUP(A712,Ingreso!$AL$11:$AM$260,2,FALSE)))/24),0)=0,"",IFERROR(IF(E712=E711,0,(HLOOKUP(C712,Ingreso!$AW$10:$BC$260,VLOOKUP(A712,Ingreso!$AL$11:$AM$260,2,FALSE)))/24),0))</f>
        <v/>
      </c>
      <c r="L712" s="63">
        <f t="shared" si="20"/>
        <v>0</v>
      </c>
      <c r="M712" s="63" t="str">
        <f>IF(IFERROR(IF(C712=C710,0,IF(E712=E711,0,IF(C712=$R$2,HLOOKUP($R$2,Ingreso!$AW$10:$BC$260,VLOOKUP(A712,Ingreso!AL:AM,2,FALSE),FALSE)/24,""))),"")=0,"",IFERROR(IF(C712=C710,0,IF(E712=E711,0,IF(C712=$R$2,HLOOKUP($R$2,Ingreso!$AW$10:$BC$260,VLOOKUP(A712,Ingreso!AL:AM,2,FALSE),FALSE)/24,""))),""))</f>
        <v/>
      </c>
      <c r="N712" s="95" t="str">
        <f>IF(IFERROR(IF(C712=C710,0,IF(E712=E711,0,IF(C712=$R$3,HLOOKUP($R$3,Ingreso!$AW$10:$BC$260,VLOOKUP(A712,Ingreso!AL:AM,2,FALSE),FALSE)/24,""))),"")=0,"",IFERROR(IF(C712=C710,0,IF(E712=E711,0,IF(C712=$R$3,HLOOKUP($R$3,Ingreso!$AW$10:$BC$260,VLOOKUP(A712,Ingreso!AL:AM,2,FALSE),FALSE)/24,""))),""))</f>
        <v/>
      </c>
      <c r="O712" s="95" t="str">
        <f>IF(IFERROR(IF(C712=C710,0,IF(E712=E711,0,IF(C712=$R$4,HLOOKUP($R$4,Ingreso!$AW$10:$BC$260,VLOOKUP(A712,Ingreso!AL:AM,2,FALSE),FALSE)/24,""))),"")=0,"",IFERROR(IF(C712=C710,0,IF(E712=E711,0,IF(C712=$R$4,HLOOKUP($R$4,Ingreso!$AW$10:$BC$260,VLOOKUP(A712,Ingreso!AL:AM,2,FALSE),FALSE)/24,""))),""))</f>
        <v/>
      </c>
      <c r="P712" s="90"/>
      <c r="V712"/>
      <c r="W712"/>
      <c r="X712"/>
      <c r="Y712"/>
      <c r="Z712"/>
      <c r="AA712"/>
      <c r="AB712"/>
      <c r="AC712"/>
      <c r="AD712"/>
    </row>
    <row r="713" spans="1:30">
      <c r="A713" s="65" t="str">
        <f>IFERROR(VLOOKUP('Informe Kelly'!A706,Base!A:B,2,FALSE),"")</f>
        <v>13.701.209-K</v>
      </c>
      <c r="B713" s="65" t="str">
        <f>IFERROR(VLOOKUP('Informe Kelly'!A706,Base!A:G,7,FALSE),"")</f>
        <v>SANCHEZ TORRES MARCELINO JHONATTAN</v>
      </c>
      <c r="C713" s="69" t="str">
        <f>IF(G713=$C$4,IF('Informe Kelly'!H706='Control informe Kelly'!$A$2,TEXT(((LEFT('Informe Kelly'!E706,2)*1)+1),"dd")&amp;"."&amp;MID('Informe Kelly'!E706,4,2)&amp;"."&amp;RIGHT('Informe Kelly'!E706,4),'Informe Kelly'!E706),'Informe Kelly'!E706)</f>
        <v>15.04.2011</v>
      </c>
      <c r="D713" s="69" t="str">
        <f>IF('Informe Kelly'!E706="","",'Informe Kelly'!E706)</f>
        <v>15.04.2011</v>
      </c>
      <c r="E713" s="72">
        <f t="shared" si="21"/>
        <v>360</v>
      </c>
      <c r="F713" s="72" t="str">
        <f>IFERROR(HLOOKUP(C713,Ingreso!$Q$8:$AD$9,2,FALSE),"v")</f>
        <v>Viernes</v>
      </c>
      <c r="G713" s="65" t="str">
        <f>IFERROR(VLOOKUP(A713,Ingreso!K:P,6,FALSE),"no esta ingresado")</f>
        <v>Turno B</v>
      </c>
      <c r="H713" s="65" t="str">
        <f>IFERROR(IF('Informe Kelly'!H706=$A$2,'Informe Kelly'!F706,""),0)</f>
        <v/>
      </c>
      <c r="I713" s="65">
        <f>IFERROR(IF('Informe Kelly'!H706=$A$3,'Informe Kelly'!F706,""),0)</f>
        <v>0.94837962962962974</v>
      </c>
      <c r="J713" s="65" t="str">
        <f>IF(IFERROR(IF(E713=E712,0,(HLOOKUP(D713,Ingreso!$AN$10:$AT$260,VLOOKUP(A713,Ingreso!$AL$11:$AM$260,2,FALSE)))/24),0)=0,"",IFERROR(IF(E713=E712,0,(HLOOKUP(D713,Ingreso!$AN$10:$AT$260,VLOOKUP(A713,Ingreso!$AL$11:$AM$260,2,FALSE)))/24),0))</f>
        <v/>
      </c>
      <c r="K713" s="65" t="str">
        <f>IF(IFERROR(IF(E713=E712,0,(HLOOKUP(C713,Ingreso!$AW$10:$BC$260,VLOOKUP(A713,Ingreso!$AL$11:$AM$260,2,FALSE)))/24),0)=0,"",IFERROR(IF(E713=E712,0,(HLOOKUP(C713,Ingreso!$AW$10:$BC$260,VLOOKUP(A713,Ingreso!$AL$11:$AM$260,2,FALSE)))/24),0))</f>
        <v/>
      </c>
      <c r="L713" s="63">
        <f t="shared" ref="L713:L776" si="22">IFERROR(IF(C713=C711,0,IF(E713=E712,0,(VLOOKUP(G713,$C$2:$D$5,2,FALSE)))),"")</f>
        <v>0.3125</v>
      </c>
      <c r="M713" s="63" t="str">
        <f>IF(IFERROR(IF(C713=C711,0,IF(E713=E712,0,IF(C713=$R$2,HLOOKUP($R$2,Ingreso!$AW$10:$BC$260,VLOOKUP(A713,Ingreso!AL:AM,2,FALSE),FALSE)/24,""))),"")=0,"",IFERROR(IF(C713=C711,0,IF(E713=E712,0,IF(C713=$R$2,HLOOKUP($R$2,Ingreso!$AW$10:$BC$260,VLOOKUP(A713,Ingreso!AL:AM,2,FALSE),FALSE)/24,""))),""))</f>
        <v/>
      </c>
      <c r="N713" s="95" t="str">
        <f>IF(IFERROR(IF(C713=C711,0,IF(E713=E712,0,IF(C713=$R$3,HLOOKUP($R$3,Ingreso!$AW$10:$BC$260,VLOOKUP(A713,Ingreso!AL:AM,2,FALSE),FALSE)/24,""))),"")=0,"",IFERROR(IF(C713=C711,0,IF(E713=E712,0,IF(C713=$R$3,HLOOKUP($R$3,Ingreso!$AW$10:$BC$260,VLOOKUP(A713,Ingreso!AL:AM,2,FALSE),FALSE)/24,""))),""))</f>
        <v/>
      </c>
      <c r="O713" s="95" t="str">
        <f>IF(IFERROR(IF(C713=C711,0,IF(E713=E712,0,IF(C713=$R$4,HLOOKUP($R$4,Ingreso!$AW$10:$BC$260,VLOOKUP(A713,Ingreso!AL:AM,2,FALSE),FALSE)/24,""))),"")=0,"",IFERROR(IF(C713=C711,0,IF(E713=E712,0,IF(C713=$R$4,HLOOKUP($R$4,Ingreso!$AW$10:$BC$260,VLOOKUP(A713,Ingreso!AL:AM,2,FALSE),FALSE)/24,""))),""))</f>
        <v/>
      </c>
      <c r="P713" s="90"/>
      <c r="V713"/>
      <c r="W713"/>
      <c r="X713"/>
      <c r="Y713"/>
      <c r="Z713"/>
      <c r="AA713"/>
      <c r="AB713"/>
      <c r="AC713"/>
      <c r="AD713"/>
    </row>
    <row r="714" spans="1:30">
      <c r="A714" s="65" t="str">
        <f>IFERROR(VLOOKUP('Informe Kelly'!A707,Base!A:B,2,FALSE),"")</f>
        <v>13.701.209-K</v>
      </c>
      <c r="B714" s="65" t="str">
        <f>IFERROR(VLOOKUP('Informe Kelly'!A707,Base!A:G,7,FALSE),"")</f>
        <v>SANCHEZ TORRES MARCELINO JHONATTAN</v>
      </c>
      <c r="C714" s="69" t="str">
        <f>IF(G714=$C$4,IF('Informe Kelly'!H707='Control informe Kelly'!$A$2,TEXT(((LEFT('Informe Kelly'!E707,2)*1)+1),"dd")&amp;"."&amp;MID('Informe Kelly'!E707,4,2)&amp;"."&amp;RIGHT('Informe Kelly'!E707,4),'Informe Kelly'!E707),'Informe Kelly'!E707)</f>
        <v>15.04.2011</v>
      </c>
      <c r="D714" s="69" t="str">
        <f>IF('Informe Kelly'!E707="","",'Informe Kelly'!E707)</f>
        <v>15.04.2011</v>
      </c>
      <c r="E714" s="72">
        <f t="shared" ref="E714:E777" si="23">IF(C713=C714,IF(C714=C711,E713,IF(C714=C712,E713+1,E713)),E713+1)</f>
        <v>360</v>
      </c>
      <c r="F714" s="72" t="str">
        <f>IFERROR(HLOOKUP(C714,Ingreso!$Q$8:$AD$9,2,FALSE),"v")</f>
        <v>Viernes</v>
      </c>
      <c r="G714" s="65" t="str">
        <f>IFERROR(VLOOKUP(A714,Ingreso!K:P,6,FALSE),"no esta ingresado")</f>
        <v>Turno B</v>
      </c>
      <c r="H714" s="65">
        <f>IFERROR(IF('Informe Kelly'!H707=$A$2,'Informe Kelly'!F707,""),0)</f>
        <v>0.60616898148148146</v>
      </c>
      <c r="I714" s="65" t="str">
        <f>IFERROR(IF('Informe Kelly'!H707=$A$3,'Informe Kelly'!F707,""),0)</f>
        <v/>
      </c>
      <c r="J714" s="65" t="str">
        <f>IF(IFERROR(IF(E714=E713,0,(HLOOKUP(D714,Ingreso!$AN$10:$AT$260,VLOOKUP(A714,Ingreso!$AL$11:$AM$260,2,FALSE)))/24),0)=0,"",IFERROR(IF(E714=E713,0,(HLOOKUP(D714,Ingreso!$AN$10:$AT$260,VLOOKUP(A714,Ingreso!$AL$11:$AM$260,2,FALSE)))/24),0))</f>
        <v/>
      </c>
      <c r="K714" s="65" t="str">
        <f>IF(IFERROR(IF(E714=E713,0,(HLOOKUP(C714,Ingreso!$AW$10:$BC$260,VLOOKUP(A714,Ingreso!$AL$11:$AM$260,2,FALSE)))/24),0)=0,"",IFERROR(IF(E714=E713,0,(HLOOKUP(C714,Ingreso!$AW$10:$BC$260,VLOOKUP(A714,Ingreso!$AL$11:$AM$260,2,FALSE)))/24),0))</f>
        <v/>
      </c>
      <c r="L714" s="63">
        <f t="shared" si="22"/>
        <v>0</v>
      </c>
      <c r="M714" s="63" t="str">
        <f>IF(IFERROR(IF(C714=C712,0,IF(E714=E713,0,IF(C714=$R$2,HLOOKUP($R$2,Ingreso!$AW$10:$BC$260,VLOOKUP(A714,Ingreso!AL:AM,2,FALSE),FALSE)/24,""))),"")=0,"",IFERROR(IF(C714=C712,0,IF(E714=E713,0,IF(C714=$R$2,HLOOKUP($R$2,Ingreso!$AW$10:$BC$260,VLOOKUP(A714,Ingreso!AL:AM,2,FALSE),FALSE)/24,""))),""))</f>
        <v/>
      </c>
      <c r="N714" s="95" t="str">
        <f>IF(IFERROR(IF(C714=C712,0,IF(E714=E713,0,IF(C714=$R$3,HLOOKUP($R$3,Ingreso!$AW$10:$BC$260,VLOOKUP(A714,Ingreso!AL:AM,2,FALSE),FALSE)/24,""))),"")=0,"",IFERROR(IF(C714=C712,0,IF(E714=E713,0,IF(C714=$R$3,HLOOKUP($R$3,Ingreso!$AW$10:$BC$260,VLOOKUP(A714,Ingreso!AL:AM,2,FALSE),FALSE)/24,""))),""))</f>
        <v/>
      </c>
      <c r="O714" s="95" t="str">
        <f>IF(IFERROR(IF(C714=C712,0,IF(E714=E713,0,IF(C714=$R$4,HLOOKUP($R$4,Ingreso!$AW$10:$BC$260,VLOOKUP(A714,Ingreso!AL:AM,2,FALSE),FALSE)/24,""))),"")=0,"",IFERROR(IF(C714=C712,0,IF(E714=E713,0,IF(C714=$R$4,HLOOKUP($R$4,Ingreso!$AW$10:$BC$260,VLOOKUP(A714,Ingreso!AL:AM,2,FALSE),FALSE)/24,""))),""))</f>
        <v/>
      </c>
      <c r="P714" s="90"/>
      <c r="V714"/>
      <c r="W714"/>
      <c r="X714"/>
      <c r="Y714"/>
      <c r="Z714"/>
      <c r="AA714"/>
      <c r="AB714"/>
      <c r="AC714"/>
      <c r="AD714"/>
    </row>
    <row r="715" spans="1:30">
      <c r="A715" s="65" t="str">
        <f>IFERROR(VLOOKUP('Informe Kelly'!A708,Base!A:B,2,FALSE),"")</f>
        <v>13.701.209-K</v>
      </c>
      <c r="B715" s="65" t="str">
        <f>IFERROR(VLOOKUP('Informe Kelly'!A708,Base!A:G,7,FALSE),"")</f>
        <v>SANCHEZ TORRES MARCELINO JHONATTAN</v>
      </c>
      <c r="C715" s="69" t="str">
        <f>IF(G715=$C$4,IF('Informe Kelly'!H708='Control informe Kelly'!$A$2,TEXT(((LEFT('Informe Kelly'!E708,2)*1)+1),"dd")&amp;"."&amp;MID('Informe Kelly'!E708,4,2)&amp;"."&amp;RIGHT('Informe Kelly'!E708,4),'Informe Kelly'!E708),'Informe Kelly'!E708)</f>
        <v>16.04.2011</v>
      </c>
      <c r="D715" s="69" t="str">
        <f>IF('Informe Kelly'!E708="","",'Informe Kelly'!E708)</f>
        <v>16.04.2011</v>
      </c>
      <c r="E715" s="72">
        <f t="shared" si="23"/>
        <v>361</v>
      </c>
      <c r="F715" s="72" t="str">
        <f>IFERROR(HLOOKUP(C715,Ingreso!$Q$8:$AD$9,2,FALSE),"v")</f>
        <v>Sábado</v>
      </c>
      <c r="G715" s="65" t="str">
        <f>IFERROR(VLOOKUP(A715,Ingreso!K:P,6,FALSE),"no esta ingresado")</f>
        <v>Turno B</v>
      </c>
      <c r="H715" s="65" t="str">
        <f>IFERROR(IF('Informe Kelly'!H708=$A$2,'Informe Kelly'!F708,""),0)</f>
        <v/>
      </c>
      <c r="I715" s="65">
        <f>IFERROR(IF('Informe Kelly'!H708=$A$3,'Informe Kelly'!F708,""),0)</f>
        <v>0.63481481481481483</v>
      </c>
      <c r="J715" s="65" t="str">
        <f>IF(IFERROR(IF(E715=E714,0,(HLOOKUP(D715,Ingreso!$AN$10:$AT$260,VLOOKUP(A715,Ingreso!$AL$11:$AM$260,2,FALSE)))/24),0)=0,"",IFERROR(IF(E715=E714,0,(HLOOKUP(D715,Ingreso!$AN$10:$AT$260,VLOOKUP(A715,Ingreso!$AL$11:$AM$260,2,FALSE)))/24),0))</f>
        <v/>
      </c>
      <c r="K715" s="65" t="str">
        <f>IF(IFERROR(IF(E715=E714,0,(HLOOKUP(C715,Ingreso!$AW$10:$BC$260,VLOOKUP(A715,Ingreso!$AL$11:$AM$260,2,FALSE)))/24),0)=0,"",IFERROR(IF(E715=E714,0,(HLOOKUP(C715,Ingreso!$AW$10:$BC$260,VLOOKUP(A715,Ingreso!$AL$11:$AM$260,2,FALSE)))/24),0))</f>
        <v/>
      </c>
      <c r="L715" s="63">
        <f t="shared" si="22"/>
        <v>0.3125</v>
      </c>
      <c r="M715" s="63" t="str">
        <f>IF(IFERROR(IF(C715=C713,0,IF(E715=E714,0,IF(C715=$R$2,HLOOKUP($R$2,Ingreso!$AW$10:$BC$260,VLOOKUP(A715,Ingreso!AL:AM,2,FALSE),FALSE)/24,""))),"")=0,"",IFERROR(IF(C715=C713,0,IF(E715=E714,0,IF(C715=$R$2,HLOOKUP($R$2,Ingreso!$AW$10:$BC$260,VLOOKUP(A715,Ingreso!AL:AM,2,FALSE),FALSE)/24,""))),""))</f>
        <v/>
      </c>
      <c r="N715" s="95" t="str">
        <f>IF(IFERROR(IF(C715=C713,0,IF(E715=E714,0,IF(C715=$R$3,HLOOKUP($R$3,Ingreso!$AW$10:$BC$260,VLOOKUP(A715,Ingreso!AL:AM,2,FALSE),FALSE)/24,""))),"")=0,"",IFERROR(IF(C715=C713,0,IF(E715=E714,0,IF(C715=$R$3,HLOOKUP($R$3,Ingreso!$AW$10:$BC$260,VLOOKUP(A715,Ingreso!AL:AM,2,FALSE),FALSE)/24,""))),""))</f>
        <v/>
      </c>
      <c r="O715" s="95" t="str">
        <f>IF(IFERROR(IF(C715=C713,0,IF(E715=E714,0,IF(C715=$R$4,HLOOKUP($R$4,Ingreso!$AW$10:$BC$260,VLOOKUP(A715,Ingreso!AL:AM,2,FALSE),FALSE)/24,""))),"")=0,"",IFERROR(IF(C715=C713,0,IF(E715=E714,0,IF(C715=$R$4,HLOOKUP($R$4,Ingreso!$AW$10:$BC$260,VLOOKUP(A715,Ingreso!AL:AM,2,FALSE),FALSE)/24,""))),""))</f>
        <v/>
      </c>
      <c r="P715" s="90"/>
      <c r="V715"/>
      <c r="W715"/>
      <c r="X715"/>
      <c r="Y715"/>
      <c r="Z715"/>
      <c r="AA715"/>
      <c r="AB715"/>
      <c r="AC715"/>
      <c r="AD715"/>
    </row>
    <row r="716" spans="1:30">
      <c r="A716" s="65" t="str">
        <f>IFERROR(VLOOKUP('Informe Kelly'!A709,Base!A:B,2,FALSE),"")</f>
        <v>13.701.209-K</v>
      </c>
      <c r="B716" s="65" t="str">
        <f>IFERROR(VLOOKUP('Informe Kelly'!A709,Base!A:G,7,FALSE),"")</f>
        <v>SANCHEZ TORRES MARCELINO JHONATTAN</v>
      </c>
      <c r="C716" s="69" t="str">
        <f>IF(G716=$C$4,IF('Informe Kelly'!H709='Control informe Kelly'!$A$2,TEXT(((LEFT('Informe Kelly'!E709,2)*1)+1),"dd")&amp;"."&amp;MID('Informe Kelly'!E709,4,2)&amp;"."&amp;RIGHT('Informe Kelly'!E709,4),'Informe Kelly'!E709),'Informe Kelly'!E709)</f>
        <v>16.04.2011</v>
      </c>
      <c r="D716" s="69" t="str">
        <f>IF('Informe Kelly'!E709="","",'Informe Kelly'!E709)</f>
        <v>16.04.2011</v>
      </c>
      <c r="E716" s="72">
        <f t="shared" si="23"/>
        <v>361</v>
      </c>
      <c r="F716" s="72" t="str">
        <f>IFERROR(HLOOKUP(C716,Ingreso!$Q$8:$AD$9,2,FALSE),"v")</f>
        <v>Sábado</v>
      </c>
      <c r="G716" s="65" t="str">
        <f>IFERROR(VLOOKUP(A716,Ingreso!K:P,6,FALSE),"no esta ingresado")</f>
        <v>Turno B</v>
      </c>
      <c r="H716" s="65">
        <f>IFERROR(IF('Informe Kelly'!H709=$A$2,'Informe Kelly'!F709,""),0)</f>
        <v>0.2946759259259259</v>
      </c>
      <c r="I716" s="65" t="str">
        <f>IFERROR(IF('Informe Kelly'!H709=$A$3,'Informe Kelly'!F709,""),0)</f>
        <v/>
      </c>
      <c r="J716" s="65" t="str">
        <f>IF(IFERROR(IF(E716=E715,0,(HLOOKUP(D716,Ingreso!$AN$10:$AT$260,VLOOKUP(A716,Ingreso!$AL$11:$AM$260,2,FALSE)))/24),0)=0,"",IFERROR(IF(E716=E715,0,(HLOOKUP(D716,Ingreso!$AN$10:$AT$260,VLOOKUP(A716,Ingreso!$AL$11:$AM$260,2,FALSE)))/24),0))</f>
        <v/>
      </c>
      <c r="K716" s="65" t="str">
        <f>IF(IFERROR(IF(E716=E715,0,(HLOOKUP(C716,Ingreso!$AW$10:$BC$260,VLOOKUP(A716,Ingreso!$AL$11:$AM$260,2,FALSE)))/24),0)=0,"",IFERROR(IF(E716=E715,0,(HLOOKUP(C716,Ingreso!$AW$10:$BC$260,VLOOKUP(A716,Ingreso!$AL$11:$AM$260,2,FALSE)))/24),0))</f>
        <v/>
      </c>
      <c r="L716" s="63">
        <f t="shared" si="22"/>
        <v>0</v>
      </c>
      <c r="M716" s="63" t="str">
        <f>IF(IFERROR(IF(C716=C714,0,IF(E716=E715,0,IF(C716=$R$2,HLOOKUP($R$2,Ingreso!$AW$10:$BC$260,VLOOKUP(A716,Ingreso!AL:AM,2,FALSE),FALSE)/24,""))),"")=0,"",IFERROR(IF(C716=C714,0,IF(E716=E715,0,IF(C716=$R$2,HLOOKUP($R$2,Ingreso!$AW$10:$BC$260,VLOOKUP(A716,Ingreso!AL:AM,2,FALSE),FALSE)/24,""))),""))</f>
        <v/>
      </c>
      <c r="N716" s="95" t="str">
        <f>IF(IFERROR(IF(C716=C714,0,IF(E716=E715,0,IF(C716=$R$3,HLOOKUP($R$3,Ingreso!$AW$10:$BC$260,VLOOKUP(A716,Ingreso!AL:AM,2,FALSE),FALSE)/24,""))),"")=0,"",IFERROR(IF(C716=C714,0,IF(E716=E715,0,IF(C716=$R$3,HLOOKUP($R$3,Ingreso!$AW$10:$BC$260,VLOOKUP(A716,Ingreso!AL:AM,2,FALSE),FALSE)/24,""))),""))</f>
        <v/>
      </c>
      <c r="O716" s="95" t="str">
        <f>IF(IFERROR(IF(C716=C714,0,IF(E716=E715,0,IF(C716=$R$4,HLOOKUP($R$4,Ingreso!$AW$10:$BC$260,VLOOKUP(A716,Ingreso!AL:AM,2,FALSE),FALSE)/24,""))),"")=0,"",IFERROR(IF(C716=C714,0,IF(E716=E715,0,IF(C716=$R$4,HLOOKUP($R$4,Ingreso!$AW$10:$BC$260,VLOOKUP(A716,Ingreso!AL:AM,2,FALSE),FALSE)/24,""))),""))</f>
        <v/>
      </c>
      <c r="P716" s="90"/>
      <c r="V716"/>
      <c r="W716"/>
      <c r="X716"/>
      <c r="Y716"/>
      <c r="Z716"/>
      <c r="AA716"/>
      <c r="AB716"/>
      <c r="AC716"/>
      <c r="AD716"/>
    </row>
    <row r="717" spans="1:30">
      <c r="A717" s="65" t="str">
        <f>IFERROR(VLOOKUP('Informe Kelly'!A710,Base!A:B,2,FALSE),"")</f>
        <v>13.769.935-4</v>
      </c>
      <c r="B717" s="65" t="str">
        <f>IFERROR(VLOOKUP('Informe Kelly'!A710,Base!A:G,7,FALSE),"")</f>
        <v>LEDESMA ARRIAGADA GONZALO</v>
      </c>
      <c r="C717" s="69" t="str">
        <f>IF(G717=$C$4,IF('Informe Kelly'!H710='Control informe Kelly'!$A$2,TEXT(((LEFT('Informe Kelly'!E710,2)*1)+1),"dd")&amp;"."&amp;MID('Informe Kelly'!E710,4,2)&amp;"."&amp;RIGHT('Informe Kelly'!E710,4),'Informe Kelly'!E710),'Informe Kelly'!E710)</f>
        <v>13.04.2011</v>
      </c>
      <c r="D717" s="69" t="str">
        <f>IF('Informe Kelly'!E710="","",'Informe Kelly'!E710)</f>
        <v>13.04.2011</v>
      </c>
      <c r="E717" s="72">
        <f t="shared" si="23"/>
        <v>362</v>
      </c>
      <c r="F717" s="72" t="str">
        <f>IFERROR(HLOOKUP(C717,Ingreso!$Q$8:$AD$9,2,FALSE),"v")</f>
        <v>Miércoles</v>
      </c>
      <c r="G717" s="65" t="str">
        <f>IFERROR(VLOOKUP(A717,Ingreso!K:P,6,FALSE),"no esta ingresado")</f>
        <v>no esta ingresado</v>
      </c>
      <c r="H717" s="65" t="str">
        <f>IFERROR(IF('Informe Kelly'!H710=$A$2,'Informe Kelly'!F710,""),0)</f>
        <v/>
      </c>
      <c r="I717" s="65">
        <f>IFERROR(IF('Informe Kelly'!H710=$A$3,'Informe Kelly'!F710,""),0)</f>
        <v>0.87563657407407414</v>
      </c>
      <c r="J717" s="65" t="str">
        <f>IF(IFERROR(IF(E717=E716,0,(HLOOKUP(D717,Ingreso!$AN$10:$AT$260,VLOOKUP(A717,Ingreso!$AL$11:$AM$260,2,FALSE)))/24),0)=0,"",IFERROR(IF(E717=E716,0,(HLOOKUP(D717,Ingreso!$AN$10:$AT$260,VLOOKUP(A717,Ingreso!$AL$11:$AM$260,2,FALSE)))/24),0))</f>
        <v/>
      </c>
      <c r="K717" s="65" t="str">
        <f>IF(IFERROR(IF(E717=E716,0,(HLOOKUP(C717,Ingreso!$AW$10:$BC$260,VLOOKUP(A717,Ingreso!$AL$11:$AM$260,2,FALSE)))/24),0)=0,"",IFERROR(IF(E717=E716,0,(HLOOKUP(C717,Ingreso!$AW$10:$BC$260,VLOOKUP(A717,Ingreso!$AL$11:$AM$260,2,FALSE)))/24),0))</f>
        <v/>
      </c>
      <c r="L717" s="63" t="str">
        <f t="shared" si="22"/>
        <v/>
      </c>
      <c r="M717" s="63" t="str">
        <f>IF(IFERROR(IF(C717=C715,0,IF(E717=E716,0,IF(C717=$R$2,HLOOKUP($R$2,Ingreso!$AW$10:$BC$260,VLOOKUP(A717,Ingreso!AL:AM,2,FALSE),FALSE)/24,""))),"")=0,"",IFERROR(IF(C717=C715,0,IF(E717=E716,0,IF(C717=$R$2,HLOOKUP($R$2,Ingreso!$AW$10:$BC$260,VLOOKUP(A717,Ingreso!AL:AM,2,FALSE),FALSE)/24,""))),""))</f>
        <v/>
      </c>
      <c r="N717" s="95" t="str">
        <f>IF(IFERROR(IF(C717=C715,0,IF(E717=E716,0,IF(C717=$R$3,HLOOKUP($R$3,Ingreso!$AW$10:$BC$260,VLOOKUP(A717,Ingreso!AL:AM,2,FALSE),FALSE)/24,""))),"")=0,"",IFERROR(IF(C717=C715,0,IF(E717=E716,0,IF(C717=$R$3,HLOOKUP($R$3,Ingreso!$AW$10:$BC$260,VLOOKUP(A717,Ingreso!AL:AM,2,FALSE),FALSE)/24,""))),""))</f>
        <v/>
      </c>
      <c r="O717" s="95" t="str">
        <f>IF(IFERROR(IF(C717=C715,0,IF(E717=E716,0,IF(C717=$R$4,HLOOKUP($R$4,Ingreso!$AW$10:$BC$260,VLOOKUP(A717,Ingreso!AL:AM,2,FALSE),FALSE)/24,""))),"")=0,"",IFERROR(IF(C717=C715,0,IF(E717=E716,0,IF(C717=$R$4,HLOOKUP($R$4,Ingreso!$AW$10:$BC$260,VLOOKUP(A717,Ingreso!AL:AM,2,FALSE),FALSE)/24,""))),""))</f>
        <v/>
      </c>
      <c r="P717" s="90"/>
      <c r="V717"/>
      <c r="W717"/>
      <c r="X717"/>
      <c r="Y717"/>
      <c r="Z717"/>
      <c r="AA717"/>
      <c r="AB717"/>
      <c r="AC717"/>
      <c r="AD717"/>
    </row>
    <row r="718" spans="1:30">
      <c r="A718" s="65" t="str">
        <f>IFERROR(VLOOKUP('Informe Kelly'!A711,Base!A:B,2,FALSE),"")</f>
        <v>13.769.935-4</v>
      </c>
      <c r="B718" s="65" t="str">
        <f>IFERROR(VLOOKUP('Informe Kelly'!A711,Base!A:G,7,FALSE),"")</f>
        <v>LEDESMA ARRIAGADA GONZALO</v>
      </c>
      <c r="C718" s="69" t="str">
        <f>IF(G718=$C$4,IF('Informe Kelly'!H711='Control informe Kelly'!$A$2,TEXT(((LEFT('Informe Kelly'!E711,2)*1)+1),"dd")&amp;"."&amp;MID('Informe Kelly'!E711,4,2)&amp;"."&amp;RIGHT('Informe Kelly'!E711,4),'Informe Kelly'!E711),'Informe Kelly'!E711)</f>
        <v>13.04.2011</v>
      </c>
      <c r="D718" s="69" t="str">
        <f>IF('Informe Kelly'!E711="","",'Informe Kelly'!E711)</f>
        <v>13.04.2011</v>
      </c>
      <c r="E718" s="72">
        <f t="shared" si="23"/>
        <v>362</v>
      </c>
      <c r="F718" s="72" t="str">
        <f>IFERROR(HLOOKUP(C718,Ingreso!$Q$8:$AD$9,2,FALSE),"v")</f>
        <v>Miércoles</v>
      </c>
      <c r="G718" s="65" t="str">
        <f>IFERROR(VLOOKUP(A718,Ingreso!K:P,6,FALSE),"no esta ingresado")</f>
        <v>no esta ingresado</v>
      </c>
      <c r="H718" s="65">
        <f>IFERROR(IF('Informe Kelly'!H711=$A$2,'Informe Kelly'!F711,""),0)</f>
        <v>0.36288194444444444</v>
      </c>
      <c r="I718" s="65" t="str">
        <f>IFERROR(IF('Informe Kelly'!H711=$A$3,'Informe Kelly'!F711,""),0)</f>
        <v/>
      </c>
      <c r="J718" s="65" t="str">
        <f>IF(IFERROR(IF(E718=E717,0,(HLOOKUP(D718,Ingreso!$AN$10:$AT$260,VLOOKUP(A718,Ingreso!$AL$11:$AM$260,2,FALSE)))/24),0)=0,"",IFERROR(IF(E718=E717,0,(HLOOKUP(D718,Ingreso!$AN$10:$AT$260,VLOOKUP(A718,Ingreso!$AL$11:$AM$260,2,FALSE)))/24),0))</f>
        <v/>
      </c>
      <c r="K718" s="65" t="str">
        <f>IF(IFERROR(IF(E718=E717,0,(HLOOKUP(C718,Ingreso!$AW$10:$BC$260,VLOOKUP(A718,Ingreso!$AL$11:$AM$260,2,FALSE)))/24),0)=0,"",IFERROR(IF(E718=E717,0,(HLOOKUP(C718,Ingreso!$AW$10:$BC$260,VLOOKUP(A718,Ingreso!$AL$11:$AM$260,2,FALSE)))/24),0))</f>
        <v/>
      </c>
      <c r="L718" s="63">
        <f t="shared" si="22"/>
        <v>0</v>
      </c>
      <c r="M718" s="63" t="str">
        <f>IF(IFERROR(IF(C718=C716,0,IF(E718=E717,0,IF(C718=$R$2,HLOOKUP($R$2,Ingreso!$AW$10:$BC$260,VLOOKUP(A718,Ingreso!AL:AM,2,FALSE),FALSE)/24,""))),"")=0,"",IFERROR(IF(C718=C716,0,IF(E718=E717,0,IF(C718=$R$2,HLOOKUP($R$2,Ingreso!$AW$10:$BC$260,VLOOKUP(A718,Ingreso!AL:AM,2,FALSE),FALSE)/24,""))),""))</f>
        <v/>
      </c>
      <c r="N718" s="95" t="str">
        <f>IF(IFERROR(IF(C718=C716,0,IF(E718=E717,0,IF(C718=$R$3,HLOOKUP($R$3,Ingreso!$AW$10:$BC$260,VLOOKUP(A718,Ingreso!AL:AM,2,FALSE),FALSE)/24,""))),"")=0,"",IFERROR(IF(C718=C716,0,IF(E718=E717,0,IF(C718=$R$3,HLOOKUP($R$3,Ingreso!$AW$10:$BC$260,VLOOKUP(A718,Ingreso!AL:AM,2,FALSE),FALSE)/24,""))),""))</f>
        <v/>
      </c>
      <c r="O718" s="95" t="str">
        <f>IF(IFERROR(IF(C718=C716,0,IF(E718=E717,0,IF(C718=$R$4,HLOOKUP($R$4,Ingreso!$AW$10:$BC$260,VLOOKUP(A718,Ingreso!AL:AM,2,FALSE),FALSE)/24,""))),"")=0,"",IFERROR(IF(C718=C716,0,IF(E718=E717,0,IF(C718=$R$4,HLOOKUP($R$4,Ingreso!$AW$10:$BC$260,VLOOKUP(A718,Ingreso!AL:AM,2,FALSE),FALSE)/24,""))),""))</f>
        <v/>
      </c>
      <c r="P718" s="90"/>
      <c r="V718"/>
      <c r="W718"/>
      <c r="X718"/>
      <c r="Y718"/>
      <c r="Z718"/>
      <c r="AA718"/>
      <c r="AB718"/>
      <c r="AC718"/>
      <c r="AD718"/>
    </row>
    <row r="719" spans="1:30">
      <c r="A719" s="65" t="str">
        <f>IFERROR(VLOOKUP('Informe Kelly'!A712,Base!A:B,2,FALSE),"")</f>
        <v>13.769.935-4</v>
      </c>
      <c r="B719" s="65" t="str">
        <f>IFERROR(VLOOKUP('Informe Kelly'!A712,Base!A:G,7,FALSE),"")</f>
        <v>LEDESMA ARRIAGADA GONZALO</v>
      </c>
      <c r="C719" s="69" t="str">
        <f>IF(G719=$C$4,IF('Informe Kelly'!H712='Control informe Kelly'!$A$2,TEXT(((LEFT('Informe Kelly'!E712,2)*1)+1),"dd")&amp;"."&amp;MID('Informe Kelly'!E712,4,2)&amp;"."&amp;RIGHT('Informe Kelly'!E712,4),'Informe Kelly'!E712),'Informe Kelly'!E712)</f>
        <v>14.04.2011</v>
      </c>
      <c r="D719" s="69" t="str">
        <f>IF('Informe Kelly'!E712="","",'Informe Kelly'!E712)</f>
        <v>14.04.2011</v>
      </c>
      <c r="E719" s="72">
        <f t="shared" si="23"/>
        <v>363</v>
      </c>
      <c r="F719" s="72" t="str">
        <f>IFERROR(HLOOKUP(C719,Ingreso!$Q$8:$AD$9,2,FALSE),"v")</f>
        <v>Jueves</v>
      </c>
      <c r="G719" s="65" t="str">
        <f>IFERROR(VLOOKUP(A719,Ingreso!K:P,6,FALSE),"no esta ingresado")</f>
        <v>no esta ingresado</v>
      </c>
      <c r="H719" s="65" t="str">
        <f>IFERROR(IF('Informe Kelly'!H712=$A$2,'Informe Kelly'!F712,""),0)</f>
        <v/>
      </c>
      <c r="I719" s="65">
        <f>IFERROR(IF('Informe Kelly'!H712=$A$3,'Informe Kelly'!F712,""),0)</f>
        <v>0.78866898148148146</v>
      </c>
      <c r="J719" s="65" t="str">
        <f>IF(IFERROR(IF(E719=E718,0,(HLOOKUP(D719,Ingreso!$AN$10:$AT$260,VLOOKUP(A719,Ingreso!$AL$11:$AM$260,2,FALSE)))/24),0)=0,"",IFERROR(IF(E719=E718,0,(HLOOKUP(D719,Ingreso!$AN$10:$AT$260,VLOOKUP(A719,Ingreso!$AL$11:$AM$260,2,FALSE)))/24),0))</f>
        <v/>
      </c>
      <c r="K719" s="65" t="str">
        <f>IF(IFERROR(IF(E719=E718,0,(HLOOKUP(C719,Ingreso!$AW$10:$BC$260,VLOOKUP(A719,Ingreso!$AL$11:$AM$260,2,FALSE)))/24),0)=0,"",IFERROR(IF(E719=E718,0,(HLOOKUP(C719,Ingreso!$AW$10:$BC$260,VLOOKUP(A719,Ingreso!$AL$11:$AM$260,2,FALSE)))/24),0))</f>
        <v/>
      </c>
      <c r="L719" s="63" t="str">
        <f t="shared" si="22"/>
        <v/>
      </c>
      <c r="M719" s="63" t="str">
        <f>IF(IFERROR(IF(C719=C717,0,IF(E719=E718,0,IF(C719=$R$2,HLOOKUP($R$2,Ingreso!$AW$10:$BC$260,VLOOKUP(A719,Ingreso!AL:AM,2,FALSE),FALSE)/24,""))),"")=0,"",IFERROR(IF(C719=C717,0,IF(E719=E718,0,IF(C719=$R$2,HLOOKUP($R$2,Ingreso!$AW$10:$BC$260,VLOOKUP(A719,Ingreso!AL:AM,2,FALSE),FALSE)/24,""))),""))</f>
        <v/>
      </c>
      <c r="N719" s="95" t="str">
        <f>IF(IFERROR(IF(C719=C717,0,IF(E719=E718,0,IF(C719=$R$3,HLOOKUP($R$3,Ingreso!$AW$10:$BC$260,VLOOKUP(A719,Ingreso!AL:AM,2,FALSE),FALSE)/24,""))),"")=0,"",IFERROR(IF(C719=C717,0,IF(E719=E718,0,IF(C719=$R$3,HLOOKUP($R$3,Ingreso!$AW$10:$BC$260,VLOOKUP(A719,Ingreso!AL:AM,2,FALSE),FALSE)/24,""))),""))</f>
        <v/>
      </c>
      <c r="O719" s="95" t="str">
        <f>IF(IFERROR(IF(C719=C717,0,IF(E719=E718,0,IF(C719=$R$4,HLOOKUP($R$4,Ingreso!$AW$10:$BC$260,VLOOKUP(A719,Ingreso!AL:AM,2,FALSE),FALSE)/24,""))),"")=0,"",IFERROR(IF(C719=C717,0,IF(E719=E718,0,IF(C719=$R$4,HLOOKUP($R$4,Ingreso!$AW$10:$BC$260,VLOOKUP(A719,Ingreso!AL:AM,2,FALSE),FALSE)/24,""))),""))</f>
        <v/>
      </c>
      <c r="P719" s="90"/>
      <c r="V719"/>
      <c r="W719"/>
      <c r="X719"/>
      <c r="Y719"/>
      <c r="Z719"/>
      <c r="AA719"/>
      <c r="AB719"/>
      <c r="AC719"/>
      <c r="AD719"/>
    </row>
    <row r="720" spans="1:30">
      <c r="A720" s="65" t="str">
        <f>IFERROR(VLOOKUP('Informe Kelly'!A713,Base!A:B,2,FALSE),"")</f>
        <v>13.769.935-4</v>
      </c>
      <c r="B720" s="65" t="str">
        <f>IFERROR(VLOOKUP('Informe Kelly'!A713,Base!A:G,7,FALSE),"")</f>
        <v>LEDESMA ARRIAGADA GONZALO</v>
      </c>
      <c r="C720" s="69" t="str">
        <f>IF(G720=$C$4,IF('Informe Kelly'!H713='Control informe Kelly'!$A$2,TEXT(((LEFT('Informe Kelly'!E713,2)*1)+1),"dd")&amp;"."&amp;MID('Informe Kelly'!E713,4,2)&amp;"."&amp;RIGHT('Informe Kelly'!E713,4),'Informe Kelly'!E713),'Informe Kelly'!E713)</f>
        <v>14.04.2011</v>
      </c>
      <c r="D720" s="69" t="str">
        <f>IF('Informe Kelly'!E713="","",'Informe Kelly'!E713)</f>
        <v>14.04.2011</v>
      </c>
      <c r="E720" s="72">
        <f t="shared" si="23"/>
        <v>363</v>
      </c>
      <c r="F720" s="72" t="str">
        <f>IFERROR(HLOOKUP(C720,Ingreso!$Q$8:$AD$9,2,FALSE),"v")</f>
        <v>Jueves</v>
      </c>
      <c r="G720" s="65" t="str">
        <f>IFERROR(VLOOKUP(A720,Ingreso!K:P,6,FALSE),"no esta ingresado")</f>
        <v>no esta ingresado</v>
      </c>
      <c r="H720" s="65">
        <f>IFERROR(IF('Informe Kelly'!H713=$A$2,'Informe Kelly'!F713,""),0)</f>
        <v>0.35373842592592591</v>
      </c>
      <c r="I720" s="65" t="str">
        <f>IFERROR(IF('Informe Kelly'!H713=$A$3,'Informe Kelly'!F713,""),0)</f>
        <v/>
      </c>
      <c r="J720" s="65" t="str">
        <f>IF(IFERROR(IF(E720=E719,0,(HLOOKUP(D720,Ingreso!$AN$10:$AT$260,VLOOKUP(A720,Ingreso!$AL$11:$AM$260,2,FALSE)))/24),0)=0,"",IFERROR(IF(E720=E719,0,(HLOOKUP(D720,Ingreso!$AN$10:$AT$260,VLOOKUP(A720,Ingreso!$AL$11:$AM$260,2,FALSE)))/24),0))</f>
        <v/>
      </c>
      <c r="K720" s="65" t="str">
        <f>IF(IFERROR(IF(E720=E719,0,(HLOOKUP(C720,Ingreso!$AW$10:$BC$260,VLOOKUP(A720,Ingreso!$AL$11:$AM$260,2,FALSE)))/24),0)=0,"",IFERROR(IF(E720=E719,0,(HLOOKUP(C720,Ingreso!$AW$10:$BC$260,VLOOKUP(A720,Ingreso!$AL$11:$AM$260,2,FALSE)))/24),0))</f>
        <v/>
      </c>
      <c r="L720" s="63">
        <f t="shared" si="22"/>
        <v>0</v>
      </c>
      <c r="M720" s="63" t="str">
        <f>IF(IFERROR(IF(C720=C718,0,IF(E720=E719,0,IF(C720=$R$2,HLOOKUP($R$2,Ingreso!$AW$10:$BC$260,VLOOKUP(A720,Ingreso!AL:AM,2,FALSE),FALSE)/24,""))),"")=0,"",IFERROR(IF(C720=C718,0,IF(E720=E719,0,IF(C720=$R$2,HLOOKUP($R$2,Ingreso!$AW$10:$BC$260,VLOOKUP(A720,Ingreso!AL:AM,2,FALSE),FALSE)/24,""))),""))</f>
        <v/>
      </c>
      <c r="N720" s="95" t="str">
        <f>IF(IFERROR(IF(C720=C718,0,IF(E720=E719,0,IF(C720=$R$3,HLOOKUP($R$3,Ingreso!$AW$10:$BC$260,VLOOKUP(A720,Ingreso!AL:AM,2,FALSE),FALSE)/24,""))),"")=0,"",IFERROR(IF(C720=C718,0,IF(E720=E719,0,IF(C720=$R$3,HLOOKUP($R$3,Ingreso!$AW$10:$BC$260,VLOOKUP(A720,Ingreso!AL:AM,2,FALSE),FALSE)/24,""))),""))</f>
        <v/>
      </c>
      <c r="O720" s="95" t="str">
        <f>IF(IFERROR(IF(C720=C718,0,IF(E720=E719,0,IF(C720=$R$4,HLOOKUP($R$4,Ingreso!$AW$10:$BC$260,VLOOKUP(A720,Ingreso!AL:AM,2,FALSE),FALSE)/24,""))),"")=0,"",IFERROR(IF(C720=C718,0,IF(E720=E719,0,IF(C720=$R$4,HLOOKUP($R$4,Ingreso!$AW$10:$BC$260,VLOOKUP(A720,Ingreso!AL:AM,2,FALSE),FALSE)/24,""))),""))</f>
        <v/>
      </c>
      <c r="P720" s="90"/>
      <c r="V720"/>
      <c r="W720"/>
      <c r="X720"/>
      <c r="Y720"/>
      <c r="Z720"/>
      <c r="AA720"/>
      <c r="AB720"/>
      <c r="AC720"/>
      <c r="AD720"/>
    </row>
    <row r="721" spans="1:30">
      <c r="A721" s="65" t="str">
        <f>IFERROR(VLOOKUP('Informe Kelly'!A714,Base!A:B,2,FALSE),"")</f>
        <v>13.769.935-4</v>
      </c>
      <c r="B721" s="65" t="str">
        <f>IFERROR(VLOOKUP('Informe Kelly'!A714,Base!A:G,7,FALSE),"")</f>
        <v>LEDESMA ARRIAGADA GONZALO</v>
      </c>
      <c r="C721" s="69" t="str">
        <f>IF(G721=$C$4,IF('Informe Kelly'!H714='Control informe Kelly'!$A$2,TEXT(((LEFT('Informe Kelly'!E714,2)*1)+1),"dd")&amp;"."&amp;MID('Informe Kelly'!E714,4,2)&amp;"."&amp;RIGHT('Informe Kelly'!E714,4),'Informe Kelly'!E714),'Informe Kelly'!E714)</f>
        <v>15.04.2011</v>
      </c>
      <c r="D721" s="69" t="str">
        <f>IF('Informe Kelly'!E714="","",'Informe Kelly'!E714)</f>
        <v>15.04.2011</v>
      </c>
      <c r="E721" s="72">
        <f t="shared" si="23"/>
        <v>364</v>
      </c>
      <c r="F721" s="72" t="str">
        <f>IFERROR(HLOOKUP(C721,Ingreso!$Q$8:$AD$9,2,FALSE),"v")</f>
        <v>Viernes</v>
      </c>
      <c r="G721" s="65" t="str">
        <f>IFERROR(VLOOKUP(A721,Ingreso!K:P,6,FALSE),"no esta ingresado")</f>
        <v>no esta ingresado</v>
      </c>
      <c r="H721" s="65" t="str">
        <f>IFERROR(IF('Informe Kelly'!H714=$A$2,'Informe Kelly'!F714,""),0)</f>
        <v/>
      </c>
      <c r="I721" s="65">
        <f>IFERROR(IF('Informe Kelly'!H714=$A$3,'Informe Kelly'!F714,""),0)</f>
        <v>0.72745370370370377</v>
      </c>
      <c r="J721" s="65" t="str">
        <f>IF(IFERROR(IF(E721=E720,0,(HLOOKUP(D721,Ingreso!$AN$10:$AT$260,VLOOKUP(A721,Ingreso!$AL$11:$AM$260,2,FALSE)))/24),0)=0,"",IFERROR(IF(E721=E720,0,(HLOOKUP(D721,Ingreso!$AN$10:$AT$260,VLOOKUP(A721,Ingreso!$AL$11:$AM$260,2,FALSE)))/24),0))</f>
        <v/>
      </c>
      <c r="K721" s="65" t="str">
        <f>IF(IFERROR(IF(E721=E720,0,(HLOOKUP(C721,Ingreso!$AW$10:$BC$260,VLOOKUP(A721,Ingreso!$AL$11:$AM$260,2,FALSE)))/24),0)=0,"",IFERROR(IF(E721=E720,0,(HLOOKUP(C721,Ingreso!$AW$10:$BC$260,VLOOKUP(A721,Ingreso!$AL$11:$AM$260,2,FALSE)))/24),0))</f>
        <v/>
      </c>
      <c r="L721" s="63" t="str">
        <f t="shared" si="22"/>
        <v/>
      </c>
      <c r="M721" s="63" t="str">
        <f>IF(IFERROR(IF(C721=C719,0,IF(E721=E720,0,IF(C721=$R$2,HLOOKUP($R$2,Ingreso!$AW$10:$BC$260,VLOOKUP(A721,Ingreso!AL:AM,2,FALSE),FALSE)/24,""))),"")=0,"",IFERROR(IF(C721=C719,0,IF(E721=E720,0,IF(C721=$R$2,HLOOKUP($R$2,Ingreso!$AW$10:$BC$260,VLOOKUP(A721,Ingreso!AL:AM,2,FALSE),FALSE)/24,""))),""))</f>
        <v/>
      </c>
      <c r="N721" s="95" t="str">
        <f>IF(IFERROR(IF(C721=C719,0,IF(E721=E720,0,IF(C721=$R$3,HLOOKUP($R$3,Ingreso!$AW$10:$BC$260,VLOOKUP(A721,Ingreso!AL:AM,2,FALSE),FALSE)/24,""))),"")=0,"",IFERROR(IF(C721=C719,0,IF(E721=E720,0,IF(C721=$R$3,HLOOKUP($R$3,Ingreso!$AW$10:$BC$260,VLOOKUP(A721,Ingreso!AL:AM,2,FALSE),FALSE)/24,""))),""))</f>
        <v/>
      </c>
      <c r="O721" s="95" t="str">
        <f>IF(IFERROR(IF(C721=C719,0,IF(E721=E720,0,IF(C721=$R$4,HLOOKUP($R$4,Ingreso!$AW$10:$BC$260,VLOOKUP(A721,Ingreso!AL:AM,2,FALSE),FALSE)/24,""))),"")=0,"",IFERROR(IF(C721=C719,0,IF(E721=E720,0,IF(C721=$R$4,HLOOKUP($R$4,Ingreso!$AW$10:$BC$260,VLOOKUP(A721,Ingreso!AL:AM,2,FALSE),FALSE)/24,""))),""))</f>
        <v/>
      </c>
      <c r="P721" s="90"/>
      <c r="V721"/>
      <c r="W721"/>
      <c r="X721"/>
      <c r="Y721"/>
      <c r="Z721"/>
      <c r="AA721"/>
      <c r="AB721"/>
      <c r="AC721"/>
      <c r="AD721"/>
    </row>
    <row r="722" spans="1:30">
      <c r="A722" s="65" t="str">
        <f>IFERROR(VLOOKUP('Informe Kelly'!A715,Base!A:B,2,FALSE),"")</f>
        <v>13.769.935-4</v>
      </c>
      <c r="B722" s="65" t="str">
        <f>IFERROR(VLOOKUP('Informe Kelly'!A715,Base!A:G,7,FALSE),"")</f>
        <v>LEDESMA ARRIAGADA GONZALO</v>
      </c>
      <c r="C722" s="69" t="str">
        <f>IF(G722=$C$4,IF('Informe Kelly'!H715='Control informe Kelly'!$A$2,TEXT(((LEFT('Informe Kelly'!E715,2)*1)+1),"dd")&amp;"."&amp;MID('Informe Kelly'!E715,4,2)&amp;"."&amp;RIGHT('Informe Kelly'!E715,4),'Informe Kelly'!E715),'Informe Kelly'!E715)</f>
        <v>15.04.2011</v>
      </c>
      <c r="D722" s="69" t="str">
        <f>IF('Informe Kelly'!E715="","",'Informe Kelly'!E715)</f>
        <v>15.04.2011</v>
      </c>
      <c r="E722" s="72">
        <f t="shared" si="23"/>
        <v>364</v>
      </c>
      <c r="F722" s="72" t="str">
        <f>IFERROR(HLOOKUP(C722,Ingreso!$Q$8:$AD$9,2,FALSE),"v")</f>
        <v>Viernes</v>
      </c>
      <c r="G722" s="65" t="str">
        <f>IFERROR(VLOOKUP(A722,Ingreso!K:P,6,FALSE),"no esta ingresado")</f>
        <v>no esta ingresado</v>
      </c>
      <c r="H722" s="65">
        <f>IFERROR(IF('Informe Kelly'!H715=$A$2,'Informe Kelly'!F715,""),0)</f>
        <v>0.3583796296296296</v>
      </c>
      <c r="I722" s="65" t="str">
        <f>IFERROR(IF('Informe Kelly'!H715=$A$3,'Informe Kelly'!F715,""),0)</f>
        <v/>
      </c>
      <c r="J722" s="65" t="str">
        <f>IF(IFERROR(IF(E722=E721,0,(HLOOKUP(D722,Ingreso!$AN$10:$AT$260,VLOOKUP(A722,Ingreso!$AL$11:$AM$260,2,FALSE)))/24),0)=0,"",IFERROR(IF(E722=E721,0,(HLOOKUP(D722,Ingreso!$AN$10:$AT$260,VLOOKUP(A722,Ingreso!$AL$11:$AM$260,2,FALSE)))/24),0))</f>
        <v/>
      </c>
      <c r="K722" s="65" t="str">
        <f>IF(IFERROR(IF(E722=E721,0,(HLOOKUP(C722,Ingreso!$AW$10:$BC$260,VLOOKUP(A722,Ingreso!$AL$11:$AM$260,2,FALSE)))/24),0)=0,"",IFERROR(IF(E722=E721,0,(HLOOKUP(C722,Ingreso!$AW$10:$BC$260,VLOOKUP(A722,Ingreso!$AL$11:$AM$260,2,FALSE)))/24),0))</f>
        <v/>
      </c>
      <c r="L722" s="63">
        <f t="shared" si="22"/>
        <v>0</v>
      </c>
      <c r="M722" s="63" t="str">
        <f>IF(IFERROR(IF(C722=C720,0,IF(E722=E721,0,IF(C722=$R$2,HLOOKUP($R$2,Ingreso!$AW$10:$BC$260,VLOOKUP(A722,Ingreso!AL:AM,2,FALSE),FALSE)/24,""))),"")=0,"",IFERROR(IF(C722=C720,0,IF(E722=E721,0,IF(C722=$R$2,HLOOKUP($R$2,Ingreso!$AW$10:$BC$260,VLOOKUP(A722,Ingreso!AL:AM,2,FALSE),FALSE)/24,""))),""))</f>
        <v/>
      </c>
      <c r="N722" s="95" t="str">
        <f>IF(IFERROR(IF(C722=C720,0,IF(E722=E721,0,IF(C722=$R$3,HLOOKUP($R$3,Ingreso!$AW$10:$BC$260,VLOOKUP(A722,Ingreso!AL:AM,2,FALSE),FALSE)/24,""))),"")=0,"",IFERROR(IF(C722=C720,0,IF(E722=E721,0,IF(C722=$R$3,HLOOKUP($R$3,Ingreso!$AW$10:$BC$260,VLOOKUP(A722,Ingreso!AL:AM,2,FALSE),FALSE)/24,""))),""))</f>
        <v/>
      </c>
      <c r="O722" s="95" t="str">
        <f>IF(IFERROR(IF(C722=C720,0,IF(E722=E721,0,IF(C722=$R$4,HLOOKUP($R$4,Ingreso!$AW$10:$BC$260,VLOOKUP(A722,Ingreso!AL:AM,2,FALSE),FALSE)/24,""))),"")=0,"",IFERROR(IF(C722=C720,0,IF(E722=E721,0,IF(C722=$R$4,HLOOKUP($R$4,Ingreso!$AW$10:$BC$260,VLOOKUP(A722,Ingreso!AL:AM,2,FALSE),FALSE)/24,""))),""))</f>
        <v/>
      </c>
      <c r="P722" s="90"/>
      <c r="V722"/>
      <c r="W722"/>
      <c r="X722"/>
      <c r="Y722"/>
      <c r="Z722"/>
      <c r="AA722"/>
      <c r="AB722"/>
      <c r="AC722"/>
      <c r="AD722"/>
    </row>
    <row r="723" spans="1:30">
      <c r="A723" s="65" t="str">
        <f>IFERROR(VLOOKUP('Informe Kelly'!A716,Base!A:B,2,FALSE),"")</f>
        <v>13.834.251-4</v>
      </c>
      <c r="B723" s="65" t="str">
        <f>IFERROR(VLOOKUP('Informe Kelly'!A716,Base!A:G,7,FALSE),"")</f>
        <v>MILLAN HERRERA MARIA ELIANA</v>
      </c>
      <c r="C723" s="69" t="str">
        <f>IF(G723=$C$4,IF('Informe Kelly'!H716='Control informe Kelly'!$A$2,TEXT(((LEFT('Informe Kelly'!E716,2)*1)+1),"dd")&amp;"."&amp;MID('Informe Kelly'!E716,4,2)&amp;"."&amp;RIGHT('Informe Kelly'!E716,4),'Informe Kelly'!E716),'Informe Kelly'!E716)</f>
        <v>11.04.2011</v>
      </c>
      <c r="D723" s="69" t="str">
        <f>IF('Informe Kelly'!E716="","",'Informe Kelly'!E716)</f>
        <v>11.04.2011</v>
      </c>
      <c r="E723" s="72">
        <f t="shared" si="23"/>
        <v>365</v>
      </c>
      <c r="F723" s="72" t="str">
        <f>IFERROR(HLOOKUP(C723,Ingreso!$Q$8:$AD$9,2,FALSE),"v")</f>
        <v>Lunes</v>
      </c>
      <c r="G723" s="65" t="str">
        <f>IFERROR(VLOOKUP(A723,Ingreso!K:P,6,FALSE),"no esta ingresado")</f>
        <v>Turno A</v>
      </c>
      <c r="H723" s="65" t="str">
        <f>IFERROR(IF('Informe Kelly'!H716=$A$2,'Informe Kelly'!F716,""),0)</f>
        <v/>
      </c>
      <c r="I723" s="65">
        <f>IFERROR(IF('Informe Kelly'!H716=$A$3,'Informe Kelly'!F716,""),0)</f>
        <v>0.77585648148148145</v>
      </c>
      <c r="J723" s="65">
        <f>IF(IFERROR(IF(E723=E722,0,(HLOOKUP(D723,Ingreso!$AN$10:$AT$260,VLOOKUP(A723,Ingreso!$AL$11:$AM$260,2,FALSE)))/24),0)=0,"",IFERROR(IF(E723=E722,0,(HLOOKUP(D723,Ingreso!$AN$10:$AT$260,VLOOKUP(A723,Ingreso!$AL$11:$AM$260,2,FALSE)))/24),0))</f>
        <v>8.3333333333333329E-2</v>
      </c>
      <c r="K723" s="65" t="str">
        <f>IF(IFERROR(IF(E723=E722,0,(HLOOKUP(C723,Ingreso!$AW$10:$BC$260,VLOOKUP(A723,Ingreso!$AL$11:$AM$260,2,FALSE)))/24),0)=0,"",IFERROR(IF(E723=E722,0,(HLOOKUP(C723,Ingreso!$AW$10:$BC$260,VLOOKUP(A723,Ingreso!$AL$11:$AM$260,2,FALSE)))/24),0))</f>
        <v/>
      </c>
      <c r="L723" s="63">
        <f t="shared" si="22"/>
        <v>0.3125</v>
      </c>
      <c r="M723" s="63" t="str">
        <f>IF(IFERROR(IF(C723=C721,0,IF(E723=E722,0,IF(C723=$R$2,HLOOKUP($R$2,Ingreso!$AW$10:$BC$260,VLOOKUP(A723,Ingreso!AL:AM,2,FALSE),FALSE)/24,""))),"")=0,"",IFERROR(IF(C723=C721,0,IF(E723=E722,0,IF(C723=$R$2,HLOOKUP($R$2,Ingreso!$AW$10:$BC$260,VLOOKUP(A723,Ingreso!AL:AM,2,FALSE),FALSE)/24,""))),""))</f>
        <v/>
      </c>
      <c r="N723" s="95" t="str">
        <f>IF(IFERROR(IF(C723=C721,0,IF(E723=E722,0,IF(C723=$R$3,HLOOKUP($R$3,Ingreso!$AW$10:$BC$260,VLOOKUP(A723,Ingreso!AL:AM,2,FALSE),FALSE)/24,""))),"")=0,"",IFERROR(IF(C723=C721,0,IF(E723=E722,0,IF(C723=$R$3,HLOOKUP($R$3,Ingreso!$AW$10:$BC$260,VLOOKUP(A723,Ingreso!AL:AM,2,FALSE),FALSE)/24,""))),""))</f>
        <v/>
      </c>
      <c r="O723" s="95" t="str">
        <f>IF(IFERROR(IF(C723=C721,0,IF(E723=E722,0,IF(C723=$R$4,HLOOKUP($R$4,Ingreso!$AW$10:$BC$260,VLOOKUP(A723,Ingreso!AL:AM,2,FALSE),FALSE)/24,""))),"")=0,"",IFERROR(IF(C723=C721,0,IF(E723=E722,0,IF(C723=$R$4,HLOOKUP($R$4,Ingreso!$AW$10:$BC$260,VLOOKUP(A723,Ingreso!AL:AM,2,FALSE),FALSE)/24,""))),""))</f>
        <v/>
      </c>
      <c r="P723" s="90"/>
      <c r="V723"/>
      <c r="W723"/>
      <c r="X723"/>
      <c r="Y723"/>
      <c r="Z723"/>
      <c r="AA723"/>
      <c r="AB723"/>
      <c r="AC723"/>
      <c r="AD723"/>
    </row>
    <row r="724" spans="1:30">
      <c r="A724" s="65" t="str">
        <f>IFERROR(VLOOKUP('Informe Kelly'!A717,Base!A:B,2,FALSE),"")</f>
        <v>13.834.251-4</v>
      </c>
      <c r="B724" s="65" t="str">
        <f>IFERROR(VLOOKUP('Informe Kelly'!A717,Base!A:G,7,FALSE),"")</f>
        <v>MILLAN HERRERA MARIA ELIANA</v>
      </c>
      <c r="C724" s="69" t="str">
        <f>IF(G724=$C$4,IF('Informe Kelly'!H717='Control informe Kelly'!$A$2,TEXT(((LEFT('Informe Kelly'!E717,2)*1)+1),"dd")&amp;"."&amp;MID('Informe Kelly'!E717,4,2)&amp;"."&amp;RIGHT('Informe Kelly'!E717,4),'Informe Kelly'!E717),'Informe Kelly'!E717)</f>
        <v>11.04.2011</v>
      </c>
      <c r="D724" s="69" t="str">
        <f>IF('Informe Kelly'!E717="","",'Informe Kelly'!E717)</f>
        <v>11.04.2011</v>
      </c>
      <c r="E724" s="72">
        <f t="shared" si="23"/>
        <v>365</v>
      </c>
      <c r="F724" s="72" t="str">
        <f>IFERROR(HLOOKUP(C724,Ingreso!$Q$8:$AD$9,2,FALSE),"v")</f>
        <v>Lunes</v>
      </c>
      <c r="G724" s="65" t="str">
        <f>IFERROR(VLOOKUP(A724,Ingreso!K:P,6,FALSE),"no esta ingresado")</f>
        <v>Turno A</v>
      </c>
      <c r="H724" s="65">
        <f>IFERROR(IF('Informe Kelly'!H717=$A$2,'Informe Kelly'!F717,""),0)</f>
        <v>0.32402777777777775</v>
      </c>
      <c r="I724" s="65" t="str">
        <f>IFERROR(IF('Informe Kelly'!H717=$A$3,'Informe Kelly'!F717,""),0)</f>
        <v/>
      </c>
      <c r="J724" s="65" t="str">
        <f>IF(IFERROR(IF(E724=E723,0,(HLOOKUP(D724,Ingreso!$AN$10:$AT$260,VLOOKUP(A724,Ingreso!$AL$11:$AM$260,2,FALSE)))/24),0)=0,"",IFERROR(IF(E724=E723,0,(HLOOKUP(D724,Ingreso!$AN$10:$AT$260,VLOOKUP(A724,Ingreso!$AL$11:$AM$260,2,FALSE)))/24),0))</f>
        <v/>
      </c>
      <c r="K724" s="65" t="str">
        <f>IF(IFERROR(IF(E724=E723,0,(HLOOKUP(C724,Ingreso!$AW$10:$BC$260,VLOOKUP(A724,Ingreso!$AL$11:$AM$260,2,FALSE)))/24),0)=0,"",IFERROR(IF(E724=E723,0,(HLOOKUP(C724,Ingreso!$AW$10:$BC$260,VLOOKUP(A724,Ingreso!$AL$11:$AM$260,2,FALSE)))/24),0))</f>
        <v/>
      </c>
      <c r="L724" s="63">
        <f t="shared" si="22"/>
        <v>0</v>
      </c>
      <c r="M724" s="63" t="str">
        <f>IF(IFERROR(IF(C724=C722,0,IF(E724=E723,0,IF(C724=$R$2,HLOOKUP($R$2,Ingreso!$AW$10:$BC$260,VLOOKUP(A724,Ingreso!AL:AM,2,FALSE),FALSE)/24,""))),"")=0,"",IFERROR(IF(C724=C722,0,IF(E724=E723,0,IF(C724=$R$2,HLOOKUP($R$2,Ingreso!$AW$10:$BC$260,VLOOKUP(A724,Ingreso!AL:AM,2,FALSE),FALSE)/24,""))),""))</f>
        <v/>
      </c>
      <c r="N724" s="95" t="str">
        <f>IF(IFERROR(IF(C724=C722,0,IF(E724=E723,0,IF(C724=$R$3,HLOOKUP($R$3,Ingreso!$AW$10:$BC$260,VLOOKUP(A724,Ingreso!AL:AM,2,FALSE),FALSE)/24,""))),"")=0,"",IFERROR(IF(C724=C722,0,IF(E724=E723,0,IF(C724=$R$3,HLOOKUP($R$3,Ingreso!$AW$10:$BC$260,VLOOKUP(A724,Ingreso!AL:AM,2,FALSE),FALSE)/24,""))),""))</f>
        <v/>
      </c>
      <c r="O724" s="95" t="str">
        <f>IF(IFERROR(IF(C724=C722,0,IF(E724=E723,0,IF(C724=$R$4,HLOOKUP($R$4,Ingreso!$AW$10:$BC$260,VLOOKUP(A724,Ingreso!AL:AM,2,FALSE),FALSE)/24,""))),"")=0,"",IFERROR(IF(C724=C722,0,IF(E724=E723,0,IF(C724=$R$4,HLOOKUP($R$4,Ingreso!$AW$10:$BC$260,VLOOKUP(A724,Ingreso!AL:AM,2,FALSE),FALSE)/24,""))),""))</f>
        <v/>
      </c>
      <c r="P724" s="90"/>
      <c r="V724"/>
      <c r="W724"/>
      <c r="X724"/>
      <c r="Y724"/>
      <c r="Z724"/>
      <c r="AA724"/>
      <c r="AB724"/>
      <c r="AC724"/>
      <c r="AD724"/>
    </row>
    <row r="725" spans="1:30">
      <c r="A725" s="65" t="str">
        <f>IFERROR(VLOOKUP('Informe Kelly'!A718,Base!A:B,2,FALSE),"")</f>
        <v>13.834.251-4</v>
      </c>
      <c r="B725" s="65" t="str">
        <f>IFERROR(VLOOKUP('Informe Kelly'!A718,Base!A:G,7,FALSE),"")</f>
        <v>MILLAN HERRERA MARIA ELIANA</v>
      </c>
      <c r="C725" s="69" t="str">
        <f>IF(G725=$C$4,IF('Informe Kelly'!H718='Control informe Kelly'!$A$2,TEXT(((LEFT('Informe Kelly'!E718,2)*1)+1),"dd")&amp;"."&amp;MID('Informe Kelly'!E718,4,2)&amp;"."&amp;RIGHT('Informe Kelly'!E718,4),'Informe Kelly'!E718),'Informe Kelly'!E718)</f>
        <v>12.04.2011</v>
      </c>
      <c r="D725" s="69" t="str">
        <f>IF('Informe Kelly'!E718="","",'Informe Kelly'!E718)</f>
        <v>12.04.2011</v>
      </c>
      <c r="E725" s="72">
        <f t="shared" si="23"/>
        <v>366</v>
      </c>
      <c r="F725" s="72" t="str">
        <f>IFERROR(HLOOKUP(C725,Ingreso!$Q$8:$AD$9,2,FALSE),"v")</f>
        <v>Martes</v>
      </c>
      <c r="G725" s="65" t="str">
        <f>IFERROR(VLOOKUP(A725,Ingreso!K:P,6,FALSE),"no esta ingresado")</f>
        <v>Turno A</v>
      </c>
      <c r="H725" s="65" t="str">
        <f>IFERROR(IF('Informe Kelly'!H718=$A$2,'Informe Kelly'!F718,""),0)</f>
        <v/>
      </c>
      <c r="I725" s="65">
        <f>IFERROR(IF('Informe Kelly'!H718=$A$3,'Informe Kelly'!F718,""),0)</f>
        <v>0.78962962962962957</v>
      </c>
      <c r="J725" s="65">
        <f>IF(IFERROR(IF(E725=E724,0,(HLOOKUP(D725,Ingreso!$AN$10:$AT$260,VLOOKUP(A725,Ingreso!$AL$11:$AM$260,2,FALSE)))/24),0)=0,"",IFERROR(IF(E725=E724,0,(HLOOKUP(D725,Ingreso!$AN$10:$AT$260,VLOOKUP(A725,Ingreso!$AL$11:$AM$260,2,FALSE)))/24),0))</f>
        <v>8.3333333333333329E-2</v>
      </c>
      <c r="K725" s="65" t="str">
        <f>IF(IFERROR(IF(E725=E724,0,(HLOOKUP(C725,Ingreso!$AW$10:$BC$260,VLOOKUP(A725,Ingreso!$AL$11:$AM$260,2,FALSE)))/24),0)=0,"",IFERROR(IF(E725=E724,0,(HLOOKUP(C725,Ingreso!$AW$10:$BC$260,VLOOKUP(A725,Ingreso!$AL$11:$AM$260,2,FALSE)))/24),0))</f>
        <v/>
      </c>
      <c r="L725" s="63">
        <f t="shared" si="22"/>
        <v>0.3125</v>
      </c>
      <c r="M725" s="63" t="str">
        <f>IF(IFERROR(IF(C725=C723,0,IF(E725=E724,0,IF(C725=$R$2,HLOOKUP($R$2,Ingreso!$AW$10:$BC$260,VLOOKUP(A725,Ingreso!AL:AM,2,FALSE),FALSE)/24,""))),"")=0,"",IFERROR(IF(C725=C723,0,IF(E725=E724,0,IF(C725=$R$2,HLOOKUP($R$2,Ingreso!$AW$10:$BC$260,VLOOKUP(A725,Ingreso!AL:AM,2,FALSE),FALSE)/24,""))),""))</f>
        <v/>
      </c>
      <c r="N725" s="95" t="str">
        <f>IF(IFERROR(IF(C725=C723,0,IF(E725=E724,0,IF(C725=$R$3,HLOOKUP($R$3,Ingreso!$AW$10:$BC$260,VLOOKUP(A725,Ingreso!AL:AM,2,FALSE),FALSE)/24,""))),"")=0,"",IFERROR(IF(C725=C723,0,IF(E725=E724,0,IF(C725=$R$3,HLOOKUP($R$3,Ingreso!$AW$10:$BC$260,VLOOKUP(A725,Ingreso!AL:AM,2,FALSE),FALSE)/24,""))),""))</f>
        <v/>
      </c>
      <c r="O725" s="95" t="str">
        <f>IF(IFERROR(IF(C725=C723,0,IF(E725=E724,0,IF(C725=$R$4,HLOOKUP($R$4,Ingreso!$AW$10:$BC$260,VLOOKUP(A725,Ingreso!AL:AM,2,FALSE),FALSE)/24,""))),"")=0,"",IFERROR(IF(C725=C723,0,IF(E725=E724,0,IF(C725=$R$4,HLOOKUP($R$4,Ingreso!$AW$10:$BC$260,VLOOKUP(A725,Ingreso!AL:AM,2,FALSE),FALSE)/24,""))),""))</f>
        <v/>
      </c>
      <c r="P725" s="90"/>
      <c r="V725"/>
      <c r="W725"/>
      <c r="X725"/>
      <c r="Y725"/>
      <c r="Z725"/>
      <c r="AA725"/>
      <c r="AB725"/>
      <c r="AC725"/>
      <c r="AD725"/>
    </row>
    <row r="726" spans="1:30">
      <c r="A726" s="65" t="str">
        <f>IFERROR(VLOOKUP('Informe Kelly'!A719,Base!A:B,2,FALSE),"")</f>
        <v>13.834.251-4</v>
      </c>
      <c r="B726" s="65" t="str">
        <f>IFERROR(VLOOKUP('Informe Kelly'!A719,Base!A:G,7,FALSE),"")</f>
        <v>MILLAN HERRERA MARIA ELIANA</v>
      </c>
      <c r="C726" s="69" t="str">
        <f>IF(G726=$C$4,IF('Informe Kelly'!H719='Control informe Kelly'!$A$2,TEXT(((LEFT('Informe Kelly'!E719,2)*1)+1),"dd")&amp;"."&amp;MID('Informe Kelly'!E719,4,2)&amp;"."&amp;RIGHT('Informe Kelly'!E719,4),'Informe Kelly'!E719),'Informe Kelly'!E719)</f>
        <v>12.04.2011</v>
      </c>
      <c r="D726" s="69" t="str">
        <f>IF('Informe Kelly'!E719="","",'Informe Kelly'!E719)</f>
        <v>12.04.2011</v>
      </c>
      <c r="E726" s="72">
        <f t="shared" si="23"/>
        <v>366</v>
      </c>
      <c r="F726" s="72" t="str">
        <f>IFERROR(HLOOKUP(C726,Ingreso!$Q$8:$AD$9,2,FALSE),"v")</f>
        <v>Martes</v>
      </c>
      <c r="G726" s="65" t="str">
        <f>IFERROR(VLOOKUP(A726,Ingreso!K:P,6,FALSE),"no esta ingresado")</f>
        <v>Turno A</v>
      </c>
      <c r="H726" s="65">
        <f>IFERROR(IF('Informe Kelly'!H719=$A$2,'Informe Kelly'!F719,""),0)</f>
        <v>0.33493055555555556</v>
      </c>
      <c r="I726" s="65" t="str">
        <f>IFERROR(IF('Informe Kelly'!H719=$A$3,'Informe Kelly'!F719,""),0)</f>
        <v/>
      </c>
      <c r="J726" s="65" t="str">
        <f>IF(IFERROR(IF(E726=E725,0,(HLOOKUP(D726,Ingreso!$AN$10:$AT$260,VLOOKUP(A726,Ingreso!$AL$11:$AM$260,2,FALSE)))/24),0)=0,"",IFERROR(IF(E726=E725,0,(HLOOKUP(D726,Ingreso!$AN$10:$AT$260,VLOOKUP(A726,Ingreso!$AL$11:$AM$260,2,FALSE)))/24),0))</f>
        <v/>
      </c>
      <c r="K726" s="65" t="str">
        <f>IF(IFERROR(IF(E726=E725,0,(HLOOKUP(C726,Ingreso!$AW$10:$BC$260,VLOOKUP(A726,Ingreso!$AL$11:$AM$260,2,FALSE)))/24),0)=0,"",IFERROR(IF(E726=E725,0,(HLOOKUP(C726,Ingreso!$AW$10:$BC$260,VLOOKUP(A726,Ingreso!$AL$11:$AM$260,2,FALSE)))/24),0))</f>
        <v/>
      </c>
      <c r="L726" s="63">
        <f t="shared" si="22"/>
        <v>0</v>
      </c>
      <c r="M726" s="63" t="str">
        <f>IF(IFERROR(IF(C726=C724,0,IF(E726=E725,0,IF(C726=$R$2,HLOOKUP($R$2,Ingreso!$AW$10:$BC$260,VLOOKUP(A726,Ingreso!AL:AM,2,FALSE),FALSE)/24,""))),"")=0,"",IFERROR(IF(C726=C724,0,IF(E726=E725,0,IF(C726=$R$2,HLOOKUP($R$2,Ingreso!$AW$10:$BC$260,VLOOKUP(A726,Ingreso!AL:AM,2,FALSE),FALSE)/24,""))),""))</f>
        <v/>
      </c>
      <c r="N726" s="95" t="str">
        <f>IF(IFERROR(IF(C726=C724,0,IF(E726=E725,0,IF(C726=$R$3,HLOOKUP($R$3,Ingreso!$AW$10:$BC$260,VLOOKUP(A726,Ingreso!AL:AM,2,FALSE),FALSE)/24,""))),"")=0,"",IFERROR(IF(C726=C724,0,IF(E726=E725,0,IF(C726=$R$3,HLOOKUP($R$3,Ingreso!$AW$10:$BC$260,VLOOKUP(A726,Ingreso!AL:AM,2,FALSE),FALSE)/24,""))),""))</f>
        <v/>
      </c>
      <c r="O726" s="95" t="str">
        <f>IF(IFERROR(IF(C726=C724,0,IF(E726=E725,0,IF(C726=$R$4,HLOOKUP($R$4,Ingreso!$AW$10:$BC$260,VLOOKUP(A726,Ingreso!AL:AM,2,FALSE),FALSE)/24,""))),"")=0,"",IFERROR(IF(C726=C724,0,IF(E726=E725,0,IF(C726=$R$4,HLOOKUP($R$4,Ingreso!$AW$10:$BC$260,VLOOKUP(A726,Ingreso!AL:AM,2,FALSE),FALSE)/24,""))),""))</f>
        <v/>
      </c>
      <c r="P726" s="90"/>
      <c r="V726"/>
      <c r="W726"/>
      <c r="X726"/>
      <c r="Y726"/>
      <c r="Z726"/>
      <c r="AA726"/>
      <c r="AB726"/>
      <c r="AC726"/>
      <c r="AD726"/>
    </row>
    <row r="727" spans="1:30">
      <c r="A727" s="65" t="str">
        <f>IFERROR(VLOOKUP('Informe Kelly'!A720,Base!A:B,2,FALSE),"")</f>
        <v>13.834.251-4</v>
      </c>
      <c r="B727" s="65" t="str">
        <f>IFERROR(VLOOKUP('Informe Kelly'!A720,Base!A:G,7,FALSE),"")</f>
        <v>MILLAN HERRERA MARIA ELIANA</v>
      </c>
      <c r="C727" s="69" t="str">
        <f>IF(G727=$C$4,IF('Informe Kelly'!H720='Control informe Kelly'!$A$2,TEXT(((LEFT('Informe Kelly'!E720,2)*1)+1),"dd")&amp;"."&amp;MID('Informe Kelly'!E720,4,2)&amp;"."&amp;RIGHT('Informe Kelly'!E720,4),'Informe Kelly'!E720),'Informe Kelly'!E720)</f>
        <v>13.04.2011</v>
      </c>
      <c r="D727" s="69" t="str">
        <f>IF('Informe Kelly'!E720="","",'Informe Kelly'!E720)</f>
        <v>13.04.2011</v>
      </c>
      <c r="E727" s="72">
        <f t="shared" si="23"/>
        <v>367</v>
      </c>
      <c r="F727" s="72" t="str">
        <f>IFERROR(HLOOKUP(C727,Ingreso!$Q$8:$AD$9,2,FALSE),"v")</f>
        <v>Miércoles</v>
      </c>
      <c r="G727" s="65" t="str">
        <f>IFERROR(VLOOKUP(A727,Ingreso!K:P,6,FALSE),"no esta ingresado")</f>
        <v>Turno A</v>
      </c>
      <c r="H727" s="65" t="str">
        <f>IFERROR(IF('Informe Kelly'!H720=$A$2,'Informe Kelly'!F720,""),0)</f>
        <v/>
      </c>
      <c r="I727" s="65">
        <f>IFERROR(IF('Informe Kelly'!H720=$A$3,'Informe Kelly'!F720,""),0)</f>
        <v>0.78012731481481479</v>
      </c>
      <c r="J727" s="65">
        <f>IF(IFERROR(IF(E727=E726,0,(HLOOKUP(D727,Ingreso!$AN$10:$AT$260,VLOOKUP(A727,Ingreso!$AL$11:$AM$260,2,FALSE)))/24),0)=0,"",IFERROR(IF(E727=E726,0,(HLOOKUP(D727,Ingreso!$AN$10:$AT$260,VLOOKUP(A727,Ingreso!$AL$11:$AM$260,2,FALSE)))/24),0))</f>
        <v>8.3333333333333329E-2</v>
      </c>
      <c r="K727" s="65" t="str">
        <f>IF(IFERROR(IF(E727=E726,0,(HLOOKUP(C727,Ingreso!$AW$10:$BC$260,VLOOKUP(A727,Ingreso!$AL$11:$AM$260,2,FALSE)))/24),0)=0,"",IFERROR(IF(E727=E726,0,(HLOOKUP(C727,Ingreso!$AW$10:$BC$260,VLOOKUP(A727,Ingreso!$AL$11:$AM$260,2,FALSE)))/24),0))</f>
        <v/>
      </c>
      <c r="L727" s="63">
        <f t="shared" si="22"/>
        <v>0.3125</v>
      </c>
      <c r="M727" s="63" t="str">
        <f>IF(IFERROR(IF(C727=C725,0,IF(E727=E726,0,IF(C727=$R$2,HLOOKUP($R$2,Ingreso!$AW$10:$BC$260,VLOOKUP(A727,Ingreso!AL:AM,2,FALSE),FALSE)/24,""))),"")=0,"",IFERROR(IF(C727=C725,0,IF(E727=E726,0,IF(C727=$R$2,HLOOKUP($R$2,Ingreso!$AW$10:$BC$260,VLOOKUP(A727,Ingreso!AL:AM,2,FALSE),FALSE)/24,""))),""))</f>
        <v/>
      </c>
      <c r="N727" s="95" t="str">
        <f>IF(IFERROR(IF(C727=C725,0,IF(E727=E726,0,IF(C727=$R$3,HLOOKUP($R$3,Ingreso!$AW$10:$BC$260,VLOOKUP(A727,Ingreso!AL:AM,2,FALSE),FALSE)/24,""))),"")=0,"",IFERROR(IF(C727=C725,0,IF(E727=E726,0,IF(C727=$R$3,HLOOKUP($R$3,Ingreso!$AW$10:$BC$260,VLOOKUP(A727,Ingreso!AL:AM,2,FALSE),FALSE)/24,""))),""))</f>
        <v/>
      </c>
      <c r="O727" s="95" t="str">
        <f>IF(IFERROR(IF(C727=C725,0,IF(E727=E726,0,IF(C727=$R$4,HLOOKUP($R$4,Ingreso!$AW$10:$BC$260,VLOOKUP(A727,Ingreso!AL:AM,2,FALSE),FALSE)/24,""))),"")=0,"",IFERROR(IF(C727=C725,0,IF(E727=E726,0,IF(C727=$R$4,HLOOKUP($R$4,Ingreso!$AW$10:$BC$260,VLOOKUP(A727,Ingreso!AL:AM,2,FALSE),FALSE)/24,""))),""))</f>
        <v/>
      </c>
      <c r="P727" s="90"/>
      <c r="V727"/>
      <c r="W727"/>
      <c r="X727"/>
      <c r="Y727"/>
      <c r="Z727"/>
      <c r="AA727"/>
      <c r="AB727"/>
      <c r="AC727"/>
      <c r="AD727"/>
    </row>
    <row r="728" spans="1:30">
      <c r="A728" s="65" t="str">
        <f>IFERROR(VLOOKUP('Informe Kelly'!A721,Base!A:B,2,FALSE),"")</f>
        <v>13.834.251-4</v>
      </c>
      <c r="B728" s="65" t="str">
        <f>IFERROR(VLOOKUP('Informe Kelly'!A721,Base!A:G,7,FALSE),"")</f>
        <v>MILLAN HERRERA MARIA ELIANA</v>
      </c>
      <c r="C728" s="69" t="str">
        <f>IF(G728=$C$4,IF('Informe Kelly'!H721='Control informe Kelly'!$A$2,TEXT(((LEFT('Informe Kelly'!E721,2)*1)+1),"dd")&amp;"."&amp;MID('Informe Kelly'!E721,4,2)&amp;"."&amp;RIGHT('Informe Kelly'!E721,4),'Informe Kelly'!E721),'Informe Kelly'!E721)</f>
        <v>13.04.2011</v>
      </c>
      <c r="D728" s="69" t="str">
        <f>IF('Informe Kelly'!E721="","",'Informe Kelly'!E721)</f>
        <v>13.04.2011</v>
      </c>
      <c r="E728" s="72">
        <f t="shared" si="23"/>
        <v>367</v>
      </c>
      <c r="F728" s="72" t="str">
        <f>IFERROR(HLOOKUP(C728,Ingreso!$Q$8:$AD$9,2,FALSE),"v")</f>
        <v>Miércoles</v>
      </c>
      <c r="G728" s="65" t="str">
        <f>IFERROR(VLOOKUP(A728,Ingreso!K:P,6,FALSE),"no esta ingresado")</f>
        <v>Turno A</v>
      </c>
      <c r="H728" s="65">
        <f>IFERROR(IF('Informe Kelly'!H721=$A$2,'Informe Kelly'!F721,""),0)</f>
        <v>0.33402777777777781</v>
      </c>
      <c r="I728" s="65" t="str">
        <f>IFERROR(IF('Informe Kelly'!H721=$A$3,'Informe Kelly'!F721,""),0)</f>
        <v/>
      </c>
      <c r="J728" s="65" t="str">
        <f>IF(IFERROR(IF(E728=E727,0,(HLOOKUP(D728,Ingreso!$AN$10:$AT$260,VLOOKUP(A728,Ingreso!$AL$11:$AM$260,2,FALSE)))/24),0)=0,"",IFERROR(IF(E728=E727,0,(HLOOKUP(D728,Ingreso!$AN$10:$AT$260,VLOOKUP(A728,Ingreso!$AL$11:$AM$260,2,FALSE)))/24),0))</f>
        <v/>
      </c>
      <c r="K728" s="65" t="str">
        <f>IF(IFERROR(IF(E728=E727,0,(HLOOKUP(C728,Ingreso!$AW$10:$BC$260,VLOOKUP(A728,Ingreso!$AL$11:$AM$260,2,FALSE)))/24),0)=0,"",IFERROR(IF(E728=E727,0,(HLOOKUP(C728,Ingreso!$AW$10:$BC$260,VLOOKUP(A728,Ingreso!$AL$11:$AM$260,2,FALSE)))/24),0))</f>
        <v/>
      </c>
      <c r="L728" s="63">
        <f t="shared" si="22"/>
        <v>0</v>
      </c>
      <c r="M728" s="63" t="str">
        <f>IF(IFERROR(IF(C728=C726,0,IF(E728=E727,0,IF(C728=$R$2,HLOOKUP($R$2,Ingreso!$AW$10:$BC$260,VLOOKUP(A728,Ingreso!AL:AM,2,FALSE),FALSE)/24,""))),"")=0,"",IFERROR(IF(C728=C726,0,IF(E728=E727,0,IF(C728=$R$2,HLOOKUP($R$2,Ingreso!$AW$10:$BC$260,VLOOKUP(A728,Ingreso!AL:AM,2,FALSE),FALSE)/24,""))),""))</f>
        <v/>
      </c>
      <c r="N728" s="95" t="str">
        <f>IF(IFERROR(IF(C728=C726,0,IF(E728=E727,0,IF(C728=$R$3,HLOOKUP($R$3,Ingreso!$AW$10:$BC$260,VLOOKUP(A728,Ingreso!AL:AM,2,FALSE),FALSE)/24,""))),"")=0,"",IFERROR(IF(C728=C726,0,IF(E728=E727,0,IF(C728=$R$3,HLOOKUP($R$3,Ingreso!$AW$10:$BC$260,VLOOKUP(A728,Ingreso!AL:AM,2,FALSE),FALSE)/24,""))),""))</f>
        <v/>
      </c>
      <c r="O728" s="95" t="str">
        <f>IF(IFERROR(IF(C728=C726,0,IF(E728=E727,0,IF(C728=$R$4,HLOOKUP($R$4,Ingreso!$AW$10:$BC$260,VLOOKUP(A728,Ingreso!AL:AM,2,FALSE),FALSE)/24,""))),"")=0,"",IFERROR(IF(C728=C726,0,IF(E728=E727,0,IF(C728=$R$4,HLOOKUP($R$4,Ingreso!$AW$10:$BC$260,VLOOKUP(A728,Ingreso!AL:AM,2,FALSE),FALSE)/24,""))),""))</f>
        <v/>
      </c>
      <c r="P728" s="90"/>
      <c r="V728"/>
      <c r="W728"/>
      <c r="X728"/>
      <c r="Y728"/>
      <c r="Z728"/>
      <c r="AA728"/>
      <c r="AB728"/>
      <c r="AC728"/>
      <c r="AD728"/>
    </row>
    <row r="729" spans="1:30">
      <c r="A729" s="65" t="str">
        <f>IFERROR(VLOOKUP('Informe Kelly'!A722,Base!A:B,2,FALSE),"")</f>
        <v>13.834.251-4</v>
      </c>
      <c r="B729" s="65" t="str">
        <f>IFERROR(VLOOKUP('Informe Kelly'!A722,Base!A:G,7,FALSE),"")</f>
        <v>MILLAN HERRERA MARIA ELIANA</v>
      </c>
      <c r="C729" s="69" t="str">
        <f>IF(G729=$C$4,IF('Informe Kelly'!H722='Control informe Kelly'!$A$2,TEXT(((LEFT('Informe Kelly'!E722,2)*1)+1),"dd")&amp;"."&amp;MID('Informe Kelly'!E722,4,2)&amp;"."&amp;RIGHT('Informe Kelly'!E722,4),'Informe Kelly'!E722),'Informe Kelly'!E722)</f>
        <v>14.04.2011</v>
      </c>
      <c r="D729" s="69" t="str">
        <f>IF('Informe Kelly'!E722="","",'Informe Kelly'!E722)</f>
        <v>14.04.2011</v>
      </c>
      <c r="E729" s="72">
        <f t="shared" si="23"/>
        <v>368</v>
      </c>
      <c r="F729" s="72" t="str">
        <f>IFERROR(HLOOKUP(C729,Ingreso!$Q$8:$AD$9,2,FALSE),"v")</f>
        <v>Jueves</v>
      </c>
      <c r="G729" s="65" t="str">
        <f>IFERROR(VLOOKUP(A729,Ingreso!K:P,6,FALSE),"no esta ingresado")</f>
        <v>Turno A</v>
      </c>
      <c r="H729" s="65" t="str">
        <f>IFERROR(IF('Informe Kelly'!H722=$A$2,'Informe Kelly'!F722,""),0)</f>
        <v/>
      </c>
      <c r="I729" s="65">
        <f>IFERROR(IF('Informe Kelly'!H722=$A$3,'Informe Kelly'!F722,""),0)</f>
        <v>0.78521990740740744</v>
      </c>
      <c r="J729" s="65">
        <f>IF(IFERROR(IF(E729=E728,0,(HLOOKUP(D729,Ingreso!$AN$10:$AT$260,VLOOKUP(A729,Ingreso!$AL$11:$AM$260,2,FALSE)))/24),0)=0,"",IFERROR(IF(E729=E728,0,(HLOOKUP(D729,Ingreso!$AN$10:$AT$260,VLOOKUP(A729,Ingreso!$AL$11:$AM$260,2,FALSE)))/24),0))</f>
        <v>8.3333333333333329E-2</v>
      </c>
      <c r="K729" s="65" t="str">
        <f>IF(IFERROR(IF(E729=E728,0,(HLOOKUP(C729,Ingreso!$AW$10:$BC$260,VLOOKUP(A729,Ingreso!$AL$11:$AM$260,2,FALSE)))/24),0)=0,"",IFERROR(IF(E729=E728,0,(HLOOKUP(C729,Ingreso!$AW$10:$BC$260,VLOOKUP(A729,Ingreso!$AL$11:$AM$260,2,FALSE)))/24),0))</f>
        <v/>
      </c>
      <c r="L729" s="63">
        <f t="shared" si="22"/>
        <v>0.3125</v>
      </c>
      <c r="M729" s="63" t="str">
        <f>IF(IFERROR(IF(C729=C727,0,IF(E729=E728,0,IF(C729=$R$2,HLOOKUP($R$2,Ingreso!$AW$10:$BC$260,VLOOKUP(A729,Ingreso!AL:AM,2,FALSE),FALSE)/24,""))),"")=0,"",IFERROR(IF(C729=C727,0,IF(E729=E728,0,IF(C729=$R$2,HLOOKUP($R$2,Ingreso!$AW$10:$BC$260,VLOOKUP(A729,Ingreso!AL:AM,2,FALSE),FALSE)/24,""))),""))</f>
        <v/>
      </c>
      <c r="N729" s="95" t="str">
        <f>IF(IFERROR(IF(C729=C727,0,IF(E729=E728,0,IF(C729=$R$3,HLOOKUP($R$3,Ingreso!$AW$10:$BC$260,VLOOKUP(A729,Ingreso!AL:AM,2,FALSE),FALSE)/24,""))),"")=0,"",IFERROR(IF(C729=C727,0,IF(E729=E728,0,IF(C729=$R$3,HLOOKUP($R$3,Ingreso!$AW$10:$BC$260,VLOOKUP(A729,Ingreso!AL:AM,2,FALSE),FALSE)/24,""))),""))</f>
        <v/>
      </c>
      <c r="O729" s="95" t="str">
        <f>IF(IFERROR(IF(C729=C727,0,IF(E729=E728,0,IF(C729=$R$4,HLOOKUP($R$4,Ingreso!$AW$10:$BC$260,VLOOKUP(A729,Ingreso!AL:AM,2,FALSE),FALSE)/24,""))),"")=0,"",IFERROR(IF(C729=C727,0,IF(E729=E728,0,IF(C729=$R$4,HLOOKUP($R$4,Ingreso!$AW$10:$BC$260,VLOOKUP(A729,Ingreso!AL:AM,2,FALSE),FALSE)/24,""))),""))</f>
        <v/>
      </c>
      <c r="P729" s="90"/>
      <c r="V729"/>
      <c r="W729"/>
      <c r="X729"/>
      <c r="Y729"/>
      <c r="Z729"/>
      <c r="AA729"/>
      <c r="AB729"/>
      <c r="AC729"/>
      <c r="AD729"/>
    </row>
    <row r="730" spans="1:30">
      <c r="A730" s="65" t="str">
        <f>IFERROR(VLOOKUP('Informe Kelly'!A723,Base!A:B,2,FALSE),"")</f>
        <v>13.834.251-4</v>
      </c>
      <c r="B730" s="65" t="str">
        <f>IFERROR(VLOOKUP('Informe Kelly'!A723,Base!A:G,7,FALSE),"")</f>
        <v>MILLAN HERRERA MARIA ELIANA</v>
      </c>
      <c r="C730" s="69" t="str">
        <f>IF(G730=$C$4,IF('Informe Kelly'!H723='Control informe Kelly'!$A$2,TEXT(((LEFT('Informe Kelly'!E723,2)*1)+1),"dd")&amp;"."&amp;MID('Informe Kelly'!E723,4,2)&amp;"."&amp;RIGHT('Informe Kelly'!E723,4),'Informe Kelly'!E723),'Informe Kelly'!E723)</f>
        <v>14.04.2011</v>
      </c>
      <c r="D730" s="69" t="str">
        <f>IF('Informe Kelly'!E723="","",'Informe Kelly'!E723)</f>
        <v>14.04.2011</v>
      </c>
      <c r="E730" s="72">
        <f t="shared" si="23"/>
        <v>368</v>
      </c>
      <c r="F730" s="72" t="str">
        <f>IFERROR(HLOOKUP(C730,Ingreso!$Q$8:$AD$9,2,FALSE),"v")</f>
        <v>Jueves</v>
      </c>
      <c r="G730" s="65" t="str">
        <f>IFERROR(VLOOKUP(A730,Ingreso!K:P,6,FALSE),"no esta ingresado")</f>
        <v>Turno A</v>
      </c>
      <c r="H730" s="65">
        <f>IFERROR(IF('Informe Kelly'!H723=$A$2,'Informe Kelly'!F723,""),0)</f>
        <v>0.33357638888888891</v>
      </c>
      <c r="I730" s="65" t="str">
        <f>IFERROR(IF('Informe Kelly'!H723=$A$3,'Informe Kelly'!F723,""),0)</f>
        <v/>
      </c>
      <c r="J730" s="65" t="str">
        <f>IF(IFERROR(IF(E730=E729,0,(HLOOKUP(D730,Ingreso!$AN$10:$AT$260,VLOOKUP(A730,Ingreso!$AL$11:$AM$260,2,FALSE)))/24),0)=0,"",IFERROR(IF(E730=E729,0,(HLOOKUP(D730,Ingreso!$AN$10:$AT$260,VLOOKUP(A730,Ingreso!$AL$11:$AM$260,2,FALSE)))/24),0))</f>
        <v/>
      </c>
      <c r="K730" s="65" t="str">
        <f>IF(IFERROR(IF(E730=E729,0,(HLOOKUP(C730,Ingreso!$AW$10:$BC$260,VLOOKUP(A730,Ingreso!$AL$11:$AM$260,2,FALSE)))/24),0)=0,"",IFERROR(IF(E730=E729,0,(HLOOKUP(C730,Ingreso!$AW$10:$BC$260,VLOOKUP(A730,Ingreso!$AL$11:$AM$260,2,FALSE)))/24),0))</f>
        <v/>
      </c>
      <c r="L730" s="63">
        <f t="shared" si="22"/>
        <v>0</v>
      </c>
      <c r="M730" s="63" t="str">
        <f>IF(IFERROR(IF(C730=C728,0,IF(E730=E729,0,IF(C730=$R$2,HLOOKUP($R$2,Ingreso!$AW$10:$BC$260,VLOOKUP(A730,Ingreso!AL:AM,2,FALSE),FALSE)/24,""))),"")=0,"",IFERROR(IF(C730=C728,0,IF(E730=E729,0,IF(C730=$R$2,HLOOKUP($R$2,Ingreso!$AW$10:$BC$260,VLOOKUP(A730,Ingreso!AL:AM,2,FALSE),FALSE)/24,""))),""))</f>
        <v/>
      </c>
      <c r="N730" s="95" t="str">
        <f>IF(IFERROR(IF(C730=C728,0,IF(E730=E729,0,IF(C730=$R$3,HLOOKUP($R$3,Ingreso!$AW$10:$BC$260,VLOOKUP(A730,Ingreso!AL:AM,2,FALSE),FALSE)/24,""))),"")=0,"",IFERROR(IF(C730=C728,0,IF(E730=E729,0,IF(C730=$R$3,HLOOKUP($R$3,Ingreso!$AW$10:$BC$260,VLOOKUP(A730,Ingreso!AL:AM,2,FALSE),FALSE)/24,""))),""))</f>
        <v/>
      </c>
      <c r="O730" s="95" t="str">
        <f>IF(IFERROR(IF(C730=C728,0,IF(E730=E729,0,IF(C730=$R$4,HLOOKUP($R$4,Ingreso!$AW$10:$BC$260,VLOOKUP(A730,Ingreso!AL:AM,2,FALSE),FALSE)/24,""))),"")=0,"",IFERROR(IF(C730=C728,0,IF(E730=E729,0,IF(C730=$R$4,HLOOKUP($R$4,Ingreso!$AW$10:$BC$260,VLOOKUP(A730,Ingreso!AL:AM,2,FALSE),FALSE)/24,""))),""))</f>
        <v/>
      </c>
      <c r="P730" s="90"/>
      <c r="V730"/>
      <c r="W730"/>
      <c r="X730"/>
      <c r="Y730"/>
      <c r="Z730"/>
      <c r="AA730"/>
      <c r="AB730"/>
      <c r="AC730"/>
      <c r="AD730"/>
    </row>
    <row r="731" spans="1:30">
      <c r="A731" s="65" t="str">
        <f>IFERROR(VLOOKUP('Informe Kelly'!A724,Base!A:B,2,FALSE),"")</f>
        <v>13.834.251-4</v>
      </c>
      <c r="B731" s="65" t="str">
        <f>IFERROR(VLOOKUP('Informe Kelly'!A724,Base!A:G,7,FALSE),"")</f>
        <v>MILLAN HERRERA MARIA ELIANA</v>
      </c>
      <c r="C731" s="69" t="str">
        <f>IF(G731=$C$4,IF('Informe Kelly'!H724='Control informe Kelly'!$A$2,TEXT(((LEFT('Informe Kelly'!E724,2)*1)+1),"dd")&amp;"."&amp;MID('Informe Kelly'!E724,4,2)&amp;"."&amp;RIGHT('Informe Kelly'!E724,4),'Informe Kelly'!E724),'Informe Kelly'!E724)</f>
        <v>15.04.2011</v>
      </c>
      <c r="D731" s="69" t="str">
        <f>IF('Informe Kelly'!E724="","",'Informe Kelly'!E724)</f>
        <v>15.04.2011</v>
      </c>
      <c r="E731" s="72">
        <f t="shared" si="23"/>
        <v>369</v>
      </c>
      <c r="F731" s="72" t="str">
        <f>IFERROR(HLOOKUP(C731,Ingreso!$Q$8:$AD$9,2,FALSE),"v")</f>
        <v>Viernes</v>
      </c>
      <c r="G731" s="65" t="str">
        <f>IFERROR(VLOOKUP(A731,Ingreso!K:P,6,FALSE),"no esta ingresado")</f>
        <v>Turno A</v>
      </c>
      <c r="H731" s="65" t="str">
        <f>IFERROR(IF('Informe Kelly'!H724=$A$2,'Informe Kelly'!F724,""),0)</f>
        <v/>
      </c>
      <c r="I731" s="65">
        <f>IFERROR(IF('Informe Kelly'!H724=$A$3,'Informe Kelly'!F724,""),0)</f>
        <v>0.75075231481481486</v>
      </c>
      <c r="J731" s="65">
        <f>IF(IFERROR(IF(E731=E730,0,(HLOOKUP(D731,Ingreso!$AN$10:$AT$260,VLOOKUP(A731,Ingreso!$AL$11:$AM$260,2,FALSE)))/24),0)=0,"",IFERROR(IF(E731=E730,0,(HLOOKUP(D731,Ingreso!$AN$10:$AT$260,VLOOKUP(A731,Ingreso!$AL$11:$AM$260,2,FALSE)))/24),0))</f>
        <v>8.3333333333333329E-2</v>
      </c>
      <c r="K731" s="65" t="str">
        <f>IF(IFERROR(IF(E731=E730,0,(HLOOKUP(C731,Ingreso!$AW$10:$BC$260,VLOOKUP(A731,Ingreso!$AL$11:$AM$260,2,FALSE)))/24),0)=0,"",IFERROR(IF(E731=E730,0,(HLOOKUP(C731,Ingreso!$AW$10:$BC$260,VLOOKUP(A731,Ingreso!$AL$11:$AM$260,2,FALSE)))/24),0))</f>
        <v/>
      </c>
      <c r="L731" s="63">
        <f t="shared" si="22"/>
        <v>0.3125</v>
      </c>
      <c r="M731" s="63" t="str">
        <f>IF(IFERROR(IF(C731=C729,0,IF(E731=E730,0,IF(C731=$R$2,HLOOKUP($R$2,Ingreso!$AW$10:$BC$260,VLOOKUP(A731,Ingreso!AL:AM,2,FALSE),FALSE)/24,""))),"")=0,"",IFERROR(IF(C731=C729,0,IF(E731=E730,0,IF(C731=$R$2,HLOOKUP($R$2,Ingreso!$AW$10:$BC$260,VLOOKUP(A731,Ingreso!AL:AM,2,FALSE),FALSE)/24,""))),""))</f>
        <v/>
      </c>
      <c r="N731" s="95" t="str">
        <f>IF(IFERROR(IF(C731=C729,0,IF(E731=E730,0,IF(C731=$R$3,HLOOKUP($R$3,Ingreso!$AW$10:$BC$260,VLOOKUP(A731,Ingreso!AL:AM,2,FALSE),FALSE)/24,""))),"")=0,"",IFERROR(IF(C731=C729,0,IF(E731=E730,0,IF(C731=$R$3,HLOOKUP($R$3,Ingreso!$AW$10:$BC$260,VLOOKUP(A731,Ingreso!AL:AM,2,FALSE),FALSE)/24,""))),""))</f>
        <v/>
      </c>
      <c r="O731" s="95" t="str">
        <f>IF(IFERROR(IF(C731=C729,0,IF(E731=E730,0,IF(C731=$R$4,HLOOKUP($R$4,Ingreso!$AW$10:$BC$260,VLOOKUP(A731,Ingreso!AL:AM,2,FALSE),FALSE)/24,""))),"")=0,"",IFERROR(IF(C731=C729,0,IF(E731=E730,0,IF(C731=$R$4,HLOOKUP($R$4,Ingreso!$AW$10:$BC$260,VLOOKUP(A731,Ingreso!AL:AM,2,FALSE),FALSE)/24,""))),""))</f>
        <v/>
      </c>
      <c r="P731" s="90"/>
      <c r="V731"/>
      <c r="W731"/>
      <c r="X731"/>
      <c r="Y731"/>
      <c r="Z731"/>
      <c r="AA731"/>
      <c r="AB731"/>
      <c r="AC731"/>
      <c r="AD731"/>
    </row>
    <row r="732" spans="1:30">
      <c r="A732" s="65" t="str">
        <f>IFERROR(VLOOKUP('Informe Kelly'!A725,Base!A:B,2,FALSE),"")</f>
        <v>13.834.251-4</v>
      </c>
      <c r="B732" s="65" t="str">
        <f>IFERROR(VLOOKUP('Informe Kelly'!A725,Base!A:G,7,FALSE),"")</f>
        <v>MILLAN HERRERA MARIA ELIANA</v>
      </c>
      <c r="C732" s="69" t="str">
        <f>IF(G732=$C$4,IF('Informe Kelly'!H725='Control informe Kelly'!$A$2,TEXT(((LEFT('Informe Kelly'!E725,2)*1)+1),"dd")&amp;"."&amp;MID('Informe Kelly'!E725,4,2)&amp;"."&amp;RIGHT('Informe Kelly'!E725,4),'Informe Kelly'!E725),'Informe Kelly'!E725)</f>
        <v>15.04.2011</v>
      </c>
      <c r="D732" s="69" t="str">
        <f>IF('Informe Kelly'!E725="","",'Informe Kelly'!E725)</f>
        <v>15.04.2011</v>
      </c>
      <c r="E732" s="72">
        <f t="shared" si="23"/>
        <v>369</v>
      </c>
      <c r="F732" s="72" t="str">
        <f>IFERROR(HLOOKUP(C732,Ingreso!$Q$8:$AD$9,2,FALSE),"v")</f>
        <v>Viernes</v>
      </c>
      <c r="G732" s="65" t="str">
        <f>IFERROR(VLOOKUP(A732,Ingreso!K:P,6,FALSE),"no esta ingresado")</f>
        <v>Turno A</v>
      </c>
      <c r="H732" s="65">
        <f>IFERROR(IF('Informe Kelly'!H725=$A$2,'Informe Kelly'!F725,""),0)</f>
        <v>0.33604166666666663</v>
      </c>
      <c r="I732" s="65" t="str">
        <f>IFERROR(IF('Informe Kelly'!H725=$A$3,'Informe Kelly'!F725,""),0)</f>
        <v/>
      </c>
      <c r="J732" s="65" t="str">
        <f>IF(IFERROR(IF(E732=E731,0,(HLOOKUP(D732,Ingreso!$AN$10:$AT$260,VLOOKUP(A732,Ingreso!$AL$11:$AM$260,2,FALSE)))/24),0)=0,"",IFERROR(IF(E732=E731,0,(HLOOKUP(D732,Ingreso!$AN$10:$AT$260,VLOOKUP(A732,Ingreso!$AL$11:$AM$260,2,FALSE)))/24),0))</f>
        <v/>
      </c>
      <c r="K732" s="65" t="str">
        <f>IF(IFERROR(IF(E732=E731,0,(HLOOKUP(C732,Ingreso!$AW$10:$BC$260,VLOOKUP(A732,Ingreso!$AL$11:$AM$260,2,FALSE)))/24),0)=0,"",IFERROR(IF(E732=E731,0,(HLOOKUP(C732,Ingreso!$AW$10:$BC$260,VLOOKUP(A732,Ingreso!$AL$11:$AM$260,2,FALSE)))/24),0))</f>
        <v/>
      </c>
      <c r="L732" s="63">
        <f t="shared" si="22"/>
        <v>0</v>
      </c>
      <c r="M732" s="63" t="str">
        <f>IF(IFERROR(IF(C732=C730,0,IF(E732=E731,0,IF(C732=$R$2,HLOOKUP($R$2,Ingreso!$AW$10:$BC$260,VLOOKUP(A732,Ingreso!AL:AM,2,FALSE),FALSE)/24,""))),"")=0,"",IFERROR(IF(C732=C730,0,IF(E732=E731,0,IF(C732=$R$2,HLOOKUP($R$2,Ingreso!$AW$10:$BC$260,VLOOKUP(A732,Ingreso!AL:AM,2,FALSE),FALSE)/24,""))),""))</f>
        <v/>
      </c>
      <c r="N732" s="95" t="str">
        <f>IF(IFERROR(IF(C732=C730,0,IF(E732=E731,0,IF(C732=$R$3,HLOOKUP($R$3,Ingreso!$AW$10:$BC$260,VLOOKUP(A732,Ingreso!AL:AM,2,FALSE),FALSE)/24,""))),"")=0,"",IFERROR(IF(C732=C730,0,IF(E732=E731,0,IF(C732=$R$3,HLOOKUP($R$3,Ingreso!$AW$10:$BC$260,VLOOKUP(A732,Ingreso!AL:AM,2,FALSE),FALSE)/24,""))),""))</f>
        <v/>
      </c>
      <c r="O732" s="95" t="str">
        <f>IF(IFERROR(IF(C732=C730,0,IF(E732=E731,0,IF(C732=$R$4,HLOOKUP($R$4,Ingreso!$AW$10:$BC$260,VLOOKUP(A732,Ingreso!AL:AM,2,FALSE),FALSE)/24,""))),"")=0,"",IFERROR(IF(C732=C730,0,IF(E732=E731,0,IF(C732=$R$4,HLOOKUP($R$4,Ingreso!$AW$10:$BC$260,VLOOKUP(A732,Ingreso!AL:AM,2,FALSE),FALSE)/24,""))),""))</f>
        <v/>
      </c>
      <c r="P732" s="90"/>
      <c r="V732"/>
      <c r="W732"/>
      <c r="X732"/>
      <c r="Y732"/>
      <c r="Z732"/>
      <c r="AA732"/>
      <c r="AB732"/>
      <c r="AC732"/>
      <c r="AD732"/>
    </row>
    <row r="733" spans="1:30">
      <c r="A733" s="65" t="str">
        <f>IFERROR(VLOOKUP('Informe Kelly'!A726,Base!A:B,2,FALSE),"")</f>
        <v>13.834.251-4</v>
      </c>
      <c r="B733" s="65" t="str">
        <f>IFERROR(VLOOKUP('Informe Kelly'!A726,Base!A:G,7,FALSE),"")</f>
        <v>MILLAN HERRERA MARIA ELIANA</v>
      </c>
      <c r="C733" s="69" t="str">
        <f>IF(G733=$C$4,IF('Informe Kelly'!H726='Control informe Kelly'!$A$2,TEXT(((LEFT('Informe Kelly'!E726,2)*1)+1),"dd")&amp;"."&amp;MID('Informe Kelly'!E726,4,2)&amp;"."&amp;RIGHT('Informe Kelly'!E726,4),'Informe Kelly'!E726),'Informe Kelly'!E726)</f>
        <v>16.04.2011</v>
      </c>
      <c r="D733" s="69" t="str">
        <f>IF('Informe Kelly'!E726="","",'Informe Kelly'!E726)</f>
        <v>16.04.2011</v>
      </c>
      <c r="E733" s="72">
        <f t="shared" si="23"/>
        <v>370</v>
      </c>
      <c r="F733" s="72" t="str">
        <f>IFERROR(HLOOKUP(C733,Ingreso!$Q$8:$AD$9,2,FALSE),"v")</f>
        <v>Sábado</v>
      </c>
      <c r="G733" s="65" t="str">
        <f>IFERROR(VLOOKUP(A733,Ingreso!K:P,6,FALSE),"no esta ingresado")</f>
        <v>Turno A</v>
      </c>
      <c r="H733" s="65" t="str">
        <f>IFERROR(IF('Informe Kelly'!H726=$A$2,'Informe Kelly'!F726,""),0)</f>
        <v/>
      </c>
      <c r="I733" s="65">
        <f>IFERROR(IF('Informe Kelly'!H726=$A$3,'Informe Kelly'!F726,""),0)</f>
        <v>0.63504629629629628</v>
      </c>
      <c r="J733" s="65" t="str">
        <f>IF(IFERROR(IF(E733=E732,0,(HLOOKUP(D733,Ingreso!$AN$10:$AT$260,VLOOKUP(A733,Ingreso!$AL$11:$AM$260,2,FALSE)))/24),0)=0,"",IFERROR(IF(E733=E732,0,(HLOOKUP(D733,Ingreso!$AN$10:$AT$260,VLOOKUP(A733,Ingreso!$AL$11:$AM$260,2,FALSE)))/24),0))</f>
        <v/>
      </c>
      <c r="K733" s="65" t="str">
        <f>IF(IFERROR(IF(E733=E732,0,(HLOOKUP(C733,Ingreso!$AW$10:$BC$260,VLOOKUP(A733,Ingreso!$AL$11:$AM$260,2,FALSE)))/24),0)=0,"",IFERROR(IF(E733=E732,0,(HLOOKUP(C733,Ingreso!$AW$10:$BC$260,VLOOKUP(A733,Ingreso!$AL$11:$AM$260,2,FALSE)))/24),0))</f>
        <v/>
      </c>
      <c r="L733" s="63">
        <f t="shared" si="22"/>
        <v>0.3125</v>
      </c>
      <c r="M733" s="63" t="str">
        <f>IF(IFERROR(IF(C733=C731,0,IF(E733=E732,0,IF(C733=$R$2,HLOOKUP($R$2,Ingreso!$AW$10:$BC$260,VLOOKUP(A733,Ingreso!AL:AM,2,FALSE),FALSE)/24,""))),"")=0,"",IFERROR(IF(C733=C731,0,IF(E733=E732,0,IF(C733=$R$2,HLOOKUP($R$2,Ingreso!$AW$10:$BC$260,VLOOKUP(A733,Ingreso!AL:AM,2,FALSE),FALSE)/24,""))),""))</f>
        <v/>
      </c>
      <c r="N733" s="95" t="str">
        <f>IF(IFERROR(IF(C733=C731,0,IF(E733=E732,0,IF(C733=$R$3,HLOOKUP($R$3,Ingreso!$AW$10:$BC$260,VLOOKUP(A733,Ingreso!AL:AM,2,FALSE),FALSE)/24,""))),"")=0,"",IFERROR(IF(C733=C731,0,IF(E733=E732,0,IF(C733=$R$3,HLOOKUP($R$3,Ingreso!$AW$10:$BC$260,VLOOKUP(A733,Ingreso!AL:AM,2,FALSE),FALSE)/24,""))),""))</f>
        <v/>
      </c>
      <c r="O733" s="95" t="str">
        <f>IF(IFERROR(IF(C733=C731,0,IF(E733=E732,0,IF(C733=$R$4,HLOOKUP($R$4,Ingreso!$AW$10:$BC$260,VLOOKUP(A733,Ingreso!AL:AM,2,FALSE),FALSE)/24,""))),"")=0,"",IFERROR(IF(C733=C731,0,IF(E733=E732,0,IF(C733=$R$4,HLOOKUP($R$4,Ingreso!$AW$10:$BC$260,VLOOKUP(A733,Ingreso!AL:AM,2,FALSE),FALSE)/24,""))),""))</f>
        <v/>
      </c>
      <c r="P733" s="90"/>
      <c r="V733"/>
      <c r="W733"/>
      <c r="X733"/>
      <c r="Y733"/>
      <c r="Z733"/>
      <c r="AA733"/>
      <c r="AB733"/>
      <c r="AC733"/>
      <c r="AD733"/>
    </row>
    <row r="734" spans="1:30">
      <c r="A734" s="65" t="str">
        <f>IFERROR(VLOOKUP('Informe Kelly'!A727,Base!A:B,2,FALSE),"")</f>
        <v>13.834.251-4</v>
      </c>
      <c r="B734" s="65" t="str">
        <f>IFERROR(VLOOKUP('Informe Kelly'!A727,Base!A:G,7,FALSE),"")</f>
        <v>MILLAN HERRERA MARIA ELIANA</v>
      </c>
      <c r="C734" s="69" t="str">
        <f>IF(G734=$C$4,IF('Informe Kelly'!H727='Control informe Kelly'!$A$2,TEXT(((LEFT('Informe Kelly'!E727,2)*1)+1),"dd")&amp;"."&amp;MID('Informe Kelly'!E727,4,2)&amp;"."&amp;RIGHT('Informe Kelly'!E727,4),'Informe Kelly'!E727),'Informe Kelly'!E727)</f>
        <v>16.04.2011</v>
      </c>
      <c r="D734" s="69" t="str">
        <f>IF('Informe Kelly'!E727="","",'Informe Kelly'!E727)</f>
        <v>16.04.2011</v>
      </c>
      <c r="E734" s="72">
        <f t="shared" si="23"/>
        <v>370</v>
      </c>
      <c r="F734" s="72" t="str">
        <f>IFERROR(HLOOKUP(C734,Ingreso!$Q$8:$AD$9,2,FALSE),"v")</f>
        <v>Sábado</v>
      </c>
      <c r="G734" s="65" t="str">
        <f>IFERROR(VLOOKUP(A734,Ingreso!K:P,6,FALSE),"no esta ingresado")</f>
        <v>Turno A</v>
      </c>
      <c r="H734" s="65">
        <f>IFERROR(IF('Informe Kelly'!H727=$A$2,'Informe Kelly'!F727,""),0)</f>
        <v>0.29982638888888891</v>
      </c>
      <c r="I734" s="65" t="str">
        <f>IFERROR(IF('Informe Kelly'!H727=$A$3,'Informe Kelly'!F727,""),0)</f>
        <v/>
      </c>
      <c r="J734" s="65" t="str">
        <f>IF(IFERROR(IF(E734=E733,0,(HLOOKUP(D734,Ingreso!$AN$10:$AT$260,VLOOKUP(A734,Ingreso!$AL$11:$AM$260,2,FALSE)))/24),0)=0,"",IFERROR(IF(E734=E733,0,(HLOOKUP(D734,Ingreso!$AN$10:$AT$260,VLOOKUP(A734,Ingreso!$AL$11:$AM$260,2,FALSE)))/24),0))</f>
        <v/>
      </c>
      <c r="K734" s="65" t="str">
        <f>IF(IFERROR(IF(E734=E733,0,(HLOOKUP(C734,Ingreso!$AW$10:$BC$260,VLOOKUP(A734,Ingreso!$AL$11:$AM$260,2,FALSE)))/24),0)=0,"",IFERROR(IF(E734=E733,0,(HLOOKUP(C734,Ingreso!$AW$10:$BC$260,VLOOKUP(A734,Ingreso!$AL$11:$AM$260,2,FALSE)))/24),0))</f>
        <v/>
      </c>
      <c r="L734" s="63">
        <f t="shared" si="22"/>
        <v>0</v>
      </c>
      <c r="M734" s="63" t="str">
        <f>IF(IFERROR(IF(C734=C732,0,IF(E734=E733,0,IF(C734=$R$2,HLOOKUP($R$2,Ingreso!$AW$10:$BC$260,VLOOKUP(A734,Ingreso!AL:AM,2,FALSE),FALSE)/24,""))),"")=0,"",IFERROR(IF(C734=C732,0,IF(E734=E733,0,IF(C734=$R$2,HLOOKUP($R$2,Ingreso!$AW$10:$BC$260,VLOOKUP(A734,Ingreso!AL:AM,2,FALSE),FALSE)/24,""))),""))</f>
        <v/>
      </c>
      <c r="N734" s="95" t="str">
        <f>IF(IFERROR(IF(C734=C732,0,IF(E734=E733,0,IF(C734=$R$3,HLOOKUP($R$3,Ingreso!$AW$10:$BC$260,VLOOKUP(A734,Ingreso!AL:AM,2,FALSE),FALSE)/24,""))),"")=0,"",IFERROR(IF(C734=C732,0,IF(E734=E733,0,IF(C734=$R$3,HLOOKUP($R$3,Ingreso!$AW$10:$BC$260,VLOOKUP(A734,Ingreso!AL:AM,2,FALSE),FALSE)/24,""))),""))</f>
        <v/>
      </c>
      <c r="O734" s="95" t="str">
        <f>IF(IFERROR(IF(C734=C732,0,IF(E734=E733,0,IF(C734=$R$4,HLOOKUP($R$4,Ingreso!$AW$10:$BC$260,VLOOKUP(A734,Ingreso!AL:AM,2,FALSE),FALSE)/24,""))),"")=0,"",IFERROR(IF(C734=C732,0,IF(E734=E733,0,IF(C734=$R$4,HLOOKUP($R$4,Ingreso!$AW$10:$BC$260,VLOOKUP(A734,Ingreso!AL:AM,2,FALSE),FALSE)/24,""))),""))</f>
        <v/>
      </c>
      <c r="P734" s="90"/>
      <c r="V734"/>
      <c r="W734"/>
      <c r="X734"/>
      <c r="Y734"/>
      <c r="Z734"/>
      <c r="AA734"/>
      <c r="AB734"/>
      <c r="AC734"/>
      <c r="AD734"/>
    </row>
    <row r="735" spans="1:30">
      <c r="A735" s="65" t="str">
        <f>IFERROR(VLOOKUP('Informe Kelly'!A728,Base!A:B,2,FALSE),"")</f>
        <v>13.899.407-4</v>
      </c>
      <c r="B735" s="65" t="str">
        <f>IFERROR(VLOOKUP('Informe Kelly'!A728,Base!A:G,7,FALSE),"")</f>
        <v>BUSTAMANTE GONZALEZ MAURICIO ANDRES</v>
      </c>
      <c r="C735" s="69" t="str">
        <f>IF(G735=$C$4,IF('Informe Kelly'!H728='Control informe Kelly'!$A$2,TEXT(((LEFT('Informe Kelly'!E728,2)*1)+1),"dd")&amp;"."&amp;MID('Informe Kelly'!E728,4,2)&amp;"."&amp;RIGHT('Informe Kelly'!E728,4),'Informe Kelly'!E728),'Informe Kelly'!E728)</f>
        <v>11.04.2011</v>
      </c>
      <c r="D735" s="69" t="str">
        <f>IF('Informe Kelly'!E728="","",'Informe Kelly'!E728)</f>
        <v>11.04.2011</v>
      </c>
      <c r="E735" s="72">
        <f t="shared" si="23"/>
        <v>371</v>
      </c>
      <c r="F735" s="72" t="str">
        <f>IFERROR(HLOOKUP(C735,Ingreso!$Q$8:$AD$9,2,FALSE),"v")</f>
        <v>Lunes</v>
      </c>
      <c r="G735" s="65" t="str">
        <f>IFERROR(VLOOKUP(A735,Ingreso!K:P,6,FALSE),"no esta ingresado")</f>
        <v>Turno C</v>
      </c>
      <c r="H735" s="65" t="str">
        <f>IFERROR(IF('Informe Kelly'!H728=$A$2,'Informe Kelly'!F728,""),0)</f>
        <v/>
      </c>
      <c r="I735" s="65">
        <f>IFERROR(IF('Informe Kelly'!H728=$A$3,'Informe Kelly'!F728,""),0)</f>
        <v>0.31135416666666665</v>
      </c>
      <c r="J735" s="65" t="str">
        <f>IF(IFERROR(IF(E735=E734,0,(HLOOKUP(D735,Ingreso!$AN$10:$AT$260,VLOOKUP(A735,Ingreso!$AL$11:$AM$260,2,FALSE)))/24),0)=0,"",IFERROR(IF(E735=E734,0,(HLOOKUP(D735,Ingreso!$AN$10:$AT$260,VLOOKUP(A735,Ingreso!$AL$11:$AM$260,2,FALSE)))/24),0))</f>
        <v/>
      </c>
      <c r="K735" s="65">
        <f>IF(IFERROR(IF(E735=E734,0,(HLOOKUP(C735,Ingreso!$AW$10:$BC$260,VLOOKUP(A735,Ingreso!$AL$11:$AM$260,2,FALSE)))/24),0)=0,"",IFERROR(IF(E735=E734,0,(HLOOKUP(C735,Ingreso!$AW$10:$BC$260,VLOOKUP(A735,Ingreso!$AL$11:$AM$260,2,FALSE)))/24),0))</f>
        <v>0.3125</v>
      </c>
      <c r="L735" s="63">
        <f t="shared" si="22"/>
        <v>0.375</v>
      </c>
      <c r="M735" s="63">
        <f>IF(IFERROR(IF(C735=C733,0,IF(E735=E734,0,IF(C735=$R$2,HLOOKUP($R$2,Ingreso!$AW$10:$BC$260,VLOOKUP(A735,Ingreso!AL:AM,2,FALSE),FALSE)/24,""))),"")=0,"",IFERROR(IF(C735=C733,0,IF(E735=E734,0,IF(C735=$R$2,HLOOKUP($R$2,Ingreso!$AW$10:$BC$260,VLOOKUP(A735,Ingreso!AL:AM,2,FALSE),FALSE)/24,""))),""))</f>
        <v>0.3125</v>
      </c>
      <c r="N735" s="95" t="str">
        <f>IF(IFERROR(IF(C735=C733,0,IF(E735=E734,0,IF(C735=$R$3,HLOOKUP($R$3,Ingreso!$AW$10:$BC$260,VLOOKUP(A735,Ingreso!AL:AM,2,FALSE),FALSE)/24,""))),"")=0,"",IFERROR(IF(C735=C733,0,IF(E735=E734,0,IF(C735=$R$3,HLOOKUP($R$3,Ingreso!$AW$10:$BC$260,VLOOKUP(A735,Ingreso!AL:AM,2,FALSE),FALSE)/24,""))),""))</f>
        <v/>
      </c>
      <c r="O735" s="95" t="str">
        <f>IF(IFERROR(IF(C735=C733,0,IF(E735=E734,0,IF(C735=$R$4,HLOOKUP($R$4,Ingreso!$AW$10:$BC$260,VLOOKUP(A735,Ingreso!AL:AM,2,FALSE),FALSE)/24,""))),"")=0,"",IFERROR(IF(C735=C733,0,IF(E735=E734,0,IF(C735=$R$4,HLOOKUP($R$4,Ingreso!$AW$10:$BC$260,VLOOKUP(A735,Ingreso!AL:AM,2,FALSE),FALSE)/24,""))),""))</f>
        <v/>
      </c>
      <c r="P735" s="90"/>
      <c r="V735"/>
      <c r="W735"/>
      <c r="X735"/>
      <c r="Y735"/>
      <c r="Z735"/>
      <c r="AA735"/>
      <c r="AB735"/>
      <c r="AC735"/>
      <c r="AD735"/>
    </row>
    <row r="736" spans="1:30">
      <c r="A736" s="65" t="str">
        <f>IFERROR(VLOOKUP('Informe Kelly'!A729,Base!A:B,2,FALSE),"")</f>
        <v>13.899.407-4</v>
      </c>
      <c r="B736" s="65" t="str">
        <f>IFERROR(VLOOKUP('Informe Kelly'!A729,Base!A:G,7,FALSE),"")</f>
        <v>BUSTAMANTE GONZALEZ MAURICIO ANDRES</v>
      </c>
      <c r="C736" s="69" t="str">
        <f>IF(G736=$C$4,IF('Informe Kelly'!H729='Control informe Kelly'!$A$2,TEXT(((LEFT('Informe Kelly'!E729,2)*1)+1),"dd")&amp;"."&amp;MID('Informe Kelly'!E729,4,2)&amp;"."&amp;RIGHT('Informe Kelly'!E729,4),'Informe Kelly'!E729),'Informe Kelly'!E729)</f>
        <v>12.04.2011</v>
      </c>
      <c r="D736" s="69" t="str">
        <f>IF('Informe Kelly'!E729="","",'Informe Kelly'!E729)</f>
        <v>11.04.2011</v>
      </c>
      <c r="E736" s="72">
        <f t="shared" si="23"/>
        <v>372</v>
      </c>
      <c r="F736" s="72" t="str">
        <f>IFERROR(HLOOKUP(C736,Ingreso!$Q$8:$AD$9,2,FALSE),"v")</f>
        <v>Martes</v>
      </c>
      <c r="G736" s="65" t="str">
        <f>IFERROR(VLOOKUP(A736,Ingreso!K:P,6,FALSE),"no esta ingresado")</f>
        <v>Turno C</v>
      </c>
      <c r="H736" s="65">
        <f>IFERROR(IF('Informe Kelly'!H729=$A$2,'Informe Kelly'!F729,""),0)</f>
        <v>1.0763888888888889E-3</v>
      </c>
      <c r="I736" s="65" t="str">
        <f>IFERROR(IF('Informe Kelly'!H729=$A$3,'Informe Kelly'!F729,""),0)</f>
        <v/>
      </c>
      <c r="J736" s="65" t="str">
        <f>IF(IFERROR(IF(E736=E735,0,(HLOOKUP(D736,Ingreso!$AN$10:$AT$260,VLOOKUP(A736,Ingreso!$AL$11:$AM$260,2,FALSE)))/24),0)=0,"",IFERROR(IF(E736=E735,0,(HLOOKUP(D736,Ingreso!$AN$10:$AT$260,VLOOKUP(A736,Ingreso!$AL$11:$AM$260,2,FALSE)))/24),0))</f>
        <v/>
      </c>
      <c r="K736" s="65" t="str">
        <f>IF(IFERROR(IF(E736=E735,0,(HLOOKUP(C736,Ingreso!$AW$10:$BC$260,VLOOKUP(A736,Ingreso!$AL$11:$AM$260,2,FALSE)))/24),0)=0,"",IFERROR(IF(E736=E735,0,(HLOOKUP(C736,Ingreso!$AW$10:$BC$260,VLOOKUP(A736,Ingreso!$AL$11:$AM$260,2,FALSE)))/24),0))</f>
        <v/>
      </c>
      <c r="L736" s="63">
        <f t="shared" si="22"/>
        <v>0.375</v>
      </c>
      <c r="M736" s="63" t="str">
        <f>IF(IFERROR(IF(C736=C734,0,IF(E736=E735,0,IF(C736=$R$2,HLOOKUP($R$2,Ingreso!$AW$10:$BC$260,VLOOKUP(A736,Ingreso!AL:AM,2,FALSE),FALSE)/24,""))),"")=0,"",IFERROR(IF(C736=C734,0,IF(E736=E735,0,IF(C736=$R$2,HLOOKUP($R$2,Ingreso!$AW$10:$BC$260,VLOOKUP(A736,Ingreso!AL:AM,2,FALSE),FALSE)/24,""))),""))</f>
        <v/>
      </c>
      <c r="N736" s="95" t="str">
        <f>IF(IFERROR(IF(C736=C734,0,IF(E736=E735,0,IF(C736=$R$3,HLOOKUP($R$3,Ingreso!$AW$10:$BC$260,VLOOKUP(A736,Ingreso!AL:AM,2,FALSE),FALSE)/24,""))),"")=0,"",IFERROR(IF(C736=C734,0,IF(E736=E735,0,IF(C736=$R$3,HLOOKUP($R$3,Ingreso!$AW$10:$BC$260,VLOOKUP(A736,Ingreso!AL:AM,2,FALSE),FALSE)/24,""))),""))</f>
        <v/>
      </c>
      <c r="O736" s="95" t="str">
        <f>IF(IFERROR(IF(C736=C734,0,IF(E736=E735,0,IF(C736=$R$4,HLOOKUP($R$4,Ingreso!$AW$10:$BC$260,VLOOKUP(A736,Ingreso!AL:AM,2,FALSE),FALSE)/24,""))),"")=0,"",IFERROR(IF(C736=C734,0,IF(E736=E735,0,IF(C736=$R$4,HLOOKUP($R$4,Ingreso!$AW$10:$BC$260,VLOOKUP(A736,Ingreso!AL:AM,2,FALSE),FALSE)/24,""))),""))</f>
        <v/>
      </c>
      <c r="P736" s="90"/>
      <c r="V736"/>
      <c r="W736"/>
      <c r="X736"/>
      <c r="Y736"/>
      <c r="Z736"/>
      <c r="AA736"/>
      <c r="AB736"/>
      <c r="AC736"/>
      <c r="AD736"/>
    </row>
    <row r="737" spans="1:30">
      <c r="A737" s="65" t="str">
        <f>IFERROR(VLOOKUP('Informe Kelly'!A730,Base!A:B,2,FALSE),"")</f>
        <v>13.899.407-4</v>
      </c>
      <c r="B737" s="65" t="str">
        <f>IFERROR(VLOOKUP('Informe Kelly'!A730,Base!A:G,7,FALSE),"")</f>
        <v>BUSTAMANTE GONZALEZ MAURICIO ANDRES</v>
      </c>
      <c r="C737" s="69" t="str">
        <f>IF(G737=$C$4,IF('Informe Kelly'!H730='Control informe Kelly'!$A$2,TEXT(((LEFT('Informe Kelly'!E730,2)*1)+1),"dd")&amp;"."&amp;MID('Informe Kelly'!E730,4,2)&amp;"."&amp;RIGHT('Informe Kelly'!E730,4),'Informe Kelly'!E730),'Informe Kelly'!E730)</f>
        <v>12.04.2011</v>
      </c>
      <c r="D737" s="69" t="str">
        <f>IF('Informe Kelly'!E730="","",'Informe Kelly'!E730)</f>
        <v>11.04.2011</v>
      </c>
      <c r="E737" s="72">
        <f t="shared" si="23"/>
        <v>372</v>
      </c>
      <c r="F737" s="72" t="str">
        <f>IFERROR(HLOOKUP(C737,Ingreso!$Q$8:$AD$9,2,FALSE),"v")</f>
        <v>Martes</v>
      </c>
      <c r="G737" s="65" t="str">
        <f>IFERROR(VLOOKUP(A737,Ingreso!K:P,6,FALSE),"no esta ingresado")</f>
        <v>Turno C</v>
      </c>
      <c r="H737" s="65">
        <f>IFERROR(IF('Informe Kelly'!H730=$A$2,'Informe Kelly'!F730,""),0)</f>
        <v>0.92151620370370368</v>
      </c>
      <c r="I737" s="65" t="str">
        <f>IFERROR(IF('Informe Kelly'!H730=$A$3,'Informe Kelly'!F730,""),0)</f>
        <v/>
      </c>
      <c r="J737" s="65" t="str">
        <f>IF(IFERROR(IF(E737=E736,0,(HLOOKUP(D737,Ingreso!$AN$10:$AT$260,VLOOKUP(A737,Ingreso!$AL$11:$AM$260,2,FALSE)))/24),0)=0,"",IFERROR(IF(E737=E736,0,(HLOOKUP(D737,Ingreso!$AN$10:$AT$260,VLOOKUP(A737,Ingreso!$AL$11:$AM$260,2,FALSE)))/24),0))</f>
        <v/>
      </c>
      <c r="K737" s="65" t="str">
        <f>IF(IFERROR(IF(E737=E736,0,(HLOOKUP(C737,Ingreso!$AW$10:$BC$260,VLOOKUP(A737,Ingreso!$AL$11:$AM$260,2,FALSE)))/24),0)=0,"",IFERROR(IF(E737=E736,0,(HLOOKUP(C737,Ingreso!$AW$10:$BC$260,VLOOKUP(A737,Ingreso!$AL$11:$AM$260,2,FALSE)))/24),0))</f>
        <v/>
      </c>
      <c r="L737" s="63">
        <f t="shared" si="22"/>
        <v>0</v>
      </c>
      <c r="M737" s="63" t="str">
        <f>IF(IFERROR(IF(C737=C735,0,IF(E737=E736,0,IF(C737=$R$2,HLOOKUP($R$2,Ingreso!$AW$10:$BC$260,VLOOKUP(A737,Ingreso!AL:AM,2,FALSE),FALSE)/24,""))),"")=0,"",IFERROR(IF(C737=C735,0,IF(E737=E736,0,IF(C737=$R$2,HLOOKUP($R$2,Ingreso!$AW$10:$BC$260,VLOOKUP(A737,Ingreso!AL:AM,2,FALSE),FALSE)/24,""))),""))</f>
        <v/>
      </c>
      <c r="N737" s="95" t="str">
        <f>IF(IFERROR(IF(C737=C735,0,IF(E737=E736,0,IF(C737=$R$3,HLOOKUP($R$3,Ingreso!$AW$10:$BC$260,VLOOKUP(A737,Ingreso!AL:AM,2,FALSE),FALSE)/24,""))),"")=0,"",IFERROR(IF(C737=C735,0,IF(E737=E736,0,IF(C737=$R$3,HLOOKUP($R$3,Ingreso!$AW$10:$BC$260,VLOOKUP(A737,Ingreso!AL:AM,2,FALSE),FALSE)/24,""))),""))</f>
        <v/>
      </c>
      <c r="O737" s="95" t="str">
        <f>IF(IFERROR(IF(C737=C735,0,IF(E737=E736,0,IF(C737=$R$4,HLOOKUP($R$4,Ingreso!$AW$10:$BC$260,VLOOKUP(A737,Ingreso!AL:AM,2,FALSE),FALSE)/24,""))),"")=0,"",IFERROR(IF(C737=C735,0,IF(E737=E736,0,IF(C737=$R$4,HLOOKUP($R$4,Ingreso!$AW$10:$BC$260,VLOOKUP(A737,Ingreso!AL:AM,2,FALSE),FALSE)/24,""))),""))</f>
        <v/>
      </c>
      <c r="P737" s="90"/>
      <c r="V737"/>
      <c r="W737"/>
      <c r="X737"/>
      <c r="Y737"/>
      <c r="Z737"/>
      <c r="AA737"/>
      <c r="AB737"/>
      <c r="AC737"/>
      <c r="AD737"/>
    </row>
    <row r="738" spans="1:30">
      <c r="A738" s="65" t="str">
        <f>IFERROR(VLOOKUP('Informe Kelly'!A731,Base!A:B,2,FALSE),"")</f>
        <v>13.899.407-4</v>
      </c>
      <c r="B738" s="65" t="str">
        <f>IFERROR(VLOOKUP('Informe Kelly'!A731,Base!A:G,7,FALSE),"")</f>
        <v>BUSTAMANTE GONZALEZ MAURICIO ANDRES</v>
      </c>
      <c r="C738" s="69" t="str">
        <f>IF(G738=$C$4,IF('Informe Kelly'!H731='Control informe Kelly'!$A$2,TEXT(((LEFT('Informe Kelly'!E731,2)*1)+1),"dd")&amp;"."&amp;MID('Informe Kelly'!E731,4,2)&amp;"."&amp;RIGHT('Informe Kelly'!E731,4),'Informe Kelly'!E731),'Informe Kelly'!E731)</f>
        <v>12.04.2011</v>
      </c>
      <c r="D738" s="69" t="str">
        <f>IF('Informe Kelly'!E731="","",'Informe Kelly'!E731)</f>
        <v>12.04.2011</v>
      </c>
      <c r="E738" s="72">
        <f t="shared" si="23"/>
        <v>373</v>
      </c>
      <c r="F738" s="72" t="str">
        <f>IFERROR(HLOOKUP(C738,Ingreso!$Q$8:$AD$9,2,FALSE),"v")</f>
        <v>Martes</v>
      </c>
      <c r="G738" s="65" t="str">
        <f>IFERROR(VLOOKUP(A738,Ingreso!K:P,6,FALSE),"no esta ingresado")</f>
        <v>Turno C</v>
      </c>
      <c r="H738" s="65" t="str">
        <f>IFERROR(IF('Informe Kelly'!H731=$A$2,'Informe Kelly'!F731,""),0)</f>
        <v/>
      </c>
      <c r="I738" s="65">
        <f>IFERROR(IF('Informe Kelly'!H731=$A$3,'Informe Kelly'!F731,""),0)</f>
        <v>0.31472222222222224</v>
      </c>
      <c r="J738" s="65" t="str">
        <f>IF(IFERROR(IF(E738=E737,0,(HLOOKUP(D738,Ingreso!$AN$10:$AT$260,VLOOKUP(A738,Ingreso!$AL$11:$AM$260,2,FALSE)))/24),0)=0,"",IFERROR(IF(E738=E737,0,(HLOOKUP(D738,Ingreso!$AN$10:$AT$260,VLOOKUP(A738,Ingreso!$AL$11:$AM$260,2,FALSE)))/24),0))</f>
        <v/>
      </c>
      <c r="K738" s="65" t="str">
        <f>IF(IFERROR(IF(E738=E737,0,(HLOOKUP(C738,Ingreso!$AW$10:$BC$260,VLOOKUP(A738,Ingreso!$AL$11:$AM$260,2,FALSE)))/24),0)=0,"",IFERROR(IF(E738=E737,0,(HLOOKUP(C738,Ingreso!$AW$10:$BC$260,VLOOKUP(A738,Ingreso!$AL$11:$AM$260,2,FALSE)))/24),0))</f>
        <v/>
      </c>
      <c r="L738" s="63">
        <f t="shared" si="22"/>
        <v>0</v>
      </c>
      <c r="M738" s="63" t="str">
        <f>IF(IFERROR(IF(C738=C736,0,IF(E738=E737,0,IF(C738=$R$2,HLOOKUP($R$2,Ingreso!$AW$10:$BC$260,VLOOKUP(A738,Ingreso!AL:AM,2,FALSE),FALSE)/24,""))),"")=0,"",IFERROR(IF(C738=C736,0,IF(E738=E737,0,IF(C738=$R$2,HLOOKUP($R$2,Ingreso!$AW$10:$BC$260,VLOOKUP(A738,Ingreso!AL:AM,2,FALSE),FALSE)/24,""))),""))</f>
        <v/>
      </c>
      <c r="N738" s="95" t="str">
        <f>IF(IFERROR(IF(C738=C736,0,IF(E738=E737,0,IF(C738=$R$3,HLOOKUP($R$3,Ingreso!$AW$10:$BC$260,VLOOKUP(A738,Ingreso!AL:AM,2,FALSE),FALSE)/24,""))),"")=0,"",IFERROR(IF(C738=C736,0,IF(E738=E737,0,IF(C738=$R$3,HLOOKUP($R$3,Ingreso!$AW$10:$BC$260,VLOOKUP(A738,Ingreso!AL:AM,2,FALSE),FALSE)/24,""))),""))</f>
        <v/>
      </c>
      <c r="O738" s="95" t="str">
        <f>IF(IFERROR(IF(C738=C736,0,IF(E738=E737,0,IF(C738=$R$4,HLOOKUP($R$4,Ingreso!$AW$10:$BC$260,VLOOKUP(A738,Ingreso!AL:AM,2,FALSE),FALSE)/24,""))),"")=0,"",IFERROR(IF(C738=C736,0,IF(E738=E737,0,IF(C738=$R$4,HLOOKUP($R$4,Ingreso!$AW$10:$BC$260,VLOOKUP(A738,Ingreso!AL:AM,2,FALSE),FALSE)/24,""))),""))</f>
        <v/>
      </c>
      <c r="P738" s="90"/>
      <c r="V738"/>
      <c r="W738"/>
      <c r="X738"/>
      <c r="Y738"/>
      <c r="Z738"/>
      <c r="AA738"/>
      <c r="AB738"/>
      <c r="AC738"/>
      <c r="AD738"/>
    </row>
    <row r="739" spans="1:30">
      <c r="A739" s="65" t="str">
        <f>IFERROR(VLOOKUP('Informe Kelly'!A732,Base!A:B,2,FALSE),"")</f>
        <v>13.899.407-4</v>
      </c>
      <c r="B739" s="65" t="str">
        <f>IFERROR(VLOOKUP('Informe Kelly'!A732,Base!A:G,7,FALSE),"")</f>
        <v>BUSTAMANTE GONZALEZ MAURICIO ANDRES</v>
      </c>
      <c r="C739" s="69" t="str">
        <f>IF(G739=$C$4,IF('Informe Kelly'!H732='Control informe Kelly'!$A$2,TEXT(((LEFT('Informe Kelly'!E732,2)*1)+1),"dd")&amp;"."&amp;MID('Informe Kelly'!E732,4,2)&amp;"."&amp;RIGHT('Informe Kelly'!E732,4),'Informe Kelly'!E732),'Informe Kelly'!E732)</f>
        <v>13.04.2011</v>
      </c>
      <c r="D739" s="69" t="str">
        <f>IF('Informe Kelly'!E732="","",'Informe Kelly'!E732)</f>
        <v>12.04.2011</v>
      </c>
      <c r="E739" s="72">
        <f t="shared" si="23"/>
        <v>374</v>
      </c>
      <c r="F739" s="72" t="str">
        <f>IFERROR(HLOOKUP(C739,Ingreso!$Q$8:$AD$9,2,FALSE),"v")</f>
        <v>Miércoles</v>
      </c>
      <c r="G739" s="65" t="str">
        <f>IFERROR(VLOOKUP(A739,Ingreso!K:P,6,FALSE),"no esta ingresado")</f>
        <v>Turno C</v>
      </c>
      <c r="H739" s="65">
        <f>IFERROR(IF('Informe Kelly'!H732=$A$2,'Informe Kelly'!F732,""),0)</f>
        <v>0.91983796296296294</v>
      </c>
      <c r="I739" s="65" t="str">
        <f>IFERROR(IF('Informe Kelly'!H732=$A$3,'Informe Kelly'!F732,""),0)</f>
        <v/>
      </c>
      <c r="J739" s="65" t="str">
        <f>IF(IFERROR(IF(E739=E738,0,(HLOOKUP(D739,Ingreso!$AN$10:$AT$260,VLOOKUP(A739,Ingreso!$AL$11:$AM$260,2,FALSE)))/24),0)=0,"",IFERROR(IF(E739=E738,0,(HLOOKUP(D739,Ingreso!$AN$10:$AT$260,VLOOKUP(A739,Ingreso!$AL$11:$AM$260,2,FALSE)))/24),0))</f>
        <v/>
      </c>
      <c r="K739" s="65" t="str">
        <f>IF(IFERROR(IF(E739=E738,0,(HLOOKUP(C739,Ingreso!$AW$10:$BC$260,VLOOKUP(A739,Ingreso!$AL$11:$AM$260,2,FALSE)))/24),0)=0,"",IFERROR(IF(E739=E738,0,(HLOOKUP(C739,Ingreso!$AW$10:$BC$260,VLOOKUP(A739,Ingreso!$AL$11:$AM$260,2,FALSE)))/24),0))</f>
        <v/>
      </c>
      <c r="L739" s="63">
        <f t="shared" si="22"/>
        <v>0.375</v>
      </c>
      <c r="M739" s="63" t="str">
        <f>IF(IFERROR(IF(C739=C737,0,IF(E739=E738,0,IF(C739=$R$2,HLOOKUP($R$2,Ingreso!$AW$10:$BC$260,VLOOKUP(A739,Ingreso!AL:AM,2,FALSE),FALSE)/24,""))),"")=0,"",IFERROR(IF(C739=C737,0,IF(E739=E738,0,IF(C739=$R$2,HLOOKUP($R$2,Ingreso!$AW$10:$BC$260,VLOOKUP(A739,Ingreso!AL:AM,2,FALSE),FALSE)/24,""))),""))</f>
        <v/>
      </c>
      <c r="N739" s="95" t="str">
        <f>IF(IFERROR(IF(C739=C737,0,IF(E739=E738,0,IF(C739=$R$3,HLOOKUP($R$3,Ingreso!$AW$10:$BC$260,VLOOKUP(A739,Ingreso!AL:AM,2,FALSE),FALSE)/24,""))),"")=0,"",IFERROR(IF(C739=C737,0,IF(E739=E738,0,IF(C739=$R$3,HLOOKUP($R$3,Ingreso!$AW$10:$BC$260,VLOOKUP(A739,Ingreso!AL:AM,2,FALSE),FALSE)/24,""))),""))</f>
        <v/>
      </c>
      <c r="O739" s="95" t="str">
        <f>IF(IFERROR(IF(C739=C737,0,IF(E739=E738,0,IF(C739=$R$4,HLOOKUP($R$4,Ingreso!$AW$10:$BC$260,VLOOKUP(A739,Ingreso!AL:AM,2,FALSE),FALSE)/24,""))),"")=0,"",IFERROR(IF(C739=C737,0,IF(E739=E738,0,IF(C739=$R$4,HLOOKUP($R$4,Ingreso!$AW$10:$BC$260,VLOOKUP(A739,Ingreso!AL:AM,2,FALSE),FALSE)/24,""))),""))</f>
        <v/>
      </c>
      <c r="P739" s="90"/>
      <c r="V739"/>
      <c r="W739"/>
      <c r="X739"/>
      <c r="Y739"/>
      <c r="Z739"/>
      <c r="AA739"/>
      <c r="AB739"/>
      <c r="AC739"/>
      <c r="AD739"/>
    </row>
    <row r="740" spans="1:30">
      <c r="A740" s="65" t="str">
        <f>IFERROR(VLOOKUP('Informe Kelly'!A733,Base!A:B,2,FALSE),"")</f>
        <v>13.899.407-4</v>
      </c>
      <c r="B740" s="65" t="str">
        <f>IFERROR(VLOOKUP('Informe Kelly'!A733,Base!A:G,7,FALSE),"")</f>
        <v>BUSTAMANTE GONZALEZ MAURICIO ANDRES</v>
      </c>
      <c r="C740" s="69" t="str">
        <f>IF(G740=$C$4,IF('Informe Kelly'!H733='Control informe Kelly'!$A$2,TEXT(((LEFT('Informe Kelly'!E733,2)*1)+1),"dd")&amp;"."&amp;MID('Informe Kelly'!E733,4,2)&amp;"."&amp;RIGHT('Informe Kelly'!E733,4),'Informe Kelly'!E733),'Informe Kelly'!E733)</f>
        <v>13.04.2011</v>
      </c>
      <c r="D740" s="69" t="str">
        <f>IF('Informe Kelly'!E733="","",'Informe Kelly'!E733)</f>
        <v>13.04.2011</v>
      </c>
      <c r="E740" s="72">
        <f t="shared" si="23"/>
        <v>374</v>
      </c>
      <c r="F740" s="72" t="str">
        <f>IFERROR(HLOOKUP(C740,Ingreso!$Q$8:$AD$9,2,FALSE),"v")</f>
        <v>Miércoles</v>
      </c>
      <c r="G740" s="65" t="str">
        <f>IFERROR(VLOOKUP(A740,Ingreso!K:P,6,FALSE),"no esta ingresado")</f>
        <v>Turno C</v>
      </c>
      <c r="H740" s="65" t="str">
        <f>IFERROR(IF('Informe Kelly'!H733=$A$2,'Informe Kelly'!F733,""),0)</f>
        <v/>
      </c>
      <c r="I740" s="65">
        <f>IFERROR(IF('Informe Kelly'!H733=$A$3,'Informe Kelly'!F733,""),0)</f>
        <v>0.31684027777777779</v>
      </c>
      <c r="J740" s="65" t="str">
        <f>IF(IFERROR(IF(E740=E739,0,(HLOOKUP(D740,Ingreso!$AN$10:$AT$260,VLOOKUP(A740,Ingreso!$AL$11:$AM$260,2,FALSE)))/24),0)=0,"",IFERROR(IF(E740=E739,0,(HLOOKUP(D740,Ingreso!$AN$10:$AT$260,VLOOKUP(A740,Ingreso!$AL$11:$AM$260,2,FALSE)))/24),0))</f>
        <v/>
      </c>
      <c r="K740" s="65" t="str">
        <f>IF(IFERROR(IF(E740=E739,0,(HLOOKUP(C740,Ingreso!$AW$10:$BC$260,VLOOKUP(A740,Ingreso!$AL$11:$AM$260,2,FALSE)))/24),0)=0,"",IFERROR(IF(E740=E739,0,(HLOOKUP(C740,Ingreso!$AW$10:$BC$260,VLOOKUP(A740,Ingreso!$AL$11:$AM$260,2,FALSE)))/24),0))</f>
        <v/>
      </c>
      <c r="L740" s="63">
        <f t="shared" si="22"/>
        <v>0</v>
      </c>
      <c r="M740" s="63" t="str">
        <f>IF(IFERROR(IF(C740=C738,0,IF(E740=E739,0,IF(C740=$R$2,HLOOKUP($R$2,Ingreso!$AW$10:$BC$260,VLOOKUP(A740,Ingreso!AL:AM,2,FALSE),FALSE)/24,""))),"")=0,"",IFERROR(IF(C740=C738,0,IF(E740=E739,0,IF(C740=$R$2,HLOOKUP($R$2,Ingreso!$AW$10:$BC$260,VLOOKUP(A740,Ingreso!AL:AM,2,FALSE),FALSE)/24,""))),""))</f>
        <v/>
      </c>
      <c r="N740" s="95" t="str">
        <f>IF(IFERROR(IF(C740=C738,0,IF(E740=E739,0,IF(C740=$R$3,HLOOKUP($R$3,Ingreso!$AW$10:$BC$260,VLOOKUP(A740,Ingreso!AL:AM,2,FALSE),FALSE)/24,""))),"")=0,"",IFERROR(IF(C740=C738,0,IF(E740=E739,0,IF(C740=$R$3,HLOOKUP($R$3,Ingreso!$AW$10:$BC$260,VLOOKUP(A740,Ingreso!AL:AM,2,FALSE),FALSE)/24,""))),""))</f>
        <v/>
      </c>
      <c r="O740" s="95" t="str">
        <f>IF(IFERROR(IF(C740=C738,0,IF(E740=E739,0,IF(C740=$R$4,HLOOKUP($R$4,Ingreso!$AW$10:$BC$260,VLOOKUP(A740,Ingreso!AL:AM,2,FALSE),FALSE)/24,""))),"")=0,"",IFERROR(IF(C740=C738,0,IF(E740=E739,0,IF(C740=$R$4,HLOOKUP($R$4,Ingreso!$AW$10:$BC$260,VLOOKUP(A740,Ingreso!AL:AM,2,FALSE),FALSE)/24,""))),""))</f>
        <v/>
      </c>
      <c r="P740" s="90"/>
      <c r="V740"/>
      <c r="W740"/>
      <c r="X740"/>
      <c r="Y740"/>
      <c r="Z740"/>
      <c r="AA740"/>
      <c r="AB740"/>
      <c r="AC740"/>
      <c r="AD740"/>
    </row>
    <row r="741" spans="1:30">
      <c r="A741" s="65" t="str">
        <f>IFERROR(VLOOKUP('Informe Kelly'!A734,Base!A:B,2,FALSE),"")</f>
        <v>13.899.407-4</v>
      </c>
      <c r="B741" s="65" t="str">
        <f>IFERROR(VLOOKUP('Informe Kelly'!A734,Base!A:G,7,FALSE),"")</f>
        <v>BUSTAMANTE GONZALEZ MAURICIO ANDRES</v>
      </c>
      <c r="C741" s="69" t="str">
        <f>IF(G741=$C$4,IF('Informe Kelly'!H734='Control informe Kelly'!$A$2,TEXT(((LEFT('Informe Kelly'!E734,2)*1)+1),"dd")&amp;"."&amp;MID('Informe Kelly'!E734,4,2)&amp;"."&amp;RIGHT('Informe Kelly'!E734,4),'Informe Kelly'!E734),'Informe Kelly'!E734)</f>
        <v>14.04.2011</v>
      </c>
      <c r="D741" s="69" t="str">
        <f>IF('Informe Kelly'!E734="","",'Informe Kelly'!E734)</f>
        <v>13.04.2011</v>
      </c>
      <c r="E741" s="72">
        <f t="shared" si="23"/>
        <v>375</v>
      </c>
      <c r="F741" s="72" t="str">
        <f>IFERROR(HLOOKUP(C741,Ingreso!$Q$8:$AD$9,2,FALSE),"v")</f>
        <v>Jueves</v>
      </c>
      <c r="G741" s="65" t="str">
        <f>IFERROR(VLOOKUP(A741,Ingreso!K:P,6,FALSE),"no esta ingresado")</f>
        <v>Turno C</v>
      </c>
      <c r="H741" s="65">
        <f>IFERROR(IF('Informe Kelly'!H734=$A$2,'Informe Kelly'!F734,""),0)</f>
        <v>0.9215740740740741</v>
      </c>
      <c r="I741" s="65" t="str">
        <f>IFERROR(IF('Informe Kelly'!H734=$A$3,'Informe Kelly'!F734,""),0)</f>
        <v/>
      </c>
      <c r="J741" s="65" t="str">
        <f>IF(IFERROR(IF(E741=E740,0,(HLOOKUP(D741,Ingreso!$AN$10:$AT$260,VLOOKUP(A741,Ingreso!$AL$11:$AM$260,2,FALSE)))/24),0)=0,"",IFERROR(IF(E741=E740,0,(HLOOKUP(D741,Ingreso!$AN$10:$AT$260,VLOOKUP(A741,Ingreso!$AL$11:$AM$260,2,FALSE)))/24),0))</f>
        <v/>
      </c>
      <c r="K741" s="65" t="str">
        <f>IF(IFERROR(IF(E741=E740,0,(HLOOKUP(C741,Ingreso!$AW$10:$BC$260,VLOOKUP(A741,Ingreso!$AL$11:$AM$260,2,FALSE)))/24),0)=0,"",IFERROR(IF(E741=E740,0,(HLOOKUP(C741,Ingreso!$AW$10:$BC$260,VLOOKUP(A741,Ingreso!$AL$11:$AM$260,2,FALSE)))/24),0))</f>
        <v/>
      </c>
      <c r="L741" s="63">
        <f t="shared" si="22"/>
        <v>0.375</v>
      </c>
      <c r="M741" s="63" t="str">
        <f>IF(IFERROR(IF(C741=C739,0,IF(E741=E740,0,IF(C741=$R$2,HLOOKUP($R$2,Ingreso!$AW$10:$BC$260,VLOOKUP(A741,Ingreso!AL:AM,2,FALSE),FALSE)/24,""))),"")=0,"",IFERROR(IF(C741=C739,0,IF(E741=E740,0,IF(C741=$R$2,HLOOKUP($R$2,Ingreso!$AW$10:$BC$260,VLOOKUP(A741,Ingreso!AL:AM,2,FALSE),FALSE)/24,""))),""))</f>
        <v/>
      </c>
      <c r="N741" s="95" t="str">
        <f>IF(IFERROR(IF(C741=C739,0,IF(E741=E740,0,IF(C741=$R$3,HLOOKUP($R$3,Ingreso!$AW$10:$BC$260,VLOOKUP(A741,Ingreso!AL:AM,2,FALSE),FALSE)/24,""))),"")=0,"",IFERROR(IF(C741=C739,0,IF(E741=E740,0,IF(C741=$R$3,HLOOKUP($R$3,Ingreso!$AW$10:$BC$260,VLOOKUP(A741,Ingreso!AL:AM,2,FALSE),FALSE)/24,""))),""))</f>
        <v/>
      </c>
      <c r="O741" s="95" t="str">
        <f>IF(IFERROR(IF(C741=C739,0,IF(E741=E740,0,IF(C741=$R$4,HLOOKUP($R$4,Ingreso!$AW$10:$BC$260,VLOOKUP(A741,Ingreso!AL:AM,2,FALSE),FALSE)/24,""))),"")=0,"",IFERROR(IF(C741=C739,0,IF(E741=E740,0,IF(C741=$R$4,HLOOKUP($R$4,Ingreso!$AW$10:$BC$260,VLOOKUP(A741,Ingreso!AL:AM,2,FALSE),FALSE)/24,""))),""))</f>
        <v/>
      </c>
      <c r="P741" s="90"/>
      <c r="V741"/>
      <c r="W741"/>
      <c r="X741"/>
      <c r="Y741"/>
      <c r="Z741"/>
      <c r="AA741"/>
      <c r="AB741"/>
      <c r="AC741"/>
      <c r="AD741"/>
    </row>
    <row r="742" spans="1:30">
      <c r="A742" s="65" t="str">
        <f>IFERROR(VLOOKUP('Informe Kelly'!A735,Base!A:B,2,FALSE),"")</f>
        <v>13.899.407-4</v>
      </c>
      <c r="B742" s="65" t="str">
        <f>IFERROR(VLOOKUP('Informe Kelly'!A735,Base!A:G,7,FALSE),"")</f>
        <v>BUSTAMANTE GONZALEZ MAURICIO ANDRES</v>
      </c>
      <c r="C742" s="69" t="str">
        <f>IF(G742=$C$4,IF('Informe Kelly'!H735='Control informe Kelly'!$A$2,TEXT(((LEFT('Informe Kelly'!E735,2)*1)+1),"dd")&amp;"."&amp;MID('Informe Kelly'!E735,4,2)&amp;"."&amp;RIGHT('Informe Kelly'!E735,4),'Informe Kelly'!E735),'Informe Kelly'!E735)</f>
        <v>14.04.2011</v>
      </c>
      <c r="D742" s="69" t="str">
        <f>IF('Informe Kelly'!E735="","",'Informe Kelly'!E735)</f>
        <v>14.04.2011</v>
      </c>
      <c r="E742" s="72">
        <f t="shared" si="23"/>
        <v>375</v>
      </c>
      <c r="F742" s="72" t="str">
        <f>IFERROR(HLOOKUP(C742,Ingreso!$Q$8:$AD$9,2,FALSE),"v")</f>
        <v>Jueves</v>
      </c>
      <c r="G742" s="65" t="str">
        <f>IFERROR(VLOOKUP(A742,Ingreso!K:P,6,FALSE),"no esta ingresado")</f>
        <v>Turno C</v>
      </c>
      <c r="H742" s="65" t="str">
        <f>IFERROR(IF('Informe Kelly'!H735=$A$2,'Informe Kelly'!F735,""),0)</f>
        <v/>
      </c>
      <c r="I742" s="65">
        <f>IFERROR(IF('Informe Kelly'!H735=$A$3,'Informe Kelly'!F735,""),0)</f>
        <v>0.32067129629629632</v>
      </c>
      <c r="J742" s="65" t="str">
        <f>IF(IFERROR(IF(E742=E741,0,(HLOOKUP(D742,Ingreso!$AN$10:$AT$260,VLOOKUP(A742,Ingreso!$AL$11:$AM$260,2,FALSE)))/24),0)=0,"",IFERROR(IF(E742=E741,0,(HLOOKUP(D742,Ingreso!$AN$10:$AT$260,VLOOKUP(A742,Ingreso!$AL$11:$AM$260,2,FALSE)))/24),0))</f>
        <v/>
      </c>
      <c r="K742" s="65" t="str">
        <f>IF(IFERROR(IF(E742=E741,0,(HLOOKUP(C742,Ingreso!$AW$10:$BC$260,VLOOKUP(A742,Ingreso!$AL$11:$AM$260,2,FALSE)))/24),0)=0,"",IFERROR(IF(E742=E741,0,(HLOOKUP(C742,Ingreso!$AW$10:$BC$260,VLOOKUP(A742,Ingreso!$AL$11:$AM$260,2,FALSE)))/24),0))</f>
        <v/>
      </c>
      <c r="L742" s="63">
        <f t="shared" si="22"/>
        <v>0</v>
      </c>
      <c r="M742" s="63" t="str">
        <f>IF(IFERROR(IF(C742=C740,0,IF(E742=E741,0,IF(C742=$R$2,HLOOKUP($R$2,Ingreso!$AW$10:$BC$260,VLOOKUP(A742,Ingreso!AL:AM,2,FALSE),FALSE)/24,""))),"")=0,"",IFERROR(IF(C742=C740,0,IF(E742=E741,0,IF(C742=$R$2,HLOOKUP($R$2,Ingreso!$AW$10:$BC$260,VLOOKUP(A742,Ingreso!AL:AM,2,FALSE),FALSE)/24,""))),""))</f>
        <v/>
      </c>
      <c r="N742" s="95" t="str">
        <f>IF(IFERROR(IF(C742=C740,0,IF(E742=E741,0,IF(C742=$R$3,HLOOKUP($R$3,Ingreso!$AW$10:$BC$260,VLOOKUP(A742,Ingreso!AL:AM,2,FALSE),FALSE)/24,""))),"")=0,"",IFERROR(IF(C742=C740,0,IF(E742=E741,0,IF(C742=$R$3,HLOOKUP($R$3,Ingreso!$AW$10:$BC$260,VLOOKUP(A742,Ingreso!AL:AM,2,FALSE),FALSE)/24,""))),""))</f>
        <v/>
      </c>
      <c r="O742" s="95" t="str">
        <f>IF(IFERROR(IF(C742=C740,0,IF(E742=E741,0,IF(C742=$R$4,HLOOKUP($R$4,Ingreso!$AW$10:$BC$260,VLOOKUP(A742,Ingreso!AL:AM,2,FALSE),FALSE)/24,""))),"")=0,"",IFERROR(IF(C742=C740,0,IF(E742=E741,0,IF(C742=$R$4,HLOOKUP($R$4,Ingreso!$AW$10:$BC$260,VLOOKUP(A742,Ingreso!AL:AM,2,FALSE),FALSE)/24,""))),""))</f>
        <v/>
      </c>
      <c r="P742" s="90"/>
      <c r="V742"/>
      <c r="W742"/>
      <c r="X742"/>
      <c r="Y742"/>
      <c r="Z742"/>
      <c r="AA742"/>
      <c r="AB742"/>
      <c r="AC742"/>
      <c r="AD742"/>
    </row>
    <row r="743" spans="1:30">
      <c r="A743" s="65" t="str">
        <f>IFERROR(VLOOKUP('Informe Kelly'!A736,Base!A:B,2,FALSE),"")</f>
        <v>13.899.407-4</v>
      </c>
      <c r="B743" s="65" t="str">
        <f>IFERROR(VLOOKUP('Informe Kelly'!A736,Base!A:G,7,FALSE),"")</f>
        <v>BUSTAMANTE GONZALEZ MAURICIO ANDRES</v>
      </c>
      <c r="C743" s="69" t="str">
        <f>IF(G743=$C$4,IF('Informe Kelly'!H736='Control informe Kelly'!$A$2,TEXT(((LEFT('Informe Kelly'!E736,2)*1)+1),"dd")&amp;"."&amp;MID('Informe Kelly'!E736,4,2)&amp;"."&amp;RIGHT('Informe Kelly'!E736,4),'Informe Kelly'!E736),'Informe Kelly'!E736)</f>
        <v>15.04.2011</v>
      </c>
      <c r="D743" s="69" t="str">
        <f>IF('Informe Kelly'!E736="","",'Informe Kelly'!E736)</f>
        <v>14.04.2011</v>
      </c>
      <c r="E743" s="72">
        <f t="shared" si="23"/>
        <v>376</v>
      </c>
      <c r="F743" s="72" t="str">
        <f>IFERROR(HLOOKUP(C743,Ingreso!$Q$8:$AD$9,2,FALSE),"v")</f>
        <v>Viernes</v>
      </c>
      <c r="G743" s="65" t="str">
        <f>IFERROR(VLOOKUP(A743,Ingreso!K:P,6,FALSE),"no esta ingresado")</f>
        <v>Turno C</v>
      </c>
      <c r="H743" s="65">
        <f>IFERROR(IF('Informe Kelly'!H736=$A$2,'Informe Kelly'!F736,""),0)</f>
        <v>0.92206018518518518</v>
      </c>
      <c r="I743" s="65" t="str">
        <f>IFERROR(IF('Informe Kelly'!H736=$A$3,'Informe Kelly'!F736,""),0)</f>
        <v/>
      </c>
      <c r="J743" s="65" t="str">
        <f>IF(IFERROR(IF(E743=E742,0,(HLOOKUP(D743,Ingreso!$AN$10:$AT$260,VLOOKUP(A743,Ingreso!$AL$11:$AM$260,2,FALSE)))/24),0)=0,"",IFERROR(IF(E743=E742,0,(HLOOKUP(D743,Ingreso!$AN$10:$AT$260,VLOOKUP(A743,Ingreso!$AL$11:$AM$260,2,FALSE)))/24),0))</f>
        <v/>
      </c>
      <c r="K743" s="65" t="str">
        <f>IF(IFERROR(IF(E743=E742,0,(HLOOKUP(C743,Ingreso!$AW$10:$BC$260,VLOOKUP(A743,Ingreso!$AL$11:$AM$260,2,FALSE)))/24),0)=0,"",IFERROR(IF(E743=E742,0,(HLOOKUP(C743,Ingreso!$AW$10:$BC$260,VLOOKUP(A743,Ingreso!$AL$11:$AM$260,2,FALSE)))/24),0))</f>
        <v/>
      </c>
      <c r="L743" s="63">
        <f t="shared" si="22"/>
        <v>0.375</v>
      </c>
      <c r="M743" s="63" t="str">
        <f>IF(IFERROR(IF(C743=C741,0,IF(E743=E742,0,IF(C743=$R$2,HLOOKUP($R$2,Ingreso!$AW$10:$BC$260,VLOOKUP(A743,Ingreso!AL:AM,2,FALSE),FALSE)/24,""))),"")=0,"",IFERROR(IF(C743=C741,0,IF(E743=E742,0,IF(C743=$R$2,HLOOKUP($R$2,Ingreso!$AW$10:$BC$260,VLOOKUP(A743,Ingreso!AL:AM,2,FALSE),FALSE)/24,""))),""))</f>
        <v/>
      </c>
      <c r="N743" s="95" t="str">
        <f>IF(IFERROR(IF(C743=C741,0,IF(E743=E742,0,IF(C743=$R$3,HLOOKUP($R$3,Ingreso!$AW$10:$BC$260,VLOOKUP(A743,Ingreso!AL:AM,2,FALSE),FALSE)/24,""))),"")=0,"",IFERROR(IF(C743=C741,0,IF(E743=E742,0,IF(C743=$R$3,HLOOKUP($R$3,Ingreso!$AW$10:$BC$260,VLOOKUP(A743,Ingreso!AL:AM,2,FALSE),FALSE)/24,""))),""))</f>
        <v/>
      </c>
      <c r="O743" s="95" t="str">
        <f>IF(IFERROR(IF(C743=C741,0,IF(E743=E742,0,IF(C743=$R$4,HLOOKUP($R$4,Ingreso!$AW$10:$BC$260,VLOOKUP(A743,Ingreso!AL:AM,2,FALSE),FALSE)/24,""))),"")=0,"",IFERROR(IF(C743=C741,0,IF(E743=E742,0,IF(C743=$R$4,HLOOKUP($R$4,Ingreso!$AW$10:$BC$260,VLOOKUP(A743,Ingreso!AL:AM,2,FALSE),FALSE)/24,""))),""))</f>
        <v/>
      </c>
      <c r="P743" s="90"/>
      <c r="V743"/>
      <c r="W743"/>
      <c r="X743"/>
      <c r="Y743"/>
      <c r="Z743"/>
      <c r="AA743"/>
      <c r="AB743"/>
      <c r="AC743"/>
      <c r="AD743"/>
    </row>
    <row r="744" spans="1:30">
      <c r="A744" s="65" t="str">
        <f>IFERROR(VLOOKUP('Informe Kelly'!A737,Base!A:B,2,FALSE),"")</f>
        <v>13.899.407-4</v>
      </c>
      <c r="B744" s="65" t="str">
        <f>IFERROR(VLOOKUP('Informe Kelly'!A737,Base!A:G,7,FALSE),"")</f>
        <v>BUSTAMANTE GONZALEZ MAURICIO ANDRES</v>
      </c>
      <c r="C744" s="69" t="str">
        <f>IF(G744=$C$4,IF('Informe Kelly'!H737='Control informe Kelly'!$A$2,TEXT(((LEFT('Informe Kelly'!E737,2)*1)+1),"dd")&amp;"."&amp;MID('Informe Kelly'!E737,4,2)&amp;"."&amp;RIGHT('Informe Kelly'!E737,4),'Informe Kelly'!E737),'Informe Kelly'!E737)</f>
        <v>15.04.2011</v>
      </c>
      <c r="D744" s="69" t="str">
        <f>IF('Informe Kelly'!E737="","",'Informe Kelly'!E737)</f>
        <v>15.04.2011</v>
      </c>
      <c r="E744" s="72">
        <f t="shared" si="23"/>
        <v>376</v>
      </c>
      <c r="F744" s="72" t="str">
        <f>IFERROR(HLOOKUP(C744,Ingreso!$Q$8:$AD$9,2,FALSE),"v")</f>
        <v>Viernes</v>
      </c>
      <c r="G744" s="65" t="str">
        <f>IFERROR(VLOOKUP(A744,Ingreso!K:P,6,FALSE),"no esta ingresado")</f>
        <v>Turno C</v>
      </c>
      <c r="H744" s="65" t="str">
        <f>IFERROR(IF('Informe Kelly'!H737=$A$2,'Informe Kelly'!F737,""),0)</f>
        <v/>
      </c>
      <c r="I744" s="65">
        <f>IFERROR(IF('Informe Kelly'!H737=$A$3,'Informe Kelly'!F737,""),0)</f>
        <v>0.31702546296296297</v>
      </c>
      <c r="J744" s="65" t="str">
        <f>IF(IFERROR(IF(E744=E743,0,(HLOOKUP(D744,Ingreso!$AN$10:$AT$260,VLOOKUP(A744,Ingreso!$AL$11:$AM$260,2,FALSE)))/24),0)=0,"",IFERROR(IF(E744=E743,0,(HLOOKUP(D744,Ingreso!$AN$10:$AT$260,VLOOKUP(A744,Ingreso!$AL$11:$AM$260,2,FALSE)))/24),0))</f>
        <v/>
      </c>
      <c r="K744" s="65" t="str">
        <f>IF(IFERROR(IF(E744=E743,0,(HLOOKUP(C744,Ingreso!$AW$10:$BC$260,VLOOKUP(A744,Ingreso!$AL$11:$AM$260,2,FALSE)))/24),0)=0,"",IFERROR(IF(E744=E743,0,(HLOOKUP(C744,Ingreso!$AW$10:$BC$260,VLOOKUP(A744,Ingreso!$AL$11:$AM$260,2,FALSE)))/24),0))</f>
        <v/>
      </c>
      <c r="L744" s="63">
        <f t="shared" si="22"/>
        <v>0</v>
      </c>
      <c r="M744" s="63" t="str">
        <f>IF(IFERROR(IF(C744=C742,0,IF(E744=E743,0,IF(C744=$R$2,HLOOKUP($R$2,Ingreso!$AW$10:$BC$260,VLOOKUP(A744,Ingreso!AL:AM,2,FALSE),FALSE)/24,""))),"")=0,"",IFERROR(IF(C744=C742,0,IF(E744=E743,0,IF(C744=$R$2,HLOOKUP($R$2,Ingreso!$AW$10:$BC$260,VLOOKUP(A744,Ingreso!AL:AM,2,FALSE),FALSE)/24,""))),""))</f>
        <v/>
      </c>
      <c r="N744" s="95" t="str">
        <f>IF(IFERROR(IF(C744=C742,0,IF(E744=E743,0,IF(C744=$R$3,HLOOKUP($R$3,Ingreso!$AW$10:$BC$260,VLOOKUP(A744,Ingreso!AL:AM,2,FALSE),FALSE)/24,""))),"")=0,"",IFERROR(IF(C744=C742,0,IF(E744=E743,0,IF(C744=$R$3,HLOOKUP($R$3,Ingreso!$AW$10:$BC$260,VLOOKUP(A744,Ingreso!AL:AM,2,FALSE),FALSE)/24,""))),""))</f>
        <v/>
      </c>
      <c r="O744" s="95" t="str">
        <f>IF(IFERROR(IF(C744=C742,0,IF(E744=E743,0,IF(C744=$R$4,HLOOKUP($R$4,Ingreso!$AW$10:$BC$260,VLOOKUP(A744,Ingreso!AL:AM,2,FALSE),FALSE)/24,""))),"")=0,"",IFERROR(IF(C744=C742,0,IF(E744=E743,0,IF(C744=$R$4,HLOOKUP($R$4,Ingreso!$AW$10:$BC$260,VLOOKUP(A744,Ingreso!AL:AM,2,FALSE),FALSE)/24,""))),""))</f>
        <v/>
      </c>
      <c r="P744" s="90"/>
      <c r="V744"/>
      <c r="W744"/>
      <c r="X744"/>
      <c r="Y744"/>
      <c r="Z744"/>
      <c r="AA744"/>
      <c r="AB744"/>
      <c r="AC744"/>
      <c r="AD744"/>
    </row>
    <row r="745" spans="1:30">
      <c r="A745" s="65" t="str">
        <f>IFERROR(VLOOKUP('Informe Kelly'!A738,Base!A:B,2,FALSE),"")</f>
        <v>13.899.407-4</v>
      </c>
      <c r="B745" s="65" t="str">
        <f>IFERROR(VLOOKUP('Informe Kelly'!A738,Base!A:G,7,FALSE),"")</f>
        <v>BUSTAMANTE GONZALEZ MAURICIO ANDRES</v>
      </c>
      <c r="C745" s="69" t="str">
        <f>IF(G745=$C$4,IF('Informe Kelly'!H738='Control informe Kelly'!$A$2,TEXT(((LEFT('Informe Kelly'!E738,2)*1)+1),"dd")&amp;"."&amp;MID('Informe Kelly'!E738,4,2)&amp;"."&amp;RIGHT('Informe Kelly'!E738,4),'Informe Kelly'!E738),'Informe Kelly'!E738)</f>
        <v>16.04.2011</v>
      </c>
      <c r="D745" s="69" t="str">
        <f>IF('Informe Kelly'!E738="","",'Informe Kelly'!E738)</f>
        <v>15.04.2011</v>
      </c>
      <c r="E745" s="72">
        <f t="shared" si="23"/>
        <v>377</v>
      </c>
      <c r="F745" s="72" t="str">
        <f>IFERROR(HLOOKUP(C745,Ingreso!$Q$8:$AD$9,2,FALSE),"v")</f>
        <v>Sábado</v>
      </c>
      <c r="G745" s="65" t="str">
        <f>IFERROR(VLOOKUP(A745,Ingreso!K:P,6,FALSE),"no esta ingresado")</f>
        <v>Turno C</v>
      </c>
      <c r="H745" s="65">
        <f>IFERROR(IF('Informe Kelly'!H738=$A$2,'Informe Kelly'!F738,""),0)</f>
        <v>0.92115740740740737</v>
      </c>
      <c r="I745" s="65" t="str">
        <f>IFERROR(IF('Informe Kelly'!H738=$A$3,'Informe Kelly'!F738,""),0)</f>
        <v/>
      </c>
      <c r="J745" s="65" t="str">
        <f>IF(IFERROR(IF(E745=E744,0,(HLOOKUP(D745,Ingreso!$AN$10:$AT$260,VLOOKUP(A745,Ingreso!$AL$11:$AM$260,2,FALSE)))/24),0)=0,"",IFERROR(IF(E745=E744,0,(HLOOKUP(D745,Ingreso!$AN$10:$AT$260,VLOOKUP(A745,Ingreso!$AL$11:$AM$260,2,FALSE)))/24),0))</f>
        <v/>
      </c>
      <c r="K745" s="65" t="str">
        <f>IF(IFERROR(IF(E745=E744,0,(HLOOKUP(C745,Ingreso!$AW$10:$BC$260,VLOOKUP(A745,Ingreso!$AL$11:$AM$260,2,FALSE)))/24),0)=0,"",IFERROR(IF(E745=E744,0,(HLOOKUP(C745,Ingreso!$AW$10:$BC$260,VLOOKUP(A745,Ingreso!$AL$11:$AM$260,2,FALSE)))/24),0))</f>
        <v/>
      </c>
      <c r="L745" s="63">
        <f t="shared" si="22"/>
        <v>0.375</v>
      </c>
      <c r="M745" s="63" t="str">
        <f>IF(IFERROR(IF(C745=C743,0,IF(E745=E744,0,IF(C745=$R$2,HLOOKUP($R$2,Ingreso!$AW$10:$BC$260,VLOOKUP(A745,Ingreso!AL:AM,2,FALSE),FALSE)/24,""))),"")=0,"",IFERROR(IF(C745=C743,0,IF(E745=E744,0,IF(C745=$R$2,HLOOKUP($R$2,Ingreso!$AW$10:$BC$260,VLOOKUP(A745,Ingreso!AL:AM,2,FALSE),FALSE)/24,""))),""))</f>
        <v/>
      </c>
      <c r="N745" s="95" t="str">
        <f>IF(IFERROR(IF(C745=C743,0,IF(E745=E744,0,IF(C745=$R$3,HLOOKUP($R$3,Ingreso!$AW$10:$BC$260,VLOOKUP(A745,Ingreso!AL:AM,2,FALSE),FALSE)/24,""))),"")=0,"",IFERROR(IF(C745=C743,0,IF(E745=E744,0,IF(C745=$R$3,HLOOKUP($R$3,Ingreso!$AW$10:$BC$260,VLOOKUP(A745,Ingreso!AL:AM,2,FALSE),FALSE)/24,""))),""))</f>
        <v/>
      </c>
      <c r="O745" s="95" t="str">
        <f>IF(IFERROR(IF(C745=C743,0,IF(E745=E744,0,IF(C745=$R$4,HLOOKUP($R$4,Ingreso!$AW$10:$BC$260,VLOOKUP(A745,Ingreso!AL:AM,2,FALSE),FALSE)/24,""))),"")=0,"",IFERROR(IF(C745=C743,0,IF(E745=E744,0,IF(C745=$R$4,HLOOKUP($R$4,Ingreso!$AW$10:$BC$260,VLOOKUP(A745,Ingreso!AL:AM,2,FALSE),FALSE)/24,""))),""))</f>
        <v/>
      </c>
      <c r="P745" s="90"/>
      <c r="V745"/>
      <c r="W745"/>
      <c r="X745"/>
      <c r="Y745"/>
      <c r="Z745"/>
      <c r="AA745"/>
      <c r="AB745"/>
      <c r="AC745"/>
      <c r="AD745"/>
    </row>
    <row r="746" spans="1:30">
      <c r="A746" s="65" t="str">
        <f>IFERROR(VLOOKUP('Informe Kelly'!A739,Base!A:B,2,FALSE),"")</f>
        <v>13.899.407-4</v>
      </c>
      <c r="B746" s="65" t="str">
        <f>IFERROR(VLOOKUP('Informe Kelly'!A739,Base!A:G,7,FALSE),"")</f>
        <v>BUSTAMANTE GONZALEZ MAURICIO ANDRES</v>
      </c>
      <c r="C746" s="69" t="str">
        <f>IF(G746=$C$4,IF('Informe Kelly'!H739='Control informe Kelly'!$A$2,TEXT(((LEFT('Informe Kelly'!E739,2)*1)+1),"dd")&amp;"."&amp;MID('Informe Kelly'!E739,4,2)&amp;"."&amp;RIGHT('Informe Kelly'!E739,4),'Informe Kelly'!E739),'Informe Kelly'!E739)</f>
        <v>16.04.2011</v>
      </c>
      <c r="D746" s="69" t="str">
        <f>IF('Informe Kelly'!E739="","",'Informe Kelly'!E739)</f>
        <v>16.04.2011</v>
      </c>
      <c r="E746" s="72">
        <f t="shared" si="23"/>
        <v>377</v>
      </c>
      <c r="F746" s="72" t="str">
        <f>IFERROR(HLOOKUP(C746,Ingreso!$Q$8:$AD$9,2,FALSE),"v")</f>
        <v>Sábado</v>
      </c>
      <c r="G746" s="65" t="str">
        <f>IFERROR(VLOOKUP(A746,Ingreso!K:P,6,FALSE),"no esta ingresado")</f>
        <v>Turno C</v>
      </c>
      <c r="H746" s="65" t="str">
        <f>IFERROR(IF('Informe Kelly'!H739=$A$2,'Informe Kelly'!F739,""),0)</f>
        <v/>
      </c>
      <c r="I746" s="65">
        <f>IFERROR(IF('Informe Kelly'!H739=$A$3,'Informe Kelly'!F739,""),0)</f>
        <v>0.32406249999999998</v>
      </c>
      <c r="J746" s="65" t="str">
        <f>IF(IFERROR(IF(E746=E745,0,(HLOOKUP(D746,Ingreso!$AN$10:$AT$260,VLOOKUP(A746,Ingreso!$AL$11:$AM$260,2,FALSE)))/24),0)=0,"",IFERROR(IF(E746=E745,0,(HLOOKUP(D746,Ingreso!$AN$10:$AT$260,VLOOKUP(A746,Ingreso!$AL$11:$AM$260,2,FALSE)))/24),0))</f>
        <v/>
      </c>
      <c r="K746" s="65" t="str">
        <f>IF(IFERROR(IF(E746=E745,0,(HLOOKUP(C746,Ingreso!$AW$10:$BC$260,VLOOKUP(A746,Ingreso!$AL$11:$AM$260,2,FALSE)))/24),0)=0,"",IFERROR(IF(E746=E745,0,(HLOOKUP(C746,Ingreso!$AW$10:$BC$260,VLOOKUP(A746,Ingreso!$AL$11:$AM$260,2,FALSE)))/24),0))</f>
        <v/>
      </c>
      <c r="L746" s="63">
        <f t="shared" si="22"/>
        <v>0</v>
      </c>
      <c r="M746" s="63" t="str">
        <f>IF(IFERROR(IF(C746=C744,0,IF(E746=E745,0,IF(C746=$R$2,HLOOKUP($R$2,Ingreso!$AW$10:$BC$260,VLOOKUP(A746,Ingreso!AL:AM,2,FALSE),FALSE)/24,""))),"")=0,"",IFERROR(IF(C746=C744,0,IF(E746=E745,0,IF(C746=$R$2,HLOOKUP($R$2,Ingreso!$AW$10:$BC$260,VLOOKUP(A746,Ingreso!AL:AM,2,FALSE),FALSE)/24,""))),""))</f>
        <v/>
      </c>
      <c r="N746" s="95" t="str">
        <f>IF(IFERROR(IF(C746=C744,0,IF(E746=E745,0,IF(C746=$R$3,HLOOKUP($R$3,Ingreso!$AW$10:$BC$260,VLOOKUP(A746,Ingreso!AL:AM,2,FALSE),FALSE)/24,""))),"")=0,"",IFERROR(IF(C746=C744,0,IF(E746=E745,0,IF(C746=$R$3,HLOOKUP($R$3,Ingreso!$AW$10:$BC$260,VLOOKUP(A746,Ingreso!AL:AM,2,FALSE),FALSE)/24,""))),""))</f>
        <v/>
      </c>
      <c r="O746" s="95" t="str">
        <f>IF(IFERROR(IF(C746=C744,0,IF(E746=E745,0,IF(C746=$R$4,HLOOKUP($R$4,Ingreso!$AW$10:$BC$260,VLOOKUP(A746,Ingreso!AL:AM,2,FALSE),FALSE)/24,""))),"")=0,"",IFERROR(IF(C746=C744,0,IF(E746=E745,0,IF(C746=$R$4,HLOOKUP($R$4,Ingreso!$AW$10:$BC$260,VLOOKUP(A746,Ingreso!AL:AM,2,FALSE),FALSE)/24,""))),""))</f>
        <v/>
      </c>
      <c r="P746" s="90"/>
      <c r="V746"/>
      <c r="W746"/>
      <c r="X746"/>
      <c r="Y746"/>
      <c r="Z746"/>
      <c r="AA746"/>
      <c r="AB746"/>
      <c r="AC746"/>
      <c r="AD746"/>
    </row>
    <row r="747" spans="1:30">
      <c r="A747" s="65" t="str">
        <f>IFERROR(VLOOKUP('Informe Kelly'!A740,Base!A:B,2,FALSE),"")</f>
        <v>14.005.587-5</v>
      </c>
      <c r="B747" s="65" t="str">
        <f>IFERROR(VLOOKUP('Informe Kelly'!A740,Base!A:G,7,FALSE),"")</f>
        <v>RODRIGUEZ TORO GERARDO ALBERTO</v>
      </c>
      <c r="C747" s="69" t="str">
        <f>IF(G747=$C$4,IF('Informe Kelly'!H740='Control informe Kelly'!$A$2,TEXT(((LEFT('Informe Kelly'!E740,2)*1)+1),"dd")&amp;"."&amp;MID('Informe Kelly'!E740,4,2)&amp;"."&amp;RIGHT('Informe Kelly'!E740,4),'Informe Kelly'!E740),'Informe Kelly'!E740)</f>
        <v>11.04.2011</v>
      </c>
      <c r="D747" s="69" t="str">
        <f>IF('Informe Kelly'!E740="","",'Informe Kelly'!E740)</f>
        <v>11.04.2011</v>
      </c>
      <c r="E747" s="72">
        <f t="shared" si="23"/>
        <v>378</v>
      </c>
      <c r="F747" s="72" t="str">
        <f>IFERROR(HLOOKUP(C747,Ingreso!$Q$8:$AD$9,2,FALSE),"v")</f>
        <v>Lunes</v>
      </c>
      <c r="G747" s="65" t="str">
        <f>IFERROR(VLOOKUP(A747,Ingreso!K:P,6,FALSE),"no esta ingresado")</f>
        <v>no esta ingresado</v>
      </c>
      <c r="H747" s="65" t="str">
        <f>IFERROR(IF('Informe Kelly'!H740=$A$2,'Informe Kelly'!F740,""),0)</f>
        <v/>
      </c>
      <c r="I747" s="65">
        <f>IFERROR(IF('Informe Kelly'!H740=$A$3,'Informe Kelly'!F740,""),0)</f>
        <v>0.6243171296296296</v>
      </c>
      <c r="J747" s="65" t="str">
        <f>IF(IFERROR(IF(E747=E746,0,(HLOOKUP(D747,Ingreso!$AN$10:$AT$260,VLOOKUP(A747,Ingreso!$AL$11:$AM$260,2,FALSE)))/24),0)=0,"",IFERROR(IF(E747=E746,0,(HLOOKUP(D747,Ingreso!$AN$10:$AT$260,VLOOKUP(A747,Ingreso!$AL$11:$AM$260,2,FALSE)))/24),0))</f>
        <v/>
      </c>
      <c r="K747" s="65" t="str">
        <f>IF(IFERROR(IF(E747=E746,0,(HLOOKUP(C747,Ingreso!$AW$10:$BC$260,VLOOKUP(A747,Ingreso!$AL$11:$AM$260,2,FALSE)))/24),0)=0,"",IFERROR(IF(E747=E746,0,(HLOOKUP(C747,Ingreso!$AW$10:$BC$260,VLOOKUP(A747,Ingreso!$AL$11:$AM$260,2,FALSE)))/24),0))</f>
        <v/>
      </c>
      <c r="L747" s="63" t="str">
        <f t="shared" si="22"/>
        <v/>
      </c>
      <c r="M747" s="63" t="str">
        <f>IF(IFERROR(IF(C747=C745,0,IF(E747=E746,0,IF(C747=$R$2,HLOOKUP($R$2,Ingreso!$AW$10:$BC$260,VLOOKUP(A747,Ingreso!AL:AM,2,FALSE),FALSE)/24,""))),"")=0,"",IFERROR(IF(C747=C745,0,IF(E747=E746,0,IF(C747=$R$2,HLOOKUP($R$2,Ingreso!$AW$10:$BC$260,VLOOKUP(A747,Ingreso!AL:AM,2,FALSE),FALSE)/24,""))),""))</f>
        <v/>
      </c>
      <c r="N747" s="95" t="str">
        <f>IF(IFERROR(IF(C747=C745,0,IF(E747=E746,0,IF(C747=$R$3,HLOOKUP($R$3,Ingreso!$AW$10:$BC$260,VLOOKUP(A747,Ingreso!AL:AM,2,FALSE),FALSE)/24,""))),"")=0,"",IFERROR(IF(C747=C745,0,IF(E747=E746,0,IF(C747=$R$3,HLOOKUP($R$3,Ingreso!$AW$10:$BC$260,VLOOKUP(A747,Ingreso!AL:AM,2,FALSE),FALSE)/24,""))),""))</f>
        <v/>
      </c>
      <c r="O747" s="95" t="str">
        <f>IF(IFERROR(IF(C747=C745,0,IF(E747=E746,0,IF(C747=$R$4,HLOOKUP($R$4,Ingreso!$AW$10:$BC$260,VLOOKUP(A747,Ingreso!AL:AM,2,FALSE),FALSE)/24,""))),"")=0,"",IFERROR(IF(C747=C745,0,IF(E747=E746,0,IF(C747=$R$4,HLOOKUP($R$4,Ingreso!$AW$10:$BC$260,VLOOKUP(A747,Ingreso!AL:AM,2,FALSE),FALSE)/24,""))),""))</f>
        <v/>
      </c>
      <c r="P747" s="90"/>
      <c r="V747"/>
      <c r="W747"/>
      <c r="X747"/>
      <c r="Y747"/>
      <c r="Z747"/>
      <c r="AA747"/>
      <c r="AB747"/>
      <c r="AC747"/>
      <c r="AD747"/>
    </row>
    <row r="748" spans="1:30">
      <c r="A748" s="65" t="str">
        <f>IFERROR(VLOOKUP('Informe Kelly'!A741,Base!A:B,2,FALSE),"")</f>
        <v>14.005.587-5</v>
      </c>
      <c r="B748" s="65" t="str">
        <f>IFERROR(VLOOKUP('Informe Kelly'!A741,Base!A:G,7,FALSE),"")</f>
        <v>RODRIGUEZ TORO GERARDO ALBERTO</v>
      </c>
      <c r="C748" s="69" t="str">
        <f>IF(G748=$C$4,IF('Informe Kelly'!H741='Control informe Kelly'!$A$2,TEXT(((LEFT('Informe Kelly'!E741,2)*1)+1),"dd")&amp;"."&amp;MID('Informe Kelly'!E741,4,2)&amp;"."&amp;RIGHT('Informe Kelly'!E741,4),'Informe Kelly'!E741),'Informe Kelly'!E741)</f>
        <v>11.04.2011</v>
      </c>
      <c r="D748" s="69" t="str">
        <f>IF('Informe Kelly'!E741="","",'Informe Kelly'!E741)</f>
        <v>11.04.2011</v>
      </c>
      <c r="E748" s="72">
        <f t="shared" si="23"/>
        <v>378</v>
      </c>
      <c r="F748" s="72" t="str">
        <f>IFERROR(HLOOKUP(C748,Ingreso!$Q$8:$AD$9,2,FALSE),"v")</f>
        <v>Lunes</v>
      </c>
      <c r="G748" s="65" t="str">
        <f>IFERROR(VLOOKUP(A748,Ingreso!K:P,6,FALSE),"no esta ingresado")</f>
        <v>no esta ingresado</v>
      </c>
      <c r="H748" s="65">
        <f>IFERROR(IF('Informe Kelly'!H741=$A$2,'Informe Kelly'!F741,""),0)</f>
        <v>0.30306712962962962</v>
      </c>
      <c r="I748" s="65" t="str">
        <f>IFERROR(IF('Informe Kelly'!H741=$A$3,'Informe Kelly'!F741,""),0)</f>
        <v/>
      </c>
      <c r="J748" s="65" t="str">
        <f>IF(IFERROR(IF(E748=E747,0,(HLOOKUP(D748,Ingreso!$AN$10:$AT$260,VLOOKUP(A748,Ingreso!$AL$11:$AM$260,2,FALSE)))/24),0)=0,"",IFERROR(IF(E748=E747,0,(HLOOKUP(D748,Ingreso!$AN$10:$AT$260,VLOOKUP(A748,Ingreso!$AL$11:$AM$260,2,FALSE)))/24),0))</f>
        <v/>
      </c>
      <c r="K748" s="65" t="str">
        <f>IF(IFERROR(IF(E748=E747,0,(HLOOKUP(C748,Ingreso!$AW$10:$BC$260,VLOOKUP(A748,Ingreso!$AL$11:$AM$260,2,FALSE)))/24),0)=0,"",IFERROR(IF(E748=E747,0,(HLOOKUP(C748,Ingreso!$AW$10:$BC$260,VLOOKUP(A748,Ingreso!$AL$11:$AM$260,2,FALSE)))/24),0))</f>
        <v/>
      </c>
      <c r="L748" s="63">
        <f t="shared" si="22"/>
        <v>0</v>
      </c>
      <c r="M748" s="63" t="str">
        <f>IF(IFERROR(IF(C748=C746,0,IF(E748=E747,0,IF(C748=$R$2,HLOOKUP($R$2,Ingreso!$AW$10:$BC$260,VLOOKUP(A748,Ingreso!AL:AM,2,FALSE),FALSE)/24,""))),"")=0,"",IFERROR(IF(C748=C746,0,IF(E748=E747,0,IF(C748=$R$2,HLOOKUP($R$2,Ingreso!$AW$10:$BC$260,VLOOKUP(A748,Ingreso!AL:AM,2,FALSE),FALSE)/24,""))),""))</f>
        <v/>
      </c>
      <c r="N748" s="95" t="str">
        <f>IF(IFERROR(IF(C748=C746,0,IF(E748=E747,0,IF(C748=$R$3,HLOOKUP($R$3,Ingreso!$AW$10:$BC$260,VLOOKUP(A748,Ingreso!AL:AM,2,FALSE),FALSE)/24,""))),"")=0,"",IFERROR(IF(C748=C746,0,IF(E748=E747,0,IF(C748=$R$3,HLOOKUP($R$3,Ingreso!$AW$10:$BC$260,VLOOKUP(A748,Ingreso!AL:AM,2,FALSE),FALSE)/24,""))),""))</f>
        <v/>
      </c>
      <c r="O748" s="95" t="str">
        <f>IF(IFERROR(IF(C748=C746,0,IF(E748=E747,0,IF(C748=$R$4,HLOOKUP($R$4,Ingreso!$AW$10:$BC$260,VLOOKUP(A748,Ingreso!AL:AM,2,FALSE),FALSE)/24,""))),"")=0,"",IFERROR(IF(C748=C746,0,IF(E748=E747,0,IF(C748=$R$4,HLOOKUP($R$4,Ingreso!$AW$10:$BC$260,VLOOKUP(A748,Ingreso!AL:AM,2,FALSE),FALSE)/24,""))),""))</f>
        <v/>
      </c>
      <c r="P748" s="90"/>
      <c r="V748"/>
      <c r="W748"/>
      <c r="X748"/>
      <c r="Y748"/>
      <c r="Z748"/>
      <c r="AA748"/>
      <c r="AB748"/>
      <c r="AC748"/>
      <c r="AD748"/>
    </row>
    <row r="749" spans="1:30">
      <c r="A749" s="65" t="str">
        <f>IFERROR(VLOOKUP('Informe Kelly'!A742,Base!A:B,2,FALSE),"")</f>
        <v>14.005.587-5</v>
      </c>
      <c r="B749" s="65" t="str">
        <f>IFERROR(VLOOKUP('Informe Kelly'!A742,Base!A:G,7,FALSE),"")</f>
        <v>RODRIGUEZ TORO GERARDO ALBERTO</v>
      </c>
      <c r="C749" s="69" t="str">
        <f>IF(G749=$C$4,IF('Informe Kelly'!H742='Control informe Kelly'!$A$2,TEXT(((LEFT('Informe Kelly'!E742,2)*1)+1),"dd")&amp;"."&amp;MID('Informe Kelly'!E742,4,2)&amp;"."&amp;RIGHT('Informe Kelly'!E742,4),'Informe Kelly'!E742),'Informe Kelly'!E742)</f>
        <v>12.04.2011</v>
      </c>
      <c r="D749" s="69" t="str">
        <f>IF('Informe Kelly'!E742="","",'Informe Kelly'!E742)</f>
        <v>12.04.2011</v>
      </c>
      <c r="E749" s="72">
        <f t="shared" si="23"/>
        <v>379</v>
      </c>
      <c r="F749" s="72" t="str">
        <f>IFERROR(HLOOKUP(C749,Ingreso!$Q$8:$AD$9,2,FALSE),"v")</f>
        <v>Martes</v>
      </c>
      <c r="G749" s="65" t="str">
        <f>IFERROR(VLOOKUP(A749,Ingreso!K:P,6,FALSE),"no esta ingresado")</f>
        <v>no esta ingresado</v>
      </c>
      <c r="H749" s="65" t="str">
        <f>IFERROR(IF('Informe Kelly'!H742=$A$2,'Informe Kelly'!F742,""),0)</f>
        <v/>
      </c>
      <c r="I749" s="65">
        <f>IFERROR(IF('Informe Kelly'!H742=$A$3,'Informe Kelly'!F742,""),0)</f>
        <v>0.62797453703703698</v>
      </c>
      <c r="J749" s="65" t="str">
        <f>IF(IFERROR(IF(E749=E748,0,(HLOOKUP(D749,Ingreso!$AN$10:$AT$260,VLOOKUP(A749,Ingreso!$AL$11:$AM$260,2,FALSE)))/24),0)=0,"",IFERROR(IF(E749=E748,0,(HLOOKUP(D749,Ingreso!$AN$10:$AT$260,VLOOKUP(A749,Ingreso!$AL$11:$AM$260,2,FALSE)))/24),0))</f>
        <v/>
      </c>
      <c r="K749" s="65" t="str">
        <f>IF(IFERROR(IF(E749=E748,0,(HLOOKUP(C749,Ingreso!$AW$10:$BC$260,VLOOKUP(A749,Ingreso!$AL$11:$AM$260,2,FALSE)))/24),0)=0,"",IFERROR(IF(E749=E748,0,(HLOOKUP(C749,Ingreso!$AW$10:$BC$260,VLOOKUP(A749,Ingreso!$AL$11:$AM$260,2,FALSE)))/24),0))</f>
        <v/>
      </c>
      <c r="L749" s="63" t="str">
        <f t="shared" si="22"/>
        <v/>
      </c>
      <c r="M749" s="63" t="str">
        <f>IF(IFERROR(IF(C749=C747,0,IF(E749=E748,0,IF(C749=$R$2,HLOOKUP($R$2,Ingreso!$AW$10:$BC$260,VLOOKUP(A749,Ingreso!AL:AM,2,FALSE),FALSE)/24,""))),"")=0,"",IFERROR(IF(C749=C747,0,IF(E749=E748,0,IF(C749=$R$2,HLOOKUP($R$2,Ingreso!$AW$10:$BC$260,VLOOKUP(A749,Ingreso!AL:AM,2,FALSE),FALSE)/24,""))),""))</f>
        <v/>
      </c>
      <c r="N749" s="95" t="str">
        <f>IF(IFERROR(IF(C749=C747,0,IF(E749=E748,0,IF(C749=$R$3,HLOOKUP($R$3,Ingreso!$AW$10:$BC$260,VLOOKUP(A749,Ingreso!AL:AM,2,FALSE),FALSE)/24,""))),"")=0,"",IFERROR(IF(C749=C747,0,IF(E749=E748,0,IF(C749=$R$3,HLOOKUP($R$3,Ingreso!$AW$10:$BC$260,VLOOKUP(A749,Ingreso!AL:AM,2,FALSE),FALSE)/24,""))),""))</f>
        <v/>
      </c>
      <c r="O749" s="95" t="str">
        <f>IF(IFERROR(IF(C749=C747,0,IF(E749=E748,0,IF(C749=$R$4,HLOOKUP($R$4,Ingreso!$AW$10:$BC$260,VLOOKUP(A749,Ingreso!AL:AM,2,FALSE),FALSE)/24,""))),"")=0,"",IFERROR(IF(C749=C747,0,IF(E749=E748,0,IF(C749=$R$4,HLOOKUP($R$4,Ingreso!$AW$10:$BC$260,VLOOKUP(A749,Ingreso!AL:AM,2,FALSE),FALSE)/24,""))),""))</f>
        <v/>
      </c>
      <c r="P749" s="90"/>
      <c r="V749"/>
      <c r="W749"/>
      <c r="X749"/>
      <c r="Y749"/>
      <c r="Z749"/>
      <c r="AA749"/>
      <c r="AB749"/>
      <c r="AC749"/>
      <c r="AD749"/>
    </row>
    <row r="750" spans="1:30">
      <c r="A750" s="65" t="str">
        <f>IFERROR(VLOOKUP('Informe Kelly'!A743,Base!A:B,2,FALSE),"")</f>
        <v>14.005.587-5</v>
      </c>
      <c r="B750" s="65" t="str">
        <f>IFERROR(VLOOKUP('Informe Kelly'!A743,Base!A:G,7,FALSE),"")</f>
        <v>RODRIGUEZ TORO GERARDO ALBERTO</v>
      </c>
      <c r="C750" s="69" t="str">
        <f>IF(G750=$C$4,IF('Informe Kelly'!H743='Control informe Kelly'!$A$2,TEXT(((LEFT('Informe Kelly'!E743,2)*1)+1),"dd")&amp;"."&amp;MID('Informe Kelly'!E743,4,2)&amp;"."&amp;RIGHT('Informe Kelly'!E743,4),'Informe Kelly'!E743),'Informe Kelly'!E743)</f>
        <v>12.04.2011</v>
      </c>
      <c r="D750" s="69" t="str">
        <f>IF('Informe Kelly'!E743="","",'Informe Kelly'!E743)</f>
        <v>12.04.2011</v>
      </c>
      <c r="E750" s="72">
        <f t="shared" si="23"/>
        <v>379</v>
      </c>
      <c r="F750" s="72" t="str">
        <f>IFERROR(HLOOKUP(C750,Ingreso!$Q$8:$AD$9,2,FALSE),"v")</f>
        <v>Martes</v>
      </c>
      <c r="G750" s="65" t="str">
        <f>IFERROR(VLOOKUP(A750,Ingreso!K:P,6,FALSE),"no esta ingresado")</f>
        <v>no esta ingresado</v>
      </c>
      <c r="H750" s="65">
        <f>IFERROR(IF('Informe Kelly'!H743=$A$2,'Informe Kelly'!F743,""),0)</f>
        <v>0.30820601851851853</v>
      </c>
      <c r="I750" s="65" t="str">
        <f>IFERROR(IF('Informe Kelly'!H743=$A$3,'Informe Kelly'!F743,""),0)</f>
        <v/>
      </c>
      <c r="J750" s="65" t="str">
        <f>IF(IFERROR(IF(E750=E749,0,(HLOOKUP(D750,Ingreso!$AN$10:$AT$260,VLOOKUP(A750,Ingreso!$AL$11:$AM$260,2,FALSE)))/24),0)=0,"",IFERROR(IF(E750=E749,0,(HLOOKUP(D750,Ingreso!$AN$10:$AT$260,VLOOKUP(A750,Ingreso!$AL$11:$AM$260,2,FALSE)))/24),0))</f>
        <v/>
      </c>
      <c r="K750" s="65" t="str">
        <f>IF(IFERROR(IF(E750=E749,0,(HLOOKUP(C750,Ingreso!$AW$10:$BC$260,VLOOKUP(A750,Ingreso!$AL$11:$AM$260,2,FALSE)))/24),0)=0,"",IFERROR(IF(E750=E749,0,(HLOOKUP(C750,Ingreso!$AW$10:$BC$260,VLOOKUP(A750,Ingreso!$AL$11:$AM$260,2,FALSE)))/24),0))</f>
        <v/>
      </c>
      <c r="L750" s="63">
        <f t="shared" si="22"/>
        <v>0</v>
      </c>
      <c r="M750" s="63" t="str">
        <f>IF(IFERROR(IF(C750=C748,0,IF(E750=E749,0,IF(C750=$R$2,HLOOKUP($R$2,Ingreso!$AW$10:$BC$260,VLOOKUP(A750,Ingreso!AL:AM,2,FALSE),FALSE)/24,""))),"")=0,"",IFERROR(IF(C750=C748,0,IF(E750=E749,0,IF(C750=$R$2,HLOOKUP($R$2,Ingreso!$AW$10:$BC$260,VLOOKUP(A750,Ingreso!AL:AM,2,FALSE),FALSE)/24,""))),""))</f>
        <v/>
      </c>
      <c r="N750" s="95" t="str">
        <f>IF(IFERROR(IF(C750=C748,0,IF(E750=E749,0,IF(C750=$R$3,HLOOKUP($R$3,Ingreso!$AW$10:$BC$260,VLOOKUP(A750,Ingreso!AL:AM,2,FALSE),FALSE)/24,""))),"")=0,"",IFERROR(IF(C750=C748,0,IF(E750=E749,0,IF(C750=$R$3,HLOOKUP($R$3,Ingreso!$AW$10:$BC$260,VLOOKUP(A750,Ingreso!AL:AM,2,FALSE),FALSE)/24,""))),""))</f>
        <v/>
      </c>
      <c r="O750" s="95" t="str">
        <f>IF(IFERROR(IF(C750=C748,0,IF(E750=E749,0,IF(C750=$R$4,HLOOKUP($R$4,Ingreso!$AW$10:$BC$260,VLOOKUP(A750,Ingreso!AL:AM,2,FALSE),FALSE)/24,""))),"")=0,"",IFERROR(IF(C750=C748,0,IF(E750=E749,0,IF(C750=$R$4,HLOOKUP($R$4,Ingreso!$AW$10:$BC$260,VLOOKUP(A750,Ingreso!AL:AM,2,FALSE),FALSE)/24,""))),""))</f>
        <v/>
      </c>
      <c r="P750" s="90"/>
      <c r="V750"/>
      <c r="W750"/>
      <c r="X750"/>
      <c r="Y750"/>
      <c r="Z750"/>
      <c r="AA750"/>
      <c r="AB750"/>
      <c r="AC750"/>
      <c r="AD750"/>
    </row>
    <row r="751" spans="1:30">
      <c r="A751" s="65" t="str">
        <f>IFERROR(VLOOKUP('Informe Kelly'!A744,Base!A:B,2,FALSE),"")</f>
        <v>14.005.587-5</v>
      </c>
      <c r="B751" s="65" t="str">
        <f>IFERROR(VLOOKUP('Informe Kelly'!A744,Base!A:G,7,FALSE),"")</f>
        <v>RODRIGUEZ TORO GERARDO ALBERTO</v>
      </c>
      <c r="C751" s="69" t="str">
        <f>IF(G751=$C$4,IF('Informe Kelly'!H744='Control informe Kelly'!$A$2,TEXT(((LEFT('Informe Kelly'!E744,2)*1)+1),"dd")&amp;"."&amp;MID('Informe Kelly'!E744,4,2)&amp;"."&amp;RIGHT('Informe Kelly'!E744,4),'Informe Kelly'!E744),'Informe Kelly'!E744)</f>
        <v>13.04.2011</v>
      </c>
      <c r="D751" s="69" t="str">
        <f>IF('Informe Kelly'!E744="","",'Informe Kelly'!E744)</f>
        <v>13.04.2011</v>
      </c>
      <c r="E751" s="72">
        <f t="shared" si="23"/>
        <v>380</v>
      </c>
      <c r="F751" s="72" t="str">
        <f>IFERROR(HLOOKUP(C751,Ingreso!$Q$8:$AD$9,2,FALSE),"v")</f>
        <v>Miércoles</v>
      </c>
      <c r="G751" s="65" t="str">
        <f>IFERROR(VLOOKUP(A751,Ingreso!K:P,6,FALSE),"no esta ingresado")</f>
        <v>no esta ingresado</v>
      </c>
      <c r="H751" s="65" t="str">
        <f>IFERROR(IF('Informe Kelly'!H744=$A$2,'Informe Kelly'!F744,""),0)</f>
        <v/>
      </c>
      <c r="I751" s="65">
        <f>IFERROR(IF('Informe Kelly'!H744=$A$3,'Informe Kelly'!F744,""),0)</f>
        <v>0.63289351851851849</v>
      </c>
      <c r="J751" s="65" t="str">
        <f>IF(IFERROR(IF(E751=E750,0,(HLOOKUP(D751,Ingreso!$AN$10:$AT$260,VLOOKUP(A751,Ingreso!$AL$11:$AM$260,2,FALSE)))/24),0)=0,"",IFERROR(IF(E751=E750,0,(HLOOKUP(D751,Ingreso!$AN$10:$AT$260,VLOOKUP(A751,Ingreso!$AL$11:$AM$260,2,FALSE)))/24),0))</f>
        <v/>
      </c>
      <c r="K751" s="65" t="str">
        <f>IF(IFERROR(IF(E751=E750,0,(HLOOKUP(C751,Ingreso!$AW$10:$BC$260,VLOOKUP(A751,Ingreso!$AL$11:$AM$260,2,FALSE)))/24),0)=0,"",IFERROR(IF(E751=E750,0,(HLOOKUP(C751,Ingreso!$AW$10:$BC$260,VLOOKUP(A751,Ingreso!$AL$11:$AM$260,2,FALSE)))/24),0))</f>
        <v/>
      </c>
      <c r="L751" s="63" t="str">
        <f t="shared" si="22"/>
        <v/>
      </c>
      <c r="M751" s="63" t="str">
        <f>IF(IFERROR(IF(C751=C749,0,IF(E751=E750,0,IF(C751=$R$2,HLOOKUP($R$2,Ingreso!$AW$10:$BC$260,VLOOKUP(A751,Ingreso!AL:AM,2,FALSE),FALSE)/24,""))),"")=0,"",IFERROR(IF(C751=C749,0,IF(E751=E750,0,IF(C751=$R$2,HLOOKUP($R$2,Ingreso!$AW$10:$BC$260,VLOOKUP(A751,Ingreso!AL:AM,2,FALSE),FALSE)/24,""))),""))</f>
        <v/>
      </c>
      <c r="N751" s="95" t="str">
        <f>IF(IFERROR(IF(C751=C749,0,IF(E751=E750,0,IF(C751=$R$3,HLOOKUP($R$3,Ingreso!$AW$10:$BC$260,VLOOKUP(A751,Ingreso!AL:AM,2,FALSE),FALSE)/24,""))),"")=0,"",IFERROR(IF(C751=C749,0,IF(E751=E750,0,IF(C751=$R$3,HLOOKUP($R$3,Ingreso!$AW$10:$BC$260,VLOOKUP(A751,Ingreso!AL:AM,2,FALSE),FALSE)/24,""))),""))</f>
        <v/>
      </c>
      <c r="O751" s="95" t="str">
        <f>IF(IFERROR(IF(C751=C749,0,IF(E751=E750,0,IF(C751=$R$4,HLOOKUP($R$4,Ingreso!$AW$10:$BC$260,VLOOKUP(A751,Ingreso!AL:AM,2,FALSE),FALSE)/24,""))),"")=0,"",IFERROR(IF(C751=C749,0,IF(E751=E750,0,IF(C751=$R$4,HLOOKUP($R$4,Ingreso!$AW$10:$BC$260,VLOOKUP(A751,Ingreso!AL:AM,2,FALSE),FALSE)/24,""))),""))</f>
        <v/>
      </c>
      <c r="P751" s="90"/>
      <c r="V751"/>
      <c r="W751"/>
      <c r="X751"/>
      <c r="Y751"/>
      <c r="Z751"/>
      <c r="AA751"/>
      <c r="AB751"/>
      <c r="AC751"/>
      <c r="AD751"/>
    </row>
    <row r="752" spans="1:30">
      <c r="A752" s="65" t="str">
        <f>IFERROR(VLOOKUP('Informe Kelly'!A745,Base!A:B,2,FALSE),"")</f>
        <v>14.005.587-5</v>
      </c>
      <c r="B752" s="65" t="str">
        <f>IFERROR(VLOOKUP('Informe Kelly'!A745,Base!A:G,7,FALSE),"")</f>
        <v>RODRIGUEZ TORO GERARDO ALBERTO</v>
      </c>
      <c r="C752" s="69" t="str">
        <f>IF(G752=$C$4,IF('Informe Kelly'!H745='Control informe Kelly'!$A$2,TEXT(((LEFT('Informe Kelly'!E745,2)*1)+1),"dd")&amp;"."&amp;MID('Informe Kelly'!E745,4,2)&amp;"."&amp;RIGHT('Informe Kelly'!E745,4),'Informe Kelly'!E745),'Informe Kelly'!E745)</f>
        <v>13.04.2011</v>
      </c>
      <c r="D752" s="69" t="str">
        <f>IF('Informe Kelly'!E745="","",'Informe Kelly'!E745)</f>
        <v>13.04.2011</v>
      </c>
      <c r="E752" s="72">
        <f t="shared" si="23"/>
        <v>380</v>
      </c>
      <c r="F752" s="72" t="str">
        <f>IFERROR(HLOOKUP(C752,Ingreso!$Q$8:$AD$9,2,FALSE),"v")</f>
        <v>Miércoles</v>
      </c>
      <c r="G752" s="65" t="str">
        <f>IFERROR(VLOOKUP(A752,Ingreso!K:P,6,FALSE),"no esta ingresado")</f>
        <v>no esta ingresado</v>
      </c>
      <c r="H752" s="65">
        <f>IFERROR(IF('Informe Kelly'!H745=$A$2,'Informe Kelly'!F745,""),0)</f>
        <v>0.30555555555555552</v>
      </c>
      <c r="I752" s="65" t="str">
        <f>IFERROR(IF('Informe Kelly'!H745=$A$3,'Informe Kelly'!F745,""),0)</f>
        <v/>
      </c>
      <c r="J752" s="65" t="str">
        <f>IF(IFERROR(IF(E752=E751,0,(HLOOKUP(D752,Ingreso!$AN$10:$AT$260,VLOOKUP(A752,Ingreso!$AL$11:$AM$260,2,FALSE)))/24),0)=0,"",IFERROR(IF(E752=E751,0,(HLOOKUP(D752,Ingreso!$AN$10:$AT$260,VLOOKUP(A752,Ingreso!$AL$11:$AM$260,2,FALSE)))/24),0))</f>
        <v/>
      </c>
      <c r="K752" s="65" t="str">
        <f>IF(IFERROR(IF(E752=E751,0,(HLOOKUP(C752,Ingreso!$AW$10:$BC$260,VLOOKUP(A752,Ingreso!$AL$11:$AM$260,2,FALSE)))/24),0)=0,"",IFERROR(IF(E752=E751,0,(HLOOKUP(C752,Ingreso!$AW$10:$BC$260,VLOOKUP(A752,Ingreso!$AL$11:$AM$260,2,FALSE)))/24),0))</f>
        <v/>
      </c>
      <c r="L752" s="63">
        <f t="shared" si="22"/>
        <v>0</v>
      </c>
      <c r="M752" s="63" t="str">
        <f>IF(IFERROR(IF(C752=C750,0,IF(E752=E751,0,IF(C752=$R$2,HLOOKUP($R$2,Ingreso!$AW$10:$BC$260,VLOOKUP(A752,Ingreso!AL:AM,2,FALSE),FALSE)/24,""))),"")=0,"",IFERROR(IF(C752=C750,0,IF(E752=E751,0,IF(C752=$R$2,HLOOKUP($R$2,Ingreso!$AW$10:$BC$260,VLOOKUP(A752,Ingreso!AL:AM,2,FALSE),FALSE)/24,""))),""))</f>
        <v/>
      </c>
      <c r="N752" s="95" t="str">
        <f>IF(IFERROR(IF(C752=C750,0,IF(E752=E751,0,IF(C752=$R$3,HLOOKUP($R$3,Ingreso!$AW$10:$BC$260,VLOOKUP(A752,Ingreso!AL:AM,2,FALSE),FALSE)/24,""))),"")=0,"",IFERROR(IF(C752=C750,0,IF(E752=E751,0,IF(C752=$R$3,HLOOKUP($R$3,Ingreso!$AW$10:$BC$260,VLOOKUP(A752,Ingreso!AL:AM,2,FALSE),FALSE)/24,""))),""))</f>
        <v/>
      </c>
      <c r="O752" s="95" t="str">
        <f>IF(IFERROR(IF(C752=C750,0,IF(E752=E751,0,IF(C752=$R$4,HLOOKUP($R$4,Ingreso!$AW$10:$BC$260,VLOOKUP(A752,Ingreso!AL:AM,2,FALSE),FALSE)/24,""))),"")=0,"",IFERROR(IF(C752=C750,0,IF(E752=E751,0,IF(C752=$R$4,HLOOKUP($R$4,Ingreso!$AW$10:$BC$260,VLOOKUP(A752,Ingreso!AL:AM,2,FALSE),FALSE)/24,""))),""))</f>
        <v/>
      </c>
      <c r="P752" s="90"/>
      <c r="V752"/>
      <c r="W752"/>
      <c r="X752"/>
      <c r="Y752"/>
      <c r="Z752"/>
      <c r="AA752"/>
      <c r="AB752"/>
      <c r="AC752"/>
      <c r="AD752"/>
    </row>
    <row r="753" spans="1:30">
      <c r="A753" s="65" t="str">
        <f>IFERROR(VLOOKUP('Informe Kelly'!A746,Base!A:B,2,FALSE),"")</f>
        <v>14.005.587-5</v>
      </c>
      <c r="B753" s="65" t="str">
        <f>IFERROR(VLOOKUP('Informe Kelly'!A746,Base!A:G,7,FALSE),"")</f>
        <v>RODRIGUEZ TORO GERARDO ALBERTO</v>
      </c>
      <c r="C753" s="69" t="str">
        <f>IF(G753=$C$4,IF('Informe Kelly'!H746='Control informe Kelly'!$A$2,TEXT(((LEFT('Informe Kelly'!E746,2)*1)+1),"dd")&amp;"."&amp;MID('Informe Kelly'!E746,4,2)&amp;"."&amp;RIGHT('Informe Kelly'!E746,4),'Informe Kelly'!E746),'Informe Kelly'!E746)</f>
        <v>14.04.2011</v>
      </c>
      <c r="D753" s="69" t="str">
        <f>IF('Informe Kelly'!E746="","",'Informe Kelly'!E746)</f>
        <v>14.04.2011</v>
      </c>
      <c r="E753" s="72">
        <f t="shared" si="23"/>
        <v>381</v>
      </c>
      <c r="F753" s="72" t="str">
        <f>IFERROR(HLOOKUP(C753,Ingreso!$Q$8:$AD$9,2,FALSE),"v")</f>
        <v>Jueves</v>
      </c>
      <c r="G753" s="65" t="str">
        <f>IFERROR(VLOOKUP(A753,Ingreso!K:P,6,FALSE),"no esta ingresado")</f>
        <v>no esta ingresado</v>
      </c>
      <c r="H753" s="65" t="str">
        <f>IFERROR(IF('Informe Kelly'!H746=$A$2,'Informe Kelly'!F746,""),0)</f>
        <v/>
      </c>
      <c r="I753" s="65">
        <f>IFERROR(IF('Informe Kelly'!H746=$A$3,'Informe Kelly'!F746,""),0)</f>
        <v>0.6312268518518519</v>
      </c>
      <c r="J753" s="65" t="str">
        <f>IF(IFERROR(IF(E753=E752,0,(HLOOKUP(D753,Ingreso!$AN$10:$AT$260,VLOOKUP(A753,Ingreso!$AL$11:$AM$260,2,FALSE)))/24),0)=0,"",IFERROR(IF(E753=E752,0,(HLOOKUP(D753,Ingreso!$AN$10:$AT$260,VLOOKUP(A753,Ingreso!$AL$11:$AM$260,2,FALSE)))/24),0))</f>
        <v/>
      </c>
      <c r="K753" s="65" t="str">
        <f>IF(IFERROR(IF(E753=E752,0,(HLOOKUP(C753,Ingreso!$AW$10:$BC$260,VLOOKUP(A753,Ingreso!$AL$11:$AM$260,2,FALSE)))/24),0)=0,"",IFERROR(IF(E753=E752,0,(HLOOKUP(C753,Ingreso!$AW$10:$BC$260,VLOOKUP(A753,Ingreso!$AL$11:$AM$260,2,FALSE)))/24),0))</f>
        <v/>
      </c>
      <c r="L753" s="63" t="str">
        <f t="shared" si="22"/>
        <v/>
      </c>
      <c r="M753" s="63" t="str">
        <f>IF(IFERROR(IF(C753=C751,0,IF(E753=E752,0,IF(C753=$R$2,HLOOKUP($R$2,Ingreso!$AW$10:$BC$260,VLOOKUP(A753,Ingreso!AL:AM,2,FALSE),FALSE)/24,""))),"")=0,"",IFERROR(IF(C753=C751,0,IF(E753=E752,0,IF(C753=$R$2,HLOOKUP($R$2,Ingreso!$AW$10:$BC$260,VLOOKUP(A753,Ingreso!AL:AM,2,FALSE),FALSE)/24,""))),""))</f>
        <v/>
      </c>
      <c r="N753" s="95" t="str">
        <f>IF(IFERROR(IF(C753=C751,0,IF(E753=E752,0,IF(C753=$R$3,HLOOKUP($R$3,Ingreso!$AW$10:$BC$260,VLOOKUP(A753,Ingreso!AL:AM,2,FALSE),FALSE)/24,""))),"")=0,"",IFERROR(IF(C753=C751,0,IF(E753=E752,0,IF(C753=$R$3,HLOOKUP($R$3,Ingreso!$AW$10:$BC$260,VLOOKUP(A753,Ingreso!AL:AM,2,FALSE),FALSE)/24,""))),""))</f>
        <v/>
      </c>
      <c r="O753" s="95" t="str">
        <f>IF(IFERROR(IF(C753=C751,0,IF(E753=E752,0,IF(C753=$R$4,HLOOKUP($R$4,Ingreso!$AW$10:$BC$260,VLOOKUP(A753,Ingreso!AL:AM,2,FALSE),FALSE)/24,""))),"")=0,"",IFERROR(IF(C753=C751,0,IF(E753=E752,0,IF(C753=$R$4,HLOOKUP($R$4,Ingreso!$AW$10:$BC$260,VLOOKUP(A753,Ingreso!AL:AM,2,FALSE),FALSE)/24,""))),""))</f>
        <v/>
      </c>
      <c r="P753" s="90"/>
      <c r="V753"/>
      <c r="W753"/>
      <c r="X753"/>
      <c r="Y753"/>
      <c r="Z753"/>
      <c r="AA753"/>
      <c r="AB753"/>
      <c r="AC753"/>
      <c r="AD753"/>
    </row>
    <row r="754" spans="1:30">
      <c r="A754" s="65" t="str">
        <f>IFERROR(VLOOKUP('Informe Kelly'!A747,Base!A:B,2,FALSE),"")</f>
        <v>14.005.587-5</v>
      </c>
      <c r="B754" s="65" t="str">
        <f>IFERROR(VLOOKUP('Informe Kelly'!A747,Base!A:G,7,FALSE),"")</f>
        <v>RODRIGUEZ TORO GERARDO ALBERTO</v>
      </c>
      <c r="C754" s="69" t="str">
        <f>IF(G754=$C$4,IF('Informe Kelly'!H747='Control informe Kelly'!$A$2,TEXT(((LEFT('Informe Kelly'!E747,2)*1)+1),"dd")&amp;"."&amp;MID('Informe Kelly'!E747,4,2)&amp;"."&amp;RIGHT('Informe Kelly'!E747,4),'Informe Kelly'!E747),'Informe Kelly'!E747)</f>
        <v>14.04.2011</v>
      </c>
      <c r="D754" s="69" t="str">
        <f>IF('Informe Kelly'!E747="","",'Informe Kelly'!E747)</f>
        <v>14.04.2011</v>
      </c>
      <c r="E754" s="72">
        <f t="shared" si="23"/>
        <v>381</v>
      </c>
      <c r="F754" s="72" t="str">
        <f>IFERROR(HLOOKUP(C754,Ingreso!$Q$8:$AD$9,2,FALSE),"v")</f>
        <v>Jueves</v>
      </c>
      <c r="G754" s="65" t="str">
        <f>IFERROR(VLOOKUP(A754,Ingreso!K:P,6,FALSE),"no esta ingresado")</f>
        <v>no esta ingresado</v>
      </c>
      <c r="H754" s="65">
        <f>IFERROR(IF('Informe Kelly'!H747=$A$2,'Informe Kelly'!F747,""),0)</f>
        <v>0.30920138888888887</v>
      </c>
      <c r="I754" s="65" t="str">
        <f>IFERROR(IF('Informe Kelly'!H747=$A$3,'Informe Kelly'!F747,""),0)</f>
        <v/>
      </c>
      <c r="J754" s="65" t="str">
        <f>IF(IFERROR(IF(E754=E753,0,(HLOOKUP(D754,Ingreso!$AN$10:$AT$260,VLOOKUP(A754,Ingreso!$AL$11:$AM$260,2,FALSE)))/24),0)=0,"",IFERROR(IF(E754=E753,0,(HLOOKUP(D754,Ingreso!$AN$10:$AT$260,VLOOKUP(A754,Ingreso!$AL$11:$AM$260,2,FALSE)))/24),0))</f>
        <v/>
      </c>
      <c r="K754" s="65" t="str">
        <f>IF(IFERROR(IF(E754=E753,0,(HLOOKUP(C754,Ingreso!$AW$10:$BC$260,VLOOKUP(A754,Ingreso!$AL$11:$AM$260,2,FALSE)))/24),0)=0,"",IFERROR(IF(E754=E753,0,(HLOOKUP(C754,Ingreso!$AW$10:$BC$260,VLOOKUP(A754,Ingreso!$AL$11:$AM$260,2,FALSE)))/24),0))</f>
        <v/>
      </c>
      <c r="L754" s="63">
        <f t="shared" si="22"/>
        <v>0</v>
      </c>
      <c r="M754" s="63" t="str">
        <f>IF(IFERROR(IF(C754=C752,0,IF(E754=E753,0,IF(C754=$R$2,HLOOKUP($R$2,Ingreso!$AW$10:$BC$260,VLOOKUP(A754,Ingreso!AL:AM,2,FALSE),FALSE)/24,""))),"")=0,"",IFERROR(IF(C754=C752,0,IF(E754=E753,0,IF(C754=$R$2,HLOOKUP($R$2,Ingreso!$AW$10:$BC$260,VLOOKUP(A754,Ingreso!AL:AM,2,FALSE),FALSE)/24,""))),""))</f>
        <v/>
      </c>
      <c r="N754" s="95" t="str">
        <f>IF(IFERROR(IF(C754=C752,0,IF(E754=E753,0,IF(C754=$R$3,HLOOKUP($R$3,Ingreso!$AW$10:$BC$260,VLOOKUP(A754,Ingreso!AL:AM,2,FALSE),FALSE)/24,""))),"")=0,"",IFERROR(IF(C754=C752,0,IF(E754=E753,0,IF(C754=$R$3,HLOOKUP($R$3,Ingreso!$AW$10:$BC$260,VLOOKUP(A754,Ingreso!AL:AM,2,FALSE),FALSE)/24,""))),""))</f>
        <v/>
      </c>
      <c r="O754" s="95" t="str">
        <f>IF(IFERROR(IF(C754=C752,0,IF(E754=E753,0,IF(C754=$R$4,HLOOKUP($R$4,Ingreso!$AW$10:$BC$260,VLOOKUP(A754,Ingreso!AL:AM,2,FALSE),FALSE)/24,""))),"")=0,"",IFERROR(IF(C754=C752,0,IF(E754=E753,0,IF(C754=$R$4,HLOOKUP($R$4,Ingreso!$AW$10:$BC$260,VLOOKUP(A754,Ingreso!AL:AM,2,FALSE),FALSE)/24,""))),""))</f>
        <v/>
      </c>
      <c r="P754" s="90"/>
      <c r="V754"/>
      <c r="W754"/>
      <c r="X754"/>
      <c r="Y754"/>
      <c r="Z754"/>
      <c r="AA754"/>
      <c r="AB754"/>
      <c r="AC754"/>
      <c r="AD754"/>
    </row>
    <row r="755" spans="1:30">
      <c r="A755" s="65" t="str">
        <f>IFERROR(VLOOKUP('Informe Kelly'!A748,Base!A:B,2,FALSE),"")</f>
        <v>14.005.587-5</v>
      </c>
      <c r="B755" s="65" t="str">
        <f>IFERROR(VLOOKUP('Informe Kelly'!A748,Base!A:G,7,FALSE),"")</f>
        <v>RODRIGUEZ TORO GERARDO ALBERTO</v>
      </c>
      <c r="C755" s="69" t="str">
        <f>IF(G755=$C$4,IF('Informe Kelly'!H748='Control informe Kelly'!$A$2,TEXT(((LEFT('Informe Kelly'!E748,2)*1)+1),"dd")&amp;"."&amp;MID('Informe Kelly'!E748,4,2)&amp;"."&amp;RIGHT('Informe Kelly'!E748,4),'Informe Kelly'!E748),'Informe Kelly'!E748)</f>
        <v>15.04.2011</v>
      </c>
      <c r="D755" s="69" t="str">
        <f>IF('Informe Kelly'!E748="","",'Informe Kelly'!E748)</f>
        <v>15.04.2011</v>
      </c>
      <c r="E755" s="72">
        <f t="shared" si="23"/>
        <v>382</v>
      </c>
      <c r="F755" s="72" t="str">
        <f>IFERROR(HLOOKUP(C755,Ingreso!$Q$8:$AD$9,2,FALSE),"v")</f>
        <v>Viernes</v>
      </c>
      <c r="G755" s="65" t="str">
        <f>IFERROR(VLOOKUP(A755,Ingreso!K:P,6,FALSE),"no esta ingresado")</f>
        <v>no esta ingresado</v>
      </c>
      <c r="H755" s="65">
        <f>IFERROR(IF('Informe Kelly'!H748=$A$2,'Informe Kelly'!F748,""),0)</f>
        <v>0.30851851851851853</v>
      </c>
      <c r="I755" s="65" t="str">
        <f>IFERROR(IF('Informe Kelly'!H748=$A$3,'Informe Kelly'!F748,""),0)</f>
        <v/>
      </c>
      <c r="J755" s="65" t="str">
        <f>IF(IFERROR(IF(E755=E754,0,(HLOOKUP(D755,Ingreso!$AN$10:$AT$260,VLOOKUP(A755,Ingreso!$AL$11:$AM$260,2,FALSE)))/24),0)=0,"",IFERROR(IF(E755=E754,0,(HLOOKUP(D755,Ingreso!$AN$10:$AT$260,VLOOKUP(A755,Ingreso!$AL$11:$AM$260,2,FALSE)))/24),0))</f>
        <v/>
      </c>
      <c r="K755" s="65" t="str">
        <f>IF(IFERROR(IF(E755=E754,0,(HLOOKUP(C755,Ingreso!$AW$10:$BC$260,VLOOKUP(A755,Ingreso!$AL$11:$AM$260,2,FALSE)))/24),0)=0,"",IFERROR(IF(E755=E754,0,(HLOOKUP(C755,Ingreso!$AW$10:$BC$260,VLOOKUP(A755,Ingreso!$AL$11:$AM$260,2,FALSE)))/24),0))</f>
        <v/>
      </c>
      <c r="L755" s="63" t="str">
        <f t="shared" si="22"/>
        <v/>
      </c>
      <c r="M755" s="63" t="str">
        <f>IF(IFERROR(IF(C755=C753,0,IF(E755=E754,0,IF(C755=$R$2,HLOOKUP($R$2,Ingreso!$AW$10:$BC$260,VLOOKUP(A755,Ingreso!AL:AM,2,FALSE),FALSE)/24,""))),"")=0,"",IFERROR(IF(C755=C753,0,IF(E755=E754,0,IF(C755=$R$2,HLOOKUP($R$2,Ingreso!$AW$10:$BC$260,VLOOKUP(A755,Ingreso!AL:AM,2,FALSE),FALSE)/24,""))),""))</f>
        <v/>
      </c>
      <c r="N755" s="95" t="str">
        <f>IF(IFERROR(IF(C755=C753,0,IF(E755=E754,0,IF(C755=$R$3,HLOOKUP($R$3,Ingreso!$AW$10:$BC$260,VLOOKUP(A755,Ingreso!AL:AM,2,FALSE),FALSE)/24,""))),"")=0,"",IFERROR(IF(C755=C753,0,IF(E755=E754,0,IF(C755=$R$3,HLOOKUP($R$3,Ingreso!$AW$10:$BC$260,VLOOKUP(A755,Ingreso!AL:AM,2,FALSE),FALSE)/24,""))),""))</f>
        <v/>
      </c>
      <c r="O755" s="95" t="str">
        <f>IF(IFERROR(IF(C755=C753,0,IF(E755=E754,0,IF(C755=$R$4,HLOOKUP($R$4,Ingreso!$AW$10:$BC$260,VLOOKUP(A755,Ingreso!AL:AM,2,FALSE),FALSE)/24,""))),"")=0,"",IFERROR(IF(C755=C753,0,IF(E755=E754,0,IF(C755=$R$4,HLOOKUP($R$4,Ingreso!$AW$10:$BC$260,VLOOKUP(A755,Ingreso!AL:AM,2,FALSE),FALSE)/24,""))),""))</f>
        <v/>
      </c>
      <c r="P755" s="90"/>
      <c r="V755"/>
      <c r="W755"/>
      <c r="X755"/>
      <c r="Y755"/>
      <c r="Z755"/>
      <c r="AA755"/>
      <c r="AB755"/>
      <c r="AC755"/>
      <c r="AD755"/>
    </row>
    <row r="756" spans="1:30">
      <c r="A756" s="65" t="str">
        <f>IFERROR(VLOOKUP('Informe Kelly'!A749,Base!A:B,2,FALSE),"")</f>
        <v>14.005.587-5</v>
      </c>
      <c r="B756" s="65" t="str">
        <f>IFERROR(VLOOKUP('Informe Kelly'!A749,Base!A:G,7,FALSE),"")</f>
        <v>RODRIGUEZ TORO GERARDO ALBERTO</v>
      </c>
      <c r="C756" s="69" t="str">
        <f>IF(G756=$C$4,IF('Informe Kelly'!H749='Control informe Kelly'!$A$2,TEXT(((LEFT('Informe Kelly'!E749,2)*1)+1),"dd")&amp;"."&amp;MID('Informe Kelly'!E749,4,2)&amp;"."&amp;RIGHT('Informe Kelly'!E749,4),'Informe Kelly'!E749),'Informe Kelly'!E749)</f>
        <v>16.04.2011</v>
      </c>
      <c r="D756" s="69" t="str">
        <f>IF('Informe Kelly'!E749="","",'Informe Kelly'!E749)</f>
        <v>16.04.2011</v>
      </c>
      <c r="E756" s="72">
        <f t="shared" si="23"/>
        <v>383</v>
      </c>
      <c r="F756" s="72" t="str">
        <f>IFERROR(HLOOKUP(C756,Ingreso!$Q$8:$AD$9,2,FALSE),"v")</f>
        <v>Sábado</v>
      </c>
      <c r="G756" s="65" t="str">
        <f>IFERROR(VLOOKUP(A756,Ingreso!K:P,6,FALSE),"no esta ingresado")</f>
        <v>no esta ingresado</v>
      </c>
      <c r="H756" s="65" t="str">
        <f>IFERROR(IF('Informe Kelly'!H749=$A$2,'Informe Kelly'!F749,""),0)</f>
        <v/>
      </c>
      <c r="I756" s="65">
        <f>IFERROR(IF('Informe Kelly'!H749=$A$3,'Informe Kelly'!F749,""),0)</f>
        <v>0.62903935185185189</v>
      </c>
      <c r="J756" s="65" t="str">
        <f>IF(IFERROR(IF(E756=E755,0,(HLOOKUP(D756,Ingreso!$AN$10:$AT$260,VLOOKUP(A756,Ingreso!$AL$11:$AM$260,2,FALSE)))/24),0)=0,"",IFERROR(IF(E756=E755,0,(HLOOKUP(D756,Ingreso!$AN$10:$AT$260,VLOOKUP(A756,Ingreso!$AL$11:$AM$260,2,FALSE)))/24),0))</f>
        <v/>
      </c>
      <c r="K756" s="65" t="str">
        <f>IF(IFERROR(IF(E756=E755,0,(HLOOKUP(C756,Ingreso!$AW$10:$BC$260,VLOOKUP(A756,Ingreso!$AL$11:$AM$260,2,FALSE)))/24),0)=0,"",IFERROR(IF(E756=E755,0,(HLOOKUP(C756,Ingreso!$AW$10:$BC$260,VLOOKUP(A756,Ingreso!$AL$11:$AM$260,2,FALSE)))/24),0))</f>
        <v/>
      </c>
      <c r="L756" s="63" t="str">
        <f t="shared" si="22"/>
        <v/>
      </c>
      <c r="M756" s="63" t="str">
        <f>IF(IFERROR(IF(C756=C754,0,IF(E756=E755,0,IF(C756=$R$2,HLOOKUP($R$2,Ingreso!$AW$10:$BC$260,VLOOKUP(A756,Ingreso!AL:AM,2,FALSE),FALSE)/24,""))),"")=0,"",IFERROR(IF(C756=C754,0,IF(E756=E755,0,IF(C756=$R$2,HLOOKUP($R$2,Ingreso!$AW$10:$BC$260,VLOOKUP(A756,Ingreso!AL:AM,2,FALSE),FALSE)/24,""))),""))</f>
        <v/>
      </c>
      <c r="N756" s="95" t="str">
        <f>IF(IFERROR(IF(C756=C754,0,IF(E756=E755,0,IF(C756=$R$3,HLOOKUP($R$3,Ingreso!$AW$10:$BC$260,VLOOKUP(A756,Ingreso!AL:AM,2,FALSE),FALSE)/24,""))),"")=0,"",IFERROR(IF(C756=C754,0,IF(E756=E755,0,IF(C756=$R$3,HLOOKUP($R$3,Ingreso!$AW$10:$BC$260,VLOOKUP(A756,Ingreso!AL:AM,2,FALSE),FALSE)/24,""))),""))</f>
        <v/>
      </c>
      <c r="O756" s="95" t="str">
        <f>IF(IFERROR(IF(C756=C754,0,IF(E756=E755,0,IF(C756=$R$4,HLOOKUP($R$4,Ingreso!$AW$10:$BC$260,VLOOKUP(A756,Ingreso!AL:AM,2,FALSE),FALSE)/24,""))),"")=0,"",IFERROR(IF(C756=C754,0,IF(E756=E755,0,IF(C756=$R$4,HLOOKUP($R$4,Ingreso!$AW$10:$BC$260,VLOOKUP(A756,Ingreso!AL:AM,2,FALSE),FALSE)/24,""))),""))</f>
        <v/>
      </c>
      <c r="P756" s="90"/>
      <c r="V756"/>
      <c r="W756"/>
      <c r="X756"/>
      <c r="Y756"/>
      <c r="Z756"/>
      <c r="AA756"/>
      <c r="AB756"/>
      <c r="AC756"/>
      <c r="AD756"/>
    </row>
    <row r="757" spans="1:30">
      <c r="A757" s="65" t="str">
        <f>IFERROR(VLOOKUP('Informe Kelly'!A750,Base!A:B,2,FALSE),"")</f>
        <v>14.005.587-5</v>
      </c>
      <c r="B757" s="65" t="str">
        <f>IFERROR(VLOOKUP('Informe Kelly'!A750,Base!A:G,7,FALSE),"")</f>
        <v>RODRIGUEZ TORO GERARDO ALBERTO</v>
      </c>
      <c r="C757" s="69" t="str">
        <f>IF(G757=$C$4,IF('Informe Kelly'!H750='Control informe Kelly'!$A$2,TEXT(((LEFT('Informe Kelly'!E750,2)*1)+1),"dd")&amp;"."&amp;MID('Informe Kelly'!E750,4,2)&amp;"."&amp;RIGHT('Informe Kelly'!E750,4),'Informe Kelly'!E750),'Informe Kelly'!E750)</f>
        <v>16.04.2011</v>
      </c>
      <c r="D757" s="69" t="str">
        <f>IF('Informe Kelly'!E750="","",'Informe Kelly'!E750)</f>
        <v>16.04.2011</v>
      </c>
      <c r="E757" s="72">
        <f t="shared" si="23"/>
        <v>383</v>
      </c>
      <c r="F757" s="72" t="str">
        <f>IFERROR(HLOOKUP(C757,Ingreso!$Q$8:$AD$9,2,FALSE),"v")</f>
        <v>Sábado</v>
      </c>
      <c r="G757" s="65" t="str">
        <f>IFERROR(VLOOKUP(A757,Ingreso!K:P,6,FALSE),"no esta ingresado")</f>
        <v>no esta ingresado</v>
      </c>
      <c r="H757" s="65">
        <f>IFERROR(IF('Informe Kelly'!H750=$A$2,'Informe Kelly'!F750,""),0)</f>
        <v>0.30900462962962966</v>
      </c>
      <c r="I757" s="65" t="str">
        <f>IFERROR(IF('Informe Kelly'!H750=$A$3,'Informe Kelly'!F750,""),0)</f>
        <v/>
      </c>
      <c r="J757" s="65" t="str">
        <f>IF(IFERROR(IF(E757=E756,0,(HLOOKUP(D757,Ingreso!$AN$10:$AT$260,VLOOKUP(A757,Ingreso!$AL$11:$AM$260,2,FALSE)))/24),0)=0,"",IFERROR(IF(E757=E756,0,(HLOOKUP(D757,Ingreso!$AN$10:$AT$260,VLOOKUP(A757,Ingreso!$AL$11:$AM$260,2,FALSE)))/24),0))</f>
        <v/>
      </c>
      <c r="K757" s="65" t="str">
        <f>IF(IFERROR(IF(E757=E756,0,(HLOOKUP(C757,Ingreso!$AW$10:$BC$260,VLOOKUP(A757,Ingreso!$AL$11:$AM$260,2,FALSE)))/24),0)=0,"",IFERROR(IF(E757=E756,0,(HLOOKUP(C757,Ingreso!$AW$10:$BC$260,VLOOKUP(A757,Ingreso!$AL$11:$AM$260,2,FALSE)))/24),0))</f>
        <v/>
      </c>
      <c r="L757" s="63">
        <f t="shared" si="22"/>
        <v>0</v>
      </c>
      <c r="M757" s="63" t="str">
        <f>IF(IFERROR(IF(C757=C755,0,IF(E757=E756,0,IF(C757=$R$2,HLOOKUP($R$2,Ingreso!$AW$10:$BC$260,VLOOKUP(A757,Ingreso!AL:AM,2,FALSE),FALSE)/24,""))),"")=0,"",IFERROR(IF(C757=C755,0,IF(E757=E756,0,IF(C757=$R$2,HLOOKUP($R$2,Ingreso!$AW$10:$BC$260,VLOOKUP(A757,Ingreso!AL:AM,2,FALSE),FALSE)/24,""))),""))</f>
        <v/>
      </c>
      <c r="N757" s="95" t="str">
        <f>IF(IFERROR(IF(C757=C755,0,IF(E757=E756,0,IF(C757=$R$3,HLOOKUP($R$3,Ingreso!$AW$10:$BC$260,VLOOKUP(A757,Ingreso!AL:AM,2,FALSE),FALSE)/24,""))),"")=0,"",IFERROR(IF(C757=C755,0,IF(E757=E756,0,IF(C757=$R$3,HLOOKUP($R$3,Ingreso!$AW$10:$BC$260,VLOOKUP(A757,Ingreso!AL:AM,2,FALSE),FALSE)/24,""))),""))</f>
        <v/>
      </c>
      <c r="O757" s="95" t="str">
        <f>IF(IFERROR(IF(C757=C755,0,IF(E757=E756,0,IF(C757=$R$4,HLOOKUP($R$4,Ingreso!$AW$10:$BC$260,VLOOKUP(A757,Ingreso!AL:AM,2,FALSE),FALSE)/24,""))),"")=0,"",IFERROR(IF(C757=C755,0,IF(E757=E756,0,IF(C757=$R$4,HLOOKUP($R$4,Ingreso!$AW$10:$BC$260,VLOOKUP(A757,Ingreso!AL:AM,2,FALSE),FALSE)/24,""))),""))</f>
        <v/>
      </c>
      <c r="P757" s="90"/>
      <c r="V757"/>
      <c r="W757"/>
      <c r="X757"/>
      <c r="Y757"/>
      <c r="Z757"/>
      <c r="AA757"/>
      <c r="AB757"/>
      <c r="AC757"/>
      <c r="AD757"/>
    </row>
    <row r="758" spans="1:30">
      <c r="A758" s="65" t="str">
        <f>IFERROR(VLOOKUP('Informe Kelly'!A751,Base!A:B,2,FALSE),"")</f>
        <v>14.017.495-5</v>
      </c>
      <c r="B758" s="65" t="str">
        <f>IFERROR(VLOOKUP('Informe Kelly'!A751,Base!A:G,7,FALSE),"")</f>
        <v>OYARCE DIAZ CARLOS EUGENIO</v>
      </c>
      <c r="C758" s="69" t="str">
        <f>IF(G758=$C$4,IF('Informe Kelly'!H751='Control informe Kelly'!$A$2,TEXT(((LEFT('Informe Kelly'!E751,2)*1)+1),"dd")&amp;"."&amp;MID('Informe Kelly'!E751,4,2)&amp;"."&amp;RIGHT('Informe Kelly'!E751,4),'Informe Kelly'!E751),'Informe Kelly'!E751)</f>
        <v>11.04.2011</v>
      </c>
      <c r="D758" s="69" t="str">
        <f>IF('Informe Kelly'!E751="","",'Informe Kelly'!E751)</f>
        <v>11.04.2011</v>
      </c>
      <c r="E758" s="72">
        <f t="shared" si="23"/>
        <v>384</v>
      </c>
      <c r="F758" s="72" t="str">
        <f>IFERROR(HLOOKUP(C758,Ingreso!$Q$8:$AD$9,2,FALSE),"v")</f>
        <v>Lunes</v>
      </c>
      <c r="G758" s="65" t="str">
        <f>IFERROR(VLOOKUP(A758,Ingreso!K:P,6,FALSE),"no esta ingresado")</f>
        <v>Turno A</v>
      </c>
      <c r="H758" s="65" t="str">
        <f>IFERROR(IF('Informe Kelly'!H751=$A$2,'Informe Kelly'!F751,""),0)</f>
        <v/>
      </c>
      <c r="I758" s="65">
        <f>IFERROR(IF('Informe Kelly'!H751=$A$3,'Informe Kelly'!F751,""),0)</f>
        <v>0.63633101851851859</v>
      </c>
      <c r="J758" s="65" t="str">
        <f>IF(IFERROR(IF(E758=E757,0,(HLOOKUP(D758,Ingreso!$AN$10:$AT$260,VLOOKUP(A758,Ingreso!$AL$11:$AM$260,2,FALSE)))/24),0)=0,"",IFERROR(IF(E758=E757,0,(HLOOKUP(D758,Ingreso!$AN$10:$AT$260,VLOOKUP(A758,Ingreso!$AL$11:$AM$260,2,FALSE)))/24),0))</f>
        <v/>
      </c>
      <c r="K758" s="65" t="str">
        <f>IF(IFERROR(IF(E758=E757,0,(HLOOKUP(C758,Ingreso!$AW$10:$BC$260,VLOOKUP(A758,Ingreso!$AL$11:$AM$260,2,FALSE)))/24),0)=0,"",IFERROR(IF(E758=E757,0,(HLOOKUP(C758,Ingreso!$AW$10:$BC$260,VLOOKUP(A758,Ingreso!$AL$11:$AM$260,2,FALSE)))/24),0))</f>
        <v/>
      </c>
      <c r="L758" s="63">
        <f t="shared" si="22"/>
        <v>0.3125</v>
      </c>
      <c r="M758" s="63" t="str">
        <f>IF(IFERROR(IF(C758=C756,0,IF(E758=E757,0,IF(C758=$R$2,HLOOKUP($R$2,Ingreso!$AW$10:$BC$260,VLOOKUP(A758,Ingreso!AL:AM,2,FALSE),FALSE)/24,""))),"")=0,"",IFERROR(IF(C758=C756,0,IF(E758=E757,0,IF(C758=$R$2,HLOOKUP($R$2,Ingreso!$AW$10:$BC$260,VLOOKUP(A758,Ingreso!AL:AM,2,FALSE),FALSE)/24,""))),""))</f>
        <v/>
      </c>
      <c r="N758" s="95" t="str">
        <f>IF(IFERROR(IF(C758=C756,0,IF(E758=E757,0,IF(C758=$R$3,HLOOKUP($R$3,Ingreso!$AW$10:$BC$260,VLOOKUP(A758,Ingreso!AL:AM,2,FALSE),FALSE)/24,""))),"")=0,"",IFERROR(IF(C758=C756,0,IF(E758=E757,0,IF(C758=$R$3,HLOOKUP($R$3,Ingreso!$AW$10:$BC$260,VLOOKUP(A758,Ingreso!AL:AM,2,FALSE),FALSE)/24,""))),""))</f>
        <v/>
      </c>
      <c r="O758" s="95" t="str">
        <f>IF(IFERROR(IF(C758=C756,0,IF(E758=E757,0,IF(C758=$R$4,HLOOKUP($R$4,Ingreso!$AW$10:$BC$260,VLOOKUP(A758,Ingreso!AL:AM,2,FALSE),FALSE)/24,""))),"")=0,"",IFERROR(IF(C758=C756,0,IF(E758=E757,0,IF(C758=$R$4,HLOOKUP($R$4,Ingreso!$AW$10:$BC$260,VLOOKUP(A758,Ingreso!AL:AM,2,FALSE),FALSE)/24,""))),""))</f>
        <v/>
      </c>
      <c r="P758" s="90"/>
      <c r="V758"/>
      <c r="W758"/>
      <c r="X758"/>
      <c r="Y758"/>
      <c r="Z758"/>
      <c r="AA758"/>
      <c r="AB758"/>
      <c r="AC758"/>
      <c r="AD758"/>
    </row>
    <row r="759" spans="1:30">
      <c r="A759" s="65" t="str">
        <f>IFERROR(VLOOKUP('Informe Kelly'!A752,Base!A:B,2,FALSE),"")</f>
        <v>14.017.495-5</v>
      </c>
      <c r="B759" s="65" t="str">
        <f>IFERROR(VLOOKUP('Informe Kelly'!A752,Base!A:G,7,FALSE),"")</f>
        <v>OYARCE DIAZ CARLOS EUGENIO</v>
      </c>
      <c r="C759" s="69" t="str">
        <f>IF(G759=$C$4,IF('Informe Kelly'!H752='Control informe Kelly'!$A$2,TEXT(((LEFT('Informe Kelly'!E752,2)*1)+1),"dd")&amp;"."&amp;MID('Informe Kelly'!E752,4,2)&amp;"."&amp;RIGHT('Informe Kelly'!E752,4),'Informe Kelly'!E752),'Informe Kelly'!E752)</f>
        <v>11.04.2011</v>
      </c>
      <c r="D759" s="69" t="str">
        <f>IF('Informe Kelly'!E752="","",'Informe Kelly'!E752)</f>
        <v>11.04.2011</v>
      </c>
      <c r="E759" s="72">
        <f t="shared" si="23"/>
        <v>384</v>
      </c>
      <c r="F759" s="72" t="str">
        <f>IFERROR(HLOOKUP(C759,Ingreso!$Q$8:$AD$9,2,FALSE),"v")</f>
        <v>Lunes</v>
      </c>
      <c r="G759" s="65" t="str">
        <f>IFERROR(VLOOKUP(A759,Ingreso!K:P,6,FALSE),"no esta ingresado")</f>
        <v>Turno A</v>
      </c>
      <c r="H759" s="65">
        <f>IFERROR(IF('Informe Kelly'!H752=$A$2,'Informe Kelly'!F752,""),0)</f>
        <v>0.3122685185185185</v>
      </c>
      <c r="I759" s="65" t="str">
        <f>IFERROR(IF('Informe Kelly'!H752=$A$3,'Informe Kelly'!F752,""),0)</f>
        <v/>
      </c>
      <c r="J759" s="65" t="str">
        <f>IF(IFERROR(IF(E759=E758,0,(HLOOKUP(D759,Ingreso!$AN$10:$AT$260,VLOOKUP(A759,Ingreso!$AL$11:$AM$260,2,FALSE)))/24),0)=0,"",IFERROR(IF(E759=E758,0,(HLOOKUP(D759,Ingreso!$AN$10:$AT$260,VLOOKUP(A759,Ingreso!$AL$11:$AM$260,2,FALSE)))/24),0))</f>
        <v/>
      </c>
      <c r="K759" s="65" t="str">
        <f>IF(IFERROR(IF(E759=E758,0,(HLOOKUP(C759,Ingreso!$AW$10:$BC$260,VLOOKUP(A759,Ingreso!$AL$11:$AM$260,2,FALSE)))/24),0)=0,"",IFERROR(IF(E759=E758,0,(HLOOKUP(C759,Ingreso!$AW$10:$BC$260,VLOOKUP(A759,Ingreso!$AL$11:$AM$260,2,FALSE)))/24),0))</f>
        <v/>
      </c>
      <c r="L759" s="63">
        <f t="shared" si="22"/>
        <v>0</v>
      </c>
      <c r="M759" s="63" t="str">
        <f>IF(IFERROR(IF(C759=C757,0,IF(E759=E758,0,IF(C759=$R$2,HLOOKUP($R$2,Ingreso!$AW$10:$BC$260,VLOOKUP(A759,Ingreso!AL:AM,2,FALSE),FALSE)/24,""))),"")=0,"",IFERROR(IF(C759=C757,0,IF(E759=E758,0,IF(C759=$R$2,HLOOKUP($R$2,Ingreso!$AW$10:$BC$260,VLOOKUP(A759,Ingreso!AL:AM,2,FALSE),FALSE)/24,""))),""))</f>
        <v/>
      </c>
      <c r="N759" s="95" t="str">
        <f>IF(IFERROR(IF(C759=C757,0,IF(E759=E758,0,IF(C759=$R$3,HLOOKUP($R$3,Ingreso!$AW$10:$BC$260,VLOOKUP(A759,Ingreso!AL:AM,2,FALSE),FALSE)/24,""))),"")=0,"",IFERROR(IF(C759=C757,0,IF(E759=E758,0,IF(C759=$R$3,HLOOKUP($R$3,Ingreso!$AW$10:$BC$260,VLOOKUP(A759,Ingreso!AL:AM,2,FALSE),FALSE)/24,""))),""))</f>
        <v/>
      </c>
      <c r="O759" s="95" t="str">
        <f>IF(IFERROR(IF(C759=C757,0,IF(E759=E758,0,IF(C759=$R$4,HLOOKUP($R$4,Ingreso!$AW$10:$BC$260,VLOOKUP(A759,Ingreso!AL:AM,2,FALSE),FALSE)/24,""))),"")=0,"",IFERROR(IF(C759=C757,0,IF(E759=E758,0,IF(C759=$R$4,HLOOKUP($R$4,Ingreso!$AW$10:$BC$260,VLOOKUP(A759,Ingreso!AL:AM,2,FALSE),FALSE)/24,""))),""))</f>
        <v/>
      </c>
      <c r="P759" s="90"/>
      <c r="V759"/>
      <c r="W759"/>
      <c r="X759"/>
      <c r="Y759"/>
      <c r="Z759"/>
      <c r="AA759"/>
      <c r="AB759"/>
      <c r="AC759"/>
      <c r="AD759"/>
    </row>
    <row r="760" spans="1:30">
      <c r="A760" s="65" t="str">
        <f>IFERROR(VLOOKUP('Informe Kelly'!A753,Base!A:B,2,FALSE),"")</f>
        <v>14.017.495-5</v>
      </c>
      <c r="B760" s="65" t="str">
        <f>IFERROR(VLOOKUP('Informe Kelly'!A753,Base!A:G,7,FALSE),"")</f>
        <v>OYARCE DIAZ CARLOS EUGENIO</v>
      </c>
      <c r="C760" s="69" t="str">
        <f>IF(G760=$C$4,IF('Informe Kelly'!H753='Control informe Kelly'!$A$2,TEXT(((LEFT('Informe Kelly'!E753,2)*1)+1),"dd")&amp;"."&amp;MID('Informe Kelly'!E753,4,2)&amp;"."&amp;RIGHT('Informe Kelly'!E753,4),'Informe Kelly'!E753),'Informe Kelly'!E753)</f>
        <v>12.04.2011</v>
      </c>
      <c r="D760" s="69" t="str">
        <f>IF('Informe Kelly'!E753="","",'Informe Kelly'!E753)</f>
        <v>12.04.2011</v>
      </c>
      <c r="E760" s="72">
        <f t="shared" si="23"/>
        <v>385</v>
      </c>
      <c r="F760" s="72" t="str">
        <f>IFERROR(HLOOKUP(C760,Ingreso!$Q$8:$AD$9,2,FALSE),"v")</f>
        <v>Martes</v>
      </c>
      <c r="G760" s="65" t="str">
        <f>IFERROR(VLOOKUP(A760,Ingreso!K:P,6,FALSE),"no esta ingresado")</f>
        <v>Turno A</v>
      </c>
      <c r="H760" s="65" t="str">
        <f>IFERROR(IF('Informe Kelly'!H753=$A$2,'Informe Kelly'!F753,""),0)</f>
        <v/>
      </c>
      <c r="I760" s="65">
        <f>IFERROR(IF('Informe Kelly'!H753=$A$3,'Informe Kelly'!F753,""),0)</f>
        <v>0.73342592592592604</v>
      </c>
      <c r="J760" s="65">
        <f>IF(IFERROR(IF(E760=E759,0,(HLOOKUP(D760,Ingreso!$AN$10:$AT$260,VLOOKUP(A760,Ingreso!$AL$11:$AM$260,2,FALSE)))/24),0)=0,"",IFERROR(IF(E760=E759,0,(HLOOKUP(D760,Ingreso!$AN$10:$AT$260,VLOOKUP(A760,Ingreso!$AL$11:$AM$260,2,FALSE)))/24),0))</f>
        <v>0.10416666666666667</v>
      </c>
      <c r="K760" s="65" t="str">
        <f>IF(IFERROR(IF(E760=E759,0,(HLOOKUP(C760,Ingreso!$AW$10:$BC$260,VLOOKUP(A760,Ingreso!$AL$11:$AM$260,2,FALSE)))/24),0)=0,"",IFERROR(IF(E760=E759,0,(HLOOKUP(C760,Ingreso!$AW$10:$BC$260,VLOOKUP(A760,Ingreso!$AL$11:$AM$260,2,FALSE)))/24),0))</f>
        <v/>
      </c>
      <c r="L760" s="63">
        <f t="shared" si="22"/>
        <v>0.3125</v>
      </c>
      <c r="M760" s="63" t="str">
        <f>IF(IFERROR(IF(C760=C758,0,IF(E760=E759,0,IF(C760=$R$2,HLOOKUP($R$2,Ingreso!$AW$10:$BC$260,VLOOKUP(A760,Ingreso!AL:AM,2,FALSE),FALSE)/24,""))),"")=0,"",IFERROR(IF(C760=C758,0,IF(E760=E759,0,IF(C760=$R$2,HLOOKUP($R$2,Ingreso!$AW$10:$BC$260,VLOOKUP(A760,Ingreso!AL:AM,2,FALSE),FALSE)/24,""))),""))</f>
        <v/>
      </c>
      <c r="N760" s="95" t="str">
        <f>IF(IFERROR(IF(C760=C758,0,IF(E760=E759,0,IF(C760=$R$3,HLOOKUP($R$3,Ingreso!$AW$10:$BC$260,VLOOKUP(A760,Ingreso!AL:AM,2,FALSE),FALSE)/24,""))),"")=0,"",IFERROR(IF(C760=C758,0,IF(E760=E759,0,IF(C760=$R$3,HLOOKUP($R$3,Ingreso!$AW$10:$BC$260,VLOOKUP(A760,Ingreso!AL:AM,2,FALSE),FALSE)/24,""))),""))</f>
        <v/>
      </c>
      <c r="O760" s="95" t="str">
        <f>IF(IFERROR(IF(C760=C758,0,IF(E760=E759,0,IF(C760=$R$4,HLOOKUP($R$4,Ingreso!$AW$10:$BC$260,VLOOKUP(A760,Ingreso!AL:AM,2,FALSE),FALSE)/24,""))),"")=0,"",IFERROR(IF(C760=C758,0,IF(E760=E759,0,IF(C760=$R$4,HLOOKUP($R$4,Ingreso!$AW$10:$BC$260,VLOOKUP(A760,Ingreso!AL:AM,2,FALSE),FALSE)/24,""))),""))</f>
        <v/>
      </c>
      <c r="P760" s="90"/>
      <c r="V760"/>
      <c r="W760"/>
      <c r="X760"/>
      <c r="Y760"/>
      <c r="Z760"/>
      <c r="AA760"/>
      <c r="AB760"/>
      <c r="AC760"/>
      <c r="AD760"/>
    </row>
    <row r="761" spans="1:30">
      <c r="A761" s="65" t="str">
        <f>IFERROR(VLOOKUP('Informe Kelly'!A754,Base!A:B,2,FALSE),"")</f>
        <v>14.017.495-5</v>
      </c>
      <c r="B761" s="65" t="str">
        <f>IFERROR(VLOOKUP('Informe Kelly'!A754,Base!A:G,7,FALSE),"")</f>
        <v>OYARCE DIAZ CARLOS EUGENIO</v>
      </c>
      <c r="C761" s="69" t="str">
        <f>IF(G761=$C$4,IF('Informe Kelly'!H754='Control informe Kelly'!$A$2,TEXT(((LEFT('Informe Kelly'!E754,2)*1)+1),"dd")&amp;"."&amp;MID('Informe Kelly'!E754,4,2)&amp;"."&amp;RIGHT('Informe Kelly'!E754,4),'Informe Kelly'!E754),'Informe Kelly'!E754)</f>
        <v>12.04.2011</v>
      </c>
      <c r="D761" s="69" t="str">
        <f>IF('Informe Kelly'!E754="","",'Informe Kelly'!E754)</f>
        <v>12.04.2011</v>
      </c>
      <c r="E761" s="72">
        <f t="shared" si="23"/>
        <v>385</v>
      </c>
      <c r="F761" s="72" t="str">
        <f>IFERROR(HLOOKUP(C761,Ingreso!$Q$8:$AD$9,2,FALSE),"v")</f>
        <v>Martes</v>
      </c>
      <c r="G761" s="65" t="str">
        <f>IFERROR(VLOOKUP(A761,Ingreso!K:P,6,FALSE),"no esta ingresado")</f>
        <v>Turno A</v>
      </c>
      <c r="H761" s="65">
        <f>IFERROR(IF('Informe Kelly'!H754=$A$2,'Informe Kelly'!F754,""),0)</f>
        <v>0.31221064814814814</v>
      </c>
      <c r="I761" s="65" t="str">
        <f>IFERROR(IF('Informe Kelly'!H754=$A$3,'Informe Kelly'!F754,""),0)</f>
        <v/>
      </c>
      <c r="J761" s="65" t="str">
        <f>IF(IFERROR(IF(E761=E760,0,(HLOOKUP(D761,Ingreso!$AN$10:$AT$260,VLOOKUP(A761,Ingreso!$AL$11:$AM$260,2,FALSE)))/24),0)=0,"",IFERROR(IF(E761=E760,0,(HLOOKUP(D761,Ingreso!$AN$10:$AT$260,VLOOKUP(A761,Ingreso!$AL$11:$AM$260,2,FALSE)))/24),0))</f>
        <v/>
      </c>
      <c r="K761" s="65" t="str">
        <f>IF(IFERROR(IF(E761=E760,0,(HLOOKUP(C761,Ingreso!$AW$10:$BC$260,VLOOKUP(A761,Ingreso!$AL$11:$AM$260,2,FALSE)))/24),0)=0,"",IFERROR(IF(E761=E760,0,(HLOOKUP(C761,Ingreso!$AW$10:$BC$260,VLOOKUP(A761,Ingreso!$AL$11:$AM$260,2,FALSE)))/24),0))</f>
        <v/>
      </c>
      <c r="L761" s="63">
        <f t="shared" si="22"/>
        <v>0</v>
      </c>
      <c r="M761" s="63" t="str">
        <f>IF(IFERROR(IF(C761=C759,0,IF(E761=E760,0,IF(C761=$R$2,HLOOKUP($R$2,Ingreso!$AW$10:$BC$260,VLOOKUP(A761,Ingreso!AL:AM,2,FALSE),FALSE)/24,""))),"")=0,"",IFERROR(IF(C761=C759,0,IF(E761=E760,0,IF(C761=$R$2,HLOOKUP($R$2,Ingreso!$AW$10:$BC$260,VLOOKUP(A761,Ingreso!AL:AM,2,FALSE),FALSE)/24,""))),""))</f>
        <v/>
      </c>
      <c r="N761" s="95" t="str">
        <f>IF(IFERROR(IF(C761=C759,0,IF(E761=E760,0,IF(C761=$R$3,HLOOKUP($R$3,Ingreso!$AW$10:$BC$260,VLOOKUP(A761,Ingreso!AL:AM,2,FALSE),FALSE)/24,""))),"")=0,"",IFERROR(IF(C761=C759,0,IF(E761=E760,0,IF(C761=$R$3,HLOOKUP($R$3,Ingreso!$AW$10:$BC$260,VLOOKUP(A761,Ingreso!AL:AM,2,FALSE),FALSE)/24,""))),""))</f>
        <v/>
      </c>
      <c r="O761" s="95" t="str">
        <f>IF(IFERROR(IF(C761=C759,0,IF(E761=E760,0,IF(C761=$R$4,HLOOKUP($R$4,Ingreso!$AW$10:$BC$260,VLOOKUP(A761,Ingreso!AL:AM,2,FALSE),FALSE)/24,""))),"")=0,"",IFERROR(IF(C761=C759,0,IF(E761=E760,0,IF(C761=$R$4,HLOOKUP($R$4,Ingreso!$AW$10:$BC$260,VLOOKUP(A761,Ingreso!AL:AM,2,FALSE),FALSE)/24,""))),""))</f>
        <v/>
      </c>
      <c r="P761" s="90"/>
      <c r="V761"/>
      <c r="W761"/>
      <c r="X761"/>
      <c r="Y761"/>
      <c r="Z761"/>
      <c r="AA761"/>
      <c r="AB761"/>
      <c r="AC761"/>
      <c r="AD761"/>
    </row>
    <row r="762" spans="1:30">
      <c r="A762" s="65" t="str">
        <f>IFERROR(VLOOKUP('Informe Kelly'!A755,Base!A:B,2,FALSE),"")</f>
        <v>14.017.495-5</v>
      </c>
      <c r="B762" s="65" t="str">
        <f>IFERROR(VLOOKUP('Informe Kelly'!A755,Base!A:G,7,FALSE),"")</f>
        <v>OYARCE DIAZ CARLOS EUGENIO</v>
      </c>
      <c r="C762" s="69" t="str">
        <f>IF(G762=$C$4,IF('Informe Kelly'!H755='Control informe Kelly'!$A$2,TEXT(((LEFT('Informe Kelly'!E755,2)*1)+1),"dd")&amp;"."&amp;MID('Informe Kelly'!E755,4,2)&amp;"."&amp;RIGHT('Informe Kelly'!E755,4),'Informe Kelly'!E755),'Informe Kelly'!E755)</f>
        <v>13.04.2011</v>
      </c>
      <c r="D762" s="69" t="str">
        <f>IF('Informe Kelly'!E755="","",'Informe Kelly'!E755)</f>
        <v>13.04.2011</v>
      </c>
      <c r="E762" s="72">
        <f t="shared" si="23"/>
        <v>386</v>
      </c>
      <c r="F762" s="72" t="str">
        <f>IFERROR(HLOOKUP(C762,Ingreso!$Q$8:$AD$9,2,FALSE),"v")</f>
        <v>Miércoles</v>
      </c>
      <c r="G762" s="65" t="str">
        <f>IFERROR(VLOOKUP(A762,Ingreso!K:P,6,FALSE),"no esta ingresado")</f>
        <v>Turno A</v>
      </c>
      <c r="H762" s="65" t="str">
        <f>IFERROR(IF('Informe Kelly'!H755=$A$2,'Informe Kelly'!F755,""),0)</f>
        <v/>
      </c>
      <c r="I762" s="65">
        <f>IFERROR(IF('Informe Kelly'!H755=$A$3,'Informe Kelly'!F755,""),0)</f>
        <v>0.75291666666666668</v>
      </c>
      <c r="J762" s="65">
        <f>IF(IFERROR(IF(E762=E761,0,(HLOOKUP(D762,Ingreso!$AN$10:$AT$260,VLOOKUP(A762,Ingreso!$AL$11:$AM$260,2,FALSE)))/24),0)=0,"",IFERROR(IF(E762=E761,0,(HLOOKUP(D762,Ingreso!$AN$10:$AT$260,VLOOKUP(A762,Ingreso!$AL$11:$AM$260,2,FALSE)))/24),0))</f>
        <v>8.3333333333333329E-2</v>
      </c>
      <c r="K762" s="65" t="str">
        <f>IF(IFERROR(IF(E762=E761,0,(HLOOKUP(C762,Ingreso!$AW$10:$BC$260,VLOOKUP(A762,Ingreso!$AL$11:$AM$260,2,FALSE)))/24),0)=0,"",IFERROR(IF(E762=E761,0,(HLOOKUP(C762,Ingreso!$AW$10:$BC$260,VLOOKUP(A762,Ingreso!$AL$11:$AM$260,2,FALSE)))/24),0))</f>
        <v/>
      </c>
      <c r="L762" s="63">
        <f t="shared" si="22"/>
        <v>0.3125</v>
      </c>
      <c r="M762" s="63" t="str">
        <f>IF(IFERROR(IF(C762=C760,0,IF(E762=E761,0,IF(C762=$R$2,HLOOKUP($R$2,Ingreso!$AW$10:$BC$260,VLOOKUP(A762,Ingreso!AL:AM,2,FALSE),FALSE)/24,""))),"")=0,"",IFERROR(IF(C762=C760,0,IF(E762=E761,0,IF(C762=$R$2,HLOOKUP($R$2,Ingreso!$AW$10:$BC$260,VLOOKUP(A762,Ingreso!AL:AM,2,FALSE),FALSE)/24,""))),""))</f>
        <v/>
      </c>
      <c r="N762" s="95" t="str">
        <f>IF(IFERROR(IF(C762=C760,0,IF(E762=E761,0,IF(C762=$R$3,HLOOKUP($R$3,Ingreso!$AW$10:$BC$260,VLOOKUP(A762,Ingreso!AL:AM,2,FALSE),FALSE)/24,""))),"")=0,"",IFERROR(IF(C762=C760,0,IF(E762=E761,0,IF(C762=$R$3,HLOOKUP($R$3,Ingreso!$AW$10:$BC$260,VLOOKUP(A762,Ingreso!AL:AM,2,FALSE),FALSE)/24,""))),""))</f>
        <v/>
      </c>
      <c r="O762" s="95" t="str">
        <f>IF(IFERROR(IF(C762=C760,0,IF(E762=E761,0,IF(C762=$R$4,HLOOKUP($R$4,Ingreso!$AW$10:$BC$260,VLOOKUP(A762,Ingreso!AL:AM,2,FALSE),FALSE)/24,""))),"")=0,"",IFERROR(IF(C762=C760,0,IF(E762=E761,0,IF(C762=$R$4,HLOOKUP($R$4,Ingreso!$AW$10:$BC$260,VLOOKUP(A762,Ingreso!AL:AM,2,FALSE),FALSE)/24,""))),""))</f>
        <v/>
      </c>
      <c r="P762" s="90"/>
      <c r="V762"/>
      <c r="W762"/>
      <c r="X762"/>
      <c r="Y762"/>
      <c r="Z762"/>
      <c r="AA762"/>
      <c r="AB762"/>
      <c r="AC762"/>
      <c r="AD762"/>
    </row>
    <row r="763" spans="1:30">
      <c r="A763" s="65" t="str">
        <f>IFERROR(VLOOKUP('Informe Kelly'!A756,Base!A:B,2,FALSE),"")</f>
        <v>14.017.495-5</v>
      </c>
      <c r="B763" s="65" t="str">
        <f>IFERROR(VLOOKUP('Informe Kelly'!A756,Base!A:G,7,FALSE),"")</f>
        <v>OYARCE DIAZ CARLOS EUGENIO</v>
      </c>
      <c r="C763" s="69" t="str">
        <f>IF(G763=$C$4,IF('Informe Kelly'!H756='Control informe Kelly'!$A$2,TEXT(((LEFT('Informe Kelly'!E756,2)*1)+1),"dd")&amp;"."&amp;MID('Informe Kelly'!E756,4,2)&amp;"."&amp;RIGHT('Informe Kelly'!E756,4),'Informe Kelly'!E756),'Informe Kelly'!E756)</f>
        <v>13.04.2011</v>
      </c>
      <c r="D763" s="69" t="str">
        <f>IF('Informe Kelly'!E756="","",'Informe Kelly'!E756)</f>
        <v>13.04.2011</v>
      </c>
      <c r="E763" s="72">
        <f t="shared" si="23"/>
        <v>386</v>
      </c>
      <c r="F763" s="72" t="str">
        <f>IFERROR(HLOOKUP(C763,Ingreso!$Q$8:$AD$9,2,FALSE),"v")</f>
        <v>Miércoles</v>
      </c>
      <c r="G763" s="65" t="str">
        <f>IFERROR(VLOOKUP(A763,Ingreso!K:P,6,FALSE),"no esta ingresado")</f>
        <v>Turno A</v>
      </c>
      <c r="H763" s="65">
        <f>IFERROR(IF('Informe Kelly'!H756=$A$2,'Informe Kelly'!F756,""),0)</f>
        <v>0.31634259259259262</v>
      </c>
      <c r="I763" s="65" t="str">
        <f>IFERROR(IF('Informe Kelly'!H756=$A$3,'Informe Kelly'!F756,""),0)</f>
        <v/>
      </c>
      <c r="J763" s="65" t="str">
        <f>IF(IFERROR(IF(E763=E762,0,(HLOOKUP(D763,Ingreso!$AN$10:$AT$260,VLOOKUP(A763,Ingreso!$AL$11:$AM$260,2,FALSE)))/24),0)=0,"",IFERROR(IF(E763=E762,0,(HLOOKUP(D763,Ingreso!$AN$10:$AT$260,VLOOKUP(A763,Ingreso!$AL$11:$AM$260,2,FALSE)))/24),0))</f>
        <v/>
      </c>
      <c r="K763" s="65" t="str">
        <f>IF(IFERROR(IF(E763=E762,0,(HLOOKUP(C763,Ingreso!$AW$10:$BC$260,VLOOKUP(A763,Ingreso!$AL$11:$AM$260,2,FALSE)))/24),0)=0,"",IFERROR(IF(E763=E762,0,(HLOOKUP(C763,Ingreso!$AW$10:$BC$260,VLOOKUP(A763,Ingreso!$AL$11:$AM$260,2,FALSE)))/24),0))</f>
        <v/>
      </c>
      <c r="L763" s="63">
        <f t="shared" si="22"/>
        <v>0</v>
      </c>
      <c r="M763" s="63" t="str">
        <f>IF(IFERROR(IF(C763=C761,0,IF(E763=E762,0,IF(C763=$R$2,HLOOKUP($R$2,Ingreso!$AW$10:$BC$260,VLOOKUP(A763,Ingreso!AL:AM,2,FALSE),FALSE)/24,""))),"")=0,"",IFERROR(IF(C763=C761,0,IF(E763=E762,0,IF(C763=$R$2,HLOOKUP($R$2,Ingreso!$AW$10:$BC$260,VLOOKUP(A763,Ingreso!AL:AM,2,FALSE),FALSE)/24,""))),""))</f>
        <v/>
      </c>
      <c r="N763" s="95" t="str">
        <f>IF(IFERROR(IF(C763=C761,0,IF(E763=E762,0,IF(C763=$R$3,HLOOKUP($R$3,Ingreso!$AW$10:$BC$260,VLOOKUP(A763,Ingreso!AL:AM,2,FALSE),FALSE)/24,""))),"")=0,"",IFERROR(IF(C763=C761,0,IF(E763=E762,0,IF(C763=$R$3,HLOOKUP($R$3,Ingreso!$AW$10:$BC$260,VLOOKUP(A763,Ingreso!AL:AM,2,FALSE),FALSE)/24,""))),""))</f>
        <v/>
      </c>
      <c r="O763" s="95" t="str">
        <f>IF(IFERROR(IF(C763=C761,0,IF(E763=E762,0,IF(C763=$R$4,HLOOKUP($R$4,Ingreso!$AW$10:$BC$260,VLOOKUP(A763,Ingreso!AL:AM,2,FALSE),FALSE)/24,""))),"")=0,"",IFERROR(IF(C763=C761,0,IF(E763=E762,0,IF(C763=$R$4,HLOOKUP($R$4,Ingreso!$AW$10:$BC$260,VLOOKUP(A763,Ingreso!AL:AM,2,FALSE),FALSE)/24,""))),""))</f>
        <v/>
      </c>
      <c r="P763" s="90"/>
      <c r="V763"/>
      <c r="W763"/>
      <c r="X763"/>
      <c r="Y763"/>
      <c r="Z763"/>
      <c r="AA763"/>
      <c r="AB763"/>
      <c r="AC763"/>
      <c r="AD763"/>
    </row>
    <row r="764" spans="1:30">
      <c r="A764" s="65" t="str">
        <f>IFERROR(VLOOKUP('Informe Kelly'!A757,Base!A:B,2,FALSE),"")</f>
        <v>14.017.495-5</v>
      </c>
      <c r="B764" s="65" t="str">
        <f>IFERROR(VLOOKUP('Informe Kelly'!A757,Base!A:G,7,FALSE),"")</f>
        <v>OYARCE DIAZ CARLOS EUGENIO</v>
      </c>
      <c r="C764" s="69" t="str">
        <f>IF(G764=$C$4,IF('Informe Kelly'!H757='Control informe Kelly'!$A$2,TEXT(((LEFT('Informe Kelly'!E757,2)*1)+1),"dd")&amp;"."&amp;MID('Informe Kelly'!E757,4,2)&amp;"."&amp;RIGHT('Informe Kelly'!E757,4),'Informe Kelly'!E757),'Informe Kelly'!E757)</f>
        <v>14.04.2011</v>
      </c>
      <c r="D764" s="69" t="str">
        <f>IF('Informe Kelly'!E757="","",'Informe Kelly'!E757)</f>
        <v>14.04.2011</v>
      </c>
      <c r="E764" s="72">
        <f t="shared" si="23"/>
        <v>387</v>
      </c>
      <c r="F764" s="72" t="str">
        <f>IFERROR(HLOOKUP(C764,Ingreso!$Q$8:$AD$9,2,FALSE),"v")</f>
        <v>Jueves</v>
      </c>
      <c r="G764" s="65" t="str">
        <f>IFERROR(VLOOKUP(A764,Ingreso!K:P,6,FALSE),"no esta ingresado")</f>
        <v>Turno A</v>
      </c>
      <c r="H764" s="65" t="str">
        <f>IFERROR(IF('Informe Kelly'!H757=$A$2,'Informe Kelly'!F757,""),0)</f>
        <v/>
      </c>
      <c r="I764" s="65">
        <f>IFERROR(IF('Informe Kelly'!H757=$A$3,'Informe Kelly'!F757,""),0)</f>
        <v>0.67658564814814814</v>
      </c>
      <c r="J764" s="65" t="str">
        <f>IF(IFERROR(IF(E764=E763,0,(HLOOKUP(D764,Ingreso!$AN$10:$AT$260,VLOOKUP(A764,Ingreso!$AL$11:$AM$260,2,FALSE)))/24),0)=0,"",IFERROR(IF(E764=E763,0,(HLOOKUP(D764,Ingreso!$AN$10:$AT$260,VLOOKUP(A764,Ingreso!$AL$11:$AM$260,2,FALSE)))/24),0))</f>
        <v/>
      </c>
      <c r="K764" s="65" t="str">
        <f>IF(IFERROR(IF(E764=E763,0,(HLOOKUP(C764,Ingreso!$AW$10:$BC$260,VLOOKUP(A764,Ingreso!$AL$11:$AM$260,2,FALSE)))/24),0)=0,"",IFERROR(IF(E764=E763,0,(HLOOKUP(C764,Ingreso!$AW$10:$BC$260,VLOOKUP(A764,Ingreso!$AL$11:$AM$260,2,FALSE)))/24),0))</f>
        <v/>
      </c>
      <c r="L764" s="63">
        <f t="shared" si="22"/>
        <v>0.3125</v>
      </c>
      <c r="M764" s="63" t="str">
        <f>IF(IFERROR(IF(C764=C762,0,IF(E764=E763,0,IF(C764=$R$2,HLOOKUP($R$2,Ingreso!$AW$10:$BC$260,VLOOKUP(A764,Ingreso!AL:AM,2,FALSE),FALSE)/24,""))),"")=0,"",IFERROR(IF(C764=C762,0,IF(E764=E763,0,IF(C764=$R$2,HLOOKUP($R$2,Ingreso!$AW$10:$BC$260,VLOOKUP(A764,Ingreso!AL:AM,2,FALSE),FALSE)/24,""))),""))</f>
        <v/>
      </c>
      <c r="N764" s="95" t="str">
        <f>IF(IFERROR(IF(C764=C762,0,IF(E764=E763,0,IF(C764=$R$3,HLOOKUP($R$3,Ingreso!$AW$10:$BC$260,VLOOKUP(A764,Ingreso!AL:AM,2,FALSE),FALSE)/24,""))),"")=0,"",IFERROR(IF(C764=C762,0,IF(E764=E763,0,IF(C764=$R$3,HLOOKUP($R$3,Ingreso!$AW$10:$BC$260,VLOOKUP(A764,Ingreso!AL:AM,2,FALSE),FALSE)/24,""))),""))</f>
        <v/>
      </c>
      <c r="O764" s="95" t="str">
        <f>IF(IFERROR(IF(C764=C762,0,IF(E764=E763,0,IF(C764=$R$4,HLOOKUP($R$4,Ingreso!$AW$10:$BC$260,VLOOKUP(A764,Ingreso!AL:AM,2,FALSE),FALSE)/24,""))),"")=0,"",IFERROR(IF(C764=C762,0,IF(E764=E763,0,IF(C764=$R$4,HLOOKUP($R$4,Ingreso!$AW$10:$BC$260,VLOOKUP(A764,Ingreso!AL:AM,2,FALSE),FALSE)/24,""))),""))</f>
        <v/>
      </c>
      <c r="P764" s="90"/>
      <c r="V764"/>
      <c r="W764"/>
      <c r="X764"/>
      <c r="Y764"/>
      <c r="Z764"/>
      <c r="AA764"/>
      <c r="AB764"/>
      <c r="AC764"/>
      <c r="AD764"/>
    </row>
    <row r="765" spans="1:30">
      <c r="A765" s="65" t="str">
        <f>IFERROR(VLOOKUP('Informe Kelly'!A758,Base!A:B,2,FALSE),"")</f>
        <v>14.017.495-5</v>
      </c>
      <c r="B765" s="65" t="str">
        <f>IFERROR(VLOOKUP('Informe Kelly'!A758,Base!A:G,7,FALSE),"")</f>
        <v>OYARCE DIAZ CARLOS EUGENIO</v>
      </c>
      <c r="C765" s="69" t="str">
        <f>IF(G765=$C$4,IF('Informe Kelly'!H758='Control informe Kelly'!$A$2,TEXT(((LEFT('Informe Kelly'!E758,2)*1)+1),"dd")&amp;"."&amp;MID('Informe Kelly'!E758,4,2)&amp;"."&amp;RIGHT('Informe Kelly'!E758,4),'Informe Kelly'!E758),'Informe Kelly'!E758)</f>
        <v>14.04.2011</v>
      </c>
      <c r="D765" s="69" t="str">
        <f>IF('Informe Kelly'!E758="","",'Informe Kelly'!E758)</f>
        <v>14.04.2011</v>
      </c>
      <c r="E765" s="72">
        <f t="shared" si="23"/>
        <v>387</v>
      </c>
      <c r="F765" s="72" t="str">
        <f>IFERROR(HLOOKUP(C765,Ingreso!$Q$8:$AD$9,2,FALSE),"v")</f>
        <v>Jueves</v>
      </c>
      <c r="G765" s="65" t="str">
        <f>IFERROR(VLOOKUP(A765,Ingreso!K:P,6,FALSE),"no esta ingresado")</f>
        <v>Turno A</v>
      </c>
      <c r="H765" s="65">
        <f>IFERROR(IF('Informe Kelly'!H758=$A$2,'Informe Kelly'!F758,""),0)</f>
        <v>0.31753472222222223</v>
      </c>
      <c r="I765" s="65" t="str">
        <f>IFERROR(IF('Informe Kelly'!H758=$A$3,'Informe Kelly'!F758,""),0)</f>
        <v/>
      </c>
      <c r="J765" s="65" t="str">
        <f>IF(IFERROR(IF(E765=E764,0,(HLOOKUP(D765,Ingreso!$AN$10:$AT$260,VLOOKUP(A765,Ingreso!$AL$11:$AM$260,2,FALSE)))/24),0)=0,"",IFERROR(IF(E765=E764,0,(HLOOKUP(D765,Ingreso!$AN$10:$AT$260,VLOOKUP(A765,Ingreso!$AL$11:$AM$260,2,FALSE)))/24),0))</f>
        <v/>
      </c>
      <c r="K765" s="65" t="str">
        <f>IF(IFERROR(IF(E765=E764,0,(HLOOKUP(C765,Ingreso!$AW$10:$BC$260,VLOOKUP(A765,Ingreso!$AL$11:$AM$260,2,FALSE)))/24),0)=0,"",IFERROR(IF(E765=E764,0,(HLOOKUP(C765,Ingreso!$AW$10:$BC$260,VLOOKUP(A765,Ingreso!$AL$11:$AM$260,2,FALSE)))/24),0))</f>
        <v/>
      </c>
      <c r="L765" s="63">
        <f t="shared" si="22"/>
        <v>0</v>
      </c>
      <c r="M765" s="63" t="str">
        <f>IF(IFERROR(IF(C765=C763,0,IF(E765=E764,0,IF(C765=$R$2,HLOOKUP($R$2,Ingreso!$AW$10:$BC$260,VLOOKUP(A765,Ingreso!AL:AM,2,FALSE),FALSE)/24,""))),"")=0,"",IFERROR(IF(C765=C763,0,IF(E765=E764,0,IF(C765=$R$2,HLOOKUP($R$2,Ingreso!$AW$10:$BC$260,VLOOKUP(A765,Ingreso!AL:AM,2,FALSE),FALSE)/24,""))),""))</f>
        <v/>
      </c>
      <c r="N765" s="95" t="str">
        <f>IF(IFERROR(IF(C765=C763,0,IF(E765=E764,0,IF(C765=$R$3,HLOOKUP($R$3,Ingreso!$AW$10:$BC$260,VLOOKUP(A765,Ingreso!AL:AM,2,FALSE),FALSE)/24,""))),"")=0,"",IFERROR(IF(C765=C763,0,IF(E765=E764,0,IF(C765=$R$3,HLOOKUP($R$3,Ingreso!$AW$10:$BC$260,VLOOKUP(A765,Ingreso!AL:AM,2,FALSE),FALSE)/24,""))),""))</f>
        <v/>
      </c>
      <c r="O765" s="95" t="str">
        <f>IF(IFERROR(IF(C765=C763,0,IF(E765=E764,0,IF(C765=$R$4,HLOOKUP($R$4,Ingreso!$AW$10:$BC$260,VLOOKUP(A765,Ingreso!AL:AM,2,FALSE),FALSE)/24,""))),"")=0,"",IFERROR(IF(C765=C763,0,IF(E765=E764,0,IF(C765=$R$4,HLOOKUP($R$4,Ingreso!$AW$10:$BC$260,VLOOKUP(A765,Ingreso!AL:AM,2,FALSE),FALSE)/24,""))),""))</f>
        <v/>
      </c>
      <c r="P765" s="90"/>
      <c r="V765"/>
      <c r="W765"/>
      <c r="X765"/>
      <c r="Y765"/>
      <c r="Z765"/>
      <c r="AA765"/>
      <c r="AB765"/>
      <c r="AC765"/>
      <c r="AD765"/>
    </row>
    <row r="766" spans="1:30">
      <c r="A766" s="65" t="str">
        <f>IFERROR(VLOOKUP('Informe Kelly'!A759,Base!A:B,2,FALSE),"")</f>
        <v>14.017.495-5</v>
      </c>
      <c r="B766" s="65" t="str">
        <f>IFERROR(VLOOKUP('Informe Kelly'!A759,Base!A:G,7,FALSE),"")</f>
        <v>OYARCE DIAZ CARLOS EUGENIO</v>
      </c>
      <c r="C766" s="69" t="str">
        <f>IF(G766=$C$4,IF('Informe Kelly'!H759='Control informe Kelly'!$A$2,TEXT(((LEFT('Informe Kelly'!E759,2)*1)+1),"dd")&amp;"."&amp;MID('Informe Kelly'!E759,4,2)&amp;"."&amp;RIGHT('Informe Kelly'!E759,4),'Informe Kelly'!E759),'Informe Kelly'!E759)</f>
        <v>15.04.2011</v>
      </c>
      <c r="D766" s="69" t="str">
        <f>IF('Informe Kelly'!E759="","",'Informe Kelly'!E759)</f>
        <v>15.04.2011</v>
      </c>
      <c r="E766" s="72">
        <f t="shared" si="23"/>
        <v>388</v>
      </c>
      <c r="F766" s="72" t="str">
        <f>IFERROR(HLOOKUP(C766,Ingreso!$Q$8:$AD$9,2,FALSE),"v")</f>
        <v>Viernes</v>
      </c>
      <c r="G766" s="65" t="str">
        <f>IFERROR(VLOOKUP(A766,Ingreso!K:P,6,FALSE),"no esta ingresado")</f>
        <v>Turno A</v>
      </c>
      <c r="H766" s="65" t="str">
        <f>IFERROR(IF('Informe Kelly'!H759=$A$2,'Informe Kelly'!F759,""),0)</f>
        <v/>
      </c>
      <c r="I766" s="65">
        <f>IFERROR(IF('Informe Kelly'!H759=$A$3,'Informe Kelly'!F759,""),0)</f>
        <v>0.65478009259259262</v>
      </c>
      <c r="J766" s="65" t="str">
        <f>IF(IFERROR(IF(E766=E765,0,(HLOOKUP(D766,Ingreso!$AN$10:$AT$260,VLOOKUP(A766,Ingreso!$AL$11:$AM$260,2,FALSE)))/24),0)=0,"",IFERROR(IF(E766=E765,0,(HLOOKUP(D766,Ingreso!$AN$10:$AT$260,VLOOKUP(A766,Ingreso!$AL$11:$AM$260,2,FALSE)))/24),0))</f>
        <v/>
      </c>
      <c r="K766" s="65" t="str">
        <f>IF(IFERROR(IF(E766=E765,0,(HLOOKUP(C766,Ingreso!$AW$10:$BC$260,VLOOKUP(A766,Ingreso!$AL$11:$AM$260,2,FALSE)))/24),0)=0,"",IFERROR(IF(E766=E765,0,(HLOOKUP(C766,Ingreso!$AW$10:$BC$260,VLOOKUP(A766,Ingreso!$AL$11:$AM$260,2,FALSE)))/24),0))</f>
        <v/>
      </c>
      <c r="L766" s="63">
        <f t="shared" si="22"/>
        <v>0.3125</v>
      </c>
      <c r="M766" s="63" t="str">
        <f>IF(IFERROR(IF(C766=C764,0,IF(E766=E765,0,IF(C766=$R$2,HLOOKUP($R$2,Ingreso!$AW$10:$BC$260,VLOOKUP(A766,Ingreso!AL:AM,2,FALSE),FALSE)/24,""))),"")=0,"",IFERROR(IF(C766=C764,0,IF(E766=E765,0,IF(C766=$R$2,HLOOKUP($R$2,Ingreso!$AW$10:$BC$260,VLOOKUP(A766,Ingreso!AL:AM,2,FALSE),FALSE)/24,""))),""))</f>
        <v/>
      </c>
      <c r="N766" s="95" t="str">
        <f>IF(IFERROR(IF(C766=C764,0,IF(E766=E765,0,IF(C766=$R$3,HLOOKUP($R$3,Ingreso!$AW$10:$BC$260,VLOOKUP(A766,Ingreso!AL:AM,2,FALSE),FALSE)/24,""))),"")=0,"",IFERROR(IF(C766=C764,0,IF(E766=E765,0,IF(C766=$R$3,HLOOKUP($R$3,Ingreso!$AW$10:$BC$260,VLOOKUP(A766,Ingreso!AL:AM,2,FALSE),FALSE)/24,""))),""))</f>
        <v/>
      </c>
      <c r="O766" s="95" t="str">
        <f>IF(IFERROR(IF(C766=C764,0,IF(E766=E765,0,IF(C766=$R$4,HLOOKUP($R$4,Ingreso!$AW$10:$BC$260,VLOOKUP(A766,Ingreso!AL:AM,2,FALSE),FALSE)/24,""))),"")=0,"",IFERROR(IF(C766=C764,0,IF(E766=E765,0,IF(C766=$R$4,HLOOKUP($R$4,Ingreso!$AW$10:$BC$260,VLOOKUP(A766,Ingreso!AL:AM,2,FALSE),FALSE)/24,""))),""))</f>
        <v/>
      </c>
      <c r="P766" s="90"/>
      <c r="V766"/>
      <c r="W766"/>
      <c r="X766"/>
      <c r="Y766"/>
      <c r="Z766"/>
      <c r="AA766"/>
      <c r="AB766"/>
      <c r="AC766"/>
      <c r="AD766"/>
    </row>
    <row r="767" spans="1:30">
      <c r="A767" s="65" t="str">
        <f>IFERROR(VLOOKUP('Informe Kelly'!A760,Base!A:B,2,FALSE),"")</f>
        <v>14.017.495-5</v>
      </c>
      <c r="B767" s="65" t="str">
        <f>IFERROR(VLOOKUP('Informe Kelly'!A760,Base!A:G,7,FALSE),"")</f>
        <v>OYARCE DIAZ CARLOS EUGENIO</v>
      </c>
      <c r="C767" s="69" t="str">
        <f>IF(G767=$C$4,IF('Informe Kelly'!H760='Control informe Kelly'!$A$2,TEXT(((LEFT('Informe Kelly'!E760,2)*1)+1),"dd")&amp;"."&amp;MID('Informe Kelly'!E760,4,2)&amp;"."&amp;RIGHT('Informe Kelly'!E760,4),'Informe Kelly'!E760),'Informe Kelly'!E760)</f>
        <v>15.04.2011</v>
      </c>
      <c r="D767" s="69" t="str">
        <f>IF('Informe Kelly'!E760="","",'Informe Kelly'!E760)</f>
        <v>15.04.2011</v>
      </c>
      <c r="E767" s="72">
        <f t="shared" si="23"/>
        <v>388</v>
      </c>
      <c r="F767" s="72" t="str">
        <f>IFERROR(HLOOKUP(C767,Ingreso!$Q$8:$AD$9,2,FALSE),"v")</f>
        <v>Viernes</v>
      </c>
      <c r="G767" s="65" t="str">
        <f>IFERROR(VLOOKUP(A767,Ingreso!K:P,6,FALSE),"no esta ingresado")</f>
        <v>Turno A</v>
      </c>
      <c r="H767" s="65">
        <f>IFERROR(IF('Informe Kelly'!H760=$A$2,'Informe Kelly'!F760,""),0)</f>
        <v>0.3197800925925926</v>
      </c>
      <c r="I767" s="65" t="str">
        <f>IFERROR(IF('Informe Kelly'!H760=$A$3,'Informe Kelly'!F760,""),0)</f>
        <v/>
      </c>
      <c r="J767" s="65" t="str">
        <f>IF(IFERROR(IF(E767=E766,0,(HLOOKUP(D767,Ingreso!$AN$10:$AT$260,VLOOKUP(A767,Ingreso!$AL$11:$AM$260,2,FALSE)))/24),0)=0,"",IFERROR(IF(E767=E766,0,(HLOOKUP(D767,Ingreso!$AN$10:$AT$260,VLOOKUP(A767,Ingreso!$AL$11:$AM$260,2,FALSE)))/24),0))</f>
        <v/>
      </c>
      <c r="K767" s="65" t="str">
        <f>IF(IFERROR(IF(E767=E766,0,(HLOOKUP(C767,Ingreso!$AW$10:$BC$260,VLOOKUP(A767,Ingreso!$AL$11:$AM$260,2,FALSE)))/24),0)=0,"",IFERROR(IF(E767=E766,0,(HLOOKUP(C767,Ingreso!$AW$10:$BC$260,VLOOKUP(A767,Ingreso!$AL$11:$AM$260,2,FALSE)))/24),0))</f>
        <v/>
      </c>
      <c r="L767" s="63">
        <f t="shared" si="22"/>
        <v>0</v>
      </c>
      <c r="M767" s="63" t="str">
        <f>IF(IFERROR(IF(C767=C765,0,IF(E767=E766,0,IF(C767=$R$2,HLOOKUP($R$2,Ingreso!$AW$10:$BC$260,VLOOKUP(A767,Ingreso!AL:AM,2,FALSE),FALSE)/24,""))),"")=0,"",IFERROR(IF(C767=C765,0,IF(E767=E766,0,IF(C767=$R$2,HLOOKUP($R$2,Ingreso!$AW$10:$BC$260,VLOOKUP(A767,Ingreso!AL:AM,2,FALSE),FALSE)/24,""))),""))</f>
        <v/>
      </c>
      <c r="N767" s="95" t="str">
        <f>IF(IFERROR(IF(C767=C765,0,IF(E767=E766,0,IF(C767=$R$3,HLOOKUP($R$3,Ingreso!$AW$10:$BC$260,VLOOKUP(A767,Ingreso!AL:AM,2,FALSE),FALSE)/24,""))),"")=0,"",IFERROR(IF(C767=C765,0,IF(E767=E766,0,IF(C767=$R$3,HLOOKUP($R$3,Ingreso!$AW$10:$BC$260,VLOOKUP(A767,Ingreso!AL:AM,2,FALSE),FALSE)/24,""))),""))</f>
        <v/>
      </c>
      <c r="O767" s="95" t="str">
        <f>IF(IFERROR(IF(C767=C765,0,IF(E767=E766,0,IF(C767=$R$4,HLOOKUP($R$4,Ingreso!$AW$10:$BC$260,VLOOKUP(A767,Ingreso!AL:AM,2,FALSE),FALSE)/24,""))),"")=0,"",IFERROR(IF(C767=C765,0,IF(E767=E766,0,IF(C767=$R$4,HLOOKUP($R$4,Ingreso!$AW$10:$BC$260,VLOOKUP(A767,Ingreso!AL:AM,2,FALSE),FALSE)/24,""))),""))</f>
        <v/>
      </c>
      <c r="P767" s="90"/>
      <c r="V767"/>
      <c r="W767"/>
      <c r="X767"/>
      <c r="Y767"/>
      <c r="Z767"/>
      <c r="AA767"/>
      <c r="AB767"/>
      <c r="AC767"/>
      <c r="AD767"/>
    </row>
    <row r="768" spans="1:30">
      <c r="A768" s="65" t="str">
        <f>IFERROR(VLOOKUP('Informe Kelly'!A761,Base!A:B,2,FALSE),"")</f>
        <v>14.017.495-5</v>
      </c>
      <c r="B768" s="65" t="str">
        <f>IFERROR(VLOOKUP('Informe Kelly'!A761,Base!A:G,7,FALSE),"")</f>
        <v>OYARCE DIAZ CARLOS EUGENIO</v>
      </c>
      <c r="C768" s="69" t="str">
        <f>IF(G768=$C$4,IF('Informe Kelly'!H761='Control informe Kelly'!$A$2,TEXT(((LEFT('Informe Kelly'!E761,2)*1)+1),"dd")&amp;"."&amp;MID('Informe Kelly'!E761,4,2)&amp;"."&amp;RIGHT('Informe Kelly'!E761,4),'Informe Kelly'!E761),'Informe Kelly'!E761)</f>
        <v>16.04.2011</v>
      </c>
      <c r="D768" s="69" t="str">
        <f>IF('Informe Kelly'!E761="","",'Informe Kelly'!E761)</f>
        <v>16.04.2011</v>
      </c>
      <c r="E768" s="72">
        <f t="shared" si="23"/>
        <v>389</v>
      </c>
      <c r="F768" s="72" t="str">
        <f>IFERROR(HLOOKUP(C768,Ingreso!$Q$8:$AD$9,2,FALSE),"v")</f>
        <v>Sábado</v>
      </c>
      <c r="G768" s="65" t="str">
        <f>IFERROR(VLOOKUP(A768,Ingreso!K:P,6,FALSE),"no esta ingresado")</f>
        <v>Turno A</v>
      </c>
      <c r="H768" s="65" t="str">
        <f>IFERROR(IF('Informe Kelly'!H761=$A$2,'Informe Kelly'!F761,""),0)</f>
        <v/>
      </c>
      <c r="I768" s="65">
        <f>IFERROR(IF('Informe Kelly'!H761=$A$3,'Informe Kelly'!F761,""),0)</f>
        <v>0.55983796296296295</v>
      </c>
      <c r="J768" s="65" t="str">
        <f>IF(IFERROR(IF(E768=E767,0,(HLOOKUP(D768,Ingreso!$AN$10:$AT$260,VLOOKUP(A768,Ingreso!$AL$11:$AM$260,2,FALSE)))/24),0)=0,"",IFERROR(IF(E768=E767,0,(HLOOKUP(D768,Ingreso!$AN$10:$AT$260,VLOOKUP(A768,Ingreso!$AL$11:$AM$260,2,FALSE)))/24),0))</f>
        <v/>
      </c>
      <c r="K768" s="65" t="str">
        <f>IF(IFERROR(IF(E768=E767,0,(HLOOKUP(C768,Ingreso!$AW$10:$BC$260,VLOOKUP(A768,Ingreso!$AL$11:$AM$260,2,FALSE)))/24),0)=0,"",IFERROR(IF(E768=E767,0,(HLOOKUP(C768,Ingreso!$AW$10:$BC$260,VLOOKUP(A768,Ingreso!$AL$11:$AM$260,2,FALSE)))/24),0))</f>
        <v/>
      </c>
      <c r="L768" s="63">
        <f t="shared" si="22"/>
        <v>0.3125</v>
      </c>
      <c r="M768" s="63" t="str">
        <f>IF(IFERROR(IF(C768=C766,0,IF(E768=E767,0,IF(C768=$R$2,HLOOKUP($R$2,Ingreso!$AW$10:$BC$260,VLOOKUP(A768,Ingreso!AL:AM,2,FALSE),FALSE)/24,""))),"")=0,"",IFERROR(IF(C768=C766,0,IF(E768=E767,0,IF(C768=$R$2,HLOOKUP($R$2,Ingreso!$AW$10:$BC$260,VLOOKUP(A768,Ingreso!AL:AM,2,FALSE),FALSE)/24,""))),""))</f>
        <v/>
      </c>
      <c r="N768" s="95" t="str">
        <f>IF(IFERROR(IF(C768=C766,0,IF(E768=E767,0,IF(C768=$R$3,HLOOKUP($R$3,Ingreso!$AW$10:$BC$260,VLOOKUP(A768,Ingreso!AL:AM,2,FALSE),FALSE)/24,""))),"")=0,"",IFERROR(IF(C768=C766,0,IF(E768=E767,0,IF(C768=$R$3,HLOOKUP($R$3,Ingreso!$AW$10:$BC$260,VLOOKUP(A768,Ingreso!AL:AM,2,FALSE),FALSE)/24,""))),""))</f>
        <v/>
      </c>
      <c r="O768" s="95" t="str">
        <f>IF(IFERROR(IF(C768=C766,0,IF(E768=E767,0,IF(C768=$R$4,HLOOKUP($R$4,Ingreso!$AW$10:$BC$260,VLOOKUP(A768,Ingreso!AL:AM,2,FALSE),FALSE)/24,""))),"")=0,"",IFERROR(IF(C768=C766,0,IF(E768=E767,0,IF(C768=$R$4,HLOOKUP($R$4,Ingreso!$AW$10:$BC$260,VLOOKUP(A768,Ingreso!AL:AM,2,FALSE),FALSE)/24,""))),""))</f>
        <v/>
      </c>
      <c r="P768" s="90"/>
      <c r="V768"/>
      <c r="W768"/>
      <c r="X768"/>
      <c r="Y768"/>
      <c r="Z768"/>
      <c r="AA768"/>
      <c r="AB768"/>
      <c r="AC768"/>
      <c r="AD768"/>
    </row>
    <row r="769" spans="1:30">
      <c r="A769" s="65" t="str">
        <f>IFERROR(VLOOKUP('Informe Kelly'!A762,Base!A:B,2,FALSE),"")</f>
        <v>14.017.495-5</v>
      </c>
      <c r="B769" s="65" t="str">
        <f>IFERROR(VLOOKUP('Informe Kelly'!A762,Base!A:G,7,FALSE),"")</f>
        <v>OYARCE DIAZ CARLOS EUGENIO</v>
      </c>
      <c r="C769" s="69" t="str">
        <f>IF(G769=$C$4,IF('Informe Kelly'!H762='Control informe Kelly'!$A$2,TEXT(((LEFT('Informe Kelly'!E762,2)*1)+1),"dd")&amp;"."&amp;MID('Informe Kelly'!E762,4,2)&amp;"."&amp;RIGHT('Informe Kelly'!E762,4),'Informe Kelly'!E762),'Informe Kelly'!E762)</f>
        <v>16.04.2011</v>
      </c>
      <c r="D769" s="69" t="str">
        <f>IF('Informe Kelly'!E762="","",'Informe Kelly'!E762)</f>
        <v>16.04.2011</v>
      </c>
      <c r="E769" s="72">
        <f t="shared" si="23"/>
        <v>389</v>
      </c>
      <c r="F769" s="72" t="str">
        <f>IFERROR(HLOOKUP(C769,Ingreso!$Q$8:$AD$9,2,FALSE),"v")</f>
        <v>Sábado</v>
      </c>
      <c r="G769" s="65" t="str">
        <f>IFERROR(VLOOKUP(A769,Ingreso!K:P,6,FALSE),"no esta ingresado")</f>
        <v>Turno A</v>
      </c>
      <c r="H769" s="65">
        <f>IFERROR(IF('Informe Kelly'!H762=$A$2,'Informe Kelly'!F762,""),0)</f>
        <v>0.33626157407407403</v>
      </c>
      <c r="I769" s="65" t="str">
        <f>IFERROR(IF('Informe Kelly'!H762=$A$3,'Informe Kelly'!F762,""),0)</f>
        <v/>
      </c>
      <c r="J769" s="65" t="str">
        <f>IF(IFERROR(IF(E769=E768,0,(HLOOKUP(D769,Ingreso!$AN$10:$AT$260,VLOOKUP(A769,Ingreso!$AL$11:$AM$260,2,FALSE)))/24),0)=0,"",IFERROR(IF(E769=E768,0,(HLOOKUP(D769,Ingreso!$AN$10:$AT$260,VLOOKUP(A769,Ingreso!$AL$11:$AM$260,2,FALSE)))/24),0))</f>
        <v/>
      </c>
      <c r="K769" s="65" t="str">
        <f>IF(IFERROR(IF(E769=E768,0,(HLOOKUP(C769,Ingreso!$AW$10:$BC$260,VLOOKUP(A769,Ingreso!$AL$11:$AM$260,2,FALSE)))/24),0)=0,"",IFERROR(IF(E769=E768,0,(HLOOKUP(C769,Ingreso!$AW$10:$BC$260,VLOOKUP(A769,Ingreso!$AL$11:$AM$260,2,FALSE)))/24),0))</f>
        <v/>
      </c>
      <c r="L769" s="63">
        <f t="shared" si="22"/>
        <v>0</v>
      </c>
      <c r="M769" s="63" t="str">
        <f>IF(IFERROR(IF(C769=C767,0,IF(E769=E768,0,IF(C769=$R$2,HLOOKUP($R$2,Ingreso!$AW$10:$BC$260,VLOOKUP(A769,Ingreso!AL:AM,2,FALSE),FALSE)/24,""))),"")=0,"",IFERROR(IF(C769=C767,0,IF(E769=E768,0,IF(C769=$R$2,HLOOKUP($R$2,Ingreso!$AW$10:$BC$260,VLOOKUP(A769,Ingreso!AL:AM,2,FALSE),FALSE)/24,""))),""))</f>
        <v/>
      </c>
      <c r="N769" s="95" t="str">
        <f>IF(IFERROR(IF(C769=C767,0,IF(E769=E768,0,IF(C769=$R$3,HLOOKUP($R$3,Ingreso!$AW$10:$BC$260,VLOOKUP(A769,Ingreso!AL:AM,2,FALSE),FALSE)/24,""))),"")=0,"",IFERROR(IF(C769=C767,0,IF(E769=E768,0,IF(C769=$R$3,HLOOKUP($R$3,Ingreso!$AW$10:$BC$260,VLOOKUP(A769,Ingreso!AL:AM,2,FALSE),FALSE)/24,""))),""))</f>
        <v/>
      </c>
      <c r="O769" s="95" t="str">
        <f>IF(IFERROR(IF(C769=C767,0,IF(E769=E768,0,IF(C769=$R$4,HLOOKUP($R$4,Ingreso!$AW$10:$BC$260,VLOOKUP(A769,Ingreso!AL:AM,2,FALSE),FALSE)/24,""))),"")=0,"",IFERROR(IF(C769=C767,0,IF(E769=E768,0,IF(C769=$R$4,HLOOKUP($R$4,Ingreso!$AW$10:$BC$260,VLOOKUP(A769,Ingreso!AL:AM,2,FALSE),FALSE)/24,""))),""))</f>
        <v/>
      </c>
      <c r="P769" s="90"/>
      <c r="V769"/>
      <c r="W769"/>
      <c r="X769"/>
      <c r="Y769"/>
      <c r="Z769"/>
      <c r="AA769"/>
      <c r="AB769"/>
      <c r="AC769"/>
      <c r="AD769"/>
    </row>
    <row r="770" spans="1:30">
      <c r="A770" s="65" t="str">
        <f>IFERROR(VLOOKUP('Informe Kelly'!A763,Base!A:B,2,FALSE),"")</f>
        <v>14.095.347-4</v>
      </c>
      <c r="B770" s="65" t="str">
        <f>IFERROR(VLOOKUP('Informe Kelly'!A763,Base!A:G,7,FALSE),"")</f>
        <v>CAÑOLES VERA ANDRES NICOLAS</v>
      </c>
      <c r="C770" s="69" t="str">
        <f>IF(G770=$C$4,IF('Informe Kelly'!H763='Control informe Kelly'!$A$2,TEXT(((LEFT('Informe Kelly'!E763,2)*1)+1),"dd")&amp;"."&amp;MID('Informe Kelly'!E763,4,2)&amp;"."&amp;RIGHT('Informe Kelly'!E763,4),'Informe Kelly'!E763),'Informe Kelly'!E763)</f>
        <v>11.04.2011</v>
      </c>
      <c r="D770" s="69" t="str">
        <f>IF('Informe Kelly'!E763="","",'Informe Kelly'!E763)</f>
        <v>11.04.2011</v>
      </c>
      <c r="E770" s="72">
        <f t="shared" si="23"/>
        <v>390</v>
      </c>
      <c r="F770" s="72" t="str">
        <f>IFERROR(HLOOKUP(C770,Ingreso!$Q$8:$AD$9,2,FALSE),"v")</f>
        <v>Lunes</v>
      </c>
      <c r="G770" s="65" t="str">
        <f>IFERROR(VLOOKUP(A770,Ingreso!K:P,6,FALSE),"no esta ingresado")</f>
        <v>no esta ingresado</v>
      </c>
      <c r="H770" s="65" t="str">
        <f>IFERROR(IF('Informe Kelly'!H763=$A$2,'Informe Kelly'!F763,""),0)</f>
        <v/>
      </c>
      <c r="I770" s="65">
        <f>IFERROR(IF('Informe Kelly'!H763=$A$3,'Informe Kelly'!F763,""),0)</f>
        <v>0.63978009259259261</v>
      </c>
      <c r="J770" s="65" t="str">
        <f>IF(IFERROR(IF(E770=E769,0,(HLOOKUP(D770,Ingreso!$AN$10:$AT$260,VLOOKUP(A770,Ingreso!$AL$11:$AM$260,2,FALSE)))/24),0)=0,"",IFERROR(IF(E770=E769,0,(HLOOKUP(D770,Ingreso!$AN$10:$AT$260,VLOOKUP(A770,Ingreso!$AL$11:$AM$260,2,FALSE)))/24),0))</f>
        <v/>
      </c>
      <c r="K770" s="65" t="str">
        <f>IF(IFERROR(IF(E770=E769,0,(HLOOKUP(C770,Ingreso!$AW$10:$BC$260,VLOOKUP(A770,Ingreso!$AL$11:$AM$260,2,FALSE)))/24),0)=0,"",IFERROR(IF(E770=E769,0,(HLOOKUP(C770,Ingreso!$AW$10:$BC$260,VLOOKUP(A770,Ingreso!$AL$11:$AM$260,2,FALSE)))/24),0))</f>
        <v/>
      </c>
      <c r="L770" s="63" t="str">
        <f t="shared" si="22"/>
        <v/>
      </c>
      <c r="M770" s="63" t="str">
        <f>IF(IFERROR(IF(C770=C768,0,IF(E770=E769,0,IF(C770=$R$2,HLOOKUP($R$2,Ingreso!$AW$10:$BC$260,VLOOKUP(A770,Ingreso!AL:AM,2,FALSE),FALSE)/24,""))),"")=0,"",IFERROR(IF(C770=C768,0,IF(E770=E769,0,IF(C770=$R$2,HLOOKUP($R$2,Ingreso!$AW$10:$BC$260,VLOOKUP(A770,Ingreso!AL:AM,2,FALSE),FALSE)/24,""))),""))</f>
        <v/>
      </c>
      <c r="N770" s="95" t="str">
        <f>IF(IFERROR(IF(C770=C768,0,IF(E770=E769,0,IF(C770=$R$3,HLOOKUP($R$3,Ingreso!$AW$10:$BC$260,VLOOKUP(A770,Ingreso!AL:AM,2,FALSE),FALSE)/24,""))),"")=0,"",IFERROR(IF(C770=C768,0,IF(E770=E769,0,IF(C770=$R$3,HLOOKUP($R$3,Ingreso!$AW$10:$BC$260,VLOOKUP(A770,Ingreso!AL:AM,2,FALSE),FALSE)/24,""))),""))</f>
        <v/>
      </c>
      <c r="O770" s="95" t="str">
        <f>IF(IFERROR(IF(C770=C768,0,IF(E770=E769,0,IF(C770=$R$4,HLOOKUP($R$4,Ingreso!$AW$10:$BC$260,VLOOKUP(A770,Ingreso!AL:AM,2,FALSE),FALSE)/24,""))),"")=0,"",IFERROR(IF(C770=C768,0,IF(E770=E769,0,IF(C770=$R$4,HLOOKUP($R$4,Ingreso!$AW$10:$BC$260,VLOOKUP(A770,Ingreso!AL:AM,2,FALSE),FALSE)/24,""))),""))</f>
        <v/>
      </c>
      <c r="P770" s="90"/>
      <c r="V770"/>
      <c r="W770"/>
      <c r="X770"/>
      <c r="Y770"/>
      <c r="Z770"/>
      <c r="AA770"/>
      <c r="AB770"/>
      <c r="AC770"/>
      <c r="AD770"/>
    </row>
    <row r="771" spans="1:30">
      <c r="A771" s="65" t="str">
        <f>IFERROR(VLOOKUP('Informe Kelly'!A764,Base!A:B,2,FALSE),"")</f>
        <v>14.095.347-4</v>
      </c>
      <c r="B771" s="65" t="str">
        <f>IFERROR(VLOOKUP('Informe Kelly'!A764,Base!A:G,7,FALSE),"")</f>
        <v>CAÑOLES VERA ANDRES NICOLAS</v>
      </c>
      <c r="C771" s="69" t="str">
        <f>IF(G771=$C$4,IF('Informe Kelly'!H764='Control informe Kelly'!$A$2,TEXT(((LEFT('Informe Kelly'!E764,2)*1)+1),"dd")&amp;"."&amp;MID('Informe Kelly'!E764,4,2)&amp;"."&amp;RIGHT('Informe Kelly'!E764,4),'Informe Kelly'!E764),'Informe Kelly'!E764)</f>
        <v>11.04.2011</v>
      </c>
      <c r="D771" s="69" t="str">
        <f>IF('Informe Kelly'!E764="","",'Informe Kelly'!E764)</f>
        <v>11.04.2011</v>
      </c>
      <c r="E771" s="72">
        <f t="shared" si="23"/>
        <v>390</v>
      </c>
      <c r="F771" s="72" t="str">
        <f>IFERROR(HLOOKUP(C771,Ingreso!$Q$8:$AD$9,2,FALSE),"v")</f>
        <v>Lunes</v>
      </c>
      <c r="G771" s="65" t="str">
        <f>IFERROR(VLOOKUP(A771,Ingreso!K:P,6,FALSE),"no esta ingresado")</f>
        <v>no esta ingresado</v>
      </c>
      <c r="H771" s="65">
        <f>IFERROR(IF('Informe Kelly'!H764=$A$2,'Informe Kelly'!F764,""),0)</f>
        <v>0.30149305555555556</v>
      </c>
      <c r="I771" s="65" t="str">
        <f>IFERROR(IF('Informe Kelly'!H764=$A$3,'Informe Kelly'!F764,""),0)</f>
        <v/>
      </c>
      <c r="J771" s="65" t="str">
        <f>IF(IFERROR(IF(E771=E770,0,(HLOOKUP(D771,Ingreso!$AN$10:$AT$260,VLOOKUP(A771,Ingreso!$AL$11:$AM$260,2,FALSE)))/24),0)=0,"",IFERROR(IF(E771=E770,0,(HLOOKUP(D771,Ingreso!$AN$10:$AT$260,VLOOKUP(A771,Ingreso!$AL$11:$AM$260,2,FALSE)))/24),0))</f>
        <v/>
      </c>
      <c r="K771" s="65" t="str">
        <f>IF(IFERROR(IF(E771=E770,0,(HLOOKUP(C771,Ingreso!$AW$10:$BC$260,VLOOKUP(A771,Ingreso!$AL$11:$AM$260,2,FALSE)))/24),0)=0,"",IFERROR(IF(E771=E770,0,(HLOOKUP(C771,Ingreso!$AW$10:$BC$260,VLOOKUP(A771,Ingreso!$AL$11:$AM$260,2,FALSE)))/24),0))</f>
        <v/>
      </c>
      <c r="L771" s="63">
        <f t="shared" si="22"/>
        <v>0</v>
      </c>
      <c r="M771" s="63" t="str">
        <f>IF(IFERROR(IF(C771=C769,0,IF(E771=E770,0,IF(C771=$R$2,HLOOKUP($R$2,Ingreso!$AW$10:$BC$260,VLOOKUP(A771,Ingreso!AL:AM,2,FALSE),FALSE)/24,""))),"")=0,"",IFERROR(IF(C771=C769,0,IF(E771=E770,0,IF(C771=$R$2,HLOOKUP($R$2,Ingreso!$AW$10:$BC$260,VLOOKUP(A771,Ingreso!AL:AM,2,FALSE),FALSE)/24,""))),""))</f>
        <v/>
      </c>
      <c r="N771" s="95" t="str">
        <f>IF(IFERROR(IF(C771=C769,0,IF(E771=E770,0,IF(C771=$R$3,HLOOKUP($R$3,Ingreso!$AW$10:$BC$260,VLOOKUP(A771,Ingreso!AL:AM,2,FALSE),FALSE)/24,""))),"")=0,"",IFERROR(IF(C771=C769,0,IF(E771=E770,0,IF(C771=$R$3,HLOOKUP($R$3,Ingreso!$AW$10:$BC$260,VLOOKUP(A771,Ingreso!AL:AM,2,FALSE),FALSE)/24,""))),""))</f>
        <v/>
      </c>
      <c r="O771" s="95" t="str">
        <f>IF(IFERROR(IF(C771=C769,0,IF(E771=E770,0,IF(C771=$R$4,HLOOKUP($R$4,Ingreso!$AW$10:$BC$260,VLOOKUP(A771,Ingreso!AL:AM,2,FALSE),FALSE)/24,""))),"")=0,"",IFERROR(IF(C771=C769,0,IF(E771=E770,0,IF(C771=$R$4,HLOOKUP($R$4,Ingreso!$AW$10:$BC$260,VLOOKUP(A771,Ingreso!AL:AM,2,FALSE),FALSE)/24,""))),""))</f>
        <v/>
      </c>
      <c r="P771" s="90"/>
      <c r="V771"/>
      <c r="W771"/>
      <c r="X771"/>
      <c r="Y771"/>
      <c r="Z771"/>
      <c r="AA771"/>
      <c r="AB771"/>
      <c r="AC771"/>
      <c r="AD771"/>
    </row>
    <row r="772" spans="1:30">
      <c r="A772" s="65" t="str">
        <f>IFERROR(VLOOKUP('Informe Kelly'!A765,Base!A:B,2,FALSE),"")</f>
        <v>14.095.347-4</v>
      </c>
      <c r="B772" s="65" t="str">
        <f>IFERROR(VLOOKUP('Informe Kelly'!A765,Base!A:G,7,FALSE),"")</f>
        <v>CAÑOLES VERA ANDRES NICOLAS</v>
      </c>
      <c r="C772" s="69" t="str">
        <f>IF(G772=$C$4,IF('Informe Kelly'!H765='Control informe Kelly'!$A$2,TEXT(((LEFT('Informe Kelly'!E765,2)*1)+1),"dd")&amp;"."&amp;MID('Informe Kelly'!E765,4,2)&amp;"."&amp;RIGHT('Informe Kelly'!E765,4),'Informe Kelly'!E765),'Informe Kelly'!E765)</f>
        <v>12.04.2011</v>
      </c>
      <c r="D772" s="69" t="str">
        <f>IF('Informe Kelly'!E765="","",'Informe Kelly'!E765)</f>
        <v>12.04.2011</v>
      </c>
      <c r="E772" s="72">
        <f t="shared" si="23"/>
        <v>391</v>
      </c>
      <c r="F772" s="72" t="str">
        <f>IFERROR(HLOOKUP(C772,Ingreso!$Q$8:$AD$9,2,FALSE),"v")</f>
        <v>Martes</v>
      </c>
      <c r="G772" s="65" t="str">
        <f>IFERROR(VLOOKUP(A772,Ingreso!K:P,6,FALSE),"no esta ingresado")</f>
        <v>no esta ingresado</v>
      </c>
      <c r="H772" s="65" t="str">
        <f>IFERROR(IF('Informe Kelly'!H765=$A$2,'Informe Kelly'!F765,""),0)</f>
        <v/>
      </c>
      <c r="I772" s="65">
        <f>IFERROR(IF('Informe Kelly'!H765=$A$3,'Informe Kelly'!F765,""),0)</f>
        <v>0.64292824074074073</v>
      </c>
      <c r="J772" s="65" t="str">
        <f>IF(IFERROR(IF(E772=E771,0,(HLOOKUP(D772,Ingreso!$AN$10:$AT$260,VLOOKUP(A772,Ingreso!$AL$11:$AM$260,2,FALSE)))/24),0)=0,"",IFERROR(IF(E772=E771,0,(HLOOKUP(D772,Ingreso!$AN$10:$AT$260,VLOOKUP(A772,Ingreso!$AL$11:$AM$260,2,FALSE)))/24),0))</f>
        <v/>
      </c>
      <c r="K772" s="65" t="str">
        <f>IF(IFERROR(IF(E772=E771,0,(HLOOKUP(C772,Ingreso!$AW$10:$BC$260,VLOOKUP(A772,Ingreso!$AL$11:$AM$260,2,FALSE)))/24),0)=0,"",IFERROR(IF(E772=E771,0,(HLOOKUP(C772,Ingreso!$AW$10:$BC$260,VLOOKUP(A772,Ingreso!$AL$11:$AM$260,2,FALSE)))/24),0))</f>
        <v/>
      </c>
      <c r="L772" s="63" t="str">
        <f t="shared" si="22"/>
        <v/>
      </c>
      <c r="M772" s="63" t="str">
        <f>IF(IFERROR(IF(C772=C770,0,IF(E772=E771,0,IF(C772=$R$2,HLOOKUP($R$2,Ingreso!$AW$10:$BC$260,VLOOKUP(A772,Ingreso!AL:AM,2,FALSE),FALSE)/24,""))),"")=0,"",IFERROR(IF(C772=C770,0,IF(E772=E771,0,IF(C772=$R$2,HLOOKUP($R$2,Ingreso!$AW$10:$BC$260,VLOOKUP(A772,Ingreso!AL:AM,2,FALSE),FALSE)/24,""))),""))</f>
        <v/>
      </c>
      <c r="N772" s="95" t="str">
        <f>IF(IFERROR(IF(C772=C770,0,IF(E772=E771,0,IF(C772=$R$3,HLOOKUP($R$3,Ingreso!$AW$10:$BC$260,VLOOKUP(A772,Ingreso!AL:AM,2,FALSE),FALSE)/24,""))),"")=0,"",IFERROR(IF(C772=C770,0,IF(E772=E771,0,IF(C772=$R$3,HLOOKUP($R$3,Ingreso!$AW$10:$BC$260,VLOOKUP(A772,Ingreso!AL:AM,2,FALSE),FALSE)/24,""))),""))</f>
        <v/>
      </c>
      <c r="O772" s="95" t="str">
        <f>IF(IFERROR(IF(C772=C770,0,IF(E772=E771,0,IF(C772=$R$4,HLOOKUP($R$4,Ingreso!$AW$10:$BC$260,VLOOKUP(A772,Ingreso!AL:AM,2,FALSE),FALSE)/24,""))),"")=0,"",IFERROR(IF(C772=C770,0,IF(E772=E771,0,IF(C772=$R$4,HLOOKUP($R$4,Ingreso!$AW$10:$BC$260,VLOOKUP(A772,Ingreso!AL:AM,2,FALSE),FALSE)/24,""))),""))</f>
        <v/>
      </c>
      <c r="P772" s="90"/>
      <c r="V772"/>
      <c r="W772"/>
      <c r="X772"/>
      <c r="Y772"/>
      <c r="Z772"/>
      <c r="AA772"/>
      <c r="AB772"/>
      <c r="AC772"/>
      <c r="AD772"/>
    </row>
    <row r="773" spans="1:30">
      <c r="A773" s="65" t="str">
        <f>IFERROR(VLOOKUP('Informe Kelly'!A766,Base!A:B,2,FALSE),"")</f>
        <v>14.095.347-4</v>
      </c>
      <c r="B773" s="65" t="str">
        <f>IFERROR(VLOOKUP('Informe Kelly'!A766,Base!A:G,7,FALSE),"")</f>
        <v>CAÑOLES VERA ANDRES NICOLAS</v>
      </c>
      <c r="C773" s="69" t="str">
        <f>IF(G773=$C$4,IF('Informe Kelly'!H766='Control informe Kelly'!$A$2,TEXT(((LEFT('Informe Kelly'!E766,2)*1)+1),"dd")&amp;"."&amp;MID('Informe Kelly'!E766,4,2)&amp;"."&amp;RIGHT('Informe Kelly'!E766,4),'Informe Kelly'!E766),'Informe Kelly'!E766)</f>
        <v>12.04.2011</v>
      </c>
      <c r="D773" s="69" t="str">
        <f>IF('Informe Kelly'!E766="","",'Informe Kelly'!E766)</f>
        <v>12.04.2011</v>
      </c>
      <c r="E773" s="72">
        <f t="shared" si="23"/>
        <v>391</v>
      </c>
      <c r="F773" s="72" t="str">
        <f>IFERROR(HLOOKUP(C773,Ingreso!$Q$8:$AD$9,2,FALSE),"v")</f>
        <v>Martes</v>
      </c>
      <c r="G773" s="65" t="str">
        <f>IFERROR(VLOOKUP(A773,Ingreso!K:P,6,FALSE),"no esta ingresado")</f>
        <v>no esta ingresado</v>
      </c>
      <c r="H773" s="65">
        <f>IFERROR(IF('Informe Kelly'!H766=$A$2,'Informe Kelly'!F766,""),0)</f>
        <v>0.32074074074074072</v>
      </c>
      <c r="I773" s="65" t="str">
        <f>IFERROR(IF('Informe Kelly'!H766=$A$3,'Informe Kelly'!F766,""),0)</f>
        <v/>
      </c>
      <c r="J773" s="65" t="str">
        <f>IF(IFERROR(IF(E773=E772,0,(HLOOKUP(D773,Ingreso!$AN$10:$AT$260,VLOOKUP(A773,Ingreso!$AL$11:$AM$260,2,FALSE)))/24),0)=0,"",IFERROR(IF(E773=E772,0,(HLOOKUP(D773,Ingreso!$AN$10:$AT$260,VLOOKUP(A773,Ingreso!$AL$11:$AM$260,2,FALSE)))/24),0))</f>
        <v/>
      </c>
      <c r="K773" s="65" t="str">
        <f>IF(IFERROR(IF(E773=E772,0,(HLOOKUP(C773,Ingreso!$AW$10:$BC$260,VLOOKUP(A773,Ingreso!$AL$11:$AM$260,2,FALSE)))/24),0)=0,"",IFERROR(IF(E773=E772,0,(HLOOKUP(C773,Ingreso!$AW$10:$BC$260,VLOOKUP(A773,Ingreso!$AL$11:$AM$260,2,FALSE)))/24),0))</f>
        <v/>
      </c>
      <c r="L773" s="63">
        <f t="shared" si="22"/>
        <v>0</v>
      </c>
      <c r="M773" s="63" t="str">
        <f>IF(IFERROR(IF(C773=C771,0,IF(E773=E772,0,IF(C773=$R$2,HLOOKUP($R$2,Ingreso!$AW$10:$BC$260,VLOOKUP(A773,Ingreso!AL:AM,2,FALSE),FALSE)/24,""))),"")=0,"",IFERROR(IF(C773=C771,0,IF(E773=E772,0,IF(C773=$R$2,HLOOKUP($R$2,Ingreso!$AW$10:$BC$260,VLOOKUP(A773,Ingreso!AL:AM,2,FALSE),FALSE)/24,""))),""))</f>
        <v/>
      </c>
      <c r="N773" s="95" t="str">
        <f>IF(IFERROR(IF(C773=C771,0,IF(E773=E772,0,IF(C773=$R$3,HLOOKUP($R$3,Ingreso!$AW$10:$BC$260,VLOOKUP(A773,Ingreso!AL:AM,2,FALSE),FALSE)/24,""))),"")=0,"",IFERROR(IF(C773=C771,0,IF(E773=E772,0,IF(C773=$R$3,HLOOKUP($R$3,Ingreso!$AW$10:$BC$260,VLOOKUP(A773,Ingreso!AL:AM,2,FALSE),FALSE)/24,""))),""))</f>
        <v/>
      </c>
      <c r="O773" s="95" t="str">
        <f>IF(IFERROR(IF(C773=C771,0,IF(E773=E772,0,IF(C773=$R$4,HLOOKUP($R$4,Ingreso!$AW$10:$BC$260,VLOOKUP(A773,Ingreso!AL:AM,2,FALSE),FALSE)/24,""))),"")=0,"",IFERROR(IF(C773=C771,0,IF(E773=E772,0,IF(C773=$R$4,HLOOKUP($R$4,Ingreso!$AW$10:$BC$260,VLOOKUP(A773,Ingreso!AL:AM,2,FALSE),FALSE)/24,""))),""))</f>
        <v/>
      </c>
      <c r="P773" s="90"/>
      <c r="V773"/>
      <c r="W773"/>
      <c r="X773"/>
      <c r="Y773"/>
      <c r="Z773"/>
      <c r="AA773"/>
      <c r="AB773"/>
      <c r="AC773"/>
      <c r="AD773"/>
    </row>
    <row r="774" spans="1:30">
      <c r="A774" s="65" t="str">
        <f>IFERROR(VLOOKUP('Informe Kelly'!A767,Base!A:B,2,FALSE),"")</f>
        <v>14.095.347-4</v>
      </c>
      <c r="B774" s="65" t="str">
        <f>IFERROR(VLOOKUP('Informe Kelly'!A767,Base!A:G,7,FALSE),"")</f>
        <v>CAÑOLES VERA ANDRES NICOLAS</v>
      </c>
      <c r="C774" s="69" t="str">
        <f>IF(G774=$C$4,IF('Informe Kelly'!H767='Control informe Kelly'!$A$2,TEXT(((LEFT('Informe Kelly'!E767,2)*1)+1),"dd")&amp;"."&amp;MID('Informe Kelly'!E767,4,2)&amp;"."&amp;RIGHT('Informe Kelly'!E767,4),'Informe Kelly'!E767),'Informe Kelly'!E767)</f>
        <v>13.04.2011</v>
      </c>
      <c r="D774" s="69" t="str">
        <f>IF('Informe Kelly'!E767="","",'Informe Kelly'!E767)</f>
        <v>13.04.2011</v>
      </c>
      <c r="E774" s="72">
        <f t="shared" si="23"/>
        <v>392</v>
      </c>
      <c r="F774" s="72" t="str">
        <f>IFERROR(HLOOKUP(C774,Ingreso!$Q$8:$AD$9,2,FALSE),"v")</f>
        <v>Miércoles</v>
      </c>
      <c r="G774" s="65" t="str">
        <f>IFERROR(VLOOKUP(A774,Ingreso!K:P,6,FALSE),"no esta ingresado")</f>
        <v>no esta ingresado</v>
      </c>
      <c r="H774" s="65" t="str">
        <f>IFERROR(IF('Informe Kelly'!H767=$A$2,'Informe Kelly'!F767,""),0)</f>
        <v/>
      </c>
      <c r="I774" s="65">
        <f>IFERROR(IF('Informe Kelly'!H767=$A$3,'Informe Kelly'!F767,""),0)</f>
        <v>0.64306712962962964</v>
      </c>
      <c r="J774" s="65" t="str">
        <f>IF(IFERROR(IF(E774=E773,0,(HLOOKUP(D774,Ingreso!$AN$10:$AT$260,VLOOKUP(A774,Ingreso!$AL$11:$AM$260,2,FALSE)))/24),0)=0,"",IFERROR(IF(E774=E773,0,(HLOOKUP(D774,Ingreso!$AN$10:$AT$260,VLOOKUP(A774,Ingreso!$AL$11:$AM$260,2,FALSE)))/24),0))</f>
        <v/>
      </c>
      <c r="K774" s="65" t="str">
        <f>IF(IFERROR(IF(E774=E773,0,(HLOOKUP(C774,Ingreso!$AW$10:$BC$260,VLOOKUP(A774,Ingreso!$AL$11:$AM$260,2,FALSE)))/24),0)=0,"",IFERROR(IF(E774=E773,0,(HLOOKUP(C774,Ingreso!$AW$10:$BC$260,VLOOKUP(A774,Ingreso!$AL$11:$AM$260,2,FALSE)))/24),0))</f>
        <v/>
      </c>
      <c r="L774" s="63" t="str">
        <f t="shared" si="22"/>
        <v/>
      </c>
      <c r="M774" s="63" t="str">
        <f>IF(IFERROR(IF(C774=C772,0,IF(E774=E773,0,IF(C774=$R$2,HLOOKUP($R$2,Ingreso!$AW$10:$BC$260,VLOOKUP(A774,Ingreso!AL:AM,2,FALSE),FALSE)/24,""))),"")=0,"",IFERROR(IF(C774=C772,0,IF(E774=E773,0,IF(C774=$R$2,HLOOKUP($R$2,Ingreso!$AW$10:$BC$260,VLOOKUP(A774,Ingreso!AL:AM,2,FALSE),FALSE)/24,""))),""))</f>
        <v/>
      </c>
      <c r="N774" s="95" t="str">
        <f>IF(IFERROR(IF(C774=C772,0,IF(E774=E773,0,IF(C774=$R$3,HLOOKUP($R$3,Ingreso!$AW$10:$BC$260,VLOOKUP(A774,Ingreso!AL:AM,2,FALSE),FALSE)/24,""))),"")=0,"",IFERROR(IF(C774=C772,0,IF(E774=E773,0,IF(C774=$R$3,HLOOKUP($R$3,Ingreso!$AW$10:$BC$260,VLOOKUP(A774,Ingreso!AL:AM,2,FALSE),FALSE)/24,""))),""))</f>
        <v/>
      </c>
      <c r="O774" s="95" t="str">
        <f>IF(IFERROR(IF(C774=C772,0,IF(E774=E773,0,IF(C774=$R$4,HLOOKUP($R$4,Ingreso!$AW$10:$BC$260,VLOOKUP(A774,Ingreso!AL:AM,2,FALSE),FALSE)/24,""))),"")=0,"",IFERROR(IF(C774=C772,0,IF(E774=E773,0,IF(C774=$R$4,HLOOKUP($R$4,Ingreso!$AW$10:$BC$260,VLOOKUP(A774,Ingreso!AL:AM,2,FALSE),FALSE)/24,""))),""))</f>
        <v/>
      </c>
      <c r="P774" s="90"/>
      <c r="V774"/>
      <c r="W774"/>
      <c r="X774"/>
      <c r="Y774"/>
      <c r="Z774"/>
      <c r="AA774"/>
      <c r="AB774"/>
      <c r="AC774"/>
      <c r="AD774"/>
    </row>
    <row r="775" spans="1:30">
      <c r="A775" s="65" t="str">
        <f>IFERROR(VLOOKUP('Informe Kelly'!A768,Base!A:B,2,FALSE),"")</f>
        <v>14.095.347-4</v>
      </c>
      <c r="B775" s="65" t="str">
        <f>IFERROR(VLOOKUP('Informe Kelly'!A768,Base!A:G,7,FALSE),"")</f>
        <v>CAÑOLES VERA ANDRES NICOLAS</v>
      </c>
      <c r="C775" s="69" t="str">
        <f>IF(G775=$C$4,IF('Informe Kelly'!H768='Control informe Kelly'!$A$2,TEXT(((LEFT('Informe Kelly'!E768,2)*1)+1),"dd")&amp;"."&amp;MID('Informe Kelly'!E768,4,2)&amp;"."&amp;RIGHT('Informe Kelly'!E768,4),'Informe Kelly'!E768),'Informe Kelly'!E768)</f>
        <v>13.04.2011</v>
      </c>
      <c r="D775" s="69" t="str">
        <f>IF('Informe Kelly'!E768="","",'Informe Kelly'!E768)</f>
        <v>13.04.2011</v>
      </c>
      <c r="E775" s="72">
        <f t="shared" si="23"/>
        <v>392</v>
      </c>
      <c r="F775" s="72" t="str">
        <f>IFERROR(HLOOKUP(C775,Ingreso!$Q$8:$AD$9,2,FALSE),"v")</f>
        <v>Miércoles</v>
      </c>
      <c r="G775" s="65" t="str">
        <f>IFERROR(VLOOKUP(A775,Ingreso!K:P,6,FALSE),"no esta ingresado")</f>
        <v>no esta ingresado</v>
      </c>
      <c r="H775" s="65">
        <f>IFERROR(IF('Informe Kelly'!H768=$A$2,'Informe Kelly'!F768,""),0)</f>
        <v>0.30579861111111112</v>
      </c>
      <c r="I775" s="65" t="str">
        <f>IFERROR(IF('Informe Kelly'!H768=$A$3,'Informe Kelly'!F768,""),0)</f>
        <v/>
      </c>
      <c r="J775" s="65" t="str">
        <f>IF(IFERROR(IF(E775=E774,0,(HLOOKUP(D775,Ingreso!$AN$10:$AT$260,VLOOKUP(A775,Ingreso!$AL$11:$AM$260,2,FALSE)))/24),0)=0,"",IFERROR(IF(E775=E774,0,(HLOOKUP(D775,Ingreso!$AN$10:$AT$260,VLOOKUP(A775,Ingreso!$AL$11:$AM$260,2,FALSE)))/24),0))</f>
        <v/>
      </c>
      <c r="K775" s="65" t="str">
        <f>IF(IFERROR(IF(E775=E774,0,(HLOOKUP(C775,Ingreso!$AW$10:$BC$260,VLOOKUP(A775,Ingreso!$AL$11:$AM$260,2,FALSE)))/24),0)=0,"",IFERROR(IF(E775=E774,0,(HLOOKUP(C775,Ingreso!$AW$10:$BC$260,VLOOKUP(A775,Ingreso!$AL$11:$AM$260,2,FALSE)))/24),0))</f>
        <v/>
      </c>
      <c r="L775" s="63">
        <f t="shared" si="22"/>
        <v>0</v>
      </c>
      <c r="M775" s="63" t="str">
        <f>IF(IFERROR(IF(C775=C773,0,IF(E775=E774,0,IF(C775=$R$2,HLOOKUP($R$2,Ingreso!$AW$10:$BC$260,VLOOKUP(A775,Ingreso!AL:AM,2,FALSE),FALSE)/24,""))),"")=0,"",IFERROR(IF(C775=C773,0,IF(E775=E774,0,IF(C775=$R$2,HLOOKUP($R$2,Ingreso!$AW$10:$BC$260,VLOOKUP(A775,Ingreso!AL:AM,2,FALSE),FALSE)/24,""))),""))</f>
        <v/>
      </c>
      <c r="N775" s="95" t="str">
        <f>IF(IFERROR(IF(C775=C773,0,IF(E775=E774,0,IF(C775=$R$3,HLOOKUP($R$3,Ingreso!$AW$10:$BC$260,VLOOKUP(A775,Ingreso!AL:AM,2,FALSE),FALSE)/24,""))),"")=0,"",IFERROR(IF(C775=C773,0,IF(E775=E774,0,IF(C775=$R$3,HLOOKUP($R$3,Ingreso!$AW$10:$BC$260,VLOOKUP(A775,Ingreso!AL:AM,2,FALSE),FALSE)/24,""))),""))</f>
        <v/>
      </c>
      <c r="O775" s="95" t="str">
        <f>IF(IFERROR(IF(C775=C773,0,IF(E775=E774,0,IF(C775=$R$4,HLOOKUP($R$4,Ingreso!$AW$10:$BC$260,VLOOKUP(A775,Ingreso!AL:AM,2,FALSE),FALSE)/24,""))),"")=0,"",IFERROR(IF(C775=C773,0,IF(E775=E774,0,IF(C775=$R$4,HLOOKUP($R$4,Ingreso!$AW$10:$BC$260,VLOOKUP(A775,Ingreso!AL:AM,2,FALSE),FALSE)/24,""))),""))</f>
        <v/>
      </c>
      <c r="P775" s="90"/>
      <c r="V775"/>
      <c r="W775"/>
      <c r="X775"/>
      <c r="Y775"/>
      <c r="Z775"/>
      <c r="AA775"/>
      <c r="AB775"/>
      <c r="AC775"/>
      <c r="AD775"/>
    </row>
    <row r="776" spans="1:30">
      <c r="A776" s="65" t="str">
        <f>IFERROR(VLOOKUP('Informe Kelly'!A769,Base!A:B,2,FALSE),"")</f>
        <v>14.095.347-4</v>
      </c>
      <c r="B776" s="65" t="str">
        <f>IFERROR(VLOOKUP('Informe Kelly'!A769,Base!A:G,7,FALSE),"")</f>
        <v>CAÑOLES VERA ANDRES NICOLAS</v>
      </c>
      <c r="C776" s="69" t="str">
        <f>IF(G776=$C$4,IF('Informe Kelly'!H769='Control informe Kelly'!$A$2,TEXT(((LEFT('Informe Kelly'!E769,2)*1)+1),"dd")&amp;"."&amp;MID('Informe Kelly'!E769,4,2)&amp;"."&amp;RIGHT('Informe Kelly'!E769,4),'Informe Kelly'!E769),'Informe Kelly'!E769)</f>
        <v>14.04.2011</v>
      </c>
      <c r="D776" s="69" t="str">
        <f>IF('Informe Kelly'!E769="","",'Informe Kelly'!E769)</f>
        <v>14.04.2011</v>
      </c>
      <c r="E776" s="72">
        <f t="shared" si="23"/>
        <v>393</v>
      </c>
      <c r="F776" s="72" t="str">
        <f>IFERROR(HLOOKUP(C776,Ingreso!$Q$8:$AD$9,2,FALSE),"v")</f>
        <v>Jueves</v>
      </c>
      <c r="G776" s="65" t="str">
        <f>IFERROR(VLOOKUP(A776,Ingreso!K:P,6,FALSE),"no esta ingresado")</f>
        <v>no esta ingresado</v>
      </c>
      <c r="H776" s="65" t="str">
        <f>IFERROR(IF('Informe Kelly'!H769=$A$2,'Informe Kelly'!F769,""),0)</f>
        <v/>
      </c>
      <c r="I776" s="65">
        <f>IFERROR(IF('Informe Kelly'!H769=$A$3,'Informe Kelly'!F769,""),0)</f>
        <v>0.64391203703703703</v>
      </c>
      <c r="J776" s="65" t="str">
        <f>IF(IFERROR(IF(E776=E775,0,(HLOOKUP(D776,Ingreso!$AN$10:$AT$260,VLOOKUP(A776,Ingreso!$AL$11:$AM$260,2,FALSE)))/24),0)=0,"",IFERROR(IF(E776=E775,0,(HLOOKUP(D776,Ingreso!$AN$10:$AT$260,VLOOKUP(A776,Ingreso!$AL$11:$AM$260,2,FALSE)))/24),0))</f>
        <v/>
      </c>
      <c r="K776" s="65" t="str">
        <f>IF(IFERROR(IF(E776=E775,0,(HLOOKUP(C776,Ingreso!$AW$10:$BC$260,VLOOKUP(A776,Ingreso!$AL$11:$AM$260,2,FALSE)))/24),0)=0,"",IFERROR(IF(E776=E775,0,(HLOOKUP(C776,Ingreso!$AW$10:$BC$260,VLOOKUP(A776,Ingreso!$AL$11:$AM$260,2,FALSE)))/24),0))</f>
        <v/>
      </c>
      <c r="L776" s="63" t="str">
        <f t="shared" si="22"/>
        <v/>
      </c>
      <c r="M776" s="63" t="str">
        <f>IF(IFERROR(IF(C776=C774,0,IF(E776=E775,0,IF(C776=$R$2,HLOOKUP($R$2,Ingreso!$AW$10:$BC$260,VLOOKUP(A776,Ingreso!AL:AM,2,FALSE),FALSE)/24,""))),"")=0,"",IFERROR(IF(C776=C774,0,IF(E776=E775,0,IF(C776=$R$2,HLOOKUP($R$2,Ingreso!$AW$10:$BC$260,VLOOKUP(A776,Ingreso!AL:AM,2,FALSE),FALSE)/24,""))),""))</f>
        <v/>
      </c>
      <c r="N776" s="95" t="str">
        <f>IF(IFERROR(IF(C776=C774,0,IF(E776=E775,0,IF(C776=$R$3,HLOOKUP($R$3,Ingreso!$AW$10:$BC$260,VLOOKUP(A776,Ingreso!AL:AM,2,FALSE),FALSE)/24,""))),"")=0,"",IFERROR(IF(C776=C774,0,IF(E776=E775,0,IF(C776=$R$3,HLOOKUP($R$3,Ingreso!$AW$10:$BC$260,VLOOKUP(A776,Ingreso!AL:AM,2,FALSE),FALSE)/24,""))),""))</f>
        <v/>
      </c>
      <c r="O776" s="95" t="str">
        <f>IF(IFERROR(IF(C776=C774,0,IF(E776=E775,0,IF(C776=$R$4,HLOOKUP($R$4,Ingreso!$AW$10:$BC$260,VLOOKUP(A776,Ingreso!AL:AM,2,FALSE),FALSE)/24,""))),"")=0,"",IFERROR(IF(C776=C774,0,IF(E776=E775,0,IF(C776=$R$4,HLOOKUP($R$4,Ingreso!$AW$10:$BC$260,VLOOKUP(A776,Ingreso!AL:AM,2,FALSE),FALSE)/24,""))),""))</f>
        <v/>
      </c>
      <c r="P776" s="90"/>
      <c r="V776"/>
      <c r="W776"/>
      <c r="X776"/>
      <c r="Y776"/>
      <c r="Z776"/>
      <c r="AA776"/>
      <c r="AB776"/>
      <c r="AC776"/>
      <c r="AD776"/>
    </row>
    <row r="777" spans="1:30">
      <c r="A777" s="65" t="str">
        <f>IFERROR(VLOOKUP('Informe Kelly'!A770,Base!A:B,2,FALSE),"")</f>
        <v>14.095.347-4</v>
      </c>
      <c r="B777" s="65" t="str">
        <f>IFERROR(VLOOKUP('Informe Kelly'!A770,Base!A:G,7,FALSE),"")</f>
        <v>CAÑOLES VERA ANDRES NICOLAS</v>
      </c>
      <c r="C777" s="69" t="str">
        <f>IF(G777=$C$4,IF('Informe Kelly'!H770='Control informe Kelly'!$A$2,TEXT(((LEFT('Informe Kelly'!E770,2)*1)+1),"dd")&amp;"."&amp;MID('Informe Kelly'!E770,4,2)&amp;"."&amp;RIGHT('Informe Kelly'!E770,4),'Informe Kelly'!E770),'Informe Kelly'!E770)</f>
        <v>14.04.2011</v>
      </c>
      <c r="D777" s="69" t="str">
        <f>IF('Informe Kelly'!E770="","",'Informe Kelly'!E770)</f>
        <v>14.04.2011</v>
      </c>
      <c r="E777" s="72">
        <f t="shared" si="23"/>
        <v>393</v>
      </c>
      <c r="F777" s="72" t="str">
        <f>IFERROR(HLOOKUP(C777,Ingreso!$Q$8:$AD$9,2,FALSE),"v")</f>
        <v>Jueves</v>
      </c>
      <c r="G777" s="65" t="str">
        <f>IFERROR(VLOOKUP(A777,Ingreso!K:P,6,FALSE),"no esta ingresado")</f>
        <v>no esta ingresado</v>
      </c>
      <c r="H777" s="65">
        <f>IFERROR(IF('Informe Kelly'!H770=$A$2,'Informe Kelly'!F770,""),0)</f>
        <v>0.3082523148148148</v>
      </c>
      <c r="I777" s="65" t="str">
        <f>IFERROR(IF('Informe Kelly'!H770=$A$3,'Informe Kelly'!F770,""),0)</f>
        <v/>
      </c>
      <c r="J777" s="65" t="str">
        <f>IF(IFERROR(IF(E777=E776,0,(HLOOKUP(D777,Ingreso!$AN$10:$AT$260,VLOOKUP(A777,Ingreso!$AL$11:$AM$260,2,FALSE)))/24),0)=0,"",IFERROR(IF(E777=E776,0,(HLOOKUP(D777,Ingreso!$AN$10:$AT$260,VLOOKUP(A777,Ingreso!$AL$11:$AM$260,2,FALSE)))/24),0))</f>
        <v/>
      </c>
      <c r="K777" s="65" t="str">
        <f>IF(IFERROR(IF(E777=E776,0,(HLOOKUP(C777,Ingreso!$AW$10:$BC$260,VLOOKUP(A777,Ingreso!$AL$11:$AM$260,2,FALSE)))/24),0)=0,"",IFERROR(IF(E777=E776,0,(HLOOKUP(C777,Ingreso!$AW$10:$BC$260,VLOOKUP(A777,Ingreso!$AL$11:$AM$260,2,FALSE)))/24),0))</f>
        <v/>
      </c>
      <c r="L777" s="63">
        <f t="shared" ref="L777:L840" si="24">IFERROR(IF(C777=C775,0,IF(E777=E776,0,(VLOOKUP(G777,$C$2:$D$5,2,FALSE)))),"")</f>
        <v>0</v>
      </c>
      <c r="M777" s="63" t="str">
        <f>IF(IFERROR(IF(C777=C775,0,IF(E777=E776,0,IF(C777=$R$2,HLOOKUP($R$2,Ingreso!$AW$10:$BC$260,VLOOKUP(A777,Ingreso!AL:AM,2,FALSE),FALSE)/24,""))),"")=0,"",IFERROR(IF(C777=C775,0,IF(E777=E776,0,IF(C777=$R$2,HLOOKUP($R$2,Ingreso!$AW$10:$BC$260,VLOOKUP(A777,Ingreso!AL:AM,2,FALSE),FALSE)/24,""))),""))</f>
        <v/>
      </c>
      <c r="N777" s="95" t="str">
        <f>IF(IFERROR(IF(C777=C775,0,IF(E777=E776,0,IF(C777=$R$3,HLOOKUP($R$3,Ingreso!$AW$10:$BC$260,VLOOKUP(A777,Ingreso!AL:AM,2,FALSE),FALSE)/24,""))),"")=0,"",IFERROR(IF(C777=C775,0,IF(E777=E776,0,IF(C777=$R$3,HLOOKUP($R$3,Ingreso!$AW$10:$BC$260,VLOOKUP(A777,Ingreso!AL:AM,2,FALSE),FALSE)/24,""))),""))</f>
        <v/>
      </c>
      <c r="O777" s="95" t="str">
        <f>IF(IFERROR(IF(C777=C775,0,IF(E777=E776,0,IF(C777=$R$4,HLOOKUP($R$4,Ingreso!$AW$10:$BC$260,VLOOKUP(A777,Ingreso!AL:AM,2,FALSE),FALSE)/24,""))),"")=0,"",IFERROR(IF(C777=C775,0,IF(E777=E776,0,IF(C777=$R$4,HLOOKUP($R$4,Ingreso!$AW$10:$BC$260,VLOOKUP(A777,Ingreso!AL:AM,2,FALSE),FALSE)/24,""))),""))</f>
        <v/>
      </c>
      <c r="P777" s="90"/>
      <c r="V777"/>
      <c r="W777"/>
      <c r="X777"/>
      <c r="Y777"/>
      <c r="Z777"/>
      <c r="AA777"/>
      <c r="AB777"/>
      <c r="AC777"/>
      <c r="AD777"/>
    </row>
    <row r="778" spans="1:30">
      <c r="A778" s="65" t="str">
        <f>IFERROR(VLOOKUP('Informe Kelly'!A771,Base!A:B,2,FALSE),"")</f>
        <v>14.095.347-4</v>
      </c>
      <c r="B778" s="65" t="str">
        <f>IFERROR(VLOOKUP('Informe Kelly'!A771,Base!A:G,7,FALSE),"")</f>
        <v>CAÑOLES VERA ANDRES NICOLAS</v>
      </c>
      <c r="C778" s="69" t="str">
        <f>IF(G778=$C$4,IF('Informe Kelly'!H771='Control informe Kelly'!$A$2,TEXT(((LEFT('Informe Kelly'!E771,2)*1)+1),"dd")&amp;"."&amp;MID('Informe Kelly'!E771,4,2)&amp;"."&amp;RIGHT('Informe Kelly'!E771,4),'Informe Kelly'!E771),'Informe Kelly'!E771)</f>
        <v>15.04.2011</v>
      </c>
      <c r="D778" s="69" t="str">
        <f>IF('Informe Kelly'!E771="","",'Informe Kelly'!E771)</f>
        <v>15.04.2011</v>
      </c>
      <c r="E778" s="72">
        <f t="shared" ref="E778:E841" si="25">IF(C777=C778,IF(C778=C775,E777,IF(C778=C776,E777+1,E777)),E777+1)</f>
        <v>394</v>
      </c>
      <c r="F778" s="72" t="str">
        <f>IFERROR(HLOOKUP(C778,Ingreso!$Q$8:$AD$9,2,FALSE),"v")</f>
        <v>Viernes</v>
      </c>
      <c r="G778" s="65" t="str">
        <f>IFERROR(VLOOKUP(A778,Ingreso!K:P,6,FALSE),"no esta ingresado")</f>
        <v>no esta ingresado</v>
      </c>
      <c r="H778" s="65" t="str">
        <f>IFERROR(IF('Informe Kelly'!H771=$A$2,'Informe Kelly'!F771,""),0)</f>
        <v/>
      </c>
      <c r="I778" s="65">
        <f>IFERROR(IF('Informe Kelly'!H771=$A$3,'Informe Kelly'!F771,""),0)</f>
        <v>0.64336805555555554</v>
      </c>
      <c r="J778" s="65" t="str">
        <f>IF(IFERROR(IF(E778=E777,0,(HLOOKUP(D778,Ingreso!$AN$10:$AT$260,VLOOKUP(A778,Ingreso!$AL$11:$AM$260,2,FALSE)))/24),0)=0,"",IFERROR(IF(E778=E777,0,(HLOOKUP(D778,Ingreso!$AN$10:$AT$260,VLOOKUP(A778,Ingreso!$AL$11:$AM$260,2,FALSE)))/24),0))</f>
        <v/>
      </c>
      <c r="K778" s="65" t="str">
        <f>IF(IFERROR(IF(E778=E777,0,(HLOOKUP(C778,Ingreso!$AW$10:$BC$260,VLOOKUP(A778,Ingreso!$AL$11:$AM$260,2,FALSE)))/24),0)=0,"",IFERROR(IF(E778=E777,0,(HLOOKUP(C778,Ingreso!$AW$10:$BC$260,VLOOKUP(A778,Ingreso!$AL$11:$AM$260,2,FALSE)))/24),0))</f>
        <v/>
      </c>
      <c r="L778" s="63" t="str">
        <f t="shared" si="24"/>
        <v/>
      </c>
      <c r="M778" s="63" t="str">
        <f>IF(IFERROR(IF(C778=C776,0,IF(E778=E777,0,IF(C778=$R$2,HLOOKUP($R$2,Ingreso!$AW$10:$BC$260,VLOOKUP(A778,Ingreso!AL:AM,2,FALSE),FALSE)/24,""))),"")=0,"",IFERROR(IF(C778=C776,0,IF(E778=E777,0,IF(C778=$R$2,HLOOKUP($R$2,Ingreso!$AW$10:$BC$260,VLOOKUP(A778,Ingreso!AL:AM,2,FALSE),FALSE)/24,""))),""))</f>
        <v/>
      </c>
      <c r="N778" s="95" t="str">
        <f>IF(IFERROR(IF(C778=C776,0,IF(E778=E777,0,IF(C778=$R$3,HLOOKUP($R$3,Ingreso!$AW$10:$BC$260,VLOOKUP(A778,Ingreso!AL:AM,2,FALSE),FALSE)/24,""))),"")=0,"",IFERROR(IF(C778=C776,0,IF(E778=E777,0,IF(C778=$R$3,HLOOKUP($R$3,Ingreso!$AW$10:$BC$260,VLOOKUP(A778,Ingreso!AL:AM,2,FALSE),FALSE)/24,""))),""))</f>
        <v/>
      </c>
      <c r="O778" s="95" t="str">
        <f>IF(IFERROR(IF(C778=C776,0,IF(E778=E777,0,IF(C778=$R$4,HLOOKUP($R$4,Ingreso!$AW$10:$BC$260,VLOOKUP(A778,Ingreso!AL:AM,2,FALSE),FALSE)/24,""))),"")=0,"",IFERROR(IF(C778=C776,0,IF(E778=E777,0,IF(C778=$R$4,HLOOKUP($R$4,Ingreso!$AW$10:$BC$260,VLOOKUP(A778,Ingreso!AL:AM,2,FALSE),FALSE)/24,""))),""))</f>
        <v/>
      </c>
      <c r="P778" s="90"/>
      <c r="V778"/>
      <c r="W778"/>
      <c r="X778"/>
      <c r="Y778"/>
      <c r="Z778"/>
      <c r="AA778"/>
      <c r="AB778"/>
      <c r="AC778"/>
      <c r="AD778"/>
    </row>
    <row r="779" spans="1:30">
      <c r="A779" s="65" t="str">
        <f>IFERROR(VLOOKUP('Informe Kelly'!A772,Base!A:B,2,FALSE),"")</f>
        <v>14.095.347-4</v>
      </c>
      <c r="B779" s="65" t="str">
        <f>IFERROR(VLOOKUP('Informe Kelly'!A772,Base!A:G,7,FALSE),"")</f>
        <v>CAÑOLES VERA ANDRES NICOLAS</v>
      </c>
      <c r="C779" s="69" t="str">
        <f>IF(G779=$C$4,IF('Informe Kelly'!H772='Control informe Kelly'!$A$2,TEXT(((LEFT('Informe Kelly'!E772,2)*1)+1),"dd")&amp;"."&amp;MID('Informe Kelly'!E772,4,2)&amp;"."&amp;RIGHT('Informe Kelly'!E772,4),'Informe Kelly'!E772),'Informe Kelly'!E772)</f>
        <v>15.04.2011</v>
      </c>
      <c r="D779" s="69" t="str">
        <f>IF('Informe Kelly'!E772="","",'Informe Kelly'!E772)</f>
        <v>15.04.2011</v>
      </c>
      <c r="E779" s="72">
        <f t="shared" si="25"/>
        <v>394</v>
      </c>
      <c r="F779" s="72" t="str">
        <f>IFERROR(HLOOKUP(C779,Ingreso!$Q$8:$AD$9,2,FALSE),"v")</f>
        <v>Viernes</v>
      </c>
      <c r="G779" s="65" t="str">
        <f>IFERROR(VLOOKUP(A779,Ingreso!K:P,6,FALSE),"no esta ingresado")</f>
        <v>no esta ingresado</v>
      </c>
      <c r="H779" s="65">
        <f>IFERROR(IF('Informe Kelly'!H772=$A$2,'Informe Kelly'!F772,""),0)</f>
        <v>0.31296296296296294</v>
      </c>
      <c r="I779" s="65" t="str">
        <f>IFERROR(IF('Informe Kelly'!H772=$A$3,'Informe Kelly'!F772,""),0)</f>
        <v/>
      </c>
      <c r="J779" s="65" t="str">
        <f>IF(IFERROR(IF(E779=E778,0,(HLOOKUP(D779,Ingreso!$AN$10:$AT$260,VLOOKUP(A779,Ingreso!$AL$11:$AM$260,2,FALSE)))/24),0)=0,"",IFERROR(IF(E779=E778,0,(HLOOKUP(D779,Ingreso!$AN$10:$AT$260,VLOOKUP(A779,Ingreso!$AL$11:$AM$260,2,FALSE)))/24),0))</f>
        <v/>
      </c>
      <c r="K779" s="65" t="str">
        <f>IF(IFERROR(IF(E779=E778,0,(HLOOKUP(C779,Ingreso!$AW$10:$BC$260,VLOOKUP(A779,Ingreso!$AL$11:$AM$260,2,FALSE)))/24),0)=0,"",IFERROR(IF(E779=E778,0,(HLOOKUP(C779,Ingreso!$AW$10:$BC$260,VLOOKUP(A779,Ingreso!$AL$11:$AM$260,2,FALSE)))/24),0))</f>
        <v/>
      </c>
      <c r="L779" s="63">
        <f t="shared" si="24"/>
        <v>0</v>
      </c>
      <c r="M779" s="63" t="str">
        <f>IF(IFERROR(IF(C779=C777,0,IF(E779=E778,0,IF(C779=$R$2,HLOOKUP($R$2,Ingreso!$AW$10:$BC$260,VLOOKUP(A779,Ingreso!AL:AM,2,FALSE),FALSE)/24,""))),"")=0,"",IFERROR(IF(C779=C777,0,IF(E779=E778,0,IF(C779=$R$2,HLOOKUP($R$2,Ingreso!$AW$10:$BC$260,VLOOKUP(A779,Ingreso!AL:AM,2,FALSE),FALSE)/24,""))),""))</f>
        <v/>
      </c>
      <c r="N779" s="95" t="str">
        <f>IF(IFERROR(IF(C779=C777,0,IF(E779=E778,0,IF(C779=$R$3,HLOOKUP($R$3,Ingreso!$AW$10:$BC$260,VLOOKUP(A779,Ingreso!AL:AM,2,FALSE),FALSE)/24,""))),"")=0,"",IFERROR(IF(C779=C777,0,IF(E779=E778,0,IF(C779=$R$3,HLOOKUP($R$3,Ingreso!$AW$10:$BC$260,VLOOKUP(A779,Ingreso!AL:AM,2,FALSE),FALSE)/24,""))),""))</f>
        <v/>
      </c>
      <c r="O779" s="95" t="str">
        <f>IF(IFERROR(IF(C779=C777,0,IF(E779=E778,0,IF(C779=$R$4,HLOOKUP($R$4,Ingreso!$AW$10:$BC$260,VLOOKUP(A779,Ingreso!AL:AM,2,FALSE),FALSE)/24,""))),"")=0,"",IFERROR(IF(C779=C777,0,IF(E779=E778,0,IF(C779=$R$4,HLOOKUP($R$4,Ingreso!$AW$10:$BC$260,VLOOKUP(A779,Ingreso!AL:AM,2,FALSE),FALSE)/24,""))),""))</f>
        <v/>
      </c>
      <c r="P779" s="90"/>
      <c r="V779"/>
      <c r="W779"/>
      <c r="X779"/>
      <c r="Y779"/>
      <c r="Z779"/>
      <c r="AA779"/>
      <c r="AB779"/>
      <c r="AC779"/>
      <c r="AD779"/>
    </row>
    <row r="780" spans="1:30">
      <c r="A780" s="65" t="str">
        <f>IFERROR(VLOOKUP('Informe Kelly'!A773,Base!A:B,2,FALSE),"")</f>
        <v>14.095.347-4</v>
      </c>
      <c r="B780" s="65" t="str">
        <f>IFERROR(VLOOKUP('Informe Kelly'!A773,Base!A:G,7,FALSE),"")</f>
        <v>CAÑOLES VERA ANDRES NICOLAS</v>
      </c>
      <c r="C780" s="69" t="str">
        <f>IF(G780=$C$4,IF('Informe Kelly'!H773='Control informe Kelly'!$A$2,TEXT(((LEFT('Informe Kelly'!E773,2)*1)+1),"dd")&amp;"."&amp;MID('Informe Kelly'!E773,4,2)&amp;"."&amp;RIGHT('Informe Kelly'!E773,4),'Informe Kelly'!E773),'Informe Kelly'!E773)</f>
        <v>16.04.2011</v>
      </c>
      <c r="D780" s="69" t="str">
        <f>IF('Informe Kelly'!E773="","",'Informe Kelly'!E773)</f>
        <v>16.04.2011</v>
      </c>
      <c r="E780" s="72">
        <f t="shared" si="25"/>
        <v>395</v>
      </c>
      <c r="F780" s="72" t="str">
        <f>IFERROR(HLOOKUP(C780,Ingreso!$Q$8:$AD$9,2,FALSE),"v")</f>
        <v>Sábado</v>
      </c>
      <c r="G780" s="65" t="str">
        <f>IFERROR(VLOOKUP(A780,Ingreso!K:P,6,FALSE),"no esta ingresado")</f>
        <v>no esta ingresado</v>
      </c>
      <c r="H780" s="65" t="str">
        <f>IFERROR(IF('Informe Kelly'!H773=$A$2,'Informe Kelly'!F773,""),0)</f>
        <v/>
      </c>
      <c r="I780" s="65">
        <f>IFERROR(IF('Informe Kelly'!H773=$A$3,'Informe Kelly'!F773,""),0)</f>
        <v>0.62667824074074074</v>
      </c>
      <c r="J780" s="65" t="str">
        <f>IF(IFERROR(IF(E780=E779,0,(HLOOKUP(D780,Ingreso!$AN$10:$AT$260,VLOOKUP(A780,Ingreso!$AL$11:$AM$260,2,FALSE)))/24),0)=0,"",IFERROR(IF(E780=E779,0,(HLOOKUP(D780,Ingreso!$AN$10:$AT$260,VLOOKUP(A780,Ingreso!$AL$11:$AM$260,2,FALSE)))/24),0))</f>
        <v/>
      </c>
      <c r="K780" s="65" t="str">
        <f>IF(IFERROR(IF(E780=E779,0,(HLOOKUP(C780,Ingreso!$AW$10:$BC$260,VLOOKUP(A780,Ingreso!$AL$11:$AM$260,2,FALSE)))/24),0)=0,"",IFERROR(IF(E780=E779,0,(HLOOKUP(C780,Ingreso!$AW$10:$BC$260,VLOOKUP(A780,Ingreso!$AL$11:$AM$260,2,FALSE)))/24),0))</f>
        <v/>
      </c>
      <c r="L780" s="63" t="str">
        <f t="shared" si="24"/>
        <v/>
      </c>
      <c r="M780" s="63" t="str">
        <f>IF(IFERROR(IF(C780=C778,0,IF(E780=E779,0,IF(C780=$R$2,HLOOKUP($R$2,Ingreso!$AW$10:$BC$260,VLOOKUP(A780,Ingreso!AL:AM,2,FALSE),FALSE)/24,""))),"")=0,"",IFERROR(IF(C780=C778,0,IF(E780=E779,0,IF(C780=$R$2,HLOOKUP($R$2,Ingreso!$AW$10:$BC$260,VLOOKUP(A780,Ingreso!AL:AM,2,FALSE),FALSE)/24,""))),""))</f>
        <v/>
      </c>
      <c r="N780" s="95" t="str">
        <f>IF(IFERROR(IF(C780=C778,0,IF(E780=E779,0,IF(C780=$R$3,HLOOKUP($R$3,Ingreso!$AW$10:$BC$260,VLOOKUP(A780,Ingreso!AL:AM,2,FALSE),FALSE)/24,""))),"")=0,"",IFERROR(IF(C780=C778,0,IF(E780=E779,0,IF(C780=$R$3,HLOOKUP($R$3,Ingreso!$AW$10:$BC$260,VLOOKUP(A780,Ingreso!AL:AM,2,FALSE),FALSE)/24,""))),""))</f>
        <v/>
      </c>
      <c r="O780" s="95" t="str">
        <f>IF(IFERROR(IF(C780=C778,0,IF(E780=E779,0,IF(C780=$R$4,HLOOKUP($R$4,Ingreso!$AW$10:$BC$260,VLOOKUP(A780,Ingreso!AL:AM,2,FALSE),FALSE)/24,""))),"")=0,"",IFERROR(IF(C780=C778,0,IF(E780=E779,0,IF(C780=$R$4,HLOOKUP($R$4,Ingreso!$AW$10:$BC$260,VLOOKUP(A780,Ingreso!AL:AM,2,FALSE),FALSE)/24,""))),""))</f>
        <v/>
      </c>
      <c r="P780" s="90"/>
      <c r="V780"/>
      <c r="W780"/>
      <c r="X780"/>
      <c r="Y780"/>
      <c r="Z780"/>
      <c r="AA780"/>
      <c r="AB780"/>
      <c r="AC780"/>
      <c r="AD780"/>
    </row>
    <row r="781" spans="1:30">
      <c r="A781" s="65" t="str">
        <f>IFERROR(VLOOKUP('Informe Kelly'!A774,Base!A:B,2,FALSE),"")</f>
        <v>14.095.347-4</v>
      </c>
      <c r="B781" s="65" t="str">
        <f>IFERROR(VLOOKUP('Informe Kelly'!A774,Base!A:G,7,FALSE),"")</f>
        <v>CAÑOLES VERA ANDRES NICOLAS</v>
      </c>
      <c r="C781" s="69" t="str">
        <f>IF(G781=$C$4,IF('Informe Kelly'!H774='Control informe Kelly'!$A$2,TEXT(((LEFT('Informe Kelly'!E774,2)*1)+1),"dd")&amp;"."&amp;MID('Informe Kelly'!E774,4,2)&amp;"."&amp;RIGHT('Informe Kelly'!E774,4),'Informe Kelly'!E774),'Informe Kelly'!E774)</f>
        <v>16.04.2011</v>
      </c>
      <c r="D781" s="69" t="str">
        <f>IF('Informe Kelly'!E774="","",'Informe Kelly'!E774)</f>
        <v>16.04.2011</v>
      </c>
      <c r="E781" s="72">
        <f t="shared" si="25"/>
        <v>395</v>
      </c>
      <c r="F781" s="72" t="str">
        <f>IFERROR(HLOOKUP(C781,Ingreso!$Q$8:$AD$9,2,FALSE),"v")</f>
        <v>Sábado</v>
      </c>
      <c r="G781" s="65" t="str">
        <f>IFERROR(VLOOKUP(A781,Ingreso!K:P,6,FALSE),"no esta ingresado")</f>
        <v>no esta ingresado</v>
      </c>
      <c r="H781" s="65">
        <f>IFERROR(IF('Informe Kelly'!H774=$A$2,'Informe Kelly'!F774,""),0)</f>
        <v>0.30371527777777779</v>
      </c>
      <c r="I781" s="65" t="str">
        <f>IFERROR(IF('Informe Kelly'!H774=$A$3,'Informe Kelly'!F774,""),0)</f>
        <v/>
      </c>
      <c r="J781" s="65" t="str">
        <f>IF(IFERROR(IF(E781=E780,0,(HLOOKUP(D781,Ingreso!$AN$10:$AT$260,VLOOKUP(A781,Ingreso!$AL$11:$AM$260,2,FALSE)))/24),0)=0,"",IFERROR(IF(E781=E780,0,(HLOOKUP(D781,Ingreso!$AN$10:$AT$260,VLOOKUP(A781,Ingreso!$AL$11:$AM$260,2,FALSE)))/24),0))</f>
        <v/>
      </c>
      <c r="K781" s="65" t="str">
        <f>IF(IFERROR(IF(E781=E780,0,(HLOOKUP(C781,Ingreso!$AW$10:$BC$260,VLOOKUP(A781,Ingreso!$AL$11:$AM$260,2,FALSE)))/24),0)=0,"",IFERROR(IF(E781=E780,0,(HLOOKUP(C781,Ingreso!$AW$10:$BC$260,VLOOKUP(A781,Ingreso!$AL$11:$AM$260,2,FALSE)))/24),0))</f>
        <v/>
      </c>
      <c r="L781" s="63">
        <f t="shared" si="24"/>
        <v>0</v>
      </c>
      <c r="M781" s="63" t="str">
        <f>IF(IFERROR(IF(C781=C779,0,IF(E781=E780,0,IF(C781=$R$2,HLOOKUP($R$2,Ingreso!$AW$10:$BC$260,VLOOKUP(A781,Ingreso!AL:AM,2,FALSE),FALSE)/24,""))),"")=0,"",IFERROR(IF(C781=C779,0,IF(E781=E780,0,IF(C781=$R$2,HLOOKUP($R$2,Ingreso!$AW$10:$BC$260,VLOOKUP(A781,Ingreso!AL:AM,2,FALSE),FALSE)/24,""))),""))</f>
        <v/>
      </c>
      <c r="N781" s="95" t="str">
        <f>IF(IFERROR(IF(C781=C779,0,IF(E781=E780,0,IF(C781=$R$3,HLOOKUP($R$3,Ingreso!$AW$10:$BC$260,VLOOKUP(A781,Ingreso!AL:AM,2,FALSE),FALSE)/24,""))),"")=0,"",IFERROR(IF(C781=C779,0,IF(E781=E780,0,IF(C781=$R$3,HLOOKUP($R$3,Ingreso!$AW$10:$BC$260,VLOOKUP(A781,Ingreso!AL:AM,2,FALSE),FALSE)/24,""))),""))</f>
        <v/>
      </c>
      <c r="O781" s="95" t="str">
        <f>IF(IFERROR(IF(C781=C779,0,IF(E781=E780,0,IF(C781=$R$4,HLOOKUP($R$4,Ingreso!$AW$10:$BC$260,VLOOKUP(A781,Ingreso!AL:AM,2,FALSE),FALSE)/24,""))),"")=0,"",IFERROR(IF(C781=C779,0,IF(E781=E780,0,IF(C781=$R$4,HLOOKUP($R$4,Ingreso!$AW$10:$BC$260,VLOOKUP(A781,Ingreso!AL:AM,2,FALSE),FALSE)/24,""))),""))</f>
        <v/>
      </c>
      <c r="P781" s="90"/>
      <c r="V781"/>
      <c r="W781"/>
      <c r="X781"/>
      <c r="Y781"/>
      <c r="Z781"/>
      <c r="AA781"/>
      <c r="AB781"/>
      <c r="AC781"/>
      <c r="AD781"/>
    </row>
    <row r="782" spans="1:30">
      <c r="A782" s="65" t="str">
        <f>IFERROR(VLOOKUP('Informe Kelly'!A775,Base!A:B,2,FALSE),"")</f>
        <v>14.095.347-4</v>
      </c>
      <c r="B782" s="65" t="str">
        <f>IFERROR(VLOOKUP('Informe Kelly'!A775,Base!A:G,7,FALSE),"")</f>
        <v>CAÑOLES VERA ANDRES NICOLAS</v>
      </c>
      <c r="C782" s="69" t="str">
        <f>IF(G782=$C$4,IF('Informe Kelly'!H775='Control informe Kelly'!$A$2,TEXT(((LEFT('Informe Kelly'!E775,2)*1)+1),"dd")&amp;"."&amp;MID('Informe Kelly'!E775,4,2)&amp;"."&amp;RIGHT('Informe Kelly'!E775,4),'Informe Kelly'!E775),'Informe Kelly'!E775)</f>
        <v>17.04.2011</v>
      </c>
      <c r="D782" s="69" t="str">
        <f>IF('Informe Kelly'!E775="","",'Informe Kelly'!E775)</f>
        <v>17.04.2011</v>
      </c>
      <c r="E782" s="72">
        <f t="shared" si="25"/>
        <v>396</v>
      </c>
      <c r="F782" s="72" t="str">
        <f>IFERROR(HLOOKUP(C782,Ingreso!$Q$8:$AD$9,2,FALSE),"v")</f>
        <v>Domingo</v>
      </c>
      <c r="G782" s="65" t="str">
        <f>IFERROR(VLOOKUP(A782,Ingreso!K:P,6,FALSE),"no esta ingresado")</f>
        <v>no esta ingresado</v>
      </c>
      <c r="H782" s="65">
        <f>IFERROR(IF('Informe Kelly'!H775=$A$2,'Informe Kelly'!F775,""),0)</f>
        <v>0.98672453703703711</v>
      </c>
      <c r="I782" s="65" t="str">
        <f>IFERROR(IF('Informe Kelly'!H775=$A$3,'Informe Kelly'!F775,""),0)</f>
        <v/>
      </c>
      <c r="J782" s="65" t="str">
        <f>IF(IFERROR(IF(E782=E781,0,(HLOOKUP(D782,Ingreso!$AN$10:$AT$260,VLOOKUP(A782,Ingreso!$AL$11:$AM$260,2,FALSE)))/24),0)=0,"",IFERROR(IF(E782=E781,0,(HLOOKUP(D782,Ingreso!$AN$10:$AT$260,VLOOKUP(A782,Ingreso!$AL$11:$AM$260,2,FALSE)))/24),0))</f>
        <v/>
      </c>
      <c r="K782" s="65" t="str">
        <f>IF(IFERROR(IF(E782=E781,0,(HLOOKUP(C782,Ingreso!$AW$10:$BC$260,VLOOKUP(A782,Ingreso!$AL$11:$AM$260,2,FALSE)))/24),0)=0,"",IFERROR(IF(E782=E781,0,(HLOOKUP(C782,Ingreso!$AW$10:$BC$260,VLOOKUP(A782,Ingreso!$AL$11:$AM$260,2,FALSE)))/24),0))</f>
        <v/>
      </c>
      <c r="L782" s="63" t="str">
        <f t="shared" si="24"/>
        <v/>
      </c>
      <c r="M782" s="63" t="str">
        <f>IF(IFERROR(IF(C782=C780,0,IF(E782=E781,0,IF(C782=$R$2,HLOOKUP($R$2,Ingreso!$AW$10:$BC$260,VLOOKUP(A782,Ingreso!AL:AM,2,FALSE),FALSE)/24,""))),"")=0,"",IFERROR(IF(C782=C780,0,IF(E782=E781,0,IF(C782=$R$2,HLOOKUP($R$2,Ingreso!$AW$10:$BC$260,VLOOKUP(A782,Ingreso!AL:AM,2,FALSE),FALSE)/24,""))),""))</f>
        <v/>
      </c>
      <c r="N782" s="95" t="str">
        <f>IF(IFERROR(IF(C782=C780,0,IF(E782=E781,0,IF(C782=$R$3,HLOOKUP($R$3,Ingreso!$AW$10:$BC$260,VLOOKUP(A782,Ingreso!AL:AM,2,FALSE),FALSE)/24,""))),"")=0,"",IFERROR(IF(C782=C780,0,IF(E782=E781,0,IF(C782=$R$3,HLOOKUP($R$3,Ingreso!$AW$10:$BC$260,VLOOKUP(A782,Ingreso!AL:AM,2,FALSE),FALSE)/24,""))),""))</f>
        <v/>
      </c>
      <c r="O782" s="95" t="str">
        <f>IF(IFERROR(IF(C782=C780,0,IF(E782=E781,0,IF(C782=$R$4,HLOOKUP($R$4,Ingreso!$AW$10:$BC$260,VLOOKUP(A782,Ingreso!AL:AM,2,FALSE),FALSE)/24,""))),"")=0,"",IFERROR(IF(C782=C780,0,IF(E782=E781,0,IF(C782=$R$4,HLOOKUP($R$4,Ingreso!$AW$10:$BC$260,VLOOKUP(A782,Ingreso!AL:AM,2,FALSE),FALSE)/24,""))),""))</f>
        <v/>
      </c>
      <c r="P782" s="90"/>
      <c r="V782"/>
      <c r="W782"/>
      <c r="X782"/>
      <c r="Y782"/>
      <c r="Z782"/>
      <c r="AA782"/>
      <c r="AB782"/>
      <c r="AC782"/>
      <c r="AD782"/>
    </row>
    <row r="783" spans="1:30">
      <c r="A783" s="65" t="str">
        <f>IFERROR(VLOOKUP('Informe Kelly'!A776,Base!A:B,2,FALSE),"")</f>
        <v>14.181.387-0</v>
      </c>
      <c r="B783" s="65" t="str">
        <f>IFERROR(VLOOKUP('Informe Kelly'!A776,Base!A:G,7,FALSE),"")</f>
        <v>DEL RIO TRONCOSO JORGE ANDRES</v>
      </c>
      <c r="C783" s="69" t="str">
        <f>IF(G783=$C$4,IF('Informe Kelly'!H776='Control informe Kelly'!$A$2,TEXT(((LEFT('Informe Kelly'!E776,2)*1)+1),"dd")&amp;"."&amp;MID('Informe Kelly'!E776,4,2)&amp;"."&amp;RIGHT('Informe Kelly'!E776,4),'Informe Kelly'!E776),'Informe Kelly'!E776)</f>
        <v>12.04.2011</v>
      </c>
      <c r="D783" s="69" t="str">
        <f>IF('Informe Kelly'!E776="","",'Informe Kelly'!E776)</f>
        <v>11.04.2011</v>
      </c>
      <c r="E783" s="72">
        <f t="shared" si="25"/>
        <v>397</v>
      </c>
      <c r="F783" s="72" t="str">
        <f>IFERROR(HLOOKUP(C783,Ingreso!$Q$8:$AD$9,2,FALSE),"v")</f>
        <v>Martes</v>
      </c>
      <c r="G783" s="65" t="str">
        <f>IFERROR(VLOOKUP(A783,Ingreso!K:P,6,FALSE),"no esta ingresado")</f>
        <v>Turno C</v>
      </c>
      <c r="H783" s="65">
        <f>IFERROR(IF('Informe Kelly'!H776=$A$2,'Informe Kelly'!F776,""),0)</f>
        <v>0.92061342592592599</v>
      </c>
      <c r="I783" s="65" t="str">
        <f>IFERROR(IF('Informe Kelly'!H776=$A$3,'Informe Kelly'!F776,""),0)</f>
        <v/>
      </c>
      <c r="J783" s="65" t="str">
        <f>IF(IFERROR(IF(E783=E782,0,(HLOOKUP(D783,Ingreso!$AN$10:$AT$260,VLOOKUP(A783,Ingreso!$AL$11:$AM$260,2,FALSE)))/24),0)=0,"",IFERROR(IF(E783=E782,0,(HLOOKUP(D783,Ingreso!$AN$10:$AT$260,VLOOKUP(A783,Ingreso!$AL$11:$AM$260,2,FALSE)))/24),0))</f>
        <v/>
      </c>
      <c r="K783" s="65" t="str">
        <f>IF(IFERROR(IF(E783=E782,0,(HLOOKUP(C783,Ingreso!$AW$10:$BC$260,VLOOKUP(A783,Ingreso!$AL$11:$AM$260,2,FALSE)))/24),0)=0,"",IFERROR(IF(E783=E782,0,(HLOOKUP(C783,Ingreso!$AW$10:$BC$260,VLOOKUP(A783,Ingreso!$AL$11:$AM$260,2,FALSE)))/24),0))</f>
        <v/>
      </c>
      <c r="L783" s="63">
        <f t="shared" si="24"/>
        <v>0.375</v>
      </c>
      <c r="M783" s="63" t="str">
        <f>IF(IFERROR(IF(C783=C781,0,IF(E783=E782,0,IF(C783=$R$2,HLOOKUP($R$2,Ingreso!$AW$10:$BC$260,VLOOKUP(A783,Ingreso!AL:AM,2,FALSE),FALSE)/24,""))),"")=0,"",IFERROR(IF(C783=C781,0,IF(E783=E782,0,IF(C783=$R$2,HLOOKUP($R$2,Ingreso!$AW$10:$BC$260,VLOOKUP(A783,Ingreso!AL:AM,2,FALSE),FALSE)/24,""))),""))</f>
        <v/>
      </c>
      <c r="N783" s="95" t="str">
        <f>IF(IFERROR(IF(C783=C781,0,IF(E783=E782,0,IF(C783=$R$3,HLOOKUP($R$3,Ingreso!$AW$10:$BC$260,VLOOKUP(A783,Ingreso!AL:AM,2,FALSE),FALSE)/24,""))),"")=0,"",IFERROR(IF(C783=C781,0,IF(E783=E782,0,IF(C783=$R$3,HLOOKUP($R$3,Ingreso!$AW$10:$BC$260,VLOOKUP(A783,Ingreso!AL:AM,2,FALSE),FALSE)/24,""))),""))</f>
        <v/>
      </c>
      <c r="O783" s="95" t="str">
        <f>IF(IFERROR(IF(C783=C781,0,IF(E783=E782,0,IF(C783=$R$4,HLOOKUP($R$4,Ingreso!$AW$10:$BC$260,VLOOKUP(A783,Ingreso!AL:AM,2,FALSE),FALSE)/24,""))),"")=0,"",IFERROR(IF(C783=C781,0,IF(E783=E782,0,IF(C783=$R$4,HLOOKUP($R$4,Ingreso!$AW$10:$BC$260,VLOOKUP(A783,Ingreso!AL:AM,2,FALSE),FALSE)/24,""))),""))</f>
        <v/>
      </c>
      <c r="P783" s="90"/>
      <c r="V783"/>
      <c r="W783"/>
      <c r="X783"/>
      <c r="Y783"/>
      <c r="Z783"/>
      <c r="AA783"/>
      <c r="AB783"/>
      <c r="AC783"/>
      <c r="AD783"/>
    </row>
    <row r="784" spans="1:30">
      <c r="A784" s="65" t="str">
        <f>IFERROR(VLOOKUP('Informe Kelly'!A777,Base!A:B,2,FALSE),"")</f>
        <v>14.181.387-0</v>
      </c>
      <c r="B784" s="65" t="str">
        <f>IFERROR(VLOOKUP('Informe Kelly'!A777,Base!A:G,7,FALSE),"")</f>
        <v>DEL RIO TRONCOSO JORGE ANDRES</v>
      </c>
      <c r="C784" s="69" t="str">
        <f>IF(G784=$C$4,IF('Informe Kelly'!H777='Control informe Kelly'!$A$2,TEXT(((LEFT('Informe Kelly'!E777,2)*1)+1),"dd")&amp;"."&amp;MID('Informe Kelly'!E777,4,2)&amp;"."&amp;RIGHT('Informe Kelly'!E777,4),'Informe Kelly'!E777),'Informe Kelly'!E777)</f>
        <v>12.04.2011</v>
      </c>
      <c r="D784" s="69" t="str">
        <f>IF('Informe Kelly'!E777="","",'Informe Kelly'!E777)</f>
        <v>12.04.2011</v>
      </c>
      <c r="E784" s="72">
        <f t="shared" si="25"/>
        <v>397</v>
      </c>
      <c r="F784" s="72" t="str">
        <f>IFERROR(HLOOKUP(C784,Ingreso!$Q$8:$AD$9,2,FALSE),"v")</f>
        <v>Martes</v>
      </c>
      <c r="G784" s="65" t="str">
        <f>IFERROR(VLOOKUP(A784,Ingreso!K:P,6,FALSE),"no esta ingresado")</f>
        <v>Turno C</v>
      </c>
      <c r="H784" s="65" t="str">
        <f>IFERROR(IF('Informe Kelly'!H777=$A$2,'Informe Kelly'!F777,""),0)</f>
        <v/>
      </c>
      <c r="I784" s="65">
        <f>IFERROR(IF('Informe Kelly'!H777=$A$3,'Informe Kelly'!F777,""),0)</f>
        <v>0.3177314814814815</v>
      </c>
      <c r="J784" s="65" t="str">
        <f>IF(IFERROR(IF(E784=E783,0,(HLOOKUP(D784,Ingreso!$AN$10:$AT$260,VLOOKUP(A784,Ingreso!$AL$11:$AM$260,2,FALSE)))/24),0)=0,"",IFERROR(IF(E784=E783,0,(HLOOKUP(D784,Ingreso!$AN$10:$AT$260,VLOOKUP(A784,Ingreso!$AL$11:$AM$260,2,FALSE)))/24),0))</f>
        <v/>
      </c>
      <c r="K784" s="65" t="str">
        <f>IF(IFERROR(IF(E784=E783,0,(HLOOKUP(C784,Ingreso!$AW$10:$BC$260,VLOOKUP(A784,Ingreso!$AL$11:$AM$260,2,FALSE)))/24),0)=0,"",IFERROR(IF(E784=E783,0,(HLOOKUP(C784,Ingreso!$AW$10:$BC$260,VLOOKUP(A784,Ingreso!$AL$11:$AM$260,2,FALSE)))/24),0))</f>
        <v/>
      </c>
      <c r="L784" s="63">
        <f t="shared" si="24"/>
        <v>0</v>
      </c>
      <c r="M784" s="63" t="str">
        <f>IF(IFERROR(IF(C784=C782,0,IF(E784=E783,0,IF(C784=$R$2,HLOOKUP($R$2,Ingreso!$AW$10:$BC$260,VLOOKUP(A784,Ingreso!AL:AM,2,FALSE),FALSE)/24,""))),"")=0,"",IFERROR(IF(C784=C782,0,IF(E784=E783,0,IF(C784=$R$2,HLOOKUP($R$2,Ingreso!$AW$10:$BC$260,VLOOKUP(A784,Ingreso!AL:AM,2,FALSE),FALSE)/24,""))),""))</f>
        <v/>
      </c>
      <c r="N784" s="95" t="str">
        <f>IF(IFERROR(IF(C784=C782,0,IF(E784=E783,0,IF(C784=$R$3,HLOOKUP($R$3,Ingreso!$AW$10:$BC$260,VLOOKUP(A784,Ingreso!AL:AM,2,FALSE),FALSE)/24,""))),"")=0,"",IFERROR(IF(C784=C782,0,IF(E784=E783,0,IF(C784=$R$3,HLOOKUP($R$3,Ingreso!$AW$10:$BC$260,VLOOKUP(A784,Ingreso!AL:AM,2,FALSE),FALSE)/24,""))),""))</f>
        <v/>
      </c>
      <c r="O784" s="95" t="str">
        <f>IF(IFERROR(IF(C784=C782,0,IF(E784=E783,0,IF(C784=$R$4,HLOOKUP($R$4,Ingreso!$AW$10:$BC$260,VLOOKUP(A784,Ingreso!AL:AM,2,FALSE),FALSE)/24,""))),"")=0,"",IFERROR(IF(C784=C782,0,IF(E784=E783,0,IF(C784=$R$4,HLOOKUP($R$4,Ingreso!$AW$10:$BC$260,VLOOKUP(A784,Ingreso!AL:AM,2,FALSE),FALSE)/24,""))),""))</f>
        <v/>
      </c>
      <c r="P784" s="90"/>
      <c r="V784"/>
      <c r="W784"/>
      <c r="X784"/>
      <c r="Y784"/>
      <c r="Z784"/>
      <c r="AA784"/>
      <c r="AB784"/>
      <c r="AC784"/>
      <c r="AD784"/>
    </row>
    <row r="785" spans="1:30">
      <c r="A785" s="65" t="str">
        <f>IFERROR(VLOOKUP('Informe Kelly'!A778,Base!A:B,2,FALSE),"")</f>
        <v>14.181.387-0</v>
      </c>
      <c r="B785" s="65" t="str">
        <f>IFERROR(VLOOKUP('Informe Kelly'!A778,Base!A:G,7,FALSE),"")</f>
        <v>DEL RIO TRONCOSO JORGE ANDRES</v>
      </c>
      <c r="C785" s="69" t="str">
        <f>IF(G785=$C$4,IF('Informe Kelly'!H778='Control informe Kelly'!$A$2,TEXT(((LEFT('Informe Kelly'!E778,2)*1)+1),"dd")&amp;"."&amp;MID('Informe Kelly'!E778,4,2)&amp;"."&amp;RIGHT('Informe Kelly'!E778,4),'Informe Kelly'!E778),'Informe Kelly'!E778)</f>
        <v>13.04.2011</v>
      </c>
      <c r="D785" s="69" t="str">
        <f>IF('Informe Kelly'!E778="","",'Informe Kelly'!E778)</f>
        <v>12.04.2011</v>
      </c>
      <c r="E785" s="72">
        <f t="shared" si="25"/>
        <v>398</v>
      </c>
      <c r="F785" s="72" t="str">
        <f>IFERROR(HLOOKUP(C785,Ingreso!$Q$8:$AD$9,2,FALSE),"v")</f>
        <v>Miércoles</v>
      </c>
      <c r="G785" s="65" t="str">
        <f>IFERROR(VLOOKUP(A785,Ingreso!K:P,6,FALSE),"no esta ingresado")</f>
        <v>Turno C</v>
      </c>
      <c r="H785" s="65">
        <f>IFERROR(IF('Informe Kelly'!H778=$A$2,'Informe Kelly'!F778,""),0)</f>
        <v>0.92034722222222232</v>
      </c>
      <c r="I785" s="65" t="str">
        <f>IFERROR(IF('Informe Kelly'!H778=$A$3,'Informe Kelly'!F778,""),0)</f>
        <v/>
      </c>
      <c r="J785" s="65" t="str">
        <f>IF(IFERROR(IF(E785=E784,0,(HLOOKUP(D785,Ingreso!$AN$10:$AT$260,VLOOKUP(A785,Ingreso!$AL$11:$AM$260,2,FALSE)))/24),0)=0,"",IFERROR(IF(E785=E784,0,(HLOOKUP(D785,Ingreso!$AN$10:$AT$260,VLOOKUP(A785,Ingreso!$AL$11:$AM$260,2,FALSE)))/24),0))</f>
        <v/>
      </c>
      <c r="K785" s="65" t="str">
        <f>IF(IFERROR(IF(E785=E784,0,(HLOOKUP(C785,Ingreso!$AW$10:$BC$260,VLOOKUP(A785,Ingreso!$AL$11:$AM$260,2,FALSE)))/24),0)=0,"",IFERROR(IF(E785=E784,0,(HLOOKUP(C785,Ingreso!$AW$10:$BC$260,VLOOKUP(A785,Ingreso!$AL$11:$AM$260,2,FALSE)))/24),0))</f>
        <v/>
      </c>
      <c r="L785" s="63">
        <f t="shared" si="24"/>
        <v>0.375</v>
      </c>
      <c r="M785" s="63" t="str">
        <f>IF(IFERROR(IF(C785=C783,0,IF(E785=E784,0,IF(C785=$R$2,HLOOKUP($R$2,Ingreso!$AW$10:$BC$260,VLOOKUP(A785,Ingreso!AL:AM,2,FALSE),FALSE)/24,""))),"")=0,"",IFERROR(IF(C785=C783,0,IF(E785=E784,0,IF(C785=$R$2,HLOOKUP($R$2,Ingreso!$AW$10:$BC$260,VLOOKUP(A785,Ingreso!AL:AM,2,FALSE),FALSE)/24,""))),""))</f>
        <v/>
      </c>
      <c r="N785" s="95" t="str">
        <f>IF(IFERROR(IF(C785=C783,0,IF(E785=E784,0,IF(C785=$R$3,HLOOKUP($R$3,Ingreso!$AW$10:$BC$260,VLOOKUP(A785,Ingreso!AL:AM,2,FALSE),FALSE)/24,""))),"")=0,"",IFERROR(IF(C785=C783,0,IF(E785=E784,0,IF(C785=$R$3,HLOOKUP($R$3,Ingreso!$AW$10:$BC$260,VLOOKUP(A785,Ingreso!AL:AM,2,FALSE),FALSE)/24,""))),""))</f>
        <v/>
      </c>
      <c r="O785" s="95" t="str">
        <f>IF(IFERROR(IF(C785=C783,0,IF(E785=E784,0,IF(C785=$R$4,HLOOKUP($R$4,Ingreso!$AW$10:$BC$260,VLOOKUP(A785,Ingreso!AL:AM,2,FALSE),FALSE)/24,""))),"")=0,"",IFERROR(IF(C785=C783,0,IF(E785=E784,0,IF(C785=$R$4,HLOOKUP($R$4,Ingreso!$AW$10:$BC$260,VLOOKUP(A785,Ingreso!AL:AM,2,FALSE),FALSE)/24,""))),""))</f>
        <v/>
      </c>
      <c r="P785" s="90"/>
      <c r="V785"/>
      <c r="W785"/>
      <c r="X785"/>
      <c r="Y785"/>
      <c r="Z785"/>
      <c r="AA785"/>
      <c r="AB785"/>
      <c r="AC785"/>
      <c r="AD785"/>
    </row>
    <row r="786" spans="1:30">
      <c r="A786" s="65" t="str">
        <f>IFERROR(VLOOKUP('Informe Kelly'!A779,Base!A:B,2,FALSE),"")</f>
        <v>14.181.387-0</v>
      </c>
      <c r="B786" s="65" t="str">
        <f>IFERROR(VLOOKUP('Informe Kelly'!A779,Base!A:G,7,FALSE),"")</f>
        <v>DEL RIO TRONCOSO JORGE ANDRES</v>
      </c>
      <c r="C786" s="69" t="str">
        <f>IF(G786=$C$4,IF('Informe Kelly'!H779='Control informe Kelly'!$A$2,TEXT(((LEFT('Informe Kelly'!E779,2)*1)+1),"dd")&amp;"."&amp;MID('Informe Kelly'!E779,4,2)&amp;"."&amp;RIGHT('Informe Kelly'!E779,4),'Informe Kelly'!E779),'Informe Kelly'!E779)</f>
        <v>13.04.2011</v>
      </c>
      <c r="D786" s="69" t="str">
        <f>IF('Informe Kelly'!E779="","",'Informe Kelly'!E779)</f>
        <v>13.04.2011</v>
      </c>
      <c r="E786" s="72">
        <f t="shared" si="25"/>
        <v>398</v>
      </c>
      <c r="F786" s="72" t="str">
        <f>IFERROR(HLOOKUP(C786,Ingreso!$Q$8:$AD$9,2,FALSE),"v")</f>
        <v>Miércoles</v>
      </c>
      <c r="G786" s="65" t="str">
        <f>IFERROR(VLOOKUP(A786,Ingreso!K:P,6,FALSE),"no esta ingresado")</f>
        <v>Turno C</v>
      </c>
      <c r="H786" s="65" t="str">
        <f>IFERROR(IF('Informe Kelly'!H779=$A$2,'Informe Kelly'!F779,""),0)</f>
        <v/>
      </c>
      <c r="I786" s="65">
        <f>IFERROR(IF('Informe Kelly'!H779=$A$3,'Informe Kelly'!F779,""),0)</f>
        <v>0.32197916666666665</v>
      </c>
      <c r="J786" s="65" t="str">
        <f>IF(IFERROR(IF(E786=E785,0,(HLOOKUP(D786,Ingreso!$AN$10:$AT$260,VLOOKUP(A786,Ingreso!$AL$11:$AM$260,2,FALSE)))/24),0)=0,"",IFERROR(IF(E786=E785,0,(HLOOKUP(D786,Ingreso!$AN$10:$AT$260,VLOOKUP(A786,Ingreso!$AL$11:$AM$260,2,FALSE)))/24),0))</f>
        <v/>
      </c>
      <c r="K786" s="65" t="str">
        <f>IF(IFERROR(IF(E786=E785,0,(HLOOKUP(C786,Ingreso!$AW$10:$BC$260,VLOOKUP(A786,Ingreso!$AL$11:$AM$260,2,FALSE)))/24),0)=0,"",IFERROR(IF(E786=E785,0,(HLOOKUP(C786,Ingreso!$AW$10:$BC$260,VLOOKUP(A786,Ingreso!$AL$11:$AM$260,2,FALSE)))/24),0))</f>
        <v/>
      </c>
      <c r="L786" s="63">
        <f t="shared" si="24"/>
        <v>0</v>
      </c>
      <c r="M786" s="63" t="str">
        <f>IF(IFERROR(IF(C786=C784,0,IF(E786=E785,0,IF(C786=$R$2,HLOOKUP($R$2,Ingreso!$AW$10:$BC$260,VLOOKUP(A786,Ingreso!AL:AM,2,FALSE),FALSE)/24,""))),"")=0,"",IFERROR(IF(C786=C784,0,IF(E786=E785,0,IF(C786=$R$2,HLOOKUP($R$2,Ingreso!$AW$10:$BC$260,VLOOKUP(A786,Ingreso!AL:AM,2,FALSE),FALSE)/24,""))),""))</f>
        <v/>
      </c>
      <c r="N786" s="95" t="str">
        <f>IF(IFERROR(IF(C786=C784,0,IF(E786=E785,0,IF(C786=$R$3,HLOOKUP($R$3,Ingreso!$AW$10:$BC$260,VLOOKUP(A786,Ingreso!AL:AM,2,FALSE),FALSE)/24,""))),"")=0,"",IFERROR(IF(C786=C784,0,IF(E786=E785,0,IF(C786=$R$3,HLOOKUP($R$3,Ingreso!$AW$10:$BC$260,VLOOKUP(A786,Ingreso!AL:AM,2,FALSE),FALSE)/24,""))),""))</f>
        <v/>
      </c>
      <c r="O786" s="95" t="str">
        <f>IF(IFERROR(IF(C786=C784,0,IF(E786=E785,0,IF(C786=$R$4,HLOOKUP($R$4,Ingreso!$AW$10:$BC$260,VLOOKUP(A786,Ingreso!AL:AM,2,FALSE),FALSE)/24,""))),"")=0,"",IFERROR(IF(C786=C784,0,IF(E786=E785,0,IF(C786=$R$4,HLOOKUP($R$4,Ingreso!$AW$10:$BC$260,VLOOKUP(A786,Ingreso!AL:AM,2,FALSE),FALSE)/24,""))),""))</f>
        <v/>
      </c>
      <c r="P786" s="90"/>
      <c r="V786"/>
      <c r="W786"/>
      <c r="X786"/>
      <c r="Y786"/>
      <c r="Z786"/>
      <c r="AA786"/>
      <c r="AB786"/>
      <c r="AC786"/>
      <c r="AD786"/>
    </row>
    <row r="787" spans="1:30">
      <c r="A787" s="65" t="str">
        <f>IFERROR(VLOOKUP('Informe Kelly'!A780,Base!A:B,2,FALSE),"")</f>
        <v>14.181.387-0</v>
      </c>
      <c r="B787" s="65" t="str">
        <f>IFERROR(VLOOKUP('Informe Kelly'!A780,Base!A:G,7,FALSE),"")</f>
        <v>DEL RIO TRONCOSO JORGE ANDRES</v>
      </c>
      <c r="C787" s="69" t="str">
        <f>IF(G787=$C$4,IF('Informe Kelly'!H780='Control informe Kelly'!$A$2,TEXT(((LEFT('Informe Kelly'!E780,2)*1)+1),"dd")&amp;"."&amp;MID('Informe Kelly'!E780,4,2)&amp;"."&amp;RIGHT('Informe Kelly'!E780,4),'Informe Kelly'!E780),'Informe Kelly'!E780)</f>
        <v>14.04.2011</v>
      </c>
      <c r="D787" s="69" t="str">
        <f>IF('Informe Kelly'!E780="","",'Informe Kelly'!E780)</f>
        <v>13.04.2011</v>
      </c>
      <c r="E787" s="72">
        <f t="shared" si="25"/>
        <v>399</v>
      </c>
      <c r="F787" s="72" t="str">
        <f>IFERROR(HLOOKUP(C787,Ingreso!$Q$8:$AD$9,2,FALSE),"v")</f>
        <v>Jueves</v>
      </c>
      <c r="G787" s="65" t="str">
        <f>IFERROR(VLOOKUP(A787,Ingreso!K:P,6,FALSE),"no esta ingresado")</f>
        <v>Turno C</v>
      </c>
      <c r="H787" s="65">
        <f>IFERROR(IF('Informe Kelly'!H780=$A$2,'Informe Kelly'!F780,""),0)</f>
        <v>0.91972222222222222</v>
      </c>
      <c r="I787" s="65" t="str">
        <f>IFERROR(IF('Informe Kelly'!H780=$A$3,'Informe Kelly'!F780,""),0)</f>
        <v/>
      </c>
      <c r="J787" s="65" t="str">
        <f>IF(IFERROR(IF(E787=E786,0,(HLOOKUP(D787,Ingreso!$AN$10:$AT$260,VLOOKUP(A787,Ingreso!$AL$11:$AM$260,2,FALSE)))/24),0)=0,"",IFERROR(IF(E787=E786,0,(HLOOKUP(D787,Ingreso!$AN$10:$AT$260,VLOOKUP(A787,Ingreso!$AL$11:$AM$260,2,FALSE)))/24),0))</f>
        <v/>
      </c>
      <c r="K787" s="65" t="str">
        <f>IF(IFERROR(IF(E787=E786,0,(HLOOKUP(C787,Ingreso!$AW$10:$BC$260,VLOOKUP(A787,Ingreso!$AL$11:$AM$260,2,FALSE)))/24),0)=0,"",IFERROR(IF(E787=E786,0,(HLOOKUP(C787,Ingreso!$AW$10:$BC$260,VLOOKUP(A787,Ingreso!$AL$11:$AM$260,2,FALSE)))/24),0))</f>
        <v/>
      </c>
      <c r="L787" s="63">
        <f t="shared" si="24"/>
        <v>0.375</v>
      </c>
      <c r="M787" s="63" t="str">
        <f>IF(IFERROR(IF(C787=C785,0,IF(E787=E786,0,IF(C787=$R$2,HLOOKUP($R$2,Ingreso!$AW$10:$BC$260,VLOOKUP(A787,Ingreso!AL:AM,2,FALSE),FALSE)/24,""))),"")=0,"",IFERROR(IF(C787=C785,0,IF(E787=E786,0,IF(C787=$R$2,HLOOKUP($R$2,Ingreso!$AW$10:$BC$260,VLOOKUP(A787,Ingreso!AL:AM,2,FALSE),FALSE)/24,""))),""))</f>
        <v/>
      </c>
      <c r="N787" s="95" t="str">
        <f>IF(IFERROR(IF(C787=C785,0,IF(E787=E786,0,IF(C787=$R$3,HLOOKUP($R$3,Ingreso!$AW$10:$BC$260,VLOOKUP(A787,Ingreso!AL:AM,2,FALSE),FALSE)/24,""))),"")=0,"",IFERROR(IF(C787=C785,0,IF(E787=E786,0,IF(C787=$R$3,HLOOKUP($R$3,Ingreso!$AW$10:$BC$260,VLOOKUP(A787,Ingreso!AL:AM,2,FALSE),FALSE)/24,""))),""))</f>
        <v/>
      </c>
      <c r="O787" s="95" t="str">
        <f>IF(IFERROR(IF(C787=C785,0,IF(E787=E786,0,IF(C787=$R$4,HLOOKUP($R$4,Ingreso!$AW$10:$BC$260,VLOOKUP(A787,Ingreso!AL:AM,2,FALSE),FALSE)/24,""))),"")=0,"",IFERROR(IF(C787=C785,0,IF(E787=E786,0,IF(C787=$R$4,HLOOKUP($R$4,Ingreso!$AW$10:$BC$260,VLOOKUP(A787,Ingreso!AL:AM,2,FALSE),FALSE)/24,""))),""))</f>
        <v/>
      </c>
      <c r="P787" s="90"/>
      <c r="V787"/>
      <c r="W787"/>
      <c r="X787"/>
      <c r="Y787"/>
      <c r="Z787"/>
      <c r="AA787"/>
      <c r="AB787"/>
      <c r="AC787"/>
      <c r="AD787"/>
    </row>
    <row r="788" spans="1:30">
      <c r="A788" s="65" t="str">
        <f>IFERROR(VLOOKUP('Informe Kelly'!A781,Base!A:B,2,FALSE),"")</f>
        <v>14.181.387-0</v>
      </c>
      <c r="B788" s="65" t="str">
        <f>IFERROR(VLOOKUP('Informe Kelly'!A781,Base!A:G,7,FALSE),"")</f>
        <v>DEL RIO TRONCOSO JORGE ANDRES</v>
      </c>
      <c r="C788" s="69" t="str">
        <f>IF(G788=$C$4,IF('Informe Kelly'!H781='Control informe Kelly'!$A$2,TEXT(((LEFT('Informe Kelly'!E781,2)*1)+1),"dd")&amp;"."&amp;MID('Informe Kelly'!E781,4,2)&amp;"."&amp;RIGHT('Informe Kelly'!E781,4),'Informe Kelly'!E781),'Informe Kelly'!E781)</f>
        <v>14.04.2011</v>
      </c>
      <c r="D788" s="69" t="str">
        <f>IF('Informe Kelly'!E781="","",'Informe Kelly'!E781)</f>
        <v>14.04.2011</v>
      </c>
      <c r="E788" s="72">
        <f t="shared" si="25"/>
        <v>399</v>
      </c>
      <c r="F788" s="72" t="str">
        <f>IFERROR(HLOOKUP(C788,Ingreso!$Q$8:$AD$9,2,FALSE),"v")</f>
        <v>Jueves</v>
      </c>
      <c r="G788" s="65" t="str">
        <f>IFERROR(VLOOKUP(A788,Ingreso!K:P,6,FALSE),"no esta ingresado")</f>
        <v>Turno C</v>
      </c>
      <c r="H788" s="65" t="str">
        <f>IFERROR(IF('Informe Kelly'!H781=$A$2,'Informe Kelly'!F781,""),0)</f>
        <v/>
      </c>
      <c r="I788" s="65">
        <f>IFERROR(IF('Informe Kelly'!H781=$A$3,'Informe Kelly'!F781,""),0)</f>
        <v>0.31783564814814813</v>
      </c>
      <c r="J788" s="65" t="str">
        <f>IF(IFERROR(IF(E788=E787,0,(HLOOKUP(D788,Ingreso!$AN$10:$AT$260,VLOOKUP(A788,Ingreso!$AL$11:$AM$260,2,FALSE)))/24),0)=0,"",IFERROR(IF(E788=E787,0,(HLOOKUP(D788,Ingreso!$AN$10:$AT$260,VLOOKUP(A788,Ingreso!$AL$11:$AM$260,2,FALSE)))/24),0))</f>
        <v/>
      </c>
      <c r="K788" s="65" t="str">
        <f>IF(IFERROR(IF(E788=E787,0,(HLOOKUP(C788,Ingreso!$AW$10:$BC$260,VLOOKUP(A788,Ingreso!$AL$11:$AM$260,2,FALSE)))/24),0)=0,"",IFERROR(IF(E788=E787,0,(HLOOKUP(C788,Ingreso!$AW$10:$BC$260,VLOOKUP(A788,Ingreso!$AL$11:$AM$260,2,FALSE)))/24),0))</f>
        <v/>
      </c>
      <c r="L788" s="63">
        <f t="shared" si="24"/>
        <v>0</v>
      </c>
      <c r="M788" s="63" t="str">
        <f>IF(IFERROR(IF(C788=C786,0,IF(E788=E787,0,IF(C788=$R$2,HLOOKUP($R$2,Ingreso!$AW$10:$BC$260,VLOOKUP(A788,Ingreso!AL:AM,2,FALSE),FALSE)/24,""))),"")=0,"",IFERROR(IF(C788=C786,0,IF(E788=E787,0,IF(C788=$R$2,HLOOKUP($R$2,Ingreso!$AW$10:$BC$260,VLOOKUP(A788,Ingreso!AL:AM,2,FALSE),FALSE)/24,""))),""))</f>
        <v/>
      </c>
      <c r="N788" s="95" t="str">
        <f>IF(IFERROR(IF(C788=C786,0,IF(E788=E787,0,IF(C788=$R$3,HLOOKUP($R$3,Ingreso!$AW$10:$BC$260,VLOOKUP(A788,Ingreso!AL:AM,2,FALSE),FALSE)/24,""))),"")=0,"",IFERROR(IF(C788=C786,0,IF(E788=E787,0,IF(C788=$R$3,HLOOKUP($R$3,Ingreso!$AW$10:$BC$260,VLOOKUP(A788,Ingreso!AL:AM,2,FALSE),FALSE)/24,""))),""))</f>
        <v/>
      </c>
      <c r="O788" s="95" t="str">
        <f>IF(IFERROR(IF(C788=C786,0,IF(E788=E787,0,IF(C788=$R$4,HLOOKUP($R$4,Ingreso!$AW$10:$BC$260,VLOOKUP(A788,Ingreso!AL:AM,2,FALSE),FALSE)/24,""))),"")=0,"",IFERROR(IF(C788=C786,0,IF(E788=E787,0,IF(C788=$R$4,HLOOKUP($R$4,Ingreso!$AW$10:$BC$260,VLOOKUP(A788,Ingreso!AL:AM,2,FALSE),FALSE)/24,""))),""))</f>
        <v/>
      </c>
      <c r="P788" s="90"/>
      <c r="V788"/>
      <c r="W788"/>
      <c r="X788"/>
      <c r="Y788"/>
      <c r="Z788"/>
      <c r="AA788"/>
      <c r="AB788"/>
      <c r="AC788"/>
      <c r="AD788"/>
    </row>
    <row r="789" spans="1:30">
      <c r="A789" s="65" t="str">
        <f>IFERROR(VLOOKUP('Informe Kelly'!A782,Base!A:B,2,FALSE),"")</f>
        <v>14.181.387-0</v>
      </c>
      <c r="B789" s="65" t="str">
        <f>IFERROR(VLOOKUP('Informe Kelly'!A782,Base!A:G,7,FALSE),"")</f>
        <v>DEL RIO TRONCOSO JORGE ANDRES</v>
      </c>
      <c r="C789" s="69" t="str">
        <f>IF(G789=$C$4,IF('Informe Kelly'!H782='Control informe Kelly'!$A$2,TEXT(((LEFT('Informe Kelly'!E782,2)*1)+1),"dd")&amp;"."&amp;MID('Informe Kelly'!E782,4,2)&amp;"."&amp;RIGHT('Informe Kelly'!E782,4),'Informe Kelly'!E782),'Informe Kelly'!E782)</f>
        <v>15.04.2011</v>
      </c>
      <c r="D789" s="69" t="str">
        <f>IF('Informe Kelly'!E782="","",'Informe Kelly'!E782)</f>
        <v>14.04.2011</v>
      </c>
      <c r="E789" s="72">
        <f t="shared" si="25"/>
        <v>400</v>
      </c>
      <c r="F789" s="72" t="str">
        <f>IFERROR(HLOOKUP(C789,Ingreso!$Q$8:$AD$9,2,FALSE),"v")</f>
        <v>Viernes</v>
      </c>
      <c r="G789" s="65" t="str">
        <f>IFERROR(VLOOKUP(A789,Ingreso!K:P,6,FALSE),"no esta ingresado")</f>
        <v>Turno C</v>
      </c>
      <c r="H789" s="65">
        <f>IFERROR(IF('Informe Kelly'!H782=$A$2,'Informe Kelly'!F782,""),0)</f>
        <v>0.92179398148148151</v>
      </c>
      <c r="I789" s="65" t="str">
        <f>IFERROR(IF('Informe Kelly'!H782=$A$3,'Informe Kelly'!F782,""),0)</f>
        <v/>
      </c>
      <c r="J789" s="65" t="str">
        <f>IF(IFERROR(IF(E789=E788,0,(HLOOKUP(D789,Ingreso!$AN$10:$AT$260,VLOOKUP(A789,Ingreso!$AL$11:$AM$260,2,FALSE)))/24),0)=0,"",IFERROR(IF(E789=E788,0,(HLOOKUP(D789,Ingreso!$AN$10:$AT$260,VLOOKUP(A789,Ingreso!$AL$11:$AM$260,2,FALSE)))/24),0))</f>
        <v/>
      </c>
      <c r="K789" s="65" t="str">
        <f>IF(IFERROR(IF(E789=E788,0,(HLOOKUP(C789,Ingreso!$AW$10:$BC$260,VLOOKUP(A789,Ingreso!$AL$11:$AM$260,2,FALSE)))/24),0)=0,"",IFERROR(IF(E789=E788,0,(HLOOKUP(C789,Ingreso!$AW$10:$BC$260,VLOOKUP(A789,Ingreso!$AL$11:$AM$260,2,FALSE)))/24),0))</f>
        <v/>
      </c>
      <c r="L789" s="63">
        <f t="shared" si="24"/>
        <v>0.375</v>
      </c>
      <c r="M789" s="63" t="str">
        <f>IF(IFERROR(IF(C789=C787,0,IF(E789=E788,0,IF(C789=$R$2,HLOOKUP($R$2,Ingreso!$AW$10:$BC$260,VLOOKUP(A789,Ingreso!AL:AM,2,FALSE),FALSE)/24,""))),"")=0,"",IFERROR(IF(C789=C787,0,IF(E789=E788,0,IF(C789=$R$2,HLOOKUP($R$2,Ingreso!$AW$10:$BC$260,VLOOKUP(A789,Ingreso!AL:AM,2,FALSE),FALSE)/24,""))),""))</f>
        <v/>
      </c>
      <c r="N789" s="95" t="str">
        <f>IF(IFERROR(IF(C789=C787,0,IF(E789=E788,0,IF(C789=$R$3,HLOOKUP($R$3,Ingreso!$AW$10:$BC$260,VLOOKUP(A789,Ingreso!AL:AM,2,FALSE),FALSE)/24,""))),"")=0,"",IFERROR(IF(C789=C787,0,IF(E789=E788,0,IF(C789=$R$3,HLOOKUP($R$3,Ingreso!$AW$10:$BC$260,VLOOKUP(A789,Ingreso!AL:AM,2,FALSE),FALSE)/24,""))),""))</f>
        <v/>
      </c>
      <c r="O789" s="95" t="str">
        <f>IF(IFERROR(IF(C789=C787,0,IF(E789=E788,0,IF(C789=$R$4,HLOOKUP($R$4,Ingreso!$AW$10:$BC$260,VLOOKUP(A789,Ingreso!AL:AM,2,FALSE),FALSE)/24,""))),"")=0,"",IFERROR(IF(C789=C787,0,IF(E789=E788,0,IF(C789=$R$4,HLOOKUP($R$4,Ingreso!$AW$10:$BC$260,VLOOKUP(A789,Ingreso!AL:AM,2,FALSE),FALSE)/24,""))),""))</f>
        <v/>
      </c>
      <c r="P789" s="90"/>
      <c r="V789"/>
      <c r="W789"/>
      <c r="X789"/>
      <c r="Y789"/>
      <c r="Z789"/>
      <c r="AA789"/>
      <c r="AB789"/>
      <c r="AC789"/>
      <c r="AD789"/>
    </row>
    <row r="790" spans="1:30">
      <c r="A790" s="65" t="str">
        <f>IFERROR(VLOOKUP('Informe Kelly'!A783,Base!A:B,2,FALSE),"")</f>
        <v>14.181.387-0</v>
      </c>
      <c r="B790" s="65" t="str">
        <f>IFERROR(VLOOKUP('Informe Kelly'!A783,Base!A:G,7,FALSE),"")</f>
        <v>DEL RIO TRONCOSO JORGE ANDRES</v>
      </c>
      <c r="C790" s="69" t="str">
        <f>IF(G790=$C$4,IF('Informe Kelly'!H783='Control informe Kelly'!$A$2,TEXT(((LEFT('Informe Kelly'!E783,2)*1)+1),"dd")&amp;"."&amp;MID('Informe Kelly'!E783,4,2)&amp;"."&amp;RIGHT('Informe Kelly'!E783,4),'Informe Kelly'!E783),'Informe Kelly'!E783)</f>
        <v>15.04.2011</v>
      </c>
      <c r="D790" s="69" t="str">
        <f>IF('Informe Kelly'!E783="","",'Informe Kelly'!E783)</f>
        <v>15.04.2011</v>
      </c>
      <c r="E790" s="72">
        <f t="shared" si="25"/>
        <v>400</v>
      </c>
      <c r="F790" s="72" t="str">
        <f>IFERROR(HLOOKUP(C790,Ingreso!$Q$8:$AD$9,2,FALSE),"v")</f>
        <v>Viernes</v>
      </c>
      <c r="G790" s="65" t="str">
        <f>IFERROR(VLOOKUP(A790,Ingreso!K:P,6,FALSE),"no esta ingresado")</f>
        <v>Turno C</v>
      </c>
      <c r="H790" s="65" t="str">
        <f>IFERROR(IF('Informe Kelly'!H783=$A$2,'Informe Kelly'!F783,""),0)</f>
        <v/>
      </c>
      <c r="I790" s="65">
        <f>IFERROR(IF('Informe Kelly'!H783=$A$3,'Informe Kelly'!F783,""),0)</f>
        <v>0.31498842592592591</v>
      </c>
      <c r="J790" s="65" t="str">
        <f>IF(IFERROR(IF(E790=E789,0,(HLOOKUP(D790,Ingreso!$AN$10:$AT$260,VLOOKUP(A790,Ingreso!$AL$11:$AM$260,2,FALSE)))/24),0)=0,"",IFERROR(IF(E790=E789,0,(HLOOKUP(D790,Ingreso!$AN$10:$AT$260,VLOOKUP(A790,Ingreso!$AL$11:$AM$260,2,FALSE)))/24),0))</f>
        <v/>
      </c>
      <c r="K790" s="65" t="str">
        <f>IF(IFERROR(IF(E790=E789,0,(HLOOKUP(C790,Ingreso!$AW$10:$BC$260,VLOOKUP(A790,Ingreso!$AL$11:$AM$260,2,FALSE)))/24),0)=0,"",IFERROR(IF(E790=E789,0,(HLOOKUP(C790,Ingreso!$AW$10:$BC$260,VLOOKUP(A790,Ingreso!$AL$11:$AM$260,2,FALSE)))/24),0))</f>
        <v/>
      </c>
      <c r="L790" s="63">
        <f t="shared" si="24"/>
        <v>0</v>
      </c>
      <c r="M790" s="63" t="str">
        <f>IF(IFERROR(IF(C790=C788,0,IF(E790=E789,0,IF(C790=$R$2,HLOOKUP($R$2,Ingreso!$AW$10:$BC$260,VLOOKUP(A790,Ingreso!AL:AM,2,FALSE),FALSE)/24,""))),"")=0,"",IFERROR(IF(C790=C788,0,IF(E790=E789,0,IF(C790=$R$2,HLOOKUP($R$2,Ingreso!$AW$10:$BC$260,VLOOKUP(A790,Ingreso!AL:AM,2,FALSE),FALSE)/24,""))),""))</f>
        <v/>
      </c>
      <c r="N790" s="95" t="str">
        <f>IF(IFERROR(IF(C790=C788,0,IF(E790=E789,0,IF(C790=$R$3,HLOOKUP($R$3,Ingreso!$AW$10:$BC$260,VLOOKUP(A790,Ingreso!AL:AM,2,FALSE),FALSE)/24,""))),"")=0,"",IFERROR(IF(C790=C788,0,IF(E790=E789,0,IF(C790=$R$3,HLOOKUP($R$3,Ingreso!$AW$10:$BC$260,VLOOKUP(A790,Ingreso!AL:AM,2,FALSE),FALSE)/24,""))),""))</f>
        <v/>
      </c>
      <c r="O790" s="95" t="str">
        <f>IF(IFERROR(IF(C790=C788,0,IF(E790=E789,0,IF(C790=$R$4,HLOOKUP($R$4,Ingreso!$AW$10:$BC$260,VLOOKUP(A790,Ingreso!AL:AM,2,FALSE),FALSE)/24,""))),"")=0,"",IFERROR(IF(C790=C788,0,IF(E790=E789,0,IF(C790=$R$4,HLOOKUP($R$4,Ingreso!$AW$10:$BC$260,VLOOKUP(A790,Ingreso!AL:AM,2,FALSE),FALSE)/24,""))),""))</f>
        <v/>
      </c>
      <c r="P790" s="90"/>
      <c r="V790"/>
      <c r="W790"/>
      <c r="X790"/>
      <c r="Y790"/>
      <c r="Z790"/>
      <c r="AA790"/>
      <c r="AB790"/>
      <c r="AC790"/>
      <c r="AD790"/>
    </row>
    <row r="791" spans="1:30">
      <c r="A791" s="65" t="str">
        <f>IFERROR(VLOOKUP('Informe Kelly'!A784,Base!A:B,2,FALSE),"")</f>
        <v>14.181.387-0</v>
      </c>
      <c r="B791" s="65" t="str">
        <f>IFERROR(VLOOKUP('Informe Kelly'!A784,Base!A:G,7,FALSE),"")</f>
        <v>DEL RIO TRONCOSO JORGE ANDRES</v>
      </c>
      <c r="C791" s="69" t="str">
        <f>IF(G791=$C$4,IF('Informe Kelly'!H784='Control informe Kelly'!$A$2,TEXT(((LEFT('Informe Kelly'!E784,2)*1)+1),"dd")&amp;"."&amp;MID('Informe Kelly'!E784,4,2)&amp;"."&amp;RIGHT('Informe Kelly'!E784,4),'Informe Kelly'!E784),'Informe Kelly'!E784)</f>
        <v>16.04.2011</v>
      </c>
      <c r="D791" s="69" t="str">
        <f>IF('Informe Kelly'!E784="","",'Informe Kelly'!E784)</f>
        <v>15.04.2011</v>
      </c>
      <c r="E791" s="72">
        <f t="shared" si="25"/>
        <v>401</v>
      </c>
      <c r="F791" s="72" t="str">
        <f>IFERROR(HLOOKUP(C791,Ingreso!$Q$8:$AD$9,2,FALSE),"v")</f>
        <v>Sábado</v>
      </c>
      <c r="G791" s="65" t="str">
        <f>IFERROR(VLOOKUP(A791,Ingreso!K:P,6,FALSE),"no esta ingresado")</f>
        <v>Turno C</v>
      </c>
      <c r="H791" s="65">
        <f>IFERROR(IF('Informe Kelly'!H784=$A$2,'Informe Kelly'!F784,""),0)</f>
        <v>0.92148148148148146</v>
      </c>
      <c r="I791" s="65" t="str">
        <f>IFERROR(IF('Informe Kelly'!H784=$A$3,'Informe Kelly'!F784,""),0)</f>
        <v/>
      </c>
      <c r="J791" s="65" t="str">
        <f>IF(IFERROR(IF(E791=E790,0,(HLOOKUP(D791,Ingreso!$AN$10:$AT$260,VLOOKUP(A791,Ingreso!$AL$11:$AM$260,2,FALSE)))/24),0)=0,"",IFERROR(IF(E791=E790,0,(HLOOKUP(D791,Ingreso!$AN$10:$AT$260,VLOOKUP(A791,Ingreso!$AL$11:$AM$260,2,FALSE)))/24),0))</f>
        <v/>
      </c>
      <c r="K791" s="65" t="str">
        <f>IF(IFERROR(IF(E791=E790,0,(HLOOKUP(C791,Ingreso!$AW$10:$BC$260,VLOOKUP(A791,Ingreso!$AL$11:$AM$260,2,FALSE)))/24),0)=0,"",IFERROR(IF(E791=E790,0,(HLOOKUP(C791,Ingreso!$AW$10:$BC$260,VLOOKUP(A791,Ingreso!$AL$11:$AM$260,2,FALSE)))/24),0))</f>
        <v/>
      </c>
      <c r="L791" s="63">
        <f t="shared" si="24"/>
        <v>0.375</v>
      </c>
      <c r="M791" s="63" t="str">
        <f>IF(IFERROR(IF(C791=C789,0,IF(E791=E790,0,IF(C791=$R$2,HLOOKUP($R$2,Ingreso!$AW$10:$BC$260,VLOOKUP(A791,Ingreso!AL:AM,2,FALSE),FALSE)/24,""))),"")=0,"",IFERROR(IF(C791=C789,0,IF(E791=E790,0,IF(C791=$R$2,HLOOKUP($R$2,Ingreso!$AW$10:$BC$260,VLOOKUP(A791,Ingreso!AL:AM,2,FALSE),FALSE)/24,""))),""))</f>
        <v/>
      </c>
      <c r="N791" s="95" t="str">
        <f>IF(IFERROR(IF(C791=C789,0,IF(E791=E790,0,IF(C791=$R$3,HLOOKUP($R$3,Ingreso!$AW$10:$BC$260,VLOOKUP(A791,Ingreso!AL:AM,2,FALSE),FALSE)/24,""))),"")=0,"",IFERROR(IF(C791=C789,0,IF(E791=E790,0,IF(C791=$R$3,HLOOKUP($R$3,Ingreso!$AW$10:$BC$260,VLOOKUP(A791,Ingreso!AL:AM,2,FALSE),FALSE)/24,""))),""))</f>
        <v/>
      </c>
      <c r="O791" s="95" t="str">
        <f>IF(IFERROR(IF(C791=C789,0,IF(E791=E790,0,IF(C791=$R$4,HLOOKUP($R$4,Ingreso!$AW$10:$BC$260,VLOOKUP(A791,Ingreso!AL:AM,2,FALSE),FALSE)/24,""))),"")=0,"",IFERROR(IF(C791=C789,0,IF(E791=E790,0,IF(C791=$R$4,HLOOKUP($R$4,Ingreso!$AW$10:$BC$260,VLOOKUP(A791,Ingreso!AL:AM,2,FALSE),FALSE)/24,""))),""))</f>
        <v/>
      </c>
      <c r="P791" s="90"/>
      <c r="V791"/>
      <c r="W791"/>
      <c r="X791"/>
      <c r="Y791"/>
      <c r="Z791"/>
      <c r="AA791"/>
      <c r="AB791"/>
      <c r="AC791"/>
      <c r="AD791"/>
    </row>
    <row r="792" spans="1:30">
      <c r="A792" s="65" t="str">
        <f>IFERROR(VLOOKUP('Informe Kelly'!A785,Base!A:B,2,FALSE),"")</f>
        <v>14.181.387-0</v>
      </c>
      <c r="B792" s="65" t="str">
        <f>IFERROR(VLOOKUP('Informe Kelly'!A785,Base!A:G,7,FALSE),"")</f>
        <v>DEL RIO TRONCOSO JORGE ANDRES</v>
      </c>
      <c r="C792" s="69" t="str">
        <f>IF(G792=$C$4,IF('Informe Kelly'!H785='Control informe Kelly'!$A$2,TEXT(((LEFT('Informe Kelly'!E785,2)*1)+1),"dd")&amp;"."&amp;MID('Informe Kelly'!E785,4,2)&amp;"."&amp;RIGHT('Informe Kelly'!E785,4),'Informe Kelly'!E785),'Informe Kelly'!E785)</f>
        <v>16.04.2011</v>
      </c>
      <c r="D792" s="69" t="str">
        <f>IF('Informe Kelly'!E785="","",'Informe Kelly'!E785)</f>
        <v>16.04.2011</v>
      </c>
      <c r="E792" s="72">
        <f t="shared" si="25"/>
        <v>401</v>
      </c>
      <c r="F792" s="72" t="str">
        <f>IFERROR(HLOOKUP(C792,Ingreso!$Q$8:$AD$9,2,FALSE),"v")</f>
        <v>Sábado</v>
      </c>
      <c r="G792" s="65" t="str">
        <f>IFERROR(VLOOKUP(A792,Ingreso!K:P,6,FALSE),"no esta ingresado")</f>
        <v>Turno C</v>
      </c>
      <c r="H792" s="65" t="str">
        <f>IFERROR(IF('Informe Kelly'!H785=$A$2,'Informe Kelly'!F785,""),0)</f>
        <v/>
      </c>
      <c r="I792" s="65">
        <f>IFERROR(IF('Informe Kelly'!H785=$A$3,'Informe Kelly'!F785,""),0)</f>
        <v>0.31837962962962962</v>
      </c>
      <c r="J792" s="65" t="str">
        <f>IF(IFERROR(IF(E792=E791,0,(HLOOKUP(D792,Ingreso!$AN$10:$AT$260,VLOOKUP(A792,Ingreso!$AL$11:$AM$260,2,FALSE)))/24),0)=0,"",IFERROR(IF(E792=E791,0,(HLOOKUP(D792,Ingreso!$AN$10:$AT$260,VLOOKUP(A792,Ingreso!$AL$11:$AM$260,2,FALSE)))/24),0))</f>
        <v/>
      </c>
      <c r="K792" s="65" t="str">
        <f>IF(IFERROR(IF(E792=E791,0,(HLOOKUP(C792,Ingreso!$AW$10:$BC$260,VLOOKUP(A792,Ingreso!$AL$11:$AM$260,2,FALSE)))/24),0)=0,"",IFERROR(IF(E792=E791,0,(HLOOKUP(C792,Ingreso!$AW$10:$BC$260,VLOOKUP(A792,Ingreso!$AL$11:$AM$260,2,FALSE)))/24),0))</f>
        <v/>
      </c>
      <c r="L792" s="63">
        <f t="shared" si="24"/>
        <v>0</v>
      </c>
      <c r="M792" s="63" t="str">
        <f>IF(IFERROR(IF(C792=C790,0,IF(E792=E791,0,IF(C792=$R$2,HLOOKUP($R$2,Ingreso!$AW$10:$BC$260,VLOOKUP(A792,Ingreso!AL:AM,2,FALSE),FALSE)/24,""))),"")=0,"",IFERROR(IF(C792=C790,0,IF(E792=E791,0,IF(C792=$R$2,HLOOKUP($R$2,Ingreso!$AW$10:$BC$260,VLOOKUP(A792,Ingreso!AL:AM,2,FALSE),FALSE)/24,""))),""))</f>
        <v/>
      </c>
      <c r="N792" s="95" t="str">
        <f>IF(IFERROR(IF(C792=C790,0,IF(E792=E791,0,IF(C792=$R$3,HLOOKUP($R$3,Ingreso!$AW$10:$BC$260,VLOOKUP(A792,Ingreso!AL:AM,2,FALSE),FALSE)/24,""))),"")=0,"",IFERROR(IF(C792=C790,0,IF(E792=E791,0,IF(C792=$R$3,HLOOKUP($R$3,Ingreso!$AW$10:$BC$260,VLOOKUP(A792,Ingreso!AL:AM,2,FALSE),FALSE)/24,""))),""))</f>
        <v/>
      </c>
      <c r="O792" s="95" t="str">
        <f>IF(IFERROR(IF(C792=C790,0,IF(E792=E791,0,IF(C792=$R$4,HLOOKUP($R$4,Ingreso!$AW$10:$BC$260,VLOOKUP(A792,Ingreso!AL:AM,2,FALSE),FALSE)/24,""))),"")=0,"",IFERROR(IF(C792=C790,0,IF(E792=E791,0,IF(C792=$R$4,HLOOKUP($R$4,Ingreso!$AW$10:$BC$260,VLOOKUP(A792,Ingreso!AL:AM,2,FALSE),FALSE)/24,""))),""))</f>
        <v/>
      </c>
      <c r="P792" s="90"/>
      <c r="V792"/>
      <c r="W792"/>
      <c r="X792"/>
      <c r="Y792"/>
      <c r="Z792"/>
      <c r="AA792"/>
      <c r="AB792"/>
      <c r="AC792"/>
      <c r="AD792"/>
    </row>
    <row r="793" spans="1:30">
      <c r="A793" s="65" t="str">
        <f>IFERROR(VLOOKUP('Informe Kelly'!A786,Base!A:B,2,FALSE),"")</f>
        <v>14.185.109-8</v>
      </c>
      <c r="B793" s="65" t="str">
        <f>IFERROR(VLOOKUP('Informe Kelly'!A786,Base!A:G,7,FALSE),"")</f>
        <v>REYES FUENZALIDA GUILLERMO ANTONIO</v>
      </c>
      <c r="C793" s="69" t="str">
        <f>IF(G793=$C$4,IF('Informe Kelly'!H786='Control informe Kelly'!$A$2,TEXT(((LEFT('Informe Kelly'!E786,2)*1)+1),"dd")&amp;"."&amp;MID('Informe Kelly'!E786,4,2)&amp;"."&amp;RIGHT('Informe Kelly'!E786,4),'Informe Kelly'!E786),'Informe Kelly'!E786)</f>
        <v>11.04.2011</v>
      </c>
      <c r="D793" s="69" t="str">
        <f>IF('Informe Kelly'!E786="","",'Informe Kelly'!E786)</f>
        <v>11.04.2011</v>
      </c>
      <c r="E793" s="72">
        <f t="shared" si="25"/>
        <v>402</v>
      </c>
      <c r="F793" s="72" t="str">
        <f>IFERROR(HLOOKUP(C793,Ingreso!$Q$8:$AD$9,2,FALSE),"v")</f>
        <v>Lunes</v>
      </c>
      <c r="G793" s="65" t="str">
        <f>IFERROR(VLOOKUP(A793,Ingreso!K:P,6,FALSE),"no esta ingresado")</f>
        <v>Turno B</v>
      </c>
      <c r="H793" s="65" t="str">
        <f>IFERROR(IF('Informe Kelly'!H786=$A$2,'Informe Kelly'!F786,""),0)</f>
        <v/>
      </c>
      <c r="I793" s="65">
        <f>IFERROR(IF('Informe Kelly'!H786=$A$3,'Informe Kelly'!F786,""),0)</f>
        <v>0.94415509259259256</v>
      </c>
      <c r="J793" s="65" t="str">
        <f>IF(IFERROR(IF(E793=E792,0,(HLOOKUP(D793,Ingreso!$AN$10:$AT$260,VLOOKUP(A793,Ingreso!$AL$11:$AM$260,2,FALSE)))/24),0)=0,"",IFERROR(IF(E793=E792,0,(HLOOKUP(D793,Ingreso!$AN$10:$AT$260,VLOOKUP(A793,Ingreso!$AL$11:$AM$260,2,FALSE)))/24),0))</f>
        <v/>
      </c>
      <c r="K793" s="65" t="str">
        <f>IF(IFERROR(IF(E793=E792,0,(HLOOKUP(C793,Ingreso!$AW$10:$BC$260,VLOOKUP(A793,Ingreso!$AL$11:$AM$260,2,FALSE)))/24),0)=0,"",IFERROR(IF(E793=E792,0,(HLOOKUP(C793,Ingreso!$AW$10:$BC$260,VLOOKUP(A793,Ingreso!$AL$11:$AM$260,2,FALSE)))/24),0))</f>
        <v/>
      </c>
      <c r="L793" s="63">
        <f t="shared" si="24"/>
        <v>0.3125</v>
      </c>
      <c r="M793" s="63" t="str">
        <f>IF(IFERROR(IF(C793=C791,0,IF(E793=E792,0,IF(C793=$R$2,HLOOKUP($R$2,Ingreso!$AW$10:$BC$260,VLOOKUP(A793,Ingreso!AL:AM,2,FALSE),FALSE)/24,""))),"")=0,"",IFERROR(IF(C793=C791,0,IF(E793=E792,0,IF(C793=$R$2,HLOOKUP($R$2,Ingreso!$AW$10:$BC$260,VLOOKUP(A793,Ingreso!AL:AM,2,FALSE),FALSE)/24,""))),""))</f>
        <v/>
      </c>
      <c r="N793" s="95" t="str">
        <f>IF(IFERROR(IF(C793=C791,0,IF(E793=E792,0,IF(C793=$R$3,HLOOKUP($R$3,Ingreso!$AW$10:$BC$260,VLOOKUP(A793,Ingreso!AL:AM,2,FALSE),FALSE)/24,""))),"")=0,"",IFERROR(IF(C793=C791,0,IF(E793=E792,0,IF(C793=$R$3,HLOOKUP($R$3,Ingreso!$AW$10:$BC$260,VLOOKUP(A793,Ingreso!AL:AM,2,FALSE),FALSE)/24,""))),""))</f>
        <v/>
      </c>
      <c r="O793" s="95" t="str">
        <f>IF(IFERROR(IF(C793=C791,0,IF(E793=E792,0,IF(C793=$R$4,HLOOKUP($R$4,Ingreso!$AW$10:$BC$260,VLOOKUP(A793,Ingreso!AL:AM,2,FALSE),FALSE)/24,""))),"")=0,"",IFERROR(IF(C793=C791,0,IF(E793=E792,0,IF(C793=$R$4,HLOOKUP($R$4,Ingreso!$AW$10:$BC$260,VLOOKUP(A793,Ingreso!AL:AM,2,FALSE),FALSE)/24,""))),""))</f>
        <v/>
      </c>
      <c r="P793" s="90"/>
      <c r="V793"/>
      <c r="W793"/>
      <c r="X793"/>
      <c r="Y793"/>
      <c r="Z793"/>
      <c r="AA793"/>
      <c r="AB793"/>
      <c r="AC793"/>
      <c r="AD793"/>
    </row>
    <row r="794" spans="1:30">
      <c r="A794" s="65" t="str">
        <f>IFERROR(VLOOKUP('Informe Kelly'!A787,Base!A:B,2,FALSE),"")</f>
        <v>14.185.109-8</v>
      </c>
      <c r="B794" s="65" t="str">
        <f>IFERROR(VLOOKUP('Informe Kelly'!A787,Base!A:G,7,FALSE),"")</f>
        <v>REYES FUENZALIDA GUILLERMO ANTONIO</v>
      </c>
      <c r="C794" s="69" t="str">
        <f>IF(G794=$C$4,IF('Informe Kelly'!H787='Control informe Kelly'!$A$2,TEXT(((LEFT('Informe Kelly'!E787,2)*1)+1),"dd")&amp;"."&amp;MID('Informe Kelly'!E787,4,2)&amp;"."&amp;RIGHT('Informe Kelly'!E787,4),'Informe Kelly'!E787),'Informe Kelly'!E787)</f>
        <v>11.04.2011</v>
      </c>
      <c r="D794" s="69" t="str">
        <f>IF('Informe Kelly'!E787="","",'Informe Kelly'!E787)</f>
        <v>11.04.2011</v>
      </c>
      <c r="E794" s="72">
        <f t="shared" si="25"/>
        <v>402</v>
      </c>
      <c r="F794" s="72" t="str">
        <f>IFERROR(HLOOKUP(C794,Ingreso!$Q$8:$AD$9,2,FALSE),"v")</f>
        <v>Lunes</v>
      </c>
      <c r="G794" s="65" t="str">
        <f>IFERROR(VLOOKUP(A794,Ingreso!K:P,6,FALSE),"no esta ingresado")</f>
        <v>Turno B</v>
      </c>
      <c r="H794" s="65">
        <f>IFERROR(IF('Informe Kelly'!H787=$A$2,'Informe Kelly'!F787,""),0)</f>
        <v>0.61427083333333332</v>
      </c>
      <c r="I794" s="65" t="str">
        <f>IFERROR(IF('Informe Kelly'!H787=$A$3,'Informe Kelly'!F787,""),0)</f>
        <v/>
      </c>
      <c r="J794" s="65" t="str">
        <f>IF(IFERROR(IF(E794=E793,0,(HLOOKUP(D794,Ingreso!$AN$10:$AT$260,VLOOKUP(A794,Ingreso!$AL$11:$AM$260,2,FALSE)))/24),0)=0,"",IFERROR(IF(E794=E793,0,(HLOOKUP(D794,Ingreso!$AN$10:$AT$260,VLOOKUP(A794,Ingreso!$AL$11:$AM$260,2,FALSE)))/24),0))</f>
        <v/>
      </c>
      <c r="K794" s="65" t="str">
        <f>IF(IFERROR(IF(E794=E793,0,(HLOOKUP(C794,Ingreso!$AW$10:$BC$260,VLOOKUP(A794,Ingreso!$AL$11:$AM$260,2,FALSE)))/24),0)=0,"",IFERROR(IF(E794=E793,0,(HLOOKUP(C794,Ingreso!$AW$10:$BC$260,VLOOKUP(A794,Ingreso!$AL$11:$AM$260,2,FALSE)))/24),0))</f>
        <v/>
      </c>
      <c r="L794" s="63">
        <f t="shared" si="24"/>
        <v>0</v>
      </c>
      <c r="M794" s="63" t="str">
        <f>IF(IFERROR(IF(C794=C792,0,IF(E794=E793,0,IF(C794=$R$2,HLOOKUP($R$2,Ingreso!$AW$10:$BC$260,VLOOKUP(A794,Ingreso!AL:AM,2,FALSE),FALSE)/24,""))),"")=0,"",IFERROR(IF(C794=C792,0,IF(E794=E793,0,IF(C794=$R$2,HLOOKUP($R$2,Ingreso!$AW$10:$BC$260,VLOOKUP(A794,Ingreso!AL:AM,2,FALSE),FALSE)/24,""))),""))</f>
        <v/>
      </c>
      <c r="N794" s="95" t="str">
        <f>IF(IFERROR(IF(C794=C792,0,IF(E794=E793,0,IF(C794=$R$3,HLOOKUP($R$3,Ingreso!$AW$10:$BC$260,VLOOKUP(A794,Ingreso!AL:AM,2,FALSE),FALSE)/24,""))),"")=0,"",IFERROR(IF(C794=C792,0,IF(E794=E793,0,IF(C794=$R$3,HLOOKUP($R$3,Ingreso!$AW$10:$BC$260,VLOOKUP(A794,Ingreso!AL:AM,2,FALSE),FALSE)/24,""))),""))</f>
        <v/>
      </c>
      <c r="O794" s="95" t="str">
        <f>IF(IFERROR(IF(C794=C792,0,IF(E794=E793,0,IF(C794=$R$4,HLOOKUP($R$4,Ingreso!$AW$10:$BC$260,VLOOKUP(A794,Ingreso!AL:AM,2,FALSE),FALSE)/24,""))),"")=0,"",IFERROR(IF(C794=C792,0,IF(E794=E793,0,IF(C794=$R$4,HLOOKUP($R$4,Ingreso!$AW$10:$BC$260,VLOOKUP(A794,Ingreso!AL:AM,2,FALSE),FALSE)/24,""))),""))</f>
        <v/>
      </c>
      <c r="P794" s="90"/>
      <c r="V794"/>
      <c r="W794"/>
      <c r="X794"/>
      <c r="Y794"/>
      <c r="Z794"/>
      <c r="AA794"/>
      <c r="AB794"/>
      <c r="AC794"/>
      <c r="AD794"/>
    </row>
    <row r="795" spans="1:30">
      <c r="A795" s="65" t="str">
        <f>IFERROR(VLOOKUP('Informe Kelly'!A788,Base!A:B,2,FALSE),"")</f>
        <v>14.185.109-8</v>
      </c>
      <c r="B795" s="65" t="str">
        <f>IFERROR(VLOOKUP('Informe Kelly'!A788,Base!A:G,7,FALSE),"")</f>
        <v>REYES FUENZALIDA GUILLERMO ANTONIO</v>
      </c>
      <c r="C795" s="69" t="str">
        <f>IF(G795=$C$4,IF('Informe Kelly'!H788='Control informe Kelly'!$A$2,TEXT(((LEFT('Informe Kelly'!E788,2)*1)+1),"dd")&amp;"."&amp;MID('Informe Kelly'!E788,4,2)&amp;"."&amp;RIGHT('Informe Kelly'!E788,4),'Informe Kelly'!E788),'Informe Kelly'!E788)</f>
        <v>12.04.2011</v>
      </c>
      <c r="D795" s="69" t="str">
        <f>IF('Informe Kelly'!E788="","",'Informe Kelly'!E788)</f>
        <v>12.04.2011</v>
      </c>
      <c r="E795" s="72">
        <f t="shared" si="25"/>
        <v>403</v>
      </c>
      <c r="F795" s="72" t="str">
        <f>IFERROR(HLOOKUP(C795,Ingreso!$Q$8:$AD$9,2,FALSE),"v")</f>
        <v>Martes</v>
      </c>
      <c r="G795" s="65" t="str">
        <f>IFERROR(VLOOKUP(A795,Ingreso!K:P,6,FALSE),"no esta ingresado")</f>
        <v>Turno B</v>
      </c>
      <c r="H795" s="65" t="str">
        <f>IFERROR(IF('Informe Kelly'!H788=$A$2,'Informe Kelly'!F788,""),0)</f>
        <v/>
      </c>
      <c r="I795" s="65">
        <f>IFERROR(IF('Informe Kelly'!H788=$A$3,'Informe Kelly'!F788,""),0)</f>
        <v>0.94187500000000002</v>
      </c>
      <c r="J795" s="65" t="str">
        <f>IF(IFERROR(IF(E795=E794,0,(HLOOKUP(D795,Ingreso!$AN$10:$AT$260,VLOOKUP(A795,Ingreso!$AL$11:$AM$260,2,FALSE)))/24),0)=0,"",IFERROR(IF(E795=E794,0,(HLOOKUP(D795,Ingreso!$AN$10:$AT$260,VLOOKUP(A795,Ingreso!$AL$11:$AM$260,2,FALSE)))/24),0))</f>
        <v/>
      </c>
      <c r="K795" s="65" t="str">
        <f>IF(IFERROR(IF(E795=E794,0,(HLOOKUP(C795,Ingreso!$AW$10:$BC$260,VLOOKUP(A795,Ingreso!$AL$11:$AM$260,2,FALSE)))/24),0)=0,"",IFERROR(IF(E795=E794,0,(HLOOKUP(C795,Ingreso!$AW$10:$BC$260,VLOOKUP(A795,Ingreso!$AL$11:$AM$260,2,FALSE)))/24),0))</f>
        <v/>
      </c>
      <c r="L795" s="63">
        <f t="shared" si="24"/>
        <v>0.3125</v>
      </c>
      <c r="M795" s="63" t="str">
        <f>IF(IFERROR(IF(C795=C793,0,IF(E795=E794,0,IF(C795=$R$2,HLOOKUP($R$2,Ingreso!$AW$10:$BC$260,VLOOKUP(A795,Ingreso!AL:AM,2,FALSE),FALSE)/24,""))),"")=0,"",IFERROR(IF(C795=C793,0,IF(E795=E794,0,IF(C795=$R$2,HLOOKUP($R$2,Ingreso!$AW$10:$BC$260,VLOOKUP(A795,Ingreso!AL:AM,2,FALSE),FALSE)/24,""))),""))</f>
        <v/>
      </c>
      <c r="N795" s="95" t="str">
        <f>IF(IFERROR(IF(C795=C793,0,IF(E795=E794,0,IF(C795=$R$3,HLOOKUP($R$3,Ingreso!$AW$10:$BC$260,VLOOKUP(A795,Ingreso!AL:AM,2,FALSE),FALSE)/24,""))),"")=0,"",IFERROR(IF(C795=C793,0,IF(E795=E794,0,IF(C795=$R$3,HLOOKUP($R$3,Ingreso!$AW$10:$BC$260,VLOOKUP(A795,Ingreso!AL:AM,2,FALSE),FALSE)/24,""))),""))</f>
        <v/>
      </c>
      <c r="O795" s="95" t="str">
        <f>IF(IFERROR(IF(C795=C793,0,IF(E795=E794,0,IF(C795=$R$4,HLOOKUP($R$4,Ingreso!$AW$10:$BC$260,VLOOKUP(A795,Ingreso!AL:AM,2,FALSE),FALSE)/24,""))),"")=0,"",IFERROR(IF(C795=C793,0,IF(E795=E794,0,IF(C795=$R$4,HLOOKUP($R$4,Ingreso!$AW$10:$BC$260,VLOOKUP(A795,Ingreso!AL:AM,2,FALSE),FALSE)/24,""))),""))</f>
        <v/>
      </c>
      <c r="P795" s="90"/>
      <c r="V795"/>
      <c r="W795"/>
      <c r="X795"/>
      <c r="Y795"/>
      <c r="Z795"/>
      <c r="AA795"/>
      <c r="AB795"/>
      <c r="AC795"/>
      <c r="AD795"/>
    </row>
    <row r="796" spans="1:30">
      <c r="A796" s="65" t="str">
        <f>IFERROR(VLOOKUP('Informe Kelly'!A789,Base!A:B,2,FALSE),"")</f>
        <v>14.185.109-8</v>
      </c>
      <c r="B796" s="65" t="str">
        <f>IFERROR(VLOOKUP('Informe Kelly'!A789,Base!A:G,7,FALSE),"")</f>
        <v>REYES FUENZALIDA GUILLERMO ANTONIO</v>
      </c>
      <c r="C796" s="69" t="str">
        <f>IF(G796=$C$4,IF('Informe Kelly'!H789='Control informe Kelly'!$A$2,TEXT(((LEFT('Informe Kelly'!E789,2)*1)+1),"dd")&amp;"."&amp;MID('Informe Kelly'!E789,4,2)&amp;"."&amp;RIGHT('Informe Kelly'!E789,4),'Informe Kelly'!E789),'Informe Kelly'!E789)</f>
        <v>12.04.2011</v>
      </c>
      <c r="D796" s="69" t="str">
        <f>IF('Informe Kelly'!E789="","",'Informe Kelly'!E789)</f>
        <v>12.04.2011</v>
      </c>
      <c r="E796" s="72">
        <f t="shared" si="25"/>
        <v>403</v>
      </c>
      <c r="F796" s="72" t="str">
        <f>IFERROR(HLOOKUP(C796,Ingreso!$Q$8:$AD$9,2,FALSE),"v")</f>
        <v>Martes</v>
      </c>
      <c r="G796" s="65" t="str">
        <f>IFERROR(VLOOKUP(A796,Ingreso!K:P,6,FALSE),"no esta ingresado")</f>
        <v>Turno B</v>
      </c>
      <c r="H796" s="65">
        <f>IFERROR(IF('Informe Kelly'!H789=$A$2,'Informe Kelly'!F789,""),0)</f>
        <v>0.61346064814814816</v>
      </c>
      <c r="I796" s="65" t="str">
        <f>IFERROR(IF('Informe Kelly'!H789=$A$3,'Informe Kelly'!F789,""),0)</f>
        <v/>
      </c>
      <c r="J796" s="65" t="str">
        <f>IF(IFERROR(IF(E796=E795,0,(HLOOKUP(D796,Ingreso!$AN$10:$AT$260,VLOOKUP(A796,Ingreso!$AL$11:$AM$260,2,FALSE)))/24),0)=0,"",IFERROR(IF(E796=E795,0,(HLOOKUP(D796,Ingreso!$AN$10:$AT$260,VLOOKUP(A796,Ingreso!$AL$11:$AM$260,2,FALSE)))/24),0))</f>
        <v/>
      </c>
      <c r="K796" s="65" t="str">
        <f>IF(IFERROR(IF(E796=E795,0,(HLOOKUP(C796,Ingreso!$AW$10:$BC$260,VLOOKUP(A796,Ingreso!$AL$11:$AM$260,2,FALSE)))/24),0)=0,"",IFERROR(IF(E796=E795,0,(HLOOKUP(C796,Ingreso!$AW$10:$BC$260,VLOOKUP(A796,Ingreso!$AL$11:$AM$260,2,FALSE)))/24),0))</f>
        <v/>
      </c>
      <c r="L796" s="63">
        <f t="shared" si="24"/>
        <v>0</v>
      </c>
      <c r="M796" s="63" t="str">
        <f>IF(IFERROR(IF(C796=C794,0,IF(E796=E795,0,IF(C796=$R$2,HLOOKUP($R$2,Ingreso!$AW$10:$BC$260,VLOOKUP(A796,Ingreso!AL:AM,2,FALSE),FALSE)/24,""))),"")=0,"",IFERROR(IF(C796=C794,0,IF(E796=E795,0,IF(C796=$R$2,HLOOKUP($R$2,Ingreso!$AW$10:$BC$260,VLOOKUP(A796,Ingreso!AL:AM,2,FALSE),FALSE)/24,""))),""))</f>
        <v/>
      </c>
      <c r="N796" s="95" t="str">
        <f>IF(IFERROR(IF(C796=C794,0,IF(E796=E795,0,IF(C796=$R$3,HLOOKUP($R$3,Ingreso!$AW$10:$BC$260,VLOOKUP(A796,Ingreso!AL:AM,2,FALSE),FALSE)/24,""))),"")=0,"",IFERROR(IF(C796=C794,0,IF(E796=E795,0,IF(C796=$R$3,HLOOKUP($R$3,Ingreso!$AW$10:$BC$260,VLOOKUP(A796,Ingreso!AL:AM,2,FALSE),FALSE)/24,""))),""))</f>
        <v/>
      </c>
      <c r="O796" s="95" t="str">
        <f>IF(IFERROR(IF(C796=C794,0,IF(E796=E795,0,IF(C796=$R$4,HLOOKUP($R$4,Ingreso!$AW$10:$BC$260,VLOOKUP(A796,Ingreso!AL:AM,2,FALSE),FALSE)/24,""))),"")=0,"",IFERROR(IF(C796=C794,0,IF(E796=E795,0,IF(C796=$R$4,HLOOKUP($R$4,Ingreso!$AW$10:$BC$260,VLOOKUP(A796,Ingreso!AL:AM,2,FALSE),FALSE)/24,""))),""))</f>
        <v/>
      </c>
      <c r="P796" s="90"/>
      <c r="V796"/>
      <c r="W796"/>
      <c r="X796"/>
      <c r="Y796"/>
      <c r="Z796"/>
      <c r="AA796"/>
      <c r="AB796"/>
      <c r="AC796"/>
      <c r="AD796"/>
    </row>
    <row r="797" spans="1:30">
      <c r="A797" s="65" t="str">
        <f>IFERROR(VLOOKUP('Informe Kelly'!A790,Base!A:B,2,FALSE),"")</f>
        <v>14.185.109-8</v>
      </c>
      <c r="B797" s="65" t="str">
        <f>IFERROR(VLOOKUP('Informe Kelly'!A790,Base!A:G,7,FALSE),"")</f>
        <v>REYES FUENZALIDA GUILLERMO ANTONIO</v>
      </c>
      <c r="C797" s="69" t="str">
        <f>IF(G797=$C$4,IF('Informe Kelly'!H790='Control informe Kelly'!$A$2,TEXT(((LEFT('Informe Kelly'!E790,2)*1)+1),"dd")&amp;"."&amp;MID('Informe Kelly'!E790,4,2)&amp;"."&amp;RIGHT('Informe Kelly'!E790,4),'Informe Kelly'!E790),'Informe Kelly'!E790)</f>
        <v>13.04.2011</v>
      </c>
      <c r="D797" s="69" t="str">
        <f>IF('Informe Kelly'!E790="","",'Informe Kelly'!E790)</f>
        <v>13.04.2011</v>
      </c>
      <c r="E797" s="72">
        <f t="shared" si="25"/>
        <v>404</v>
      </c>
      <c r="F797" s="72" t="str">
        <f>IFERROR(HLOOKUP(C797,Ingreso!$Q$8:$AD$9,2,FALSE),"v")</f>
        <v>Miércoles</v>
      </c>
      <c r="G797" s="65" t="str">
        <f>IFERROR(VLOOKUP(A797,Ingreso!K:P,6,FALSE),"no esta ingresado")</f>
        <v>Turno B</v>
      </c>
      <c r="H797" s="65" t="str">
        <f>IFERROR(IF('Informe Kelly'!H790=$A$2,'Informe Kelly'!F790,""),0)</f>
        <v/>
      </c>
      <c r="I797" s="65">
        <f>IFERROR(IF('Informe Kelly'!H790=$A$3,'Informe Kelly'!F790,""),0)</f>
        <v>0.94302083333333331</v>
      </c>
      <c r="J797" s="65" t="str">
        <f>IF(IFERROR(IF(E797=E796,0,(HLOOKUP(D797,Ingreso!$AN$10:$AT$260,VLOOKUP(A797,Ingreso!$AL$11:$AM$260,2,FALSE)))/24),0)=0,"",IFERROR(IF(E797=E796,0,(HLOOKUP(D797,Ingreso!$AN$10:$AT$260,VLOOKUP(A797,Ingreso!$AL$11:$AM$260,2,FALSE)))/24),0))</f>
        <v/>
      </c>
      <c r="K797" s="65" t="str">
        <f>IF(IFERROR(IF(E797=E796,0,(HLOOKUP(C797,Ingreso!$AW$10:$BC$260,VLOOKUP(A797,Ingreso!$AL$11:$AM$260,2,FALSE)))/24),0)=0,"",IFERROR(IF(E797=E796,0,(HLOOKUP(C797,Ingreso!$AW$10:$BC$260,VLOOKUP(A797,Ingreso!$AL$11:$AM$260,2,FALSE)))/24),0))</f>
        <v/>
      </c>
      <c r="L797" s="63">
        <f t="shared" si="24"/>
        <v>0.3125</v>
      </c>
      <c r="M797" s="63" t="str">
        <f>IF(IFERROR(IF(C797=C795,0,IF(E797=E796,0,IF(C797=$R$2,HLOOKUP($R$2,Ingreso!$AW$10:$BC$260,VLOOKUP(A797,Ingreso!AL:AM,2,FALSE),FALSE)/24,""))),"")=0,"",IFERROR(IF(C797=C795,0,IF(E797=E796,0,IF(C797=$R$2,HLOOKUP($R$2,Ingreso!$AW$10:$BC$260,VLOOKUP(A797,Ingreso!AL:AM,2,FALSE),FALSE)/24,""))),""))</f>
        <v/>
      </c>
      <c r="N797" s="95" t="str">
        <f>IF(IFERROR(IF(C797=C795,0,IF(E797=E796,0,IF(C797=$R$3,HLOOKUP($R$3,Ingreso!$AW$10:$BC$260,VLOOKUP(A797,Ingreso!AL:AM,2,FALSE),FALSE)/24,""))),"")=0,"",IFERROR(IF(C797=C795,0,IF(E797=E796,0,IF(C797=$R$3,HLOOKUP($R$3,Ingreso!$AW$10:$BC$260,VLOOKUP(A797,Ingreso!AL:AM,2,FALSE),FALSE)/24,""))),""))</f>
        <v/>
      </c>
      <c r="O797" s="95" t="str">
        <f>IF(IFERROR(IF(C797=C795,0,IF(E797=E796,0,IF(C797=$R$4,HLOOKUP($R$4,Ingreso!$AW$10:$BC$260,VLOOKUP(A797,Ingreso!AL:AM,2,FALSE),FALSE)/24,""))),"")=0,"",IFERROR(IF(C797=C795,0,IF(E797=E796,0,IF(C797=$R$4,HLOOKUP($R$4,Ingreso!$AW$10:$BC$260,VLOOKUP(A797,Ingreso!AL:AM,2,FALSE),FALSE)/24,""))),""))</f>
        <v/>
      </c>
      <c r="P797" s="90"/>
      <c r="V797"/>
      <c r="W797"/>
      <c r="X797"/>
      <c r="Y797"/>
      <c r="Z797"/>
      <c r="AA797"/>
      <c r="AB797"/>
      <c r="AC797"/>
      <c r="AD797"/>
    </row>
    <row r="798" spans="1:30">
      <c r="A798" s="65" t="str">
        <f>IFERROR(VLOOKUP('Informe Kelly'!A791,Base!A:B,2,FALSE),"")</f>
        <v>14.185.109-8</v>
      </c>
      <c r="B798" s="65" t="str">
        <f>IFERROR(VLOOKUP('Informe Kelly'!A791,Base!A:G,7,FALSE),"")</f>
        <v>REYES FUENZALIDA GUILLERMO ANTONIO</v>
      </c>
      <c r="C798" s="69" t="str">
        <f>IF(G798=$C$4,IF('Informe Kelly'!H791='Control informe Kelly'!$A$2,TEXT(((LEFT('Informe Kelly'!E791,2)*1)+1),"dd")&amp;"."&amp;MID('Informe Kelly'!E791,4,2)&amp;"."&amp;RIGHT('Informe Kelly'!E791,4),'Informe Kelly'!E791),'Informe Kelly'!E791)</f>
        <v>13.04.2011</v>
      </c>
      <c r="D798" s="69" t="str">
        <f>IF('Informe Kelly'!E791="","",'Informe Kelly'!E791)</f>
        <v>13.04.2011</v>
      </c>
      <c r="E798" s="72">
        <f t="shared" si="25"/>
        <v>404</v>
      </c>
      <c r="F798" s="72" t="str">
        <f>IFERROR(HLOOKUP(C798,Ingreso!$Q$8:$AD$9,2,FALSE),"v")</f>
        <v>Miércoles</v>
      </c>
      <c r="G798" s="65" t="str">
        <f>IFERROR(VLOOKUP(A798,Ingreso!K:P,6,FALSE),"no esta ingresado")</f>
        <v>Turno B</v>
      </c>
      <c r="H798" s="65">
        <f>IFERROR(IF('Informe Kelly'!H791=$A$2,'Informe Kelly'!F791,""),0)</f>
        <v>0.61510416666666667</v>
      </c>
      <c r="I798" s="65" t="str">
        <f>IFERROR(IF('Informe Kelly'!H791=$A$3,'Informe Kelly'!F791,""),0)</f>
        <v/>
      </c>
      <c r="J798" s="65" t="str">
        <f>IF(IFERROR(IF(E798=E797,0,(HLOOKUP(D798,Ingreso!$AN$10:$AT$260,VLOOKUP(A798,Ingreso!$AL$11:$AM$260,2,FALSE)))/24),0)=0,"",IFERROR(IF(E798=E797,0,(HLOOKUP(D798,Ingreso!$AN$10:$AT$260,VLOOKUP(A798,Ingreso!$AL$11:$AM$260,2,FALSE)))/24),0))</f>
        <v/>
      </c>
      <c r="K798" s="65" t="str">
        <f>IF(IFERROR(IF(E798=E797,0,(HLOOKUP(C798,Ingreso!$AW$10:$BC$260,VLOOKUP(A798,Ingreso!$AL$11:$AM$260,2,FALSE)))/24),0)=0,"",IFERROR(IF(E798=E797,0,(HLOOKUP(C798,Ingreso!$AW$10:$BC$260,VLOOKUP(A798,Ingreso!$AL$11:$AM$260,2,FALSE)))/24),0))</f>
        <v/>
      </c>
      <c r="L798" s="63">
        <f t="shared" si="24"/>
        <v>0</v>
      </c>
      <c r="M798" s="63" t="str">
        <f>IF(IFERROR(IF(C798=C796,0,IF(E798=E797,0,IF(C798=$R$2,HLOOKUP($R$2,Ingreso!$AW$10:$BC$260,VLOOKUP(A798,Ingreso!AL:AM,2,FALSE),FALSE)/24,""))),"")=0,"",IFERROR(IF(C798=C796,0,IF(E798=E797,0,IF(C798=$R$2,HLOOKUP($R$2,Ingreso!$AW$10:$BC$260,VLOOKUP(A798,Ingreso!AL:AM,2,FALSE),FALSE)/24,""))),""))</f>
        <v/>
      </c>
      <c r="N798" s="95" t="str">
        <f>IF(IFERROR(IF(C798=C796,0,IF(E798=E797,0,IF(C798=$R$3,HLOOKUP($R$3,Ingreso!$AW$10:$BC$260,VLOOKUP(A798,Ingreso!AL:AM,2,FALSE),FALSE)/24,""))),"")=0,"",IFERROR(IF(C798=C796,0,IF(E798=E797,0,IF(C798=$R$3,HLOOKUP($R$3,Ingreso!$AW$10:$BC$260,VLOOKUP(A798,Ingreso!AL:AM,2,FALSE),FALSE)/24,""))),""))</f>
        <v/>
      </c>
      <c r="O798" s="95" t="str">
        <f>IF(IFERROR(IF(C798=C796,0,IF(E798=E797,0,IF(C798=$R$4,HLOOKUP($R$4,Ingreso!$AW$10:$BC$260,VLOOKUP(A798,Ingreso!AL:AM,2,FALSE),FALSE)/24,""))),"")=0,"",IFERROR(IF(C798=C796,0,IF(E798=E797,0,IF(C798=$R$4,HLOOKUP($R$4,Ingreso!$AW$10:$BC$260,VLOOKUP(A798,Ingreso!AL:AM,2,FALSE),FALSE)/24,""))),""))</f>
        <v/>
      </c>
      <c r="P798" s="90"/>
      <c r="V798"/>
      <c r="W798"/>
      <c r="X798"/>
      <c r="Y798"/>
      <c r="Z798"/>
      <c r="AA798"/>
      <c r="AB798"/>
      <c r="AC798"/>
      <c r="AD798"/>
    </row>
    <row r="799" spans="1:30">
      <c r="A799" s="65" t="str">
        <f>IFERROR(VLOOKUP('Informe Kelly'!A792,Base!A:B,2,FALSE),"")</f>
        <v>14.185.109-8</v>
      </c>
      <c r="B799" s="65" t="str">
        <f>IFERROR(VLOOKUP('Informe Kelly'!A792,Base!A:G,7,FALSE),"")</f>
        <v>REYES FUENZALIDA GUILLERMO ANTONIO</v>
      </c>
      <c r="C799" s="69" t="str">
        <f>IF(G799=$C$4,IF('Informe Kelly'!H792='Control informe Kelly'!$A$2,TEXT(((LEFT('Informe Kelly'!E792,2)*1)+1),"dd")&amp;"."&amp;MID('Informe Kelly'!E792,4,2)&amp;"."&amp;RIGHT('Informe Kelly'!E792,4),'Informe Kelly'!E792),'Informe Kelly'!E792)</f>
        <v>14.04.2011</v>
      </c>
      <c r="D799" s="69" t="str">
        <f>IF('Informe Kelly'!E792="","",'Informe Kelly'!E792)</f>
        <v>14.04.2011</v>
      </c>
      <c r="E799" s="72">
        <f t="shared" si="25"/>
        <v>405</v>
      </c>
      <c r="F799" s="72" t="str">
        <f>IFERROR(HLOOKUP(C799,Ingreso!$Q$8:$AD$9,2,FALSE),"v")</f>
        <v>Jueves</v>
      </c>
      <c r="G799" s="65" t="str">
        <f>IFERROR(VLOOKUP(A799,Ingreso!K:P,6,FALSE),"no esta ingresado")</f>
        <v>Turno B</v>
      </c>
      <c r="H799" s="65" t="str">
        <f>IFERROR(IF('Informe Kelly'!H792=$A$2,'Informe Kelly'!F792,""),0)</f>
        <v/>
      </c>
      <c r="I799" s="65">
        <f>IFERROR(IF('Informe Kelly'!H792=$A$3,'Informe Kelly'!F792,""),0)</f>
        <v>0.94271990740740741</v>
      </c>
      <c r="J799" s="65" t="str">
        <f>IF(IFERROR(IF(E799=E798,0,(HLOOKUP(D799,Ingreso!$AN$10:$AT$260,VLOOKUP(A799,Ingreso!$AL$11:$AM$260,2,FALSE)))/24),0)=0,"",IFERROR(IF(E799=E798,0,(HLOOKUP(D799,Ingreso!$AN$10:$AT$260,VLOOKUP(A799,Ingreso!$AL$11:$AM$260,2,FALSE)))/24),0))</f>
        <v/>
      </c>
      <c r="K799" s="65" t="str">
        <f>IF(IFERROR(IF(E799=E798,0,(HLOOKUP(C799,Ingreso!$AW$10:$BC$260,VLOOKUP(A799,Ingreso!$AL$11:$AM$260,2,FALSE)))/24),0)=0,"",IFERROR(IF(E799=E798,0,(HLOOKUP(C799,Ingreso!$AW$10:$BC$260,VLOOKUP(A799,Ingreso!$AL$11:$AM$260,2,FALSE)))/24),0))</f>
        <v/>
      </c>
      <c r="L799" s="63">
        <f t="shared" si="24"/>
        <v>0.3125</v>
      </c>
      <c r="M799" s="63" t="str">
        <f>IF(IFERROR(IF(C799=C797,0,IF(E799=E798,0,IF(C799=$R$2,HLOOKUP($R$2,Ingreso!$AW$10:$BC$260,VLOOKUP(A799,Ingreso!AL:AM,2,FALSE),FALSE)/24,""))),"")=0,"",IFERROR(IF(C799=C797,0,IF(E799=E798,0,IF(C799=$R$2,HLOOKUP($R$2,Ingreso!$AW$10:$BC$260,VLOOKUP(A799,Ingreso!AL:AM,2,FALSE),FALSE)/24,""))),""))</f>
        <v/>
      </c>
      <c r="N799" s="95" t="str">
        <f>IF(IFERROR(IF(C799=C797,0,IF(E799=E798,0,IF(C799=$R$3,HLOOKUP($R$3,Ingreso!$AW$10:$BC$260,VLOOKUP(A799,Ingreso!AL:AM,2,FALSE),FALSE)/24,""))),"")=0,"",IFERROR(IF(C799=C797,0,IF(E799=E798,0,IF(C799=$R$3,HLOOKUP($R$3,Ingreso!$AW$10:$BC$260,VLOOKUP(A799,Ingreso!AL:AM,2,FALSE),FALSE)/24,""))),""))</f>
        <v/>
      </c>
      <c r="O799" s="95" t="str">
        <f>IF(IFERROR(IF(C799=C797,0,IF(E799=E798,0,IF(C799=$R$4,HLOOKUP($R$4,Ingreso!$AW$10:$BC$260,VLOOKUP(A799,Ingreso!AL:AM,2,FALSE),FALSE)/24,""))),"")=0,"",IFERROR(IF(C799=C797,0,IF(E799=E798,0,IF(C799=$R$4,HLOOKUP($R$4,Ingreso!$AW$10:$BC$260,VLOOKUP(A799,Ingreso!AL:AM,2,FALSE),FALSE)/24,""))),""))</f>
        <v/>
      </c>
      <c r="P799" s="90"/>
      <c r="V799"/>
      <c r="W799"/>
      <c r="X799"/>
      <c r="Y799"/>
      <c r="Z799"/>
      <c r="AA799"/>
      <c r="AB799"/>
      <c r="AC799"/>
      <c r="AD799"/>
    </row>
    <row r="800" spans="1:30">
      <c r="A800" s="65" t="str">
        <f>IFERROR(VLOOKUP('Informe Kelly'!A793,Base!A:B,2,FALSE),"")</f>
        <v>14.185.109-8</v>
      </c>
      <c r="B800" s="65" t="str">
        <f>IFERROR(VLOOKUP('Informe Kelly'!A793,Base!A:G,7,FALSE),"")</f>
        <v>REYES FUENZALIDA GUILLERMO ANTONIO</v>
      </c>
      <c r="C800" s="69" t="str">
        <f>IF(G800=$C$4,IF('Informe Kelly'!H793='Control informe Kelly'!$A$2,TEXT(((LEFT('Informe Kelly'!E793,2)*1)+1),"dd")&amp;"."&amp;MID('Informe Kelly'!E793,4,2)&amp;"."&amp;RIGHT('Informe Kelly'!E793,4),'Informe Kelly'!E793),'Informe Kelly'!E793)</f>
        <v>14.04.2011</v>
      </c>
      <c r="D800" s="69" t="str">
        <f>IF('Informe Kelly'!E793="","",'Informe Kelly'!E793)</f>
        <v>14.04.2011</v>
      </c>
      <c r="E800" s="72">
        <f t="shared" si="25"/>
        <v>405</v>
      </c>
      <c r="F800" s="72" t="str">
        <f>IFERROR(HLOOKUP(C800,Ingreso!$Q$8:$AD$9,2,FALSE),"v")</f>
        <v>Jueves</v>
      </c>
      <c r="G800" s="65" t="str">
        <f>IFERROR(VLOOKUP(A800,Ingreso!K:P,6,FALSE),"no esta ingresado")</f>
        <v>Turno B</v>
      </c>
      <c r="H800" s="65">
        <f>IFERROR(IF('Informe Kelly'!H793=$A$2,'Informe Kelly'!F793,""),0)</f>
        <v>0.61974537037037036</v>
      </c>
      <c r="I800" s="65" t="str">
        <f>IFERROR(IF('Informe Kelly'!H793=$A$3,'Informe Kelly'!F793,""),0)</f>
        <v/>
      </c>
      <c r="J800" s="65" t="str">
        <f>IF(IFERROR(IF(E800=E799,0,(HLOOKUP(D800,Ingreso!$AN$10:$AT$260,VLOOKUP(A800,Ingreso!$AL$11:$AM$260,2,FALSE)))/24),0)=0,"",IFERROR(IF(E800=E799,0,(HLOOKUP(D800,Ingreso!$AN$10:$AT$260,VLOOKUP(A800,Ingreso!$AL$11:$AM$260,2,FALSE)))/24),0))</f>
        <v/>
      </c>
      <c r="K800" s="65" t="str">
        <f>IF(IFERROR(IF(E800=E799,0,(HLOOKUP(C800,Ingreso!$AW$10:$BC$260,VLOOKUP(A800,Ingreso!$AL$11:$AM$260,2,FALSE)))/24),0)=0,"",IFERROR(IF(E800=E799,0,(HLOOKUP(C800,Ingreso!$AW$10:$BC$260,VLOOKUP(A800,Ingreso!$AL$11:$AM$260,2,FALSE)))/24),0))</f>
        <v/>
      </c>
      <c r="L800" s="63">
        <f t="shared" si="24"/>
        <v>0</v>
      </c>
      <c r="M800" s="63" t="str">
        <f>IF(IFERROR(IF(C800=C798,0,IF(E800=E799,0,IF(C800=$R$2,HLOOKUP($R$2,Ingreso!$AW$10:$BC$260,VLOOKUP(A800,Ingreso!AL:AM,2,FALSE),FALSE)/24,""))),"")=0,"",IFERROR(IF(C800=C798,0,IF(E800=E799,0,IF(C800=$R$2,HLOOKUP($R$2,Ingreso!$AW$10:$BC$260,VLOOKUP(A800,Ingreso!AL:AM,2,FALSE),FALSE)/24,""))),""))</f>
        <v/>
      </c>
      <c r="N800" s="95" t="str">
        <f>IF(IFERROR(IF(C800=C798,0,IF(E800=E799,0,IF(C800=$R$3,HLOOKUP($R$3,Ingreso!$AW$10:$BC$260,VLOOKUP(A800,Ingreso!AL:AM,2,FALSE),FALSE)/24,""))),"")=0,"",IFERROR(IF(C800=C798,0,IF(E800=E799,0,IF(C800=$R$3,HLOOKUP($R$3,Ingreso!$AW$10:$BC$260,VLOOKUP(A800,Ingreso!AL:AM,2,FALSE),FALSE)/24,""))),""))</f>
        <v/>
      </c>
      <c r="O800" s="95" t="str">
        <f>IF(IFERROR(IF(C800=C798,0,IF(E800=E799,0,IF(C800=$R$4,HLOOKUP($R$4,Ingreso!$AW$10:$BC$260,VLOOKUP(A800,Ingreso!AL:AM,2,FALSE),FALSE)/24,""))),"")=0,"",IFERROR(IF(C800=C798,0,IF(E800=E799,0,IF(C800=$R$4,HLOOKUP($R$4,Ingreso!$AW$10:$BC$260,VLOOKUP(A800,Ingreso!AL:AM,2,FALSE),FALSE)/24,""))),""))</f>
        <v/>
      </c>
      <c r="P800" s="90"/>
      <c r="V800"/>
      <c r="W800"/>
      <c r="X800"/>
      <c r="Y800"/>
      <c r="Z800"/>
      <c r="AA800"/>
      <c r="AB800"/>
      <c r="AC800"/>
      <c r="AD800"/>
    </row>
    <row r="801" spans="1:30">
      <c r="A801" s="65" t="str">
        <f>IFERROR(VLOOKUP('Informe Kelly'!A794,Base!A:B,2,FALSE),"")</f>
        <v>14.185.109-8</v>
      </c>
      <c r="B801" s="65" t="str">
        <f>IFERROR(VLOOKUP('Informe Kelly'!A794,Base!A:G,7,FALSE),"")</f>
        <v>REYES FUENZALIDA GUILLERMO ANTONIO</v>
      </c>
      <c r="C801" s="69" t="str">
        <f>IF(G801=$C$4,IF('Informe Kelly'!H794='Control informe Kelly'!$A$2,TEXT(((LEFT('Informe Kelly'!E794,2)*1)+1),"dd")&amp;"."&amp;MID('Informe Kelly'!E794,4,2)&amp;"."&amp;RIGHT('Informe Kelly'!E794,4),'Informe Kelly'!E794),'Informe Kelly'!E794)</f>
        <v>15.04.2011</v>
      </c>
      <c r="D801" s="69" t="str">
        <f>IF('Informe Kelly'!E794="","",'Informe Kelly'!E794)</f>
        <v>15.04.2011</v>
      </c>
      <c r="E801" s="72">
        <f t="shared" si="25"/>
        <v>406</v>
      </c>
      <c r="F801" s="72" t="str">
        <f>IFERROR(HLOOKUP(C801,Ingreso!$Q$8:$AD$9,2,FALSE),"v")</f>
        <v>Viernes</v>
      </c>
      <c r="G801" s="65" t="str">
        <f>IFERROR(VLOOKUP(A801,Ingreso!K:P,6,FALSE),"no esta ingresado")</f>
        <v>Turno B</v>
      </c>
      <c r="H801" s="65" t="str">
        <f>IFERROR(IF('Informe Kelly'!H794=$A$2,'Informe Kelly'!F794,""),0)</f>
        <v/>
      </c>
      <c r="I801" s="65">
        <f>IFERROR(IF('Informe Kelly'!H794=$A$3,'Informe Kelly'!F794,""),0)</f>
        <v>0.94420138888888883</v>
      </c>
      <c r="J801" s="65" t="str">
        <f>IF(IFERROR(IF(E801=E800,0,(HLOOKUP(D801,Ingreso!$AN$10:$AT$260,VLOOKUP(A801,Ingreso!$AL$11:$AM$260,2,FALSE)))/24),0)=0,"",IFERROR(IF(E801=E800,0,(HLOOKUP(D801,Ingreso!$AN$10:$AT$260,VLOOKUP(A801,Ingreso!$AL$11:$AM$260,2,FALSE)))/24),0))</f>
        <v/>
      </c>
      <c r="K801" s="65" t="str">
        <f>IF(IFERROR(IF(E801=E800,0,(HLOOKUP(C801,Ingreso!$AW$10:$BC$260,VLOOKUP(A801,Ingreso!$AL$11:$AM$260,2,FALSE)))/24),0)=0,"",IFERROR(IF(E801=E800,0,(HLOOKUP(C801,Ingreso!$AW$10:$BC$260,VLOOKUP(A801,Ingreso!$AL$11:$AM$260,2,FALSE)))/24),0))</f>
        <v/>
      </c>
      <c r="L801" s="63">
        <f t="shared" si="24"/>
        <v>0.3125</v>
      </c>
      <c r="M801" s="63" t="str">
        <f>IF(IFERROR(IF(C801=C799,0,IF(E801=E800,0,IF(C801=$R$2,HLOOKUP($R$2,Ingreso!$AW$10:$BC$260,VLOOKUP(A801,Ingreso!AL:AM,2,FALSE),FALSE)/24,""))),"")=0,"",IFERROR(IF(C801=C799,0,IF(E801=E800,0,IF(C801=$R$2,HLOOKUP($R$2,Ingreso!$AW$10:$BC$260,VLOOKUP(A801,Ingreso!AL:AM,2,FALSE),FALSE)/24,""))),""))</f>
        <v/>
      </c>
      <c r="N801" s="95" t="str">
        <f>IF(IFERROR(IF(C801=C799,0,IF(E801=E800,0,IF(C801=$R$3,HLOOKUP($R$3,Ingreso!$AW$10:$BC$260,VLOOKUP(A801,Ingreso!AL:AM,2,FALSE),FALSE)/24,""))),"")=0,"",IFERROR(IF(C801=C799,0,IF(E801=E800,0,IF(C801=$R$3,HLOOKUP($R$3,Ingreso!$AW$10:$BC$260,VLOOKUP(A801,Ingreso!AL:AM,2,FALSE),FALSE)/24,""))),""))</f>
        <v/>
      </c>
      <c r="O801" s="95" t="str">
        <f>IF(IFERROR(IF(C801=C799,0,IF(E801=E800,0,IF(C801=$R$4,HLOOKUP($R$4,Ingreso!$AW$10:$BC$260,VLOOKUP(A801,Ingreso!AL:AM,2,FALSE),FALSE)/24,""))),"")=0,"",IFERROR(IF(C801=C799,0,IF(E801=E800,0,IF(C801=$R$4,HLOOKUP($R$4,Ingreso!$AW$10:$BC$260,VLOOKUP(A801,Ingreso!AL:AM,2,FALSE),FALSE)/24,""))),""))</f>
        <v/>
      </c>
      <c r="P801" s="90"/>
      <c r="V801"/>
      <c r="W801"/>
      <c r="X801"/>
      <c r="Y801"/>
      <c r="Z801"/>
      <c r="AA801"/>
      <c r="AB801"/>
      <c r="AC801"/>
      <c r="AD801"/>
    </row>
    <row r="802" spans="1:30">
      <c r="A802" s="65" t="str">
        <f>IFERROR(VLOOKUP('Informe Kelly'!A795,Base!A:B,2,FALSE),"")</f>
        <v>14.185.109-8</v>
      </c>
      <c r="B802" s="65" t="str">
        <f>IFERROR(VLOOKUP('Informe Kelly'!A795,Base!A:G,7,FALSE),"")</f>
        <v>REYES FUENZALIDA GUILLERMO ANTONIO</v>
      </c>
      <c r="C802" s="69" t="str">
        <f>IF(G802=$C$4,IF('Informe Kelly'!H795='Control informe Kelly'!$A$2,TEXT(((LEFT('Informe Kelly'!E795,2)*1)+1),"dd")&amp;"."&amp;MID('Informe Kelly'!E795,4,2)&amp;"."&amp;RIGHT('Informe Kelly'!E795,4),'Informe Kelly'!E795),'Informe Kelly'!E795)</f>
        <v>15.04.2011</v>
      </c>
      <c r="D802" s="69" t="str">
        <f>IF('Informe Kelly'!E795="","",'Informe Kelly'!E795)</f>
        <v>15.04.2011</v>
      </c>
      <c r="E802" s="72">
        <f t="shared" si="25"/>
        <v>406</v>
      </c>
      <c r="F802" s="72" t="str">
        <f>IFERROR(HLOOKUP(C802,Ingreso!$Q$8:$AD$9,2,FALSE),"v")</f>
        <v>Viernes</v>
      </c>
      <c r="G802" s="65" t="str">
        <f>IFERROR(VLOOKUP(A802,Ingreso!K:P,6,FALSE),"no esta ingresado")</f>
        <v>Turno B</v>
      </c>
      <c r="H802" s="65">
        <f>IFERROR(IF('Informe Kelly'!H795=$A$2,'Informe Kelly'!F795,""),0)</f>
        <v>0.6170254629629629</v>
      </c>
      <c r="I802" s="65" t="str">
        <f>IFERROR(IF('Informe Kelly'!H795=$A$3,'Informe Kelly'!F795,""),0)</f>
        <v/>
      </c>
      <c r="J802" s="65" t="str">
        <f>IF(IFERROR(IF(E802=E801,0,(HLOOKUP(D802,Ingreso!$AN$10:$AT$260,VLOOKUP(A802,Ingreso!$AL$11:$AM$260,2,FALSE)))/24),0)=0,"",IFERROR(IF(E802=E801,0,(HLOOKUP(D802,Ingreso!$AN$10:$AT$260,VLOOKUP(A802,Ingreso!$AL$11:$AM$260,2,FALSE)))/24),0))</f>
        <v/>
      </c>
      <c r="K802" s="65" t="str">
        <f>IF(IFERROR(IF(E802=E801,0,(HLOOKUP(C802,Ingreso!$AW$10:$BC$260,VLOOKUP(A802,Ingreso!$AL$11:$AM$260,2,FALSE)))/24),0)=0,"",IFERROR(IF(E802=E801,0,(HLOOKUP(C802,Ingreso!$AW$10:$BC$260,VLOOKUP(A802,Ingreso!$AL$11:$AM$260,2,FALSE)))/24),0))</f>
        <v/>
      </c>
      <c r="L802" s="63">
        <f t="shared" si="24"/>
        <v>0</v>
      </c>
      <c r="M802" s="63" t="str">
        <f>IF(IFERROR(IF(C802=C800,0,IF(E802=E801,0,IF(C802=$R$2,HLOOKUP($R$2,Ingreso!$AW$10:$BC$260,VLOOKUP(A802,Ingreso!AL:AM,2,FALSE),FALSE)/24,""))),"")=0,"",IFERROR(IF(C802=C800,0,IF(E802=E801,0,IF(C802=$R$2,HLOOKUP($R$2,Ingreso!$AW$10:$BC$260,VLOOKUP(A802,Ingreso!AL:AM,2,FALSE),FALSE)/24,""))),""))</f>
        <v/>
      </c>
      <c r="N802" s="95" t="str">
        <f>IF(IFERROR(IF(C802=C800,0,IF(E802=E801,0,IF(C802=$R$3,HLOOKUP($R$3,Ingreso!$AW$10:$BC$260,VLOOKUP(A802,Ingreso!AL:AM,2,FALSE),FALSE)/24,""))),"")=0,"",IFERROR(IF(C802=C800,0,IF(E802=E801,0,IF(C802=$R$3,HLOOKUP($R$3,Ingreso!$AW$10:$BC$260,VLOOKUP(A802,Ingreso!AL:AM,2,FALSE),FALSE)/24,""))),""))</f>
        <v/>
      </c>
      <c r="O802" s="95" t="str">
        <f>IF(IFERROR(IF(C802=C800,0,IF(E802=E801,0,IF(C802=$R$4,HLOOKUP($R$4,Ingreso!$AW$10:$BC$260,VLOOKUP(A802,Ingreso!AL:AM,2,FALSE),FALSE)/24,""))),"")=0,"",IFERROR(IF(C802=C800,0,IF(E802=E801,0,IF(C802=$R$4,HLOOKUP($R$4,Ingreso!$AW$10:$BC$260,VLOOKUP(A802,Ingreso!AL:AM,2,FALSE),FALSE)/24,""))),""))</f>
        <v/>
      </c>
      <c r="P802" s="90"/>
      <c r="V802"/>
      <c r="W802"/>
      <c r="X802"/>
      <c r="Y802"/>
      <c r="Z802"/>
      <c r="AA802"/>
      <c r="AB802"/>
      <c r="AC802"/>
      <c r="AD802"/>
    </row>
    <row r="803" spans="1:30">
      <c r="A803" s="65" t="str">
        <f>IFERROR(VLOOKUP('Informe Kelly'!A796,Base!A:B,2,FALSE),"")</f>
        <v>14.185.109-8</v>
      </c>
      <c r="B803" s="65" t="str">
        <f>IFERROR(VLOOKUP('Informe Kelly'!A796,Base!A:G,7,FALSE),"")</f>
        <v>REYES FUENZALIDA GUILLERMO ANTONIO</v>
      </c>
      <c r="C803" s="69" t="str">
        <f>IF(G803=$C$4,IF('Informe Kelly'!H796='Control informe Kelly'!$A$2,TEXT(((LEFT('Informe Kelly'!E796,2)*1)+1),"dd")&amp;"."&amp;MID('Informe Kelly'!E796,4,2)&amp;"."&amp;RIGHT('Informe Kelly'!E796,4),'Informe Kelly'!E796),'Informe Kelly'!E796)</f>
        <v>16.04.2011</v>
      </c>
      <c r="D803" s="69" t="str">
        <f>IF('Informe Kelly'!E796="","",'Informe Kelly'!E796)</f>
        <v>16.04.2011</v>
      </c>
      <c r="E803" s="72">
        <f t="shared" si="25"/>
        <v>407</v>
      </c>
      <c r="F803" s="72" t="str">
        <f>IFERROR(HLOOKUP(C803,Ingreso!$Q$8:$AD$9,2,FALSE),"v")</f>
        <v>Sábado</v>
      </c>
      <c r="G803" s="65" t="str">
        <f>IFERROR(VLOOKUP(A803,Ingreso!K:P,6,FALSE),"no esta ingresado")</f>
        <v>Turno B</v>
      </c>
      <c r="H803" s="65" t="str">
        <f>IFERROR(IF('Informe Kelly'!H796=$A$2,'Informe Kelly'!F796,""),0)</f>
        <v/>
      </c>
      <c r="I803" s="65">
        <f>IFERROR(IF('Informe Kelly'!H796=$A$3,'Informe Kelly'!F796,""),0)</f>
        <v>0.63031249999999994</v>
      </c>
      <c r="J803" s="65" t="str">
        <f>IF(IFERROR(IF(E803=E802,0,(HLOOKUP(D803,Ingreso!$AN$10:$AT$260,VLOOKUP(A803,Ingreso!$AL$11:$AM$260,2,FALSE)))/24),0)=0,"",IFERROR(IF(E803=E802,0,(HLOOKUP(D803,Ingreso!$AN$10:$AT$260,VLOOKUP(A803,Ingreso!$AL$11:$AM$260,2,FALSE)))/24),0))</f>
        <v/>
      </c>
      <c r="K803" s="65" t="str">
        <f>IF(IFERROR(IF(E803=E802,0,(HLOOKUP(C803,Ingreso!$AW$10:$BC$260,VLOOKUP(A803,Ingreso!$AL$11:$AM$260,2,FALSE)))/24),0)=0,"",IFERROR(IF(E803=E802,0,(HLOOKUP(C803,Ingreso!$AW$10:$BC$260,VLOOKUP(A803,Ingreso!$AL$11:$AM$260,2,FALSE)))/24),0))</f>
        <v/>
      </c>
      <c r="L803" s="63">
        <f t="shared" si="24"/>
        <v>0.3125</v>
      </c>
      <c r="M803" s="63" t="str">
        <f>IF(IFERROR(IF(C803=C801,0,IF(E803=E802,0,IF(C803=$R$2,HLOOKUP($R$2,Ingreso!$AW$10:$BC$260,VLOOKUP(A803,Ingreso!AL:AM,2,FALSE),FALSE)/24,""))),"")=0,"",IFERROR(IF(C803=C801,0,IF(E803=E802,0,IF(C803=$R$2,HLOOKUP($R$2,Ingreso!$AW$10:$BC$260,VLOOKUP(A803,Ingreso!AL:AM,2,FALSE),FALSE)/24,""))),""))</f>
        <v/>
      </c>
      <c r="N803" s="95" t="str">
        <f>IF(IFERROR(IF(C803=C801,0,IF(E803=E802,0,IF(C803=$R$3,HLOOKUP($R$3,Ingreso!$AW$10:$BC$260,VLOOKUP(A803,Ingreso!AL:AM,2,FALSE),FALSE)/24,""))),"")=0,"",IFERROR(IF(C803=C801,0,IF(E803=E802,0,IF(C803=$R$3,HLOOKUP($R$3,Ingreso!$AW$10:$BC$260,VLOOKUP(A803,Ingreso!AL:AM,2,FALSE),FALSE)/24,""))),""))</f>
        <v/>
      </c>
      <c r="O803" s="95" t="str">
        <f>IF(IFERROR(IF(C803=C801,0,IF(E803=E802,0,IF(C803=$R$4,HLOOKUP($R$4,Ingreso!$AW$10:$BC$260,VLOOKUP(A803,Ingreso!AL:AM,2,FALSE),FALSE)/24,""))),"")=0,"",IFERROR(IF(C803=C801,0,IF(E803=E802,0,IF(C803=$R$4,HLOOKUP($R$4,Ingreso!$AW$10:$BC$260,VLOOKUP(A803,Ingreso!AL:AM,2,FALSE),FALSE)/24,""))),""))</f>
        <v/>
      </c>
      <c r="P803" s="90"/>
      <c r="V803"/>
      <c r="W803"/>
      <c r="X803"/>
      <c r="Y803"/>
      <c r="Z803"/>
      <c r="AA803"/>
      <c r="AB803"/>
      <c r="AC803"/>
      <c r="AD803"/>
    </row>
    <row r="804" spans="1:30">
      <c r="A804" s="65" t="str">
        <f>IFERROR(VLOOKUP('Informe Kelly'!A797,Base!A:B,2,FALSE),"")</f>
        <v>14.185.109-8</v>
      </c>
      <c r="B804" s="65" t="str">
        <f>IFERROR(VLOOKUP('Informe Kelly'!A797,Base!A:G,7,FALSE),"")</f>
        <v>REYES FUENZALIDA GUILLERMO ANTONIO</v>
      </c>
      <c r="C804" s="69" t="str">
        <f>IF(G804=$C$4,IF('Informe Kelly'!H797='Control informe Kelly'!$A$2,TEXT(((LEFT('Informe Kelly'!E797,2)*1)+1),"dd")&amp;"."&amp;MID('Informe Kelly'!E797,4,2)&amp;"."&amp;RIGHT('Informe Kelly'!E797,4),'Informe Kelly'!E797),'Informe Kelly'!E797)</f>
        <v>16.04.2011</v>
      </c>
      <c r="D804" s="69" t="str">
        <f>IF('Informe Kelly'!E797="","",'Informe Kelly'!E797)</f>
        <v>16.04.2011</v>
      </c>
      <c r="E804" s="72">
        <f t="shared" si="25"/>
        <v>407</v>
      </c>
      <c r="F804" s="72" t="str">
        <f>IFERROR(HLOOKUP(C804,Ingreso!$Q$8:$AD$9,2,FALSE),"v")</f>
        <v>Sábado</v>
      </c>
      <c r="G804" s="65" t="str">
        <f>IFERROR(VLOOKUP(A804,Ingreso!K:P,6,FALSE),"no esta ingresado")</f>
        <v>Turno B</v>
      </c>
      <c r="H804" s="65">
        <f>IFERROR(IF('Informe Kelly'!H797=$A$2,'Informe Kelly'!F797,""),0)</f>
        <v>0.30542824074074076</v>
      </c>
      <c r="I804" s="65" t="str">
        <f>IFERROR(IF('Informe Kelly'!H797=$A$3,'Informe Kelly'!F797,""),0)</f>
        <v/>
      </c>
      <c r="J804" s="65" t="str">
        <f>IF(IFERROR(IF(E804=E803,0,(HLOOKUP(D804,Ingreso!$AN$10:$AT$260,VLOOKUP(A804,Ingreso!$AL$11:$AM$260,2,FALSE)))/24),0)=0,"",IFERROR(IF(E804=E803,0,(HLOOKUP(D804,Ingreso!$AN$10:$AT$260,VLOOKUP(A804,Ingreso!$AL$11:$AM$260,2,FALSE)))/24),0))</f>
        <v/>
      </c>
      <c r="K804" s="65" t="str">
        <f>IF(IFERROR(IF(E804=E803,0,(HLOOKUP(C804,Ingreso!$AW$10:$BC$260,VLOOKUP(A804,Ingreso!$AL$11:$AM$260,2,FALSE)))/24),0)=0,"",IFERROR(IF(E804=E803,0,(HLOOKUP(C804,Ingreso!$AW$10:$BC$260,VLOOKUP(A804,Ingreso!$AL$11:$AM$260,2,FALSE)))/24),0))</f>
        <v/>
      </c>
      <c r="L804" s="63">
        <f t="shared" si="24"/>
        <v>0</v>
      </c>
      <c r="M804" s="63" t="str">
        <f>IF(IFERROR(IF(C804=C802,0,IF(E804=E803,0,IF(C804=$R$2,HLOOKUP($R$2,Ingreso!$AW$10:$BC$260,VLOOKUP(A804,Ingreso!AL:AM,2,FALSE),FALSE)/24,""))),"")=0,"",IFERROR(IF(C804=C802,0,IF(E804=E803,0,IF(C804=$R$2,HLOOKUP($R$2,Ingreso!$AW$10:$BC$260,VLOOKUP(A804,Ingreso!AL:AM,2,FALSE),FALSE)/24,""))),""))</f>
        <v/>
      </c>
      <c r="N804" s="95" t="str">
        <f>IF(IFERROR(IF(C804=C802,0,IF(E804=E803,0,IF(C804=$R$3,HLOOKUP($R$3,Ingreso!$AW$10:$BC$260,VLOOKUP(A804,Ingreso!AL:AM,2,FALSE),FALSE)/24,""))),"")=0,"",IFERROR(IF(C804=C802,0,IF(E804=E803,0,IF(C804=$R$3,HLOOKUP($R$3,Ingreso!$AW$10:$BC$260,VLOOKUP(A804,Ingreso!AL:AM,2,FALSE),FALSE)/24,""))),""))</f>
        <v/>
      </c>
      <c r="O804" s="95" t="str">
        <f>IF(IFERROR(IF(C804=C802,0,IF(E804=E803,0,IF(C804=$R$4,HLOOKUP($R$4,Ingreso!$AW$10:$BC$260,VLOOKUP(A804,Ingreso!AL:AM,2,FALSE),FALSE)/24,""))),"")=0,"",IFERROR(IF(C804=C802,0,IF(E804=E803,0,IF(C804=$R$4,HLOOKUP($R$4,Ingreso!$AW$10:$BC$260,VLOOKUP(A804,Ingreso!AL:AM,2,FALSE),FALSE)/24,""))),""))</f>
        <v/>
      </c>
      <c r="P804" s="90"/>
      <c r="V804"/>
      <c r="W804"/>
      <c r="X804"/>
      <c r="Y804"/>
      <c r="Z804"/>
      <c r="AA804"/>
      <c r="AB804"/>
      <c r="AC804"/>
      <c r="AD804"/>
    </row>
    <row r="805" spans="1:30">
      <c r="A805" s="65" t="str">
        <f>IFERROR(VLOOKUP('Informe Kelly'!A798,Base!A:B,2,FALSE),"")</f>
        <v>14.336.364-3</v>
      </c>
      <c r="B805" s="65" t="str">
        <f>IFERROR(VLOOKUP('Informe Kelly'!A798,Base!A:G,7,FALSE),"")</f>
        <v>HERRERA PALMA ARIEL</v>
      </c>
      <c r="C805" s="69" t="str">
        <f>IF(G805=$C$4,IF('Informe Kelly'!H798='Control informe Kelly'!$A$2,TEXT(((LEFT('Informe Kelly'!E798,2)*1)+1),"dd")&amp;"."&amp;MID('Informe Kelly'!E798,4,2)&amp;"."&amp;RIGHT('Informe Kelly'!E798,4),'Informe Kelly'!E798),'Informe Kelly'!E798)</f>
        <v>11.04.2011</v>
      </c>
      <c r="D805" s="69" t="str">
        <f>IF('Informe Kelly'!E798="","",'Informe Kelly'!E798)</f>
        <v>11.04.2011</v>
      </c>
      <c r="E805" s="72">
        <f t="shared" si="25"/>
        <v>408</v>
      </c>
      <c r="F805" s="72" t="str">
        <f>IFERROR(HLOOKUP(C805,Ingreso!$Q$8:$AD$9,2,FALSE),"v")</f>
        <v>Lunes</v>
      </c>
      <c r="G805" s="65" t="str">
        <f>IFERROR(VLOOKUP(A805,Ingreso!K:P,6,FALSE),"no esta ingresado")</f>
        <v>Turno C</v>
      </c>
      <c r="H805" s="65" t="str">
        <f>IFERROR(IF('Informe Kelly'!H798=$A$2,'Informe Kelly'!F798,""),0)</f>
        <v/>
      </c>
      <c r="I805" s="65">
        <f>IFERROR(IF('Informe Kelly'!H798=$A$3,'Informe Kelly'!F798,""),0)</f>
        <v>0.32226851851851851</v>
      </c>
      <c r="J805" s="65" t="str">
        <f>IF(IFERROR(IF(E805=E804,0,(HLOOKUP(D805,Ingreso!$AN$10:$AT$260,VLOOKUP(A805,Ingreso!$AL$11:$AM$260,2,FALSE)))/24),0)=0,"",IFERROR(IF(E805=E804,0,(HLOOKUP(D805,Ingreso!$AN$10:$AT$260,VLOOKUP(A805,Ingreso!$AL$11:$AM$260,2,FALSE)))/24),0))</f>
        <v/>
      </c>
      <c r="K805" s="65">
        <f>IF(IFERROR(IF(E805=E804,0,(HLOOKUP(C805,Ingreso!$AW$10:$BC$260,VLOOKUP(A805,Ingreso!$AL$11:$AM$260,2,FALSE)))/24),0)=0,"",IFERROR(IF(E805=E804,0,(HLOOKUP(C805,Ingreso!$AW$10:$BC$260,VLOOKUP(A805,Ingreso!$AL$11:$AM$260,2,FALSE)))/24),0))</f>
        <v>0.3125</v>
      </c>
      <c r="L805" s="63">
        <f t="shared" si="24"/>
        <v>0.375</v>
      </c>
      <c r="M805" s="63">
        <f>IF(IFERROR(IF(C805=C803,0,IF(E805=E804,0,IF(C805=$R$2,HLOOKUP($R$2,Ingreso!$AW$10:$BC$260,VLOOKUP(A805,Ingreso!AL:AM,2,FALSE),FALSE)/24,""))),"")=0,"",IFERROR(IF(C805=C803,0,IF(E805=E804,0,IF(C805=$R$2,HLOOKUP($R$2,Ingreso!$AW$10:$BC$260,VLOOKUP(A805,Ingreso!AL:AM,2,FALSE),FALSE)/24,""))),""))</f>
        <v>0.3125</v>
      </c>
      <c r="N805" s="95" t="str">
        <f>IF(IFERROR(IF(C805=C803,0,IF(E805=E804,0,IF(C805=$R$3,HLOOKUP($R$3,Ingreso!$AW$10:$BC$260,VLOOKUP(A805,Ingreso!AL:AM,2,FALSE),FALSE)/24,""))),"")=0,"",IFERROR(IF(C805=C803,0,IF(E805=E804,0,IF(C805=$R$3,HLOOKUP($R$3,Ingreso!$AW$10:$BC$260,VLOOKUP(A805,Ingreso!AL:AM,2,FALSE),FALSE)/24,""))),""))</f>
        <v/>
      </c>
      <c r="O805" s="95" t="str">
        <f>IF(IFERROR(IF(C805=C803,0,IF(E805=E804,0,IF(C805=$R$4,HLOOKUP($R$4,Ingreso!$AW$10:$BC$260,VLOOKUP(A805,Ingreso!AL:AM,2,FALSE),FALSE)/24,""))),"")=0,"",IFERROR(IF(C805=C803,0,IF(E805=E804,0,IF(C805=$R$4,HLOOKUP($R$4,Ingreso!$AW$10:$BC$260,VLOOKUP(A805,Ingreso!AL:AM,2,FALSE),FALSE)/24,""))),""))</f>
        <v/>
      </c>
      <c r="P805" s="90"/>
      <c r="V805"/>
      <c r="W805"/>
      <c r="X805"/>
      <c r="Y805"/>
      <c r="Z805"/>
      <c r="AA805"/>
      <c r="AB805"/>
      <c r="AC805"/>
      <c r="AD805"/>
    </row>
    <row r="806" spans="1:30">
      <c r="A806" s="65" t="str">
        <f>IFERROR(VLOOKUP('Informe Kelly'!A799,Base!A:B,2,FALSE),"")</f>
        <v>14.336.364-3</v>
      </c>
      <c r="B806" s="65" t="str">
        <f>IFERROR(VLOOKUP('Informe Kelly'!A799,Base!A:G,7,FALSE),"")</f>
        <v>HERRERA PALMA ARIEL</v>
      </c>
      <c r="C806" s="69" t="str">
        <f>IF(G806=$C$4,IF('Informe Kelly'!H799='Control informe Kelly'!$A$2,TEXT(((LEFT('Informe Kelly'!E799,2)*1)+1),"dd")&amp;"."&amp;MID('Informe Kelly'!E799,4,2)&amp;"."&amp;RIGHT('Informe Kelly'!E799,4),'Informe Kelly'!E799),'Informe Kelly'!E799)</f>
        <v>12.04.2011</v>
      </c>
      <c r="D806" s="69" t="str">
        <f>IF('Informe Kelly'!E799="","",'Informe Kelly'!E799)</f>
        <v>11.04.2011</v>
      </c>
      <c r="E806" s="72">
        <f t="shared" si="25"/>
        <v>409</v>
      </c>
      <c r="F806" s="72" t="str">
        <f>IFERROR(HLOOKUP(C806,Ingreso!$Q$8:$AD$9,2,FALSE),"v")</f>
        <v>Martes</v>
      </c>
      <c r="G806" s="65" t="str">
        <f>IFERROR(VLOOKUP(A806,Ingreso!K:P,6,FALSE),"no esta ingresado")</f>
        <v>Turno C</v>
      </c>
      <c r="H806" s="65">
        <f>IFERROR(IF('Informe Kelly'!H799=$A$2,'Informe Kelly'!F799,""),0)</f>
        <v>0.92590277777777785</v>
      </c>
      <c r="I806" s="65" t="str">
        <f>IFERROR(IF('Informe Kelly'!H799=$A$3,'Informe Kelly'!F799,""),0)</f>
        <v/>
      </c>
      <c r="J806" s="65" t="str">
        <f>IF(IFERROR(IF(E806=E805,0,(HLOOKUP(D806,Ingreso!$AN$10:$AT$260,VLOOKUP(A806,Ingreso!$AL$11:$AM$260,2,FALSE)))/24),0)=0,"",IFERROR(IF(E806=E805,0,(HLOOKUP(D806,Ingreso!$AN$10:$AT$260,VLOOKUP(A806,Ingreso!$AL$11:$AM$260,2,FALSE)))/24),0))</f>
        <v/>
      </c>
      <c r="K806" s="65" t="str">
        <f>IF(IFERROR(IF(E806=E805,0,(HLOOKUP(C806,Ingreso!$AW$10:$BC$260,VLOOKUP(A806,Ingreso!$AL$11:$AM$260,2,FALSE)))/24),0)=0,"",IFERROR(IF(E806=E805,0,(HLOOKUP(C806,Ingreso!$AW$10:$BC$260,VLOOKUP(A806,Ingreso!$AL$11:$AM$260,2,FALSE)))/24),0))</f>
        <v/>
      </c>
      <c r="L806" s="63">
        <f t="shared" si="24"/>
        <v>0.375</v>
      </c>
      <c r="M806" s="63" t="str">
        <f>IF(IFERROR(IF(C806=C804,0,IF(E806=E805,0,IF(C806=$R$2,HLOOKUP($R$2,Ingreso!$AW$10:$BC$260,VLOOKUP(A806,Ingreso!AL:AM,2,FALSE),FALSE)/24,""))),"")=0,"",IFERROR(IF(C806=C804,0,IF(E806=E805,0,IF(C806=$R$2,HLOOKUP($R$2,Ingreso!$AW$10:$BC$260,VLOOKUP(A806,Ingreso!AL:AM,2,FALSE),FALSE)/24,""))),""))</f>
        <v/>
      </c>
      <c r="N806" s="95" t="str">
        <f>IF(IFERROR(IF(C806=C804,0,IF(E806=E805,0,IF(C806=$R$3,HLOOKUP($R$3,Ingreso!$AW$10:$BC$260,VLOOKUP(A806,Ingreso!AL:AM,2,FALSE),FALSE)/24,""))),"")=0,"",IFERROR(IF(C806=C804,0,IF(E806=E805,0,IF(C806=$R$3,HLOOKUP($R$3,Ingreso!$AW$10:$BC$260,VLOOKUP(A806,Ingreso!AL:AM,2,FALSE),FALSE)/24,""))),""))</f>
        <v/>
      </c>
      <c r="O806" s="95" t="str">
        <f>IF(IFERROR(IF(C806=C804,0,IF(E806=E805,0,IF(C806=$R$4,HLOOKUP($R$4,Ingreso!$AW$10:$BC$260,VLOOKUP(A806,Ingreso!AL:AM,2,FALSE),FALSE)/24,""))),"")=0,"",IFERROR(IF(C806=C804,0,IF(E806=E805,0,IF(C806=$R$4,HLOOKUP($R$4,Ingreso!$AW$10:$BC$260,VLOOKUP(A806,Ingreso!AL:AM,2,FALSE),FALSE)/24,""))),""))</f>
        <v/>
      </c>
      <c r="P806" s="90"/>
      <c r="V806"/>
      <c r="W806"/>
      <c r="X806"/>
      <c r="Y806"/>
      <c r="Z806"/>
      <c r="AA806"/>
      <c r="AB806"/>
      <c r="AC806"/>
      <c r="AD806"/>
    </row>
    <row r="807" spans="1:30">
      <c r="A807" s="65" t="str">
        <f>IFERROR(VLOOKUP('Informe Kelly'!A800,Base!A:B,2,FALSE),"")</f>
        <v>14.336.364-3</v>
      </c>
      <c r="B807" s="65" t="str">
        <f>IFERROR(VLOOKUP('Informe Kelly'!A800,Base!A:G,7,FALSE),"")</f>
        <v>HERRERA PALMA ARIEL</v>
      </c>
      <c r="C807" s="69" t="str">
        <f>IF(G807=$C$4,IF('Informe Kelly'!H800='Control informe Kelly'!$A$2,TEXT(((LEFT('Informe Kelly'!E800,2)*1)+1),"dd")&amp;"."&amp;MID('Informe Kelly'!E800,4,2)&amp;"."&amp;RIGHT('Informe Kelly'!E800,4),'Informe Kelly'!E800),'Informe Kelly'!E800)</f>
        <v>12.04.2011</v>
      </c>
      <c r="D807" s="69" t="str">
        <f>IF('Informe Kelly'!E800="","",'Informe Kelly'!E800)</f>
        <v>12.04.2011</v>
      </c>
      <c r="E807" s="72">
        <f t="shared" si="25"/>
        <v>409</v>
      </c>
      <c r="F807" s="72" t="str">
        <f>IFERROR(HLOOKUP(C807,Ingreso!$Q$8:$AD$9,2,FALSE),"v")</f>
        <v>Martes</v>
      </c>
      <c r="G807" s="65" t="str">
        <f>IFERROR(VLOOKUP(A807,Ingreso!K:P,6,FALSE),"no esta ingresado")</f>
        <v>Turno C</v>
      </c>
      <c r="H807" s="65" t="str">
        <f>IFERROR(IF('Informe Kelly'!H800=$A$2,'Informe Kelly'!F800,""),0)</f>
        <v/>
      </c>
      <c r="I807" s="65">
        <f>IFERROR(IF('Informe Kelly'!H800=$A$3,'Informe Kelly'!F800,""),0)</f>
        <v>0.30138888888888887</v>
      </c>
      <c r="J807" s="65" t="str">
        <f>IF(IFERROR(IF(E807=E806,0,(HLOOKUP(D807,Ingreso!$AN$10:$AT$260,VLOOKUP(A807,Ingreso!$AL$11:$AM$260,2,FALSE)))/24),0)=0,"",IFERROR(IF(E807=E806,0,(HLOOKUP(D807,Ingreso!$AN$10:$AT$260,VLOOKUP(A807,Ingreso!$AL$11:$AM$260,2,FALSE)))/24),0))</f>
        <v/>
      </c>
      <c r="K807" s="65" t="str">
        <f>IF(IFERROR(IF(E807=E806,0,(HLOOKUP(C807,Ingreso!$AW$10:$BC$260,VLOOKUP(A807,Ingreso!$AL$11:$AM$260,2,FALSE)))/24),0)=0,"",IFERROR(IF(E807=E806,0,(HLOOKUP(C807,Ingreso!$AW$10:$BC$260,VLOOKUP(A807,Ingreso!$AL$11:$AM$260,2,FALSE)))/24),0))</f>
        <v/>
      </c>
      <c r="L807" s="63">
        <f t="shared" si="24"/>
        <v>0</v>
      </c>
      <c r="M807" s="63" t="str">
        <f>IF(IFERROR(IF(C807=C805,0,IF(E807=E806,0,IF(C807=$R$2,HLOOKUP($R$2,Ingreso!$AW$10:$BC$260,VLOOKUP(A807,Ingreso!AL:AM,2,FALSE),FALSE)/24,""))),"")=0,"",IFERROR(IF(C807=C805,0,IF(E807=E806,0,IF(C807=$R$2,HLOOKUP($R$2,Ingreso!$AW$10:$BC$260,VLOOKUP(A807,Ingreso!AL:AM,2,FALSE),FALSE)/24,""))),""))</f>
        <v/>
      </c>
      <c r="N807" s="95" t="str">
        <f>IF(IFERROR(IF(C807=C805,0,IF(E807=E806,0,IF(C807=$R$3,HLOOKUP($R$3,Ingreso!$AW$10:$BC$260,VLOOKUP(A807,Ingreso!AL:AM,2,FALSE),FALSE)/24,""))),"")=0,"",IFERROR(IF(C807=C805,0,IF(E807=E806,0,IF(C807=$R$3,HLOOKUP($R$3,Ingreso!$AW$10:$BC$260,VLOOKUP(A807,Ingreso!AL:AM,2,FALSE),FALSE)/24,""))),""))</f>
        <v/>
      </c>
      <c r="O807" s="95" t="str">
        <f>IF(IFERROR(IF(C807=C805,0,IF(E807=E806,0,IF(C807=$R$4,HLOOKUP($R$4,Ingreso!$AW$10:$BC$260,VLOOKUP(A807,Ingreso!AL:AM,2,FALSE),FALSE)/24,""))),"")=0,"",IFERROR(IF(C807=C805,0,IF(E807=E806,0,IF(C807=$R$4,HLOOKUP($R$4,Ingreso!$AW$10:$BC$260,VLOOKUP(A807,Ingreso!AL:AM,2,FALSE),FALSE)/24,""))),""))</f>
        <v/>
      </c>
      <c r="P807" s="90"/>
      <c r="V807"/>
      <c r="W807"/>
      <c r="X807"/>
      <c r="Y807"/>
      <c r="Z807"/>
      <c r="AA807"/>
      <c r="AB807"/>
      <c r="AC807"/>
      <c r="AD807"/>
    </row>
    <row r="808" spans="1:30">
      <c r="A808" s="65" t="str">
        <f>IFERROR(VLOOKUP('Informe Kelly'!A801,Base!A:B,2,FALSE),"")</f>
        <v>14.336.364-3</v>
      </c>
      <c r="B808" s="65" t="str">
        <f>IFERROR(VLOOKUP('Informe Kelly'!A801,Base!A:G,7,FALSE),"")</f>
        <v>HERRERA PALMA ARIEL</v>
      </c>
      <c r="C808" s="69" t="str">
        <f>IF(G808=$C$4,IF('Informe Kelly'!H801='Control informe Kelly'!$A$2,TEXT(((LEFT('Informe Kelly'!E801,2)*1)+1),"dd")&amp;"."&amp;MID('Informe Kelly'!E801,4,2)&amp;"."&amp;RIGHT('Informe Kelly'!E801,4),'Informe Kelly'!E801),'Informe Kelly'!E801)</f>
        <v>13.04.2011</v>
      </c>
      <c r="D808" s="69" t="str">
        <f>IF('Informe Kelly'!E801="","",'Informe Kelly'!E801)</f>
        <v>12.04.2011</v>
      </c>
      <c r="E808" s="72">
        <f t="shared" si="25"/>
        <v>410</v>
      </c>
      <c r="F808" s="72" t="str">
        <f>IFERROR(HLOOKUP(C808,Ingreso!$Q$8:$AD$9,2,FALSE),"v")</f>
        <v>Miércoles</v>
      </c>
      <c r="G808" s="65" t="str">
        <f>IFERROR(VLOOKUP(A808,Ingreso!K:P,6,FALSE),"no esta ingresado")</f>
        <v>Turno C</v>
      </c>
      <c r="H808" s="65">
        <f>IFERROR(IF('Informe Kelly'!H801=$A$2,'Informe Kelly'!F801,""),0)</f>
        <v>0.92158564814814825</v>
      </c>
      <c r="I808" s="65" t="str">
        <f>IFERROR(IF('Informe Kelly'!H801=$A$3,'Informe Kelly'!F801,""),0)</f>
        <v/>
      </c>
      <c r="J808" s="65" t="str">
        <f>IF(IFERROR(IF(E808=E807,0,(HLOOKUP(D808,Ingreso!$AN$10:$AT$260,VLOOKUP(A808,Ingreso!$AL$11:$AM$260,2,FALSE)))/24),0)=0,"",IFERROR(IF(E808=E807,0,(HLOOKUP(D808,Ingreso!$AN$10:$AT$260,VLOOKUP(A808,Ingreso!$AL$11:$AM$260,2,FALSE)))/24),0))</f>
        <v/>
      </c>
      <c r="K808" s="65" t="str">
        <f>IF(IFERROR(IF(E808=E807,0,(HLOOKUP(C808,Ingreso!$AW$10:$BC$260,VLOOKUP(A808,Ingreso!$AL$11:$AM$260,2,FALSE)))/24),0)=0,"",IFERROR(IF(E808=E807,0,(HLOOKUP(C808,Ingreso!$AW$10:$BC$260,VLOOKUP(A808,Ingreso!$AL$11:$AM$260,2,FALSE)))/24),0))</f>
        <v/>
      </c>
      <c r="L808" s="63">
        <f t="shared" si="24"/>
        <v>0.375</v>
      </c>
      <c r="M808" s="63" t="str">
        <f>IF(IFERROR(IF(C808=C806,0,IF(E808=E807,0,IF(C808=$R$2,HLOOKUP($R$2,Ingreso!$AW$10:$BC$260,VLOOKUP(A808,Ingreso!AL:AM,2,FALSE),FALSE)/24,""))),"")=0,"",IFERROR(IF(C808=C806,0,IF(E808=E807,0,IF(C808=$R$2,HLOOKUP($R$2,Ingreso!$AW$10:$BC$260,VLOOKUP(A808,Ingreso!AL:AM,2,FALSE),FALSE)/24,""))),""))</f>
        <v/>
      </c>
      <c r="N808" s="95" t="str">
        <f>IF(IFERROR(IF(C808=C806,0,IF(E808=E807,0,IF(C808=$R$3,HLOOKUP($R$3,Ingreso!$AW$10:$BC$260,VLOOKUP(A808,Ingreso!AL:AM,2,FALSE),FALSE)/24,""))),"")=0,"",IFERROR(IF(C808=C806,0,IF(E808=E807,0,IF(C808=$R$3,HLOOKUP($R$3,Ingreso!$AW$10:$BC$260,VLOOKUP(A808,Ingreso!AL:AM,2,FALSE),FALSE)/24,""))),""))</f>
        <v/>
      </c>
      <c r="O808" s="95" t="str">
        <f>IF(IFERROR(IF(C808=C806,0,IF(E808=E807,0,IF(C808=$R$4,HLOOKUP($R$4,Ingreso!$AW$10:$BC$260,VLOOKUP(A808,Ingreso!AL:AM,2,FALSE),FALSE)/24,""))),"")=0,"",IFERROR(IF(C808=C806,0,IF(E808=E807,0,IF(C808=$R$4,HLOOKUP($R$4,Ingreso!$AW$10:$BC$260,VLOOKUP(A808,Ingreso!AL:AM,2,FALSE),FALSE)/24,""))),""))</f>
        <v/>
      </c>
      <c r="P808" s="90"/>
      <c r="V808"/>
      <c r="W808"/>
      <c r="X808"/>
      <c r="Y808"/>
      <c r="Z808"/>
      <c r="AA808"/>
      <c r="AB808"/>
      <c r="AC808"/>
      <c r="AD808"/>
    </row>
    <row r="809" spans="1:30">
      <c r="A809" s="65" t="str">
        <f>IFERROR(VLOOKUP('Informe Kelly'!A802,Base!A:B,2,FALSE),"")</f>
        <v>14.336.364-3</v>
      </c>
      <c r="B809" s="65" t="str">
        <f>IFERROR(VLOOKUP('Informe Kelly'!A802,Base!A:G,7,FALSE),"")</f>
        <v>HERRERA PALMA ARIEL</v>
      </c>
      <c r="C809" s="69" t="str">
        <f>IF(G809=$C$4,IF('Informe Kelly'!H802='Control informe Kelly'!$A$2,TEXT(((LEFT('Informe Kelly'!E802,2)*1)+1),"dd")&amp;"."&amp;MID('Informe Kelly'!E802,4,2)&amp;"."&amp;RIGHT('Informe Kelly'!E802,4),'Informe Kelly'!E802),'Informe Kelly'!E802)</f>
        <v>13.04.2011</v>
      </c>
      <c r="D809" s="69" t="str">
        <f>IF('Informe Kelly'!E802="","",'Informe Kelly'!E802)</f>
        <v>13.04.2011</v>
      </c>
      <c r="E809" s="72">
        <f t="shared" si="25"/>
        <v>410</v>
      </c>
      <c r="F809" s="72" t="str">
        <f>IFERROR(HLOOKUP(C809,Ingreso!$Q$8:$AD$9,2,FALSE),"v")</f>
        <v>Miércoles</v>
      </c>
      <c r="G809" s="65" t="str">
        <f>IFERROR(VLOOKUP(A809,Ingreso!K:P,6,FALSE),"no esta ingresado")</f>
        <v>Turno C</v>
      </c>
      <c r="H809" s="65" t="str">
        <f>IFERROR(IF('Informe Kelly'!H802=$A$2,'Informe Kelly'!F802,""),0)</f>
        <v/>
      </c>
      <c r="I809" s="65">
        <f>IFERROR(IF('Informe Kelly'!H802=$A$3,'Informe Kelly'!F802,""),0)</f>
        <v>0.30432870370370374</v>
      </c>
      <c r="J809" s="65" t="str">
        <f>IF(IFERROR(IF(E809=E808,0,(HLOOKUP(D809,Ingreso!$AN$10:$AT$260,VLOOKUP(A809,Ingreso!$AL$11:$AM$260,2,FALSE)))/24),0)=0,"",IFERROR(IF(E809=E808,0,(HLOOKUP(D809,Ingreso!$AN$10:$AT$260,VLOOKUP(A809,Ingreso!$AL$11:$AM$260,2,FALSE)))/24),0))</f>
        <v/>
      </c>
      <c r="K809" s="65" t="str">
        <f>IF(IFERROR(IF(E809=E808,0,(HLOOKUP(C809,Ingreso!$AW$10:$BC$260,VLOOKUP(A809,Ingreso!$AL$11:$AM$260,2,FALSE)))/24),0)=0,"",IFERROR(IF(E809=E808,0,(HLOOKUP(C809,Ingreso!$AW$10:$BC$260,VLOOKUP(A809,Ingreso!$AL$11:$AM$260,2,FALSE)))/24),0))</f>
        <v/>
      </c>
      <c r="L809" s="63">
        <f t="shared" si="24"/>
        <v>0</v>
      </c>
      <c r="M809" s="63" t="str">
        <f>IF(IFERROR(IF(C809=C807,0,IF(E809=E808,0,IF(C809=$R$2,HLOOKUP($R$2,Ingreso!$AW$10:$BC$260,VLOOKUP(A809,Ingreso!AL:AM,2,FALSE),FALSE)/24,""))),"")=0,"",IFERROR(IF(C809=C807,0,IF(E809=E808,0,IF(C809=$R$2,HLOOKUP($R$2,Ingreso!$AW$10:$BC$260,VLOOKUP(A809,Ingreso!AL:AM,2,FALSE),FALSE)/24,""))),""))</f>
        <v/>
      </c>
      <c r="N809" s="95" t="str">
        <f>IF(IFERROR(IF(C809=C807,0,IF(E809=E808,0,IF(C809=$R$3,HLOOKUP($R$3,Ingreso!$AW$10:$BC$260,VLOOKUP(A809,Ingreso!AL:AM,2,FALSE),FALSE)/24,""))),"")=0,"",IFERROR(IF(C809=C807,0,IF(E809=E808,0,IF(C809=$R$3,HLOOKUP($R$3,Ingreso!$AW$10:$BC$260,VLOOKUP(A809,Ingreso!AL:AM,2,FALSE),FALSE)/24,""))),""))</f>
        <v/>
      </c>
      <c r="O809" s="95" t="str">
        <f>IF(IFERROR(IF(C809=C807,0,IF(E809=E808,0,IF(C809=$R$4,HLOOKUP($R$4,Ingreso!$AW$10:$BC$260,VLOOKUP(A809,Ingreso!AL:AM,2,FALSE),FALSE)/24,""))),"")=0,"",IFERROR(IF(C809=C807,0,IF(E809=E808,0,IF(C809=$R$4,HLOOKUP($R$4,Ingreso!$AW$10:$BC$260,VLOOKUP(A809,Ingreso!AL:AM,2,FALSE),FALSE)/24,""))),""))</f>
        <v/>
      </c>
      <c r="P809" s="90"/>
      <c r="V809"/>
      <c r="W809"/>
      <c r="X809"/>
      <c r="Y809"/>
      <c r="Z809"/>
      <c r="AA809"/>
      <c r="AB809"/>
      <c r="AC809"/>
      <c r="AD809"/>
    </row>
    <row r="810" spans="1:30">
      <c r="A810" s="65" t="str">
        <f>IFERROR(VLOOKUP('Informe Kelly'!A803,Base!A:B,2,FALSE),"")</f>
        <v>14.336.364-3</v>
      </c>
      <c r="B810" s="65" t="str">
        <f>IFERROR(VLOOKUP('Informe Kelly'!A803,Base!A:G,7,FALSE),"")</f>
        <v>HERRERA PALMA ARIEL</v>
      </c>
      <c r="C810" s="69" t="str">
        <f>IF(G810=$C$4,IF('Informe Kelly'!H803='Control informe Kelly'!$A$2,TEXT(((LEFT('Informe Kelly'!E803,2)*1)+1),"dd")&amp;"."&amp;MID('Informe Kelly'!E803,4,2)&amp;"."&amp;RIGHT('Informe Kelly'!E803,4),'Informe Kelly'!E803),'Informe Kelly'!E803)</f>
        <v>14.04.2011</v>
      </c>
      <c r="D810" s="69" t="str">
        <f>IF('Informe Kelly'!E803="","",'Informe Kelly'!E803)</f>
        <v>13.04.2011</v>
      </c>
      <c r="E810" s="72">
        <f t="shared" si="25"/>
        <v>411</v>
      </c>
      <c r="F810" s="72" t="str">
        <f>IFERROR(HLOOKUP(C810,Ingreso!$Q$8:$AD$9,2,FALSE),"v")</f>
        <v>Jueves</v>
      </c>
      <c r="G810" s="65" t="str">
        <f>IFERROR(VLOOKUP(A810,Ingreso!K:P,6,FALSE),"no esta ingresado")</f>
        <v>Turno C</v>
      </c>
      <c r="H810" s="65">
        <f>IFERROR(IF('Informe Kelly'!H803=$A$2,'Informe Kelly'!F803,""),0)</f>
        <v>0.9252893518518519</v>
      </c>
      <c r="I810" s="65" t="str">
        <f>IFERROR(IF('Informe Kelly'!H803=$A$3,'Informe Kelly'!F803,""),0)</f>
        <v/>
      </c>
      <c r="J810" s="65" t="str">
        <f>IF(IFERROR(IF(E810=E809,0,(HLOOKUP(D810,Ingreso!$AN$10:$AT$260,VLOOKUP(A810,Ingreso!$AL$11:$AM$260,2,FALSE)))/24),0)=0,"",IFERROR(IF(E810=E809,0,(HLOOKUP(D810,Ingreso!$AN$10:$AT$260,VLOOKUP(A810,Ingreso!$AL$11:$AM$260,2,FALSE)))/24),0))</f>
        <v/>
      </c>
      <c r="K810" s="65" t="str">
        <f>IF(IFERROR(IF(E810=E809,0,(HLOOKUP(C810,Ingreso!$AW$10:$BC$260,VLOOKUP(A810,Ingreso!$AL$11:$AM$260,2,FALSE)))/24),0)=0,"",IFERROR(IF(E810=E809,0,(HLOOKUP(C810,Ingreso!$AW$10:$BC$260,VLOOKUP(A810,Ingreso!$AL$11:$AM$260,2,FALSE)))/24),0))</f>
        <v/>
      </c>
      <c r="L810" s="63">
        <f t="shared" si="24"/>
        <v>0.375</v>
      </c>
      <c r="M810" s="63" t="str">
        <f>IF(IFERROR(IF(C810=C808,0,IF(E810=E809,0,IF(C810=$R$2,HLOOKUP($R$2,Ingreso!$AW$10:$BC$260,VLOOKUP(A810,Ingreso!AL:AM,2,FALSE),FALSE)/24,""))),"")=0,"",IFERROR(IF(C810=C808,0,IF(E810=E809,0,IF(C810=$R$2,HLOOKUP($R$2,Ingreso!$AW$10:$BC$260,VLOOKUP(A810,Ingreso!AL:AM,2,FALSE),FALSE)/24,""))),""))</f>
        <v/>
      </c>
      <c r="N810" s="95" t="str">
        <f>IF(IFERROR(IF(C810=C808,0,IF(E810=E809,0,IF(C810=$R$3,HLOOKUP($R$3,Ingreso!$AW$10:$BC$260,VLOOKUP(A810,Ingreso!AL:AM,2,FALSE),FALSE)/24,""))),"")=0,"",IFERROR(IF(C810=C808,0,IF(E810=E809,0,IF(C810=$R$3,HLOOKUP($R$3,Ingreso!$AW$10:$BC$260,VLOOKUP(A810,Ingreso!AL:AM,2,FALSE),FALSE)/24,""))),""))</f>
        <v/>
      </c>
      <c r="O810" s="95" t="str">
        <f>IF(IFERROR(IF(C810=C808,0,IF(E810=E809,0,IF(C810=$R$4,HLOOKUP($R$4,Ingreso!$AW$10:$BC$260,VLOOKUP(A810,Ingreso!AL:AM,2,FALSE),FALSE)/24,""))),"")=0,"",IFERROR(IF(C810=C808,0,IF(E810=E809,0,IF(C810=$R$4,HLOOKUP($R$4,Ingreso!$AW$10:$BC$260,VLOOKUP(A810,Ingreso!AL:AM,2,FALSE),FALSE)/24,""))),""))</f>
        <v/>
      </c>
      <c r="P810" s="90"/>
      <c r="V810"/>
      <c r="W810"/>
      <c r="X810"/>
      <c r="Y810"/>
      <c r="Z810"/>
      <c r="AA810"/>
      <c r="AB810"/>
      <c r="AC810"/>
      <c r="AD810"/>
    </row>
    <row r="811" spans="1:30">
      <c r="A811" s="65" t="str">
        <f>IFERROR(VLOOKUP('Informe Kelly'!A804,Base!A:B,2,FALSE),"")</f>
        <v>14.336.364-3</v>
      </c>
      <c r="B811" s="65" t="str">
        <f>IFERROR(VLOOKUP('Informe Kelly'!A804,Base!A:G,7,FALSE),"")</f>
        <v>HERRERA PALMA ARIEL</v>
      </c>
      <c r="C811" s="69" t="str">
        <f>IF(G811=$C$4,IF('Informe Kelly'!H804='Control informe Kelly'!$A$2,TEXT(((LEFT('Informe Kelly'!E804,2)*1)+1),"dd")&amp;"."&amp;MID('Informe Kelly'!E804,4,2)&amp;"."&amp;RIGHT('Informe Kelly'!E804,4),'Informe Kelly'!E804),'Informe Kelly'!E804)</f>
        <v>14.04.2011</v>
      </c>
      <c r="D811" s="69" t="str">
        <f>IF('Informe Kelly'!E804="","",'Informe Kelly'!E804)</f>
        <v>14.04.2011</v>
      </c>
      <c r="E811" s="72">
        <f t="shared" si="25"/>
        <v>411</v>
      </c>
      <c r="F811" s="72" t="str">
        <f>IFERROR(HLOOKUP(C811,Ingreso!$Q$8:$AD$9,2,FALSE),"v")</f>
        <v>Jueves</v>
      </c>
      <c r="G811" s="65" t="str">
        <f>IFERROR(VLOOKUP(A811,Ingreso!K:P,6,FALSE),"no esta ingresado")</f>
        <v>Turno C</v>
      </c>
      <c r="H811" s="65" t="str">
        <f>IFERROR(IF('Informe Kelly'!H804=$A$2,'Informe Kelly'!F804,""),0)</f>
        <v/>
      </c>
      <c r="I811" s="65">
        <f>IFERROR(IF('Informe Kelly'!H804=$A$3,'Informe Kelly'!F804,""),0)</f>
        <v>0.3059027777777778</v>
      </c>
      <c r="J811" s="65" t="str">
        <f>IF(IFERROR(IF(E811=E810,0,(HLOOKUP(D811,Ingreso!$AN$10:$AT$260,VLOOKUP(A811,Ingreso!$AL$11:$AM$260,2,FALSE)))/24),0)=0,"",IFERROR(IF(E811=E810,0,(HLOOKUP(D811,Ingreso!$AN$10:$AT$260,VLOOKUP(A811,Ingreso!$AL$11:$AM$260,2,FALSE)))/24),0))</f>
        <v/>
      </c>
      <c r="K811" s="65" t="str">
        <f>IF(IFERROR(IF(E811=E810,0,(HLOOKUP(C811,Ingreso!$AW$10:$BC$260,VLOOKUP(A811,Ingreso!$AL$11:$AM$260,2,FALSE)))/24),0)=0,"",IFERROR(IF(E811=E810,0,(HLOOKUP(C811,Ingreso!$AW$10:$BC$260,VLOOKUP(A811,Ingreso!$AL$11:$AM$260,2,FALSE)))/24),0))</f>
        <v/>
      </c>
      <c r="L811" s="63">
        <f t="shared" si="24"/>
        <v>0</v>
      </c>
      <c r="M811" s="63" t="str">
        <f>IF(IFERROR(IF(C811=C809,0,IF(E811=E810,0,IF(C811=$R$2,HLOOKUP($R$2,Ingreso!$AW$10:$BC$260,VLOOKUP(A811,Ingreso!AL:AM,2,FALSE),FALSE)/24,""))),"")=0,"",IFERROR(IF(C811=C809,0,IF(E811=E810,0,IF(C811=$R$2,HLOOKUP($R$2,Ingreso!$AW$10:$BC$260,VLOOKUP(A811,Ingreso!AL:AM,2,FALSE),FALSE)/24,""))),""))</f>
        <v/>
      </c>
      <c r="N811" s="95" t="str">
        <f>IF(IFERROR(IF(C811=C809,0,IF(E811=E810,0,IF(C811=$R$3,HLOOKUP($R$3,Ingreso!$AW$10:$BC$260,VLOOKUP(A811,Ingreso!AL:AM,2,FALSE),FALSE)/24,""))),"")=0,"",IFERROR(IF(C811=C809,0,IF(E811=E810,0,IF(C811=$R$3,HLOOKUP($R$3,Ingreso!$AW$10:$BC$260,VLOOKUP(A811,Ingreso!AL:AM,2,FALSE),FALSE)/24,""))),""))</f>
        <v/>
      </c>
      <c r="O811" s="95" t="str">
        <f>IF(IFERROR(IF(C811=C809,0,IF(E811=E810,0,IF(C811=$R$4,HLOOKUP($R$4,Ingreso!$AW$10:$BC$260,VLOOKUP(A811,Ingreso!AL:AM,2,FALSE),FALSE)/24,""))),"")=0,"",IFERROR(IF(C811=C809,0,IF(E811=E810,0,IF(C811=$R$4,HLOOKUP($R$4,Ingreso!$AW$10:$BC$260,VLOOKUP(A811,Ingreso!AL:AM,2,FALSE),FALSE)/24,""))),""))</f>
        <v/>
      </c>
      <c r="P811" s="90"/>
      <c r="V811"/>
      <c r="W811"/>
      <c r="X811"/>
      <c r="Y811"/>
      <c r="Z811"/>
      <c r="AA811"/>
      <c r="AB811"/>
      <c r="AC811"/>
      <c r="AD811"/>
    </row>
    <row r="812" spans="1:30">
      <c r="A812" s="65" t="str">
        <f>IFERROR(VLOOKUP('Informe Kelly'!A805,Base!A:B,2,FALSE),"")</f>
        <v>14.336.364-3</v>
      </c>
      <c r="B812" s="65" t="str">
        <f>IFERROR(VLOOKUP('Informe Kelly'!A805,Base!A:G,7,FALSE),"")</f>
        <v>HERRERA PALMA ARIEL</v>
      </c>
      <c r="C812" s="69" t="str">
        <f>IF(G812=$C$4,IF('Informe Kelly'!H805='Control informe Kelly'!$A$2,TEXT(((LEFT('Informe Kelly'!E805,2)*1)+1),"dd")&amp;"."&amp;MID('Informe Kelly'!E805,4,2)&amp;"."&amp;RIGHT('Informe Kelly'!E805,4),'Informe Kelly'!E805),'Informe Kelly'!E805)</f>
        <v>15.04.2011</v>
      </c>
      <c r="D812" s="69" t="str">
        <f>IF('Informe Kelly'!E805="","",'Informe Kelly'!E805)</f>
        <v>14.04.2011</v>
      </c>
      <c r="E812" s="72">
        <f t="shared" si="25"/>
        <v>412</v>
      </c>
      <c r="F812" s="72" t="str">
        <f>IFERROR(HLOOKUP(C812,Ingreso!$Q$8:$AD$9,2,FALSE),"v")</f>
        <v>Viernes</v>
      </c>
      <c r="G812" s="65" t="str">
        <f>IFERROR(VLOOKUP(A812,Ingreso!K:P,6,FALSE),"no esta ingresado")</f>
        <v>Turno C</v>
      </c>
      <c r="H812" s="65">
        <f>IFERROR(IF('Informe Kelly'!H805=$A$2,'Informe Kelly'!F805,""),0)</f>
        <v>0.9284027777777778</v>
      </c>
      <c r="I812" s="65" t="str">
        <f>IFERROR(IF('Informe Kelly'!H805=$A$3,'Informe Kelly'!F805,""),0)</f>
        <v/>
      </c>
      <c r="J812" s="65" t="str">
        <f>IF(IFERROR(IF(E812=E811,0,(HLOOKUP(D812,Ingreso!$AN$10:$AT$260,VLOOKUP(A812,Ingreso!$AL$11:$AM$260,2,FALSE)))/24),0)=0,"",IFERROR(IF(E812=E811,0,(HLOOKUP(D812,Ingreso!$AN$10:$AT$260,VLOOKUP(A812,Ingreso!$AL$11:$AM$260,2,FALSE)))/24),0))</f>
        <v/>
      </c>
      <c r="K812" s="65" t="str">
        <f>IF(IFERROR(IF(E812=E811,0,(HLOOKUP(C812,Ingreso!$AW$10:$BC$260,VLOOKUP(A812,Ingreso!$AL$11:$AM$260,2,FALSE)))/24),0)=0,"",IFERROR(IF(E812=E811,0,(HLOOKUP(C812,Ingreso!$AW$10:$BC$260,VLOOKUP(A812,Ingreso!$AL$11:$AM$260,2,FALSE)))/24),0))</f>
        <v/>
      </c>
      <c r="L812" s="63">
        <f t="shared" si="24"/>
        <v>0.375</v>
      </c>
      <c r="M812" s="63" t="str">
        <f>IF(IFERROR(IF(C812=C810,0,IF(E812=E811,0,IF(C812=$R$2,HLOOKUP($R$2,Ingreso!$AW$10:$BC$260,VLOOKUP(A812,Ingreso!AL:AM,2,FALSE),FALSE)/24,""))),"")=0,"",IFERROR(IF(C812=C810,0,IF(E812=E811,0,IF(C812=$R$2,HLOOKUP($R$2,Ingreso!$AW$10:$BC$260,VLOOKUP(A812,Ingreso!AL:AM,2,FALSE),FALSE)/24,""))),""))</f>
        <v/>
      </c>
      <c r="N812" s="95" t="str">
        <f>IF(IFERROR(IF(C812=C810,0,IF(E812=E811,0,IF(C812=$R$3,HLOOKUP($R$3,Ingreso!$AW$10:$BC$260,VLOOKUP(A812,Ingreso!AL:AM,2,FALSE),FALSE)/24,""))),"")=0,"",IFERROR(IF(C812=C810,0,IF(E812=E811,0,IF(C812=$R$3,HLOOKUP($R$3,Ingreso!$AW$10:$BC$260,VLOOKUP(A812,Ingreso!AL:AM,2,FALSE),FALSE)/24,""))),""))</f>
        <v/>
      </c>
      <c r="O812" s="95" t="str">
        <f>IF(IFERROR(IF(C812=C810,0,IF(E812=E811,0,IF(C812=$R$4,HLOOKUP($R$4,Ingreso!$AW$10:$BC$260,VLOOKUP(A812,Ingreso!AL:AM,2,FALSE),FALSE)/24,""))),"")=0,"",IFERROR(IF(C812=C810,0,IF(E812=E811,0,IF(C812=$R$4,HLOOKUP($R$4,Ingreso!$AW$10:$BC$260,VLOOKUP(A812,Ingreso!AL:AM,2,FALSE),FALSE)/24,""))),""))</f>
        <v/>
      </c>
      <c r="P812" s="90"/>
      <c r="V812"/>
      <c r="W812"/>
      <c r="X812"/>
      <c r="Y812"/>
      <c r="Z812"/>
      <c r="AA812"/>
      <c r="AB812"/>
      <c r="AC812"/>
      <c r="AD812"/>
    </row>
    <row r="813" spans="1:30">
      <c r="A813" s="65" t="str">
        <f>IFERROR(VLOOKUP('Informe Kelly'!A806,Base!A:B,2,FALSE),"")</f>
        <v>14.336.364-3</v>
      </c>
      <c r="B813" s="65" t="str">
        <f>IFERROR(VLOOKUP('Informe Kelly'!A806,Base!A:G,7,FALSE),"")</f>
        <v>HERRERA PALMA ARIEL</v>
      </c>
      <c r="C813" s="69" t="str">
        <f>IF(G813=$C$4,IF('Informe Kelly'!H806='Control informe Kelly'!$A$2,TEXT(((LEFT('Informe Kelly'!E806,2)*1)+1),"dd")&amp;"."&amp;MID('Informe Kelly'!E806,4,2)&amp;"."&amp;RIGHT('Informe Kelly'!E806,4),'Informe Kelly'!E806),'Informe Kelly'!E806)</f>
        <v>15.04.2011</v>
      </c>
      <c r="D813" s="69" t="str">
        <f>IF('Informe Kelly'!E806="","",'Informe Kelly'!E806)</f>
        <v>15.04.2011</v>
      </c>
      <c r="E813" s="72">
        <f t="shared" si="25"/>
        <v>412</v>
      </c>
      <c r="F813" s="72" t="str">
        <f>IFERROR(HLOOKUP(C813,Ingreso!$Q$8:$AD$9,2,FALSE),"v")</f>
        <v>Viernes</v>
      </c>
      <c r="G813" s="65" t="str">
        <f>IFERROR(VLOOKUP(A813,Ingreso!K:P,6,FALSE),"no esta ingresado")</f>
        <v>Turno C</v>
      </c>
      <c r="H813" s="65" t="str">
        <f>IFERROR(IF('Informe Kelly'!H806=$A$2,'Informe Kelly'!F806,""),0)</f>
        <v/>
      </c>
      <c r="I813" s="65">
        <f>IFERROR(IF('Informe Kelly'!H806=$A$3,'Informe Kelly'!F806,""),0)</f>
        <v>0.31287037037037035</v>
      </c>
      <c r="J813" s="65" t="str">
        <f>IF(IFERROR(IF(E813=E812,0,(HLOOKUP(D813,Ingreso!$AN$10:$AT$260,VLOOKUP(A813,Ingreso!$AL$11:$AM$260,2,FALSE)))/24),0)=0,"",IFERROR(IF(E813=E812,0,(HLOOKUP(D813,Ingreso!$AN$10:$AT$260,VLOOKUP(A813,Ingreso!$AL$11:$AM$260,2,FALSE)))/24),0))</f>
        <v/>
      </c>
      <c r="K813" s="65" t="str">
        <f>IF(IFERROR(IF(E813=E812,0,(HLOOKUP(C813,Ingreso!$AW$10:$BC$260,VLOOKUP(A813,Ingreso!$AL$11:$AM$260,2,FALSE)))/24),0)=0,"",IFERROR(IF(E813=E812,0,(HLOOKUP(C813,Ingreso!$AW$10:$BC$260,VLOOKUP(A813,Ingreso!$AL$11:$AM$260,2,FALSE)))/24),0))</f>
        <v/>
      </c>
      <c r="L813" s="63">
        <f t="shared" si="24"/>
        <v>0</v>
      </c>
      <c r="M813" s="63" t="str">
        <f>IF(IFERROR(IF(C813=C811,0,IF(E813=E812,0,IF(C813=$R$2,HLOOKUP($R$2,Ingreso!$AW$10:$BC$260,VLOOKUP(A813,Ingreso!AL:AM,2,FALSE),FALSE)/24,""))),"")=0,"",IFERROR(IF(C813=C811,0,IF(E813=E812,0,IF(C813=$R$2,HLOOKUP($R$2,Ingreso!$AW$10:$BC$260,VLOOKUP(A813,Ingreso!AL:AM,2,FALSE),FALSE)/24,""))),""))</f>
        <v/>
      </c>
      <c r="N813" s="95" t="str">
        <f>IF(IFERROR(IF(C813=C811,0,IF(E813=E812,0,IF(C813=$R$3,HLOOKUP($R$3,Ingreso!$AW$10:$BC$260,VLOOKUP(A813,Ingreso!AL:AM,2,FALSE),FALSE)/24,""))),"")=0,"",IFERROR(IF(C813=C811,0,IF(E813=E812,0,IF(C813=$R$3,HLOOKUP($R$3,Ingreso!$AW$10:$BC$260,VLOOKUP(A813,Ingreso!AL:AM,2,FALSE),FALSE)/24,""))),""))</f>
        <v/>
      </c>
      <c r="O813" s="95" t="str">
        <f>IF(IFERROR(IF(C813=C811,0,IF(E813=E812,0,IF(C813=$R$4,HLOOKUP($R$4,Ingreso!$AW$10:$BC$260,VLOOKUP(A813,Ingreso!AL:AM,2,FALSE),FALSE)/24,""))),"")=0,"",IFERROR(IF(C813=C811,0,IF(E813=E812,0,IF(C813=$R$4,HLOOKUP($R$4,Ingreso!$AW$10:$BC$260,VLOOKUP(A813,Ingreso!AL:AM,2,FALSE),FALSE)/24,""))),""))</f>
        <v/>
      </c>
      <c r="P813" s="90"/>
      <c r="V813"/>
      <c r="W813"/>
      <c r="X813"/>
      <c r="Y813"/>
      <c r="Z813"/>
      <c r="AA813"/>
      <c r="AB813"/>
      <c r="AC813"/>
      <c r="AD813"/>
    </row>
    <row r="814" spans="1:30">
      <c r="A814" s="65" t="str">
        <f>IFERROR(VLOOKUP('Informe Kelly'!A807,Base!A:B,2,FALSE),"")</f>
        <v>14.336.364-3</v>
      </c>
      <c r="B814" s="65" t="str">
        <f>IFERROR(VLOOKUP('Informe Kelly'!A807,Base!A:G,7,FALSE),"")</f>
        <v>HERRERA PALMA ARIEL</v>
      </c>
      <c r="C814" s="69" t="str">
        <f>IF(G814=$C$4,IF('Informe Kelly'!H807='Control informe Kelly'!$A$2,TEXT(((LEFT('Informe Kelly'!E807,2)*1)+1),"dd")&amp;"."&amp;MID('Informe Kelly'!E807,4,2)&amp;"."&amp;RIGHT('Informe Kelly'!E807,4),'Informe Kelly'!E807),'Informe Kelly'!E807)</f>
        <v>16.04.2011</v>
      </c>
      <c r="D814" s="69" t="str">
        <f>IF('Informe Kelly'!E807="","",'Informe Kelly'!E807)</f>
        <v>15.04.2011</v>
      </c>
      <c r="E814" s="72">
        <f t="shared" si="25"/>
        <v>413</v>
      </c>
      <c r="F814" s="72" t="str">
        <f>IFERROR(HLOOKUP(C814,Ingreso!$Q$8:$AD$9,2,FALSE),"v")</f>
        <v>Sábado</v>
      </c>
      <c r="G814" s="65" t="str">
        <f>IFERROR(VLOOKUP(A814,Ingreso!K:P,6,FALSE),"no esta ingresado")</f>
        <v>Turno C</v>
      </c>
      <c r="H814" s="65">
        <f>IFERROR(IF('Informe Kelly'!H807=$A$2,'Informe Kelly'!F807,""),0)</f>
        <v>0.92721064814814813</v>
      </c>
      <c r="I814" s="65" t="str">
        <f>IFERROR(IF('Informe Kelly'!H807=$A$3,'Informe Kelly'!F807,""),0)</f>
        <v/>
      </c>
      <c r="J814" s="65" t="str">
        <f>IF(IFERROR(IF(E814=E813,0,(HLOOKUP(D814,Ingreso!$AN$10:$AT$260,VLOOKUP(A814,Ingreso!$AL$11:$AM$260,2,FALSE)))/24),0)=0,"",IFERROR(IF(E814=E813,0,(HLOOKUP(D814,Ingreso!$AN$10:$AT$260,VLOOKUP(A814,Ingreso!$AL$11:$AM$260,2,FALSE)))/24),0))</f>
        <v/>
      </c>
      <c r="K814" s="65" t="str">
        <f>IF(IFERROR(IF(E814=E813,0,(HLOOKUP(C814,Ingreso!$AW$10:$BC$260,VLOOKUP(A814,Ingreso!$AL$11:$AM$260,2,FALSE)))/24),0)=0,"",IFERROR(IF(E814=E813,0,(HLOOKUP(C814,Ingreso!$AW$10:$BC$260,VLOOKUP(A814,Ingreso!$AL$11:$AM$260,2,FALSE)))/24),0))</f>
        <v/>
      </c>
      <c r="L814" s="63">
        <f t="shared" si="24"/>
        <v>0.375</v>
      </c>
      <c r="M814" s="63" t="str">
        <f>IF(IFERROR(IF(C814=C812,0,IF(E814=E813,0,IF(C814=$R$2,HLOOKUP($R$2,Ingreso!$AW$10:$BC$260,VLOOKUP(A814,Ingreso!AL:AM,2,FALSE),FALSE)/24,""))),"")=0,"",IFERROR(IF(C814=C812,0,IF(E814=E813,0,IF(C814=$R$2,HLOOKUP($R$2,Ingreso!$AW$10:$BC$260,VLOOKUP(A814,Ingreso!AL:AM,2,FALSE),FALSE)/24,""))),""))</f>
        <v/>
      </c>
      <c r="N814" s="95" t="str">
        <f>IF(IFERROR(IF(C814=C812,0,IF(E814=E813,0,IF(C814=$R$3,HLOOKUP($R$3,Ingreso!$AW$10:$BC$260,VLOOKUP(A814,Ingreso!AL:AM,2,FALSE),FALSE)/24,""))),"")=0,"",IFERROR(IF(C814=C812,0,IF(E814=E813,0,IF(C814=$R$3,HLOOKUP($R$3,Ingreso!$AW$10:$BC$260,VLOOKUP(A814,Ingreso!AL:AM,2,FALSE),FALSE)/24,""))),""))</f>
        <v/>
      </c>
      <c r="O814" s="95" t="str">
        <f>IF(IFERROR(IF(C814=C812,0,IF(E814=E813,0,IF(C814=$R$4,HLOOKUP($R$4,Ingreso!$AW$10:$BC$260,VLOOKUP(A814,Ingreso!AL:AM,2,FALSE),FALSE)/24,""))),"")=0,"",IFERROR(IF(C814=C812,0,IF(E814=E813,0,IF(C814=$R$4,HLOOKUP($R$4,Ingreso!$AW$10:$BC$260,VLOOKUP(A814,Ingreso!AL:AM,2,FALSE),FALSE)/24,""))),""))</f>
        <v/>
      </c>
      <c r="P814" s="90"/>
      <c r="V814"/>
      <c r="W814"/>
      <c r="X814"/>
      <c r="Y814"/>
      <c r="Z814"/>
      <c r="AA814"/>
      <c r="AB814"/>
      <c r="AC814"/>
      <c r="AD814"/>
    </row>
    <row r="815" spans="1:30">
      <c r="A815" s="65" t="str">
        <f>IFERROR(VLOOKUP('Informe Kelly'!A808,Base!A:B,2,FALSE),"")</f>
        <v>14.336.364-3</v>
      </c>
      <c r="B815" s="65" t="str">
        <f>IFERROR(VLOOKUP('Informe Kelly'!A808,Base!A:G,7,FALSE),"")</f>
        <v>HERRERA PALMA ARIEL</v>
      </c>
      <c r="C815" s="69" t="str">
        <f>IF(G815=$C$4,IF('Informe Kelly'!H808='Control informe Kelly'!$A$2,TEXT(((LEFT('Informe Kelly'!E808,2)*1)+1),"dd")&amp;"."&amp;MID('Informe Kelly'!E808,4,2)&amp;"."&amp;RIGHT('Informe Kelly'!E808,4),'Informe Kelly'!E808),'Informe Kelly'!E808)</f>
        <v>16.04.2011</v>
      </c>
      <c r="D815" s="69" t="str">
        <f>IF('Informe Kelly'!E808="","",'Informe Kelly'!E808)</f>
        <v>16.04.2011</v>
      </c>
      <c r="E815" s="72">
        <f t="shared" si="25"/>
        <v>413</v>
      </c>
      <c r="F815" s="72" t="str">
        <f>IFERROR(HLOOKUP(C815,Ingreso!$Q$8:$AD$9,2,FALSE),"v")</f>
        <v>Sábado</v>
      </c>
      <c r="G815" s="65" t="str">
        <f>IFERROR(VLOOKUP(A815,Ingreso!K:P,6,FALSE),"no esta ingresado")</f>
        <v>Turno C</v>
      </c>
      <c r="H815" s="65" t="str">
        <f>IFERROR(IF('Informe Kelly'!H808=$A$2,'Informe Kelly'!F808,""),0)</f>
        <v/>
      </c>
      <c r="I815" s="65">
        <f>IFERROR(IF('Informe Kelly'!H808=$A$3,'Informe Kelly'!F808,""),0)</f>
        <v>0.31425925925925924</v>
      </c>
      <c r="J815" s="65" t="str">
        <f>IF(IFERROR(IF(E815=E814,0,(HLOOKUP(D815,Ingreso!$AN$10:$AT$260,VLOOKUP(A815,Ingreso!$AL$11:$AM$260,2,FALSE)))/24),0)=0,"",IFERROR(IF(E815=E814,0,(HLOOKUP(D815,Ingreso!$AN$10:$AT$260,VLOOKUP(A815,Ingreso!$AL$11:$AM$260,2,FALSE)))/24),0))</f>
        <v/>
      </c>
      <c r="K815" s="65" t="str">
        <f>IF(IFERROR(IF(E815=E814,0,(HLOOKUP(C815,Ingreso!$AW$10:$BC$260,VLOOKUP(A815,Ingreso!$AL$11:$AM$260,2,FALSE)))/24),0)=0,"",IFERROR(IF(E815=E814,0,(HLOOKUP(C815,Ingreso!$AW$10:$BC$260,VLOOKUP(A815,Ingreso!$AL$11:$AM$260,2,FALSE)))/24),0))</f>
        <v/>
      </c>
      <c r="L815" s="63">
        <f t="shared" si="24"/>
        <v>0</v>
      </c>
      <c r="M815" s="63" t="str">
        <f>IF(IFERROR(IF(C815=C813,0,IF(E815=E814,0,IF(C815=$R$2,HLOOKUP($R$2,Ingreso!$AW$10:$BC$260,VLOOKUP(A815,Ingreso!AL:AM,2,FALSE),FALSE)/24,""))),"")=0,"",IFERROR(IF(C815=C813,0,IF(E815=E814,0,IF(C815=$R$2,HLOOKUP($R$2,Ingreso!$AW$10:$BC$260,VLOOKUP(A815,Ingreso!AL:AM,2,FALSE),FALSE)/24,""))),""))</f>
        <v/>
      </c>
      <c r="N815" s="95" t="str">
        <f>IF(IFERROR(IF(C815=C813,0,IF(E815=E814,0,IF(C815=$R$3,HLOOKUP($R$3,Ingreso!$AW$10:$BC$260,VLOOKUP(A815,Ingreso!AL:AM,2,FALSE),FALSE)/24,""))),"")=0,"",IFERROR(IF(C815=C813,0,IF(E815=E814,0,IF(C815=$R$3,HLOOKUP($R$3,Ingreso!$AW$10:$BC$260,VLOOKUP(A815,Ingreso!AL:AM,2,FALSE),FALSE)/24,""))),""))</f>
        <v/>
      </c>
      <c r="O815" s="95" t="str">
        <f>IF(IFERROR(IF(C815=C813,0,IF(E815=E814,0,IF(C815=$R$4,HLOOKUP($R$4,Ingreso!$AW$10:$BC$260,VLOOKUP(A815,Ingreso!AL:AM,2,FALSE),FALSE)/24,""))),"")=0,"",IFERROR(IF(C815=C813,0,IF(E815=E814,0,IF(C815=$R$4,HLOOKUP($R$4,Ingreso!$AW$10:$BC$260,VLOOKUP(A815,Ingreso!AL:AM,2,FALSE),FALSE)/24,""))),""))</f>
        <v/>
      </c>
      <c r="P815" s="90"/>
      <c r="V815"/>
      <c r="W815"/>
      <c r="X815"/>
      <c r="Y815"/>
      <c r="Z815"/>
      <c r="AA815"/>
      <c r="AB815"/>
      <c r="AC815"/>
      <c r="AD815"/>
    </row>
    <row r="816" spans="1:30">
      <c r="A816" s="65" t="str">
        <f>IFERROR(VLOOKUP('Informe Kelly'!A809,Base!A:B,2,FALSE),"")</f>
        <v>14.336.364-3</v>
      </c>
      <c r="B816" s="65" t="str">
        <f>IFERROR(VLOOKUP('Informe Kelly'!A809,Base!A:G,7,FALSE),"")</f>
        <v>HERRERA PALMA ARIEL</v>
      </c>
      <c r="C816" s="69" t="str">
        <f>IF(G816=$C$4,IF('Informe Kelly'!H809='Control informe Kelly'!$A$2,TEXT(((LEFT('Informe Kelly'!E809,2)*1)+1),"dd")&amp;"."&amp;MID('Informe Kelly'!E809,4,2)&amp;"."&amp;RIGHT('Informe Kelly'!E809,4),'Informe Kelly'!E809),'Informe Kelly'!E809)</f>
        <v>18.04.2011</v>
      </c>
      <c r="D816" s="69" t="str">
        <f>IF('Informe Kelly'!E809="","",'Informe Kelly'!E809)</f>
        <v>17.04.2011</v>
      </c>
      <c r="E816" s="72">
        <f t="shared" si="25"/>
        <v>414</v>
      </c>
      <c r="F816" s="72" t="str">
        <f>IFERROR(HLOOKUP(C816,Ingreso!$Q$8:$AD$9,2,FALSE),"v")</f>
        <v>v</v>
      </c>
      <c r="G816" s="65" t="str">
        <f>IFERROR(VLOOKUP(A816,Ingreso!K:P,6,FALSE),"no esta ingresado")</f>
        <v>Turno C</v>
      </c>
      <c r="H816" s="65">
        <f>IFERROR(IF('Informe Kelly'!H809=$A$2,'Informe Kelly'!F809,""),0)</f>
        <v>0.98758101851851843</v>
      </c>
      <c r="I816" s="65" t="str">
        <f>IFERROR(IF('Informe Kelly'!H809=$A$3,'Informe Kelly'!F809,""),0)</f>
        <v/>
      </c>
      <c r="J816" s="65" t="str">
        <f>IF(IFERROR(IF(E816=E815,0,(HLOOKUP(D816,Ingreso!$AN$10:$AT$260,VLOOKUP(A816,Ingreso!$AL$11:$AM$260,2,FALSE)))/24),0)=0,"",IFERROR(IF(E816=E815,0,(HLOOKUP(D816,Ingreso!$AN$10:$AT$260,VLOOKUP(A816,Ingreso!$AL$11:$AM$260,2,FALSE)))/24),0))</f>
        <v/>
      </c>
      <c r="K816" s="65" t="str">
        <f>IF(IFERROR(IF(E816=E815,0,(HLOOKUP(C816,Ingreso!$AW$10:$BC$260,VLOOKUP(A816,Ingreso!$AL$11:$AM$260,2,FALSE)))/24),0)=0,"",IFERROR(IF(E816=E815,0,(HLOOKUP(C816,Ingreso!$AW$10:$BC$260,VLOOKUP(A816,Ingreso!$AL$11:$AM$260,2,FALSE)))/24),0))</f>
        <v/>
      </c>
      <c r="L816" s="63">
        <f t="shared" si="24"/>
        <v>0.375</v>
      </c>
      <c r="M816" s="63" t="str">
        <f>IF(IFERROR(IF(C816=C814,0,IF(E816=E815,0,IF(C816=$R$2,HLOOKUP($R$2,Ingreso!$AW$10:$BC$260,VLOOKUP(A816,Ingreso!AL:AM,2,FALSE),FALSE)/24,""))),"")=0,"",IFERROR(IF(C816=C814,0,IF(E816=E815,0,IF(C816=$R$2,HLOOKUP($R$2,Ingreso!$AW$10:$BC$260,VLOOKUP(A816,Ingreso!AL:AM,2,FALSE),FALSE)/24,""))),""))</f>
        <v/>
      </c>
      <c r="N816" s="95" t="str">
        <f>IF(IFERROR(IF(C816=C814,0,IF(E816=E815,0,IF(C816=$R$3,HLOOKUP($R$3,Ingreso!$AW$10:$BC$260,VLOOKUP(A816,Ingreso!AL:AM,2,FALSE),FALSE)/24,""))),"")=0,"",IFERROR(IF(C816=C814,0,IF(E816=E815,0,IF(C816=$R$3,HLOOKUP($R$3,Ingreso!$AW$10:$BC$260,VLOOKUP(A816,Ingreso!AL:AM,2,FALSE),FALSE)/24,""))),""))</f>
        <v/>
      </c>
      <c r="O816" s="95" t="str">
        <f>IF(IFERROR(IF(C816=C814,0,IF(E816=E815,0,IF(C816=$R$4,HLOOKUP($R$4,Ingreso!$AW$10:$BC$260,VLOOKUP(A816,Ingreso!AL:AM,2,FALSE),FALSE)/24,""))),"")=0,"",IFERROR(IF(C816=C814,0,IF(E816=E815,0,IF(C816=$R$4,HLOOKUP($R$4,Ingreso!$AW$10:$BC$260,VLOOKUP(A816,Ingreso!AL:AM,2,FALSE),FALSE)/24,""))),""))</f>
        <v/>
      </c>
      <c r="P816" s="90"/>
      <c r="V816"/>
      <c r="W816"/>
      <c r="X816"/>
      <c r="Y816"/>
      <c r="Z816"/>
      <c r="AA816"/>
      <c r="AB816"/>
      <c r="AC816"/>
      <c r="AD816"/>
    </row>
    <row r="817" spans="1:30">
      <c r="A817" s="65" t="str">
        <f>IFERROR(VLOOKUP('Informe Kelly'!A810,Base!A:B,2,FALSE),"")</f>
        <v>15.102.640-0</v>
      </c>
      <c r="B817" s="65" t="str">
        <f>IFERROR(VLOOKUP('Informe Kelly'!A810,Base!A:G,7,FALSE),"")</f>
        <v>MARDONES ROJAS LUIS ARTURO</v>
      </c>
      <c r="C817" s="69" t="str">
        <f>IF(G817=$C$4,IF('Informe Kelly'!H810='Control informe Kelly'!$A$2,TEXT(((LEFT('Informe Kelly'!E810,2)*1)+1),"dd")&amp;"."&amp;MID('Informe Kelly'!E810,4,2)&amp;"."&amp;RIGHT('Informe Kelly'!E810,4),'Informe Kelly'!E810),'Informe Kelly'!E810)</f>
        <v>11.04.2011</v>
      </c>
      <c r="D817" s="69" t="str">
        <f>IF('Informe Kelly'!E810="","",'Informe Kelly'!E810)</f>
        <v>11.04.2011</v>
      </c>
      <c r="E817" s="72">
        <f t="shared" si="25"/>
        <v>415</v>
      </c>
      <c r="F817" s="72" t="str">
        <f>IFERROR(HLOOKUP(C817,Ingreso!$Q$8:$AD$9,2,FALSE),"v")</f>
        <v>Lunes</v>
      </c>
      <c r="G817" s="65" t="str">
        <f>IFERROR(VLOOKUP(A817,Ingreso!K:P,6,FALSE),"no esta ingresado")</f>
        <v>no esta ingresado</v>
      </c>
      <c r="H817" s="65" t="str">
        <f>IFERROR(IF('Informe Kelly'!H810=$A$2,'Informe Kelly'!F810,""),0)</f>
        <v/>
      </c>
      <c r="I817" s="65">
        <f>IFERROR(IF('Informe Kelly'!H810=$A$3,'Informe Kelly'!F810,""),0)</f>
        <v>0.63822916666666674</v>
      </c>
      <c r="J817" s="65" t="str">
        <f>IF(IFERROR(IF(E817=E816,0,(HLOOKUP(D817,Ingreso!$AN$10:$AT$260,VLOOKUP(A817,Ingreso!$AL$11:$AM$260,2,FALSE)))/24),0)=0,"",IFERROR(IF(E817=E816,0,(HLOOKUP(D817,Ingreso!$AN$10:$AT$260,VLOOKUP(A817,Ingreso!$AL$11:$AM$260,2,FALSE)))/24),0))</f>
        <v/>
      </c>
      <c r="K817" s="65" t="str">
        <f>IF(IFERROR(IF(E817=E816,0,(HLOOKUP(C817,Ingreso!$AW$10:$BC$260,VLOOKUP(A817,Ingreso!$AL$11:$AM$260,2,FALSE)))/24),0)=0,"",IFERROR(IF(E817=E816,0,(HLOOKUP(C817,Ingreso!$AW$10:$BC$260,VLOOKUP(A817,Ingreso!$AL$11:$AM$260,2,FALSE)))/24),0))</f>
        <v/>
      </c>
      <c r="L817" s="63" t="str">
        <f t="shared" si="24"/>
        <v/>
      </c>
      <c r="M817" s="63" t="str">
        <f>IF(IFERROR(IF(C817=C815,0,IF(E817=E816,0,IF(C817=$R$2,HLOOKUP($R$2,Ingreso!$AW$10:$BC$260,VLOOKUP(A817,Ingreso!AL:AM,2,FALSE),FALSE)/24,""))),"")=0,"",IFERROR(IF(C817=C815,0,IF(E817=E816,0,IF(C817=$R$2,HLOOKUP($R$2,Ingreso!$AW$10:$BC$260,VLOOKUP(A817,Ingreso!AL:AM,2,FALSE),FALSE)/24,""))),""))</f>
        <v/>
      </c>
      <c r="N817" s="95" t="str">
        <f>IF(IFERROR(IF(C817=C815,0,IF(E817=E816,0,IF(C817=$R$3,HLOOKUP($R$3,Ingreso!$AW$10:$BC$260,VLOOKUP(A817,Ingreso!AL:AM,2,FALSE),FALSE)/24,""))),"")=0,"",IFERROR(IF(C817=C815,0,IF(E817=E816,0,IF(C817=$R$3,HLOOKUP($R$3,Ingreso!$AW$10:$BC$260,VLOOKUP(A817,Ingreso!AL:AM,2,FALSE),FALSE)/24,""))),""))</f>
        <v/>
      </c>
      <c r="O817" s="95" t="str">
        <f>IF(IFERROR(IF(C817=C815,0,IF(E817=E816,0,IF(C817=$R$4,HLOOKUP($R$4,Ingreso!$AW$10:$BC$260,VLOOKUP(A817,Ingreso!AL:AM,2,FALSE),FALSE)/24,""))),"")=0,"",IFERROR(IF(C817=C815,0,IF(E817=E816,0,IF(C817=$R$4,HLOOKUP($R$4,Ingreso!$AW$10:$BC$260,VLOOKUP(A817,Ingreso!AL:AM,2,FALSE),FALSE)/24,""))),""))</f>
        <v/>
      </c>
      <c r="P817" s="90"/>
      <c r="V817"/>
      <c r="W817"/>
      <c r="X817"/>
      <c r="Y817"/>
      <c r="Z817"/>
      <c r="AA817"/>
      <c r="AB817"/>
      <c r="AC817"/>
      <c r="AD817"/>
    </row>
    <row r="818" spans="1:30">
      <c r="A818" s="65" t="str">
        <f>IFERROR(VLOOKUP('Informe Kelly'!A811,Base!A:B,2,FALSE),"")</f>
        <v>15.102.640-0</v>
      </c>
      <c r="B818" s="65" t="str">
        <f>IFERROR(VLOOKUP('Informe Kelly'!A811,Base!A:G,7,FALSE),"")</f>
        <v>MARDONES ROJAS LUIS ARTURO</v>
      </c>
      <c r="C818" s="69" t="str">
        <f>IF(G818=$C$4,IF('Informe Kelly'!H811='Control informe Kelly'!$A$2,TEXT(((LEFT('Informe Kelly'!E811,2)*1)+1),"dd")&amp;"."&amp;MID('Informe Kelly'!E811,4,2)&amp;"."&amp;RIGHT('Informe Kelly'!E811,4),'Informe Kelly'!E811),'Informe Kelly'!E811)</f>
        <v>11.04.2011</v>
      </c>
      <c r="D818" s="69" t="str">
        <f>IF('Informe Kelly'!E811="","",'Informe Kelly'!E811)</f>
        <v>11.04.2011</v>
      </c>
      <c r="E818" s="72">
        <f t="shared" si="25"/>
        <v>415</v>
      </c>
      <c r="F818" s="72" t="str">
        <f>IFERROR(HLOOKUP(C818,Ingreso!$Q$8:$AD$9,2,FALSE),"v")</f>
        <v>Lunes</v>
      </c>
      <c r="G818" s="65" t="str">
        <f>IFERROR(VLOOKUP(A818,Ingreso!K:P,6,FALSE),"no esta ingresado")</f>
        <v>no esta ingresado</v>
      </c>
      <c r="H818" s="65">
        <f>IFERROR(IF('Informe Kelly'!H811=$A$2,'Informe Kelly'!F811,""),0)</f>
        <v>0.29646990740740742</v>
      </c>
      <c r="I818" s="65" t="str">
        <f>IFERROR(IF('Informe Kelly'!H811=$A$3,'Informe Kelly'!F811,""),0)</f>
        <v/>
      </c>
      <c r="J818" s="65" t="str">
        <f>IF(IFERROR(IF(E818=E817,0,(HLOOKUP(D818,Ingreso!$AN$10:$AT$260,VLOOKUP(A818,Ingreso!$AL$11:$AM$260,2,FALSE)))/24),0)=0,"",IFERROR(IF(E818=E817,0,(HLOOKUP(D818,Ingreso!$AN$10:$AT$260,VLOOKUP(A818,Ingreso!$AL$11:$AM$260,2,FALSE)))/24),0))</f>
        <v/>
      </c>
      <c r="K818" s="65" t="str">
        <f>IF(IFERROR(IF(E818=E817,0,(HLOOKUP(C818,Ingreso!$AW$10:$BC$260,VLOOKUP(A818,Ingreso!$AL$11:$AM$260,2,FALSE)))/24),0)=0,"",IFERROR(IF(E818=E817,0,(HLOOKUP(C818,Ingreso!$AW$10:$BC$260,VLOOKUP(A818,Ingreso!$AL$11:$AM$260,2,FALSE)))/24),0))</f>
        <v/>
      </c>
      <c r="L818" s="63">
        <f t="shared" si="24"/>
        <v>0</v>
      </c>
      <c r="M818" s="63" t="str">
        <f>IF(IFERROR(IF(C818=C816,0,IF(E818=E817,0,IF(C818=$R$2,HLOOKUP($R$2,Ingreso!$AW$10:$BC$260,VLOOKUP(A818,Ingreso!AL:AM,2,FALSE),FALSE)/24,""))),"")=0,"",IFERROR(IF(C818=C816,0,IF(E818=E817,0,IF(C818=$R$2,HLOOKUP($R$2,Ingreso!$AW$10:$BC$260,VLOOKUP(A818,Ingreso!AL:AM,2,FALSE),FALSE)/24,""))),""))</f>
        <v/>
      </c>
      <c r="N818" s="95" t="str">
        <f>IF(IFERROR(IF(C818=C816,0,IF(E818=E817,0,IF(C818=$R$3,HLOOKUP($R$3,Ingreso!$AW$10:$BC$260,VLOOKUP(A818,Ingreso!AL:AM,2,FALSE),FALSE)/24,""))),"")=0,"",IFERROR(IF(C818=C816,0,IF(E818=E817,0,IF(C818=$R$3,HLOOKUP($R$3,Ingreso!$AW$10:$BC$260,VLOOKUP(A818,Ingreso!AL:AM,2,FALSE),FALSE)/24,""))),""))</f>
        <v/>
      </c>
      <c r="O818" s="95" t="str">
        <f>IF(IFERROR(IF(C818=C816,0,IF(E818=E817,0,IF(C818=$R$4,HLOOKUP($R$4,Ingreso!$AW$10:$BC$260,VLOOKUP(A818,Ingreso!AL:AM,2,FALSE),FALSE)/24,""))),"")=0,"",IFERROR(IF(C818=C816,0,IF(E818=E817,0,IF(C818=$R$4,HLOOKUP($R$4,Ingreso!$AW$10:$BC$260,VLOOKUP(A818,Ingreso!AL:AM,2,FALSE),FALSE)/24,""))),""))</f>
        <v/>
      </c>
      <c r="P818" s="90"/>
      <c r="V818"/>
      <c r="W818"/>
      <c r="X818"/>
      <c r="Y818"/>
      <c r="Z818"/>
      <c r="AA818"/>
      <c r="AB818"/>
      <c r="AC818"/>
      <c r="AD818"/>
    </row>
    <row r="819" spans="1:30">
      <c r="A819" s="65" t="str">
        <f>IFERROR(VLOOKUP('Informe Kelly'!A812,Base!A:B,2,FALSE),"")</f>
        <v>15.102.640-0</v>
      </c>
      <c r="B819" s="65" t="str">
        <f>IFERROR(VLOOKUP('Informe Kelly'!A812,Base!A:G,7,FALSE),"")</f>
        <v>MARDONES ROJAS LUIS ARTURO</v>
      </c>
      <c r="C819" s="69" t="str">
        <f>IF(G819=$C$4,IF('Informe Kelly'!H812='Control informe Kelly'!$A$2,TEXT(((LEFT('Informe Kelly'!E812,2)*1)+1),"dd")&amp;"."&amp;MID('Informe Kelly'!E812,4,2)&amp;"."&amp;RIGHT('Informe Kelly'!E812,4),'Informe Kelly'!E812),'Informe Kelly'!E812)</f>
        <v>12.04.2011</v>
      </c>
      <c r="D819" s="69" t="str">
        <f>IF('Informe Kelly'!E812="","",'Informe Kelly'!E812)</f>
        <v>12.04.2011</v>
      </c>
      <c r="E819" s="72">
        <f t="shared" si="25"/>
        <v>416</v>
      </c>
      <c r="F819" s="72" t="str">
        <f>IFERROR(HLOOKUP(C819,Ingreso!$Q$8:$AD$9,2,FALSE),"v")</f>
        <v>Martes</v>
      </c>
      <c r="G819" s="65" t="str">
        <f>IFERROR(VLOOKUP(A819,Ingreso!K:P,6,FALSE),"no esta ingresado")</f>
        <v>no esta ingresado</v>
      </c>
      <c r="H819" s="65" t="str">
        <f>IFERROR(IF('Informe Kelly'!H812=$A$2,'Informe Kelly'!F812,""),0)</f>
        <v/>
      </c>
      <c r="I819" s="65">
        <f>IFERROR(IF('Informe Kelly'!H812=$A$3,'Informe Kelly'!F812,""),0)</f>
        <v>0.63597222222222227</v>
      </c>
      <c r="J819" s="65" t="str">
        <f>IF(IFERROR(IF(E819=E818,0,(HLOOKUP(D819,Ingreso!$AN$10:$AT$260,VLOOKUP(A819,Ingreso!$AL$11:$AM$260,2,FALSE)))/24),0)=0,"",IFERROR(IF(E819=E818,0,(HLOOKUP(D819,Ingreso!$AN$10:$AT$260,VLOOKUP(A819,Ingreso!$AL$11:$AM$260,2,FALSE)))/24),0))</f>
        <v/>
      </c>
      <c r="K819" s="65" t="str">
        <f>IF(IFERROR(IF(E819=E818,0,(HLOOKUP(C819,Ingreso!$AW$10:$BC$260,VLOOKUP(A819,Ingreso!$AL$11:$AM$260,2,FALSE)))/24),0)=0,"",IFERROR(IF(E819=E818,0,(HLOOKUP(C819,Ingreso!$AW$10:$BC$260,VLOOKUP(A819,Ingreso!$AL$11:$AM$260,2,FALSE)))/24),0))</f>
        <v/>
      </c>
      <c r="L819" s="63" t="str">
        <f t="shared" si="24"/>
        <v/>
      </c>
      <c r="M819" s="63" t="str">
        <f>IF(IFERROR(IF(C819=C817,0,IF(E819=E818,0,IF(C819=$R$2,HLOOKUP($R$2,Ingreso!$AW$10:$BC$260,VLOOKUP(A819,Ingreso!AL:AM,2,FALSE),FALSE)/24,""))),"")=0,"",IFERROR(IF(C819=C817,0,IF(E819=E818,0,IF(C819=$R$2,HLOOKUP($R$2,Ingreso!$AW$10:$BC$260,VLOOKUP(A819,Ingreso!AL:AM,2,FALSE),FALSE)/24,""))),""))</f>
        <v/>
      </c>
      <c r="N819" s="95" t="str">
        <f>IF(IFERROR(IF(C819=C817,0,IF(E819=E818,0,IF(C819=$R$3,HLOOKUP($R$3,Ingreso!$AW$10:$BC$260,VLOOKUP(A819,Ingreso!AL:AM,2,FALSE),FALSE)/24,""))),"")=0,"",IFERROR(IF(C819=C817,0,IF(E819=E818,0,IF(C819=$R$3,HLOOKUP($R$3,Ingreso!$AW$10:$BC$260,VLOOKUP(A819,Ingreso!AL:AM,2,FALSE),FALSE)/24,""))),""))</f>
        <v/>
      </c>
      <c r="O819" s="95" t="str">
        <f>IF(IFERROR(IF(C819=C817,0,IF(E819=E818,0,IF(C819=$R$4,HLOOKUP($R$4,Ingreso!$AW$10:$BC$260,VLOOKUP(A819,Ingreso!AL:AM,2,FALSE),FALSE)/24,""))),"")=0,"",IFERROR(IF(C819=C817,0,IF(E819=E818,0,IF(C819=$R$4,HLOOKUP($R$4,Ingreso!$AW$10:$BC$260,VLOOKUP(A819,Ingreso!AL:AM,2,FALSE),FALSE)/24,""))),""))</f>
        <v/>
      </c>
      <c r="P819" s="90"/>
      <c r="V819"/>
      <c r="W819"/>
      <c r="X819"/>
      <c r="Y819"/>
      <c r="Z819"/>
      <c r="AA819"/>
      <c r="AB819"/>
      <c r="AC819"/>
      <c r="AD819"/>
    </row>
    <row r="820" spans="1:30">
      <c r="A820" s="65" t="str">
        <f>IFERROR(VLOOKUP('Informe Kelly'!A813,Base!A:B,2,FALSE),"")</f>
        <v>15.102.640-0</v>
      </c>
      <c r="B820" s="65" t="str">
        <f>IFERROR(VLOOKUP('Informe Kelly'!A813,Base!A:G,7,FALSE),"")</f>
        <v>MARDONES ROJAS LUIS ARTURO</v>
      </c>
      <c r="C820" s="69" t="str">
        <f>IF(G820=$C$4,IF('Informe Kelly'!H813='Control informe Kelly'!$A$2,TEXT(((LEFT('Informe Kelly'!E813,2)*1)+1),"dd")&amp;"."&amp;MID('Informe Kelly'!E813,4,2)&amp;"."&amp;RIGHT('Informe Kelly'!E813,4),'Informe Kelly'!E813),'Informe Kelly'!E813)</f>
        <v>12.04.2011</v>
      </c>
      <c r="D820" s="69" t="str">
        <f>IF('Informe Kelly'!E813="","",'Informe Kelly'!E813)</f>
        <v>12.04.2011</v>
      </c>
      <c r="E820" s="72">
        <f t="shared" si="25"/>
        <v>416</v>
      </c>
      <c r="F820" s="72" t="str">
        <f>IFERROR(HLOOKUP(C820,Ingreso!$Q$8:$AD$9,2,FALSE),"v")</f>
        <v>Martes</v>
      </c>
      <c r="G820" s="65" t="str">
        <f>IFERROR(VLOOKUP(A820,Ingreso!K:P,6,FALSE),"no esta ingresado")</f>
        <v>no esta ingresado</v>
      </c>
      <c r="H820" s="65">
        <f>IFERROR(IF('Informe Kelly'!H813=$A$2,'Informe Kelly'!F813,""),0)</f>
        <v>0.29685185185185187</v>
      </c>
      <c r="I820" s="65" t="str">
        <f>IFERROR(IF('Informe Kelly'!H813=$A$3,'Informe Kelly'!F813,""),0)</f>
        <v/>
      </c>
      <c r="J820" s="65" t="str">
        <f>IF(IFERROR(IF(E820=E819,0,(HLOOKUP(D820,Ingreso!$AN$10:$AT$260,VLOOKUP(A820,Ingreso!$AL$11:$AM$260,2,FALSE)))/24),0)=0,"",IFERROR(IF(E820=E819,0,(HLOOKUP(D820,Ingreso!$AN$10:$AT$260,VLOOKUP(A820,Ingreso!$AL$11:$AM$260,2,FALSE)))/24),0))</f>
        <v/>
      </c>
      <c r="K820" s="65" t="str">
        <f>IF(IFERROR(IF(E820=E819,0,(HLOOKUP(C820,Ingreso!$AW$10:$BC$260,VLOOKUP(A820,Ingreso!$AL$11:$AM$260,2,FALSE)))/24),0)=0,"",IFERROR(IF(E820=E819,0,(HLOOKUP(C820,Ingreso!$AW$10:$BC$260,VLOOKUP(A820,Ingreso!$AL$11:$AM$260,2,FALSE)))/24),0))</f>
        <v/>
      </c>
      <c r="L820" s="63">
        <f t="shared" si="24"/>
        <v>0</v>
      </c>
      <c r="M820" s="63" t="str">
        <f>IF(IFERROR(IF(C820=C818,0,IF(E820=E819,0,IF(C820=$R$2,HLOOKUP($R$2,Ingreso!$AW$10:$BC$260,VLOOKUP(A820,Ingreso!AL:AM,2,FALSE),FALSE)/24,""))),"")=0,"",IFERROR(IF(C820=C818,0,IF(E820=E819,0,IF(C820=$R$2,HLOOKUP($R$2,Ingreso!$AW$10:$BC$260,VLOOKUP(A820,Ingreso!AL:AM,2,FALSE),FALSE)/24,""))),""))</f>
        <v/>
      </c>
      <c r="N820" s="95" t="str">
        <f>IF(IFERROR(IF(C820=C818,0,IF(E820=E819,0,IF(C820=$R$3,HLOOKUP($R$3,Ingreso!$AW$10:$BC$260,VLOOKUP(A820,Ingreso!AL:AM,2,FALSE),FALSE)/24,""))),"")=0,"",IFERROR(IF(C820=C818,0,IF(E820=E819,0,IF(C820=$R$3,HLOOKUP($R$3,Ingreso!$AW$10:$BC$260,VLOOKUP(A820,Ingreso!AL:AM,2,FALSE),FALSE)/24,""))),""))</f>
        <v/>
      </c>
      <c r="O820" s="95" t="str">
        <f>IF(IFERROR(IF(C820=C818,0,IF(E820=E819,0,IF(C820=$R$4,HLOOKUP($R$4,Ingreso!$AW$10:$BC$260,VLOOKUP(A820,Ingreso!AL:AM,2,FALSE),FALSE)/24,""))),"")=0,"",IFERROR(IF(C820=C818,0,IF(E820=E819,0,IF(C820=$R$4,HLOOKUP($R$4,Ingreso!$AW$10:$BC$260,VLOOKUP(A820,Ingreso!AL:AM,2,FALSE),FALSE)/24,""))),""))</f>
        <v/>
      </c>
      <c r="P820" s="90"/>
      <c r="V820"/>
      <c r="W820"/>
      <c r="X820"/>
      <c r="Y820"/>
      <c r="Z820"/>
      <c r="AA820"/>
      <c r="AB820"/>
      <c r="AC820"/>
      <c r="AD820"/>
    </row>
    <row r="821" spans="1:30">
      <c r="A821" s="65" t="str">
        <f>IFERROR(VLOOKUP('Informe Kelly'!A814,Base!A:B,2,FALSE),"")</f>
        <v>15.102.640-0</v>
      </c>
      <c r="B821" s="65" t="str">
        <f>IFERROR(VLOOKUP('Informe Kelly'!A814,Base!A:G,7,FALSE),"")</f>
        <v>MARDONES ROJAS LUIS ARTURO</v>
      </c>
      <c r="C821" s="69" t="str">
        <f>IF(G821=$C$4,IF('Informe Kelly'!H814='Control informe Kelly'!$A$2,TEXT(((LEFT('Informe Kelly'!E814,2)*1)+1),"dd")&amp;"."&amp;MID('Informe Kelly'!E814,4,2)&amp;"."&amp;RIGHT('Informe Kelly'!E814,4),'Informe Kelly'!E814),'Informe Kelly'!E814)</f>
        <v>13.04.2011</v>
      </c>
      <c r="D821" s="69" t="str">
        <f>IF('Informe Kelly'!E814="","",'Informe Kelly'!E814)</f>
        <v>13.04.2011</v>
      </c>
      <c r="E821" s="72">
        <f t="shared" si="25"/>
        <v>417</v>
      </c>
      <c r="F821" s="72" t="str">
        <f>IFERROR(HLOOKUP(C821,Ingreso!$Q$8:$AD$9,2,FALSE),"v")</f>
        <v>Miércoles</v>
      </c>
      <c r="G821" s="65" t="str">
        <f>IFERROR(VLOOKUP(A821,Ingreso!K:P,6,FALSE),"no esta ingresado")</f>
        <v>no esta ingresado</v>
      </c>
      <c r="H821" s="65" t="str">
        <f>IFERROR(IF('Informe Kelly'!H814=$A$2,'Informe Kelly'!F814,""),0)</f>
        <v/>
      </c>
      <c r="I821" s="65">
        <f>IFERROR(IF('Informe Kelly'!H814=$A$3,'Informe Kelly'!F814,""),0)</f>
        <v>0.94074074074074077</v>
      </c>
      <c r="J821" s="65" t="str">
        <f>IF(IFERROR(IF(E821=E820,0,(HLOOKUP(D821,Ingreso!$AN$10:$AT$260,VLOOKUP(A821,Ingreso!$AL$11:$AM$260,2,FALSE)))/24),0)=0,"",IFERROR(IF(E821=E820,0,(HLOOKUP(D821,Ingreso!$AN$10:$AT$260,VLOOKUP(A821,Ingreso!$AL$11:$AM$260,2,FALSE)))/24),0))</f>
        <v/>
      </c>
      <c r="K821" s="65" t="str">
        <f>IF(IFERROR(IF(E821=E820,0,(HLOOKUP(C821,Ingreso!$AW$10:$BC$260,VLOOKUP(A821,Ingreso!$AL$11:$AM$260,2,FALSE)))/24),0)=0,"",IFERROR(IF(E821=E820,0,(HLOOKUP(C821,Ingreso!$AW$10:$BC$260,VLOOKUP(A821,Ingreso!$AL$11:$AM$260,2,FALSE)))/24),0))</f>
        <v/>
      </c>
      <c r="L821" s="63" t="str">
        <f t="shared" si="24"/>
        <v/>
      </c>
      <c r="M821" s="63" t="str">
        <f>IF(IFERROR(IF(C821=C819,0,IF(E821=E820,0,IF(C821=$R$2,HLOOKUP($R$2,Ingreso!$AW$10:$BC$260,VLOOKUP(A821,Ingreso!AL:AM,2,FALSE),FALSE)/24,""))),"")=0,"",IFERROR(IF(C821=C819,0,IF(E821=E820,0,IF(C821=$R$2,HLOOKUP($R$2,Ingreso!$AW$10:$BC$260,VLOOKUP(A821,Ingreso!AL:AM,2,FALSE),FALSE)/24,""))),""))</f>
        <v/>
      </c>
      <c r="N821" s="95" t="str">
        <f>IF(IFERROR(IF(C821=C819,0,IF(E821=E820,0,IF(C821=$R$3,HLOOKUP($R$3,Ingreso!$AW$10:$BC$260,VLOOKUP(A821,Ingreso!AL:AM,2,FALSE),FALSE)/24,""))),"")=0,"",IFERROR(IF(C821=C819,0,IF(E821=E820,0,IF(C821=$R$3,HLOOKUP($R$3,Ingreso!$AW$10:$BC$260,VLOOKUP(A821,Ingreso!AL:AM,2,FALSE),FALSE)/24,""))),""))</f>
        <v/>
      </c>
      <c r="O821" s="95" t="str">
        <f>IF(IFERROR(IF(C821=C819,0,IF(E821=E820,0,IF(C821=$R$4,HLOOKUP($R$4,Ingreso!$AW$10:$BC$260,VLOOKUP(A821,Ingreso!AL:AM,2,FALSE),FALSE)/24,""))),"")=0,"",IFERROR(IF(C821=C819,0,IF(E821=E820,0,IF(C821=$R$4,HLOOKUP($R$4,Ingreso!$AW$10:$BC$260,VLOOKUP(A821,Ingreso!AL:AM,2,FALSE),FALSE)/24,""))),""))</f>
        <v/>
      </c>
      <c r="P821" s="90"/>
      <c r="V821"/>
      <c r="W821"/>
      <c r="X821"/>
      <c r="Y821"/>
      <c r="Z821"/>
      <c r="AA821"/>
      <c r="AB821"/>
      <c r="AC821"/>
      <c r="AD821"/>
    </row>
    <row r="822" spans="1:30">
      <c r="A822" s="65" t="str">
        <f>IFERROR(VLOOKUP('Informe Kelly'!A815,Base!A:B,2,FALSE),"")</f>
        <v>15.102.640-0</v>
      </c>
      <c r="B822" s="65" t="str">
        <f>IFERROR(VLOOKUP('Informe Kelly'!A815,Base!A:G,7,FALSE),"")</f>
        <v>MARDONES ROJAS LUIS ARTURO</v>
      </c>
      <c r="C822" s="69" t="str">
        <f>IF(G822=$C$4,IF('Informe Kelly'!H815='Control informe Kelly'!$A$2,TEXT(((LEFT('Informe Kelly'!E815,2)*1)+1),"dd")&amp;"."&amp;MID('Informe Kelly'!E815,4,2)&amp;"."&amp;RIGHT('Informe Kelly'!E815,4),'Informe Kelly'!E815),'Informe Kelly'!E815)</f>
        <v>13.04.2011</v>
      </c>
      <c r="D822" s="69" t="str">
        <f>IF('Informe Kelly'!E815="","",'Informe Kelly'!E815)</f>
        <v>13.04.2011</v>
      </c>
      <c r="E822" s="72">
        <f t="shared" si="25"/>
        <v>417</v>
      </c>
      <c r="F822" s="72" t="str">
        <f>IFERROR(HLOOKUP(C822,Ingreso!$Q$8:$AD$9,2,FALSE),"v")</f>
        <v>Miércoles</v>
      </c>
      <c r="G822" s="65" t="str">
        <f>IFERROR(VLOOKUP(A822,Ingreso!K:P,6,FALSE),"no esta ingresado")</f>
        <v>no esta ingresado</v>
      </c>
      <c r="H822" s="65">
        <f>IFERROR(IF('Informe Kelly'!H815=$A$2,'Informe Kelly'!F815,""),0)</f>
        <v>0.60865740740740748</v>
      </c>
      <c r="I822" s="65" t="str">
        <f>IFERROR(IF('Informe Kelly'!H815=$A$3,'Informe Kelly'!F815,""),0)</f>
        <v/>
      </c>
      <c r="J822" s="65" t="str">
        <f>IF(IFERROR(IF(E822=E821,0,(HLOOKUP(D822,Ingreso!$AN$10:$AT$260,VLOOKUP(A822,Ingreso!$AL$11:$AM$260,2,FALSE)))/24),0)=0,"",IFERROR(IF(E822=E821,0,(HLOOKUP(D822,Ingreso!$AN$10:$AT$260,VLOOKUP(A822,Ingreso!$AL$11:$AM$260,2,FALSE)))/24),0))</f>
        <v/>
      </c>
      <c r="K822" s="65" t="str">
        <f>IF(IFERROR(IF(E822=E821,0,(HLOOKUP(C822,Ingreso!$AW$10:$BC$260,VLOOKUP(A822,Ingreso!$AL$11:$AM$260,2,FALSE)))/24),0)=0,"",IFERROR(IF(E822=E821,0,(HLOOKUP(C822,Ingreso!$AW$10:$BC$260,VLOOKUP(A822,Ingreso!$AL$11:$AM$260,2,FALSE)))/24),0))</f>
        <v/>
      </c>
      <c r="L822" s="63">
        <f t="shared" si="24"/>
        <v>0</v>
      </c>
      <c r="M822" s="63" t="str">
        <f>IF(IFERROR(IF(C822=C820,0,IF(E822=E821,0,IF(C822=$R$2,HLOOKUP($R$2,Ingreso!$AW$10:$BC$260,VLOOKUP(A822,Ingreso!AL:AM,2,FALSE),FALSE)/24,""))),"")=0,"",IFERROR(IF(C822=C820,0,IF(E822=E821,0,IF(C822=$R$2,HLOOKUP($R$2,Ingreso!$AW$10:$BC$260,VLOOKUP(A822,Ingreso!AL:AM,2,FALSE),FALSE)/24,""))),""))</f>
        <v/>
      </c>
      <c r="N822" s="95" t="str">
        <f>IF(IFERROR(IF(C822=C820,0,IF(E822=E821,0,IF(C822=$R$3,HLOOKUP($R$3,Ingreso!$AW$10:$BC$260,VLOOKUP(A822,Ingreso!AL:AM,2,FALSE),FALSE)/24,""))),"")=0,"",IFERROR(IF(C822=C820,0,IF(E822=E821,0,IF(C822=$R$3,HLOOKUP($R$3,Ingreso!$AW$10:$BC$260,VLOOKUP(A822,Ingreso!AL:AM,2,FALSE),FALSE)/24,""))),""))</f>
        <v/>
      </c>
      <c r="O822" s="95" t="str">
        <f>IF(IFERROR(IF(C822=C820,0,IF(E822=E821,0,IF(C822=$R$4,HLOOKUP($R$4,Ingreso!$AW$10:$BC$260,VLOOKUP(A822,Ingreso!AL:AM,2,FALSE),FALSE)/24,""))),"")=0,"",IFERROR(IF(C822=C820,0,IF(E822=E821,0,IF(C822=$R$4,HLOOKUP($R$4,Ingreso!$AW$10:$BC$260,VLOOKUP(A822,Ingreso!AL:AM,2,FALSE),FALSE)/24,""))),""))</f>
        <v/>
      </c>
      <c r="P822" s="90"/>
      <c r="V822"/>
      <c r="W822"/>
      <c r="X822"/>
      <c r="Y822"/>
      <c r="Z822"/>
      <c r="AA822"/>
      <c r="AB822"/>
      <c r="AC822"/>
      <c r="AD822"/>
    </row>
    <row r="823" spans="1:30">
      <c r="A823" s="65" t="str">
        <f>IFERROR(VLOOKUP('Informe Kelly'!A816,Base!A:B,2,FALSE),"")</f>
        <v>15.102.640-0</v>
      </c>
      <c r="B823" s="65" t="str">
        <f>IFERROR(VLOOKUP('Informe Kelly'!A816,Base!A:G,7,FALSE),"")</f>
        <v>MARDONES ROJAS LUIS ARTURO</v>
      </c>
      <c r="C823" s="69" t="str">
        <f>IF(G823=$C$4,IF('Informe Kelly'!H816='Control informe Kelly'!$A$2,TEXT(((LEFT('Informe Kelly'!E816,2)*1)+1),"dd")&amp;"."&amp;MID('Informe Kelly'!E816,4,2)&amp;"."&amp;RIGHT('Informe Kelly'!E816,4),'Informe Kelly'!E816),'Informe Kelly'!E816)</f>
        <v>14.04.2011</v>
      </c>
      <c r="D823" s="69" t="str">
        <f>IF('Informe Kelly'!E816="","",'Informe Kelly'!E816)</f>
        <v>14.04.2011</v>
      </c>
      <c r="E823" s="72">
        <f t="shared" si="25"/>
        <v>418</v>
      </c>
      <c r="F823" s="72" t="str">
        <f>IFERROR(HLOOKUP(C823,Ingreso!$Q$8:$AD$9,2,FALSE),"v")</f>
        <v>Jueves</v>
      </c>
      <c r="G823" s="65" t="str">
        <f>IFERROR(VLOOKUP(A823,Ingreso!K:P,6,FALSE),"no esta ingresado")</f>
        <v>no esta ingresado</v>
      </c>
      <c r="H823" s="65" t="str">
        <f>IFERROR(IF('Informe Kelly'!H816=$A$2,'Informe Kelly'!F816,""),0)</f>
        <v/>
      </c>
      <c r="I823" s="65">
        <f>IFERROR(IF('Informe Kelly'!H816=$A$3,'Informe Kelly'!F816,""),0)</f>
        <v>0.64700231481481485</v>
      </c>
      <c r="J823" s="65" t="str">
        <f>IF(IFERROR(IF(E823=E822,0,(HLOOKUP(D823,Ingreso!$AN$10:$AT$260,VLOOKUP(A823,Ingreso!$AL$11:$AM$260,2,FALSE)))/24),0)=0,"",IFERROR(IF(E823=E822,0,(HLOOKUP(D823,Ingreso!$AN$10:$AT$260,VLOOKUP(A823,Ingreso!$AL$11:$AM$260,2,FALSE)))/24),0))</f>
        <v/>
      </c>
      <c r="K823" s="65" t="str">
        <f>IF(IFERROR(IF(E823=E822,0,(HLOOKUP(C823,Ingreso!$AW$10:$BC$260,VLOOKUP(A823,Ingreso!$AL$11:$AM$260,2,FALSE)))/24),0)=0,"",IFERROR(IF(E823=E822,0,(HLOOKUP(C823,Ingreso!$AW$10:$BC$260,VLOOKUP(A823,Ingreso!$AL$11:$AM$260,2,FALSE)))/24),0))</f>
        <v/>
      </c>
      <c r="L823" s="63" t="str">
        <f t="shared" si="24"/>
        <v/>
      </c>
      <c r="M823" s="63" t="str">
        <f>IF(IFERROR(IF(C823=C821,0,IF(E823=E822,0,IF(C823=$R$2,HLOOKUP($R$2,Ingreso!$AW$10:$BC$260,VLOOKUP(A823,Ingreso!AL:AM,2,FALSE),FALSE)/24,""))),"")=0,"",IFERROR(IF(C823=C821,0,IF(E823=E822,0,IF(C823=$R$2,HLOOKUP($R$2,Ingreso!$AW$10:$BC$260,VLOOKUP(A823,Ingreso!AL:AM,2,FALSE),FALSE)/24,""))),""))</f>
        <v/>
      </c>
      <c r="N823" s="95" t="str">
        <f>IF(IFERROR(IF(C823=C821,0,IF(E823=E822,0,IF(C823=$R$3,HLOOKUP($R$3,Ingreso!$AW$10:$BC$260,VLOOKUP(A823,Ingreso!AL:AM,2,FALSE),FALSE)/24,""))),"")=0,"",IFERROR(IF(C823=C821,0,IF(E823=E822,0,IF(C823=$R$3,HLOOKUP($R$3,Ingreso!$AW$10:$BC$260,VLOOKUP(A823,Ingreso!AL:AM,2,FALSE),FALSE)/24,""))),""))</f>
        <v/>
      </c>
      <c r="O823" s="95" t="str">
        <f>IF(IFERROR(IF(C823=C821,0,IF(E823=E822,0,IF(C823=$R$4,HLOOKUP($R$4,Ingreso!$AW$10:$BC$260,VLOOKUP(A823,Ingreso!AL:AM,2,FALSE),FALSE)/24,""))),"")=0,"",IFERROR(IF(C823=C821,0,IF(E823=E822,0,IF(C823=$R$4,HLOOKUP($R$4,Ingreso!$AW$10:$BC$260,VLOOKUP(A823,Ingreso!AL:AM,2,FALSE),FALSE)/24,""))),""))</f>
        <v/>
      </c>
      <c r="P823" s="90"/>
      <c r="V823"/>
      <c r="W823"/>
      <c r="X823"/>
      <c r="Y823"/>
      <c r="Z823"/>
      <c r="AA823"/>
      <c r="AB823"/>
      <c r="AC823"/>
      <c r="AD823"/>
    </row>
    <row r="824" spans="1:30">
      <c r="A824" s="65" t="str">
        <f>IFERROR(VLOOKUP('Informe Kelly'!A817,Base!A:B,2,FALSE),"")</f>
        <v>15.102.640-0</v>
      </c>
      <c r="B824" s="65" t="str">
        <f>IFERROR(VLOOKUP('Informe Kelly'!A817,Base!A:G,7,FALSE),"")</f>
        <v>MARDONES ROJAS LUIS ARTURO</v>
      </c>
      <c r="C824" s="69" t="str">
        <f>IF(G824=$C$4,IF('Informe Kelly'!H817='Control informe Kelly'!$A$2,TEXT(((LEFT('Informe Kelly'!E817,2)*1)+1),"dd")&amp;"."&amp;MID('Informe Kelly'!E817,4,2)&amp;"."&amp;RIGHT('Informe Kelly'!E817,4),'Informe Kelly'!E817),'Informe Kelly'!E817)</f>
        <v>14.04.2011</v>
      </c>
      <c r="D824" s="69" t="str">
        <f>IF('Informe Kelly'!E817="","",'Informe Kelly'!E817)</f>
        <v>14.04.2011</v>
      </c>
      <c r="E824" s="72">
        <f t="shared" si="25"/>
        <v>418</v>
      </c>
      <c r="F824" s="72" t="str">
        <f>IFERROR(HLOOKUP(C824,Ingreso!$Q$8:$AD$9,2,FALSE),"v")</f>
        <v>Jueves</v>
      </c>
      <c r="G824" s="65" t="str">
        <f>IFERROR(VLOOKUP(A824,Ingreso!K:P,6,FALSE),"no esta ingresado")</f>
        <v>no esta ingresado</v>
      </c>
      <c r="H824" s="65">
        <f>IFERROR(IF('Informe Kelly'!H817=$A$2,'Informe Kelly'!F817,""),0)</f>
        <v>0.30398148148148146</v>
      </c>
      <c r="I824" s="65" t="str">
        <f>IFERROR(IF('Informe Kelly'!H817=$A$3,'Informe Kelly'!F817,""),0)</f>
        <v/>
      </c>
      <c r="J824" s="65" t="str">
        <f>IF(IFERROR(IF(E824=E823,0,(HLOOKUP(D824,Ingreso!$AN$10:$AT$260,VLOOKUP(A824,Ingreso!$AL$11:$AM$260,2,FALSE)))/24),0)=0,"",IFERROR(IF(E824=E823,0,(HLOOKUP(D824,Ingreso!$AN$10:$AT$260,VLOOKUP(A824,Ingreso!$AL$11:$AM$260,2,FALSE)))/24),0))</f>
        <v/>
      </c>
      <c r="K824" s="65" t="str">
        <f>IF(IFERROR(IF(E824=E823,0,(HLOOKUP(C824,Ingreso!$AW$10:$BC$260,VLOOKUP(A824,Ingreso!$AL$11:$AM$260,2,FALSE)))/24),0)=0,"",IFERROR(IF(E824=E823,0,(HLOOKUP(C824,Ingreso!$AW$10:$BC$260,VLOOKUP(A824,Ingreso!$AL$11:$AM$260,2,FALSE)))/24),0))</f>
        <v/>
      </c>
      <c r="L824" s="63">
        <f t="shared" si="24"/>
        <v>0</v>
      </c>
      <c r="M824" s="63" t="str">
        <f>IF(IFERROR(IF(C824=C822,0,IF(E824=E823,0,IF(C824=$R$2,HLOOKUP($R$2,Ingreso!$AW$10:$BC$260,VLOOKUP(A824,Ingreso!AL:AM,2,FALSE),FALSE)/24,""))),"")=0,"",IFERROR(IF(C824=C822,0,IF(E824=E823,0,IF(C824=$R$2,HLOOKUP($R$2,Ingreso!$AW$10:$BC$260,VLOOKUP(A824,Ingreso!AL:AM,2,FALSE),FALSE)/24,""))),""))</f>
        <v/>
      </c>
      <c r="N824" s="95" t="str">
        <f>IF(IFERROR(IF(C824=C822,0,IF(E824=E823,0,IF(C824=$R$3,HLOOKUP($R$3,Ingreso!$AW$10:$BC$260,VLOOKUP(A824,Ingreso!AL:AM,2,FALSE),FALSE)/24,""))),"")=0,"",IFERROR(IF(C824=C822,0,IF(E824=E823,0,IF(C824=$R$3,HLOOKUP($R$3,Ingreso!$AW$10:$BC$260,VLOOKUP(A824,Ingreso!AL:AM,2,FALSE),FALSE)/24,""))),""))</f>
        <v/>
      </c>
      <c r="O824" s="95" t="str">
        <f>IF(IFERROR(IF(C824=C822,0,IF(E824=E823,0,IF(C824=$R$4,HLOOKUP($R$4,Ingreso!$AW$10:$BC$260,VLOOKUP(A824,Ingreso!AL:AM,2,FALSE),FALSE)/24,""))),"")=0,"",IFERROR(IF(C824=C822,0,IF(E824=E823,0,IF(C824=$R$4,HLOOKUP($R$4,Ingreso!$AW$10:$BC$260,VLOOKUP(A824,Ingreso!AL:AM,2,FALSE),FALSE)/24,""))),""))</f>
        <v/>
      </c>
      <c r="P824" s="90"/>
      <c r="V824"/>
      <c r="W824"/>
      <c r="X824"/>
      <c r="Y824"/>
      <c r="Z824"/>
      <c r="AA824"/>
      <c r="AB824"/>
      <c r="AC824"/>
      <c r="AD824"/>
    </row>
    <row r="825" spans="1:30">
      <c r="A825" s="65" t="str">
        <f>IFERROR(VLOOKUP('Informe Kelly'!A818,Base!A:B,2,FALSE),"")</f>
        <v>15.102.640-0</v>
      </c>
      <c r="B825" s="65" t="str">
        <f>IFERROR(VLOOKUP('Informe Kelly'!A818,Base!A:G,7,FALSE),"")</f>
        <v>MARDONES ROJAS LUIS ARTURO</v>
      </c>
      <c r="C825" s="69" t="str">
        <f>IF(G825=$C$4,IF('Informe Kelly'!H818='Control informe Kelly'!$A$2,TEXT(((LEFT('Informe Kelly'!E818,2)*1)+1),"dd")&amp;"."&amp;MID('Informe Kelly'!E818,4,2)&amp;"."&amp;RIGHT('Informe Kelly'!E818,4),'Informe Kelly'!E818),'Informe Kelly'!E818)</f>
        <v>15.04.2011</v>
      </c>
      <c r="D825" s="69" t="str">
        <f>IF('Informe Kelly'!E818="","",'Informe Kelly'!E818)</f>
        <v>15.04.2011</v>
      </c>
      <c r="E825" s="72">
        <f t="shared" si="25"/>
        <v>419</v>
      </c>
      <c r="F825" s="72" t="str">
        <f>IFERROR(HLOOKUP(C825,Ingreso!$Q$8:$AD$9,2,FALSE),"v")</f>
        <v>Viernes</v>
      </c>
      <c r="G825" s="65" t="str">
        <f>IFERROR(VLOOKUP(A825,Ingreso!K:P,6,FALSE),"no esta ingresado")</f>
        <v>no esta ingresado</v>
      </c>
      <c r="H825" s="65" t="str">
        <f>IFERROR(IF('Informe Kelly'!H818=$A$2,'Informe Kelly'!F818,""),0)</f>
        <v/>
      </c>
      <c r="I825" s="65">
        <f>IFERROR(IF('Informe Kelly'!H818=$A$3,'Informe Kelly'!F818,""),0)</f>
        <v>0.63795138888888892</v>
      </c>
      <c r="J825" s="65" t="str">
        <f>IF(IFERROR(IF(E825=E824,0,(HLOOKUP(D825,Ingreso!$AN$10:$AT$260,VLOOKUP(A825,Ingreso!$AL$11:$AM$260,2,FALSE)))/24),0)=0,"",IFERROR(IF(E825=E824,0,(HLOOKUP(D825,Ingreso!$AN$10:$AT$260,VLOOKUP(A825,Ingreso!$AL$11:$AM$260,2,FALSE)))/24),0))</f>
        <v/>
      </c>
      <c r="K825" s="65" t="str">
        <f>IF(IFERROR(IF(E825=E824,0,(HLOOKUP(C825,Ingreso!$AW$10:$BC$260,VLOOKUP(A825,Ingreso!$AL$11:$AM$260,2,FALSE)))/24),0)=0,"",IFERROR(IF(E825=E824,0,(HLOOKUP(C825,Ingreso!$AW$10:$BC$260,VLOOKUP(A825,Ingreso!$AL$11:$AM$260,2,FALSE)))/24),0))</f>
        <v/>
      </c>
      <c r="L825" s="63" t="str">
        <f t="shared" si="24"/>
        <v/>
      </c>
      <c r="M825" s="63" t="str">
        <f>IF(IFERROR(IF(C825=C823,0,IF(E825=E824,0,IF(C825=$R$2,HLOOKUP($R$2,Ingreso!$AW$10:$BC$260,VLOOKUP(A825,Ingreso!AL:AM,2,FALSE),FALSE)/24,""))),"")=0,"",IFERROR(IF(C825=C823,0,IF(E825=E824,0,IF(C825=$R$2,HLOOKUP($R$2,Ingreso!$AW$10:$BC$260,VLOOKUP(A825,Ingreso!AL:AM,2,FALSE),FALSE)/24,""))),""))</f>
        <v/>
      </c>
      <c r="N825" s="95" t="str">
        <f>IF(IFERROR(IF(C825=C823,0,IF(E825=E824,0,IF(C825=$R$3,HLOOKUP($R$3,Ingreso!$AW$10:$BC$260,VLOOKUP(A825,Ingreso!AL:AM,2,FALSE),FALSE)/24,""))),"")=0,"",IFERROR(IF(C825=C823,0,IF(E825=E824,0,IF(C825=$R$3,HLOOKUP($R$3,Ingreso!$AW$10:$BC$260,VLOOKUP(A825,Ingreso!AL:AM,2,FALSE),FALSE)/24,""))),""))</f>
        <v/>
      </c>
      <c r="O825" s="95" t="str">
        <f>IF(IFERROR(IF(C825=C823,0,IF(E825=E824,0,IF(C825=$R$4,HLOOKUP($R$4,Ingreso!$AW$10:$BC$260,VLOOKUP(A825,Ingreso!AL:AM,2,FALSE),FALSE)/24,""))),"")=0,"",IFERROR(IF(C825=C823,0,IF(E825=E824,0,IF(C825=$R$4,HLOOKUP($R$4,Ingreso!$AW$10:$BC$260,VLOOKUP(A825,Ingreso!AL:AM,2,FALSE),FALSE)/24,""))),""))</f>
        <v/>
      </c>
      <c r="P825" s="90"/>
      <c r="V825"/>
      <c r="W825"/>
      <c r="X825"/>
      <c r="Y825"/>
      <c r="Z825"/>
      <c r="AA825"/>
      <c r="AB825"/>
      <c r="AC825"/>
      <c r="AD825"/>
    </row>
    <row r="826" spans="1:30">
      <c r="A826" s="65" t="str">
        <f>IFERROR(VLOOKUP('Informe Kelly'!A819,Base!A:B,2,FALSE),"")</f>
        <v>15.102.640-0</v>
      </c>
      <c r="B826" s="65" t="str">
        <f>IFERROR(VLOOKUP('Informe Kelly'!A819,Base!A:G,7,FALSE),"")</f>
        <v>MARDONES ROJAS LUIS ARTURO</v>
      </c>
      <c r="C826" s="69" t="str">
        <f>IF(G826=$C$4,IF('Informe Kelly'!H819='Control informe Kelly'!$A$2,TEXT(((LEFT('Informe Kelly'!E819,2)*1)+1),"dd")&amp;"."&amp;MID('Informe Kelly'!E819,4,2)&amp;"."&amp;RIGHT('Informe Kelly'!E819,4),'Informe Kelly'!E819),'Informe Kelly'!E819)</f>
        <v>15.04.2011</v>
      </c>
      <c r="D826" s="69" t="str">
        <f>IF('Informe Kelly'!E819="","",'Informe Kelly'!E819)</f>
        <v>15.04.2011</v>
      </c>
      <c r="E826" s="72">
        <f t="shared" si="25"/>
        <v>419</v>
      </c>
      <c r="F826" s="72" t="str">
        <f>IFERROR(HLOOKUP(C826,Ingreso!$Q$8:$AD$9,2,FALSE),"v")</f>
        <v>Viernes</v>
      </c>
      <c r="G826" s="65" t="str">
        <f>IFERROR(VLOOKUP(A826,Ingreso!K:P,6,FALSE),"no esta ingresado")</f>
        <v>no esta ingresado</v>
      </c>
      <c r="H826" s="65">
        <f>IFERROR(IF('Informe Kelly'!H819=$A$2,'Informe Kelly'!F819,""),0)</f>
        <v>0.3084722222222222</v>
      </c>
      <c r="I826" s="65" t="str">
        <f>IFERROR(IF('Informe Kelly'!H819=$A$3,'Informe Kelly'!F819,""),0)</f>
        <v/>
      </c>
      <c r="J826" s="65" t="str">
        <f>IF(IFERROR(IF(E826=E825,0,(HLOOKUP(D826,Ingreso!$AN$10:$AT$260,VLOOKUP(A826,Ingreso!$AL$11:$AM$260,2,FALSE)))/24),0)=0,"",IFERROR(IF(E826=E825,0,(HLOOKUP(D826,Ingreso!$AN$10:$AT$260,VLOOKUP(A826,Ingreso!$AL$11:$AM$260,2,FALSE)))/24),0))</f>
        <v/>
      </c>
      <c r="K826" s="65" t="str">
        <f>IF(IFERROR(IF(E826=E825,0,(HLOOKUP(C826,Ingreso!$AW$10:$BC$260,VLOOKUP(A826,Ingreso!$AL$11:$AM$260,2,FALSE)))/24),0)=0,"",IFERROR(IF(E826=E825,0,(HLOOKUP(C826,Ingreso!$AW$10:$BC$260,VLOOKUP(A826,Ingreso!$AL$11:$AM$260,2,FALSE)))/24),0))</f>
        <v/>
      </c>
      <c r="L826" s="63">
        <f t="shared" si="24"/>
        <v>0</v>
      </c>
      <c r="M826" s="63" t="str">
        <f>IF(IFERROR(IF(C826=C824,0,IF(E826=E825,0,IF(C826=$R$2,HLOOKUP($R$2,Ingreso!$AW$10:$BC$260,VLOOKUP(A826,Ingreso!AL:AM,2,FALSE),FALSE)/24,""))),"")=0,"",IFERROR(IF(C826=C824,0,IF(E826=E825,0,IF(C826=$R$2,HLOOKUP($R$2,Ingreso!$AW$10:$BC$260,VLOOKUP(A826,Ingreso!AL:AM,2,FALSE),FALSE)/24,""))),""))</f>
        <v/>
      </c>
      <c r="N826" s="95" t="str">
        <f>IF(IFERROR(IF(C826=C824,0,IF(E826=E825,0,IF(C826=$R$3,HLOOKUP($R$3,Ingreso!$AW$10:$BC$260,VLOOKUP(A826,Ingreso!AL:AM,2,FALSE),FALSE)/24,""))),"")=0,"",IFERROR(IF(C826=C824,0,IF(E826=E825,0,IF(C826=$R$3,HLOOKUP($R$3,Ingreso!$AW$10:$BC$260,VLOOKUP(A826,Ingreso!AL:AM,2,FALSE),FALSE)/24,""))),""))</f>
        <v/>
      </c>
      <c r="O826" s="95" t="str">
        <f>IF(IFERROR(IF(C826=C824,0,IF(E826=E825,0,IF(C826=$R$4,HLOOKUP($R$4,Ingreso!$AW$10:$BC$260,VLOOKUP(A826,Ingreso!AL:AM,2,FALSE),FALSE)/24,""))),"")=0,"",IFERROR(IF(C826=C824,0,IF(E826=E825,0,IF(C826=$R$4,HLOOKUP($R$4,Ingreso!$AW$10:$BC$260,VLOOKUP(A826,Ingreso!AL:AM,2,FALSE),FALSE)/24,""))),""))</f>
        <v/>
      </c>
      <c r="P826" s="90"/>
      <c r="V826"/>
      <c r="W826"/>
      <c r="X826"/>
      <c r="Y826"/>
      <c r="Z826"/>
      <c r="AA826"/>
      <c r="AB826"/>
      <c r="AC826"/>
      <c r="AD826"/>
    </row>
    <row r="827" spans="1:30">
      <c r="A827" s="65" t="str">
        <f>IFERROR(VLOOKUP('Informe Kelly'!A820,Base!A:B,2,FALSE),"")</f>
        <v>15.102.640-0</v>
      </c>
      <c r="B827" s="65" t="str">
        <f>IFERROR(VLOOKUP('Informe Kelly'!A820,Base!A:G,7,FALSE),"")</f>
        <v>MARDONES ROJAS LUIS ARTURO</v>
      </c>
      <c r="C827" s="69" t="str">
        <f>IF(G827=$C$4,IF('Informe Kelly'!H820='Control informe Kelly'!$A$2,TEXT(((LEFT('Informe Kelly'!E820,2)*1)+1),"dd")&amp;"."&amp;MID('Informe Kelly'!E820,4,2)&amp;"."&amp;RIGHT('Informe Kelly'!E820,4),'Informe Kelly'!E820),'Informe Kelly'!E820)</f>
        <v>16.04.2011</v>
      </c>
      <c r="D827" s="69" t="str">
        <f>IF('Informe Kelly'!E820="","",'Informe Kelly'!E820)</f>
        <v>16.04.2011</v>
      </c>
      <c r="E827" s="72">
        <f t="shared" si="25"/>
        <v>420</v>
      </c>
      <c r="F827" s="72" t="str">
        <f>IFERROR(HLOOKUP(C827,Ingreso!$Q$8:$AD$9,2,FALSE),"v")</f>
        <v>Sábado</v>
      </c>
      <c r="G827" s="65" t="str">
        <f>IFERROR(VLOOKUP(A827,Ingreso!K:P,6,FALSE),"no esta ingresado")</f>
        <v>no esta ingresado</v>
      </c>
      <c r="H827" s="65" t="str">
        <f>IFERROR(IF('Informe Kelly'!H820=$A$2,'Informe Kelly'!F820,""),0)</f>
        <v/>
      </c>
      <c r="I827" s="65">
        <f>IFERROR(IF('Informe Kelly'!H820=$A$3,'Informe Kelly'!F820,""),0)</f>
        <v>0.62898148148148147</v>
      </c>
      <c r="J827" s="65" t="str">
        <f>IF(IFERROR(IF(E827=E826,0,(HLOOKUP(D827,Ingreso!$AN$10:$AT$260,VLOOKUP(A827,Ingreso!$AL$11:$AM$260,2,FALSE)))/24),0)=0,"",IFERROR(IF(E827=E826,0,(HLOOKUP(D827,Ingreso!$AN$10:$AT$260,VLOOKUP(A827,Ingreso!$AL$11:$AM$260,2,FALSE)))/24),0))</f>
        <v/>
      </c>
      <c r="K827" s="65" t="str">
        <f>IF(IFERROR(IF(E827=E826,0,(HLOOKUP(C827,Ingreso!$AW$10:$BC$260,VLOOKUP(A827,Ingreso!$AL$11:$AM$260,2,FALSE)))/24),0)=0,"",IFERROR(IF(E827=E826,0,(HLOOKUP(C827,Ingreso!$AW$10:$BC$260,VLOOKUP(A827,Ingreso!$AL$11:$AM$260,2,FALSE)))/24),0))</f>
        <v/>
      </c>
      <c r="L827" s="63" t="str">
        <f t="shared" si="24"/>
        <v/>
      </c>
      <c r="M827" s="63" t="str">
        <f>IF(IFERROR(IF(C827=C825,0,IF(E827=E826,0,IF(C827=$R$2,HLOOKUP($R$2,Ingreso!$AW$10:$BC$260,VLOOKUP(A827,Ingreso!AL:AM,2,FALSE),FALSE)/24,""))),"")=0,"",IFERROR(IF(C827=C825,0,IF(E827=E826,0,IF(C827=$R$2,HLOOKUP($R$2,Ingreso!$AW$10:$BC$260,VLOOKUP(A827,Ingreso!AL:AM,2,FALSE),FALSE)/24,""))),""))</f>
        <v/>
      </c>
      <c r="N827" s="95" t="str">
        <f>IF(IFERROR(IF(C827=C825,0,IF(E827=E826,0,IF(C827=$R$3,HLOOKUP($R$3,Ingreso!$AW$10:$BC$260,VLOOKUP(A827,Ingreso!AL:AM,2,FALSE),FALSE)/24,""))),"")=0,"",IFERROR(IF(C827=C825,0,IF(E827=E826,0,IF(C827=$R$3,HLOOKUP($R$3,Ingreso!$AW$10:$BC$260,VLOOKUP(A827,Ingreso!AL:AM,2,FALSE),FALSE)/24,""))),""))</f>
        <v/>
      </c>
      <c r="O827" s="95" t="str">
        <f>IF(IFERROR(IF(C827=C825,0,IF(E827=E826,0,IF(C827=$R$4,HLOOKUP($R$4,Ingreso!$AW$10:$BC$260,VLOOKUP(A827,Ingreso!AL:AM,2,FALSE),FALSE)/24,""))),"")=0,"",IFERROR(IF(C827=C825,0,IF(E827=E826,0,IF(C827=$R$4,HLOOKUP($R$4,Ingreso!$AW$10:$BC$260,VLOOKUP(A827,Ingreso!AL:AM,2,FALSE),FALSE)/24,""))),""))</f>
        <v/>
      </c>
      <c r="P827" s="90"/>
      <c r="V827"/>
      <c r="W827"/>
      <c r="X827"/>
      <c r="Y827"/>
      <c r="Z827"/>
      <c r="AA827"/>
      <c r="AB827"/>
      <c r="AC827"/>
      <c r="AD827"/>
    </row>
    <row r="828" spans="1:30">
      <c r="A828" s="65" t="str">
        <f>IFERROR(VLOOKUP('Informe Kelly'!A821,Base!A:B,2,FALSE),"")</f>
        <v>15.102.640-0</v>
      </c>
      <c r="B828" s="65" t="str">
        <f>IFERROR(VLOOKUP('Informe Kelly'!A821,Base!A:G,7,FALSE),"")</f>
        <v>MARDONES ROJAS LUIS ARTURO</v>
      </c>
      <c r="C828" s="69" t="str">
        <f>IF(G828=$C$4,IF('Informe Kelly'!H821='Control informe Kelly'!$A$2,TEXT(((LEFT('Informe Kelly'!E821,2)*1)+1),"dd")&amp;"."&amp;MID('Informe Kelly'!E821,4,2)&amp;"."&amp;RIGHT('Informe Kelly'!E821,4),'Informe Kelly'!E821),'Informe Kelly'!E821)</f>
        <v>16.04.2011</v>
      </c>
      <c r="D828" s="69" t="str">
        <f>IF('Informe Kelly'!E821="","",'Informe Kelly'!E821)</f>
        <v>16.04.2011</v>
      </c>
      <c r="E828" s="72">
        <f t="shared" si="25"/>
        <v>420</v>
      </c>
      <c r="F828" s="72" t="str">
        <f>IFERROR(HLOOKUP(C828,Ingreso!$Q$8:$AD$9,2,FALSE),"v")</f>
        <v>Sábado</v>
      </c>
      <c r="G828" s="65" t="str">
        <f>IFERROR(VLOOKUP(A828,Ingreso!K:P,6,FALSE),"no esta ingresado")</f>
        <v>no esta ingresado</v>
      </c>
      <c r="H828" s="65">
        <f>IFERROR(IF('Informe Kelly'!H821=$A$2,'Informe Kelly'!F821,""),0)</f>
        <v>0.29783564814814817</v>
      </c>
      <c r="I828" s="65" t="str">
        <f>IFERROR(IF('Informe Kelly'!H821=$A$3,'Informe Kelly'!F821,""),0)</f>
        <v/>
      </c>
      <c r="J828" s="65" t="str">
        <f>IF(IFERROR(IF(E828=E827,0,(HLOOKUP(D828,Ingreso!$AN$10:$AT$260,VLOOKUP(A828,Ingreso!$AL$11:$AM$260,2,FALSE)))/24),0)=0,"",IFERROR(IF(E828=E827,0,(HLOOKUP(D828,Ingreso!$AN$10:$AT$260,VLOOKUP(A828,Ingreso!$AL$11:$AM$260,2,FALSE)))/24),0))</f>
        <v/>
      </c>
      <c r="K828" s="65" t="str">
        <f>IF(IFERROR(IF(E828=E827,0,(HLOOKUP(C828,Ingreso!$AW$10:$BC$260,VLOOKUP(A828,Ingreso!$AL$11:$AM$260,2,FALSE)))/24),0)=0,"",IFERROR(IF(E828=E827,0,(HLOOKUP(C828,Ingreso!$AW$10:$BC$260,VLOOKUP(A828,Ingreso!$AL$11:$AM$260,2,FALSE)))/24),0))</f>
        <v/>
      </c>
      <c r="L828" s="63">
        <f t="shared" si="24"/>
        <v>0</v>
      </c>
      <c r="M828" s="63" t="str">
        <f>IF(IFERROR(IF(C828=C826,0,IF(E828=E827,0,IF(C828=$R$2,HLOOKUP($R$2,Ingreso!$AW$10:$BC$260,VLOOKUP(A828,Ingreso!AL:AM,2,FALSE),FALSE)/24,""))),"")=0,"",IFERROR(IF(C828=C826,0,IF(E828=E827,0,IF(C828=$R$2,HLOOKUP($R$2,Ingreso!$AW$10:$BC$260,VLOOKUP(A828,Ingreso!AL:AM,2,FALSE),FALSE)/24,""))),""))</f>
        <v/>
      </c>
      <c r="N828" s="95" t="str">
        <f>IF(IFERROR(IF(C828=C826,0,IF(E828=E827,0,IF(C828=$R$3,HLOOKUP($R$3,Ingreso!$AW$10:$BC$260,VLOOKUP(A828,Ingreso!AL:AM,2,FALSE),FALSE)/24,""))),"")=0,"",IFERROR(IF(C828=C826,0,IF(E828=E827,0,IF(C828=$R$3,HLOOKUP($R$3,Ingreso!$AW$10:$BC$260,VLOOKUP(A828,Ingreso!AL:AM,2,FALSE),FALSE)/24,""))),""))</f>
        <v/>
      </c>
      <c r="O828" s="95" t="str">
        <f>IF(IFERROR(IF(C828=C826,0,IF(E828=E827,0,IF(C828=$R$4,HLOOKUP($R$4,Ingreso!$AW$10:$BC$260,VLOOKUP(A828,Ingreso!AL:AM,2,FALSE),FALSE)/24,""))),"")=0,"",IFERROR(IF(C828=C826,0,IF(E828=E827,0,IF(C828=$R$4,HLOOKUP($R$4,Ingreso!$AW$10:$BC$260,VLOOKUP(A828,Ingreso!AL:AM,2,FALSE),FALSE)/24,""))),""))</f>
        <v/>
      </c>
      <c r="P828" s="90"/>
      <c r="V828"/>
      <c r="W828"/>
      <c r="X828"/>
      <c r="Y828"/>
      <c r="Z828"/>
      <c r="AA828"/>
      <c r="AB828"/>
      <c r="AC828"/>
      <c r="AD828"/>
    </row>
    <row r="829" spans="1:30">
      <c r="A829" s="65" t="str">
        <f>IFERROR(VLOOKUP('Informe Kelly'!A822,Base!A:B,2,FALSE),"")</f>
        <v>15.327.501-7</v>
      </c>
      <c r="B829" s="65" t="str">
        <f>IFERROR(VLOOKUP('Informe Kelly'!A822,Base!A:G,7,FALSE),"")</f>
        <v>VASQUEZ MONTECINO LEONARDO</v>
      </c>
      <c r="C829" s="69" t="str">
        <f>IF(G829=$C$4,IF('Informe Kelly'!H822='Control informe Kelly'!$A$2,TEXT(((LEFT('Informe Kelly'!E822,2)*1)+1),"dd")&amp;"."&amp;MID('Informe Kelly'!E822,4,2)&amp;"."&amp;RIGHT('Informe Kelly'!E822,4),'Informe Kelly'!E822),'Informe Kelly'!E822)</f>
        <v>11.04.2011</v>
      </c>
      <c r="D829" s="69" t="str">
        <f>IF('Informe Kelly'!E822="","",'Informe Kelly'!E822)</f>
        <v>11.04.2011</v>
      </c>
      <c r="E829" s="72">
        <f t="shared" si="25"/>
        <v>421</v>
      </c>
      <c r="F829" s="72" t="str">
        <f>IFERROR(HLOOKUP(C829,Ingreso!$Q$8:$AD$9,2,FALSE),"v")</f>
        <v>Lunes</v>
      </c>
      <c r="G829" s="65" t="str">
        <f>IFERROR(VLOOKUP(A829,Ingreso!K:P,6,FALSE),"no esta ingresado")</f>
        <v>no esta ingresado</v>
      </c>
      <c r="H829" s="65" t="str">
        <f>IFERROR(IF('Informe Kelly'!H822=$A$2,'Informe Kelly'!F822,""),0)</f>
        <v/>
      </c>
      <c r="I829" s="65">
        <f>IFERROR(IF('Informe Kelly'!H822=$A$3,'Informe Kelly'!F822,""),0)</f>
        <v>0.6403240740740741</v>
      </c>
      <c r="J829" s="65" t="str">
        <f>IF(IFERROR(IF(E829=E828,0,(HLOOKUP(D829,Ingreso!$AN$10:$AT$260,VLOOKUP(A829,Ingreso!$AL$11:$AM$260,2,FALSE)))/24),0)=0,"",IFERROR(IF(E829=E828,0,(HLOOKUP(D829,Ingreso!$AN$10:$AT$260,VLOOKUP(A829,Ingreso!$AL$11:$AM$260,2,FALSE)))/24),0))</f>
        <v/>
      </c>
      <c r="K829" s="65" t="str">
        <f>IF(IFERROR(IF(E829=E828,0,(HLOOKUP(C829,Ingreso!$AW$10:$BC$260,VLOOKUP(A829,Ingreso!$AL$11:$AM$260,2,FALSE)))/24),0)=0,"",IFERROR(IF(E829=E828,0,(HLOOKUP(C829,Ingreso!$AW$10:$BC$260,VLOOKUP(A829,Ingreso!$AL$11:$AM$260,2,FALSE)))/24),0))</f>
        <v/>
      </c>
      <c r="L829" s="63" t="str">
        <f t="shared" si="24"/>
        <v/>
      </c>
      <c r="M829" s="63" t="str">
        <f>IF(IFERROR(IF(C829=C827,0,IF(E829=E828,0,IF(C829=$R$2,HLOOKUP($R$2,Ingreso!$AW$10:$BC$260,VLOOKUP(A829,Ingreso!AL:AM,2,FALSE),FALSE)/24,""))),"")=0,"",IFERROR(IF(C829=C827,0,IF(E829=E828,0,IF(C829=$R$2,HLOOKUP($R$2,Ingreso!$AW$10:$BC$260,VLOOKUP(A829,Ingreso!AL:AM,2,FALSE),FALSE)/24,""))),""))</f>
        <v/>
      </c>
      <c r="N829" s="95" t="str">
        <f>IF(IFERROR(IF(C829=C827,0,IF(E829=E828,0,IF(C829=$R$3,HLOOKUP($R$3,Ingreso!$AW$10:$BC$260,VLOOKUP(A829,Ingreso!AL:AM,2,FALSE),FALSE)/24,""))),"")=0,"",IFERROR(IF(C829=C827,0,IF(E829=E828,0,IF(C829=$R$3,HLOOKUP($R$3,Ingreso!$AW$10:$BC$260,VLOOKUP(A829,Ingreso!AL:AM,2,FALSE),FALSE)/24,""))),""))</f>
        <v/>
      </c>
      <c r="O829" s="95" t="str">
        <f>IF(IFERROR(IF(C829=C827,0,IF(E829=E828,0,IF(C829=$R$4,HLOOKUP($R$4,Ingreso!$AW$10:$BC$260,VLOOKUP(A829,Ingreso!AL:AM,2,FALSE),FALSE)/24,""))),"")=0,"",IFERROR(IF(C829=C827,0,IF(E829=E828,0,IF(C829=$R$4,HLOOKUP($R$4,Ingreso!$AW$10:$BC$260,VLOOKUP(A829,Ingreso!AL:AM,2,FALSE),FALSE)/24,""))),""))</f>
        <v/>
      </c>
      <c r="P829" s="90"/>
      <c r="V829"/>
      <c r="W829"/>
      <c r="X829"/>
      <c r="Y829"/>
      <c r="Z829"/>
      <c r="AA829"/>
      <c r="AB829"/>
      <c r="AC829"/>
      <c r="AD829"/>
    </row>
    <row r="830" spans="1:30">
      <c r="A830" s="65" t="str">
        <f>IFERROR(VLOOKUP('Informe Kelly'!A823,Base!A:B,2,FALSE),"")</f>
        <v>15.327.501-7</v>
      </c>
      <c r="B830" s="65" t="str">
        <f>IFERROR(VLOOKUP('Informe Kelly'!A823,Base!A:G,7,FALSE),"")</f>
        <v>VASQUEZ MONTECINO LEONARDO</v>
      </c>
      <c r="C830" s="69" t="str">
        <f>IF(G830=$C$4,IF('Informe Kelly'!H823='Control informe Kelly'!$A$2,TEXT(((LEFT('Informe Kelly'!E823,2)*1)+1),"dd")&amp;"."&amp;MID('Informe Kelly'!E823,4,2)&amp;"."&amp;RIGHT('Informe Kelly'!E823,4),'Informe Kelly'!E823),'Informe Kelly'!E823)</f>
        <v>11.04.2011</v>
      </c>
      <c r="D830" s="69" t="str">
        <f>IF('Informe Kelly'!E823="","",'Informe Kelly'!E823)</f>
        <v>11.04.2011</v>
      </c>
      <c r="E830" s="72">
        <f t="shared" si="25"/>
        <v>421</v>
      </c>
      <c r="F830" s="72" t="str">
        <f>IFERROR(HLOOKUP(C830,Ingreso!$Q$8:$AD$9,2,FALSE),"v")</f>
        <v>Lunes</v>
      </c>
      <c r="G830" s="65" t="str">
        <f>IFERROR(VLOOKUP(A830,Ingreso!K:P,6,FALSE),"no esta ingresado")</f>
        <v>no esta ingresado</v>
      </c>
      <c r="H830" s="65">
        <f>IFERROR(IF('Informe Kelly'!H823=$A$2,'Informe Kelly'!F823,""),0)</f>
        <v>0.29548611111111112</v>
      </c>
      <c r="I830" s="65" t="str">
        <f>IFERROR(IF('Informe Kelly'!H823=$A$3,'Informe Kelly'!F823,""),0)</f>
        <v/>
      </c>
      <c r="J830" s="65" t="str">
        <f>IF(IFERROR(IF(E830=E829,0,(HLOOKUP(D830,Ingreso!$AN$10:$AT$260,VLOOKUP(A830,Ingreso!$AL$11:$AM$260,2,FALSE)))/24),0)=0,"",IFERROR(IF(E830=E829,0,(HLOOKUP(D830,Ingreso!$AN$10:$AT$260,VLOOKUP(A830,Ingreso!$AL$11:$AM$260,2,FALSE)))/24),0))</f>
        <v/>
      </c>
      <c r="K830" s="65" t="str">
        <f>IF(IFERROR(IF(E830=E829,0,(HLOOKUP(C830,Ingreso!$AW$10:$BC$260,VLOOKUP(A830,Ingreso!$AL$11:$AM$260,2,FALSE)))/24),0)=0,"",IFERROR(IF(E830=E829,0,(HLOOKUP(C830,Ingreso!$AW$10:$BC$260,VLOOKUP(A830,Ingreso!$AL$11:$AM$260,2,FALSE)))/24),0))</f>
        <v/>
      </c>
      <c r="L830" s="63">
        <f t="shared" si="24"/>
        <v>0</v>
      </c>
      <c r="M830" s="63" t="str">
        <f>IF(IFERROR(IF(C830=C828,0,IF(E830=E829,0,IF(C830=$R$2,HLOOKUP($R$2,Ingreso!$AW$10:$BC$260,VLOOKUP(A830,Ingreso!AL:AM,2,FALSE),FALSE)/24,""))),"")=0,"",IFERROR(IF(C830=C828,0,IF(E830=E829,0,IF(C830=$R$2,HLOOKUP($R$2,Ingreso!$AW$10:$BC$260,VLOOKUP(A830,Ingreso!AL:AM,2,FALSE),FALSE)/24,""))),""))</f>
        <v/>
      </c>
      <c r="N830" s="95" t="str">
        <f>IF(IFERROR(IF(C830=C828,0,IF(E830=E829,0,IF(C830=$R$3,HLOOKUP($R$3,Ingreso!$AW$10:$BC$260,VLOOKUP(A830,Ingreso!AL:AM,2,FALSE),FALSE)/24,""))),"")=0,"",IFERROR(IF(C830=C828,0,IF(E830=E829,0,IF(C830=$R$3,HLOOKUP($R$3,Ingreso!$AW$10:$BC$260,VLOOKUP(A830,Ingreso!AL:AM,2,FALSE),FALSE)/24,""))),""))</f>
        <v/>
      </c>
      <c r="O830" s="95" t="str">
        <f>IF(IFERROR(IF(C830=C828,0,IF(E830=E829,0,IF(C830=$R$4,HLOOKUP($R$4,Ingreso!$AW$10:$BC$260,VLOOKUP(A830,Ingreso!AL:AM,2,FALSE),FALSE)/24,""))),"")=0,"",IFERROR(IF(C830=C828,0,IF(E830=E829,0,IF(C830=$R$4,HLOOKUP($R$4,Ingreso!$AW$10:$BC$260,VLOOKUP(A830,Ingreso!AL:AM,2,FALSE),FALSE)/24,""))),""))</f>
        <v/>
      </c>
      <c r="P830" s="90"/>
      <c r="V830"/>
      <c r="W830"/>
      <c r="X830"/>
      <c r="Y830"/>
      <c r="Z830"/>
      <c r="AA830"/>
      <c r="AB830"/>
      <c r="AC830"/>
      <c r="AD830"/>
    </row>
    <row r="831" spans="1:30">
      <c r="A831" s="65" t="str">
        <f>IFERROR(VLOOKUP('Informe Kelly'!A824,Base!A:B,2,FALSE),"")</f>
        <v>15.327.501-7</v>
      </c>
      <c r="B831" s="65" t="str">
        <f>IFERROR(VLOOKUP('Informe Kelly'!A824,Base!A:G,7,FALSE),"")</f>
        <v>VASQUEZ MONTECINO LEONARDO</v>
      </c>
      <c r="C831" s="69" t="str">
        <f>IF(G831=$C$4,IF('Informe Kelly'!H824='Control informe Kelly'!$A$2,TEXT(((LEFT('Informe Kelly'!E824,2)*1)+1),"dd")&amp;"."&amp;MID('Informe Kelly'!E824,4,2)&amp;"."&amp;RIGHT('Informe Kelly'!E824,4),'Informe Kelly'!E824),'Informe Kelly'!E824)</f>
        <v>12.04.2011</v>
      </c>
      <c r="D831" s="69" t="str">
        <f>IF('Informe Kelly'!E824="","",'Informe Kelly'!E824)</f>
        <v>12.04.2011</v>
      </c>
      <c r="E831" s="72">
        <f t="shared" si="25"/>
        <v>422</v>
      </c>
      <c r="F831" s="72" t="str">
        <f>IFERROR(HLOOKUP(C831,Ingreso!$Q$8:$AD$9,2,FALSE),"v")</f>
        <v>Martes</v>
      </c>
      <c r="G831" s="65" t="str">
        <f>IFERROR(VLOOKUP(A831,Ingreso!K:P,6,FALSE),"no esta ingresado")</f>
        <v>no esta ingresado</v>
      </c>
      <c r="H831" s="65" t="str">
        <f>IFERROR(IF('Informe Kelly'!H824=$A$2,'Informe Kelly'!F824,""),0)</f>
        <v/>
      </c>
      <c r="I831" s="65">
        <f>IFERROR(IF('Informe Kelly'!H824=$A$3,'Informe Kelly'!F824,""),0)</f>
        <v>0.6365277777777778</v>
      </c>
      <c r="J831" s="65" t="str">
        <f>IF(IFERROR(IF(E831=E830,0,(HLOOKUP(D831,Ingreso!$AN$10:$AT$260,VLOOKUP(A831,Ingreso!$AL$11:$AM$260,2,FALSE)))/24),0)=0,"",IFERROR(IF(E831=E830,0,(HLOOKUP(D831,Ingreso!$AN$10:$AT$260,VLOOKUP(A831,Ingreso!$AL$11:$AM$260,2,FALSE)))/24),0))</f>
        <v/>
      </c>
      <c r="K831" s="65" t="str">
        <f>IF(IFERROR(IF(E831=E830,0,(HLOOKUP(C831,Ingreso!$AW$10:$BC$260,VLOOKUP(A831,Ingreso!$AL$11:$AM$260,2,FALSE)))/24),0)=0,"",IFERROR(IF(E831=E830,0,(HLOOKUP(C831,Ingreso!$AW$10:$BC$260,VLOOKUP(A831,Ingreso!$AL$11:$AM$260,2,FALSE)))/24),0))</f>
        <v/>
      </c>
      <c r="L831" s="63" t="str">
        <f t="shared" si="24"/>
        <v/>
      </c>
      <c r="M831" s="63" t="str">
        <f>IF(IFERROR(IF(C831=C829,0,IF(E831=E830,0,IF(C831=$R$2,HLOOKUP($R$2,Ingreso!$AW$10:$BC$260,VLOOKUP(A831,Ingreso!AL:AM,2,FALSE),FALSE)/24,""))),"")=0,"",IFERROR(IF(C831=C829,0,IF(E831=E830,0,IF(C831=$R$2,HLOOKUP($R$2,Ingreso!$AW$10:$BC$260,VLOOKUP(A831,Ingreso!AL:AM,2,FALSE),FALSE)/24,""))),""))</f>
        <v/>
      </c>
      <c r="N831" s="95" t="str">
        <f>IF(IFERROR(IF(C831=C829,0,IF(E831=E830,0,IF(C831=$R$3,HLOOKUP($R$3,Ingreso!$AW$10:$BC$260,VLOOKUP(A831,Ingreso!AL:AM,2,FALSE),FALSE)/24,""))),"")=0,"",IFERROR(IF(C831=C829,0,IF(E831=E830,0,IF(C831=$R$3,HLOOKUP($R$3,Ingreso!$AW$10:$BC$260,VLOOKUP(A831,Ingreso!AL:AM,2,FALSE),FALSE)/24,""))),""))</f>
        <v/>
      </c>
      <c r="O831" s="95" t="str">
        <f>IF(IFERROR(IF(C831=C829,0,IF(E831=E830,0,IF(C831=$R$4,HLOOKUP($R$4,Ingreso!$AW$10:$BC$260,VLOOKUP(A831,Ingreso!AL:AM,2,FALSE),FALSE)/24,""))),"")=0,"",IFERROR(IF(C831=C829,0,IF(E831=E830,0,IF(C831=$R$4,HLOOKUP($R$4,Ingreso!$AW$10:$BC$260,VLOOKUP(A831,Ingreso!AL:AM,2,FALSE),FALSE)/24,""))),""))</f>
        <v/>
      </c>
      <c r="P831" s="90"/>
      <c r="V831"/>
      <c r="W831"/>
      <c r="X831"/>
      <c r="Y831"/>
      <c r="Z831"/>
      <c r="AA831"/>
      <c r="AB831"/>
      <c r="AC831"/>
      <c r="AD831"/>
    </row>
    <row r="832" spans="1:30">
      <c r="A832" s="65" t="str">
        <f>IFERROR(VLOOKUP('Informe Kelly'!A825,Base!A:B,2,FALSE),"")</f>
        <v>15.327.501-7</v>
      </c>
      <c r="B832" s="65" t="str">
        <f>IFERROR(VLOOKUP('Informe Kelly'!A825,Base!A:G,7,FALSE),"")</f>
        <v>VASQUEZ MONTECINO LEONARDO</v>
      </c>
      <c r="C832" s="69" t="str">
        <f>IF(G832=$C$4,IF('Informe Kelly'!H825='Control informe Kelly'!$A$2,TEXT(((LEFT('Informe Kelly'!E825,2)*1)+1),"dd")&amp;"."&amp;MID('Informe Kelly'!E825,4,2)&amp;"."&amp;RIGHT('Informe Kelly'!E825,4),'Informe Kelly'!E825),'Informe Kelly'!E825)</f>
        <v>12.04.2011</v>
      </c>
      <c r="D832" s="69" t="str">
        <f>IF('Informe Kelly'!E825="","",'Informe Kelly'!E825)</f>
        <v>12.04.2011</v>
      </c>
      <c r="E832" s="72">
        <f t="shared" si="25"/>
        <v>422</v>
      </c>
      <c r="F832" s="72" t="str">
        <f>IFERROR(HLOOKUP(C832,Ingreso!$Q$8:$AD$9,2,FALSE),"v")</f>
        <v>Martes</v>
      </c>
      <c r="G832" s="65" t="str">
        <f>IFERROR(VLOOKUP(A832,Ingreso!K:P,6,FALSE),"no esta ingresado")</f>
        <v>no esta ingresado</v>
      </c>
      <c r="H832" s="65">
        <f>IFERROR(IF('Informe Kelly'!H825=$A$2,'Informe Kelly'!F825,""),0)</f>
        <v>0.2949074074074074</v>
      </c>
      <c r="I832" s="65" t="str">
        <f>IFERROR(IF('Informe Kelly'!H825=$A$3,'Informe Kelly'!F825,""),0)</f>
        <v/>
      </c>
      <c r="J832" s="65" t="str">
        <f>IF(IFERROR(IF(E832=E831,0,(HLOOKUP(D832,Ingreso!$AN$10:$AT$260,VLOOKUP(A832,Ingreso!$AL$11:$AM$260,2,FALSE)))/24),0)=0,"",IFERROR(IF(E832=E831,0,(HLOOKUP(D832,Ingreso!$AN$10:$AT$260,VLOOKUP(A832,Ingreso!$AL$11:$AM$260,2,FALSE)))/24),0))</f>
        <v/>
      </c>
      <c r="K832" s="65" t="str">
        <f>IF(IFERROR(IF(E832=E831,0,(HLOOKUP(C832,Ingreso!$AW$10:$BC$260,VLOOKUP(A832,Ingreso!$AL$11:$AM$260,2,FALSE)))/24),0)=0,"",IFERROR(IF(E832=E831,0,(HLOOKUP(C832,Ingreso!$AW$10:$BC$260,VLOOKUP(A832,Ingreso!$AL$11:$AM$260,2,FALSE)))/24),0))</f>
        <v/>
      </c>
      <c r="L832" s="63">
        <f t="shared" si="24"/>
        <v>0</v>
      </c>
      <c r="M832" s="63" t="str">
        <f>IF(IFERROR(IF(C832=C830,0,IF(E832=E831,0,IF(C832=$R$2,HLOOKUP($R$2,Ingreso!$AW$10:$BC$260,VLOOKUP(A832,Ingreso!AL:AM,2,FALSE),FALSE)/24,""))),"")=0,"",IFERROR(IF(C832=C830,0,IF(E832=E831,0,IF(C832=$R$2,HLOOKUP($R$2,Ingreso!$AW$10:$BC$260,VLOOKUP(A832,Ingreso!AL:AM,2,FALSE),FALSE)/24,""))),""))</f>
        <v/>
      </c>
      <c r="N832" s="95" t="str">
        <f>IF(IFERROR(IF(C832=C830,0,IF(E832=E831,0,IF(C832=$R$3,HLOOKUP($R$3,Ingreso!$AW$10:$BC$260,VLOOKUP(A832,Ingreso!AL:AM,2,FALSE),FALSE)/24,""))),"")=0,"",IFERROR(IF(C832=C830,0,IF(E832=E831,0,IF(C832=$R$3,HLOOKUP($R$3,Ingreso!$AW$10:$BC$260,VLOOKUP(A832,Ingreso!AL:AM,2,FALSE),FALSE)/24,""))),""))</f>
        <v/>
      </c>
      <c r="O832" s="95" t="str">
        <f>IF(IFERROR(IF(C832=C830,0,IF(E832=E831,0,IF(C832=$R$4,HLOOKUP($R$4,Ingreso!$AW$10:$BC$260,VLOOKUP(A832,Ingreso!AL:AM,2,FALSE),FALSE)/24,""))),"")=0,"",IFERROR(IF(C832=C830,0,IF(E832=E831,0,IF(C832=$R$4,HLOOKUP($R$4,Ingreso!$AW$10:$BC$260,VLOOKUP(A832,Ingreso!AL:AM,2,FALSE),FALSE)/24,""))),""))</f>
        <v/>
      </c>
      <c r="P832" s="90"/>
      <c r="V832"/>
      <c r="W832"/>
      <c r="X832"/>
      <c r="Y832"/>
      <c r="Z832"/>
      <c r="AA832"/>
      <c r="AB832"/>
      <c r="AC832"/>
      <c r="AD832"/>
    </row>
    <row r="833" spans="1:30">
      <c r="A833" s="65" t="str">
        <f>IFERROR(VLOOKUP('Informe Kelly'!A826,Base!A:B,2,FALSE),"")</f>
        <v>15.327.501-7</v>
      </c>
      <c r="B833" s="65" t="str">
        <f>IFERROR(VLOOKUP('Informe Kelly'!A826,Base!A:G,7,FALSE),"")</f>
        <v>VASQUEZ MONTECINO LEONARDO</v>
      </c>
      <c r="C833" s="69" t="str">
        <f>IF(G833=$C$4,IF('Informe Kelly'!H826='Control informe Kelly'!$A$2,TEXT(((LEFT('Informe Kelly'!E826,2)*1)+1),"dd")&amp;"."&amp;MID('Informe Kelly'!E826,4,2)&amp;"."&amp;RIGHT('Informe Kelly'!E826,4),'Informe Kelly'!E826),'Informe Kelly'!E826)</f>
        <v>13.04.2011</v>
      </c>
      <c r="D833" s="69" t="str">
        <f>IF('Informe Kelly'!E826="","",'Informe Kelly'!E826)</f>
        <v>13.04.2011</v>
      </c>
      <c r="E833" s="72">
        <f t="shared" si="25"/>
        <v>423</v>
      </c>
      <c r="F833" s="72" t="str">
        <f>IFERROR(HLOOKUP(C833,Ingreso!$Q$8:$AD$9,2,FALSE),"v")</f>
        <v>Miércoles</v>
      </c>
      <c r="G833" s="65" t="str">
        <f>IFERROR(VLOOKUP(A833,Ingreso!K:P,6,FALSE),"no esta ingresado")</f>
        <v>no esta ingresado</v>
      </c>
      <c r="H833" s="65" t="str">
        <f>IFERROR(IF('Informe Kelly'!H826=$A$2,'Informe Kelly'!F826,""),0)</f>
        <v/>
      </c>
      <c r="I833" s="65">
        <f>IFERROR(IF('Informe Kelly'!H826=$A$3,'Informe Kelly'!F826,""),0)</f>
        <v>0.63638888888888889</v>
      </c>
      <c r="J833" s="65" t="str">
        <f>IF(IFERROR(IF(E833=E832,0,(HLOOKUP(D833,Ingreso!$AN$10:$AT$260,VLOOKUP(A833,Ingreso!$AL$11:$AM$260,2,FALSE)))/24),0)=0,"",IFERROR(IF(E833=E832,0,(HLOOKUP(D833,Ingreso!$AN$10:$AT$260,VLOOKUP(A833,Ingreso!$AL$11:$AM$260,2,FALSE)))/24),0))</f>
        <v/>
      </c>
      <c r="K833" s="65" t="str">
        <f>IF(IFERROR(IF(E833=E832,0,(HLOOKUP(C833,Ingreso!$AW$10:$BC$260,VLOOKUP(A833,Ingreso!$AL$11:$AM$260,2,FALSE)))/24),0)=0,"",IFERROR(IF(E833=E832,0,(HLOOKUP(C833,Ingreso!$AW$10:$BC$260,VLOOKUP(A833,Ingreso!$AL$11:$AM$260,2,FALSE)))/24),0))</f>
        <v/>
      </c>
      <c r="L833" s="63" t="str">
        <f t="shared" si="24"/>
        <v/>
      </c>
      <c r="M833" s="63" t="str">
        <f>IF(IFERROR(IF(C833=C831,0,IF(E833=E832,0,IF(C833=$R$2,HLOOKUP($R$2,Ingreso!$AW$10:$BC$260,VLOOKUP(A833,Ingreso!AL:AM,2,FALSE),FALSE)/24,""))),"")=0,"",IFERROR(IF(C833=C831,0,IF(E833=E832,0,IF(C833=$R$2,HLOOKUP($R$2,Ingreso!$AW$10:$BC$260,VLOOKUP(A833,Ingreso!AL:AM,2,FALSE),FALSE)/24,""))),""))</f>
        <v/>
      </c>
      <c r="N833" s="95" t="str">
        <f>IF(IFERROR(IF(C833=C831,0,IF(E833=E832,0,IF(C833=$R$3,HLOOKUP($R$3,Ingreso!$AW$10:$BC$260,VLOOKUP(A833,Ingreso!AL:AM,2,FALSE),FALSE)/24,""))),"")=0,"",IFERROR(IF(C833=C831,0,IF(E833=E832,0,IF(C833=$R$3,HLOOKUP($R$3,Ingreso!$AW$10:$BC$260,VLOOKUP(A833,Ingreso!AL:AM,2,FALSE),FALSE)/24,""))),""))</f>
        <v/>
      </c>
      <c r="O833" s="95" t="str">
        <f>IF(IFERROR(IF(C833=C831,0,IF(E833=E832,0,IF(C833=$R$4,HLOOKUP($R$4,Ingreso!$AW$10:$BC$260,VLOOKUP(A833,Ingreso!AL:AM,2,FALSE),FALSE)/24,""))),"")=0,"",IFERROR(IF(C833=C831,0,IF(E833=E832,0,IF(C833=$R$4,HLOOKUP($R$4,Ingreso!$AW$10:$BC$260,VLOOKUP(A833,Ingreso!AL:AM,2,FALSE),FALSE)/24,""))),""))</f>
        <v/>
      </c>
      <c r="P833" s="90"/>
      <c r="V833"/>
      <c r="W833"/>
      <c r="X833"/>
      <c r="Y833"/>
      <c r="Z833"/>
      <c r="AA833"/>
      <c r="AB833"/>
      <c r="AC833"/>
      <c r="AD833"/>
    </row>
    <row r="834" spans="1:30">
      <c r="A834" s="65" t="str">
        <f>IFERROR(VLOOKUP('Informe Kelly'!A827,Base!A:B,2,FALSE),"")</f>
        <v>15.327.501-7</v>
      </c>
      <c r="B834" s="65" t="str">
        <f>IFERROR(VLOOKUP('Informe Kelly'!A827,Base!A:G,7,FALSE),"")</f>
        <v>VASQUEZ MONTECINO LEONARDO</v>
      </c>
      <c r="C834" s="69" t="str">
        <f>IF(G834=$C$4,IF('Informe Kelly'!H827='Control informe Kelly'!$A$2,TEXT(((LEFT('Informe Kelly'!E827,2)*1)+1),"dd")&amp;"."&amp;MID('Informe Kelly'!E827,4,2)&amp;"."&amp;RIGHT('Informe Kelly'!E827,4),'Informe Kelly'!E827),'Informe Kelly'!E827)</f>
        <v>13.04.2011</v>
      </c>
      <c r="D834" s="69" t="str">
        <f>IF('Informe Kelly'!E827="","",'Informe Kelly'!E827)</f>
        <v>13.04.2011</v>
      </c>
      <c r="E834" s="72">
        <f t="shared" si="25"/>
        <v>423</v>
      </c>
      <c r="F834" s="72" t="str">
        <f>IFERROR(HLOOKUP(C834,Ingreso!$Q$8:$AD$9,2,FALSE),"v")</f>
        <v>Miércoles</v>
      </c>
      <c r="G834" s="65" t="str">
        <f>IFERROR(VLOOKUP(A834,Ingreso!K:P,6,FALSE),"no esta ingresado")</f>
        <v>no esta ingresado</v>
      </c>
      <c r="H834" s="65">
        <f>IFERROR(IF('Informe Kelly'!H827=$A$2,'Informe Kelly'!F827,""),0)</f>
        <v>0.29488425925925926</v>
      </c>
      <c r="I834" s="65" t="str">
        <f>IFERROR(IF('Informe Kelly'!H827=$A$3,'Informe Kelly'!F827,""),0)</f>
        <v/>
      </c>
      <c r="J834" s="65" t="str">
        <f>IF(IFERROR(IF(E834=E833,0,(HLOOKUP(D834,Ingreso!$AN$10:$AT$260,VLOOKUP(A834,Ingreso!$AL$11:$AM$260,2,FALSE)))/24),0)=0,"",IFERROR(IF(E834=E833,0,(HLOOKUP(D834,Ingreso!$AN$10:$AT$260,VLOOKUP(A834,Ingreso!$AL$11:$AM$260,2,FALSE)))/24),0))</f>
        <v/>
      </c>
      <c r="K834" s="65" t="str">
        <f>IF(IFERROR(IF(E834=E833,0,(HLOOKUP(C834,Ingreso!$AW$10:$BC$260,VLOOKUP(A834,Ingreso!$AL$11:$AM$260,2,FALSE)))/24),0)=0,"",IFERROR(IF(E834=E833,0,(HLOOKUP(C834,Ingreso!$AW$10:$BC$260,VLOOKUP(A834,Ingreso!$AL$11:$AM$260,2,FALSE)))/24),0))</f>
        <v/>
      </c>
      <c r="L834" s="63">
        <f t="shared" si="24"/>
        <v>0</v>
      </c>
      <c r="M834" s="63" t="str">
        <f>IF(IFERROR(IF(C834=C832,0,IF(E834=E833,0,IF(C834=$R$2,HLOOKUP($R$2,Ingreso!$AW$10:$BC$260,VLOOKUP(A834,Ingreso!AL:AM,2,FALSE),FALSE)/24,""))),"")=0,"",IFERROR(IF(C834=C832,0,IF(E834=E833,0,IF(C834=$R$2,HLOOKUP($R$2,Ingreso!$AW$10:$BC$260,VLOOKUP(A834,Ingreso!AL:AM,2,FALSE),FALSE)/24,""))),""))</f>
        <v/>
      </c>
      <c r="N834" s="95" t="str">
        <f>IF(IFERROR(IF(C834=C832,0,IF(E834=E833,0,IF(C834=$R$3,HLOOKUP($R$3,Ingreso!$AW$10:$BC$260,VLOOKUP(A834,Ingreso!AL:AM,2,FALSE),FALSE)/24,""))),"")=0,"",IFERROR(IF(C834=C832,0,IF(E834=E833,0,IF(C834=$R$3,HLOOKUP($R$3,Ingreso!$AW$10:$BC$260,VLOOKUP(A834,Ingreso!AL:AM,2,FALSE),FALSE)/24,""))),""))</f>
        <v/>
      </c>
      <c r="O834" s="95" t="str">
        <f>IF(IFERROR(IF(C834=C832,0,IF(E834=E833,0,IF(C834=$R$4,HLOOKUP($R$4,Ingreso!$AW$10:$BC$260,VLOOKUP(A834,Ingreso!AL:AM,2,FALSE),FALSE)/24,""))),"")=0,"",IFERROR(IF(C834=C832,0,IF(E834=E833,0,IF(C834=$R$4,HLOOKUP($R$4,Ingreso!$AW$10:$BC$260,VLOOKUP(A834,Ingreso!AL:AM,2,FALSE),FALSE)/24,""))),""))</f>
        <v/>
      </c>
      <c r="P834" s="90"/>
      <c r="V834"/>
      <c r="W834"/>
      <c r="X834"/>
      <c r="Y834"/>
      <c r="Z834"/>
      <c r="AA834"/>
      <c r="AB834"/>
      <c r="AC834"/>
      <c r="AD834"/>
    </row>
    <row r="835" spans="1:30">
      <c r="A835" s="65" t="str">
        <f>IFERROR(VLOOKUP('Informe Kelly'!A828,Base!A:B,2,FALSE),"")</f>
        <v>15.327.501-7</v>
      </c>
      <c r="B835" s="65" t="str">
        <f>IFERROR(VLOOKUP('Informe Kelly'!A828,Base!A:G,7,FALSE),"")</f>
        <v>VASQUEZ MONTECINO LEONARDO</v>
      </c>
      <c r="C835" s="69" t="str">
        <f>IF(G835=$C$4,IF('Informe Kelly'!H828='Control informe Kelly'!$A$2,TEXT(((LEFT('Informe Kelly'!E828,2)*1)+1),"dd")&amp;"."&amp;MID('Informe Kelly'!E828,4,2)&amp;"."&amp;RIGHT('Informe Kelly'!E828,4),'Informe Kelly'!E828),'Informe Kelly'!E828)</f>
        <v>14.04.2011</v>
      </c>
      <c r="D835" s="69" t="str">
        <f>IF('Informe Kelly'!E828="","",'Informe Kelly'!E828)</f>
        <v>14.04.2011</v>
      </c>
      <c r="E835" s="72">
        <f t="shared" si="25"/>
        <v>424</v>
      </c>
      <c r="F835" s="72" t="str">
        <f>IFERROR(HLOOKUP(C835,Ingreso!$Q$8:$AD$9,2,FALSE),"v")</f>
        <v>Jueves</v>
      </c>
      <c r="G835" s="65" t="str">
        <f>IFERROR(VLOOKUP(A835,Ingreso!K:P,6,FALSE),"no esta ingresado")</f>
        <v>no esta ingresado</v>
      </c>
      <c r="H835" s="65" t="str">
        <f>IFERROR(IF('Informe Kelly'!H828=$A$2,'Informe Kelly'!F828,""),0)</f>
        <v/>
      </c>
      <c r="I835" s="65">
        <f>IFERROR(IF('Informe Kelly'!H828=$A$3,'Informe Kelly'!F828,""),0)</f>
        <v>0.63791666666666669</v>
      </c>
      <c r="J835" s="65" t="str">
        <f>IF(IFERROR(IF(E835=E834,0,(HLOOKUP(D835,Ingreso!$AN$10:$AT$260,VLOOKUP(A835,Ingreso!$AL$11:$AM$260,2,FALSE)))/24),0)=0,"",IFERROR(IF(E835=E834,0,(HLOOKUP(D835,Ingreso!$AN$10:$AT$260,VLOOKUP(A835,Ingreso!$AL$11:$AM$260,2,FALSE)))/24),0))</f>
        <v/>
      </c>
      <c r="K835" s="65" t="str">
        <f>IF(IFERROR(IF(E835=E834,0,(HLOOKUP(C835,Ingreso!$AW$10:$BC$260,VLOOKUP(A835,Ingreso!$AL$11:$AM$260,2,FALSE)))/24),0)=0,"",IFERROR(IF(E835=E834,0,(HLOOKUP(C835,Ingreso!$AW$10:$BC$260,VLOOKUP(A835,Ingreso!$AL$11:$AM$260,2,FALSE)))/24),0))</f>
        <v/>
      </c>
      <c r="L835" s="63" t="str">
        <f t="shared" si="24"/>
        <v/>
      </c>
      <c r="M835" s="63" t="str">
        <f>IF(IFERROR(IF(C835=C833,0,IF(E835=E834,0,IF(C835=$R$2,HLOOKUP($R$2,Ingreso!$AW$10:$BC$260,VLOOKUP(A835,Ingreso!AL:AM,2,FALSE),FALSE)/24,""))),"")=0,"",IFERROR(IF(C835=C833,0,IF(E835=E834,0,IF(C835=$R$2,HLOOKUP($R$2,Ingreso!$AW$10:$BC$260,VLOOKUP(A835,Ingreso!AL:AM,2,FALSE),FALSE)/24,""))),""))</f>
        <v/>
      </c>
      <c r="N835" s="95" t="str">
        <f>IF(IFERROR(IF(C835=C833,0,IF(E835=E834,0,IF(C835=$R$3,HLOOKUP($R$3,Ingreso!$AW$10:$BC$260,VLOOKUP(A835,Ingreso!AL:AM,2,FALSE),FALSE)/24,""))),"")=0,"",IFERROR(IF(C835=C833,0,IF(E835=E834,0,IF(C835=$R$3,HLOOKUP($R$3,Ingreso!$AW$10:$BC$260,VLOOKUP(A835,Ingreso!AL:AM,2,FALSE),FALSE)/24,""))),""))</f>
        <v/>
      </c>
      <c r="O835" s="95" t="str">
        <f>IF(IFERROR(IF(C835=C833,0,IF(E835=E834,0,IF(C835=$R$4,HLOOKUP($R$4,Ingreso!$AW$10:$BC$260,VLOOKUP(A835,Ingreso!AL:AM,2,FALSE),FALSE)/24,""))),"")=0,"",IFERROR(IF(C835=C833,0,IF(E835=E834,0,IF(C835=$R$4,HLOOKUP($R$4,Ingreso!$AW$10:$BC$260,VLOOKUP(A835,Ingreso!AL:AM,2,FALSE),FALSE)/24,""))),""))</f>
        <v/>
      </c>
      <c r="P835" s="90"/>
      <c r="V835"/>
      <c r="W835"/>
      <c r="X835"/>
      <c r="Y835"/>
      <c r="Z835"/>
      <c r="AA835"/>
      <c r="AB835"/>
      <c r="AC835"/>
      <c r="AD835"/>
    </row>
    <row r="836" spans="1:30">
      <c r="A836" s="65" t="str">
        <f>IFERROR(VLOOKUP('Informe Kelly'!A829,Base!A:B,2,FALSE),"")</f>
        <v>15.327.501-7</v>
      </c>
      <c r="B836" s="65" t="str">
        <f>IFERROR(VLOOKUP('Informe Kelly'!A829,Base!A:G,7,FALSE),"")</f>
        <v>VASQUEZ MONTECINO LEONARDO</v>
      </c>
      <c r="C836" s="69" t="str">
        <f>IF(G836=$C$4,IF('Informe Kelly'!H829='Control informe Kelly'!$A$2,TEXT(((LEFT('Informe Kelly'!E829,2)*1)+1),"dd")&amp;"."&amp;MID('Informe Kelly'!E829,4,2)&amp;"."&amp;RIGHT('Informe Kelly'!E829,4),'Informe Kelly'!E829),'Informe Kelly'!E829)</f>
        <v>14.04.2011</v>
      </c>
      <c r="D836" s="69" t="str">
        <f>IF('Informe Kelly'!E829="","",'Informe Kelly'!E829)</f>
        <v>14.04.2011</v>
      </c>
      <c r="E836" s="72">
        <f t="shared" si="25"/>
        <v>424</v>
      </c>
      <c r="F836" s="72" t="str">
        <f>IFERROR(HLOOKUP(C836,Ingreso!$Q$8:$AD$9,2,FALSE),"v")</f>
        <v>Jueves</v>
      </c>
      <c r="G836" s="65" t="str">
        <f>IFERROR(VLOOKUP(A836,Ingreso!K:P,6,FALSE),"no esta ingresado")</f>
        <v>no esta ingresado</v>
      </c>
      <c r="H836" s="65">
        <f>IFERROR(IF('Informe Kelly'!H829=$A$2,'Informe Kelly'!F829,""),0)</f>
        <v>0.29390046296296296</v>
      </c>
      <c r="I836" s="65" t="str">
        <f>IFERROR(IF('Informe Kelly'!H829=$A$3,'Informe Kelly'!F829,""),0)</f>
        <v/>
      </c>
      <c r="J836" s="65" t="str">
        <f>IF(IFERROR(IF(E836=E835,0,(HLOOKUP(D836,Ingreso!$AN$10:$AT$260,VLOOKUP(A836,Ingreso!$AL$11:$AM$260,2,FALSE)))/24),0)=0,"",IFERROR(IF(E836=E835,0,(HLOOKUP(D836,Ingreso!$AN$10:$AT$260,VLOOKUP(A836,Ingreso!$AL$11:$AM$260,2,FALSE)))/24),0))</f>
        <v/>
      </c>
      <c r="K836" s="65" t="str">
        <f>IF(IFERROR(IF(E836=E835,0,(HLOOKUP(C836,Ingreso!$AW$10:$BC$260,VLOOKUP(A836,Ingreso!$AL$11:$AM$260,2,FALSE)))/24),0)=0,"",IFERROR(IF(E836=E835,0,(HLOOKUP(C836,Ingreso!$AW$10:$BC$260,VLOOKUP(A836,Ingreso!$AL$11:$AM$260,2,FALSE)))/24),0))</f>
        <v/>
      </c>
      <c r="L836" s="63">
        <f t="shared" si="24"/>
        <v>0</v>
      </c>
      <c r="M836" s="63" t="str">
        <f>IF(IFERROR(IF(C836=C834,0,IF(E836=E835,0,IF(C836=$R$2,HLOOKUP($R$2,Ingreso!$AW$10:$BC$260,VLOOKUP(A836,Ingreso!AL:AM,2,FALSE),FALSE)/24,""))),"")=0,"",IFERROR(IF(C836=C834,0,IF(E836=E835,0,IF(C836=$R$2,HLOOKUP($R$2,Ingreso!$AW$10:$BC$260,VLOOKUP(A836,Ingreso!AL:AM,2,FALSE),FALSE)/24,""))),""))</f>
        <v/>
      </c>
      <c r="N836" s="95" t="str">
        <f>IF(IFERROR(IF(C836=C834,0,IF(E836=E835,0,IF(C836=$R$3,HLOOKUP($R$3,Ingreso!$AW$10:$BC$260,VLOOKUP(A836,Ingreso!AL:AM,2,FALSE),FALSE)/24,""))),"")=0,"",IFERROR(IF(C836=C834,0,IF(E836=E835,0,IF(C836=$R$3,HLOOKUP($R$3,Ingreso!$AW$10:$BC$260,VLOOKUP(A836,Ingreso!AL:AM,2,FALSE),FALSE)/24,""))),""))</f>
        <v/>
      </c>
      <c r="O836" s="95" t="str">
        <f>IF(IFERROR(IF(C836=C834,0,IF(E836=E835,0,IF(C836=$R$4,HLOOKUP($R$4,Ingreso!$AW$10:$BC$260,VLOOKUP(A836,Ingreso!AL:AM,2,FALSE),FALSE)/24,""))),"")=0,"",IFERROR(IF(C836=C834,0,IF(E836=E835,0,IF(C836=$R$4,HLOOKUP($R$4,Ingreso!$AW$10:$BC$260,VLOOKUP(A836,Ingreso!AL:AM,2,FALSE),FALSE)/24,""))),""))</f>
        <v/>
      </c>
      <c r="P836" s="90"/>
      <c r="V836"/>
      <c r="W836"/>
      <c r="X836"/>
      <c r="Y836"/>
      <c r="Z836"/>
      <c r="AA836"/>
      <c r="AB836"/>
      <c r="AC836"/>
      <c r="AD836"/>
    </row>
    <row r="837" spans="1:30">
      <c r="A837" s="65" t="str">
        <f>IFERROR(VLOOKUP('Informe Kelly'!A830,Base!A:B,2,FALSE),"")</f>
        <v>15.327.501-7</v>
      </c>
      <c r="B837" s="65" t="str">
        <f>IFERROR(VLOOKUP('Informe Kelly'!A830,Base!A:G,7,FALSE),"")</f>
        <v>VASQUEZ MONTECINO LEONARDO</v>
      </c>
      <c r="C837" s="69" t="str">
        <f>IF(G837=$C$4,IF('Informe Kelly'!H830='Control informe Kelly'!$A$2,TEXT(((LEFT('Informe Kelly'!E830,2)*1)+1),"dd")&amp;"."&amp;MID('Informe Kelly'!E830,4,2)&amp;"."&amp;RIGHT('Informe Kelly'!E830,4),'Informe Kelly'!E830),'Informe Kelly'!E830)</f>
        <v>15.04.2011</v>
      </c>
      <c r="D837" s="69" t="str">
        <f>IF('Informe Kelly'!E830="","",'Informe Kelly'!E830)</f>
        <v>15.04.2011</v>
      </c>
      <c r="E837" s="72">
        <f t="shared" si="25"/>
        <v>425</v>
      </c>
      <c r="F837" s="72" t="str">
        <f>IFERROR(HLOOKUP(C837,Ingreso!$Q$8:$AD$9,2,FALSE),"v")</f>
        <v>Viernes</v>
      </c>
      <c r="G837" s="65" t="str">
        <f>IFERROR(VLOOKUP(A837,Ingreso!K:P,6,FALSE),"no esta ingresado")</f>
        <v>no esta ingresado</v>
      </c>
      <c r="H837" s="65" t="str">
        <f>IFERROR(IF('Informe Kelly'!H830=$A$2,'Informe Kelly'!F830,""),0)</f>
        <v/>
      </c>
      <c r="I837" s="65">
        <f>IFERROR(IF('Informe Kelly'!H830=$A$3,'Informe Kelly'!F830,""),0)</f>
        <v>0.64309027777777772</v>
      </c>
      <c r="J837" s="65" t="str">
        <f>IF(IFERROR(IF(E837=E836,0,(HLOOKUP(D837,Ingreso!$AN$10:$AT$260,VLOOKUP(A837,Ingreso!$AL$11:$AM$260,2,FALSE)))/24),0)=0,"",IFERROR(IF(E837=E836,0,(HLOOKUP(D837,Ingreso!$AN$10:$AT$260,VLOOKUP(A837,Ingreso!$AL$11:$AM$260,2,FALSE)))/24),0))</f>
        <v/>
      </c>
      <c r="K837" s="65" t="str">
        <f>IF(IFERROR(IF(E837=E836,0,(HLOOKUP(C837,Ingreso!$AW$10:$BC$260,VLOOKUP(A837,Ingreso!$AL$11:$AM$260,2,FALSE)))/24),0)=0,"",IFERROR(IF(E837=E836,0,(HLOOKUP(C837,Ingreso!$AW$10:$BC$260,VLOOKUP(A837,Ingreso!$AL$11:$AM$260,2,FALSE)))/24),0))</f>
        <v/>
      </c>
      <c r="L837" s="63" t="str">
        <f t="shared" si="24"/>
        <v/>
      </c>
      <c r="M837" s="63" t="str">
        <f>IF(IFERROR(IF(C837=C835,0,IF(E837=E836,0,IF(C837=$R$2,HLOOKUP($R$2,Ingreso!$AW$10:$BC$260,VLOOKUP(A837,Ingreso!AL:AM,2,FALSE),FALSE)/24,""))),"")=0,"",IFERROR(IF(C837=C835,0,IF(E837=E836,0,IF(C837=$R$2,HLOOKUP($R$2,Ingreso!$AW$10:$BC$260,VLOOKUP(A837,Ingreso!AL:AM,2,FALSE),FALSE)/24,""))),""))</f>
        <v/>
      </c>
      <c r="N837" s="95" t="str">
        <f>IF(IFERROR(IF(C837=C835,0,IF(E837=E836,0,IF(C837=$R$3,HLOOKUP($R$3,Ingreso!$AW$10:$BC$260,VLOOKUP(A837,Ingreso!AL:AM,2,FALSE),FALSE)/24,""))),"")=0,"",IFERROR(IF(C837=C835,0,IF(E837=E836,0,IF(C837=$R$3,HLOOKUP($R$3,Ingreso!$AW$10:$BC$260,VLOOKUP(A837,Ingreso!AL:AM,2,FALSE),FALSE)/24,""))),""))</f>
        <v/>
      </c>
      <c r="O837" s="95" t="str">
        <f>IF(IFERROR(IF(C837=C835,0,IF(E837=E836,0,IF(C837=$R$4,HLOOKUP($R$4,Ingreso!$AW$10:$BC$260,VLOOKUP(A837,Ingreso!AL:AM,2,FALSE),FALSE)/24,""))),"")=0,"",IFERROR(IF(C837=C835,0,IF(E837=E836,0,IF(C837=$R$4,HLOOKUP($R$4,Ingreso!$AW$10:$BC$260,VLOOKUP(A837,Ingreso!AL:AM,2,FALSE),FALSE)/24,""))),""))</f>
        <v/>
      </c>
      <c r="P837" s="90"/>
      <c r="V837"/>
      <c r="W837"/>
      <c r="X837"/>
      <c r="Y837"/>
      <c r="Z837"/>
      <c r="AA837"/>
      <c r="AB837"/>
      <c r="AC837"/>
      <c r="AD837"/>
    </row>
    <row r="838" spans="1:30">
      <c r="A838" s="65" t="str">
        <f>IFERROR(VLOOKUP('Informe Kelly'!A831,Base!A:B,2,FALSE),"")</f>
        <v>15.327.501-7</v>
      </c>
      <c r="B838" s="65" t="str">
        <f>IFERROR(VLOOKUP('Informe Kelly'!A831,Base!A:G,7,FALSE),"")</f>
        <v>VASQUEZ MONTECINO LEONARDO</v>
      </c>
      <c r="C838" s="69" t="str">
        <f>IF(G838=$C$4,IF('Informe Kelly'!H831='Control informe Kelly'!$A$2,TEXT(((LEFT('Informe Kelly'!E831,2)*1)+1),"dd")&amp;"."&amp;MID('Informe Kelly'!E831,4,2)&amp;"."&amp;RIGHT('Informe Kelly'!E831,4),'Informe Kelly'!E831),'Informe Kelly'!E831)</f>
        <v>15.04.2011</v>
      </c>
      <c r="D838" s="69" t="str">
        <f>IF('Informe Kelly'!E831="","",'Informe Kelly'!E831)</f>
        <v>15.04.2011</v>
      </c>
      <c r="E838" s="72">
        <f t="shared" si="25"/>
        <v>425</v>
      </c>
      <c r="F838" s="72" t="str">
        <f>IFERROR(HLOOKUP(C838,Ingreso!$Q$8:$AD$9,2,FALSE),"v")</f>
        <v>Viernes</v>
      </c>
      <c r="G838" s="65" t="str">
        <f>IFERROR(VLOOKUP(A838,Ingreso!K:P,6,FALSE),"no esta ingresado")</f>
        <v>no esta ingresado</v>
      </c>
      <c r="H838" s="65">
        <f>IFERROR(IF('Informe Kelly'!H831=$A$2,'Informe Kelly'!F831,""),0)</f>
        <v>0.29590277777777779</v>
      </c>
      <c r="I838" s="65" t="str">
        <f>IFERROR(IF('Informe Kelly'!H831=$A$3,'Informe Kelly'!F831,""),0)</f>
        <v/>
      </c>
      <c r="J838" s="65" t="str">
        <f>IF(IFERROR(IF(E838=E837,0,(HLOOKUP(D838,Ingreso!$AN$10:$AT$260,VLOOKUP(A838,Ingreso!$AL$11:$AM$260,2,FALSE)))/24),0)=0,"",IFERROR(IF(E838=E837,0,(HLOOKUP(D838,Ingreso!$AN$10:$AT$260,VLOOKUP(A838,Ingreso!$AL$11:$AM$260,2,FALSE)))/24),0))</f>
        <v/>
      </c>
      <c r="K838" s="65" t="str">
        <f>IF(IFERROR(IF(E838=E837,0,(HLOOKUP(C838,Ingreso!$AW$10:$BC$260,VLOOKUP(A838,Ingreso!$AL$11:$AM$260,2,FALSE)))/24),0)=0,"",IFERROR(IF(E838=E837,0,(HLOOKUP(C838,Ingreso!$AW$10:$BC$260,VLOOKUP(A838,Ingreso!$AL$11:$AM$260,2,FALSE)))/24),0))</f>
        <v/>
      </c>
      <c r="L838" s="63">
        <f t="shared" si="24"/>
        <v>0</v>
      </c>
      <c r="M838" s="63" t="str">
        <f>IF(IFERROR(IF(C838=C836,0,IF(E838=E837,0,IF(C838=$R$2,HLOOKUP($R$2,Ingreso!$AW$10:$BC$260,VLOOKUP(A838,Ingreso!AL:AM,2,FALSE),FALSE)/24,""))),"")=0,"",IFERROR(IF(C838=C836,0,IF(E838=E837,0,IF(C838=$R$2,HLOOKUP($R$2,Ingreso!$AW$10:$BC$260,VLOOKUP(A838,Ingreso!AL:AM,2,FALSE),FALSE)/24,""))),""))</f>
        <v/>
      </c>
      <c r="N838" s="95" t="str">
        <f>IF(IFERROR(IF(C838=C836,0,IF(E838=E837,0,IF(C838=$R$3,HLOOKUP($R$3,Ingreso!$AW$10:$BC$260,VLOOKUP(A838,Ingreso!AL:AM,2,FALSE),FALSE)/24,""))),"")=0,"",IFERROR(IF(C838=C836,0,IF(E838=E837,0,IF(C838=$R$3,HLOOKUP($R$3,Ingreso!$AW$10:$BC$260,VLOOKUP(A838,Ingreso!AL:AM,2,FALSE),FALSE)/24,""))),""))</f>
        <v/>
      </c>
      <c r="O838" s="95" t="str">
        <f>IF(IFERROR(IF(C838=C836,0,IF(E838=E837,0,IF(C838=$R$4,HLOOKUP($R$4,Ingreso!$AW$10:$BC$260,VLOOKUP(A838,Ingreso!AL:AM,2,FALSE),FALSE)/24,""))),"")=0,"",IFERROR(IF(C838=C836,0,IF(E838=E837,0,IF(C838=$R$4,HLOOKUP($R$4,Ingreso!$AW$10:$BC$260,VLOOKUP(A838,Ingreso!AL:AM,2,FALSE),FALSE)/24,""))),""))</f>
        <v/>
      </c>
      <c r="P838" s="90"/>
      <c r="V838"/>
      <c r="W838"/>
      <c r="X838"/>
      <c r="Y838"/>
      <c r="Z838"/>
      <c r="AA838"/>
      <c r="AB838"/>
      <c r="AC838"/>
      <c r="AD838"/>
    </row>
    <row r="839" spans="1:30">
      <c r="A839" s="65" t="str">
        <f>IFERROR(VLOOKUP('Informe Kelly'!A832,Base!A:B,2,FALSE),"")</f>
        <v>15.327.501-7</v>
      </c>
      <c r="B839" s="65" t="str">
        <f>IFERROR(VLOOKUP('Informe Kelly'!A832,Base!A:G,7,FALSE),"")</f>
        <v>VASQUEZ MONTECINO LEONARDO</v>
      </c>
      <c r="C839" s="69" t="str">
        <f>IF(G839=$C$4,IF('Informe Kelly'!H832='Control informe Kelly'!$A$2,TEXT(((LEFT('Informe Kelly'!E832,2)*1)+1),"dd")&amp;"."&amp;MID('Informe Kelly'!E832,4,2)&amp;"."&amp;RIGHT('Informe Kelly'!E832,4),'Informe Kelly'!E832),'Informe Kelly'!E832)</f>
        <v>16.04.2011</v>
      </c>
      <c r="D839" s="69" t="str">
        <f>IF('Informe Kelly'!E832="","",'Informe Kelly'!E832)</f>
        <v>16.04.2011</v>
      </c>
      <c r="E839" s="72">
        <f t="shared" si="25"/>
        <v>426</v>
      </c>
      <c r="F839" s="72" t="str">
        <f>IFERROR(HLOOKUP(C839,Ingreso!$Q$8:$AD$9,2,FALSE),"v")</f>
        <v>Sábado</v>
      </c>
      <c r="G839" s="65" t="str">
        <f>IFERROR(VLOOKUP(A839,Ingreso!K:P,6,FALSE),"no esta ingresado")</f>
        <v>no esta ingresado</v>
      </c>
      <c r="H839" s="65" t="str">
        <f>IFERROR(IF('Informe Kelly'!H832=$A$2,'Informe Kelly'!F832,""),0)</f>
        <v/>
      </c>
      <c r="I839" s="65">
        <f>IFERROR(IF('Informe Kelly'!H832=$A$3,'Informe Kelly'!F832,""),0)</f>
        <v>0.63804398148148145</v>
      </c>
      <c r="J839" s="65" t="str">
        <f>IF(IFERROR(IF(E839=E838,0,(HLOOKUP(D839,Ingreso!$AN$10:$AT$260,VLOOKUP(A839,Ingreso!$AL$11:$AM$260,2,FALSE)))/24),0)=0,"",IFERROR(IF(E839=E838,0,(HLOOKUP(D839,Ingreso!$AN$10:$AT$260,VLOOKUP(A839,Ingreso!$AL$11:$AM$260,2,FALSE)))/24),0))</f>
        <v/>
      </c>
      <c r="K839" s="65" t="str">
        <f>IF(IFERROR(IF(E839=E838,0,(HLOOKUP(C839,Ingreso!$AW$10:$BC$260,VLOOKUP(A839,Ingreso!$AL$11:$AM$260,2,FALSE)))/24),0)=0,"",IFERROR(IF(E839=E838,0,(HLOOKUP(C839,Ingreso!$AW$10:$BC$260,VLOOKUP(A839,Ingreso!$AL$11:$AM$260,2,FALSE)))/24),0))</f>
        <v/>
      </c>
      <c r="L839" s="63" t="str">
        <f t="shared" si="24"/>
        <v/>
      </c>
      <c r="M839" s="63" t="str">
        <f>IF(IFERROR(IF(C839=C837,0,IF(E839=E838,0,IF(C839=$R$2,HLOOKUP($R$2,Ingreso!$AW$10:$BC$260,VLOOKUP(A839,Ingreso!AL:AM,2,FALSE),FALSE)/24,""))),"")=0,"",IFERROR(IF(C839=C837,0,IF(E839=E838,0,IF(C839=$R$2,HLOOKUP($R$2,Ingreso!$AW$10:$BC$260,VLOOKUP(A839,Ingreso!AL:AM,2,FALSE),FALSE)/24,""))),""))</f>
        <v/>
      </c>
      <c r="N839" s="95" t="str">
        <f>IF(IFERROR(IF(C839=C837,0,IF(E839=E838,0,IF(C839=$R$3,HLOOKUP($R$3,Ingreso!$AW$10:$BC$260,VLOOKUP(A839,Ingreso!AL:AM,2,FALSE),FALSE)/24,""))),"")=0,"",IFERROR(IF(C839=C837,0,IF(E839=E838,0,IF(C839=$R$3,HLOOKUP($R$3,Ingreso!$AW$10:$BC$260,VLOOKUP(A839,Ingreso!AL:AM,2,FALSE),FALSE)/24,""))),""))</f>
        <v/>
      </c>
      <c r="O839" s="95" t="str">
        <f>IF(IFERROR(IF(C839=C837,0,IF(E839=E838,0,IF(C839=$R$4,HLOOKUP($R$4,Ingreso!$AW$10:$BC$260,VLOOKUP(A839,Ingreso!AL:AM,2,FALSE),FALSE)/24,""))),"")=0,"",IFERROR(IF(C839=C837,0,IF(E839=E838,0,IF(C839=$R$4,HLOOKUP($R$4,Ingreso!$AW$10:$BC$260,VLOOKUP(A839,Ingreso!AL:AM,2,FALSE),FALSE)/24,""))),""))</f>
        <v/>
      </c>
      <c r="P839" s="90"/>
      <c r="V839"/>
      <c r="W839"/>
      <c r="X839"/>
      <c r="Y839"/>
      <c r="Z839"/>
      <c r="AA839"/>
      <c r="AB839"/>
      <c r="AC839"/>
      <c r="AD839"/>
    </row>
    <row r="840" spans="1:30">
      <c r="A840" s="65" t="str">
        <f>IFERROR(VLOOKUP('Informe Kelly'!A833,Base!A:B,2,FALSE),"")</f>
        <v>15.327.501-7</v>
      </c>
      <c r="B840" s="65" t="str">
        <f>IFERROR(VLOOKUP('Informe Kelly'!A833,Base!A:G,7,FALSE),"")</f>
        <v>VASQUEZ MONTECINO LEONARDO</v>
      </c>
      <c r="C840" s="69" t="str">
        <f>IF(G840=$C$4,IF('Informe Kelly'!H833='Control informe Kelly'!$A$2,TEXT(((LEFT('Informe Kelly'!E833,2)*1)+1),"dd")&amp;"."&amp;MID('Informe Kelly'!E833,4,2)&amp;"."&amp;RIGHT('Informe Kelly'!E833,4),'Informe Kelly'!E833),'Informe Kelly'!E833)</f>
        <v>16.04.2011</v>
      </c>
      <c r="D840" s="69" t="str">
        <f>IF('Informe Kelly'!E833="","",'Informe Kelly'!E833)</f>
        <v>16.04.2011</v>
      </c>
      <c r="E840" s="72">
        <f t="shared" si="25"/>
        <v>426</v>
      </c>
      <c r="F840" s="72" t="str">
        <f>IFERROR(HLOOKUP(C840,Ingreso!$Q$8:$AD$9,2,FALSE),"v")</f>
        <v>Sábado</v>
      </c>
      <c r="G840" s="65" t="str">
        <f>IFERROR(VLOOKUP(A840,Ingreso!K:P,6,FALSE),"no esta ingresado")</f>
        <v>no esta ingresado</v>
      </c>
      <c r="H840" s="65">
        <f>IFERROR(IF('Informe Kelly'!H833=$A$2,'Informe Kelly'!F833,""),0)</f>
        <v>0.29414351851851855</v>
      </c>
      <c r="I840" s="65" t="str">
        <f>IFERROR(IF('Informe Kelly'!H833=$A$3,'Informe Kelly'!F833,""),0)</f>
        <v/>
      </c>
      <c r="J840" s="65" t="str">
        <f>IF(IFERROR(IF(E840=E839,0,(HLOOKUP(D840,Ingreso!$AN$10:$AT$260,VLOOKUP(A840,Ingreso!$AL$11:$AM$260,2,FALSE)))/24),0)=0,"",IFERROR(IF(E840=E839,0,(HLOOKUP(D840,Ingreso!$AN$10:$AT$260,VLOOKUP(A840,Ingreso!$AL$11:$AM$260,2,FALSE)))/24),0))</f>
        <v/>
      </c>
      <c r="K840" s="65" t="str">
        <f>IF(IFERROR(IF(E840=E839,0,(HLOOKUP(C840,Ingreso!$AW$10:$BC$260,VLOOKUP(A840,Ingreso!$AL$11:$AM$260,2,FALSE)))/24),0)=0,"",IFERROR(IF(E840=E839,0,(HLOOKUP(C840,Ingreso!$AW$10:$BC$260,VLOOKUP(A840,Ingreso!$AL$11:$AM$260,2,FALSE)))/24),0))</f>
        <v/>
      </c>
      <c r="L840" s="63">
        <f t="shared" si="24"/>
        <v>0</v>
      </c>
      <c r="M840" s="63" t="str">
        <f>IF(IFERROR(IF(C840=C838,0,IF(E840=E839,0,IF(C840=$R$2,HLOOKUP($R$2,Ingreso!$AW$10:$BC$260,VLOOKUP(A840,Ingreso!AL:AM,2,FALSE),FALSE)/24,""))),"")=0,"",IFERROR(IF(C840=C838,0,IF(E840=E839,0,IF(C840=$R$2,HLOOKUP($R$2,Ingreso!$AW$10:$BC$260,VLOOKUP(A840,Ingreso!AL:AM,2,FALSE),FALSE)/24,""))),""))</f>
        <v/>
      </c>
      <c r="N840" s="95" t="str">
        <f>IF(IFERROR(IF(C840=C838,0,IF(E840=E839,0,IF(C840=$R$3,HLOOKUP($R$3,Ingreso!$AW$10:$BC$260,VLOOKUP(A840,Ingreso!AL:AM,2,FALSE),FALSE)/24,""))),"")=0,"",IFERROR(IF(C840=C838,0,IF(E840=E839,0,IF(C840=$R$3,HLOOKUP($R$3,Ingreso!$AW$10:$BC$260,VLOOKUP(A840,Ingreso!AL:AM,2,FALSE),FALSE)/24,""))),""))</f>
        <v/>
      </c>
      <c r="O840" s="95" t="str">
        <f>IF(IFERROR(IF(C840=C838,0,IF(E840=E839,0,IF(C840=$R$4,HLOOKUP($R$4,Ingreso!$AW$10:$BC$260,VLOOKUP(A840,Ingreso!AL:AM,2,FALSE),FALSE)/24,""))),"")=0,"",IFERROR(IF(C840=C838,0,IF(E840=E839,0,IF(C840=$R$4,HLOOKUP($R$4,Ingreso!$AW$10:$BC$260,VLOOKUP(A840,Ingreso!AL:AM,2,FALSE),FALSE)/24,""))),""))</f>
        <v/>
      </c>
      <c r="P840" s="90"/>
      <c r="V840"/>
      <c r="W840"/>
      <c r="X840"/>
      <c r="Y840"/>
      <c r="Z840"/>
      <c r="AA840"/>
      <c r="AB840"/>
      <c r="AC840"/>
      <c r="AD840"/>
    </row>
    <row r="841" spans="1:30">
      <c r="A841" s="65" t="str">
        <f>IFERROR(VLOOKUP('Informe Kelly'!A834,Base!A:B,2,FALSE),"")</f>
        <v>15.437.429-9</v>
      </c>
      <c r="B841" s="65" t="str">
        <f>IFERROR(VLOOKUP('Informe Kelly'!A834,Base!A:G,7,FALSE),"")</f>
        <v>NADEAU JOFRE JULIO</v>
      </c>
      <c r="C841" s="69" t="str">
        <f>IF(G841=$C$4,IF('Informe Kelly'!H834='Control informe Kelly'!$A$2,TEXT(((LEFT('Informe Kelly'!E834,2)*1)+1),"dd")&amp;"."&amp;MID('Informe Kelly'!E834,4,2)&amp;"."&amp;RIGHT('Informe Kelly'!E834,4),'Informe Kelly'!E834),'Informe Kelly'!E834)</f>
        <v>11.04.2011</v>
      </c>
      <c r="D841" s="69" t="str">
        <f>IF('Informe Kelly'!E834="","",'Informe Kelly'!E834)</f>
        <v>11.04.2011</v>
      </c>
      <c r="E841" s="72">
        <f t="shared" si="25"/>
        <v>427</v>
      </c>
      <c r="F841" s="72" t="str">
        <f>IFERROR(HLOOKUP(C841,Ingreso!$Q$8:$AD$9,2,FALSE),"v")</f>
        <v>Lunes</v>
      </c>
      <c r="G841" s="65" t="str">
        <f>IFERROR(VLOOKUP(A841,Ingreso!K:P,6,FALSE),"no esta ingresado")</f>
        <v>Admin</v>
      </c>
      <c r="H841" s="65" t="str">
        <f>IFERROR(IF('Informe Kelly'!H834=$A$2,'Informe Kelly'!F834,""),0)</f>
        <v/>
      </c>
      <c r="I841" s="65">
        <f>IFERROR(IF('Informe Kelly'!H834=$A$3,'Informe Kelly'!F834,""),0)</f>
        <v>0.73265046296296299</v>
      </c>
      <c r="J841" s="65" t="str">
        <f>IF(IFERROR(IF(E841=E840,0,(HLOOKUP(D841,Ingreso!$AN$10:$AT$260,VLOOKUP(A841,Ingreso!$AL$11:$AM$260,2,FALSE)))/24),0)=0,"",IFERROR(IF(E841=E840,0,(HLOOKUP(D841,Ingreso!$AN$10:$AT$260,VLOOKUP(A841,Ingreso!$AL$11:$AM$260,2,FALSE)))/24),0))</f>
        <v/>
      </c>
      <c r="K841" s="65" t="str">
        <f>IF(IFERROR(IF(E841=E840,0,(HLOOKUP(C841,Ingreso!$AW$10:$BC$260,VLOOKUP(A841,Ingreso!$AL$11:$AM$260,2,FALSE)))/24),0)=0,"",IFERROR(IF(E841=E840,0,(HLOOKUP(C841,Ingreso!$AW$10:$BC$260,VLOOKUP(A841,Ingreso!$AL$11:$AM$260,2,FALSE)))/24),0))</f>
        <v/>
      </c>
      <c r="L841" s="63">
        <f t="shared" ref="L841:L904" si="26">IFERROR(IF(C841=C839,0,IF(E841=E840,0,(VLOOKUP(G841,$C$2:$D$5,2,FALSE)))),"")</f>
        <v>0.41666666666666669</v>
      </c>
      <c r="M841" s="63" t="str">
        <f>IF(IFERROR(IF(C841=C839,0,IF(E841=E840,0,IF(C841=$R$2,HLOOKUP($R$2,Ingreso!$AW$10:$BC$260,VLOOKUP(A841,Ingreso!AL:AM,2,FALSE),FALSE)/24,""))),"")=0,"",IFERROR(IF(C841=C839,0,IF(E841=E840,0,IF(C841=$R$2,HLOOKUP($R$2,Ingreso!$AW$10:$BC$260,VLOOKUP(A841,Ingreso!AL:AM,2,FALSE),FALSE)/24,""))),""))</f>
        <v/>
      </c>
      <c r="N841" s="95" t="str">
        <f>IF(IFERROR(IF(C841=C839,0,IF(E841=E840,0,IF(C841=$R$3,HLOOKUP($R$3,Ingreso!$AW$10:$BC$260,VLOOKUP(A841,Ingreso!AL:AM,2,FALSE),FALSE)/24,""))),"")=0,"",IFERROR(IF(C841=C839,0,IF(E841=E840,0,IF(C841=$R$3,HLOOKUP($R$3,Ingreso!$AW$10:$BC$260,VLOOKUP(A841,Ingreso!AL:AM,2,FALSE),FALSE)/24,""))),""))</f>
        <v/>
      </c>
      <c r="O841" s="95" t="str">
        <f>IF(IFERROR(IF(C841=C839,0,IF(E841=E840,0,IF(C841=$R$4,HLOOKUP($R$4,Ingreso!$AW$10:$BC$260,VLOOKUP(A841,Ingreso!AL:AM,2,FALSE),FALSE)/24,""))),"")=0,"",IFERROR(IF(C841=C839,0,IF(E841=E840,0,IF(C841=$R$4,HLOOKUP($R$4,Ingreso!$AW$10:$BC$260,VLOOKUP(A841,Ingreso!AL:AM,2,FALSE),FALSE)/24,""))),""))</f>
        <v/>
      </c>
      <c r="P841" s="90"/>
      <c r="V841"/>
      <c r="W841"/>
      <c r="X841"/>
      <c r="Y841"/>
      <c r="Z841"/>
      <c r="AA841"/>
      <c r="AB841"/>
      <c r="AC841"/>
      <c r="AD841"/>
    </row>
    <row r="842" spans="1:30">
      <c r="A842" s="65" t="str">
        <f>IFERROR(VLOOKUP('Informe Kelly'!A835,Base!A:B,2,FALSE),"")</f>
        <v>15.437.429-9</v>
      </c>
      <c r="B842" s="65" t="str">
        <f>IFERROR(VLOOKUP('Informe Kelly'!A835,Base!A:G,7,FALSE),"")</f>
        <v>NADEAU JOFRE JULIO</v>
      </c>
      <c r="C842" s="69" t="str">
        <f>IF(G842=$C$4,IF('Informe Kelly'!H835='Control informe Kelly'!$A$2,TEXT(((LEFT('Informe Kelly'!E835,2)*1)+1),"dd")&amp;"."&amp;MID('Informe Kelly'!E835,4,2)&amp;"."&amp;RIGHT('Informe Kelly'!E835,4),'Informe Kelly'!E835),'Informe Kelly'!E835)</f>
        <v>11.04.2011</v>
      </c>
      <c r="D842" s="69" t="str">
        <f>IF('Informe Kelly'!E835="","",'Informe Kelly'!E835)</f>
        <v>11.04.2011</v>
      </c>
      <c r="E842" s="72">
        <f t="shared" ref="E842:E905" si="27">IF(C841=C842,IF(C842=C839,E841,IF(C842=C840,E841+1,E841)),E841+1)</f>
        <v>427</v>
      </c>
      <c r="F842" s="72" t="str">
        <f>IFERROR(HLOOKUP(C842,Ingreso!$Q$8:$AD$9,2,FALSE),"v")</f>
        <v>Lunes</v>
      </c>
      <c r="G842" s="65" t="str">
        <f>IFERROR(VLOOKUP(A842,Ingreso!K:P,6,FALSE),"no esta ingresado")</f>
        <v>Admin</v>
      </c>
      <c r="H842" s="65">
        <f>IFERROR(IF('Informe Kelly'!H835=$A$2,'Informe Kelly'!F835,""),0)</f>
        <v>0.35378472222222218</v>
      </c>
      <c r="I842" s="65" t="str">
        <f>IFERROR(IF('Informe Kelly'!H835=$A$3,'Informe Kelly'!F835,""),0)</f>
        <v/>
      </c>
      <c r="J842" s="65" t="str">
        <f>IF(IFERROR(IF(E842=E841,0,(HLOOKUP(D842,Ingreso!$AN$10:$AT$260,VLOOKUP(A842,Ingreso!$AL$11:$AM$260,2,FALSE)))/24),0)=0,"",IFERROR(IF(E842=E841,0,(HLOOKUP(D842,Ingreso!$AN$10:$AT$260,VLOOKUP(A842,Ingreso!$AL$11:$AM$260,2,FALSE)))/24),0))</f>
        <v/>
      </c>
      <c r="K842" s="65" t="str">
        <f>IF(IFERROR(IF(E842=E841,0,(HLOOKUP(C842,Ingreso!$AW$10:$BC$260,VLOOKUP(A842,Ingreso!$AL$11:$AM$260,2,FALSE)))/24),0)=0,"",IFERROR(IF(E842=E841,0,(HLOOKUP(C842,Ingreso!$AW$10:$BC$260,VLOOKUP(A842,Ingreso!$AL$11:$AM$260,2,FALSE)))/24),0))</f>
        <v/>
      </c>
      <c r="L842" s="63">
        <f t="shared" si="26"/>
        <v>0</v>
      </c>
      <c r="M842" s="63" t="str">
        <f>IF(IFERROR(IF(C842=C840,0,IF(E842=E841,0,IF(C842=$R$2,HLOOKUP($R$2,Ingreso!$AW$10:$BC$260,VLOOKUP(A842,Ingreso!AL:AM,2,FALSE),FALSE)/24,""))),"")=0,"",IFERROR(IF(C842=C840,0,IF(E842=E841,0,IF(C842=$R$2,HLOOKUP($R$2,Ingreso!$AW$10:$BC$260,VLOOKUP(A842,Ingreso!AL:AM,2,FALSE),FALSE)/24,""))),""))</f>
        <v/>
      </c>
      <c r="N842" s="95" t="str">
        <f>IF(IFERROR(IF(C842=C840,0,IF(E842=E841,0,IF(C842=$R$3,HLOOKUP($R$3,Ingreso!$AW$10:$BC$260,VLOOKUP(A842,Ingreso!AL:AM,2,FALSE),FALSE)/24,""))),"")=0,"",IFERROR(IF(C842=C840,0,IF(E842=E841,0,IF(C842=$R$3,HLOOKUP($R$3,Ingreso!$AW$10:$BC$260,VLOOKUP(A842,Ingreso!AL:AM,2,FALSE),FALSE)/24,""))),""))</f>
        <v/>
      </c>
      <c r="O842" s="95" t="str">
        <f>IF(IFERROR(IF(C842=C840,0,IF(E842=E841,0,IF(C842=$R$4,HLOOKUP($R$4,Ingreso!$AW$10:$BC$260,VLOOKUP(A842,Ingreso!AL:AM,2,FALSE),FALSE)/24,""))),"")=0,"",IFERROR(IF(C842=C840,0,IF(E842=E841,0,IF(C842=$R$4,HLOOKUP($R$4,Ingreso!$AW$10:$BC$260,VLOOKUP(A842,Ingreso!AL:AM,2,FALSE),FALSE)/24,""))),""))</f>
        <v/>
      </c>
      <c r="P842" s="90"/>
      <c r="V842"/>
      <c r="W842"/>
      <c r="X842"/>
      <c r="Y842"/>
      <c r="Z842"/>
      <c r="AA842"/>
      <c r="AB842"/>
      <c r="AC842"/>
      <c r="AD842"/>
    </row>
    <row r="843" spans="1:30">
      <c r="A843" s="65" t="str">
        <f>IFERROR(VLOOKUP('Informe Kelly'!A836,Base!A:B,2,FALSE),"")</f>
        <v>15.437.429-9</v>
      </c>
      <c r="B843" s="65" t="str">
        <f>IFERROR(VLOOKUP('Informe Kelly'!A836,Base!A:G,7,FALSE),"")</f>
        <v>NADEAU JOFRE JULIO</v>
      </c>
      <c r="C843" s="69" t="str">
        <f>IF(G843=$C$4,IF('Informe Kelly'!H836='Control informe Kelly'!$A$2,TEXT(((LEFT('Informe Kelly'!E836,2)*1)+1),"dd")&amp;"."&amp;MID('Informe Kelly'!E836,4,2)&amp;"."&amp;RIGHT('Informe Kelly'!E836,4),'Informe Kelly'!E836),'Informe Kelly'!E836)</f>
        <v>12.04.2011</v>
      </c>
      <c r="D843" s="69" t="str">
        <f>IF('Informe Kelly'!E836="","",'Informe Kelly'!E836)</f>
        <v>12.04.2011</v>
      </c>
      <c r="E843" s="72">
        <f t="shared" si="27"/>
        <v>428</v>
      </c>
      <c r="F843" s="72" t="str">
        <f>IFERROR(HLOOKUP(C843,Ingreso!$Q$8:$AD$9,2,FALSE),"v")</f>
        <v>Martes</v>
      </c>
      <c r="G843" s="65" t="str">
        <f>IFERROR(VLOOKUP(A843,Ingreso!K:P,6,FALSE),"no esta ingresado")</f>
        <v>Admin</v>
      </c>
      <c r="H843" s="65" t="str">
        <f>IFERROR(IF('Informe Kelly'!H836=$A$2,'Informe Kelly'!F836,""),0)</f>
        <v/>
      </c>
      <c r="I843" s="65">
        <f>IFERROR(IF('Informe Kelly'!H836=$A$3,'Informe Kelly'!F836,""),0)</f>
        <v>0.73062499999999997</v>
      </c>
      <c r="J843" s="65" t="str">
        <f>IF(IFERROR(IF(E843=E842,0,(HLOOKUP(D843,Ingreso!$AN$10:$AT$260,VLOOKUP(A843,Ingreso!$AL$11:$AM$260,2,FALSE)))/24),0)=0,"",IFERROR(IF(E843=E842,0,(HLOOKUP(D843,Ingreso!$AN$10:$AT$260,VLOOKUP(A843,Ingreso!$AL$11:$AM$260,2,FALSE)))/24),0))</f>
        <v/>
      </c>
      <c r="K843" s="65" t="str">
        <f>IF(IFERROR(IF(E843=E842,0,(HLOOKUP(C843,Ingreso!$AW$10:$BC$260,VLOOKUP(A843,Ingreso!$AL$11:$AM$260,2,FALSE)))/24),0)=0,"",IFERROR(IF(E843=E842,0,(HLOOKUP(C843,Ingreso!$AW$10:$BC$260,VLOOKUP(A843,Ingreso!$AL$11:$AM$260,2,FALSE)))/24),0))</f>
        <v/>
      </c>
      <c r="L843" s="63">
        <f t="shared" si="26"/>
        <v>0.41666666666666669</v>
      </c>
      <c r="M843" s="63" t="str">
        <f>IF(IFERROR(IF(C843=C841,0,IF(E843=E842,0,IF(C843=$R$2,HLOOKUP($R$2,Ingreso!$AW$10:$BC$260,VLOOKUP(A843,Ingreso!AL:AM,2,FALSE),FALSE)/24,""))),"")=0,"",IFERROR(IF(C843=C841,0,IF(E843=E842,0,IF(C843=$R$2,HLOOKUP($R$2,Ingreso!$AW$10:$BC$260,VLOOKUP(A843,Ingreso!AL:AM,2,FALSE),FALSE)/24,""))),""))</f>
        <v/>
      </c>
      <c r="N843" s="95" t="str">
        <f>IF(IFERROR(IF(C843=C841,0,IF(E843=E842,0,IF(C843=$R$3,HLOOKUP($R$3,Ingreso!$AW$10:$BC$260,VLOOKUP(A843,Ingreso!AL:AM,2,FALSE),FALSE)/24,""))),"")=0,"",IFERROR(IF(C843=C841,0,IF(E843=E842,0,IF(C843=$R$3,HLOOKUP($R$3,Ingreso!$AW$10:$BC$260,VLOOKUP(A843,Ingreso!AL:AM,2,FALSE),FALSE)/24,""))),""))</f>
        <v/>
      </c>
      <c r="O843" s="95" t="str">
        <f>IF(IFERROR(IF(C843=C841,0,IF(E843=E842,0,IF(C843=$R$4,HLOOKUP($R$4,Ingreso!$AW$10:$BC$260,VLOOKUP(A843,Ingreso!AL:AM,2,FALSE),FALSE)/24,""))),"")=0,"",IFERROR(IF(C843=C841,0,IF(E843=E842,0,IF(C843=$R$4,HLOOKUP($R$4,Ingreso!$AW$10:$BC$260,VLOOKUP(A843,Ingreso!AL:AM,2,FALSE),FALSE)/24,""))),""))</f>
        <v/>
      </c>
      <c r="P843" s="90"/>
      <c r="V843"/>
      <c r="W843"/>
      <c r="X843"/>
      <c r="Y843"/>
      <c r="Z843"/>
      <c r="AA843"/>
      <c r="AB843"/>
      <c r="AC843"/>
      <c r="AD843"/>
    </row>
    <row r="844" spans="1:30">
      <c r="A844" s="65" t="str">
        <f>IFERROR(VLOOKUP('Informe Kelly'!A837,Base!A:B,2,FALSE),"")</f>
        <v>15.437.429-9</v>
      </c>
      <c r="B844" s="65" t="str">
        <f>IFERROR(VLOOKUP('Informe Kelly'!A837,Base!A:G,7,FALSE),"")</f>
        <v>NADEAU JOFRE JULIO</v>
      </c>
      <c r="C844" s="69" t="str">
        <f>IF(G844=$C$4,IF('Informe Kelly'!H837='Control informe Kelly'!$A$2,TEXT(((LEFT('Informe Kelly'!E837,2)*1)+1),"dd")&amp;"."&amp;MID('Informe Kelly'!E837,4,2)&amp;"."&amp;RIGHT('Informe Kelly'!E837,4),'Informe Kelly'!E837),'Informe Kelly'!E837)</f>
        <v>12.04.2011</v>
      </c>
      <c r="D844" s="69" t="str">
        <f>IF('Informe Kelly'!E837="","",'Informe Kelly'!E837)</f>
        <v>12.04.2011</v>
      </c>
      <c r="E844" s="72">
        <f t="shared" si="27"/>
        <v>428</v>
      </c>
      <c r="F844" s="72" t="str">
        <f>IFERROR(HLOOKUP(C844,Ingreso!$Q$8:$AD$9,2,FALSE),"v")</f>
        <v>Martes</v>
      </c>
      <c r="G844" s="65" t="str">
        <f>IFERROR(VLOOKUP(A844,Ingreso!K:P,6,FALSE),"no esta ingresado")</f>
        <v>Admin</v>
      </c>
      <c r="H844" s="65">
        <f>IFERROR(IF('Informe Kelly'!H837=$A$2,'Informe Kelly'!F837,""),0)</f>
        <v>0.34534722222222225</v>
      </c>
      <c r="I844" s="65" t="str">
        <f>IFERROR(IF('Informe Kelly'!H837=$A$3,'Informe Kelly'!F837,""),0)</f>
        <v/>
      </c>
      <c r="J844" s="65" t="str">
        <f>IF(IFERROR(IF(E844=E843,0,(HLOOKUP(D844,Ingreso!$AN$10:$AT$260,VLOOKUP(A844,Ingreso!$AL$11:$AM$260,2,FALSE)))/24),0)=0,"",IFERROR(IF(E844=E843,0,(HLOOKUP(D844,Ingreso!$AN$10:$AT$260,VLOOKUP(A844,Ingreso!$AL$11:$AM$260,2,FALSE)))/24),0))</f>
        <v/>
      </c>
      <c r="K844" s="65" t="str">
        <f>IF(IFERROR(IF(E844=E843,0,(HLOOKUP(C844,Ingreso!$AW$10:$BC$260,VLOOKUP(A844,Ingreso!$AL$11:$AM$260,2,FALSE)))/24),0)=0,"",IFERROR(IF(E844=E843,0,(HLOOKUP(C844,Ingreso!$AW$10:$BC$260,VLOOKUP(A844,Ingreso!$AL$11:$AM$260,2,FALSE)))/24),0))</f>
        <v/>
      </c>
      <c r="L844" s="63">
        <f t="shared" si="26"/>
        <v>0</v>
      </c>
      <c r="M844" s="63" t="str">
        <f>IF(IFERROR(IF(C844=C842,0,IF(E844=E843,0,IF(C844=$R$2,HLOOKUP($R$2,Ingreso!$AW$10:$BC$260,VLOOKUP(A844,Ingreso!AL:AM,2,FALSE),FALSE)/24,""))),"")=0,"",IFERROR(IF(C844=C842,0,IF(E844=E843,0,IF(C844=$R$2,HLOOKUP($R$2,Ingreso!$AW$10:$BC$260,VLOOKUP(A844,Ingreso!AL:AM,2,FALSE),FALSE)/24,""))),""))</f>
        <v/>
      </c>
      <c r="N844" s="95" t="str">
        <f>IF(IFERROR(IF(C844=C842,0,IF(E844=E843,0,IF(C844=$R$3,HLOOKUP($R$3,Ingreso!$AW$10:$BC$260,VLOOKUP(A844,Ingreso!AL:AM,2,FALSE),FALSE)/24,""))),"")=0,"",IFERROR(IF(C844=C842,0,IF(E844=E843,0,IF(C844=$R$3,HLOOKUP($R$3,Ingreso!$AW$10:$BC$260,VLOOKUP(A844,Ingreso!AL:AM,2,FALSE),FALSE)/24,""))),""))</f>
        <v/>
      </c>
      <c r="O844" s="95" t="str">
        <f>IF(IFERROR(IF(C844=C842,0,IF(E844=E843,0,IF(C844=$R$4,HLOOKUP($R$4,Ingreso!$AW$10:$BC$260,VLOOKUP(A844,Ingreso!AL:AM,2,FALSE),FALSE)/24,""))),"")=0,"",IFERROR(IF(C844=C842,0,IF(E844=E843,0,IF(C844=$R$4,HLOOKUP($R$4,Ingreso!$AW$10:$BC$260,VLOOKUP(A844,Ingreso!AL:AM,2,FALSE),FALSE)/24,""))),""))</f>
        <v/>
      </c>
      <c r="P844" s="90"/>
      <c r="V844"/>
      <c r="W844"/>
      <c r="X844"/>
      <c r="Y844"/>
      <c r="Z844"/>
      <c r="AA844"/>
      <c r="AB844"/>
      <c r="AC844"/>
      <c r="AD844"/>
    </row>
    <row r="845" spans="1:30">
      <c r="A845" s="65" t="str">
        <f>IFERROR(VLOOKUP('Informe Kelly'!A838,Base!A:B,2,FALSE),"")</f>
        <v>15.437.429-9</v>
      </c>
      <c r="B845" s="65" t="str">
        <f>IFERROR(VLOOKUP('Informe Kelly'!A838,Base!A:G,7,FALSE),"")</f>
        <v>NADEAU JOFRE JULIO</v>
      </c>
      <c r="C845" s="69" t="str">
        <f>IF(G845=$C$4,IF('Informe Kelly'!H838='Control informe Kelly'!$A$2,TEXT(((LEFT('Informe Kelly'!E838,2)*1)+1),"dd")&amp;"."&amp;MID('Informe Kelly'!E838,4,2)&amp;"."&amp;RIGHT('Informe Kelly'!E838,4),'Informe Kelly'!E838),'Informe Kelly'!E838)</f>
        <v>13.04.2011</v>
      </c>
      <c r="D845" s="69" t="str">
        <f>IF('Informe Kelly'!E838="","",'Informe Kelly'!E838)</f>
        <v>13.04.2011</v>
      </c>
      <c r="E845" s="72">
        <f t="shared" si="27"/>
        <v>429</v>
      </c>
      <c r="F845" s="72" t="str">
        <f>IFERROR(HLOOKUP(C845,Ingreso!$Q$8:$AD$9,2,FALSE),"v")</f>
        <v>Miércoles</v>
      </c>
      <c r="G845" s="65" t="str">
        <f>IFERROR(VLOOKUP(A845,Ingreso!K:P,6,FALSE),"no esta ingresado")</f>
        <v>Admin</v>
      </c>
      <c r="H845" s="65" t="str">
        <f>IFERROR(IF('Informe Kelly'!H838=$A$2,'Informe Kelly'!F838,""),0)</f>
        <v/>
      </c>
      <c r="I845" s="65">
        <f>IFERROR(IF('Informe Kelly'!H838=$A$3,'Informe Kelly'!F838,""),0)</f>
        <v>0.73314814814814822</v>
      </c>
      <c r="J845" s="65" t="str">
        <f>IF(IFERROR(IF(E845=E844,0,(HLOOKUP(D845,Ingreso!$AN$10:$AT$260,VLOOKUP(A845,Ingreso!$AL$11:$AM$260,2,FALSE)))/24),0)=0,"",IFERROR(IF(E845=E844,0,(HLOOKUP(D845,Ingreso!$AN$10:$AT$260,VLOOKUP(A845,Ingreso!$AL$11:$AM$260,2,FALSE)))/24),0))</f>
        <v/>
      </c>
      <c r="K845" s="65" t="str">
        <f>IF(IFERROR(IF(E845=E844,0,(HLOOKUP(C845,Ingreso!$AW$10:$BC$260,VLOOKUP(A845,Ingreso!$AL$11:$AM$260,2,FALSE)))/24),0)=0,"",IFERROR(IF(E845=E844,0,(HLOOKUP(C845,Ingreso!$AW$10:$BC$260,VLOOKUP(A845,Ingreso!$AL$11:$AM$260,2,FALSE)))/24),0))</f>
        <v/>
      </c>
      <c r="L845" s="63">
        <f t="shared" si="26"/>
        <v>0.41666666666666669</v>
      </c>
      <c r="M845" s="63" t="str">
        <f>IF(IFERROR(IF(C845=C843,0,IF(E845=E844,0,IF(C845=$R$2,HLOOKUP($R$2,Ingreso!$AW$10:$BC$260,VLOOKUP(A845,Ingreso!AL:AM,2,FALSE),FALSE)/24,""))),"")=0,"",IFERROR(IF(C845=C843,0,IF(E845=E844,0,IF(C845=$R$2,HLOOKUP($R$2,Ingreso!$AW$10:$BC$260,VLOOKUP(A845,Ingreso!AL:AM,2,FALSE),FALSE)/24,""))),""))</f>
        <v/>
      </c>
      <c r="N845" s="95" t="str">
        <f>IF(IFERROR(IF(C845=C843,0,IF(E845=E844,0,IF(C845=$R$3,HLOOKUP($R$3,Ingreso!$AW$10:$BC$260,VLOOKUP(A845,Ingreso!AL:AM,2,FALSE),FALSE)/24,""))),"")=0,"",IFERROR(IF(C845=C843,0,IF(E845=E844,0,IF(C845=$R$3,HLOOKUP($R$3,Ingreso!$AW$10:$BC$260,VLOOKUP(A845,Ingreso!AL:AM,2,FALSE),FALSE)/24,""))),""))</f>
        <v/>
      </c>
      <c r="O845" s="95" t="str">
        <f>IF(IFERROR(IF(C845=C843,0,IF(E845=E844,0,IF(C845=$R$4,HLOOKUP($R$4,Ingreso!$AW$10:$BC$260,VLOOKUP(A845,Ingreso!AL:AM,2,FALSE),FALSE)/24,""))),"")=0,"",IFERROR(IF(C845=C843,0,IF(E845=E844,0,IF(C845=$R$4,HLOOKUP($R$4,Ingreso!$AW$10:$BC$260,VLOOKUP(A845,Ingreso!AL:AM,2,FALSE),FALSE)/24,""))),""))</f>
        <v/>
      </c>
      <c r="P845" s="90"/>
      <c r="V845"/>
      <c r="W845"/>
      <c r="X845"/>
      <c r="Y845"/>
      <c r="Z845"/>
      <c r="AA845"/>
      <c r="AB845"/>
      <c r="AC845"/>
      <c r="AD845"/>
    </row>
    <row r="846" spans="1:30">
      <c r="A846" s="65" t="str">
        <f>IFERROR(VLOOKUP('Informe Kelly'!A839,Base!A:B,2,FALSE),"")</f>
        <v>15.437.429-9</v>
      </c>
      <c r="B846" s="65" t="str">
        <f>IFERROR(VLOOKUP('Informe Kelly'!A839,Base!A:G,7,FALSE),"")</f>
        <v>NADEAU JOFRE JULIO</v>
      </c>
      <c r="C846" s="69" t="str">
        <f>IF(G846=$C$4,IF('Informe Kelly'!H839='Control informe Kelly'!$A$2,TEXT(((LEFT('Informe Kelly'!E839,2)*1)+1),"dd")&amp;"."&amp;MID('Informe Kelly'!E839,4,2)&amp;"."&amp;RIGHT('Informe Kelly'!E839,4),'Informe Kelly'!E839),'Informe Kelly'!E839)</f>
        <v>13.04.2011</v>
      </c>
      <c r="D846" s="69" t="str">
        <f>IF('Informe Kelly'!E839="","",'Informe Kelly'!E839)</f>
        <v>13.04.2011</v>
      </c>
      <c r="E846" s="72">
        <f t="shared" si="27"/>
        <v>429</v>
      </c>
      <c r="F846" s="72" t="str">
        <f>IFERROR(HLOOKUP(C846,Ingreso!$Q$8:$AD$9,2,FALSE),"v")</f>
        <v>Miércoles</v>
      </c>
      <c r="G846" s="65" t="str">
        <f>IFERROR(VLOOKUP(A846,Ingreso!K:P,6,FALSE),"no esta ingresado")</f>
        <v>Admin</v>
      </c>
      <c r="H846" s="65">
        <f>IFERROR(IF('Informe Kelly'!H839=$A$2,'Informe Kelly'!F839,""),0)</f>
        <v>0.34967592592592595</v>
      </c>
      <c r="I846" s="65" t="str">
        <f>IFERROR(IF('Informe Kelly'!H839=$A$3,'Informe Kelly'!F839,""),0)</f>
        <v/>
      </c>
      <c r="J846" s="65" t="str">
        <f>IF(IFERROR(IF(E846=E845,0,(HLOOKUP(D846,Ingreso!$AN$10:$AT$260,VLOOKUP(A846,Ingreso!$AL$11:$AM$260,2,FALSE)))/24),0)=0,"",IFERROR(IF(E846=E845,0,(HLOOKUP(D846,Ingreso!$AN$10:$AT$260,VLOOKUP(A846,Ingreso!$AL$11:$AM$260,2,FALSE)))/24),0))</f>
        <v/>
      </c>
      <c r="K846" s="65" t="str">
        <f>IF(IFERROR(IF(E846=E845,0,(HLOOKUP(C846,Ingreso!$AW$10:$BC$260,VLOOKUP(A846,Ingreso!$AL$11:$AM$260,2,FALSE)))/24),0)=0,"",IFERROR(IF(E846=E845,0,(HLOOKUP(C846,Ingreso!$AW$10:$BC$260,VLOOKUP(A846,Ingreso!$AL$11:$AM$260,2,FALSE)))/24),0))</f>
        <v/>
      </c>
      <c r="L846" s="63">
        <f t="shared" si="26"/>
        <v>0</v>
      </c>
      <c r="M846" s="63" t="str">
        <f>IF(IFERROR(IF(C846=C844,0,IF(E846=E845,0,IF(C846=$R$2,HLOOKUP($R$2,Ingreso!$AW$10:$BC$260,VLOOKUP(A846,Ingreso!AL:AM,2,FALSE),FALSE)/24,""))),"")=0,"",IFERROR(IF(C846=C844,0,IF(E846=E845,0,IF(C846=$R$2,HLOOKUP($R$2,Ingreso!$AW$10:$BC$260,VLOOKUP(A846,Ingreso!AL:AM,2,FALSE),FALSE)/24,""))),""))</f>
        <v/>
      </c>
      <c r="N846" s="95" t="str">
        <f>IF(IFERROR(IF(C846=C844,0,IF(E846=E845,0,IF(C846=$R$3,HLOOKUP($R$3,Ingreso!$AW$10:$BC$260,VLOOKUP(A846,Ingreso!AL:AM,2,FALSE),FALSE)/24,""))),"")=0,"",IFERROR(IF(C846=C844,0,IF(E846=E845,0,IF(C846=$R$3,HLOOKUP($R$3,Ingreso!$AW$10:$BC$260,VLOOKUP(A846,Ingreso!AL:AM,2,FALSE),FALSE)/24,""))),""))</f>
        <v/>
      </c>
      <c r="O846" s="95" t="str">
        <f>IF(IFERROR(IF(C846=C844,0,IF(E846=E845,0,IF(C846=$R$4,HLOOKUP($R$4,Ingreso!$AW$10:$BC$260,VLOOKUP(A846,Ingreso!AL:AM,2,FALSE),FALSE)/24,""))),"")=0,"",IFERROR(IF(C846=C844,0,IF(E846=E845,0,IF(C846=$R$4,HLOOKUP($R$4,Ingreso!$AW$10:$BC$260,VLOOKUP(A846,Ingreso!AL:AM,2,FALSE),FALSE)/24,""))),""))</f>
        <v/>
      </c>
      <c r="P846" s="90"/>
      <c r="V846"/>
      <c r="W846"/>
      <c r="X846"/>
      <c r="Y846"/>
      <c r="Z846"/>
      <c r="AA846"/>
      <c r="AB846"/>
      <c r="AC846"/>
      <c r="AD846"/>
    </row>
    <row r="847" spans="1:30">
      <c r="A847" s="65" t="str">
        <f>IFERROR(VLOOKUP('Informe Kelly'!A840,Base!A:B,2,FALSE),"")</f>
        <v>15.437.429-9</v>
      </c>
      <c r="B847" s="65" t="str">
        <f>IFERROR(VLOOKUP('Informe Kelly'!A840,Base!A:G,7,FALSE),"")</f>
        <v>NADEAU JOFRE JULIO</v>
      </c>
      <c r="C847" s="69" t="str">
        <f>IF(G847=$C$4,IF('Informe Kelly'!H840='Control informe Kelly'!$A$2,TEXT(((LEFT('Informe Kelly'!E840,2)*1)+1),"dd")&amp;"."&amp;MID('Informe Kelly'!E840,4,2)&amp;"."&amp;RIGHT('Informe Kelly'!E840,4),'Informe Kelly'!E840),'Informe Kelly'!E840)</f>
        <v>14.04.2011</v>
      </c>
      <c r="D847" s="69" t="str">
        <f>IF('Informe Kelly'!E840="","",'Informe Kelly'!E840)</f>
        <v>14.04.2011</v>
      </c>
      <c r="E847" s="72">
        <f t="shared" si="27"/>
        <v>430</v>
      </c>
      <c r="F847" s="72" t="str">
        <f>IFERROR(HLOOKUP(C847,Ingreso!$Q$8:$AD$9,2,FALSE),"v")</f>
        <v>Jueves</v>
      </c>
      <c r="G847" s="65" t="str">
        <f>IFERROR(VLOOKUP(A847,Ingreso!K:P,6,FALSE),"no esta ingresado")</f>
        <v>Admin</v>
      </c>
      <c r="H847" s="65" t="str">
        <f>IFERROR(IF('Informe Kelly'!H840=$A$2,'Informe Kelly'!F840,""),0)</f>
        <v/>
      </c>
      <c r="I847" s="65">
        <f>IFERROR(IF('Informe Kelly'!H840=$A$3,'Informe Kelly'!F840,""),0)</f>
        <v>0.73568287037037028</v>
      </c>
      <c r="J847" s="65" t="str">
        <f>IF(IFERROR(IF(E847=E846,0,(HLOOKUP(D847,Ingreso!$AN$10:$AT$260,VLOOKUP(A847,Ingreso!$AL$11:$AM$260,2,FALSE)))/24),0)=0,"",IFERROR(IF(E847=E846,0,(HLOOKUP(D847,Ingreso!$AN$10:$AT$260,VLOOKUP(A847,Ingreso!$AL$11:$AM$260,2,FALSE)))/24),0))</f>
        <v/>
      </c>
      <c r="K847" s="65" t="str">
        <f>IF(IFERROR(IF(E847=E846,0,(HLOOKUP(C847,Ingreso!$AW$10:$BC$260,VLOOKUP(A847,Ingreso!$AL$11:$AM$260,2,FALSE)))/24),0)=0,"",IFERROR(IF(E847=E846,0,(HLOOKUP(C847,Ingreso!$AW$10:$BC$260,VLOOKUP(A847,Ingreso!$AL$11:$AM$260,2,FALSE)))/24),0))</f>
        <v/>
      </c>
      <c r="L847" s="63">
        <f t="shared" si="26"/>
        <v>0.41666666666666669</v>
      </c>
      <c r="M847" s="63" t="str">
        <f>IF(IFERROR(IF(C847=C845,0,IF(E847=E846,0,IF(C847=$R$2,HLOOKUP($R$2,Ingreso!$AW$10:$BC$260,VLOOKUP(A847,Ingreso!AL:AM,2,FALSE),FALSE)/24,""))),"")=0,"",IFERROR(IF(C847=C845,0,IF(E847=E846,0,IF(C847=$R$2,HLOOKUP($R$2,Ingreso!$AW$10:$BC$260,VLOOKUP(A847,Ingreso!AL:AM,2,FALSE),FALSE)/24,""))),""))</f>
        <v/>
      </c>
      <c r="N847" s="95" t="str">
        <f>IF(IFERROR(IF(C847=C845,0,IF(E847=E846,0,IF(C847=$R$3,HLOOKUP($R$3,Ingreso!$AW$10:$BC$260,VLOOKUP(A847,Ingreso!AL:AM,2,FALSE),FALSE)/24,""))),"")=0,"",IFERROR(IF(C847=C845,0,IF(E847=E846,0,IF(C847=$R$3,HLOOKUP($R$3,Ingreso!$AW$10:$BC$260,VLOOKUP(A847,Ingreso!AL:AM,2,FALSE),FALSE)/24,""))),""))</f>
        <v/>
      </c>
      <c r="O847" s="95" t="str">
        <f>IF(IFERROR(IF(C847=C845,0,IF(E847=E846,0,IF(C847=$R$4,HLOOKUP($R$4,Ingreso!$AW$10:$BC$260,VLOOKUP(A847,Ingreso!AL:AM,2,FALSE),FALSE)/24,""))),"")=0,"",IFERROR(IF(C847=C845,0,IF(E847=E846,0,IF(C847=$R$4,HLOOKUP($R$4,Ingreso!$AW$10:$BC$260,VLOOKUP(A847,Ingreso!AL:AM,2,FALSE),FALSE)/24,""))),""))</f>
        <v/>
      </c>
      <c r="P847" s="90"/>
      <c r="V847"/>
      <c r="W847"/>
      <c r="X847"/>
      <c r="Y847"/>
      <c r="Z847"/>
      <c r="AA847"/>
      <c r="AB847"/>
      <c r="AC847"/>
      <c r="AD847"/>
    </row>
    <row r="848" spans="1:30">
      <c r="A848" s="65" t="str">
        <f>IFERROR(VLOOKUP('Informe Kelly'!A841,Base!A:B,2,FALSE),"")</f>
        <v>15.437.429-9</v>
      </c>
      <c r="B848" s="65" t="str">
        <f>IFERROR(VLOOKUP('Informe Kelly'!A841,Base!A:G,7,FALSE),"")</f>
        <v>NADEAU JOFRE JULIO</v>
      </c>
      <c r="C848" s="69" t="str">
        <f>IF(G848=$C$4,IF('Informe Kelly'!H841='Control informe Kelly'!$A$2,TEXT(((LEFT('Informe Kelly'!E841,2)*1)+1),"dd")&amp;"."&amp;MID('Informe Kelly'!E841,4,2)&amp;"."&amp;RIGHT('Informe Kelly'!E841,4),'Informe Kelly'!E841),'Informe Kelly'!E841)</f>
        <v>14.04.2011</v>
      </c>
      <c r="D848" s="69" t="str">
        <f>IF('Informe Kelly'!E841="","",'Informe Kelly'!E841)</f>
        <v>14.04.2011</v>
      </c>
      <c r="E848" s="72">
        <f t="shared" si="27"/>
        <v>430</v>
      </c>
      <c r="F848" s="72" t="str">
        <f>IFERROR(HLOOKUP(C848,Ingreso!$Q$8:$AD$9,2,FALSE),"v")</f>
        <v>Jueves</v>
      </c>
      <c r="G848" s="65" t="str">
        <f>IFERROR(VLOOKUP(A848,Ingreso!K:P,6,FALSE),"no esta ingresado")</f>
        <v>Admin</v>
      </c>
      <c r="H848" s="65">
        <f>IFERROR(IF('Informe Kelly'!H841=$A$2,'Informe Kelly'!F841,""),0)</f>
        <v>0.3478472222222222</v>
      </c>
      <c r="I848" s="65" t="str">
        <f>IFERROR(IF('Informe Kelly'!H841=$A$3,'Informe Kelly'!F841,""),0)</f>
        <v/>
      </c>
      <c r="J848" s="65" t="str">
        <f>IF(IFERROR(IF(E848=E847,0,(HLOOKUP(D848,Ingreso!$AN$10:$AT$260,VLOOKUP(A848,Ingreso!$AL$11:$AM$260,2,FALSE)))/24),0)=0,"",IFERROR(IF(E848=E847,0,(HLOOKUP(D848,Ingreso!$AN$10:$AT$260,VLOOKUP(A848,Ingreso!$AL$11:$AM$260,2,FALSE)))/24),0))</f>
        <v/>
      </c>
      <c r="K848" s="65" t="str">
        <f>IF(IFERROR(IF(E848=E847,0,(HLOOKUP(C848,Ingreso!$AW$10:$BC$260,VLOOKUP(A848,Ingreso!$AL$11:$AM$260,2,FALSE)))/24),0)=0,"",IFERROR(IF(E848=E847,0,(HLOOKUP(C848,Ingreso!$AW$10:$BC$260,VLOOKUP(A848,Ingreso!$AL$11:$AM$260,2,FALSE)))/24),0))</f>
        <v/>
      </c>
      <c r="L848" s="63">
        <f t="shared" si="26"/>
        <v>0</v>
      </c>
      <c r="M848" s="63" t="str">
        <f>IF(IFERROR(IF(C848=C846,0,IF(E848=E847,0,IF(C848=$R$2,HLOOKUP($R$2,Ingreso!$AW$10:$BC$260,VLOOKUP(A848,Ingreso!AL:AM,2,FALSE),FALSE)/24,""))),"")=0,"",IFERROR(IF(C848=C846,0,IF(E848=E847,0,IF(C848=$R$2,HLOOKUP($R$2,Ingreso!$AW$10:$BC$260,VLOOKUP(A848,Ingreso!AL:AM,2,FALSE),FALSE)/24,""))),""))</f>
        <v/>
      </c>
      <c r="N848" s="95" t="str">
        <f>IF(IFERROR(IF(C848=C846,0,IF(E848=E847,0,IF(C848=$R$3,HLOOKUP($R$3,Ingreso!$AW$10:$BC$260,VLOOKUP(A848,Ingreso!AL:AM,2,FALSE),FALSE)/24,""))),"")=0,"",IFERROR(IF(C848=C846,0,IF(E848=E847,0,IF(C848=$R$3,HLOOKUP($R$3,Ingreso!$AW$10:$BC$260,VLOOKUP(A848,Ingreso!AL:AM,2,FALSE),FALSE)/24,""))),""))</f>
        <v/>
      </c>
      <c r="O848" s="95" t="str">
        <f>IF(IFERROR(IF(C848=C846,0,IF(E848=E847,0,IF(C848=$R$4,HLOOKUP($R$4,Ingreso!$AW$10:$BC$260,VLOOKUP(A848,Ingreso!AL:AM,2,FALSE),FALSE)/24,""))),"")=0,"",IFERROR(IF(C848=C846,0,IF(E848=E847,0,IF(C848=$R$4,HLOOKUP($R$4,Ingreso!$AW$10:$BC$260,VLOOKUP(A848,Ingreso!AL:AM,2,FALSE),FALSE)/24,""))),""))</f>
        <v/>
      </c>
      <c r="P848" s="90"/>
      <c r="V848"/>
      <c r="W848"/>
      <c r="X848"/>
      <c r="Y848"/>
      <c r="Z848"/>
      <c r="AA848"/>
      <c r="AB848"/>
      <c r="AC848"/>
      <c r="AD848"/>
    </row>
    <row r="849" spans="1:30">
      <c r="A849" s="65" t="str">
        <f>IFERROR(VLOOKUP('Informe Kelly'!A842,Base!A:B,2,FALSE),"")</f>
        <v>15.437.429-9</v>
      </c>
      <c r="B849" s="65" t="str">
        <f>IFERROR(VLOOKUP('Informe Kelly'!A842,Base!A:G,7,FALSE),"")</f>
        <v>NADEAU JOFRE JULIO</v>
      </c>
      <c r="C849" s="69" t="str">
        <f>IF(G849=$C$4,IF('Informe Kelly'!H842='Control informe Kelly'!$A$2,TEXT(((LEFT('Informe Kelly'!E842,2)*1)+1),"dd")&amp;"."&amp;MID('Informe Kelly'!E842,4,2)&amp;"."&amp;RIGHT('Informe Kelly'!E842,4),'Informe Kelly'!E842),'Informe Kelly'!E842)</f>
        <v>15.04.2011</v>
      </c>
      <c r="D849" s="69" t="str">
        <f>IF('Informe Kelly'!E842="","",'Informe Kelly'!E842)</f>
        <v>15.04.2011</v>
      </c>
      <c r="E849" s="72">
        <f t="shared" si="27"/>
        <v>431</v>
      </c>
      <c r="F849" s="72" t="str">
        <f>IFERROR(HLOOKUP(C849,Ingreso!$Q$8:$AD$9,2,FALSE),"v")</f>
        <v>Viernes</v>
      </c>
      <c r="G849" s="65" t="str">
        <f>IFERROR(VLOOKUP(A849,Ingreso!K:P,6,FALSE),"no esta ingresado")</f>
        <v>Admin</v>
      </c>
      <c r="H849" s="65" t="str">
        <f>IFERROR(IF('Informe Kelly'!H842=$A$2,'Informe Kelly'!F842,""),0)</f>
        <v/>
      </c>
      <c r="I849" s="65">
        <f>IFERROR(IF('Informe Kelly'!H842=$A$3,'Informe Kelly'!F842,""),0)</f>
        <v>0.73166666666666658</v>
      </c>
      <c r="J849" s="65" t="str">
        <f>IF(IFERROR(IF(E849=E848,0,(HLOOKUP(D849,Ingreso!$AN$10:$AT$260,VLOOKUP(A849,Ingreso!$AL$11:$AM$260,2,FALSE)))/24),0)=0,"",IFERROR(IF(E849=E848,0,(HLOOKUP(D849,Ingreso!$AN$10:$AT$260,VLOOKUP(A849,Ingreso!$AL$11:$AM$260,2,FALSE)))/24),0))</f>
        <v/>
      </c>
      <c r="K849" s="65" t="str">
        <f>IF(IFERROR(IF(E849=E848,0,(HLOOKUP(C849,Ingreso!$AW$10:$BC$260,VLOOKUP(A849,Ingreso!$AL$11:$AM$260,2,FALSE)))/24),0)=0,"",IFERROR(IF(E849=E848,0,(HLOOKUP(C849,Ingreso!$AW$10:$BC$260,VLOOKUP(A849,Ingreso!$AL$11:$AM$260,2,FALSE)))/24),0))</f>
        <v/>
      </c>
      <c r="L849" s="63">
        <f t="shared" si="26"/>
        <v>0.41666666666666669</v>
      </c>
      <c r="M849" s="63" t="str">
        <f>IF(IFERROR(IF(C849=C847,0,IF(E849=E848,0,IF(C849=$R$2,HLOOKUP($R$2,Ingreso!$AW$10:$BC$260,VLOOKUP(A849,Ingreso!AL:AM,2,FALSE),FALSE)/24,""))),"")=0,"",IFERROR(IF(C849=C847,0,IF(E849=E848,0,IF(C849=$R$2,HLOOKUP($R$2,Ingreso!$AW$10:$BC$260,VLOOKUP(A849,Ingreso!AL:AM,2,FALSE),FALSE)/24,""))),""))</f>
        <v/>
      </c>
      <c r="N849" s="95" t="str">
        <f>IF(IFERROR(IF(C849=C847,0,IF(E849=E848,0,IF(C849=$R$3,HLOOKUP($R$3,Ingreso!$AW$10:$BC$260,VLOOKUP(A849,Ingreso!AL:AM,2,FALSE),FALSE)/24,""))),"")=0,"",IFERROR(IF(C849=C847,0,IF(E849=E848,0,IF(C849=$R$3,HLOOKUP($R$3,Ingreso!$AW$10:$BC$260,VLOOKUP(A849,Ingreso!AL:AM,2,FALSE),FALSE)/24,""))),""))</f>
        <v/>
      </c>
      <c r="O849" s="95" t="str">
        <f>IF(IFERROR(IF(C849=C847,0,IF(E849=E848,0,IF(C849=$R$4,HLOOKUP($R$4,Ingreso!$AW$10:$BC$260,VLOOKUP(A849,Ingreso!AL:AM,2,FALSE),FALSE)/24,""))),"")=0,"",IFERROR(IF(C849=C847,0,IF(E849=E848,0,IF(C849=$R$4,HLOOKUP($R$4,Ingreso!$AW$10:$BC$260,VLOOKUP(A849,Ingreso!AL:AM,2,FALSE),FALSE)/24,""))),""))</f>
        <v/>
      </c>
      <c r="P849" s="90"/>
      <c r="V849"/>
      <c r="W849"/>
      <c r="X849"/>
      <c r="Y849"/>
      <c r="Z849"/>
      <c r="AA849"/>
      <c r="AB849"/>
      <c r="AC849"/>
      <c r="AD849"/>
    </row>
    <row r="850" spans="1:30">
      <c r="A850" s="65" t="str">
        <f>IFERROR(VLOOKUP('Informe Kelly'!A843,Base!A:B,2,FALSE),"")</f>
        <v>15.437.429-9</v>
      </c>
      <c r="B850" s="65" t="str">
        <f>IFERROR(VLOOKUP('Informe Kelly'!A843,Base!A:G,7,FALSE),"")</f>
        <v>NADEAU JOFRE JULIO</v>
      </c>
      <c r="C850" s="69" t="str">
        <f>IF(G850=$C$4,IF('Informe Kelly'!H843='Control informe Kelly'!$A$2,TEXT(((LEFT('Informe Kelly'!E843,2)*1)+1),"dd")&amp;"."&amp;MID('Informe Kelly'!E843,4,2)&amp;"."&amp;RIGHT('Informe Kelly'!E843,4),'Informe Kelly'!E843),'Informe Kelly'!E843)</f>
        <v>15.04.2011</v>
      </c>
      <c r="D850" s="69" t="str">
        <f>IF('Informe Kelly'!E843="","",'Informe Kelly'!E843)</f>
        <v>15.04.2011</v>
      </c>
      <c r="E850" s="72">
        <f t="shared" si="27"/>
        <v>431</v>
      </c>
      <c r="F850" s="72" t="str">
        <f>IFERROR(HLOOKUP(C850,Ingreso!$Q$8:$AD$9,2,FALSE),"v")</f>
        <v>Viernes</v>
      </c>
      <c r="G850" s="65" t="str">
        <f>IFERROR(VLOOKUP(A850,Ingreso!K:P,6,FALSE),"no esta ingresado")</f>
        <v>Admin</v>
      </c>
      <c r="H850" s="65">
        <f>IFERROR(IF('Informe Kelly'!H843=$A$2,'Informe Kelly'!F843,""),0)</f>
        <v>0.34766203703703707</v>
      </c>
      <c r="I850" s="65" t="str">
        <f>IFERROR(IF('Informe Kelly'!H843=$A$3,'Informe Kelly'!F843,""),0)</f>
        <v/>
      </c>
      <c r="J850" s="65" t="str">
        <f>IF(IFERROR(IF(E850=E849,0,(HLOOKUP(D850,Ingreso!$AN$10:$AT$260,VLOOKUP(A850,Ingreso!$AL$11:$AM$260,2,FALSE)))/24),0)=0,"",IFERROR(IF(E850=E849,0,(HLOOKUP(D850,Ingreso!$AN$10:$AT$260,VLOOKUP(A850,Ingreso!$AL$11:$AM$260,2,FALSE)))/24),0))</f>
        <v/>
      </c>
      <c r="K850" s="65" t="str">
        <f>IF(IFERROR(IF(E850=E849,0,(HLOOKUP(C850,Ingreso!$AW$10:$BC$260,VLOOKUP(A850,Ingreso!$AL$11:$AM$260,2,FALSE)))/24),0)=0,"",IFERROR(IF(E850=E849,0,(HLOOKUP(C850,Ingreso!$AW$10:$BC$260,VLOOKUP(A850,Ingreso!$AL$11:$AM$260,2,FALSE)))/24),0))</f>
        <v/>
      </c>
      <c r="L850" s="63">
        <f t="shared" si="26"/>
        <v>0</v>
      </c>
      <c r="M850" s="63" t="str">
        <f>IF(IFERROR(IF(C850=C848,0,IF(E850=E849,0,IF(C850=$R$2,HLOOKUP($R$2,Ingreso!$AW$10:$BC$260,VLOOKUP(A850,Ingreso!AL:AM,2,FALSE),FALSE)/24,""))),"")=0,"",IFERROR(IF(C850=C848,0,IF(E850=E849,0,IF(C850=$R$2,HLOOKUP($R$2,Ingreso!$AW$10:$BC$260,VLOOKUP(A850,Ingreso!AL:AM,2,FALSE),FALSE)/24,""))),""))</f>
        <v/>
      </c>
      <c r="N850" s="95" t="str">
        <f>IF(IFERROR(IF(C850=C848,0,IF(E850=E849,0,IF(C850=$R$3,HLOOKUP($R$3,Ingreso!$AW$10:$BC$260,VLOOKUP(A850,Ingreso!AL:AM,2,FALSE),FALSE)/24,""))),"")=0,"",IFERROR(IF(C850=C848,0,IF(E850=E849,0,IF(C850=$R$3,HLOOKUP($R$3,Ingreso!$AW$10:$BC$260,VLOOKUP(A850,Ingreso!AL:AM,2,FALSE),FALSE)/24,""))),""))</f>
        <v/>
      </c>
      <c r="O850" s="95" t="str">
        <f>IF(IFERROR(IF(C850=C848,0,IF(E850=E849,0,IF(C850=$R$4,HLOOKUP($R$4,Ingreso!$AW$10:$BC$260,VLOOKUP(A850,Ingreso!AL:AM,2,FALSE),FALSE)/24,""))),"")=0,"",IFERROR(IF(C850=C848,0,IF(E850=E849,0,IF(C850=$R$4,HLOOKUP($R$4,Ingreso!$AW$10:$BC$260,VLOOKUP(A850,Ingreso!AL:AM,2,FALSE),FALSE)/24,""))),""))</f>
        <v/>
      </c>
      <c r="P850" s="90"/>
      <c r="V850"/>
      <c r="W850"/>
      <c r="X850"/>
      <c r="Y850"/>
      <c r="Z850"/>
      <c r="AA850"/>
      <c r="AB850"/>
      <c r="AC850"/>
      <c r="AD850"/>
    </row>
    <row r="851" spans="1:30">
      <c r="A851" s="65" t="str">
        <f>IFERROR(VLOOKUP('Informe Kelly'!A844,Base!A:B,2,FALSE),"")</f>
        <v>15.437.429-9</v>
      </c>
      <c r="B851" s="65" t="str">
        <f>IFERROR(VLOOKUP('Informe Kelly'!A844,Base!A:G,7,FALSE),"")</f>
        <v>NADEAU JOFRE JULIO</v>
      </c>
      <c r="C851" s="69" t="str">
        <f>IF(G851=$C$4,IF('Informe Kelly'!H844='Control informe Kelly'!$A$2,TEXT(((LEFT('Informe Kelly'!E844,2)*1)+1),"dd")&amp;"."&amp;MID('Informe Kelly'!E844,4,2)&amp;"."&amp;RIGHT('Informe Kelly'!E844,4),'Informe Kelly'!E844),'Informe Kelly'!E844)</f>
        <v>16.04.2011</v>
      </c>
      <c r="D851" s="69" t="str">
        <f>IF('Informe Kelly'!E844="","",'Informe Kelly'!E844)</f>
        <v>16.04.2011</v>
      </c>
      <c r="E851" s="72">
        <f t="shared" si="27"/>
        <v>432</v>
      </c>
      <c r="F851" s="72" t="str">
        <f>IFERROR(HLOOKUP(C851,Ingreso!$Q$8:$AD$9,2,FALSE),"v")</f>
        <v>Sábado</v>
      </c>
      <c r="G851" s="65" t="str">
        <f>IFERROR(VLOOKUP(A851,Ingreso!K:P,6,FALSE),"no esta ingresado")</f>
        <v>Admin</v>
      </c>
      <c r="H851" s="65" t="str">
        <f>IFERROR(IF('Informe Kelly'!H844=$A$2,'Informe Kelly'!F844,""),0)</f>
        <v/>
      </c>
      <c r="I851" s="65">
        <f>IFERROR(IF('Informe Kelly'!H844=$A$3,'Informe Kelly'!F844,""),0)</f>
        <v>0.60563657407407401</v>
      </c>
      <c r="J851" s="65">
        <f>IF(IFERROR(IF(E851=E850,0,(HLOOKUP(D851,Ingreso!$AN$10:$AT$260,VLOOKUP(A851,Ingreso!$AL$11:$AM$260,2,FALSE)))/24),0)=0,"",IFERROR(IF(E851=E850,0,(HLOOKUP(D851,Ingreso!$AN$10:$AT$260,VLOOKUP(A851,Ingreso!$AL$11:$AM$260,2,FALSE)))/24),0))</f>
        <v>0.25</v>
      </c>
      <c r="K851" s="65" t="str">
        <f>IF(IFERROR(IF(E851=E850,0,(HLOOKUP(C851,Ingreso!$AW$10:$BC$260,VLOOKUP(A851,Ingreso!$AL$11:$AM$260,2,FALSE)))/24),0)=0,"",IFERROR(IF(E851=E850,0,(HLOOKUP(C851,Ingreso!$AW$10:$BC$260,VLOOKUP(A851,Ingreso!$AL$11:$AM$260,2,FALSE)))/24),0))</f>
        <v/>
      </c>
      <c r="L851" s="63">
        <f t="shared" si="26"/>
        <v>0.41666666666666669</v>
      </c>
      <c r="M851" s="63" t="str">
        <f>IF(IFERROR(IF(C851=C849,0,IF(E851=E850,0,IF(C851=$R$2,HLOOKUP($R$2,Ingreso!$AW$10:$BC$260,VLOOKUP(A851,Ingreso!AL:AM,2,FALSE),FALSE)/24,""))),"")=0,"",IFERROR(IF(C851=C849,0,IF(E851=E850,0,IF(C851=$R$2,HLOOKUP($R$2,Ingreso!$AW$10:$BC$260,VLOOKUP(A851,Ingreso!AL:AM,2,FALSE),FALSE)/24,""))),""))</f>
        <v/>
      </c>
      <c r="N851" s="95" t="str">
        <f>IF(IFERROR(IF(C851=C849,0,IF(E851=E850,0,IF(C851=$R$3,HLOOKUP($R$3,Ingreso!$AW$10:$BC$260,VLOOKUP(A851,Ingreso!AL:AM,2,FALSE),FALSE)/24,""))),"")=0,"",IFERROR(IF(C851=C849,0,IF(E851=E850,0,IF(C851=$R$3,HLOOKUP($R$3,Ingreso!$AW$10:$BC$260,VLOOKUP(A851,Ingreso!AL:AM,2,FALSE),FALSE)/24,""))),""))</f>
        <v/>
      </c>
      <c r="O851" s="95" t="str">
        <f>IF(IFERROR(IF(C851=C849,0,IF(E851=E850,0,IF(C851=$R$4,HLOOKUP($R$4,Ingreso!$AW$10:$BC$260,VLOOKUP(A851,Ingreso!AL:AM,2,FALSE),FALSE)/24,""))),"")=0,"",IFERROR(IF(C851=C849,0,IF(E851=E850,0,IF(C851=$R$4,HLOOKUP($R$4,Ingreso!$AW$10:$BC$260,VLOOKUP(A851,Ingreso!AL:AM,2,FALSE),FALSE)/24,""))),""))</f>
        <v/>
      </c>
      <c r="P851" s="90"/>
      <c r="V851"/>
      <c r="W851"/>
      <c r="X851"/>
      <c r="Y851"/>
      <c r="Z851"/>
      <c r="AA851"/>
      <c r="AB851"/>
      <c r="AC851"/>
      <c r="AD851"/>
    </row>
    <row r="852" spans="1:30">
      <c r="A852" s="65" t="str">
        <f>IFERROR(VLOOKUP('Informe Kelly'!A845,Base!A:B,2,FALSE),"")</f>
        <v>15.437.429-9</v>
      </c>
      <c r="B852" s="65" t="str">
        <f>IFERROR(VLOOKUP('Informe Kelly'!A845,Base!A:G,7,FALSE),"")</f>
        <v>NADEAU JOFRE JULIO</v>
      </c>
      <c r="C852" s="69" t="str">
        <f>IF(G852=$C$4,IF('Informe Kelly'!H845='Control informe Kelly'!$A$2,TEXT(((LEFT('Informe Kelly'!E845,2)*1)+1),"dd")&amp;"."&amp;MID('Informe Kelly'!E845,4,2)&amp;"."&amp;RIGHT('Informe Kelly'!E845,4),'Informe Kelly'!E845),'Informe Kelly'!E845)</f>
        <v>16.04.2011</v>
      </c>
      <c r="D852" s="69" t="str">
        <f>IF('Informe Kelly'!E845="","",'Informe Kelly'!E845)</f>
        <v>16.04.2011</v>
      </c>
      <c r="E852" s="72">
        <f t="shared" si="27"/>
        <v>432</v>
      </c>
      <c r="F852" s="72" t="str">
        <f>IFERROR(HLOOKUP(C852,Ingreso!$Q$8:$AD$9,2,FALSE),"v")</f>
        <v>Sábado</v>
      </c>
      <c r="G852" s="65" t="str">
        <f>IFERROR(VLOOKUP(A852,Ingreso!K:P,6,FALSE),"no esta ingresado")</f>
        <v>Admin</v>
      </c>
      <c r="H852" s="65">
        <f>IFERROR(IF('Informe Kelly'!H845=$A$2,'Informe Kelly'!F845,""),0)</f>
        <v>0.35677083333333331</v>
      </c>
      <c r="I852" s="65" t="str">
        <f>IFERROR(IF('Informe Kelly'!H845=$A$3,'Informe Kelly'!F845,""),0)</f>
        <v/>
      </c>
      <c r="J852" s="65" t="str">
        <f>IF(IFERROR(IF(E852=E851,0,(HLOOKUP(D852,Ingreso!$AN$10:$AT$260,VLOOKUP(A852,Ingreso!$AL$11:$AM$260,2,FALSE)))/24),0)=0,"",IFERROR(IF(E852=E851,0,(HLOOKUP(D852,Ingreso!$AN$10:$AT$260,VLOOKUP(A852,Ingreso!$AL$11:$AM$260,2,FALSE)))/24),0))</f>
        <v/>
      </c>
      <c r="K852" s="65" t="str">
        <f>IF(IFERROR(IF(E852=E851,0,(HLOOKUP(C852,Ingreso!$AW$10:$BC$260,VLOOKUP(A852,Ingreso!$AL$11:$AM$260,2,FALSE)))/24),0)=0,"",IFERROR(IF(E852=E851,0,(HLOOKUP(C852,Ingreso!$AW$10:$BC$260,VLOOKUP(A852,Ingreso!$AL$11:$AM$260,2,FALSE)))/24),0))</f>
        <v/>
      </c>
      <c r="L852" s="63">
        <f t="shared" si="26"/>
        <v>0</v>
      </c>
      <c r="M852" s="63" t="str">
        <f>IF(IFERROR(IF(C852=C850,0,IF(E852=E851,0,IF(C852=$R$2,HLOOKUP($R$2,Ingreso!$AW$10:$BC$260,VLOOKUP(A852,Ingreso!AL:AM,2,FALSE),FALSE)/24,""))),"")=0,"",IFERROR(IF(C852=C850,0,IF(E852=E851,0,IF(C852=$R$2,HLOOKUP($R$2,Ingreso!$AW$10:$BC$260,VLOOKUP(A852,Ingreso!AL:AM,2,FALSE),FALSE)/24,""))),""))</f>
        <v/>
      </c>
      <c r="N852" s="95" t="str">
        <f>IF(IFERROR(IF(C852=C850,0,IF(E852=E851,0,IF(C852=$R$3,HLOOKUP($R$3,Ingreso!$AW$10:$BC$260,VLOOKUP(A852,Ingreso!AL:AM,2,FALSE),FALSE)/24,""))),"")=0,"",IFERROR(IF(C852=C850,0,IF(E852=E851,0,IF(C852=$R$3,HLOOKUP($R$3,Ingreso!$AW$10:$BC$260,VLOOKUP(A852,Ingreso!AL:AM,2,FALSE),FALSE)/24,""))),""))</f>
        <v/>
      </c>
      <c r="O852" s="95" t="str">
        <f>IF(IFERROR(IF(C852=C850,0,IF(E852=E851,0,IF(C852=$R$4,HLOOKUP($R$4,Ingreso!$AW$10:$BC$260,VLOOKUP(A852,Ingreso!AL:AM,2,FALSE),FALSE)/24,""))),"")=0,"",IFERROR(IF(C852=C850,0,IF(E852=E851,0,IF(C852=$R$4,HLOOKUP($R$4,Ingreso!$AW$10:$BC$260,VLOOKUP(A852,Ingreso!AL:AM,2,FALSE),FALSE)/24,""))),""))</f>
        <v/>
      </c>
      <c r="P852" s="90"/>
      <c r="V852"/>
      <c r="W852"/>
      <c r="X852"/>
      <c r="Y852"/>
      <c r="Z852"/>
      <c r="AA852"/>
      <c r="AB852"/>
      <c r="AC852"/>
      <c r="AD852"/>
    </row>
    <row r="853" spans="1:30">
      <c r="A853" s="65" t="str">
        <f>IFERROR(VLOOKUP('Informe Kelly'!A846,Base!A:B,2,FALSE),"")</f>
        <v>15.439.409-5</v>
      </c>
      <c r="B853" s="65" t="str">
        <f>IFERROR(VLOOKUP('Informe Kelly'!A846,Base!A:G,7,FALSE),"")</f>
        <v>BRAVO SALAMANCA MARICEL ANDREA</v>
      </c>
      <c r="C853" s="69" t="str">
        <f>IF(G853=$C$4,IF('Informe Kelly'!H846='Control informe Kelly'!$A$2,TEXT(((LEFT('Informe Kelly'!E846,2)*1)+1),"dd")&amp;"."&amp;MID('Informe Kelly'!E846,4,2)&amp;"."&amp;RIGHT('Informe Kelly'!E846,4),'Informe Kelly'!E846),'Informe Kelly'!E846)</f>
        <v>11.04.2011</v>
      </c>
      <c r="D853" s="69" t="str">
        <f>IF('Informe Kelly'!E846="","",'Informe Kelly'!E846)</f>
        <v>11.04.2011</v>
      </c>
      <c r="E853" s="72">
        <f t="shared" si="27"/>
        <v>433</v>
      </c>
      <c r="F853" s="72" t="str">
        <f>IFERROR(HLOOKUP(C853,Ingreso!$Q$8:$AD$9,2,FALSE),"v")</f>
        <v>Lunes</v>
      </c>
      <c r="G853" s="65" t="str">
        <f>IFERROR(VLOOKUP(A853,Ingreso!K:P,6,FALSE),"no esta ingresado")</f>
        <v>no esta ingresado</v>
      </c>
      <c r="H853" s="65" t="str">
        <f>IFERROR(IF('Informe Kelly'!H846=$A$2,'Informe Kelly'!F846,""),0)</f>
        <v/>
      </c>
      <c r="I853" s="65">
        <f>IFERROR(IF('Informe Kelly'!H846=$A$3,'Informe Kelly'!F846,""),0)</f>
        <v>0.63436342592592598</v>
      </c>
      <c r="J853" s="65" t="str">
        <f>IF(IFERROR(IF(E853=E852,0,(HLOOKUP(D853,Ingreso!$AN$10:$AT$260,VLOOKUP(A853,Ingreso!$AL$11:$AM$260,2,FALSE)))/24),0)=0,"",IFERROR(IF(E853=E852,0,(HLOOKUP(D853,Ingreso!$AN$10:$AT$260,VLOOKUP(A853,Ingreso!$AL$11:$AM$260,2,FALSE)))/24),0))</f>
        <v/>
      </c>
      <c r="K853" s="65" t="str">
        <f>IF(IFERROR(IF(E853=E852,0,(HLOOKUP(C853,Ingreso!$AW$10:$BC$260,VLOOKUP(A853,Ingreso!$AL$11:$AM$260,2,FALSE)))/24),0)=0,"",IFERROR(IF(E853=E852,0,(HLOOKUP(C853,Ingreso!$AW$10:$BC$260,VLOOKUP(A853,Ingreso!$AL$11:$AM$260,2,FALSE)))/24),0))</f>
        <v/>
      </c>
      <c r="L853" s="63" t="str">
        <f t="shared" si="26"/>
        <v/>
      </c>
      <c r="M853" s="63" t="str">
        <f>IF(IFERROR(IF(C853=C851,0,IF(E853=E852,0,IF(C853=$R$2,HLOOKUP($R$2,Ingreso!$AW$10:$BC$260,VLOOKUP(A853,Ingreso!AL:AM,2,FALSE),FALSE)/24,""))),"")=0,"",IFERROR(IF(C853=C851,0,IF(E853=E852,0,IF(C853=$R$2,HLOOKUP($R$2,Ingreso!$AW$10:$BC$260,VLOOKUP(A853,Ingreso!AL:AM,2,FALSE),FALSE)/24,""))),""))</f>
        <v/>
      </c>
      <c r="N853" s="95" t="str">
        <f>IF(IFERROR(IF(C853=C851,0,IF(E853=E852,0,IF(C853=$R$3,HLOOKUP($R$3,Ingreso!$AW$10:$BC$260,VLOOKUP(A853,Ingreso!AL:AM,2,FALSE),FALSE)/24,""))),"")=0,"",IFERROR(IF(C853=C851,0,IF(E853=E852,0,IF(C853=$R$3,HLOOKUP($R$3,Ingreso!$AW$10:$BC$260,VLOOKUP(A853,Ingreso!AL:AM,2,FALSE),FALSE)/24,""))),""))</f>
        <v/>
      </c>
      <c r="O853" s="95" t="str">
        <f>IF(IFERROR(IF(C853=C851,0,IF(E853=E852,0,IF(C853=$R$4,HLOOKUP($R$4,Ingreso!$AW$10:$BC$260,VLOOKUP(A853,Ingreso!AL:AM,2,FALSE),FALSE)/24,""))),"")=0,"",IFERROR(IF(C853=C851,0,IF(E853=E852,0,IF(C853=$R$4,HLOOKUP($R$4,Ingreso!$AW$10:$BC$260,VLOOKUP(A853,Ingreso!AL:AM,2,FALSE),FALSE)/24,""))),""))</f>
        <v/>
      </c>
      <c r="P853" s="90"/>
      <c r="V853"/>
      <c r="W853"/>
      <c r="X853"/>
      <c r="Y853"/>
      <c r="Z853"/>
      <c r="AA853"/>
      <c r="AB853"/>
      <c r="AC853"/>
      <c r="AD853"/>
    </row>
    <row r="854" spans="1:30">
      <c r="A854" s="65" t="str">
        <f>IFERROR(VLOOKUP('Informe Kelly'!A847,Base!A:B,2,FALSE),"")</f>
        <v>15.439.409-5</v>
      </c>
      <c r="B854" s="65" t="str">
        <f>IFERROR(VLOOKUP('Informe Kelly'!A847,Base!A:G,7,FALSE),"")</f>
        <v>BRAVO SALAMANCA MARICEL ANDREA</v>
      </c>
      <c r="C854" s="69" t="str">
        <f>IF(G854=$C$4,IF('Informe Kelly'!H847='Control informe Kelly'!$A$2,TEXT(((LEFT('Informe Kelly'!E847,2)*1)+1),"dd")&amp;"."&amp;MID('Informe Kelly'!E847,4,2)&amp;"."&amp;RIGHT('Informe Kelly'!E847,4),'Informe Kelly'!E847),'Informe Kelly'!E847)</f>
        <v>11.04.2011</v>
      </c>
      <c r="D854" s="69" t="str">
        <f>IF('Informe Kelly'!E847="","",'Informe Kelly'!E847)</f>
        <v>11.04.2011</v>
      </c>
      <c r="E854" s="72">
        <f t="shared" si="27"/>
        <v>433</v>
      </c>
      <c r="F854" s="72" t="str">
        <f>IFERROR(HLOOKUP(C854,Ingreso!$Q$8:$AD$9,2,FALSE),"v")</f>
        <v>Lunes</v>
      </c>
      <c r="G854" s="65" t="str">
        <f>IFERROR(VLOOKUP(A854,Ingreso!K:P,6,FALSE),"no esta ingresado")</f>
        <v>no esta ingresado</v>
      </c>
      <c r="H854" s="65">
        <f>IFERROR(IF('Informe Kelly'!H847=$A$2,'Informe Kelly'!F847,""),0)</f>
        <v>0.30375000000000002</v>
      </c>
      <c r="I854" s="65" t="str">
        <f>IFERROR(IF('Informe Kelly'!H847=$A$3,'Informe Kelly'!F847,""),0)</f>
        <v/>
      </c>
      <c r="J854" s="65" t="str">
        <f>IF(IFERROR(IF(E854=E853,0,(HLOOKUP(D854,Ingreso!$AN$10:$AT$260,VLOOKUP(A854,Ingreso!$AL$11:$AM$260,2,FALSE)))/24),0)=0,"",IFERROR(IF(E854=E853,0,(HLOOKUP(D854,Ingreso!$AN$10:$AT$260,VLOOKUP(A854,Ingreso!$AL$11:$AM$260,2,FALSE)))/24),0))</f>
        <v/>
      </c>
      <c r="K854" s="65" t="str">
        <f>IF(IFERROR(IF(E854=E853,0,(HLOOKUP(C854,Ingreso!$AW$10:$BC$260,VLOOKUP(A854,Ingreso!$AL$11:$AM$260,2,FALSE)))/24),0)=0,"",IFERROR(IF(E854=E853,0,(HLOOKUP(C854,Ingreso!$AW$10:$BC$260,VLOOKUP(A854,Ingreso!$AL$11:$AM$260,2,FALSE)))/24),0))</f>
        <v/>
      </c>
      <c r="L854" s="63">
        <f t="shared" si="26"/>
        <v>0</v>
      </c>
      <c r="M854" s="63" t="str">
        <f>IF(IFERROR(IF(C854=C852,0,IF(E854=E853,0,IF(C854=$R$2,HLOOKUP($R$2,Ingreso!$AW$10:$BC$260,VLOOKUP(A854,Ingreso!AL:AM,2,FALSE),FALSE)/24,""))),"")=0,"",IFERROR(IF(C854=C852,0,IF(E854=E853,0,IF(C854=$R$2,HLOOKUP($R$2,Ingreso!$AW$10:$BC$260,VLOOKUP(A854,Ingreso!AL:AM,2,FALSE),FALSE)/24,""))),""))</f>
        <v/>
      </c>
      <c r="N854" s="95" t="str">
        <f>IF(IFERROR(IF(C854=C852,0,IF(E854=E853,0,IF(C854=$R$3,HLOOKUP($R$3,Ingreso!$AW$10:$BC$260,VLOOKUP(A854,Ingreso!AL:AM,2,FALSE),FALSE)/24,""))),"")=0,"",IFERROR(IF(C854=C852,0,IF(E854=E853,0,IF(C854=$R$3,HLOOKUP($R$3,Ingreso!$AW$10:$BC$260,VLOOKUP(A854,Ingreso!AL:AM,2,FALSE),FALSE)/24,""))),""))</f>
        <v/>
      </c>
      <c r="O854" s="95" t="str">
        <f>IF(IFERROR(IF(C854=C852,0,IF(E854=E853,0,IF(C854=$R$4,HLOOKUP($R$4,Ingreso!$AW$10:$BC$260,VLOOKUP(A854,Ingreso!AL:AM,2,FALSE),FALSE)/24,""))),"")=0,"",IFERROR(IF(C854=C852,0,IF(E854=E853,0,IF(C854=$R$4,HLOOKUP($R$4,Ingreso!$AW$10:$BC$260,VLOOKUP(A854,Ingreso!AL:AM,2,FALSE),FALSE)/24,""))),""))</f>
        <v/>
      </c>
      <c r="P854" s="90"/>
      <c r="V854"/>
      <c r="W854"/>
      <c r="X854"/>
      <c r="Y854"/>
      <c r="Z854"/>
      <c r="AA854"/>
      <c r="AB854"/>
      <c r="AC854"/>
      <c r="AD854"/>
    </row>
    <row r="855" spans="1:30">
      <c r="A855" s="65" t="str">
        <f>IFERROR(VLOOKUP('Informe Kelly'!A848,Base!A:B,2,FALSE),"")</f>
        <v>15.439.409-5</v>
      </c>
      <c r="B855" s="65" t="str">
        <f>IFERROR(VLOOKUP('Informe Kelly'!A848,Base!A:G,7,FALSE),"")</f>
        <v>BRAVO SALAMANCA MARICEL ANDREA</v>
      </c>
      <c r="C855" s="69" t="str">
        <f>IF(G855=$C$4,IF('Informe Kelly'!H848='Control informe Kelly'!$A$2,TEXT(((LEFT('Informe Kelly'!E848,2)*1)+1),"dd")&amp;"."&amp;MID('Informe Kelly'!E848,4,2)&amp;"."&amp;RIGHT('Informe Kelly'!E848,4),'Informe Kelly'!E848),'Informe Kelly'!E848)</f>
        <v>12.04.2011</v>
      </c>
      <c r="D855" s="69" t="str">
        <f>IF('Informe Kelly'!E848="","",'Informe Kelly'!E848)</f>
        <v>12.04.2011</v>
      </c>
      <c r="E855" s="72">
        <f t="shared" si="27"/>
        <v>434</v>
      </c>
      <c r="F855" s="72" t="str">
        <f>IFERROR(HLOOKUP(C855,Ingreso!$Q$8:$AD$9,2,FALSE),"v")</f>
        <v>Martes</v>
      </c>
      <c r="G855" s="65" t="str">
        <f>IFERROR(VLOOKUP(A855,Ingreso!K:P,6,FALSE),"no esta ingresado")</f>
        <v>no esta ingresado</v>
      </c>
      <c r="H855" s="65" t="str">
        <f>IFERROR(IF('Informe Kelly'!H848=$A$2,'Informe Kelly'!F848,""),0)</f>
        <v/>
      </c>
      <c r="I855" s="65">
        <f>IFERROR(IF('Informe Kelly'!H848=$A$3,'Informe Kelly'!F848,""),0)</f>
        <v>0.63446759259259256</v>
      </c>
      <c r="J855" s="65" t="str">
        <f>IF(IFERROR(IF(E855=E854,0,(HLOOKUP(D855,Ingreso!$AN$10:$AT$260,VLOOKUP(A855,Ingreso!$AL$11:$AM$260,2,FALSE)))/24),0)=0,"",IFERROR(IF(E855=E854,0,(HLOOKUP(D855,Ingreso!$AN$10:$AT$260,VLOOKUP(A855,Ingreso!$AL$11:$AM$260,2,FALSE)))/24),0))</f>
        <v/>
      </c>
      <c r="K855" s="65" t="str">
        <f>IF(IFERROR(IF(E855=E854,0,(HLOOKUP(C855,Ingreso!$AW$10:$BC$260,VLOOKUP(A855,Ingreso!$AL$11:$AM$260,2,FALSE)))/24),0)=0,"",IFERROR(IF(E855=E854,0,(HLOOKUP(C855,Ingreso!$AW$10:$BC$260,VLOOKUP(A855,Ingreso!$AL$11:$AM$260,2,FALSE)))/24),0))</f>
        <v/>
      </c>
      <c r="L855" s="63" t="str">
        <f t="shared" si="26"/>
        <v/>
      </c>
      <c r="M855" s="63" t="str">
        <f>IF(IFERROR(IF(C855=C853,0,IF(E855=E854,0,IF(C855=$R$2,HLOOKUP($R$2,Ingreso!$AW$10:$BC$260,VLOOKUP(A855,Ingreso!AL:AM,2,FALSE),FALSE)/24,""))),"")=0,"",IFERROR(IF(C855=C853,0,IF(E855=E854,0,IF(C855=$R$2,HLOOKUP($R$2,Ingreso!$AW$10:$BC$260,VLOOKUP(A855,Ingreso!AL:AM,2,FALSE),FALSE)/24,""))),""))</f>
        <v/>
      </c>
      <c r="N855" s="95" t="str">
        <f>IF(IFERROR(IF(C855=C853,0,IF(E855=E854,0,IF(C855=$R$3,HLOOKUP($R$3,Ingreso!$AW$10:$BC$260,VLOOKUP(A855,Ingreso!AL:AM,2,FALSE),FALSE)/24,""))),"")=0,"",IFERROR(IF(C855=C853,0,IF(E855=E854,0,IF(C855=$R$3,HLOOKUP($R$3,Ingreso!$AW$10:$BC$260,VLOOKUP(A855,Ingreso!AL:AM,2,FALSE),FALSE)/24,""))),""))</f>
        <v/>
      </c>
      <c r="O855" s="95" t="str">
        <f>IF(IFERROR(IF(C855=C853,0,IF(E855=E854,0,IF(C855=$R$4,HLOOKUP($R$4,Ingreso!$AW$10:$BC$260,VLOOKUP(A855,Ingreso!AL:AM,2,FALSE),FALSE)/24,""))),"")=0,"",IFERROR(IF(C855=C853,0,IF(E855=E854,0,IF(C855=$R$4,HLOOKUP($R$4,Ingreso!$AW$10:$BC$260,VLOOKUP(A855,Ingreso!AL:AM,2,FALSE),FALSE)/24,""))),""))</f>
        <v/>
      </c>
      <c r="P855" s="90"/>
      <c r="V855"/>
      <c r="W855"/>
      <c r="X855"/>
      <c r="Y855"/>
      <c r="Z855"/>
      <c r="AA855"/>
      <c r="AB855"/>
      <c r="AC855"/>
      <c r="AD855"/>
    </row>
    <row r="856" spans="1:30">
      <c r="A856" s="65" t="str">
        <f>IFERROR(VLOOKUP('Informe Kelly'!A849,Base!A:B,2,FALSE),"")</f>
        <v>15.439.409-5</v>
      </c>
      <c r="B856" s="65" t="str">
        <f>IFERROR(VLOOKUP('Informe Kelly'!A849,Base!A:G,7,FALSE),"")</f>
        <v>BRAVO SALAMANCA MARICEL ANDREA</v>
      </c>
      <c r="C856" s="69" t="str">
        <f>IF(G856=$C$4,IF('Informe Kelly'!H849='Control informe Kelly'!$A$2,TEXT(((LEFT('Informe Kelly'!E849,2)*1)+1),"dd")&amp;"."&amp;MID('Informe Kelly'!E849,4,2)&amp;"."&amp;RIGHT('Informe Kelly'!E849,4),'Informe Kelly'!E849),'Informe Kelly'!E849)</f>
        <v>12.04.2011</v>
      </c>
      <c r="D856" s="69" t="str">
        <f>IF('Informe Kelly'!E849="","",'Informe Kelly'!E849)</f>
        <v>12.04.2011</v>
      </c>
      <c r="E856" s="72">
        <f t="shared" si="27"/>
        <v>434</v>
      </c>
      <c r="F856" s="72" t="str">
        <f>IFERROR(HLOOKUP(C856,Ingreso!$Q$8:$AD$9,2,FALSE),"v")</f>
        <v>Martes</v>
      </c>
      <c r="G856" s="65" t="str">
        <f>IFERROR(VLOOKUP(A856,Ingreso!K:P,6,FALSE),"no esta ingresado")</f>
        <v>no esta ingresado</v>
      </c>
      <c r="H856" s="65">
        <f>IFERROR(IF('Informe Kelly'!H849=$A$2,'Informe Kelly'!F849,""),0)</f>
        <v>0.2956597222222222</v>
      </c>
      <c r="I856" s="65" t="str">
        <f>IFERROR(IF('Informe Kelly'!H849=$A$3,'Informe Kelly'!F849,""),0)</f>
        <v/>
      </c>
      <c r="J856" s="65" t="str">
        <f>IF(IFERROR(IF(E856=E855,0,(HLOOKUP(D856,Ingreso!$AN$10:$AT$260,VLOOKUP(A856,Ingreso!$AL$11:$AM$260,2,FALSE)))/24),0)=0,"",IFERROR(IF(E856=E855,0,(HLOOKUP(D856,Ingreso!$AN$10:$AT$260,VLOOKUP(A856,Ingreso!$AL$11:$AM$260,2,FALSE)))/24),0))</f>
        <v/>
      </c>
      <c r="K856" s="65" t="str">
        <f>IF(IFERROR(IF(E856=E855,0,(HLOOKUP(C856,Ingreso!$AW$10:$BC$260,VLOOKUP(A856,Ingreso!$AL$11:$AM$260,2,FALSE)))/24),0)=0,"",IFERROR(IF(E856=E855,0,(HLOOKUP(C856,Ingreso!$AW$10:$BC$260,VLOOKUP(A856,Ingreso!$AL$11:$AM$260,2,FALSE)))/24),0))</f>
        <v/>
      </c>
      <c r="L856" s="63">
        <f t="shared" si="26"/>
        <v>0</v>
      </c>
      <c r="M856" s="63" t="str">
        <f>IF(IFERROR(IF(C856=C854,0,IF(E856=E855,0,IF(C856=$R$2,HLOOKUP($R$2,Ingreso!$AW$10:$BC$260,VLOOKUP(A856,Ingreso!AL:AM,2,FALSE),FALSE)/24,""))),"")=0,"",IFERROR(IF(C856=C854,0,IF(E856=E855,0,IF(C856=$R$2,HLOOKUP($R$2,Ingreso!$AW$10:$BC$260,VLOOKUP(A856,Ingreso!AL:AM,2,FALSE),FALSE)/24,""))),""))</f>
        <v/>
      </c>
      <c r="N856" s="95" t="str">
        <f>IF(IFERROR(IF(C856=C854,0,IF(E856=E855,0,IF(C856=$R$3,HLOOKUP($R$3,Ingreso!$AW$10:$BC$260,VLOOKUP(A856,Ingreso!AL:AM,2,FALSE),FALSE)/24,""))),"")=0,"",IFERROR(IF(C856=C854,0,IF(E856=E855,0,IF(C856=$R$3,HLOOKUP($R$3,Ingreso!$AW$10:$BC$260,VLOOKUP(A856,Ingreso!AL:AM,2,FALSE),FALSE)/24,""))),""))</f>
        <v/>
      </c>
      <c r="O856" s="95" t="str">
        <f>IF(IFERROR(IF(C856=C854,0,IF(E856=E855,0,IF(C856=$R$4,HLOOKUP($R$4,Ingreso!$AW$10:$BC$260,VLOOKUP(A856,Ingreso!AL:AM,2,FALSE),FALSE)/24,""))),"")=0,"",IFERROR(IF(C856=C854,0,IF(E856=E855,0,IF(C856=$R$4,HLOOKUP($R$4,Ingreso!$AW$10:$BC$260,VLOOKUP(A856,Ingreso!AL:AM,2,FALSE),FALSE)/24,""))),""))</f>
        <v/>
      </c>
      <c r="P856" s="90"/>
      <c r="V856"/>
      <c r="W856"/>
      <c r="X856"/>
      <c r="Y856"/>
      <c r="Z856"/>
      <c r="AA856"/>
      <c r="AB856"/>
      <c r="AC856"/>
      <c r="AD856"/>
    </row>
    <row r="857" spans="1:30">
      <c r="A857" s="65" t="str">
        <f>IFERROR(VLOOKUP('Informe Kelly'!A850,Base!A:B,2,FALSE),"")</f>
        <v>15.439.409-5</v>
      </c>
      <c r="B857" s="65" t="str">
        <f>IFERROR(VLOOKUP('Informe Kelly'!A850,Base!A:G,7,FALSE),"")</f>
        <v>BRAVO SALAMANCA MARICEL ANDREA</v>
      </c>
      <c r="C857" s="69" t="str">
        <f>IF(G857=$C$4,IF('Informe Kelly'!H850='Control informe Kelly'!$A$2,TEXT(((LEFT('Informe Kelly'!E850,2)*1)+1),"dd")&amp;"."&amp;MID('Informe Kelly'!E850,4,2)&amp;"."&amp;RIGHT('Informe Kelly'!E850,4),'Informe Kelly'!E850),'Informe Kelly'!E850)</f>
        <v>13.04.2011</v>
      </c>
      <c r="D857" s="69" t="str">
        <f>IF('Informe Kelly'!E850="","",'Informe Kelly'!E850)</f>
        <v>13.04.2011</v>
      </c>
      <c r="E857" s="72">
        <f t="shared" si="27"/>
        <v>435</v>
      </c>
      <c r="F857" s="72" t="str">
        <f>IFERROR(HLOOKUP(C857,Ingreso!$Q$8:$AD$9,2,FALSE),"v")</f>
        <v>Miércoles</v>
      </c>
      <c r="G857" s="65" t="str">
        <f>IFERROR(VLOOKUP(A857,Ingreso!K:P,6,FALSE),"no esta ingresado")</f>
        <v>no esta ingresado</v>
      </c>
      <c r="H857" s="65" t="str">
        <f>IFERROR(IF('Informe Kelly'!H850=$A$2,'Informe Kelly'!F850,""),0)</f>
        <v/>
      </c>
      <c r="I857" s="65">
        <f>IFERROR(IF('Informe Kelly'!H850=$A$3,'Informe Kelly'!F850,""),0)</f>
        <v>0.63512731481481477</v>
      </c>
      <c r="J857" s="65" t="str">
        <f>IF(IFERROR(IF(E857=E856,0,(HLOOKUP(D857,Ingreso!$AN$10:$AT$260,VLOOKUP(A857,Ingreso!$AL$11:$AM$260,2,FALSE)))/24),0)=0,"",IFERROR(IF(E857=E856,0,(HLOOKUP(D857,Ingreso!$AN$10:$AT$260,VLOOKUP(A857,Ingreso!$AL$11:$AM$260,2,FALSE)))/24),0))</f>
        <v/>
      </c>
      <c r="K857" s="65" t="str">
        <f>IF(IFERROR(IF(E857=E856,0,(HLOOKUP(C857,Ingreso!$AW$10:$BC$260,VLOOKUP(A857,Ingreso!$AL$11:$AM$260,2,FALSE)))/24),0)=0,"",IFERROR(IF(E857=E856,0,(HLOOKUP(C857,Ingreso!$AW$10:$BC$260,VLOOKUP(A857,Ingreso!$AL$11:$AM$260,2,FALSE)))/24),0))</f>
        <v/>
      </c>
      <c r="L857" s="63" t="str">
        <f t="shared" si="26"/>
        <v/>
      </c>
      <c r="M857" s="63" t="str">
        <f>IF(IFERROR(IF(C857=C855,0,IF(E857=E856,0,IF(C857=$R$2,HLOOKUP($R$2,Ingreso!$AW$10:$BC$260,VLOOKUP(A857,Ingreso!AL:AM,2,FALSE),FALSE)/24,""))),"")=0,"",IFERROR(IF(C857=C855,0,IF(E857=E856,0,IF(C857=$R$2,HLOOKUP($R$2,Ingreso!$AW$10:$BC$260,VLOOKUP(A857,Ingreso!AL:AM,2,FALSE),FALSE)/24,""))),""))</f>
        <v/>
      </c>
      <c r="N857" s="95" t="str">
        <f>IF(IFERROR(IF(C857=C855,0,IF(E857=E856,0,IF(C857=$R$3,HLOOKUP($R$3,Ingreso!$AW$10:$BC$260,VLOOKUP(A857,Ingreso!AL:AM,2,FALSE),FALSE)/24,""))),"")=0,"",IFERROR(IF(C857=C855,0,IF(E857=E856,0,IF(C857=$R$3,HLOOKUP($R$3,Ingreso!$AW$10:$BC$260,VLOOKUP(A857,Ingreso!AL:AM,2,FALSE),FALSE)/24,""))),""))</f>
        <v/>
      </c>
      <c r="O857" s="95" t="str">
        <f>IF(IFERROR(IF(C857=C855,0,IF(E857=E856,0,IF(C857=$R$4,HLOOKUP($R$4,Ingreso!$AW$10:$BC$260,VLOOKUP(A857,Ingreso!AL:AM,2,FALSE),FALSE)/24,""))),"")=0,"",IFERROR(IF(C857=C855,0,IF(E857=E856,0,IF(C857=$R$4,HLOOKUP($R$4,Ingreso!$AW$10:$BC$260,VLOOKUP(A857,Ingreso!AL:AM,2,FALSE),FALSE)/24,""))),""))</f>
        <v/>
      </c>
      <c r="P857" s="90"/>
      <c r="V857"/>
      <c r="W857"/>
      <c r="X857"/>
      <c r="Y857"/>
      <c r="Z857"/>
      <c r="AA857"/>
      <c r="AB857"/>
      <c r="AC857"/>
      <c r="AD857"/>
    </row>
    <row r="858" spans="1:30">
      <c r="A858" s="65" t="str">
        <f>IFERROR(VLOOKUP('Informe Kelly'!A851,Base!A:B,2,FALSE),"")</f>
        <v>15.439.409-5</v>
      </c>
      <c r="B858" s="65" t="str">
        <f>IFERROR(VLOOKUP('Informe Kelly'!A851,Base!A:G,7,FALSE),"")</f>
        <v>BRAVO SALAMANCA MARICEL ANDREA</v>
      </c>
      <c r="C858" s="69" t="str">
        <f>IF(G858=$C$4,IF('Informe Kelly'!H851='Control informe Kelly'!$A$2,TEXT(((LEFT('Informe Kelly'!E851,2)*1)+1),"dd")&amp;"."&amp;MID('Informe Kelly'!E851,4,2)&amp;"."&amp;RIGHT('Informe Kelly'!E851,4),'Informe Kelly'!E851),'Informe Kelly'!E851)</f>
        <v>13.04.2011</v>
      </c>
      <c r="D858" s="69" t="str">
        <f>IF('Informe Kelly'!E851="","",'Informe Kelly'!E851)</f>
        <v>13.04.2011</v>
      </c>
      <c r="E858" s="72">
        <f t="shared" si="27"/>
        <v>435</v>
      </c>
      <c r="F858" s="72" t="str">
        <f>IFERROR(HLOOKUP(C858,Ingreso!$Q$8:$AD$9,2,FALSE),"v")</f>
        <v>Miércoles</v>
      </c>
      <c r="G858" s="65" t="str">
        <f>IFERROR(VLOOKUP(A858,Ingreso!K:P,6,FALSE),"no esta ingresado")</f>
        <v>no esta ingresado</v>
      </c>
      <c r="H858" s="65">
        <f>IFERROR(IF('Informe Kelly'!H851=$A$2,'Informe Kelly'!F851,""),0)</f>
        <v>0.30031249999999998</v>
      </c>
      <c r="I858" s="65" t="str">
        <f>IFERROR(IF('Informe Kelly'!H851=$A$3,'Informe Kelly'!F851,""),0)</f>
        <v/>
      </c>
      <c r="J858" s="65" t="str">
        <f>IF(IFERROR(IF(E858=E857,0,(HLOOKUP(D858,Ingreso!$AN$10:$AT$260,VLOOKUP(A858,Ingreso!$AL$11:$AM$260,2,FALSE)))/24),0)=0,"",IFERROR(IF(E858=E857,0,(HLOOKUP(D858,Ingreso!$AN$10:$AT$260,VLOOKUP(A858,Ingreso!$AL$11:$AM$260,2,FALSE)))/24),0))</f>
        <v/>
      </c>
      <c r="K858" s="65" t="str">
        <f>IF(IFERROR(IF(E858=E857,0,(HLOOKUP(C858,Ingreso!$AW$10:$BC$260,VLOOKUP(A858,Ingreso!$AL$11:$AM$260,2,FALSE)))/24),0)=0,"",IFERROR(IF(E858=E857,0,(HLOOKUP(C858,Ingreso!$AW$10:$BC$260,VLOOKUP(A858,Ingreso!$AL$11:$AM$260,2,FALSE)))/24),0))</f>
        <v/>
      </c>
      <c r="L858" s="63">
        <f t="shared" si="26"/>
        <v>0</v>
      </c>
      <c r="M858" s="63" t="str">
        <f>IF(IFERROR(IF(C858=C856,0,IF(E858=E857,0,IF(C858=$R$2,HLOOKUP($R$2,Ingreso!$AW$10:$BC$260,VLOOKUP(A858,Ingreso!AL:AM,2,FALSE),FALSE)/24,""))),"")=0,"",IFERROR(IF(C858=C856,0,IF(E858=E857,0,IF(C858=$R$2,HLOOKUP($R$2,Ingreso!$AW$10:$BC$260,VLOOKUP(A858,Ingreso!AL:AM,2,FALSE),FALSE)/24,""))),""))</f>
        <v/>
      </c>
      <c r="N858" s="95" t="str">
        <f>IF(IFERROR(IF(C858=C856,0,IF(E858=E857,0,IF(C858=$R$3,HLOOKUP($R$3,Ingreso!$AW$10:$BC$260,VLOOKUP(A858,Ingreso!AL:AM,2,FALSE),FALSE)/24,""))),"")=0,"",IFERROR(IF(C858=C856,0,IF(E858=E857,0,IF(C858=$R$3,HLOOKUP($R$3,Ingreso!$AW$10:$BC$260,VLOOKUP(A858,Ingreso!AL:AM,2,FALSE),FALSE)/24,""))),""))</f>
        <v/>
      </c>
      <c r="O858" s="95" t="str">
        <f>IF(IFERROR(IF(C858=C856,0,IF(E858=E857,0,IF(C858=$R$4,HLOOKUP($R$4,Ingreso!$AW$10:$BC$260,VLOOKUP(A858,Ingreso!AL:AM,2,FALSE),FALSE)/24,""))),"")=0,"",IFERROR(IF(C858=C856,0,IF(E858=E857,0,IF(C858=$R$4,HLOOKUP($R$4,Ingreso!$AW$10:$BC$260,VLOOKUP(A858,Ingreso!AL:AM,2,FALSE),FALSE)/24,""))),""))</f>
        <v/>
      </c>
      <c r="P858" s="90"/>
      <c r="V858"/>
      <c r="W858"/>
      <c r="X858"/>
      <c r="Y858"/>
      <c r="Z858"/>
      <c r="AA858"/>
      <c r="AB858"/>
      <c r="AC858"/>
      <c r="AD858"/>
    </row>
    <row r="859" spans="1:30">
      <c r="A859" s="65" t="str">
        <f>IFERROR(VLOOKUP('Informe Kelly'!A852,Base!A:B,2,FALSE),"")</f>
        <v>15.439.409-5</v>
      </c>
      <c r="B859" s="65" t="str">
        <f>IFERROR(VLOOKUP('Informe Kelly'!A852,Base!A:G,7,FALSE),"")</f>
        <v>BRAVO SALAMANCA MARICEL ANDREA</v>
      </c>
      <c r="C859" s="69" t="str">
        <f>IF(G859=$C$4,IF('Informe Kelly'!H852='Control informe Kelly'!$A$2,TEXT(((LEFT('Informe Kelly'!E852,2)*1)+1),"dd")&amp;"."&amp;MID('Informe Kelly'!E852,4,2)&amp;"."&amp;RIGHT('Informe Kelly'!E852,4),'Informe Kelly'!E852),'Informe Kelly'!E852)</f>
        <v>15.04.2011</v>
      </c>
      <c r="D859" s="69" t="str">
        <f>IF('Informe Kelly'!E852="","",'Informe Kelly'!E852)</f>
        <v>15.04.2011</v>
      </c>
      <c r="E859" s="72">
        <f t="shared" si="27"/>
        <v>436</v>
      </c>
      <c r="F859" s="72" t="str">
        <f>IFERROR(HLOOKUP(C859,Ingreso!$Q$8:$AD$9,2,FALSE),"v")</f>
        <v>Viernes</v>
      </c>
      <c r="G859" s="65" t="str">
        <f>IFERROR(VLOOKUP(A859,Ingreso!K:P,6,FALSE),"no esta ingresado")</f>
        <v>no esta ingresado</v>
      </c>
      <c r="H859" s="65" t="str">
        <f>IFERROR(IF('Informe Kelly'!H852=$A$2,'Informe Kelly'!F852,""),0)</f>
        <v/>
      </c>
      <c r="I859" s="65">
        <f>IFERROR(IF('Informe Kelly'!H852=$A$3,'Informe Kelly'!F852,""),0)</f>
        <v>0.63607638888888884</v>
      </c>
      <c r="J859" s="65" t="str">
        <f>IF(IFERROR(IF(E859=E858,0,(HLOOKUP(D859,Ingreso!$AN$10:$AT$260,VLOOKUP(A859,Ingreso!$AL$11:$AM$260,2,FALSE)))/24),0)=0,"",IFERROR(IF(E859=E858,0,(HLOOKUP(D859,Ingreso!$AN$10:$AT$260,VLOOKUP(A859,Ingreso!$AL$11:$AM$260,2,FALSE)))/24),0))</f>
        <v/>
      </c>
      <c r="K859" s="65" t="str">
        <f>IF(IFERROR(IF(E859=E858,0,(HLOOKUP(C859,Ingreso!$AW$10:$BC$260,VLOOKUP(A859,Ingreso!$AL$11:$AM$260,2,FALSE)))/24),0)=0,"",IFERROR(IF(E859=E858,0,(HLOOKUP(C859,Ingreso!$AW$10:$BC$260,VLOOKUP(A859,Ingreso!$AL$11:$AM$260,2,FALSE)))/24),0))</f>
        <v/>
      </c>
      <c r="L859" s="63" t="str">
        <f t="shared" si="26"/>
        <v/>
      </c>
      <c r="M859" s="63" t="str">
        <f>IF(IFERROR(IF(C859=C857,0,IF(E859=E858,0,IF(C859=$R$2,HLOOKUP($R$2,Ingreso!$AW$10:$BC$260,VLOOKUP(A859,Ingreso!AL:AM,2,FALSE),FALSE)/24,""))),"")=0,"",IFERROR(IF(C859=C857,0,IF(E859=E858,0,IF(C859=$R$2,HLOOKUP($R$2,Ingreso!$AW$10:$BC$260,VLOOKUP(A859,Ingreso!AL:AM,2,FALSE),FALSE)/24,""))),""))</f>
        <v/>
      </c>
      <c r="N859" s="95" t="str">
        <f>IF(IFERROR(IF(C859=C857,0,IF(E859=E858,0,IF(C859=$R$3,HLOOKUP($R$3,Ingreso!$AW$10:$BC$260,VLOOKUP(A859,Ingreso!AL:AM,2,FALSE),FALSE)/24,""))),"")=0,"",IFERROR(IF(C859=C857,0,IF(E859=E858,0,IF(C859=$R$3,HLOOKUP($R$3,Ingreso!$AW$10:$BC$260,VLOOKUP(A859,Ingreso!AL:AM,2,FALSE),FALSE)/24,""))),""))</f>
        <v/>
      </c>
      <c r="O859" s="95" t="str">
        <f>IF(IFERROR(IF(C859=C857,0,IF(E859=E858,0,IF(C859=$R$4,HLOOKUP($R$4,Ingreso!$AW$10:$BC$260,VLOOKUP(A859,Ingreso!AL:AM,2,FALSE),FALSE)/24,""))),"")=0,"",IFERROR(IF(C859=C857,0,IF(E859=E858,0,IF(C859=$R$4,HLOOKUP($R$4,Ingreso!$AW$10:$BC$260,VLOOKUP(A859,Ingreso!AL:AM,2,FALSE),FALSE)/24,""))),""))</f>
        <v/>
      </c>
      <c r="P859" s="90"/>
      <c r="V859"/>
      <c r="W859"/>
      <c r="X859"/>
      <c r="Y859"/>
      <c r="Z859"/>
      <c r="AA859"/>
      <c r="AB859"/>
      <c r="AC859"/>
      <c r="AD859"/>
    </row>
    <row r="860" spans="1:30">
      <c r="A860" s="65" t="str">
        <f>IFERROR(VLOOKUP('Informe Kelly'!A853,Base!A:B,2,FALSE),"")</f>
        <v>15.439.409-5</v>
      </c>
      <c r="B860" s="65" t="str">
        <f>IFERROR(VLOOKUP('Informe Kelly'!A853,Base!A:G,7,FALSE),"")</f>
        <v>BRAVO SALAMANCA MARICEL ANDREA</v>
      </c>
      <c r="C860" s="69" t="str">
        <f>IF(G860=$C$4,IF('Informe Kelly'!H853='Control informe Kelly'!$A$2,TEXT(((LEFT('Informe Kelly'!E853,2)*1)+1),"dd")&amp;"."&amp;MID('Informe Kelly'!E853,4,2)&amp;"."&amp;RIGHT('Informe Kelly'!E853,4),'Informe Kelly'!E853),'Informe Kelly'!E853)</f>
        <v>15.04.2011</v>
      </c>
      <c r="D860" s="69" t="str">
        <f>IF('Informe Kelly'!E853="","",'Informe Kelly'!E853)</f>
        <v>15.04.2011</v>
      </c>
      <c r="E860" s="72">
        <f t="shared" si="27"/>
        <v>436</v>
      </c>
      <c r="F860" s="72" t="str">
        <f>IFERROR(HLOOKUP(C860,Ingreso!$Q$8:$AD$9,2,FALSE),"v")</f>
        <v>Viernes</v>
      </c>
      <c r="G860" s="65" t="str">
        <f>IFERROR(VLOOKUP(A860,Ingreso!K:P,6,FALSE),"no esta ingresado")</f>
        <v>no esta ingresado</v>
      </c>
      <c r="H860" s="65">
        <f>IFERROR(IF('Informe Kelly'!H853=$A$2,'Informe Kelly'!F853,""),0)</f>
        <v>0.29645833333333332</v>
      </c>
      <c r="I860" s="65" t="str">
        <f>IFERROR(IF('Informe Kelly'!H853=$A$3,'Informe Kelly'!F853,""),0)</f>
        <v/>
      </c>
      <c r="J860" s="65" t="str">
        <f>IF(IFERROR(IF(E860=E859,0,(HLOOKUP(D860,Ingreso!$AN$10:$AT$260,VLOOKUP(A860,Ingreso!$AL$11:$AM$260,2,FALSE)))/24),0)=0,"",IFERROR(IF(E860=E859,0,(HLOOKUP(D860,Ingreso!$AN$10:$AT$260,VLOOKUP(A860,Ingreso!$AL$11:$AM$260,2,FALSE)))/24),0))</f>
        <v/>
      </c>
      <c r="K860" s="65" t="str">
        <f>IF(IFERROR(IF(E860=E859,0,(HLOOKUP(C860,Ingreso!$AW$10:$BC$260,VLOOKUP(A860,Ingreso!$AL$11:$AM$260,2,FALSE)))/24),0)=0,"",IFERROR(IF(E860=E859,0,(HLOOKUP(C860,Ingreso!$AW$10:$BC$260,VLOOKUP(A860,Ingreso!$AL$11:$AM$260,2,FALSE)))/24),0))</f>
        <v/>
      </c>
      <c r="L860" s="63">
        <f t="shared" si="26"/>
        <v>0</v>
      </c>
      <c r="M860" s="63" t="str">
        <f>IF(IFERROR(IF(C860=C858,0,IF(E860=E859,0,IF(C860=$R$2,HLOOKUP($R$2,Ingreso!$AW$10:$BC$260,VLOOKUP(A860,Ingreso!AL:AM,2,FALSE),FALSE)/24,""))),"")=0,"",IFERROR(IF(C860=C858,0,IF(E860=E859,0,IF(C860=$R$2,HLOOKUP($R$2,Ingreso!$AW$10:$BC$260,VLOOKUP(A860,Ingreso!AL:AM,2,FALSE),FALSE)/24,""))),""))</f>
        <v/>
      </c>
      <c r="N860" s="95" t="str">
        <f>IF(IFERROR(IF(C860=C858,0,IF(E860=E859,0,IF(C860=$R$3,HLOOKUP($R$3,Ingreso!$AW$10:$BC$260,VLOOKUP(A860,Ingreso!AL:AM,2,FALSE),FALSE)/24,""))),"")=0,"",IFERROR(IF(C860=C858,0,IF(E860=E859,0,IF(C860=$R$3,HLOOKUP($R$3,Ingreso!$AW$10:$BC$260,VLOOKUP(A860,Ingreso!AL:AM,2,FALSE),FALSE)/24,""))),""))</f>
        <v/>
      </c>
      <c r="O860" s="95" t="str">
        <f>IF(IFERROR(IF(C860=C858,0,IF(E860=E859,0,IF(C860=$R$4,HLOOKUP($R$4,Ingreso!$AW$10:$BC$260,VLOOKUP(A860,Ingreso!AL:AM,2,FALSE),FALSE)/24,""))),"")=0,"",IFERROR(IF(C860=C858,0,IF(E860=E859,0,IF(C860=$R$4,HLOOKUP($R$4,Ingreso!$AW$10:$BC$260,VLOOKUP(A860,Ingreso!AL:AM,2,FALSE),FALSE)/24,""))),""))</f>
        <v/>
      </c>
      <c r="P860" s="90"/>
      <c r="V860"/>
      <c r="W860"/>
      <c r="X860"/>
      <c r="Y860"/>
      <c r="Z860"/>
      <c r="AA860"/>
      <c r="AB860"/>
      <c r="AC860"/>
      <c r="AD860"/>
    </row>
    <row r="861" spans="1:30">
      <c r="A861" s="65" t="str">
        <f>IFERROR(VLOOKUP('Informe Kelly'!A854,Base!A:B,2,FALSE),"")</f>
        <v>15.441.831-8</v>
      </c>
      <c r="B861" s="65" t="str">
        <f>IFERROR(VLOOKUP('Informe Kelly'!A854,Base!A:G,7,FALSE),"")</f>
        <v>VALDERRAMA CAÑAS ROBERTO MARIO</v>
      </c>
      <c r="C861" s="69" t="str">
        <f>IF(G861=$C$4,IF('Informe Kelly'!H854='Control informe Kelly'!$A$2,TEXT(((LEFT('Informe Kelly'!E854,2)*1)+1),"dd")&amp;"."&amp;MID('Informe Kelly'!E854,4,2)&amp;"."&amp;RIGHT('Informe Kelly'!E854,4),'Informe Kelly'!E854),'Informe Kelly'!E854)</f>
        <v>11.04.2011</v>
      </c>
      <c r="D861" s="69" t="str">
        <f>IF('Informe Kelly'!E854="","",'Informe Kelly'!E854)</f>
        <v>11.04.2011</v>
      </c>
      <c r="E861" s="72">
        <f t="shared" si="27"/>
        <v>437</v>
      </c>
      <c r="F861" s="72" t="str">
        <f>IFERROR(HLOOKUP(C861,Ingreso!$Q$8:$AD$9,2,FALSE),"v")</f>
        <v>Lunes</v>
      </c>
      <c r="G861" s="65" t="str">
        <f>IFERROR(VLOOKUP(A861,Ingreso!K:P,6,FALSE),"no esta ingresado")</f>
        <v>no esta ingresado</v>
      </c>
      <c r="H861" s="65" t="str">
        <f>IFERROR(IF('Informe Kelly'!H854=$A$2,'Informe Kelly'!F854,""),0)</f>
        <v/>
      </c>
      <c r="I861" s="65">
        <f>IFERROR(IF('Informe Kelly'!H854=$A$3,'Informe Kelly'!F854,""),0)</f>
        <v>0.63901620370370371</v>
      </c>
      <c r="J861" s="65" t="str">
        <f>IF(IFERROR(IF(E861=E860,0,(HLOOKUP(D861,Ingreso!$AN$10:$AT$260,VLOOKUP(A861,Ingreso!$AL$11:$AM$260,2,FALSE)))/24),0)=0,"",IFERROR(IF(E861=E860,0,(HLOOKUP(D861,Ingreso!$AN$10:$AT$260,VLOOKUP(A861,Ingreso!$AL$11:$AM$260,2,FALSE)))/24),0))</f>
        <v/>
      </c>
      <c r="K861" s="65" t="str">
        <f>IF(IFERROR(IF(E861=E860,0,(HLOOKUP(C861,Ingreso!$AW$10:$BC$260,VLOOKUP(A861,Ingreso!$AL$11:$AM$260,2,FALSE)))/24),0)=0,"",IFERROR(IF(E861=E860,0,(HLOOKUP(C861,Ingreso!$AW$10:$BC$260,VLOOKUP(A861,Ingreso!$AL$11:$AM$260,2,FALSE)))/24),0))</f>
        <v/>
      </c>
      <c r="L861" s="63" t="str">
        <f t="shared" si="26"/>
        <v/>
      </c>
      <c r="M861" s="63" t="str">
        <f>IF(IFERROR(IF(C861=C859,0,IF(E861=E860,0,IF(C861=$R$2,HLOOKUP($R$2,Ingreso!$AW$10:$BC$260,VLOOKUP(A861,Ingreso!AL:AM,2,FALSE),FALSE)/24,""))),"")=0,"",IFERROR(IF(C861=C859,0,IF(E861=E860,0,IF(C861=$R$2,HLOOKUP($R$2,Ingreso!$AW$10:$BC$260,VLOOKUP(A861,Ingreso!AL:AM,2,FALSE),FALSE)/24,""))),""))</f>
        <v/>
      </c>
      <c r="N861" s="95" t="str">
        <f>IF(IFERROR(IF(C861=C859,0,IF(E861=E860,0,IF(C861=$R$3,HLOOKUP($R$3,Ingreso!$AW$10:$BC$260,VLOOKUP(A861,Ingreso!AL:AM,2,FALSE),FALSE)/24,""))),"")=0,"",IFERROR(IF(C861=C859,0,IF(E861=E860,0,IF(C861=$R$3,HLOOKUP($R$3,Ingreso!$AW$10:$BC$260,VLOOKUP(A861,Ingreso!AL:AM,2,FALSE),FALSE)/24,""))),""))</f>
        <v/>
      </c>
      <c r="O861" s="95" t="str">
        <f>IF(IFERROR(IF(C861=C859,0,IF(E861=E860,0,IF(C861=$R$4,HLOOKUP($R$4,Ingreso!$AW$10:$BC$260,VLOOKUP(A861,Ingreso!AL:AM,2,FALSE),FALSE)/24,""))),"")=0,"",IFERROR(IF(C861=C859,0,IF(E861=E860,0,IF(C861=$R$4,HLOOKUP($R$4,Ingreso!$AW$10:$BC$260,VLOOKUP(A861,Ingreso!AL:AM,2,FALSE),FALSE)/24,""))),""))</f>
        <v/>
      </c>
      <c r="P861" s="90"/>
      <c r="V861"/>
      <c r="W861"/>
      <c r="X861"/>
      <c r="Y861"/>
      <c r="Z861"/>
      <c r="AA861"/>
      <c r="AB861"/>
      <c r="AC861"/>
      <c r="AD861"/>
    </row>
    <row r="862" spans="1:30">
      <c r="A862" s="65" t="str">
        <f>IFERROR(VLOOKUP('Informe Kelly'!A855,Base!A:B,2,FALSE),"")</f>
        <v>15.441.831-8</v>
      </c>
      <c r="B862" s="65" t="str">
        <f>IFERROR(VLOOKUP('Informe Kelly'!A855,Base!A:G,7,FALSE),"")</f>
        <v>VALDERRAMA CAÑAS ROBERTO MARIO</v>
      </c>
      <c r="C862" s="69" t="str">
        <f>IF(G862=$C$4,IF('Informe Kelly'!H855='Control informe Kelly'!$A$2,TEXT(((LEFT('Informe Kelly'!E855,2)*1)+1),"dd")&amp;"."&amp;MID('Informe Kelly'!E855,4,2)&amp;"."&amp;RIGHT('Informe Kelly'!E855,4),'Informe Kelly'!E855),'Informe Kelly'!E855)</f>
        <v>11.04.2011</v>
      </c>
      <c r="D862" s="69" t="str">
        <f>IF('Informe Kelly'!E855="","",'Informe Kelly'!E855)</f>
        <v>11.04.2011</v>
      </c>
      <c r="E862" s="72">
        <f t="shared" si="27"/>
        <v>437</v>
      </c>
      <c r="F862" s="72" t="str">
        <f>IFERROR(HLOOKUP(C862,Ingreso!$Q$8:$AD$9,2,FALSE),"v")</f>
        <v>Lunes</v>
      </c>
      <c r="G862" s="65" t="str">
        <f>IFERROR(VLOOKUP(A862,Ingreso!K:P,6,FALSE),"no esta ingresado")</f>
        <v>no esta ingresado</v>
      </c>
      <c r="H862" s="65">
        <f>IFERROR(IF('Informe Kelly'!H855=$A$2,'Informe Kelly'!F855,""),0)</f>
        <v>0.31550925925925927</v>
      </c>
      <c r="I862" s="65" t="str">
        <f>IFERROR(IF('Informe Kelly'!H855=$A$3,'Informe Kelly'!F855,""),0)</f>
        <v/>
      </c>
      <c r="J862" s="65" t="str">
        <f>IF(IFERROR(IF(E862=E861,0,(HLOOKUP(D862,Ingreso!$AN$10:$AT$260,VLOOKUP(A862,Ingreso!$AL$11:$AM$260,2,FALSE)))/24),0)=0,"",IFERROR(IF(E862=E861,0,(HLOOKUP(D862,Ingreso!$AN$10:$AT$260,VLOOKUP(A862,Ingreso!$AL$11:$AM$260,2,FALSE)))/24),0))</f>
        <v/>
      </c>
      <c r="K862" s="65" t="str">
        <f>IF(IFERROR(IF(E862=E861,0,(HLOOKUP(C862,Ingreso!$AW$10:$BC$260,VLOOKUP(A862,Ingreso!$AL$11:$AM$260,2,FALSE)))/24),0)=0,"",IFERROR(IF(E862=E861,0,(HLOOKUP(C862,Ingreso!$AW$10:$BC$260,VLOOKUP(A862,Ingreso!$AL$11:$AM$260,2,FALSE)))/24),0))</f>
        <v/>
      </c>
      <c r="L862" s="63">
        <f t="shared" si="26"/>
        <v>0</v>
      </c>
      <c r="M862" s="63" t="str">
        <f>IF(IFERROR(IF(C862=C860,0,IF(E862=E861,0,IF(C862=$R$2,HLOOKUP($R$2,Ingreso!$AW$10:$BC$260,VLOOKUP(A862,Ingreso!AL:AM,2,FALSE),FALSE)/24,""))),"")=0,"",IFERROR(IF(C862=C860,0,IF(E862=E861,0,IF(C862=$R$2,HLOOKUP($R$2,Ingreso!$AW$10:$BC$260,VLOOKUP(A862,Ingreso!AL:AM,2,FALSE),FALSE)/24,""))),""))</f>
        <v/>
      </c>
      <c r="N862" s="95" t="str">
        <f>IF(IFERROR(IF(C862=C860,0,IF(E862=E861,0,IF(C862=$R$3,HLOOKUP($R$3,Ingreso!$AW$10:$BC$260,VLOOKUP(A862,Ingreso!AL:AM,2,FALSE),FALSE)/24,""))),"")=0,"",IFERROR(IF(C862=C860,0,IF(E862=E861,0,IF(C862=$R$3,HLOOKUP($R$3,Ingreso!$AW$10:$BC$260,VLOOKUP(A862,Ingreso!AL:AM,2,FALSE),FALSE)/24,""))),""))</f>
        <v/>
      </c>
      <c r="O862" s="95" t="str">
        <f>IF(IFERROR(IF(C862=C860,0,IF(E862=E861,0,IF(C862=$R$4,HLOOKUP($R$4,Ingreso!$AW$10:$BC$260,VLOOKUP(A862,Ingreso!AL:AM,2,FALSE),FALSE)/24,""))),"")=0,"",IFERROR(IF(C862=C860,0,IF(E862=E861,0,IF(C862=$R$4,HLOOKUP($R$4,Ingreso!$AW$10:$BC$260,VLOOKUP(A862,Ingreso!AL:AM,2,FALSE),FALSE)/24,""))),""))</f>
        <v/>
      </c>
      <c r="P862" s="90"/>
      <c r="V862"/>
      <c r="W862"/>
      <c r="X862"/>
      <c r="Y862"/>
      <c r="Z862"/>
      <c r="AA862"/>
      <c r="AB862"/>
      <c r="AC862"/>
      <c r="AD862"/>
    </row>
    <row r="863" spans="1:30">
      <c r="A863" s="65" t="str">
        <f>IFERROR(VLOOKUP('Informe Kelly'!A856,Base!A:B,2,FALSE),"")</f>
        <v>15.441.831-8</v>
      </c>
      <c r="B863" s="65" t="str">
        <f>IFERROR(VLOOKUP('Informe Kelly'!A856,Base!A:G,7,FALSE),"")</f>
        <v>VALDERRAMA CAÑAS ROBERTO MARIO</v>
      </c>
      <c r="C863" s="69" t="str">
        <f>IF(G863=$C$4,IF('Informe Kelly'!H856='Control informe Kelly'!$A$2,TEXT(((LEFT('Informe Kelly'!E856,2)*1)+1),"dd")&amp;"."&amp;MID('Informe Kelly'!E856,4,2)&amp;"."&amp;RIGHT('Informe Kelly'!E856,4),'Informe Kelly'!E856),'Informe Kelly'!E856)</f>
        <v>12.04.2011</v>
      </c>
      <c r="D863" s="69" t="str">
        <f>IF('Informe Kelly'!E856="","",'Informe Kelly'!E856)</f>
        <v>12.04.2011</v>
      </c>
      <c r="E863" s="72">
        <f t="shared" si="27"/>
        <v>438</v>
      </c>
      <c r="F863" s="72" t="str">
        <f>IFERROR(HLOOKUP(C863,Ingreso!$Q$8:$AD$9,2,FALSE),"v")</f>
        <v>Martes</v>
      </c>
      <c r="G863" s="65" t="str">
        <f>IFERROR(VLOOKUP(A863,Ingreso!K:P,6,FALSE),"no esta ingresado")</f>
        <v>no esta ingresado</v>
      </c>
      <c r="H863" s="65" t="str">
        <f>IFERROR(IF('Informe Kelly'!H856=$A$2,'Informe Kelly'!F856,""),0)</f>
        <v/>
      </c>
      <c r="I863" s="65">
        <f>IFERROR(IF('Informe Kelly'!H856=$A$3,'Informe Kelly'!F856,""),0)</f>
        <v>0.63868055555555558</v>
      </c>
      <c r="J863" s="65" t="str">
        <f>IF(IFERROR(IF(E863=E862,0,(HLOOKUP(D863,Ingreso!$AN$10:$AT$260,VLOOKUP(A863,Ingreso!$AL$11:$AM$260,2,FALSE)))/24),0)=0,"",IFERROR(IF(E863=E862,0,(HLOOKUP(D863,Ingreso!$AN$10:$AT$260,VLOOKUP(A863,Ingreso!$AL$11:$AM$260,2,FALSE)))/24),0))</f>
        <v/>
      </c>
      <c r="K863" s="65" t="str">
        <f>IF(IFERROR(IF(E863=E862,0,(HLOOKUP(C863,Ingreso!$AW$10:$BC$260,VLOOKUP(A863,Ingreso!$AL$11:$AM$260,2,FALSE)))/24),0)=0,"",IFERROR(IF(E863=E862,0,(HLOOKUP(C863,Ingreso!$AW$10:$BC$260,VLOOKUP(A863,Ingreso!$AL$11:$AM$260,2,FALSE)))/24),0))</f>
        <v/>
      </c>
      <c r="L863" s="63" t="str">
        <f t="shared" si="26"/>
        <v/>
      </c>
      <c r="M863" s="63" t="str">
        <f>IF(IFERROR(IF(C863=C861,0,IF(E863=E862,0,IF(C863=$R$2,HLOOKUP($R$2,Ingreso!$AW$10:$BC$260,VLOOKUP(A863,Ingreso!AL:AM,2,FALSE),FALSE)/24,""))),"")=0,"",IFERROR(IF(C863=C861,0,IF(E863=E862,0,IF(C863=$R$2,HLOOKUP($R$2,Ingreso!$AW$10:$BC$260,VLOOKUP(A863,Ingreso!AL:AM,2,FALSE),FALSE)/24,""))),""))</f>
        <v/>
      </c>
      <c r="N863" s="95" t="str">
        <f>IF(IFERROR(IF(C863=C861,0,IF(E863=E862,0,IF(C863=$R$3,HLOOKUP($R$3,Ingreso!$AW$10:$BC$260,VLOOKUP(A863,Ingreso!AL:AM,2,FALSE),FALSE)/24,""))),"")=0,"",IFERROR(IF(C863=C861,0,IF(E863=E862,0,IF(C863=$R$3,HLOOKUP($R$3,Ingreso!$AW$10:$BC$260,VLOOKUP(A863,Ingreso!AL:AM,2,FALSE),FALSE)/24,""))),""))</f>
        <v/>
      </c>
      <c r="O863" s="95" t="str">
        <f>IF(IFERROR(IF(C863=C861,0,IF(E863=E862,0,IF(C863=$R$4,HLOOKUP($R$4,Ingreso!$AW$10:$BC$260,VLOOKUP(A863,Ingreso!AL:AM,2,FALSE),FALSE)/24,""))),"")=0,"",IFERROR(IF(C863=C861,0,IF(E863=E862,0,IF(C863=$R$4,HLOOKUP($R$4,Ingreso!$AW$10:$BC$260,VLOOKUP(A863,Ingreso!AL:AM,2,FALSE),FALSE)/24,""))),""))</f>
        <v/>
      </c>
      <c r="P863" s="90"/>
      <c r="V863"/>
      <c r="W863"/>
      <c r="X863"/>
      <c r="Y863"/>
      <c r="Z863"/>
      <c r="AA863"/>
      <c r="AB863"/>
      <c r="AC863"/>
      <c r="AD863"/>
    </row>
    <row r="864" spans="1:30">
      <c r="A864" s="65" t="str">
        <f>IFERROR(VLOOKUP('Informe Kelly'!A857,Base!A:B,2,FALSE),"")</f>
        <v>15.441.831-8</v>
      </c>
      <c r="B864" s="65" t="str">
        <f>IFERROR(VLOOKUP('Informe Kelly'!A857,Base!A:G,7,FALSE),"")</f>
        <v>VALDERRAMA CAÑAS ROBERTO MARIO</v>
      </c>
      <c r="C864" s="69" t="str">
        <f>IF(G864=$C$4,IF('Informe Kelly'!H857='Control informe Kelly'!$A$2,TEXT(((LEFT('Informe Kelly'!E857,2)*1)+1),"dd")&amp;"."&amp;MID('Informe Kelly'!E857,4,2)&amp;"."&amp;RIGHT('Informe Kelly'!E857,4),'Informe Kelly'!E857),'Informe Kelly'!E857)</f>
        <v>12.04.2011</v>
      </c>
      <c r="D864" s="69" t="str">
        <f>IF('Informe Kelly'!E857="","",'Informe Kelly'!E857)</f>
        <v>12.04.2011</v>
      </c>
      <c r="E864" s="72">
        <f t="shared" si="27"/>
        <v>438</v>
      </c>
      <c r="F864" s="72" t="str">
        <f>IFERROR(HLOOKUP(C864,Ingreso!$Q$8:$AD$9,2,FALSE),"v")</f>
        <v>Martes</v>
      </c>
      <c r="G864" s="65" t="str">
        <f>IFERROR(VLOOKUP(A864,Ingreso!K:P,6,FALSE),"no esta ingresado")</f>
        <v>no esta ingresado</v>
      </c>
      <c r="H864" s="65">
        <f>IFERROR(IF('Informe Kelly'!H857=$A$2,'Informe Kelly'!F857,""),0)</f>
        <v>0.30662037037037038</v>
      </c>
      <c r="I864" s="65" t="str">
        <f>IFERROR(IF('Informe Kelly'!H857=$A$3,'Informe Kelly'!F857,""),0)</f>
        <v/>
      </c>
      <c r="J864" s="65" t="str">
        <f>IF(IFERROR(IF(E864=E863,0,(HLOOKUP(D864,Ingreso!$AN$10:$AT$260,VLOOKUP(A864,Ingreso!$AL$11:$AM$260,2,FALSE)))/24),0)=0,"",IFERROR(IF(E864=E863,0,(HLOOKUP(D864,Ingreso!$AN$10:$AT$260,VLOOKUP(A864,Ingreso!$AL$11:$AM$260,2,FALSE)))/24),0))</f>
        <v/>
      </c>
      <c r="K864" s="65" t="str">
        <f>IF(IFERROR(IF(E864=E863,0,(HLOOKUP(C864,Ingreso!$AW$10:$BC$260,VLOOKUP(A864,Ingreso!$AL$11:$AM$260,2,FALSE)))/24),0)=0,"",IFERROR(IF(E864=E863,0,(HLOOKUP(C864,Ingreso!$AW$10:$BC$260,VLOOKUP(A864,Ingreso!$AL$11:$AM$260,2,FALSE)))/24),0))</f>
        <v/>
      </c>
      <c r="L864" s="63">
        <f t="shared" si="26"/>
        <v>0</v>
      </c>
      <c r="M864" s="63" t="str">
        <f>IF(IFERROR(IF(C864=C862,0,IF(E864=E863,0,IF(C864=$R$2,HLOOKUP($R$2,Ingreso!$AW$10:$BC$260,VLOOKUP(A864,Ingreso!AL:AM,2,FALSE),FALSE)/24,""))),"")=0,"",IFERROR(IF(C864=C862,0,IF(E864=E863,0,IF(C864=$R$2,HLOOKUP($R$2,Ingreso!$AW$10:$BC$260,VLOOKUP(A864,Ingreso!AL:AM,2,FALSE),FALSE)/24,""))),""))</f>
        <v/>
      </c>
      <c r="N864" s="95" t="str">
        <f>IF(IFERROR(IF(C864=C862,0,IF(E864=E863,0,IF(C864=$R$3,HLOOKUP($R$3,Ingreso!$AW$10:$BC$260,VLOOKUP(A864,Ingreso!AL:AM,2,FALSE),FALSE)/24,""))),"")=0,"",IFERROR(IF(C864=C862,0,IF(E864=E863,0,IF(C864=$R$3,HLOOKUP($R$3,Ingreso!$AW$10:$BC$260,VLOOKUP(A864,Ingreso!AL:AM,2,FALSE),FALSE)/24,""))),""))</f>
        <v/>
      </c>
      <c r="O864" s="95" t="str">
        <f>IF(IFERROR(IF(C864=C862,0,IF(E864=E863,0,IF(C864=$R$4,HLOOKUP($R$4,Ingreso!$AW$10:$BC$260,VLOOKUP(A864,Ingreso!AL:AM,2,FALSE),FALSE)/24,""))),"")=0,"",IFERROR(IF(C864=C862,0,IF(E864=E863,0,IF(C864=$R$4,HLOOKUP($R$4,Ingreso!$AW$10:$BC$260,VLOOKUP(A864,Ingreso!AL:AM,2,FALSE),FALSE)/24,""))),""))</f>
        <v/>
      </c>
      <c r="P864" s="90"/>
      <c r="V864"/>
      <c r="W864"/>
      <c r="X864"/>
      <c r="Y864"/>
      <c r="Z864"/>
      <c r="AA864"/>
      <c r="AB864"/>
      <c r="AC864"/>
      <c r="AD864"/>
    </row>
    <row r="865" spans="1:30">
      <c r="A865" s="65" t="str">
        <f>IFERROR(VLOOKUP('Informe Kelly'!A858,Base!A:B,2,FALSE),"")</f>
        <v>15.441.831-8</v>
      </c>
      <c r="B865" s="65" t="str">
        <f>IFERROR(VLOOKUP('Informe Kelly'!A858,Base!A:G,7,FALSE),"")</f>
        <v>VALDERRAMA CAÑAS ROBERTO MARIO</v>
      </c>
      <c r="C865" s="69" t="str">
        <f>IF(G865=$C$4,IF('Informe Kelly'!H858='Control informe Kelly'!$A$2,TEXT(((LEFT('Informe Kelly'!E858,2)*1)+1),"dd")&amp;"."&amp;MID('Informe Kelly'!E858,4,2)&amp;"."&amp;RIGHT('Informe Kelly'!E858,4),'Informe Kelly'!E858),'Informe Kelly'!E858)</f>
        <v>13.04.2011</v>
      </c>
      <c r="D865" s="69" t="str">
        <f>IF('Informe Kelly'!E858="","",'Informe Kelly'!E858)</f>
        <v>13.04.2011</v>
      </c>
      <c r="E865" s="72">
        <f t="shared" si="27"/>
        <v>439</v>
      </c>
      <c r="F865" s="72" t="str">
        <f>IFERROR(HLOOKUP(C865,Ingreso!$Q$8:$AD$9,2,FALSE),"v")</f>
        <v>Miércoles</v>
      </c>
      <c r="G865" s="65" t="str">
        <f>IFERROR(VLOOKUP(A865,Ingreso!K:P,6,FALSE),"no esta ingresado")</f>
        <v>no esta ingresado</v>
      </c>
      <c r="H865" s="65" t="str">
        <f>IFERROR(IF('Informe Kelly'!H858=$A$2,'Informe Kelly'!F858,""),0)</f>
        <v/>
      </c>
      <c r="I865" s="65">
        <f>IFERROR(IF('Informe Kelly'!H858=$A$3,'Informe Kelly'!F858,""),0)</f>
        <v>0.63594907407407408</v>
      </c>
      <c r="J865" s="65" t="str">
        <f>IF(IFERROR(IF(E865=E864,0,(HLOOKUP(D865,Ingreso!$AN$10:$AT$260,VLOOKUP(A865,Ingreso!$AL$11:$AM$260,2,FALSE)))/24),0)=0,"",IFERROR(IF(E865=E864,0,(HLOOKUP(D865,Ingreso!$AN$10:$AT$260,VLOOKUP(A865,Ingreso!$AL$11:$AM$260,2,FALSE)))/24),0))</f>
        <v/>
      </c>
      <c r="K865" s="65" t="str">
        <f>IF(IFERROR(IF(E865=E864,0,(HLOOKUP(C865,Ingreso!$AW$10:$BC$260,VLOOKUP(A865,Ingreso!$AL$11:$AM$260,2,FALSE)))/24),0)=0,"",IFERROR(IF(E865=E864,0,(HLOOKUP(C865,Ingreso!$AW$10:$BC$260,VLOOKUP(A865,Ingreso!$AL$11:$AM$260,2,FALSE)))/24),0))</f>
        <v/>
      </c>
      <c r="L865" s="63" t="str">
        <f t="shared" si="26"/>
        <v/>
      </c>
      <c r="M865" s="63" t="str">
        <f>IF(IFERROR(IF(C865=C863,0,IF(E865=E864,0,IF(C865=$R$2,HLOOKUP($R$2,Ingreso!$AW$10:$BC$260,VLOOKUP(A865,Ingreso!AL:AM,2,FALSE),FALSE)/24,""))),"")=0,"",IFERROR(IF(C865=C863,0,IF(E865=E864,0,IF(C865=$R$2,HLOOKUP($R$2,Ingreso!$AW$10:$BC$260,VLOOKUP(A865,Ingreso!AL:AM,2,FALSE),FALSE)/24,""))),""))</f>
        <v/>
      </c>
      <c r="N865" s="95" t="str">
        <f>IF(IFERROR(IF(C865=C863,0,IF(E865=E864,0,IF(C865=$R$3,HLOOKUP($R$3,Ingreso!$AW$10:$BC$260,VLOOKUP(A865,Ingreso!AL:AM,2,FALSE),FALSE)/24,""))),"")=0,"",IFERROR(IF(C865=C863,0,IF(E865=E864,0,IF(C865=$R$3,HLOOKUP($R$3,Ingreso!$AW$10:$BC$260,VLOOKUP(A865,Ingreso!AL:AM,2,FALSE),FALSE)/24,""))),""))</f>
        <v/>
      </c>
      <c r="O865" s="95" t="str">
        <f>IF(IFERROR(IF(C865=C863,0,IF(E865=E864,0,IF(C865=$R$4,HLOOKUP($R$4,Ingreso!$AW$10:$BC$260,VLOOKUP(A865,Ingreso!AL:AM,2,FALSE),FALSE)/24,""))),"")=0,"",IFERROR(IF(C865=C863,0,IF(E865=E864,0,IF(C865=$R$4,HLOOKUP($R$4,Ingreso!$AW$10:$BC$260,VLOOKUP(A865,Ingreso!AL:AM,2,FALSE),FALSE)/24,""))),""))</f>
        <v/>
      </c>
      <c r="P865" s="90"/>
      <c r="V865"/>
      <c r="W865"/>
      <c r="X865"/>
      <c r="Y865"/>
      <c r="Z865"/>
      <c r="AA865"/>
      <c r="AB865"/>
      <c r="AC865"/>
      <c r="AD865"/>
    </row>
    <row r="866" spans="1:30">
      <c r="A866" s="65" t="str">
        <f>IFERROR(VLOOKUP('Informe Kelly'!A859,Base!A:B,2,FALSE),"")</f>
        <v>15.441.831-8</v>
      </c>
      <c r="B866" s="65" t="str">
        <f>IFERROR(VLOOKUP('Informe Kelly'!A859,Base!A:G,7,FALSE),"")</f>
        <v>VALDERRAMA CAÑAS ROBERTO MARIO</v>
      </c>
      <c r="C866" s="69" t="str">
        <f>IF(G866=$C$4,IF('Informe Kelly'!H859='Control informe Kelly'!$A$2,TEXT(((LEFT('Informe Kelly'!E859,2)*1)+1),"dd")&amp;"."&amp;MID('Informe Kelly'!E859,4,2)&amp;"."&amp;RIGHT('Informe Kelly'!E859,4),'Informe Kelly'!E859),'Informe Kelly'!E859)</f>
        <v>13.04.2011</v>
      </c>
      <c r="D866" s="69" t="str">
        <f>IF('Informe Kelly'!E859="","",'Informe Kelly'!E859)</f>
        <v>13.04.2011</v>
      </c>
      <c r="E866" s="72">
        <f t="shared" si="27"/>
        <v>439</v>
      </c>
      <c r="F866" s="72" t="str">
        <f>IFERROR(HLOOKUP(C866,Ingreso!$Q$8:$AD$9,2,FALSE),"v")</f>
        <v>Miércoles</v>
      </c>
      <c r="G866" s="65" t="str">
        <f>IFERROR(VLOOKUP(A866,Ingreso!K:P,6,FALSE),"no esta ingresado")</f>
        <v>no esta ingresado</v>
      </c>
      <c r="H866" s="65">
        <f>IFERROR(IF('Informe Kelly'!H859=$A$2,'Informe Kelly'!F859,""),0)</f>
        <v>0.32120370370370371</v>
      </c>
      <c r="I866" s="65" t="str">
        <f>IFERROR(IF('Informe Kelly'!H859=$A$3,'Informe Kelly'!F859,""),0)</f>
        <v/>
      </c>
      <c r="J866" s="65" t="str">
        <f>IF(IFERROR(IF(E866=E865,0,(HLOOKUP(D866,Ingreso!$AN$10:$AT$260,VLOOKUP(A866,Ingreso!$AL$11:$AM$260,2,FALSE)))/24),0)=0,"",IFERROR(IF(E866=E865,0,(HLOOKUP(D866,Ingreso!$AN$10:$AT$260,VLOOKUP(A866,Ingreso!$AL$11:$AM$260,2,FALSE)))/24),0))</f>
        <v/>
      </c>
      <c r="K866" s="65" t="str">
        <f>IF(IFERROR(IF(E866=E865,0,(HLOOKUP(C866,Ingreso!$AW$10:$BC$260,VLOOKUP(A866,Ingreso!$AL$11:$AM$260,2,FALSE)))/24),0)=0,"",IFERROR(IF(E866=E865,0,(HLOOKUP(C866,Ingreso!$AW$10:$BC$260,VLOOKUP(A866,Ingreso!$AL$11:$AM$260,2,FALSE)))/24),0))</f>
        <v/>
      </c>
      <c r="L866" s="63">
        <f t="shared" si="26"/>
        <v>0</v>
      </c>
      <c r="M866" s="63" t="str">
        <f>IF(IFERROR(IF(C866=C864,0,IF(E866=E865,0,IF(C866=$R$2,HLOOKUP($R$2,Ingreso!$AW$10:$BC$260,VLOOKUP(A866,Ingreso!AL:AM,2,FALSE),FALSE)/24,""))),"")=0,"",IFERROR(IF(C866=C864,0,IF(E866=E865,0,IF(C866=$R$2,HLOOKUP($R$2,Ingreso!$AW$10:$BC$260,VLOOKUP(A866,Ingreso!AL:AM,2,FALSE),FALSE)/24,""))),""))</f>
        <v/>
      </c>
      <c r="N866" s="95" t="str">
        <f>IF(IFERROR(IF(C866=C864,0,IF(E866=E865,0,IF(C866=$R$3,HLOOKUP($R$3,Ingreso!$AW$10:$BC$260,VLOOKUP(A866,Ingreso!AL:AM,2,FALSE),FALSE)/24,""))),"")=0,"",IFERROR(IF(C866=C864,0,IF(E866=E865,0,IF(C866=$R$3,HLOOKUP($R$3,Ingreso!$AW$10:$BC$260,VLOOKUP(A866,Ingreso!AL:AM,2,FALSE),FALSE)/24,""))),""))</f>
        <v/>
      </c>
      <c r="O866" s="95" t="str">
        <f>IF(IFERROR(IF(C866=C864,0,IF(E866=E865,0,IF(C866=$R$4,HLOOKUP($R$4,Ingreso!$AW$10:$BC$260,VLOOKUP(A866,Ingreso!AL:AM,2,FALSE),FALSE)/24,""))),"")=0,"",IFERROR(IF(C866=C864,0,IF(E866=E865,0,IF(C866=$R$4,HLOOKUP($R$4,Ingreso!$AW$10:$BC$260,VLOOKUP(A866,Ingreso!AL:AM,2,FALSE),FALSE)/24,""))),""))</f>
        <v/>
      </c>
      <c r="P866" s="90"/>
      <c r="V866"/>
      <c r="W866"/>
      <c r="X866"/>
      <c r="Y866"/>
      <c r="Z866"/>
      <c r="AA866"/>
      <c r="AB866"/>
      <c r="AC866"/>
      <c r="AD866"/>
    </row>
    <row r="867" spans="1:30">
      <c r="A867" s="65" t="str">
        <f>IFERROR(VLOOKUP('Informe Kelly'!A860,Base!A:B,2,FALSE),"")</f>
        <v>15.441.831-8</v>
      </c>
      <c r="B867" s="65" t="str">
        <f>IFERROR(VLOOKUP('Informe Kelly'!A860,Base!A:G,7,FALSE),"")</f>
        <v>VALDERRAMA CAÑAS ROBERTO MARIO</v>
      </c>
      <c r="C867" s="69" t="str">
        <f>IF(G867=$C$4,IF('Informe Kelly'!H860='Control informe Kelly'!$A$2,TEXT(((LEFT('Informe Kelly'!E860,2)*1)+1),"dd")&amp;"."&amp;MID('Informe Kelly'!E860,4,2)&amp;"."&amp;RIGHT('Informe Kelly'!E860,4),'Informe Kelly'!E860),'Informe Kelly'!E860)</f>
        <v>14.04.2011</v>
      </c>
      <c r="D867" s="69" t="str">
        <f>IF('Informe Kelly'!E860="","",'Informe Kelly'!E860)</f>
        <v>14.04.2011</v>
      </c>
      <c r="E867" s="72">
        <f t="shared" si="27"/>
        <v>440</v>
      </c>
      <c r="F867" s="72" t="str">
        <f>IFERROR(HLOOKUP(C867,Ingreso!$Q$8:$AD$9,2,FALSE),"v")</f>
        <v>Jueves</v>
      </c>
      <c r="G867" s="65" t="str">
        <f>IFERROR(VLOOKUP(A867,Ingreso!K:P,6,FALSE),"no esta ingresado")</f>
        <v>no esta ingresado</v>
      </c>
      <c r="H867" s="65" t="str">
        <f>IFERROR(IF('Informe Kelly'!H860=$A$2,'Informe Kelly'!F860,""),0)</f>
        <v/>
      </c>
      <c r="I867" s="65">
        <f>IFERROR(IF('Informe Kelly'!H860=$A$3,'Informe Kelly'!F860,""),0)</f>
        <v>0.63370370370370377</v>
      </c>
      <c r="J867" s="65" t="str">
        <f>IF(IFERROR(IF(E867=E866,0,(HLOOKUP(D867,Ingreso!$AN$10:$AT$260,VLOOKUP(A867,Ingreso!$AL$11:$AM$260,2,FALSE)))/24),0)=0,"",IFERROR(IF(E867=E866,0,(HLOOKUP(D867,Ingreso!$AN$10:$AT$260,VLOOKUP(A867,Ingreso!$AL$11:$AM$260,2,FALSE)))/24),0))</f>
        <v/>
      </c>
      <c r="K867" s="65" t="str">
        <f>IF(IFERROR(IF(E867=E866,0,(HLOOKUP(C867,Ingreso!$AW$10:$BC$260,VLOOKUP(A867,Ingreso!$AL$11:$AM$260,2,FALSE)))/24),0)=0,"",IFERROR(IF(E867=E866,0,(HLOOKUP(C867,Ingreso!$AW$10:$BC$260,VLOOKUP(A867,Ingreso!$AL$11:$AM$260,2,FALSE)))/24),0))</f>
        <v/>
      </c>
      <c r="L867" s="63" t="str">
        <f t="shared" si="26"/>
        <v/>
      </c>
      <c r="M867" s="63" t="str">
        <f>IF(IFERROR(IF(C867=C865,0,IF(E867=E866,0,IF(C867=$R$2,HLOOKUP($R$2,Ingreso!$AW$10:$BC$260,VLOOKUP(A867,Ingreso!AL:AM,2,FALSE),FALSE)/24,""))),"")=0,"",IFERROR(IF(C867=C865,0,IF(E867=E866,0,IF(C867=$R$2,HLOOKUP($R$2,Ingreso!$AW$10:$BC$260,VLOOKUP(A867,Ingreso!AL:AM,2,FALSE),FALSE)/24,""))),""))</f>
        <v/>
      </c>
      <c r="N867" s="95" t="str">
        <f>IF(IFERROR(IF(C867=C865,0,IF(E867=E866,0,IF(C867=$R$3,HLOOKUP($R$3,Ingreso!$AW$10:$BC$260,VLOOKUP(A867,Ingreso!AL:AM,2,FALSE),FALSE)/24,""))),"")=0,"",IFERROR(IF(C867=C865,0,IF(E867=E866,0,IF(C867=$R$3,HLOOKUP($R$3,Ingreso!$AW$10:$BC$260,VLOOKUP(A867,Ingreso!AL:AM,2,FALSE),FALSE)/24,""))),""))</f>
        <v/>
      </c>
      <c r="O867" s="95" t="str">
        <f>IF(IFERROR(IF(C867=C865,0,IF(E867=E866,0,IF(C867=$R$4,HLOOKUP($R$4,Ingreso!$AW$10:$BC$260,VLOOKUP(A867,Ingreso!AL:AM,2,FALSE),FALSE)/24,""))),"")=0,"",IFERROR(IF(C867=C865,0,IF(E867=E866,0,IF(C867=$R$4,HLOOKUP($R$4,Ingreso!$AW$10:$BC$260,VLOOKUP(A867,Ingreso!AL:AM,2,FALSE),FALSE)/24,""))),""))</f>
        <v/>
      </c>
      <c r="P867" s="90"/>
      <c r="V867"/>
      <c r="W867"/>
      <c r="X867"/>
      <c r="Y867"/>
      <c r="Z867"/>
      <c r="AA867"/>
      <c r="AB867"/>
      <c r="AC867"/>
      <c r="AD867"/>
    </row>
    <row r="868" spans="1:30">
      <c r="A868" s="65" t="str">
        <f>IFERROR(VLOOKUP('Informe Kelly'!A861,Base!A:B,2,FALSE),"")</f>
        <v>15.441.831-8</v>
      </c>
      <c r="B868" s="65" t="str">
        <f>IFERROR(VLOOKUP('Informe Kelly'!A861,Base!A:G,7,FALSE),"")</f>
        <v>VALDERRAMA CAÑAS ROBERTO MARIO</v>
      </c>
      <c r="C868" s="69" t="str">
        <f>IF(G868=$C$4,IF('Informe Kelly'!H861='Control informe Kelly'!$A$2,TEXT(((LEFT('Informe Kelly'!E861,2)*1)+1),"dd")&amp;"."&amp;MID('Informe Kelly'!E861,4,2)&amp;"."&amp;RIGHT('Informe Kelly'!E861,4),'Informe Kelly'!E861),'Informe Kelly'!E861)</f>
        <v>14.04.2011</v>
      </c>
      <c r="D868" s="69" t="str">
        <f>IF('Informe Kelly'!E861="","",'Informe Kelly'!E861)</f>
        <v>14.04.2011</v>
      </c>
      <c r="E868" s="72">
        <f t="shared" si="27"/>
        <v>440</v>
      </c>
      <c r="F868" s="72" t="str">
        <f>IFERROR(HLOOKUP(C868,Ingreso!$Q$8:$AD$9,2,FALSE),"v")</f>
        <v>Jueves</v>
      </c>
      <c r="G868" s="65" t="str">
        <f>IFERROR(VLOOKUP(A868,Ingreso!K:P,6,FALSE),"no esta ingresado")</f>
        <v>no esta ingresado</v>
      </c>
      <c r="H868" s="65">
        <f>IFERROR(IF('Informe Kelly'!H861=$A$2,'Informe Kelly'!F861,""),0)</f>
        <v>0.31199074074074074</v>
      </c>
      <c r="I868" s="65" t="str">
        <f>IFERROR(IF('Informe Kelly'!H861=$A$3,'Informe Kelly'!F861,""),0)</f>
        <v/>
      </c>
      <c r="J868" s="65" t="str">
        <f>IF(IFERROR(IF(E868=E867,0,(HLOOKUP(D868,Ingreso!$AN$10:$AT$260,VLOOKUP(A868,Ingreso!$AL$11:$AM$260,2,FALSE)))/24),0)=0,"",IFERROR(IF(E868=E867,0,(HLOOKUP(D868,Ingreso!$AN$10:$AT$260,VLOOKUP(A868,Ingreso!$AL$11:$AM$260,2,FALSE)))/24),0))</f>
        <v/>
      </c>
      <c r="K868" s="65" t="str">
        <f>IF(IFERROR(IF(E868=E867,0,(HLOOKUP(C868,Ingreso!$AW$10:$BC$260,VLOOKUP(A868,Ingreso!$AL$11:$AM$260,2,FALSE)))/24),0)=0,"",IFERROR(IF(E868=E867,0,(HLOOKUP(C868,Ingreso!$AW$10:$BC$260,VLOOKUP(A868,Ingreso!$AL$11:$AM$260,2,FALSE)))/24),0))</f>
        <v/>
      </c>
      <c r="L868" s="63">
        <f t="shared" si="26"/>
        <v>0</v>
      </c>
      <c r="M868" s="63" t="str">
        <f>IF(IFERROR(IF(C868=C866,0,IF(E868=E867,0,IF(C868=$R$2,HLOOKUP($R$2,Ingreso!$AW$10:$BC$260,VLOOKUP(A868,Ingreso!AL:AM,2,FALSE),FALSE)/24,""))),"")=0,"",IFERROR(IF(C868=C866,0,IF(E868=E867,0,IF(C868=$R$2,HLOOKUP($R$2,Ingreso!$AW$10:$BC$260,VLOOKUP(A868,Ingreso!AL:AM,2,FALSE),FALSE)/24,""))),""))</f>
        <v/>
      </c>
      <c r="N868" s="95" t="str">
        <f>IF(IFERROR(IF(C868=C866,0,IF(E868=E867,0,IF(C868=$R$3,HLOOKUP($R$3,Ingreso!$AW$10:$BC$260,VLOOKUP(A868,Ingreso!AL:AM,2,FALSE),FALSE)/24,""))),"")=0,"",IFERROR(IF(C868=C866,0,IF(E868=E867,0,IF(C868=$R$3,HLOOKUP($R$3,Ingreso!$AW$10:$BC$260,VLOOKUP(A868,Ingreso!AL:AM,2,FALSE),FALSE)/24,""))),""))</f>
        <v/>
      </c>
      <c r="O868" s="95" t="str">
        <f>IF(IFERROR(IF(C868=C866,0,IF(E868=E867,0,IF(C868=$R$4,HLOOKUP($R$4,Ingreso!$AW$10:$BC$260,VLOOKUP(A868,Ingreso!AL:AM,2,FALSE),FALSE)/24,""))),"")=0,"",IFERROR(IF(C868=C866,0,IF(E868=E867,0,IF(C868=$R$4,HLOOKUP($R$4,Ingreso!$AW$10:$BC$260,VLOOKUP(A868,Ingreso!AL:AM,2,FALSE),FALSE)/24,""))),""))</f>
        <v/>
      </c>
      <c r="P868" s="90"/>
      <c r="V868"/>
      <c r="W868"/>
      <c r="X868"/>
      <c r="Y868"/>
      <c r="Z868"/>
      <c r="AA868"/>
      <c r="AB868"/>
      <c r="AC868"/>
      <c r="AD868"/>
    </row>
    <row r="869" spans="1:30">
      <c r="A869" s="65" t="str">
        <f>IFERROR(VLOOKUP('Informe Kelly'!A862,Base!A:B,2,FALSE),"")</f>
        <v>15.441.831-8</v>
      </c>
      <c r="B869" s="65" t="str">
        <f>IFERROR(VLOOKUP('Informe Kelly'!A862,Base!A:G,7,FALSE),"")</f>
        <v>VALDERRAMA CAÑAS ROBERTO MARIO</v>
      </c>
      <c r="C869" s="69" t="str">
        <f>IF(G869=$C$4,IF('Informe Kelly'!H862='Control informe Kelly'!$A$2,TEXT(((LEFT('Informe Kelly'!E862,2)*1)+1),"dd")&amp;"."&amp;MID('Informe Kelly'!E862,4,2)&amp;"."&amp;RIGHT('Informe Kelly'!E862,4),'Informe Kelly'!E862),'Informe Kelly'!E862)</f>
        <v>15.04.2011</v>
      </c>
      <c r="D869" s="69" t="str">
        <f>IF('Informe Kelly'!E862="","",'Informe Kelly'!E862)</f>
        <v>15.04.2011</v>
      </c>
      <c r="E869" s="72">
        <f t="shared" si="27"/>
        <v>441</v>
      </c>
      <c r="F869" s="72" t="str">
        <f>IFERROR(HLOOKUP(C869,Ingreso!$Q$8:$AD$9,2,FALSE),"v")</f>
        <v>Viernes</v>
      </c>
      <c r="G869" s="65" t="str">
        <f>IFERROR(VLOOKUP(A869,Ingreso!K:P,6,FALSE),"no esta ingresado")</f>
        <v>no esta ingresado</v>
      </c>
      <c r="H869" s="65" t="str">
        <f>IFERROR(IF('Informe Kelly'!H862=$A$2,'Informe Kelly'!F862,""),0)</f>
        <v/>
      </c>
      <c r="I869" s="65">
        <f>IFERROR(IF('Informe Kelly'!H862=$A$3,'Informe Kelly'!F862,""),0)</f>
        <v>0.63831018518518523</v>
      </c>
      <c r="J869" s="65" t="str">
        <f>IF(IFERROR(IF(E869=E868,0,(HLOOKUP(D869,Ingreso!$AN$10:$AT$260,VLOOKUP(A869,Ingreso!$AL$11:$AM$260,2,FALSE)))/24),0)=0,"",IFERROR(IF(E869=E868,0,(HLOOKUP(D869,Ingreso!$AN$10:$AT$260,VLOOKUP(A869,Ingreso!$AL$11:$AM$260,2,FALSE)))/24),0))</f>
        <v/>
      </c>
      <c r="K869" s="65" t="str">
        <f>IF(IFERROR(IF(E869=E868,0,(HLOOKUP(C869,Ingreso!$AW$10:$BC$260,VLOOKUP(A869,Ingreso!$AL$11:$AM$260,2,FALSE)))/24),0)=0,"",IFERROR(IF(E869=E868,0,(HLOOKUP(C869,Ingreso!$AW$10:$BC$260,VLOOKUP(A869,Ingreso!$AL$11:$AM$260,2,FALSE)))/24),0))</f>
        <v/>
      </c>
      <c r="L869" s="63" t="str">
        <f t="shared" si="26"/>
        <v/>
      </c>
      <c r="M869" s="63" t="str">
        <f>IF(IFERROR(IF(C869=C867,0,IF(E869=E868,0,IF(C869=$R$2,HLOOKUP($R$2,Ingreso!$AW$10:$BC$260,VLOOKUP(A869,Ingreso!AL:AM,2,FALSE),FALSE)/24,""))),"")=0,"",IFERROR(IF(C869=C867,0,IF(E869=E868,0,IF(C869=$R$2,HLOOKUP($R$2,Ingreso!$AW$10:$BC$260,VLOOKUP(A869,Ingreso!AL:AM,2,FALSE),FALSE)/24,""))),""))</f>
        <v/>
      </c>
      <c r="N869" s="95" t="str">
        <f>IF(IFERROR(IF(C869=C867,0,IF(E869=E868,0,IF(C869=$R$3,HLOOKUP($R$3,Ingreso!$AW$10:$BC$260,VLOOKUP(A869,Ingreso!AL:AM,2,FALSE),FALSE)/24,""))),"")=0,"",IFERROR(IF(C869=C867,0,IF(E869=E868,0,IF(C869=$R$3,HLOOKUP($R$3,Ingreso!$AW$10:$BC$260,VLOOKUP(A869,Ingreso!AL:AM,2,FALSE),FALSE)/24,""))),""))</f>
        <v/>
      </c>
      <c r="O869" s="95" t="str">
        <f>IF(IFERROR(IF(C869=C867,0,IF(E869=E868,0,IF(C869=$R$4,HLOOKUP($R$4,Ingreso!$AW$10:$BC$260,VLOOKUP(A869,Ingreso!AL:AM,2,FALSE),FALSE)/24,""))),"")=0,"",IFERROR(IF(C869=C867,0,IF(E869=E868,0,IF(C869=$R$4,HLOOKUP($R$4,Ingreso!$AW$10:$BC$260,VLOOKUP(A869,Ingreso!AL:AM,2,FALSE),FALSE)/24,""))),""))</f>
        <v/>
      </c>
      <c r="P869" s="90"/>
      <c r="V869"/>
      <c r="W869"/>
      <c r="X869"/>
      <c r="Y869"/>
      <c r="Z869"/>
      <c r="AA869"/>
      <c r="AB869"/>
      <c r="AC869"/>
      <c r="AD869"/>
    </row>
    <row r="870" spans="1:30">
      <c r="A870" s="65" t="str">
        <f>IFERROR(VLOOKUP('Informe Kelly'!A863,Base!A:B,2,FALSE),"")</f>
        <v>15.441.831-8</v>
      </c>
      <c r="B870" s="65" t="str">
        <f>IFERROR(VLOOKUP('Informe Kelly'!A863,Base!A:G,7,FALSE),"")</f>
        <v>VALDERRAMA CAÑAS ROBERTO MARIO</v>
      </c>
      <c r="C870" s="69" t="str">
        <f>IF(G870=$C$4,IF('Informe Kelly'!H863='Control informe Kelly'!$A$2,TEXT(((LEFT('Informe Kelly'!E863,2)*1)+1),"dd")&amp;"."&amp;MID('Informe Kelly'!E863,4,2)&amp;"."&amp;RIGHT('Informe Kelly'!E863,4),'Informe Kelly'!E863),'Informe Kelly'!E863)</f>
        <v>15.04.2011</v>
      </c>
      <c r="D870" s="69" t="str">
        <f>IF('Informe Kelly'!E863="","",'Informe Kelly'!E863)</f>
        <v>15.04.2011</v>
      </c>
      <c r="E870" s="72">
        <f t="shared" si="27"/>
        <v>441</v>
      </c>
      <c r="F870" s="72" t="str">
        <f>IFERROR(HLOOKUP(C870,Ingreso!$Q$8:$AD$9,2,FALSE),"v")</f>
        <v>Viernes</v>
      </c>
      <c r="G870" s="65" t="str">
        <f>IFERROR(VLOOKUP(A870,Ingreso!K:P,6,FALSE),"no esta ingresado")</f>
        <v>no esta ingresado</v>
      </c>
      <c r="H870" s="65">
        <f>IFERROR(IF('Informe Kelly'!H863=$A$2,'Informe Kelly'!F863,""),0)</f>
        <v>0.3037037037037037</v>
      </c>
      <c r="I870" s="65" t="str">
        <f>IFERROR(IF('Informe Kelly'!H863=$A$3,'Informe Kelly'!F863,""),0)</f>
        <v/>
      </c>
      <c r="J870" s="65" t="str">
        <f>IF(IFERROR(IF(E870=E869,0,(HLOOKUP(D870,Ingreso!$AN$10:$AT$260,VLOOKUP(A870,Ingreso!$AL$11:$AM$260,2,FALSE)))/24),0)=0,"",IFERROR(IF(E870=E869,0,(HLOOKUP(D870,Ingreso!$AN$10:$AT$260,VLOOKUP(A870,Ingreso!$AL$11:$AM$260,2,FALSE)))/24),0))</f>
        <v/>
      </c>
      <c r="K870" s="65" t="str">
        <f>IF(IFERROR(IF(E870=E869,0,(HLOOKUP(C870,Ingreso!$AW$10:$BC$260,VLOOKUP(A870,Ingreso!$AL$11:$AM$260,2,FALSE)))/24),0)=0,"",IFERROR(IF(E870=E869,0,(HLOOKUP(C870,Ingreso!$AW$10:$BC$260,VLOOKUP(A870,Ingreso!$AL$11:$AM$260,2,FALSE)))/24),0))</f>
        <v/>
      </c>
      <c r="L870" s="63">
        <f t="shared" si="26"/>
        <v>0</v>
      </c>
      <c r="M870" s="63" t="str">
        <f>IF(IFERROR(IF(C870=C868,0,IF(E870=E869,0,IF(C870=$R$2,HLOOKUP($R$2,Ingreso!$AW$10:$BC$260,VLOOKUP(A870,Ingreso!AL:AM,2,FALSE),FALSE)/24,""))),"")=0,"",IFERROR(IF(C870=C868,0,IF(E870=E869,0,IF(C870=$R$2,HLOOKUP($R$2,Ingreso!$AW$10:$BC$260,VLOOKUP(A870,Ingreso!AL:AM,2,FALSE),FALSE)/24,""))),""))</f>
        <v/>
      </c>
      <c r="N870" s="95" t="str">
        <f>IF(IFERROR(IF(C870=C868,0,IF(E870=E869,0,IF(C870=$R$3,HLOOKUP($R$3,Ingreso!$AW$10:$BC$260,VLOOKUP(A870,Ingreso!AL:AM,2,FALSE),FALSE)/24,""))),"")=0,"",IFERROR(IF(C870=C868,0,IF(E870=E869,0,IF(C870=$R$3,HLOOKUP($R$3,Ingreso!$AW$10:$BC$260,VLOOKUP(A870,Ingreso!AL:AM,2,FALSE),FALSE)/24,""))),""))</f>
        <v/>
      </c>
      <c r="O870" s="95" t="str">
        <f>IF(IFERROR(IF(C870=C868,0,IF(E870=E869,0,IF(C870=$R$4,HLOOKUP($R$4,Ingreso!$AW$10:$BC$260,VLOOKUP(A870,Ingreso!AL:AM,2,FALSE),FALSE)/24,""))),"")=0,"",IFERROR(IF(C870=C868,0,IF(E870=E869,0,IF(C870=$R$4,HLOOKUP($R$4,Ingreso!$AW$10:$BC$260,VLOOKUP(A870,Ingreso!AL:AM,2,FALSE),FALSE)/24,""))),""))</f>
        <v/>
      </c>
      <c r="P870" s="90"/>
      <c r="V870"/>
      <c r="W870"/>
      <c r="X870"/>
      <c r="Y870"/>
      <c r="Z870"/>
      <c r="AA870"/>
      <c r="AB870"/>
      <c r="AC870"/>
      <c r="AD870"/>
    </row>
    <row r="871" spans="1:30">
      <c r="A871" s="65" t="str">
        <f>IFERROR(VLOOKUP('Informe Kelly'!A864,Base!A:B,2,FALSE),"")</f>
        <v>15.441.831-8</v>
      </c>
      <c r="B871" s="65" t="str">
        <f>IFERROR(VLOOKUP('Informe Kelly'!A864,Base!A:G,7,FALSE),"")</f>
        <v>VALDERRAMA CAÑAS ROBERTO MARIO</v>
      </c>
      <c r="C871" s="69" t="str">
        <f>IF(G871=$C$4,IF('Informe Kelly'!H864='Control informe Kelly'!$A$2,TEXT(((LEFT('Informe Kelly'!E864,2)*1)+1),"dd")&amp;"."&amp;MID('Informe Kelly'!E864,4,2)&amp;"."&amp;RIGHT('Informe Kelly'!E864,4),'Informe Kelly'!E864),'Informe Kelly'!E864)</f>
        <v>16.04.2011</v>
      </c>
      <c r="D871" s="69" t="str">
        <f>IF('Informe Kelly'!E864="","",'Informe Kelly'!E864)</f>
        <v>16.04.2011</v>
      </c>
      <c r="E871" s="72">
        <f t="shared" si="27"/>
        <v>442</v>
      </c>
      <c r="F871" s="72" t="str">
        <f>IFERROR(HLOOKUP(C871,Ingreso!$Q$8:$AD$9,2,FALSE),"v")</f>
        <v>Sábado</v>
      </c>
      <c r="G871" s="65" t="str">
        <f>IFERROR(VLOOKUP(A871,Ingreso!K:P,6,FALSE),"no esta ingresado")</f>
        <v>no esta ingresado</v>
      </c>
      <c r="H871" s="65" t="str">
        <f>IFERROR(IF('Informe Kelly'!H864=$A$2,'Informe Kelly'!F864,""),0)</f>
        <v/>
      </c>
      <c r="I871" s="65">
        <f>IFERROR(IF('Informe Kelly'!H864=$A$3,'Informe Kelly'!F864,""),0)</f>
        <v>0.64354166666666668</v>
      </c>
      <c r="J871" s="65" t="str">
        <f>IF(IFERROR(IF(E871=E870,0,(HLOOKUP(D871,Ingreso!$AN$10:$AT$260,VLOOKUP(A871,Ingreso!$AL$11:$AM$260,2,FALSE)))/24),0)=0,"",IFERROR(IF(E871=E870,0,(HLOOKUP(D871,Ingreso!$AN$10:$AT$260,VLOOKUP(A871,Ingreso!$AL$11:$AM$260,2,FALSE)))/24),0))</f>
        <v/>
      </c>
      <c r="K871" s="65" t="str">
        <f>IF(IFERROR(IF(E871=E870,0,(HLOOKUP(C871,Ingreso!$AW$10:$BC$260,VLOOKUP(A871,Ingreso!$AL$11:$AM$260,2,FALSE)))/24),0)=0,"",IFERROR(IF(E871=E870,0,(HLOOKUP(C871,Ingreso!$AW$10:$BC$260,VLOOKUP(A871,Ingreso!$AL$11:$AM$260,2,FALSE)))/24),0))</f>
        <v/>
      </c>
      <c r="L871" s="63" t="str">
        <f t="shared" si="26"/>
        <v/>
      </c>
      <c r="M871" s="63" t="str">
        <f>IF(IFERROR(IF(C871=C869,0,IF(E871=E870,0,IF(C871=$R$2,HLOOKUP($R$2,Ingreso!$AW$10:$BC$260,VLOOKUP(A871,Ingreso!AL:AM,2,FALSE),FALSE)/24,""))),"")=0,"",IFERROR(IF(C871=C869,0,IF(E871=E870,0,IF(C871=$R$2,HLOOKUP($R$2,Ingreso!$AW$10:$BC$260,VLOOKUP(A871,Ingreso!AL:AM,2,FALSE),FALSE)/24,""))),""))</f>
        <v/>
      </c>
      <c r="N871" s="95" t="str">
        <f>IF(IFERROR(IF(C871=C869,0,IF(E871=E870,0,IF(C871=$R$3,HLOOKUP($R$3,Ingreso!$AW$10:$BC$260,VLOOKUP(A871,Ingreso!AL:AM,2,FALSE),FALSE)/24,""))),"")=0,"",IFERROR(IF(C871=C869,0,IF(E871=E870,0,IF(C871=$R$3,HLOOKUP($R$3,Ingreso!$AW$10:$BC$260,VLOOKUP(A871,Ingreso!AL:AM,2,FALSE),FALSE)/24,""))),""))</f>
        <v/>
      </c>
      <c r="O871" s="95" t="str">
        <f>IF(IFERROR(IF(C871=C869,0,IF(E871=E870,0,IF(C871=$R$4,HLOOKUP($R$4,Ingreso!$AW$10:$BC$260,VLOOKUP(A871,Ingreso!AL:AM,2,FALSE),FALSE)/24,""))),"")=0,"",IFERROR(IF(C871=C869,0,IF(E871=E870,0,IF(C871=$R$4,HLOOKUP($R$4,Ingreso!$AW$10:$BC$260,VLOOKUP(A871,Ingreso!AL:AM,2,FALSE),FALSE)/24,""))),""))</f>
        <v/>
      </c>
      <c r="P871" s="90"/>
      <c r="V871"/>
      <c r="W871"/>
      <c r="X871"/>
      <c r="Y871"/>
      <c r="Z871"/>
      <c r="AA871"/>
      <c r="AB871"/>
      <c r="AC871"/>
      <c r="AD871"/>
    </row>
    <row r="872" spans="1:30">
      <c r="A872" s="65" t="str">
        <f>IFERROR(VLOOKUP('Informe Kelly'!A865,Base!A:B,2,FALSE),"")</f>
        <v>15.441.831-8</v>
      </c>
      <c r="B872" s="65" t="str">
        <f>IFERROR(VLOOKUP('Informe Kelly'!A865,Base!A:G,7,FALSE),"")</f>
        <v>VALDERRAMA CAÑAS ROBERTO MARIO</v>
      </c>
      <c r="C872" s="69" t="str">
        <f>IF(G872=$C$4,IF('Informe Kelly'!H865='Control informe Kelly'!$A$2,TEXT(((LEFT('Informe Kelly'!E865,2)*1)+1),"dd")&amp;"."&amp;MID('Informe Kelly'!E865,4,2)&amp;"."&amp;RIGHT('Informe Kelly'!E865,4),'Informe Kelly'!E865),'Informe Kelly'!E865)</f>
        <v>16.04.2011</v>
      </c>
      <c r="D872" s="69" t="str">
        <f>IF('Informe Kelly'!E865="","",'Informe Kelly'!E865)</f>
        <v>16.04.2011</v>
      </c>
      <c r="E872" s="72">
        <f t="shared" si="27"/>
        <v>442</v>
      </c>
      <c r="F872" s="72" t="str">
        <f>IFERROR(HLOOKUP(C872,Ingreso!$Q$8:$AD$9,2,FALSE),"v")</f>
        <v>Sábado</v>
      </c>
      <c r="G872" s="65" t="str">
        <f>IFERROR(VLOOKUP(A872,Ingreso!K:P,6,FALSE),"no esta ingresado")</f>
        <v>no esta ingresado</v>
      </c>
      <c r="H872" s="65">
        <f>IFERROR(IF('Informe Kelly'!H865=$A$2,'Informe Kelly'!F865,""),0)</f>
        <v>0.31130787037037039</v>
      </c>
      <c r="I872" s="65" t="str">
        <f>IFERROR(IF('Informe Kelly'!H865=$A$3,'Informe Kelly'!F865,""),0)</f>
        <v/>
      </c>
      <c r="J872" s="65" t="str">
        <f>IF(IFERROR(IF(E872=E871,0,(HLOOKUP(D872,Ingreso!$AN$10:$AT$260,VLOOKUP(A872,Ingreso!$AL$11:$AM$260,2,FALSE)))/24),0)=0,"",IFERROR(IF(E872=E871,0,(HLOOKUP(D872,Ingreso!$AN$10:$AT$260,VLOOKUP(A872,Ingreso!$AL$11:$AM$260,2,FALSE)))/24),0))</f>
        <v/>
      </c>
      <c r="K872" s="65" t="str">
        <f>IF(IFERROR(IF(E872=E871,0,(HLOOKUP(C872,Ingreso!$AW$10:$BC$260,VLOOKUP(A872,Ingreso!$AL$11:$AM$260,2,FALSE)))/24),0)=0,"",IFERROR(IF(E872=E871,0,(HLOOKUP(C872,Ingreso!$AW$10:$BC$260,VLOOKUP(A872,Ingreso!$AL$11:$AM$260,2,FALSE)))/24),0))</f>
        <v/>
      </c>
      <c r="L872" s="63">
        <f t="shared" si="26"/>
        <v>0</v>
      </c>
      <c r="M872" s="63" t="str">
        <f>IF(IFERROR(IF(C872=C870,0,IF(E872=E871,0,IF(C872=$R$2,HLOOKUP($R$2,Ingreso!$AW$10:$BC$260,VLOOKUP(A872,Ingreso!AL:AM,2,FALSE),FALSE)/24,""))),"")=0,"",IFERROR(IF(C872=C870,0,IF(E872=E871,0,IF(C872=$R$2,HLOOKUP($R$2,Ingreso!$AW$10:$BC$260,VLOOKUP(A872,Ingreso!AL:AM,2,FALSE),FALSE)/24,""))),""))</f>
        <v/>
      </c>
      <c r="N872" s="95" t="str">
        <f>IF(IFERROR(IF(C872=C870,0,IF(E872=E871,0,IF(C872=$R$3,HLOOKUP($R$3,Ingreso!$AW$10:$BC$260,VLOOKUP(A872,Ingreso!AL:AM,2,FALSE),FALSE)/24,""))),"")=0,"",IFERROR(IF(C872=C870,0,IF(E872=E871,0,IF(C872=$R$3,HLOOKUP($R$3,Ingreso!$AW$10:$BC$260,VLOOKUP(A872,Ingreso!AL:AM,2,FALSE),FALSE)/24,""))),""))</f>
        <v/>
      </c>
      <c r="O872" s="95" t="str">
        <f>IF(IFERROR(IF(C872=C870,0,IF(E872=E871,0,IF(C872=$R$4,HLOOKUP($R$4,Ingreso!$AW$10:$BC$260,VLOOKUP(A872,Ingreso!AL:AM,2,FALSE),FALSE)/24,""))),"")=0,"",IFERROR(IF(C872=C870,0,IF(E872=E871,0,IF(C872=$R$4,HLOOKUP($R$4,Ingreso!$AW$10:$BC$260,VLOOKUP(A872,Ingreso!AL:AM,2,FALSE),FALSE)/24,""))),""))</f>
        <v/>
      </c>
      <c r="P872" s="90"/>
      <c r="V872"/>
      <c r="W872"/>
      <c r="X872"/>
      <c r="Y872"/>
      <c r="Z872"/>
      <c r="AA872"/>
      <c r="AB872"/>
      <c r="AC872"/>
      <c r="AD872"/>
    </row>
    <row r="873" spans="1:30">
      <c r="A873" s="65" t="str">
        <f>IFERROR(VLOOKUP('Informe Kelly'!A866,Base!A:B,2,FALSE),"")</f>
        <v>15.444.951-5</v>
      </c>
      <c r="B873" s="65" t="str">
        <f>IFERROR(VLOOKUP('Informe Kelly'!A866,Base!A:G,7,FALSE),"")</f>
        <v>PLAZA ARAYA MIGUEL ANTONIO</v>
      </c>
      <c r="C873" s="69" t="str">
        <f>IF(G873=$C$4,IF('Informe Kelly'!H866='Control informe Kelly'!$A$2,TEXT(((LEFT('Informe Kelly'!E866,2)*1)+1),"dd")&amp;"."&amp;MID('Informe Kelly'!E866,4,2)&amp;"."&amp;RIGHT('Informe Kelly'!E866,4),'Informe Kelly'!E866),'Informe Kelly'!E866)</f>
        <v>12.04.2011</v>
      </c>
      <c r="D873" s="69" t="str">
        <f>IF('Informe Kelly'!E866="","",'Informe Kelly'!E866)</f>
        <v>11.04.2011</v>
      </c>
      <c r="E873" s="72">
        <f t="shared" si="27"/>
        <v>443</v>
      </c>
      <c r="F873" s="72" t="str">
        <f>IFERROR(HLOOKUP(C873,Ingreso!$Q$8:$AD$9,2,FALSE),"v")</f>
        <v>Martes</v>
      </c>
      <c r="G873" s="65" t="str">
        <f>IFERROR(VLOOKUP(A873,Ingreso!K:P,6,FALSE),"no esta ingresado")</f>
        <v>Turno C</v>
      </c>
      <c r="H873" s="65">
        <f>IFERROR(IF('Informe Kelly'!H866=$A$2,'Informe Kelly'!F866,""),0)</f>
        <v>0.93306712962962957</v>
      </c>
      <c r="I873" s="65" t="str">
        <f>IFERROR(IF('Informe Kelly'!H866=$A$3,'Informe Kelly'!F866,""),0)</f>
        <v/>
      </c>
      <c r="J873" s="65" t="str">
        <f>IF(IFERROR(IF(E873=E872,0,(HLOOKUP(D873,Ingreso!$AN$10:$AT$260,VLOOKUP(A873,Ingreso!$AL$11:$AM$260,2,FALSE)))/24),0)=0,"",IFERROR(IF(E873=E872,0,(HLOOKUP(D873,Ingreso!$AN$10:$AT$260,VLOOKUP(A873,Ingreso!$AL$11:$AM$260,2,FALSE)))/24),0))</f>
        <v/>
      </c>
      <c r="K873" s="65" t="str">
        <f>IF(IFERROR(IF(E873=E872,0,(HLOOKUP(C873,Ingreso!$AW$10:$BC$260,VLOOKUP(A873,Ingreso!$AL$11:$AM$260,2,FALSE)))/24),0)=0,"",IFERROR(IF(E873=E872,0,(HLOOKUP(C873,Ingreso!$AW$10:$BC$260,VLOOKUP(A873,Ingreso!$AL$11:$AM$260,2,FALSE)))/24),0))</f>
        <v/>
      </c>
      <c r="L873" s="63">
        <f t="shared" si="26"/>
        <v>0.375</v>
      </c>
      <c r="M873" s="63" t="str">
        <f>IF(IFERROR(IF(C873=C871,0,IF(E873=E872,0,IF(C873=$R$2,HLOOKUP($R$2,Ingreso!$AW$10:$BC$260,VLOOKUP(A873,Ingreso!AL:AM,2,FALSE),FALSE)/24,""))),"")=0,"",IFERROR(IF(C873=C871,0,IF(E873=E872,0,IF(C873=$R$2,HLOOKUP($R$2,Ingreso!$AW$10:$BC$260,VLOOKUP(A873,Ingreso!AL:AM,2,FALSE),FALSE)/24,""))),""))</f>
        <v/>
      </c>
      <c r="N873" s="95" t="str">
        <f>IF(IFERROR(IF(C873=C871,0,IF(E873=E872,0,IF(C873=$R$3,HLOOKUP($R$3,Ingreso!$AW$10:$BC$260,VLOOKUP(A873,Ingreso!AL:AM,2,FALSE),FALSE)/24,""))),"")=0,"",IFERROR(IF(C873=C871,0,IF(E873=E872,0,IF(C873=$R$3,HLOOKUP($R$3,Ingreso!$AW$10:$BC$260,VLOOKUP(A873,Ingreso!AL:AM,2,FALSE),FALSE)/24,""))),""))</f>
        <v/>
      </c>
      <c r="O873" s="95" t="str">
        <f>IF(IFERROR(IF(C873=C871,0,IF(E873=E872,0,IF(C873=$R$4,HLOOKUP($R$4,Ingreso!$AW$10:$BC$260,VLOOKUP(A873,Ingreso!AL:AM,2,FALSE),FALSE)/24,""))),"")=0,"",IFERROR(IF(C873=C871,0,IF(E873=E872,0,IF(C873=$R$4,HLOOKUP($R$4,Ingreso!$AW$10:$BC$260,VLOOKUP(A873,Ingreso!AL:AM,2,FALSE),FALSE)/24,""))),""))</f>
        <v/>
      </c>
      <c r="P873" s="90"/>
      <c r="V873"/>
      <c r="W873"/>
      <c r="X873"/>
      <c r="Y873"/>
      <c r="Z873"/>
      <c r="AA873"/>
      <c r="AB873"/>
      <c r="AC873"/>
      <c r="AD873"/>
    </row>
    <row r="874" spans="1:30">
      <c r="A874" s="65" t="str">
        <f>IFERROR(VLOOKUP('Informe Kelly'!A867,Base!A:B,2,FALSE),"")</f>
        <v>15.444.951-5</v>
      </c>
      <c r="B874" s="65" t="str">
        <f>IFERROR(VLOOKUP('Informe Kelly'!A867,Base!A:G,7,FALSE),"")</f>
        <v>PLAZA ARAYA MIGUEL ANTONIO</v>
      </c>
      <c r="C874" s="69" t="str">
        <f>IF(G874=$C$4,IF('Informe Kelly'!H867='Control informe Kelly'!$A$2,TEXT(((LEFT('Informe Kelly'!E867,2)*1)+1),"dd")&amp;"."&amp;MID('Informe Kelly'!E867,4,2)&amp;"."&amp;RIGHT('Informe Kelly'!E867,4),'Informe Kelly'!E867),'Informe Kelly'!E867)</f>
        <v>12.04.2011</v>
      </c>
      <c r="D874" s="69" t="str">
        <f>IF('Informe Kelly'!E867="","",'Informe Kelly'!E867)</f>
        <v>12.04.2011</v>
      </c>
      <c r="E874" s="72">
        <f t="shared" si="27"/>
        <v>443</v>
      </c>
      <c r="F874" s="72" t="str">
        <f>IFERROR(HLOOKUP(C874,Ingreso!$Q$8:$AD$9,2,FALSE),"v")</f>
        <v>Martes</v>
      </c>
      <c r="G874" s="65" t="str">
        <f>IFERROR(VLOOKUP(A874,Ingreso!K:P,6,FALSE),"no esta ingresado")</f>
        <v>Turno C</v>
      </c>
      <c r="H874" s="65" t="str">
        <f>IFERROR(IF('Informe Kelly'!H867=$A$2,'Informe Kelly'!F867,""),0)</f>
        <v/>
      </c>
      <c r="I874" s="65">
        <f>IFERROR(IF('Informe Kelly'!H867=$A$3,'Informe Kelly'!F867,""),0)</f>
        <v>0.31768518518518518</v>
      </c>
      <c r="J874" s="65" t="str">
        <f>IF(IFERROR(IF(E874=E873,0,(HLOOKUP(D874,Ingreso!$AN$10:$AT$260,VLOOKUP(A874,Ingreso!$AL$11:$AM$260,2,FALSE)))/24),0)=0,"",IFERROR(IF(E874=E873,0,(HLOOKUP(D874,Ingreso!$AN$10:$AT$260,VLOOKUP(A874,Ingreso!$AL$11:$AM$260,2,FALSE)))/24),0))</f>
        <v/>
      </c>
      <c r="K874" s="65" t="str">
        <f>IF(IFERROR(IF(E874=E873,0,(HLOOKUP(C874,Ingreso!$AW$10:$BC$260,VLOOKUP(A874,Ingreso!$AL$11:$AM$260,2,FALSE)))/24),0)=0,"",IFERROR(IF(E874=E873,0,(HLOOKUP(C874,Ingreso!$AW$10:$BC$260,VLOOKUP(A874,Ingreso!$AL$11:$AM$260,2,FALSE)))/24),0))</f>
        <v/>
      </c>
      <c r="L874" s="63">
        <f t="shared" si="26"/>
        <v>0</v>
      </c>
      <c r="M874" s="63" t="str">
        <f>IF(IFERROR(IF(C874=C872,0,IF(E874=E873,0,IF(C874=$R$2,HLOOKUP($R$2,Ingreso!$AW$10:$BC$260,VLOOKUP(A874,Ingreso!AL:AM,2,FALSE),FALSE)/24,""))),"")=0,"",IFERROR(IF(C874=C872,0,IF(E874=E873,0,IF(C874=$R$2,HLOOKUP($R$2,Ingreso!$AW$10:$BC$260,VLOOKUP(A874,Ingreso!AL:AM,2,FALSE),FALSE)/24,""))),""))</f>
        <v/>
      </c>
      <c r="N874" s="95" t="str">
        <f>IF(IFERROR(IF(C874=C872,0,IF(E874=E873,0,IF(C874=$R$3,HLOOKUP($R$3,Ingreso!$AW$10:$BC$260,VLOOKUP(A874,Ingreso!AL:AM,2,FALSE),FALSE)/24,""))),"")=0,"",IFERROR(IF(C874=C872,0,IF(E874=E873,0,IF(C874=$R$3,HLOOKUP($R$3,Ingreso!$AW$10:$BC$260,VLOOKUP(A874,Ingreso!AL:AM,2,FALSE),FALSE)/24,""))),""))</f>
        <v/>
      </c>
      <c r="O874" s="95" t="str">
        <f>IF(IFERROR(IF(C874=C872,0,IF(E874=E873,0,IF(C874=$R$4,HLOOKUP($R$4,Ingreso!$AW$10:$BC$260,VLOOKUP(A874,Ingreso!AL:AM,2,FALSE),FALSE)/24,""))),"")=0,"",IFERROR(IF(C874=C872,0,IF(E874=E873,0,IF(C874=$R$4,HLOOKUP($R$4,Ingreso!$AW$10:$BC$260,VLOOKUP(A874,Ingreso!AL:AM,2,FALSE),FALSE)/24,""))),""))</f>
        <v/>
      </c>
      <c r="P874" s="90"/>
      <c r="V874"/>
      <c r="W874"/>
      <c r="X874"/>
      <c r="Y874"/>
      <c r="Z874"/>
      <c r="AA874"/>
      <c r="AB874"/>
      <c r="AC874"/>
      <c r="AD874"/>
    </row>
    <row r="875" spans="1:30">
      <c r="A875" s="65" t="str">
        <f>IFERROR(VLOOKUP('Informe Kelly'!A868,Base!A:B,2,FALSE),"")</f>
        <v>15.444.951-5</v>
      </c>
      <c r="B875" s="65" t="str">
        <f>IFERROR(VLOOKUP('Informe Kelly'!A868,Base!A:G,7,FALSE),"")</f>
        <v>PLAZA ARAYA MIGUEL ANTONIO</v>
      </c>
      <c r="C875" s="69" t="str">
        <f>IF(G875=$C$4,IF('Informe Kelly'!H868='Control informe Kelly'!$A$2,TEXT(((LEFT('Informe Kelly'!E868,2)*1)+1),"dd")&amp;"."&amp;MID('Informe Kelly'!E868,4,2)&amp;"."&amp;RIGHT('Informe Kelly'!E868,4),'Informe Kelly'!E868),'Informe Kelly'!E868)</f>
        <v>13.04.2011</v>
      </c>
      <c r="D875" s="69" t="str">
        <f>IF('Informe Kelly'!E868="","",'Informe Kelly'!E868)</f>
        <v>12.04.2011</v>
      </c>
      <c r="E875" s="72">
        <f t="shared" si="27"/>
        <v>444</v>
      </c>
      <c r="F875" s="72" t="str">
        <f>IFERROR(HLOOKUP(C875,Ingreso!$Q$8:$AD$9,2,FALSE),"v")</f>
        <v>Miércoles</v>
      </c>
      <c r="G875" s="65" t="str">
        <f>IFERROR(VLOOKUP(A875,Ingreso!K:P,6,FALSE),"no esta ingresado")</f>
        <v>Turno C</v>
      </c>
      <c r="H875" s="65">
        <f>IFERROR(IF('Informe Kelly'!H868=$A$2,'Informe Kelly'!F868,""),0)</f>
        <v>0.93319444444444455</v>
      </c>
      <c r="I875" s="65" t="str">
        <f>IFERROR(IF('Informe Kelly'!H868=$A$3,'Informe Kelly'!F868,""),0)</f>
        <v/>
      </c>
      <c r="J875" s="65" t="str">
        <f>IF(IFERROR(IF(E875=E874,0,(HLOOKUP(D875,Ingreso!$AN$10:$AT$260,VLOOKUP(A875,Ingreso!$AL$11:$AM$260,2,FALSE)))/24),0)=0,"",IFERROR(IF(E875=E874,0,(HLOOKUP(D875,Ingreso!$AN$10:$AT$260,VLOOKUP(A875,Ingreso!$AL$11:$AM$260,2,FALSE)))/24),0))</f>
        <v/>
      </c>
      <c r="K875" s="65" t="str">
        <f>IF(IFERROR(IF(E875=E874,0,(HLOOKUP(C875,Ingreso!$AW$10:$BC$260,VLOOKUP(A875,Ingreso!$AL$11:$AM$260,2,FALSE)))/24),0)=0,"",IFERROR(IF(E875=E874,0,(HLOOKUP(C875,Ingreso!$AW$10:$BC$260,VLOOKUP(A875,Ingreso!$AL$11:$AM$260,2,FALSE)))/24),0))</f>
        <v/>
      </c>
      <c r="L875" s="63">
        <f t="shared" si="26"/>
        <v>0.375</v>
      </c>
      <c r="M875" s="63" t="str">
        <f>IF(IFERROR(IF(C875=C873,0,IF(E875=E874,0,IF(C875=$R$2,HLOOKUP($R$2,Ingreso!$AW$10:$BC$260,VLOOKUP(A875,Ingreso!AL:AM,2,FALSE),FALSE)/24,""))),"")=0,"",IFERROR(IF(C875=C873,0,IF(E875=E874,0,IF(C875=$R$2,HLOOKUP($R$2,Ingreso!$AW$10:$BC$260,VLOOKUP(A875,Ingreso!AL:AM,2,FALSE),FALSE)/24,""))),""))</f>
        <v/>
      </c>
      <c r="N875" s="95" t="str">
        <f>IF(IFERROR(IF(C875=C873,0,IF(E875=E874,0,IF(C875=$R$3,HLOOKUP($R$3,Ingreso!$AW$10:$BC$260,VLOOKUP(A875,Ingreso!AL:AM,2,FALSE),FALSE)/24,""))),"")=0,"",IFERROR(IF(C875=C873,0,IF(E875=E874,0,IF(C875=$R$3,HLOOKUP($R$3,Ingreso!$AW$10:$BC$260,VLOOKUP(A875,Ingreso!AL:AM,2,FALSE),FALSE)/24,""))),""))</f>
        <v/>
      </c>
      <c r="O875" s="95" t="str">
        <f>IF(IFERROR(IF(C875=C873,0,IF(E875=E874,0,IF(C875=$R$4,HLOOKUP($R$4,Ingreso!$AW$10:$BC$260,VLOOKUP(A875,Ingreso!AL:AM,2,FALSE),FALSE)/24,""))),"")=0,"",IFERROR(IF(C875=C873,0,IF(E875=E874,0,IF(C875=$R$4,HLOOKUP($R$4,Ingreso!$AW$10:$BC$260,VLOOKUP(A875,Ingreso!AL:AM,2,FALSE),FALSE)/24,""))),""))</f>
        <v/>
      </c>
      <c r="P875" s="90"/>
      <c r="V875"/>
      <c r="W875"/>
      <c r="X875"/>
      <c r="Y875"/>
      <c r="Z875"/>
      <c r="AA875"/>
      <c r="AB875"/>
      <c r="AC875"/>
      <c r="AD875"/>
    </row>
    <row r="876" spans="1:30">
      <c r="A876" s="65" t="str">
        <f>IFERROR(VLOOKUP('Informe Kelly'!A869,Base!A:B,2,FALSE),"")</f>
        <v>15.444.951-5</v>
      </c>
      <c r="B876" s="65" t="str">
        <f>IFERROR(VLOOKUP('Informe Kelly'!A869,Base!A:G,7,FALSE),"")</f>
        <v>PLAZA ARAYA MIGUEL ANTONIO</v>
      </c>
      <c r="C876" s="69" t="str">
        <f>IF(G876=$C$4,IF('Informe Kelly'!H869='Control informe Kelly'!$A$2,TEXT(((LEFT('Informe Kelly'!E869,2)*1)+1),"dd")&amp;"."&amp;MID('Informe Kelly'!E869,4,2)&amp;"."&amp;RIGHT('Informe Kelly'!E869,4),'Informe Kelly'!E869),'Informe Kelly'!E869)</f>
        <v>13.04.2011</v>
      </c>
      <c r="D876" s="69" t="str">
        <f>IF('Informe Kelly'!E869="","",'Informe Kelly'!E869)</f>
        <v>13.04.2011</v>
      </c>
      <c r="E876" s="72">
        <f t="shared" si="27"/>
        <v>444</v>
      </c>
      <c r="F876" s="72" t="str">
        <f>IFERROR(HLOOKUP(C876,Ingreso!$Q$8:$AD$9,2,FALSE),"v")</f>
        <v>Miércoles</v>
      </c>
      <c r="G876" s="65" t="str">
        <f>IFERROR(VLOOKUP(A876,Ingreso!K:P,6,FALSE),"no esta ingresado")</f>
        <v>Turno C</v>
      </c>
      <c r="H876" s="65" t="str">
        <f>IFERROR(IF('Informe Kelly'!H869=$A$2,'Informe Kelly'!F869,""),0)</f>
        <v/>
      </c>
      <c r="I876" s="65">
        <f>IFERROR(IF('Informe Kelly'!H869=$A$3,'Informe Kelly'!F869,""),0)</f>
        <v>0.32193287037037038</v>
      </c>
      <c r="J876" s="65" t="str">
        <f>IF(IFERROR(IF(E876=E875,0,(HLOOKUP(D876,Ingreso!$AN$10:$AT$260,VLOOKUP(A876,Ingreso!$AL$11:$AM$260,2,FALSE)))/24),0)=0,"",IFERROR(IF(E876=E875,0,(HLOOKUP(D876,Ingreso!$AN$10:$AT$260,VLOOKUP(A876,Ingreso!$AL$11:$AM$260,2,FALSE)))/24),0))</f>
        <v/>
      </c>
      <c r="K876" s="65" t="str">
        <f>IF(IFERROR(IF(E876=E875,0,(HLOOKUP(C876,Ingreso!$AW$10:$BC$260,VLOOKUP(A876,Ingreso!$AL$11:$AM$260,2,FALSE)))/24),0)=0,"",IFERROR(IF(E876=E875,0,(HLOOKUP(C876,Ingreso!$AW$10:$BC$260,VLOOKUP(A876,Ingreso!$AL$11:$AM$260,2,FALSE)))/24),0))</f>
        <v/>
      </c>
      <c r="L876" s="63">
        <f t="shared" si="26"/>
        <v>0</v>
      </c>
      <c r="M876" s="63" t="str">
        <f>IF(IFERROR(IF(C876=C874,0,IF(E876=E875,0,IF(C876=$R$2,HLOOKUP($R$2,Ingreso!$AW$10:$BC$260,VLOOKUP(A876,Ingreso!AL:AM,2,FALSE),FALSE)/24,""))),"")=0,"",IFERROR(IF(C876=C874,0,IF(E876=E875,0,IF(C876=$R$2,HLOOKUP($R$2,Ingreso!$AW$10:$BC$260,VLOOKUP(A876,Ingreso!AL:AM,2,FALSE),FALSE)/24,""))),""))</f>
        <v/>
      </c>
      <c r="N876" s="95" t="str">
        <f>IF(IFERROR(IF(C876=C874,0,IF(E876=E875,0,IF(C876=$R$3,HLOOKUP($R$3,Ingreso!$AW$10:$BC$260,VLOOKUP(A876,Ingreso!AL:AM,2,FALSE),FALSE)/24,""))),"")=0,"",IFERROR(IF(C876=C874,0,IF(E876=E875,0,IF(C876=$R$3,HLOOKUP($R$3,Ingreso!$AW$10:$BC$260,VLOOKUP(A876,Ingreso!AL:AM,2,FALSE),FALSE)/24,""))),""))</f>
        <v/>
      </c>
      <c r="O876" s="95" t="str">
        <f>IF(IFERROR(IF(C876=C874,0,IF(E876=E875,0,IF(C876=$R$4,HLOOKUP($R$4,Ingreso!$AW$10:$BC$260,VLOOKUP(A876,Ingreso!AL:AM,2,FALSE),FALSE)/24,""))),"")=0,"",IFERROR(IF(C876=C874,0,IF(E876=E875,0,IF(C876=$R$4,HLOOKUP($R$4,Ingreso!$AW$10:$BC$260,VLOOKUP(A876,Ingreso!AL:AM,2,FALSE),FALSE)/24,""))),""))</f>
        <v/>
      </c>
      <c r="P876" s="90"/>
      <c r="V876"/>
      <c r="W876"/>
      <c r="X876"/>
      <c r="Y876"/>
      <c r="Z876"/>
      <c r="AA876"/>
      <c r="AB876"/>
      <c r="AC876"/>
      <c r="AD876"/>
    </row>
    <row r="877" spans="1:30">
      <c r="A877" s="65" t="str">
        <f>IFERROR(VLOOKUP('Informe Kelly'!A870,Base!A:B,2,FALSE),"")</f>
        <v>15.444.951-5</v>
      </c>
      <c r="B877" s="65" t="str">
        <f>IFERROR(VLOOKUP('Informe Kelly'!A870,Base!A:G,7,FALSE),"")</f>
        <v>PLAZA ARAYA MIGUEL ANTONIO</v>
      </c>
      <c r="C877" s="69" t="str">
        <f>IF(G877=$C$4,IF('Informe Kelly'!H870='Control informe Kelly'!$A$2,TEXT(((LEFT('Informe Kelly'!E870,2)*1)+1),"dd")&amp;"."&amp;MID('Informe Kelly'!E870,4,2)&amp;"."&amp;RIGHT('Informe Kelly'!E870,4),'Informe Kelly'!E870),'Informe Kelly'!E870)</f>
        <v>14.04.2011</v>
      </c>
      <c r="D877" s="69" t="str">
        <f>IF('Informe Kelly'!E870="","",'Informe Kelly'!E870)</f>
        <v>13.04.2011</v>
      </c>
      <c r="E877" s="72">
        <f t="shared" si="27"/>
        <v>445</v>
      </c>
      <c r="F877" s="72" t="str">
        <f>IFERROR(HLOOKUP(C877,Ingreso!$Q$8:$AD$9,2,FALSE),"v")</f>
        <v>Jueves</v>
      </c>
      <c r="G877" s="65" t="str">
        <f>IFERROR(VLOOKUP(A877,Ingreso!K:P,6,FALSE),"no esta ingresado")</f>
        <v>Turno C</v>
      </c>
      <c r="H877" s="65">
        <f>IFERROR(IF('Informe Kelly'!H870=$A$2,'Informe Kelly'!F870,""),0)</f>
        <v>0.92903935185185194</v>
      </c>
      <c r="I877" s="65" t="str">
        <f>IFERROR(IF('Informe Kelly'!H870=$A$3,'Informe Kelly'!F870,""),0)</f>
        <v/>
      </c>
      <c r="J877" s="65" t="str">
        <f>IF(IFERROR(IF(E877=E876,0,(HLOOKUP(D877,Ingreso!$AN$10:$AT$260,VLOOKUP(A877,Ingreso!$AL$11:$AM$260,2,FALSE)))/24),0)=0,"",IFERROR(IF(E877=E876,0,(HLOOKUP(D877,Ingreso!$AN$10:$AT$260,VLOOKUP(A877,Ingreso!$AL$11:$AM$260,2,FALSE)))/24),0))</f>
        <v/>
      </c>
      <c r="K877" s="65" t="str">
        <f>IF(IFERROR(IF(E877=E876,0,(HLOOKUP(C877,Ingreso!$AW$10:$BC$260,VLOOKUP(A877,Ingreso!$AL$11:$AM$260,2,FALSE)))/24),0)=0,"",IFERROR(IF(E877=E876,0,(HLOOKUP(C877,Ingreso!$AW$10:$BC$260,VLOOKUP(A877,Ingreso!$AL$11:$AM$260,2,FALSE)))/24),0))</f>
        <v/>
      </c>
      <c r="L877" s="63">
        <f t="shared" si="26"/>
        <v>0.375</v>
      </c>
      <c r="M877" s="63" t="str">
        <f>IF(IFERROR(IF(C877=C875,0,IF(E877=E876,0,IF(C877=$R$2,HLOOKUP($R$2,Ingreso!$AW$10:$BC$260,VLOOKUP(A877,Ingreso!AL:AM,2,FALSE),FALSE)/24,""))),"")=0,"",IFERROR(IF(C877=C875,0,IF(E877=E876,0,IF(C877=$R$2,HLOOKUP($R$2,Ingreso!$AW$10:$BC$260,VLOOKUP(A877,Ingreso!AL:AM,2,FALSE),FALSE)/24,""))),""))</f>
        <v/>
      </c>
      <c r="N877" s="95" t="str">
        <f>IF(IFERROR(IF(C877=C875,0,IF(E877=E876,0,IF(C877=$R$3,HLOOKUP($R$3,Ingreso!$AW$10:$BC$260,VLOOKUP(A877,Ingreso!AL:AM,2,FALSE),FALSE)/24,""))),"")=0,"",IFERROR(IF(C877=C875,0,IF(E877=E876,0,IF(C877=$R$3,HLOOKUP($R$3,Ingreso!$AW$10:$BC$260,VLOOKUP(A877,Ingreso!AL:AM,2,FALSE),FALSE)/24,""))),""))</f>
        <v/>
      </c>
      <c r="O877" s="95" t="str">
        <f>IF(IFERROR(IF(C877=C875,0,IF(E877=E876,0,IF(C877=$R$4,HLOOKUP($R$4,Ingreso!$AW$10:$BC$260,VLOOKUP(A877,Ingreso!AL:AM,2,FALSE),FALSE)/24,""))),"")=0,"",IFERROR(IF(C877=C875,0,IF(E877=E876,0,IF(C877=$R$4,HLOOKUP($R$4,Ingreso!$AW$10:$BC$260,VLOOKUP(A877,Ingreso!AL:AM,2,FALSE),FALSE)/24,""))),""))</f>
        <v/>
      </c>
      <c r="P877" s="90"/>
      <c r="V877"/>
      <c r="W877"/>
      <c r="X877"/>
      <c r="Y877"/>
      <c r="Z877"/>
      <c r="AA877"/>
      <c r="AB877"/>
      <c r="AC877"/>
      <c r="AD877"/>
    </row>
    <row r="878" spans="1:30">
      <c r="A878" s="65" t="str">
        <f>IFERROR(VLOOKUP('Informe Kelly'!A871,Base!A:B,2,FALSE),"")</f>
        <v>15.444.951-5</v>
      </c>
      <c r="B878" s="65" t="str">
        <f>IFERROR(VLOOKUP('Informe Kelly'!A871,Base!A:G,7,FALSE),"")</f>
        <v>PLAZA ARAYA MIGUEL ANTONIO</v>
      </c>
      <c r="C878" s="69" t="str">
        <f>IF(G878=$C$4,IF('Informe Kelly'!H871='Control informe Kelly'!$A$2,TEXT(((LEFT('Informe Kelly'!E871,2)*1)+1),"dd")&amp;"."&amp;MID('Informe Kelly'!E871,4,2)&amp;"."&amp;RIGHT('Informe Kelly'!E871,4),'Informe Kelly'!E871),'Informe Kelly'!E871)</f>
        <v>14.04.2011</v>
      </c>
      <c r="D878" s="69" t="str">
        <f>IF('Informe Kelly'!E871="","",'Informe Kelly'!E871)</f>
        <v>14.04.2011</v>
      </c>
      <c r="E878" s="72">
        <f t="shared" si="27"/>
        <v>445</v>
      </c>
      <c r="F878" s="72" t="str">
        <f>IFERROR(HLOOKUP(C878,Ingreso!$Q$8:$AD$9,2,FALSE),"v")</f>
        <v>Jueves</v>
      </c>
      <c r="G878" s="65" t="str">
        <f>IFERROR(VLOOKUP(A878,Ingreso!K:P,6,FALSE),"no esta ingresado")</f>
        <v>Turno C</v>
      </c>
      <c r="H878" s="65" t="str">
        <f>IFERROR(IF('Informe Kelly'!H871=$A$2,'Informe Kelly'!F871,""),0)</f>
        <v/>
      </c>
      <c r="I878" s="65">
        <f>IFERROR(IF('Informe Kelly'!H871=$A$3,'Informe Kelly'!F871,""),0)</f>
        <v>0.31777777777777777</v>
      </c>
      <c r="J878" s="65" t="str">
        <f>IF(IFERROR(IF(E878=E877,0,(HLOOKUP(D878,Ingreso!$AN$10:$AT$260,VLOOKUP(A878,Ingreso!$AL$11:$AM$260,2,FALSE)))/24),0)=0,"",IFERROR(IF(E878=E877,0,(HLOOKUP(D878,Ingreso!$AN$10:$AT$260,VLOOKUP(A878,Ingreso!$AL$11:$AM$260,2,FALSE)))/24),0))</f>
        <v/>
      </c>
      <c r="K878" s="65" t="str">
        <f>IF(IFERROR(IF(E878=E877,0,(HLOOKUP(C878,Ingreso!$AW$10:$BC$260,VLOOKUP(A878,Ingreso!$AL$11:$AM$260,2,FALSE)))/24),0)=0,"",IFERROR(IF(E878=E877,0,(HLOOKUP(C878,Ingreso!$AW$10:$BC$260,VLOOKUP(A878,Ingreso!$AL$11:$AM$260,2,FALSE)))/24),0))</f>
        <v/>
      </c>
      <c r="L878" s="63">
        <f t="shared" si="26"/>
        <v>0</v>
      </c>
      <c r="M878" s="63" t="str">
        <f>IF(IFERROR(IF(C878=C876,0,IF(E878=E877,0,IF(C878=$R$2,HLOOKUP($R$2,Ingreso!$AW$10:$BC$260,VLOOKUP(A878,Ingreso!AL:AM,2,FALSE),FALSE)/24,""))),"")=0,"",IFERROR(IF(C878=C876,0,IF(E878=E877,0,IF(C878=$R$2,HLOOKUP($R$2,Ingreso!$AW$10:$BC$260,VLOOKUP(A878,Ingreso!AL:AM,2,FALSE),FALSE)/24,""))),""))</f>
        <v/>
      </c>
      <c r="N878" s="95" t="str">
        <f>IF(IFERROR(IF(C878=C876,0,IF(E878=E877,0,IF(C878=$R$3,HLOOKUP($R$3,Ingreso!$AW$10:$BC$260,VLOOKUP(A878,Ingreso!AL:AM,2,FALSE),FALSE)/24,""))),"")=0,"",IFERROR(IF(C878=C876,0,IF(E878=E877,0,IF(C878=$R$3,HLOOKUP($R$3,Ingreso!$AW$10:$BC$260,VLOOKUP(A878,Ingreso!AL:AM,2,FALSE),FALSE)/24,""))),""))</f>
        <v/>
      </c>
      <c r="O878" s="95" t="str">
        <f>IF(IFERROR(IF(C878=C876,0,IF(E878=E877,0,IF(C878=$R$4,HLOOKUP($R$4,Ingreso!$AW$10:$BC$260,VLOOKUP(A878,Ingreso!AL:AM,2,FALSE),FALSE)/24,""))),"")=0,"",IFERROR(IF(C878=C876,0,IF(E878=E877,0,IF(C878=$R$4,HLOOKUP($R$4,Ingreso!$AW$10:$BC$260,VLOOKUP(A878,Ingreso!AL:AM,2,FALSE),FALSE)/24,""))),""))</f>
        <v/>
      </c>
      <c r="P878" s="90"/>
      <c r="V878"/>
      <c r="W878"/>
      <c r="X878"/>
      <c r="Y878"/>
      <c r="Z878"/>
      <c r="AA878"/>
      <c r="AB878"/>
      <c r="AC878"/>
      <c r="AD878"/>
    </row>
    <row r="879" spans="1:30">
      <c r="A879" s="65" t="str">
        <f>IFERROR(VLOOKUP('Informe Kelly'!A872,Base!A:B,2,FALSE),"")</f>
        <v>15.444.951-5</v>
      </c>
      <c r="B879" s="65" t="str">
        <f>IFERROR(VLOOKUP('Informe Kelly'!A872,Base!A:G,7,FALSE),"")</f>
        <v>PLAZA ARAYA MIGUEL ANTONIO</v>
      </c>
      <c r="C879" s="69" t="str">
        <f>IF(G879=$C$4,IF('Informe Kelly'!H872='Control informe Kelly'!$A$2,TEXT(((LEFT('Informe Kelly'!E872,2)*1)+1),"dd")&amp;"."&amp;MID('Informe Kelly'!E872,4,2)&amp;"."&amp;RIGHT('Informe Kelly'!E872,4),'Informe Kelly'!E872),'Informe Kelly'!E872)</f>
        <v>15.04.2011</v>
      </c>
      <c r="D879" s="69" t="str">
        <f>IF('Informe Kelly'!E872="","",'Informe Kelly'!E872)</f>
        <v>14.04.2011</v>
      </c>
      <c r="E879" s="72">
        <f t="shared" si="27"/>
        <v>446</v>
      </c>
      <c r="F879" s="72" t="str">
        <f>IFERROR(HLOOKUP(C879,Ingreso!$Q$8:$AD$9,2,FALSE),"v")</f>
        <v>Viernes</v>
      </c>
      <c r="G879" s="65" t="str">
        <f>IFERROR(VLOOKUP(A879,Ingreso!K:P,6,FALSE),"no esta ingresado")</f>
        <v>Turno C</v>
      </c>
      <c r="H879" s="65">
        <f>IFERROR(IF('Informe Kelly'!H872=$A$2,'Informe Kelly'!F872,""),0)</f>
        <v>0.93417824074074074</v>
      </c>
      <c r="I879" s="65" t="str">
        <f>IFERROR(IF('Informe Kelly'!H872=$A$3,'Informe Kelly'!F872,""),0)</f>
        <v/>
      </c>
      <c r="J879" s="65" t="str">
        <f>IF(IFERROR(IF(E879=E878,0,(HLOOKUP(D879,Ingreso!$AN$10:$AT$260,VLOOKUP(A879,Ingreso!$AL$11:$AM$260,2,FALSE)))/24),0)=0,"",IFERROR(IF(E879=E878,0,(HLOOKUP(D879,Ingreso!$AN$10:$AT$260,VLOOKUP(A879,Ingreso!$AL$11:$AM$260,2,FALSE)))/24),0))</f>
        <v/>
      </c>
      <c r="K879" s="65" t="str">
        <f>IF(IFERROR(IF(E879=E878,0,(HLOOKUP(C879,Ingreso!$AW$10:$BC$260,VLOOKUP(A879,Ingreso!$AL$11:$AM$260,2,FALSE)))/24),0)=0,"",IFERROR(IF(E879=E878,0,(HLOOKUP(C879,Ingreso!$AW$10:$BC$260,VLOOKUP(A879,Ingreso!$AL$11:$AM$260,2,FALSE)))/24),0))</f>
        <v/>
      </c>
      <c r="L879" s="63">
        <f t="shared" si="26"/>
        <v>0.375</v>
      </c>
      <c r="M879" s="63" t="str">
        <f>IF(IFERROR(IF(C879=C877,0,IF(E879=E878,0,IF(C879=$R$2,HLOOKUP($R$2,Ingreso!$AW$10:$BC$260,VLOOKUP(A879,Ingreso!AL:AM,2,FALSE),FALSE)/24,""))),"")=0,"",IFERROR(IF(C879=C877,0,IF(E879=E878,0,IF(C879=$R$2,HLOOKUP($R$2,Ingreso!$AW$10:$BC$260,VLOOKUP(A879,Ingreso!AL:AM,2,FALSE),FALSE)/24,""))),""))</f>
        <v/>
      </c>
      <c r="N879" s="95" t="str">
        <f>IF(IFERROR(IF(C879=C877,0,IF(E879=E878,0,IF(C879=$R$3,HLOOKUP($R$3,Ingreso!$AW$10:$BC$260,VLOOKUP(A879,Ingreso!AL:AM,2,FALSE),FALSE)/24,""))),"")=0,"",IFERROR(IF(C879=C877,0,IF(E879=E878,0,IF(C879=$R$3,HLOOKUP($R$3,Ingreso!$AW$10:$BC$260,VLOOKUP(A879,Ingreso!AL:AM,2,FALSE),FALSE)/24,""))),""))</f>
        <v/>
      </c>
      <c r="O879" s="95" t="str">
        <f>IF(IFERROR(IF(C879=C877,0,IF(E879=E878,0,IF(C879=$R$4,HLOOKUP($R$4,Ingreso!$AW$10:$BC$260,VLOOKUP(A879,Ingreso!AL:AM,2,FALSE),FALSE)/24,""))),"")=0,"",IFERROR(IF(C879=C877,0,IF(E879=E878,0,IF(C879=$R$4,HLOOKUP($R$4,Ingreso!$AW$10:$BC$260,VLOOKUP(A879,Ingreso!AL:AM,2,FALSE),FALSE)/24,""))),""))</f>
        <v/>
      </c>
      <c r="P879" s="90"/>
      <c r="V879"/>
      <c r="W879"/>
      <c r="X879"/>
      <c r="Y879"/>
      <c r="Z879"/>
      <c r="AA879"/>
      <c r="AB879"/>
      <c r="AC879"/>
      <c r="AD879"/>
    </row>
    <row r="880" spans="1:30">
      <c r="A880" s="65" t="str">
        <f>IFERROR(VLOOKUP('Informe Kelly'!A873,Base!A:B,2,FALSE),"")</f>
        <v>15.444.951-5</v>
      </c>
      <c r="B880" s="65" t="str">
        <f>IFERROR(VLOOKUP('Informe Kelly'!A873,Base!A:G,7,FALSE),"")</f>
        <v>PLAZA ARAYA MIGUEL ANTONIO</v>
      </c>
      <c r="C880" s="69" t="str">
        <f>IF(G880=$C$4,IF('Informe Kelly'!H873='Control informe Kelly'!$A$2,TEXT(((LEFT('Informe Kelly'!E873,2)*1)+1),"dd")&amp;"."&amp;MID('Informe Kelly'!E873,4,2)&amp;"."&amp;RIGHT('Informe Kelly'!E873,4),'Informe Kelly'!E873),'Informe Kelly'!E873)</f>
        <v>15.04.2011</v>
      </c>
      <c r="D880" s="69" t="str">
        <f>IF('Informe Kelly'!E873="","",'Informe Kelly'!E873)</f>
        <v>15.04.2011</v>
      </c>
      <c r="E880" s="72">
        <f t="shared" si="27"/>
        <v>446</v>
      </c>
      <c r="F880" s="72" t="str">
        <f>IFERROR(HLOOKUP(C880,Ingreso!$Q$8:$AD$9,2,FALSE),"v")</f>
        <v>Viernes</v>
      </c>
      <c r="G880" s="65" t="str">
        <f>IFERROR(VLOOKUP(A880,Ingreso!K:P,6,FALSE),"no esta ingresado")</f>
        <v>Turno C</v>
      </c>
      <c r="H880" s="65" t="str">
        <f>IFERROR(IF('Informe Kelly'!H873=$A$2,'Informe Kelly'!F873,""),0)</f>
        <v/>
      </c>
      <c r="I880" s="65">
        <f>IFERROR(IF('Informe Kelly'!H873=$A$3,'Informe Kelly'!F873,""),0)</f>
        <v>0.31493055555555555</v>
      </c>
      <c r="J880" s="65" t="str">
        <f>IF(IFERROR(IF(E880=E879,0,(HLOOKUP(D880,Ingreso!$AN$10:$AT$260,VLOOKUP(A880,Ingreso!$AL$11:$AM$260,2,FALSE)))/24),0)=0,"",IFERROR(IF(E880=E879,0,(HLOOKUP(D880,Ingreso!$AN$10:$AT$260,VLOOKUP(A880,Ingreso!$AL$11:$AM$260,2,FALSE)))/24),0))</f>
        <v/>
      </c>
      <c r="K880" s="65" t="str">
        <f>IF(IFERROR(IF(E880=E879,0,(HLOOKUP(C880,Ingreso!$AW$10:$BC$260,VLOOKUP(A880,Ingreso!$AL$11:$AM$260,2,FALSE)))/24),0)=0,"",IFERROR(IF(E880=E879,0,(HLOOKUP(C880,Ingreso!$AW$10:$BC$260,VLOOKUP(A880,Ingreso!$AL$11:$AM$260,2,FALSE)))/24),0))</f>
        <v/>
      </c>
      <c r="L880" s="63">
        <f t="shared" si="26"/>
        <v>0</v>
      </c>
      <c r="M880" s="63" t="str">
        <f>IF(IFERROR(IF(C880=C878,0,IF(E880=E879,0,IF(C880=$R$2,HLOOKUP($R$2,Ingreso!$AW$10:$BC$260,VLOOKUP(A880,Ingreso!AL:AM,2,FALSE),FALSE)/24,""))),"")=0,"",IFERROR(IF(C880=C878,0,IF(E880=E879,0,IF(C880=$R$2,HLOOKUP($R$2,Ingreso!$AW$10:$BC$260,VLOOKUP(A880,Ingreso!AL:AM,2,FALSE),FALSE)/24,""))),""))</f>
        <v/>
      </c>
      <c r="N880" s="95" t="str">
        <f>IF(IFERROR(IF(C880=C878,0,IF(E880=E879,0,IF(C880=$R$3,HLOOKUP($R$3,Ingreso!$AW$10:$BC$260,VLOOKUP(A880,Ingreso!AL:AM,2,FALSE),FALSE)/24,""))),"")=0,"",IFERROR(IF(C880=C878,0,IF(E880=E879,0,IF(C880=$R$3,HLOOKUP($R$3,Ingreso!$AW$10:$BC$260,VLOOKUP(A880,Ingreso!AL:AM,2,FALSE),FALSE)/24,""))),""))</f>
        <v/>
      </c>
      <c r="O880" s="95" t="str">
        <f>IF(IFERROR(IF(C880=C878,0,IF(E880=E879,0,IF(C880=$R$4,HLOOKUP($R$4,Ingreso!$AW$10:$BC$260,VLOOKUP(A880,Ingreso!AL:AM,2,FALSE),FALSE)/24,""))),"")=0,"",IFERROR(IF(C880=C878,0,IF(E880=E879,0,IF(C880=$R$4,HLOOKUP($R$4,Ingreso!$AW$10:$BC$260,VLOOKUP(A880,Ingreso!AL:AM,2,FALSE),FALSE)/24,""))),""))</f>
        <v/>
      </c>
      <c r="P880" s="90"/>
      <c r="V880"/>
      <c r="W880"/>
      <c r="X880"/>
      <c r="Y880"/>
      <c r="Z880"/>
      <c r="AA880"/>
      <c r="AB880"/>
      <c r="AC880"/>
      <c r="AD880"/>
    </row>
    <row r="881" spans="1:30">
      <c r="A881" s="65" t="str">
        <f>IFERROR(VLOOKUP('Informe Kelly'!A874,Base!A:B,2,FALSE),"")</f>
        <v>15.444.951-5</v>
      </c>
      <c r="B881" s="65" t="str">
        <f>IFERROR(VLOOKUP('Informe Kelly'!A874,Base!A:G,7,FALSE),"")</f>
        <v>PLAZA ARAYA MIGUEL ANTONIO</v>
      </c>
      <c r="C881" s="69" t="str">
        <f>IF(G881=$C$4,IF('Informe Kelly'!H874='Control informe Kelly'!$A$2,TEXT(((LEFT('Informe Kelly'!E874,2)*1)+1),"dd")&amp;"."&amp;MID('Informe Kelly'!E874,4,2)&amp;"."&amp;RIGHT('Informe Kelly'!E874,4),'Informe Kelly'!E874),'Informe Kelly'!E874)</f>
        <v>16.04.2011</v>
      </c>
      <c r="D881" s="69" t="str">
        <f>IF('Informe Kelly'!E874="","",'Informe Kelly'!E874)</f>
        <v>15.04.2011</v>
      </c>
      <c r="E881" s="72">
        <f t="shared" si="27"/>
        <v>447</v>
      </c>
      <c r="F881" s="72" t="str">
        <f>IFERROR(HLOOKUP(C881,Ingreso!$Q$8:$AD$9,2,FALSE),"v")</f>
        <v>Sábado</v>
      </c>
      <c r="G881" s="65" t="str">
        <f>IFERROR(VLOOKUP(A881,Ingreso!K:P,6,FALSE),"no esta ingresado")</f>
        <v>Turno C</v>
      </c>
      <c r="H881" s="65">
        <f>IFERROR(IF('Informe Kelly'!H874=$A$2,'Informe Kelly'!F874,""),0)</f>
        <v>0.95870370370370372</v>
      </c>
      <c r="I881" s="65" t="str">
        <f>IFERROR(IF('Informe Kelly'!H874=$A$3,'Informe Kelly'!F874,""),0)</f>
        <v/>
      </c>
      <c r="J881" s="65" t="str">
        <f>IF(IFERROR(IF(E881=E880,0,(HLOOKUP(D881,Ingreso!$AN$10:$AT$260,VLOOKUP(A881,Ingreso!$AL$11:$AM$260,2,FALSE)))/24),0)=0,"",IFERROR(IF(E881=E880,0,(HLOOKUP(D881,Ingreso!$AN$10:$AT$260,VLOOKUP(A881,Ingreso!$AL$11:$AM$260,2,FALSE)))/24),0))</f>
        <v/>
      </c>
      <c r="K881" s="65" t="str">
        <f>IF(IFERROR(IF(E881=E880,0,(HLOOKUP(C881,Ingreso!$AW$10:$BC$260,VLOOKUP(A881,Ingreso!$AL$11:$AM$260,2,FALSE)))/24),0)=0,"",IFERROR(IF(E881=E880,0,(HLOOKUP(C881,Ingreso!$AW$10:$BC$260,VLOOKUP(A881,Ingreso!$AL$11:$AM$260,2,FALSE)))/24),0))</f>
        <v/>
      </c>
      <c r="L881" s="63">
        <f t="shared" si="26"/>
        <v>0.375</v>
      </c>
      <c r="M881" s="63" t="str">
        <f>IF(IFERROR(IF(C881=C879,0,IF(E881=E880,0,IF(C881=$R$2,HLOOKUP($R$2,Ingreso!$AW$10:$BC$260,VLOOKUP(A881,Ingreso!AL:AM,2,FALSE),FALSE)/24,""))),"")=0,"",IFERROR(IF(C881=C879,0,IF(E881=E880,0,IF(C881=$R$2,HLOOKUP($R$2,Ingreso!$AW$10:$BC$260,VLOOKUP(A881,Ingreso!AL:AM,2,FALSE),FALSE)/24,""))),""))</f>
        <v/>
      </c>
      <c r="N881" s="95" t="str">
        <f>IF(IFERROR(IF(C881=C879,0,IF(E881=E880,0,IF(C881=$R$3,HLOOKUP($R$3,Ingreso!$AW$10:$BC$260,VLOOKUP(A881,Ingreso!AL:AM,2,FALSE),FALSE)/24,""))),"")=0,"",IFERROR(IF(C881=C879,0,IF(E881=E880,0,IF(C881=$R$3,HLOOKUP($R$3,Ingreso!$AW$10:$BC$260,VLOOKUP(A881,Ingreso!AL:AM,2,FALSE),FALSE)/24,""))),""))</f>
        <v/>
      </c>
      <c r="O881" s="95" t="str">
        <f>IF(IFERROR(IF(C881=C879,0,IF(E881=E880,0,IF(C881=$R$4,HLOOKUP($R$4,Ingreso!$AW$10:$BC$260,VLOOKUP(A881,Ingreso!AL:AM,2,FALSE),FALSE)/24,""))),"")=0,"",IFERROR(IF(C881=C879,0,IF(E881=E880,0,IF(C881=$R$4,HLOOKUP($R$4,Ingreso!$AW$10:$BC$260,VLOOKUP(A881,Ingreso!AL:AM,2,FALSE),FALSE)/24,""))),""))</f>
        <v/>
      </c>
      <c r="P881" s="90"/>
      <c r="V881"/>
      <c r="W881"/>
      <c r="X881"/>
      <c r="Y881"/>
      <c r="Z881"/>
      <c r="AA881"/>
      <c r="AB881"/>
      <c r="AC881"/>
      <c r="AD881"/>
    </row>
    <row r="882" spans="1:30">
      <c r="A882" s="65" t="str">
        <f>IFERROR(VLOOKUP('Informe Kelly'!A875,Base!A:B,2,FALSE),"")</f>
        <v>15.444.951-5</v>
      </c>
      <c r="B882" s="65" t="str">
        <f>IFERROR(VLOOKUP('Informe Kelly'!A875,Base!A:G,7,FALSE),"")</f>
        <v>PLAZA ARAYA MIGUEL ANTONIO</v>
      </c>
      <c r="C882" s="69" t="str">
        <f>IF(G882=$C$4,IF('Informe Kelly'!H875='Control informe Kelly'!$A$2,TEXT(((LEFT('Informe Kelly'!E875,2)*1)+1),"dd")&amp;"."&amp;MID('Informe Kelly'!E875,4,2)&amp;"."&amp;RIGHT('Informe Kelly'!E875,4),'Informe Kelly'!E875),'Informe Kelly'!E875)</f>
        <v>16.04.2011</v>
      </c>
      <c r="D882" s="69" t="str">
        <f>IF('Informe Kelly'!E875="","",'Informe Kelly'!E875)</f>
        <v>16.04.2011</v>
      </c>
      <c r="E882" s="72">
        <f t="shared" si="27"/>
        <v>447</v>
      </c>
      <c r="F882" s="72" t="str">
        <f>IFERROR(HLOOKUP(C882,Ingreso!$Q$8:$AD$9,2,FALSE),"v")</f>
        <v>Sábado</v>
      </c>
      <c r="G882" s="65" t="str">
        <f>IFERROR(VLOOKUP(A882,Ingreso!K:P,6,FALSE),"no esta ingresado")</f>
        <v>Turno C</v>
      </c>
      <c r="H882" s="65" t="str">
        <f>IFERROR(IF('Informe Kelly'!H875=$A$2,'Informe Kelly'!F875,""),0)</f>
        <v/>
      </c>
      <c r="I882" s="65">
        <f>IFERROR(IF('Informe Kelly'!H875=$A$3,'Informe Kelly'!F875,""),0)</f>
        <v>0.31848379629629631</v>
      </c>
      <c r="J882" s="65" t="str">
        <f>IF(IFERROR(IF(E882=E881,0,(HLOOKUP(D882,Ingreso!$AN$10:$AT$260,VLOOKUP(A882,Ingreso!$AL$11:$AM$260,2,FALSE)))/24),0)=0,"",IFERROR(IF(E882=E881,0,(HLOOKUP(D882,Ingreso!$AN$10:$AT$260,VLOOKUP(A882,Ingreso!$AL$11:$AM$260,2,FALSE)))/24),0))</f>
        <v/>
      </c>
      <c r="K882" s="65" t="str">
        <f>IF(IFERROR(IF(E882=E881,0,(HLOOKUP(C882,Ingreso!$AW$10:$BC$260,VLOOKUP(A882,Ingreso!$AL$11:$AM$260,2,FALSE)))/24),0)=0,"",IFERROR(IF(E882=E881,0,(HLOOKUP(C882,Ingreso!$AW$10:$BC$260,VLOOKUP(A882,Ingreso!$AL$11:$AM$260,2,FALSE)))/24),0))</f>
        <v/>
      </c>
      <c r="L882" s="63">
        <f t="shared" si="26"/>
        <v>0</v>
      </c>
      <c r="M882" s="63" t="str">
        <f>IF(IFERROR(IF(C882=C880,0,IF(E882=E881,0,IF(C882=$R$2,HLOOKUP($R$2,Ingreso!$AW$10:$BC$260,VLOOKUP(A882,Ingreso!AL:AM,2,FALSE),FALSE)/24,""))),"")=0,"",IFERROR(IF(C882=C880,0,IF(E882=E881,0,IF(C882=$R$2,HLOOKUP($R$2,Ingreso!$AW$10:$BC$260,VLOOKUP(A882,Ingreso!AL:AM,2,FALSE),FALSE)/24,""))),""))</f>
        <v/>
      </c>
      <c r="N882" s="95" t="str">
        <f>IF(IFERROR(IF(C882=C880,0,IF(E882=E881,0,IF(C882=$R$3,HLOOKUP($R$3,Ingreso!$AW$10:$BC$260,VLOOKUP(A882,Ingreso!AL:AM,2,FALSE),FALSE)/24,""))),"")=0,"",IFERROR(IF(C882=C880,0,IF(E882=E881,0,IF(C882=$R$3,HLOOKUP($R$3,Ingreso!$AW$10:$BC$260,VLOOKUP(A882,Ingreso!AL:AM,2,FALSE),FALSE)/24,""))),""))</f>
        <v/>
      </c>
      <c r="O882" s="95" t="str">
        <f>IF(IFERROR(IF(C882=C880,0,IF(E882=E881,0,IF(C882=$R$4,HLOOKUP($R$4,Ingreso!$AW$10:$BC$260,VLOOKUP(A882,Ingreso!AL:AM,2,FALSE),FALSE)/24,""))),"")=0,"",IFERROR(IF(C882=C880,0,IF(E882=E881,0,IF(C882=$R$4,HLOOKUP($R$4,Ingreso!$AW$10:$BC$260,VLOOKUP(A882,Ingreso!AL:AM,2,FALSE),FALSE)/24,""))),""))</f>
        <v/>
      </c>
      <c r="P882" s="90"/>
      <c r="V882"/>
      <c r="W882"/>
      <c r="X882"/>
      <c r="Y882"/>
      <c r="Z882"/>
      <c r="AA882"/>
      <c r="AB882"/>
      <c r="AC882"/>
      <c r="AD882"/>
    </row>
    <row r="883" spans="1:30">
      <c r="A883" s="65" t="str">
        <f>IFERROR(VLOOKUP('Informe Kelly'!A876,Base!A:B,2,FALSE),"")</f>
        <v>15.445.100-5</v>
      </c>
      <c r="B883" s="65" t="str">
        <f>IFERROR(VLOOKUP('Informe Kelly'!A876,Base!A:G,7,FALSE),"")</f>
        <v>MACAYA MOSCOSO FELIPE ANDRES</v>
      </c>
      <c r="C883" s="69" t="str">
        <f>IF(G883=$C$4,IF('Informe Kelly'!H876='Control informe Kelly'!$A$2,TEXT(((LEFT('Informe Kelly'!E876,2)*1)+1),"dd")&amp;"."&amp;MID('Informe Kelly'!E876,4,2)&amp;"."&amp;RIGHT('Informe Kelly'!E876,4),'Informe Kelly'!E876),'Informe Kelly'!E876)</f>
        <v>11.04.2011</v>
      </c>
      <c r="D883" s="69" t="str">
        <f>IF('Informe Kelly'!E876="","",'Informe Kelly'!E876)</f>
        <v>11.04.2011</v>
      </c>
      <c r="E883" s="72">
        <f t="shared" si="27"/>
        <v>448</v>
      </c>
      <c r="F883" s="72" t="str">
        <f>IFERROR(HLOOKUP(C883,Ingreso!$Q$8:$AD$9,2,FALSE),"v")</f>
        <v>Lunes</v>
      </c>
      <c r="G883" s="65" t="str">
        <f>IFERROR(VLOOKUP(A883,Ingreso!K:P,6,FALSE),"no esta ingresado")</f>
        <v>no esta ingresado</v>
      </c>
      <c r="H883" s="65" t="str">
        <f>IFERROR(IF('Informe Kelly'!H876=$A$2,'Informe Kelly'!F876,""),0)</f>
        <v/>
      </c>
      <c r="I883" s="65">
        <f>IFERROR(IF('Informe Kelly'!H876=$A$3,'Informe Kelly'!F876,""),0)</f>
        <v>0.94936342592592593</v>
      </c>
      <c r="J883" s="65" t="str">
        <f>IF(IFERROR(IF(E883=E882,0,(HLOOKUP(D883,Ingreso!$AN$10:$AT$260,VLOOKUP(A883,Ingreso!$AL$11:$AM$260,2,FALSE)))/24),0)=0,"",IFERROR(IF(E883=E882,0,(HLOOKUP(D883,Ingreso!$AN$10:$AT$260,VLOOKUP(A883,Ingreso!$AL$11:$AM$260,2,FALSE)))/24),0))</f>
        <v/>
      </c>
      <c r="K883" s="65" t="str">
        <f>IF(IFERROR(IF(E883=E882,0,(HLOOKUP(C883,Ingreso!$AW$10:$BC$260,VLOOKUP(A883,Ingreso!$AL$11:$AM$260,2,FALSE)))/24),0)=0,"",IFERROR(IF(E883=E882,0,(HLOOKUP(C883,Ingreso!$AW$10:$BC$260,VLOOKUP(A883,Ingreso!$AL$11:$AM$260,2,FALSE)))/24),0))</f>
        <v/>
      </c>
      <c r="L883" s="63" t="str">
        <f t="shared" si="26"/>
        <v/>
      </c>
      <c r="M883" s="63" t="str">
        <f>IF(IFERROR(IF(C883=C881,0,IF(E883=E882,0,IF(C883=$R$2,HLOOKUP($R$2,Ingreso!$AW$10:$BC$260,VLOOKUP(A883,Ingreso!AL:AM,2,FALSE),FALSE)/24,""))),"")=0,"",IFERROR(IF(C883=C881,0,IF(E883=E882,0,IF(C883=$R$2,HLOOKUP($R$2,Ingreso!$AW$10:$BC$260,VLOOKUP(A883,Ingreso!AL:AM,2,FALSE),FALSE)/24,""))),""))</f>
        <v/>
      </c>
      <c r="N883" s="95" t="str">
        <f>IF(IFERROR(IF(C883=C881,0,IF(E883=E882,0,IF(C883=$R$3,HLOOKUP($R$3,Ingreso!$AW$10:$BC$260,VLOOKUP(A883,Ingreso!AL:AM,2,FALSE),FALSE)/24,""))),"")=0,"",IFERROR(IF(C883=C881,0,IF(E883=E882,0,IF(C883=$R$3,HLOOKUP($R$3,Ingreso!$AW$10:$BC$260,VLOOKUP(A883,Ingreso!AL:AM,2,FALSE),FALSE)/24,""))),""))</f>
        <v/>
      </c>
      <c r="O883" s="95" t="str">
        <f>IF(IFERROR(IF(C883=C881,0,IF(E883=E882,0,IF(C883=$R$4,HLOOKUP($R$4,Ingreso!$AW$10:$BC$260,VLOOKUP(A883,Ingreso!AL:AM,2,FALSE),FALSE)/24,""))),"")=0,"",IFERROR(IF(C883=C881,0,IF(E883=E882,0,IF(C883=$R$4,HLOOKUP($R$4,Ingreso!$AW$10:$BC$260,VLOOKUP(A883,Ingreso!AL:AM,2,FALSE),FALSE)/24,""))),""))</f>
        <v/>
      </c>
      <c r="P883" s="90"/>
      <c r="V883"/>
      <c r="W883"/>
      <c r="X883"/>
      <c r="Y883"/>
      <c r="Z883"/>
      <c r="AA883"/>
      <c r="AB883"/>
      <c r="AC883"/>
      <c r="AD883"/>
    </row>
    <row r="884" spans="1:30">
      <c r="A884" s="65" t="str">
        <f>IFERROR(VLOOKUP('Informe Kelly'!A877,Base!A:B,2,FALSE),"")</f>
        <v>15.445.100-5</v>
      </c>
      <c r="B884" s="65" t="str">
        <f>IFERROR(VLOOKUP('Informe Kelly'!A877,Base!A:G,7,FALSE),"")</f>
        <v>MACAYA MOSCOSO FELIPE ANDRES</v>
      </c>
      <c r="C884" s="69" t="str">
        <f>IF(G884=$C$4,IF('Informe Kelly'!H877='Control informe Kelly'!$A$2,TEXT(((LEFT('Informe Kelly'!E877,2)*1)+1),"dd")&amp;"."&amp;MID('Informe Kelly'!E877,4,2)&amp;"."&amp;RIGHT('Informe Kelly'!E877,4),'Informe Kelly'!E877),'Informe Kelly'!E877)</f>
        <v>11.04.2011</v>
      </c>
      <c r="D884" s="69" t="str">
        <f>IF('Informe Kelly'!E877="","",'Informe Kelly'!E877)</f>
        <v>11.04.2011</v>
      </c>
      <c r="E884" s="72">
        <f t="shared" si="27"/>
        <v>448</v>
      </c>
      <c r="F884" s="72" t="str">
        <f>IFERROR(HLOOKUP(C884,Ingreso!$Q$8:$AD$9,2,FALSE),"v")</f>
        <v>Lunes</v>
      </c>
      <c r="G884" s="65" t="str">
        <f>IFERROR(VLOOKUP(A884,Ingreso!K:P,6,FALSE),"no esta ingresado")</f>
        <v>no esta ingresado</v>
      </c>
      <c r="H884" s="65">
        <f>IFERROR(IF('Informe Kelly'!H877=$A$2,'Informe Kelly'!F877,""),0)</f>
        <v>0.60718749999999999</v>
      </c>
      <c r="I884" s="65" t="str">
        <f>IFERROR(IF('Informe Kelly'!H877=$A$3,'Informe Kelly'!F877,""),0)</f>
        <v/>
      </c>
      <c r="J884" s="65" t="str">
        <f>IF(IFERROR(IF(E884=E883,0,(HLOOKUP(D884,Ingreso!$AN$10:$AT$260,VLOOKUP(A884,Ingreso!$AL$11:$AM$260,2,FALSE)))/24),0)=0,"",IFERROR(IF(E884=E883,0,(HLOOKUP(D884,Ingreso!$AN$10:$AT$260,VLOOKUP(A884,Ingreso!$AL$11:$AM$260,2,FALSE)))/24),0))</f>
        <v/>
      </c>
      <c r="K884" s="65" t="str">
        <f>IF(IFERROR(IF(E884=E883,0,(HLOOKUP(C884,Ingreso!$AW$10:$BC$260,VLOOKUP(A884,Ingreso!$AL$11:$AM$260,2,FALSE)))/24),0)=0,"",IFERROR(IF(E884=E883,0,(HLOOKUP(C884,Ingreso!$AW$10:$BC$260,VLOOKUP(A884,Ingreso!$AL$11:$AM$260,2,FALSE)))/24),0))</f>
        <v/>
      </c>
      <c r="L884" s="63">
        <f t="shared" si="26"/>
        <v>0</v>
      </c>
      <c r="M884" s="63" t="str">
        <f>IF(IFERROR(IF(C884=C882,0,IF(E884=E883,0,IF(C884=$R$2,HLOOKUP($R$2,Ingreso!$AW$10:$BC$260,VLOOKUP(A884,Ingreso!AL:AM,2,FALSE),FALSE)/24,""))),"")=0,"",IFERROR(IF(C884=C882,0,IF(E884=E883,0,IF(C884=$R$2,HLOOKUP($R$2,Ingreso!$AW$10:$BC$260,VLOOKUP(A884,Ingreso!AL:AM,2,FALSE),FALSE)/24,""))),""))</f>
        <v/>
      </c>
      <c r="N884" s="95" t="str">
        <f>IF(IFERROR(IF(C884=C882,0,IF(E884=E883,0,IF(C884=$R$3,HLOOKUP($R$3,Ingreso!$AW$10:$BC$260,VLOOKUP(A884,Ingreso!AL:AM,2,FALSE),FALSE)/24,""))),"")=0,"",IFERROR(IF(C884=C882,0,IF(E884=E883,0,IF(C884=$R$3,HLOOKUP($R$3,Ingreso!$AW$10:$BC$260,VLOOKUP(A884,Ingreso!AL:AM,2,FALSE),FALSE)/24,""))),""))</f>
        <v/>
      </c>
      <c r="O884" s="95" t="str">
        <f>IF(IFERROR(IF(C884=C882,0,IF(E884=E883,0,IF(C884=$R$4,HLOOKUP($R$4,Ingreso!$AW$10:$BC$260,VLOOKUP(A884,Ingreso!AL:AM,2,FALSE),FALSE)/24,""))),"")=0,"",IFERROR(IF(C884=C882,0,IF(E884=E883,0,IF(C884=$R$4,HLOOKUP($R$4,Ingreso!$AW$10:$BC$260,VLOOKUP(A884,Ingreso!AL:AM,2,FALSE),FALSE)/24,""))),""))</f>
        <v/>
      </c>
      <c r="P884" s="90"/>
      <c r="V884"/>
      <c r="W884"/>
      <c r="X884"/>
      <c r="Y884"/>
      <c r="Z884"/>
      <c r="AA884"/>
      <c r="AB884"/>
      <c r="AC884"/>
      <c r="AD884"/>
    </row>
    <row r="885" spans="1:30">
      <c r="A885" s="65" t="str">
        <f>IFERROR(VLOOKUP('Informe Kelly'!A878,Base!A:B,2,FALSE),"")</f>
        <v>15.445.100-5</v>
      </c>
      <c r="B885" s="65" t="str">
        <f>IFERROR(VLOOKUP('Informe Kelly'!A878,Base!A:G,7,FALSE),"")</f>
        <v>MACAYA MOSCOSO FELIPE ANDRES</v>
      </c>
      <c r="C885" s="69" t="str">
        <f>IF(G885=$C$4,IF('Informe Kelly'!H878='Control informe Kelly'!$A$2,TEXT(((LEFT('Informe Kelly'!E878,2)*1)+1),"dd")&amp;"."&amp;MID('Informe Kelly'!E878,4,2)&amp;"."&amp;RIGHT('Informe Kelly'!E878,4),'Informe Kelly'!E878),'Informe Kelly'!E878)</f>
        <v>12.04.2011</v>
      </c>
      <c r="D885" s="69" t="str">
        <f>IF('Informe Kelly'!E878="","",'Informe Kelly'!E878)</f>
        <v>12.04.2011</v>
      </c>
      <c r="E885" s="72">
        <f t="shared" si="27"/>
        <v>449</v>
      </c>
      <c r="F885" s="72" t="str">
        <f>IFERROR(HLOOKUP(C885,Ingreso!$Q$8:$AD$9,2,FALSE),"v")</f>
        <v>Martes</v>
      </c>
      <c r="G885" s="65" t="str">
        <f>IFERROR(VLOOKUP(A885,Ingreso!K:P,6,FALSE),"no esta ingresado")</f>
        <v>no esta ingresado</v>
      </c>
      <c r="H885" s="65" t="str">
        <f>IFERROR(IF('Informe Kelly'!H878=$A$2,'Informe Kelly'!F878,""),0)</f>
        <v/>
      </c>
      <c r="I885" s="65">
        <f>IFERROR(IF('Informe Kelly'!H878=$A$3,'Informe Kelly'!F878,""),0)</f>
        <v>0.94769675925925922</v>
      </c>
      <c r="J885" s="65" t="str">
        <f>IF(IFERROR(IF(E885=E884,0,(HLOOKUP(D885,Ingreso!$AN$10:$AT$260,VLOOKUP(A885,Ingreso!$AL$11:$AM$260,2,FALSE)))/24),0)=0,"",IFERROR(IF(E885=E884,0,(HLOOKUP(D885,Ingreso!$AN$10:$AT$260,VLOOKUP(A885,Ingreso!$AL$11:$AM$260,2,FALSE)))/24),0))</f>
        <v/>
      </c>
      <c r="K885" s="65" t="str">
        <f>IF(IFERROR(IF(E885=E884,0,(HLOOKUP(C885,Ingreso!$AW$10:$BC$260,VLOOKUP(A885,Ingreso!$AL$11:$AM$260,2,FALSE)))/24),0)=0,"",IFERROR(IF(E885=E884,0,(HLOOKUP(C885,Ingreso!$AW$10:$BC$260,VLOOKUP(A885,Ingreso!$AL$11:$AM$260,2,FALSE)))/24),0))</f>
        <v/>
      </c>
      <c r="L885" s="63" t="str">
        <f t="shared" si="26"/>
        <v/>
      </c>
      <c r="M885" s="63" t="str">
        <f>IF(IFERROR(IF(C885=C883,0,IF(E885=E884,0,IF(C885=$R$2,HLOOKUP($R$2,Ingreso!$AW$10:$BC$260,VLOOKUP(A885,Ingreso!AL:AM,2,FALSE),FALSE)/24,""))),"")=0,"",IFERROR(IF(C885=C883,0,IF(E885=E884,0,IF(C885=$R$2,HLOOKUP($R$2,Ingreso!$AW$10:$BC$260,VLOOKUP(A885,Ingreso!AL:AM,2,FALSE),FALSE)/24,""))),""))</f>
        <v/>
      </c>
      <c r="N885" s="95" t="str">
        <f>IF(IFERROR(IF(C885=C883,0,IF(E885=E884,0,IF(C885=$R$3,HLOOKUP($R$3,Ingreso!$AW$10:$BC$260,VLOOKUP(A885,Ingreso!AL:AM,2,FALSE),FALSE)/24,""))),"")=0,"",IFERROR(IF(C885=C883,0,IF(E885=E884,0,IF(C885=$R$3,HLOOKUP($R$3,Ingreso!$AW$10:$BC$260,VLOOKUP(A885,Ingreso!AL:AM,2,FALSE),FALSE)/24,""))),""))</f>
        <v/>
      </c>
      <c r="O885" s="95" t="str">
        <f>IF(IFERROR(IF(C885=C883,0,IF(E885=E884,0,IF(C885=$R$4,HLOOKUP($R$4,Ingreso!$AW$10:$BC$260,VLOOKUP(A885,Ingreso!AL:AM,2,FALSE),FALSE)/24,""))),"")=0,"",IFERROR(IF(C885=C883,0,IF(E885=E884,0,IF(C885=$R$4,HLOOKUP($R$4,Ingreso!$AW$10:$BC$260,VLOOKUP(A885,Ingreso!AL:AM,2,FALSE),FALSE)/24,""))),""))</f>
        <v/>
      </c>
      <c r="P885" s="90"/>
      <c r="V885"/>
      <c r="W885"/>
      <c r="X885"/>
      <c r="Y885"/>
      <c r="Z885"/>
      <c r="AA885"/>
      <c r="AB885"/>
      <c r="AC885"/>
      <c r="AD885"/>
    </row>
    <row r="886" spans="1:30">
      <c r="A886" s="65" t="str">
        <f>IFERROR(VLOOKUP('Informe Kelly'!A879,Base!A:B,2,FALSE),"")</f>
        <v>15.445.100-5</v>
      </c>
      <c r="B886" s="65" t="str">
        <f>IFERROR(VLOOKUP('Informe Kelly'!A879,Base!A:G,7,FALSE),"")</f>
        <v>MACAYA MOSCOSO FELIPE ANDRES</v>
      </c>
      <c r="C886" s="69" t="str">
        <f>IF(G886=$C$4,IF('Informe Kelly'!H879='Control informe Kelly'!$A$2,TEXT(((LEFT('Informe Kelly'!E879,2)*1)+1),"dd")&amp;"."&amp;MID('Informe Kelly'!E879,4,2)&amp;"."&amp;RIGHT('Informe Kelly'!E879,4),'Informe Kelly'!E879),'Informe Kelly'!E879)</f>
        <v>12.04.2011</v>
      </c>
      <c r="D886" s="69" t="str">
        <f>IF('Informe Kelly'!E879="","",'Informe Kelly'!E879)</f>
        <v>12.04.2011</v>
      </c>
      <c r="E886" s="72">
        <f t="shared" si="27"/>
        <v>449</v>
      </c>
      <c r="F886" s="72" t="str">
        <f>IFERROR(HLOOKUP(C886,Ingreso!$Q$8:$AD$9,2,FALSE),"v")</f>
        <v>Martes</v>
      </c>
      <c r="G886" s="65" t="str">
        <f>IFERROR(VLOOKUP(A886,Ingreso!K:P,6,FALSE),"no esta ingresado")</f>
        <v>no esta ingresado</v>
      </c>
      <c r="H886" s="65">
        <f>IFERROR(IF('Informe Kelly'!H879=$A$2,'Informe Kelly'!F879,""),0)</f>
        <v>0.60704861111111108</v>
      </c>
      <c r="I886" s="65" t="str">
        <f>IFERROR(IF('Informe Kelly'!H879=$A$3,'Informe Kelly'!F879,""),0)</f>
        <v/>
      </c>
      <c r="J886" s="65" t="str">
        <f>IF(IFERROR(IF(E886=E885,0,(HLOOKUP(D886,Ingreso!$AN$10:$AT$260,VLOOKUP(A886,Ingreso!$AL$11:$AM$260,2,FALSE)))/24),0)=0,"",IFERROR(IF(E886=E885,0,(HLOOKUP(D886,Ingreso!$AN$10:$AT$260,VLOOKUP(A886,Ingreso!$AL$11:$AM$260,2,FALSE)))/24),0))</f>
        <v/>
      </c>
      <c r="K886" s="65" t="str">
        <f>IF(IFERROR(IF(E886=E885,0,(HLOOKUP(C886,Ingreso!$AW$10:$BC$260,VLOOKUP(A886,Ingreso!$AL$11:$AM$260,2,FALSE)))/24),0)=0,"",IFERROR(IF(E886=E885,0,(HLOOKUP(C886,Ingreso!$AW$10:$BC$260,VLOOKUP(A886,Ingreso!$AL$11:$AM$260,2,FALSE)))/24),0))</f>
        <v/>
      </c>
      <c r="L886" s="63">
        <f t="shared" si="26"/>
        <v>0</v>
      </c>
      <c r="M886" s="63" t="str">
        <f>IF(IFERROR(IF(C886=C884,0,IF(E886=E885,0,IF(C886=$R$2,HLOOKUP($R$2,Ingreso!$AW$10:$BC$260,VLOOKUP(A886,Ingreso!AL:AM,2,FALSE),FALSE)/24,""))),"")=0,"",IFERROR(IF(C886=C884,0,IF(E886=E885,0,IF(C886=$R$2,HLOOKUP($R$2,Ingreso!$AW$10:$BC$260,VLOOKUP(A886,Ingreso!AL:AM,2,FALSE),FALSE)/24,""))),""))</f>
        <v/>
      </c>
      <c r="N886" s="95" t="str">
        <f>IF(IFERROR(IF(C886=C884,0,IF(E886=E885,0,IF(C886=$R$3,HLOOKUP($R$3,Ingreso!$AW$10:$BC$260,VLOOKUP(A886,Ingreso!AL:AM,2,FALSE),FALSE)/24,""))),"")=0,"",IFERROR(IF(C886=C884,0,IF(E886=E885,0,IF(C886=$R$3,HLOOKUP($R$3,Ingreso!$AW$10:$BC$260,VLOOKUP(A886,Ingreso!AL:AM,2,FALSE),FALSE)/24,""))),""))</f>
        <v/>
      </c>
      <c r="O886" s="95" t="str">
        <f>IF(IFERROR(IF(C886=C884,0,IF(E886=E885,0,IF(C886=$R$4,HLOOKUP($R$4,Ingreso!$AW$10:$BC$260,VLOOKUP(A886,Ingreso!AL:AM,2,FALSE),FALSE)/24,""))),"")=0,"",IFERROR(IF(C886=C884,0,IF(E886=E885,0,IF(C886=$R$4,HLOOKUP($R$4,Ingreso!$AW$10:$BC$260,VLOOKUP(A886,Ingreso!AL:AM,2,FALSE),FALSE)/24,""))),""))</f>
        <v/>
      </c>
      <c r="P886" s="90"/>
      <c r="V886"/>
      <c r="W886"/>
      <c r="X886"/>
      <c r="Y886"/>
      <c r="Z886"/>
      <c r="AA886"/>
      <c r="AB886"/>
      <c r="AC886"/>
      <c r="AD886"/>
    </row>
    <row r="887" spans="1:30">
      <c r="A887" s="65" t="str">
        <f>IFERROR(VLOOKUP('Informe Kelly'!A880,Base!A:B,2,FALSE),"")</f>
        <v>15.445.100-5</v>
      </c>
      <c r="B887" s="65" t="str">
        <f>IFERROR(VLOOKUP('Informe Kelly'!A880,Base!A:G,7,FALSE),"")</f>
        <v>MACAYA MOSCOSO FELIPE ANDRES</v>
      </c>
      <c r="C887" s="69" t="str">
        <f>IF(G887=$C$4,IF('Informe Kelly'!H880='Control informe Kelly'!$A$2,TEXT(((LEFT('Informe Kelly'!E880,2)*1)+1),"dd")&amp;"."&amp;MID('Informe Kelly'!E880,4,2)&amp;"."&amp;RIGHT('Informe Kelly'!E880,4),'Informe Kelly'!E880),'Informe Kelly'!E880)</f>
        <v>13.04.2011</v>
      </c>
      <c r="D887" s="69" t="str">
        <f>IF('Informe Kelly'!E880="","",'Informe Kelly'!E880)</f>
        <v>13.04.2011</v>
      </c>
      <c r="E887" s="72">
        <f t="shared" si="27"/>
        <v>450</v>
      </c>
      <c r="F887" s="72" t="str">
        <f>IFERROR(HLOOKUP(C887,Ingreso!$Q$8:$AD$9,2,FALSE),"v")</f>
        <v>Miércoles</v>
      </c>
      <c r="G887" s="65" t="str">
        <f>IFERROR(VLOOKUP(A887,Ingreso!K:P,6,FALSE),"no esta ingresado")</f>
        <v>no esta ingresado</v>
      </c>
      <c r="H887" s="65" t="str">
        <f>IFERROR(IF('Informe Kelly'!H880=$A$2,'Informe Kelly'!F880,""),0)</f>
        <v/>
      </c>
      <c r="I887" s="65">
        <f>IFERROR(IF('Informe Kelly'!H880=$A$3,'Informe Kelly'!F880,""),0)</f>
        <v>0.63975694444444442</v>
      </c>
      <c r="J887" s="65" t="str">
        <f>IF(IFERROR(IF(E887=E886,0,(HLOOKUP(D887,Ingreso!$AN$10:$AT$260,VLOOKUP(A887,Ingreso!$AL$11:$AM$260,2,FALSE)))/24),0)=0,"",IFERROR(IF(E887=E886,0,(HLOOKUP(D887,Ingreso!$AN$10:$AT$260,VLOOKUP(A887,Ingreso!$AL$11:$AM$260,2,FALSE)))/24),0))</f>
        <v/>
      </c>
      <c r="K887" s="65" t="str">
        <f>IF(IFERROR(IF(E887=E886,0,(HLOOKUP(C887,Ingreso!$AW$10:$BC$260,VLOOKUP(A887,Ingreso!$AL$11:$AM$260,2,FALSE)))/24),0)=0,"",IFERROR(IF(E887=E886,0,(HLOOKUP(C887,Ingreso!$AW$10:$BC$260,VLOOKUP(A887,Ingreso!$AL$11:$AM$260,2,FALSE)))/24),0))</f>
        <v/>
      </c>
      <c r="L887" s="63" t="str">
        <f t="shared" si="26"/>
        <v/>
      </c>
      <c r="M887" s="63" t="str">
        <f>IF(IFERROR(IF(C887=C885,0,IF(E887=E886,0,IF(C887=$R$2,HLOOKUP($R$2,Ingreso!$AW$10:$BC$260,VLOOKUP(A887,Ingreso!AL:AM,2,FALSE),FALSE)/24,""))),"")=0,"",IFERROR(IF(C887=C885,0,IF(E887=E886,0,IF(C887=$R$2,HLOOKUP($R$2,Ingreso!$AW$10:$BC$260,VLOOKUP(A887,Ingreso!AL:AM,2,FALSE),FALSE)/24,""))),""))</f>
        <v/>
      </c>
      <c r="N887" s="95" t="str">
        <f>IF(IFERROR(IF(C887=C885,0,IF(E887=E886,0,IF(C887=$R$3,HLOOKUP($R$3,Ingreso!$AW$10:$BC$260,VLOOKUP(A887,Ingreso!AL:AM,2,FALSE),FALSE)/24,""))),"")=0,"",IFERROR(IF(C887=C885,0,IF(E887=E886,0,IF(C887=$R$3,HLOOKUP($R$3,Ingreso!$AW$10:$BC$260,VLOOKUP(A887,Ingreso!AL:AM,2,FALSE),FALSE)/24,""))),""))</f>
        <v/>
      </c>
      <c r="O887" s="95" t="str">
        <f>IF(IFERROR(IF(C887=C885,0,IF(E887=E886,0,IF(C887=$R$4,HLOOKUP($R$4,Ingreso!$AW$10:$BC$260,VLOOKUP(A887,Ingreso!AL:AM,2,FALSE),FALSE)/24,""))),"")=0,"",IFERROR(IF(C887=C885,0,IF(E887=E886,0,IF(C887=$R$4,HLOOKUP($R$4,Ingreso!$AW$10:$BC$260,VLOOKUP(A887,Ingreso!AL:AM,2,FALSE),FALSE)/24,""))),""))</f>
        <v/>
      </c>
      <c r="P887" s="90"/>
      <c r="V887"/>
      <c r="W887"/>
      <c r="X887"/>
      <c r="Y887"/>
      <c r="Z887"/>
      <c r="AA887"/>
      <c r="AB887"/>
      <c r="AC887"/>
      <c r="AD887"/>
    </row>
    <row r="888" spans="1:30">
      <c r="A888" s="65" t="str">
        <f>IFERROR(VLOOKUP('Informe Kelly'!A881,Base!A:B,2,FALSE),"")</f>
        <v>15.445.100-5</v>
      </c>
      <c r="B888" s="65" t="str">
        <f>IFERROR(VLOOKUP('Informe Kelly'!A881,Base!A:G,7,FALSE),"")</f>
        <v>MACAYA MOSCOSO FELIPE ANDRES</v>
      </c>
      <c r="C888" s="69" t="str">
        <f>IF(G888=$C$4,IF('Informe Kelly'!H881='Control informe Kelly'!$A$2,TEXT(((LEFT('Informe Kelly'!E881,2)*1)+1),"dd")&amp;"."&amp;MID('Informe Kelly'!E881,4,2)&amp;"."&amp;RIGHT('Informe Kelly'!E881,4),'Informe Kelly'!E881),'Informe Kelly'!E881)</f>
        <v>13.04.2011</v>
      </c>
      <c r="D888" s="69" t="str">
        <f>IF('Informe Kelly'!E881="","",'Informe Kelly'!E881)</f>
        <v>13.04.2011</v>
      </c>
      <c r="E888" s="72">
        <f t="shared" si="27"/>
        <v>450</v>
      </c>
      <c r="F888" s="72" t="str">
        <f>IFERROR(HLOOKUP(C888,Ingreso!$Q$8:$AD$9,2,FALSE),"v")</f>
        <v>Miércoles</v>
      </c>
      <c r="G888" s="65" t="str">
        <f>IFERROR(VLOOKUP(A888,Ingreso!K:P,6,FALSE),"no esta ingresado")</f>
        <v>no esta ingresado</v>
      </c>
      <c r="H888" s="65">
        <f>IFERROR(IF('Informe Kelly'!H881=$A$2,'Informe Kelly'!F881,""),0)</f>
        <v>0.30549768518518522</v>
      </c>
      <c r="I888" s="65" t="str">
        <f>IFERROR(IF('Informe Kelly'!H881=$A$3,'Informe Kelly'!F881,""),0)</f>
        <v/>
      </c>
      <c r="J888" s="65" t="str">
        <f>IF(IFERROR(IF(E888=E887,0,(HLOOKUP(D888,Ingreso!$AN$10:$AT$260,VLOOKUP(A888,Ingreso!$AL$11:$AM$260,2,FALSE)))/24),0)=0,"",IFERROR(IF(E888=E887,0,(HLOOKUP(D888,Ingreso!$AN$10:$AT$260,VLOOKUP(A888,Ingreso!$AL$11:$AM$260,2,FALSE)))/24),0))</f>
        <v/>
      </c>
      <c r="K888" s="65" t="str">
        <f>IF(IFERROR(IF(E888=E887,0,(HLOOKUP(C888,Ingreso!$AW$10:$BC$260,VLOOKUP(A888,Ingreso!$AL$11:$AM$260,2,FALSE)))/24),0)=0,"",IFERROR(IF(E888=E887,0,(HLOOKUP(C888,Ingreso!$AW$10:$BC$260,VLOOKUP(A888,Ingreso!$AL$11:$AM$260,2,FALSE)))/24),0))</f>
        <v/>
      </c>
      <c r="L888" s="63">
        <f t="shared" si="26"/>
        <v>0</v>
      </c>
      <c r="M888" s="63" t="str">
        <f>IF(IFERROR(IF(C888=C886,0,IF(E888=E887,0,IF(C888=$R$2,HLOOKUP($R$2,Ingreso!$AW$10:$BC$260,VLOOKUP(A888,Ingreso!AL:AM,2,FALSE),FALSE)/24,""))),"")=0,"",IFERROR(IF(C888=C886,0,IF(E888=E887,0,IF(C888=$R$2,HLOOKUP($R$2,Ingreso!$AW$10:$BC$260,VLOOKUP(A888,Ingreso!AL:AM,2,FALSE),FALSE)/24,""))),""))</f>
        <v/>
      </c>
      <c r="N888" s="95" t="str">
        <f>IF(IFERROR(IF(C888=C886,0,IF(E888=E887,0,IF(C888=$R$3,HLOOKUP($R$3,Ingreso!$AW$10:$BC$260,VLOOKUP(A888,Ingreso!AL:AM,2,FALSE),FALSE)/24,""))),"")=0,"",IFERROR(IF(C888=C886,0,IF(E888=E887,0,IF(C888=$R$3,HLOOKUP($R$3,Ingreso!$AW$10:$BC$260,VLOOKUP(A888,Ingreso!AL:AM,2,FALSE),FALSE)/24,""))),""))</f>
        <v/>
      </c>
      <c r="O888" s="95" t="str">
        <f>IF(IFERROR(IF(C888=C886,0,IF(E888=E887,0,IF(C888=$R$4,HLOOKUP($R$4,Ingreso!$AW$10:$BC$260,VLOOKUP(A888,Ingreso!AL:AM,2,FALSE),FALSE)/24,""))),"")=0,"",IFERROR(IF(C888=C886,0,IF(E888=E887,0,IF(C888=$R$4,HLOOKUP($R$4,Ingreso!$AW$10:$BC$260,VLOOKUP(A888,Ingreso!AL:AM,2,FALSE),FALSE)/24,""))),""))</f>
        <v/>
      </c>
      <c r="P888" s="90"/>
      <c r="V888"/>
      <c r="W888"/>
      <c r="X888"/>
      <c r="Y888"/>
      <c r="Z888"/>
      <c r="AA888"/>
      <c r="AB888"/>
      <c r="AC888"/>
      <c r="AD888"/>
    </row>
    <row r="889" spans="1:30">
      <c r="A889" s="65" t="str">
        <f>IFERROR(VLOOKUP('Informe Kelly'!A882,Base!A:B,2,FALSE),"")</f>
        <v>15.445.100-5</v>
      </c>
      <c r="B889" s="65" t="str">
        <f>IFERROR(VLOOKUP('Informe Kelly'!A882,Base!A:G,7,FALSE),"")</f>
        <v>MACAYA MOSCOSO FELIPE ANDRES</v>
      </c>
      <c r="C889" s="69" t="str">
        <f>IF(G889=$C$4,IF('Informe Kelly'!H882='Control informe Kelly'!$A$2,TEXT(((LEFT('Informe Kelly'!E882,2)*1)+1),"dd")&amp;"."&amp;MID('Informe Kelly'!E882,4,2)&amp;"."&amp;RIGHT('Informe Kelly'!E882,4),'Informe Kelly'!E882),'Informe Kelly'!E882)</f>
        <v>14.04.2011</v>
      </c>
      <c r="D889" s="69" t="str">
        <f>IF('Informe Kelly'!E882="","",'Informe Kelly'!E882)</f>
        <v>14.04.2011</v>
      </c>
      <c r="E889" s="72">
        <f t="shared" si="27"/>
        <v>451</v>
      </c>
      <c r="F889" s="72" t="str">
        <f>IFERROR(HLOOKUP(C889,Ingreso!$Q$8:$AD$9,2,FALSE),"v")</f>
        <v>Jueves</v>
      </c>
      <c r="G889" s="65" t="str">
        <f>IFERROR(VLOOKUP(A889,Ingreso!K:P,6,FALSE),"no esta ingresado")</f>
        <v>no esta ingresado</v>
      </c>
      <c r="H889" s="65" t="str">
        <f>IFERROR(IF('Informe Kelly'!H882=$A$2,'Informe Kelly'!F882,""),0)</f>
        <v/>
      </c>
      <c r="I889" s="65">
        <f>IFERROR(IF('Informe Kelly'!H882=$A$3,'Informe Kelly'!F882,""),0)</f>
        <v>0.95207175925925924</v>
      </c>
      <c r="J889" s="65" t="str">
        <f>IF(IFERROR(IF(E889=E888,0,(HLOOKUP(D889,Ingreso!$AN$10:$AT$260,VLOOKUP(A889,Ingreso!$AL$11:$AM$260,2,FALSE)))/24),0)=0,"",IFERROR(IF(E889=E888,0,(HLOOKUP(D889,Ingreso!$AN$10:$AT$260,VLOOKUP(A889,Ingreso!$AL$11:$AM$260,2,FALSE)))/24),0))</f>
        <v/>
      </c>
      <c r="K889" s="65" t="str">
        <f>IF(IFERROR(IF(E889=E888,0,(HLOOKUP(C889,Ingreso!$AW$10:$BC$260,VLOOKUP(A889,Ingreso!$AL$11:$AM$260,2,FALSE)))/24),0)=0,"",IFERROR(IF(E889=E888,0,(HLOOKUP(C889,Ingreso!$AW$10:$BC$260,VLOOKUP(A889,Ingreso!$AL$11:$AM$260,2,FALSE)))/24),0))</f>
        <v/>
      </c>
      <c r="L889" s="63" t="str">
        <f t="shared" si="26"/>
        <v/>
      </c>
      <c r="M889" s="63" t="str">
        <f>IF(IFERROR(IF(C889=C887,0,IF(E889=E888,0,IF(C889=$R$2,HLOOKUP($R$2,Ingreso!$AW$10:$BC$260,VLOOKUP(A889,Ingreso!AL:AM,2,FALSE),FALSE)/24,""))),"")=0,"",IFERROR(IF(C889=C887,0,IF(E889=E888,0,IF(C889=$R$2,HLOOKUP($R$2,Ingreso!$AW$10:$BC$260,VLOOKUP(A889,Ingreso!AL:AM,2,FALSE),FALSE)/24,""))),""))</f>
        <v/>
      </c>
      <c r="N889" s="95" t="str">
        <f>IF(IFERROR(IF(C889=C887,0,IF(E889=E888,0,IF(C889=$R$3,HLOOKUP($R$3,Ingreso!$AW$10:$BC$260,VLOOKUP(A889,Ingreso!AL:AM,2,FALSE),FALSE)/24,""))),"")=0,"",IFERROR(IF(C889=C887,0,IF(E889=E888,0,IF(C889=$R$3,HLOOKUP($R$3,Ingreso!$AW$10:$BC$260,VLOOKUP(A889,Ingreso!AL:AM,2,FALSE),FALSE)/24,""))),""))</f>
        <v/>
      </c>
      <c r="O889" s="95" t="str">
        <f>IF(IFERROR(IF(C889=C887,0,IF(E889=E888,0,IF(C889=$R$4,HLOOKUP($R$4,Ingreso!$AW$10:$BC$260,VLOOKUP(A889,Ingreso!AL:AM,2,FALSE),FALSE)/24,""))),"")=0,"",IFERROR(IF(C889=C887,0,IF(E889=E888,0,IF(C889=$R$4,HLOOKUP($R$4,Ingreso!$AW$10:$BC$260,VLOOKUP(A889,Ingreso!AL:AM,2,FALSE),FALSE)/24,""))),""))</f>
        <v/>
      </c>
      <c r="P889" s="90"/>
      <c r="V889"/>
      <c r="W889"/>
      <c r="X889"/>
      <c r="Y889"/>
      <c r="Z889"/>
      <c r="AA889"/>
      <c r="AB889"/>
      <c r="AC889"/>
      <c r="AD889"/>
    </row>
    <row r="890" spans="1:30">
      <c r="A890" s="65" t="str">
        <f>IFERROR(VLOOKUP('Informe Kelly'!A883,Base!A:B,2,FALSE),"")</f>
        <v>15.445.100-5</v>
      </c>
      <c r="B890" s="65" t="str">
        <f>IFERROR(VLOOKUP('Informe Kelly'!A883,Base!A:G,7,FALSE),"")</f>
        <v>MACAYA MOSCOSO FELIPE ANDRES</v>
      </c>
      <c r="C890" s="69" t="str">
        <f>IF(G890=$C$4,IF('Informe Kelly'!H883='Control informe Kelly'!$A$2,TEXT(((LEFT('Informe Kelly'!E883,2)*1)+1),"dd")&amp;"."&amp;MID('Informe Kelly'!E883,4,2)&amp;"."&amp;RIGHT('Informe Kelly'!E883,4),'Informe Kelly'!E883),'Informe Kelly'!E883)</f>
        <v>14.04.2011</v>
      </c>
      <c r="D890" s="69" t="str">
        <f>IF('Informe Kelly'!E883="","",'Informe Kelly'!E883)</f>
        <v>14.04.2011</v>
      </c>
      <c r="E890" s="72">
        <f t="shared" si="27"/>
        <v>451</v>
      </c>
      <c r="F890" s="72" t="str">
        <f>IFERROR(HLOOKUP(C890,Ingreso!$Q$8:$AD$9,2,FALSE),"v")</f>
        <v>Jueves</v>
      </c>
      <c r="G890" s="65" t="str">
        <f>IFERROR(VLOOKUP(A890,Ingreso!K:P,6,FALSE),"no esta ingresado")</f>
        <v>no esta ingresado</v>
      </c>
      <c r="H890" s="65">
        <f>IFERROR(IF('Informe Kelly'!H883=$A$2,'Informe Kelly'!F883,""),0)</f>
        <v>0.60824074074074075</v>
      </c>
      <c r="I890" s="65" t="str">
        <f>IFERROR(IF('Informe Kelly'!H883=$A$3,'Informe Kelly'!F883,""),0)</f>
        <v/>
      </c>
      <c r="J890" s="65" t="str">
        <f>IF(IFERROR(IF(E890=E889,0,(HLOOKUP(D890,Ingreso!$AN$10:$AT$260,VLOOKUP(A890,Ingreso!$AL$11:$AM$260,2,FALSE)))/24),0)=0,"",IFERROR(IF(E890=E889,0,(HLOOKUP(D890,Ingreso!$AN$10:$AT$260,VLOOKUP(A890,Ingreso!$AL$11:$AM$260,2,FALSE)))/24),0))</f>
        <v/>
      </c>
      <c r="K890" s="65" t="str">
        <f>IF(IFERROR(IF(E890=E889,0,(HLOOKUP(C890,Ingreso!$AW$10:$BC$260,VLOOKUP(A890,Ingreso!$AL$11:$AM$260,2,FALSE)))/24),0)=0,"",IFERROR(IF(E890=E889,0,(HLOOKUP(C890,Ingreso!$AW$10:$BC$260,VLOOKUP(A890,Ingreso!$AL$11:$AM$260,2,FALSE)))/24),0))</f>
        <v/>
      </c>
      <c r="L890" s="63">
        <f t="shared" si="26"/>
        <v>0</v>
      </c>
      <c r="M890" s="63" t="str">
        <f>IF(IFERROR(IF(C890=C888,0,IF(E890=E889,0,IF(C890=$R$2,HLOOKUP($R$2,Ingreso!$AW$10:$BC$260,VLOOKUP(A890,Ingreso!AL:AM,2,FALSE),FALSE)/24,""))),"")=0,"",IFERROR(IF(C890=C888,0,IF(E890=E889,0,IF(C890=$R$2,HLOOKUP($R$2,Ingreso!$AW$10:$BC$260,VLOOKUP(A890,Ingreso!AL:AM,2,FALSE),FALSE)/24,""))),""))</f>
        <v/>
      </c>
      <c r="N890" s="95" t="str">
        <f>IF(IFERROR(IF(C890=C888,0,IF(E890=E889,0,IF(C890=$R$3,HLOOKUP($R$3,Ingreso!$AW$10:$BC$260,VLOOKUP(A890,Ingreso!AL:AM,2,FALSE),FALSE)/24,""))),"")=0,"",IFERROR(IF(C890=C888,0,IF(E890=E889,0,IF(C890=$R$3,HLOOKUP($R$3,Ingreso!$AW$10:$BC$260,VLOOKUP(A890,Ingreso!AL:AM,2,FALSE),FALSE)/24,""))),""))</f>
        <v/>
      </c>
      <c r="O890" s="95" t="str">
        <f>IF(IFERROR(IF(C890=C888,0,IF(E890=E889,0,IF(C890=$R$4,HLOOKUP($R$4,Ingreso!$AW$10:$BC$260,VLOOKUP(A890,Ingreso!AL:AM,2,FALSE),FALSE)/24,""))),"")=0,"",IFERROR(IF(C890=C888,0,IF(E890=E889,0,IF(C890=$R$4,HLOOKUP($R$4,Ingreso!$AW$10:$BC$260,VLOOKUP(A890,Ingreso!AL:AM,2,FALSE),FALSE)/24,""))),""))</f>
        <v/>
      </c>
      <c r="P890" s="90"/>
      <c r="V890"/>
      <c r="W890"/>
      <c r="X890"/>
      <c r="Y890"/>
      <c r="Z890"/>
      <c r="AA890"/>
      <c r="AB890"/>
      <c r="AC890"/>
      <c r="AD890"/>
    </row>
    <row r="891" spans="1:30">
      <c r="A891" s="65" t="str">
        <f>IFERROR(VLOOKUP('Informe Kelly'!A884,Base!A:B,2,FALSE),"")</f>
        <v>15.445.100-5</v>
      </c>
      <c r="B891" s="65" t="str">
        <f>IFERROR(VLOOKUP('Informe Kelly'!A884,Base!A:G,7,FALSE),"")</f>
        <v>MACAYA MOSCOSO FELIPE ANDRES</v>
      </c>
      <c r="C891" s="69" t="str">
        <f>IF(G891=$C$4,IF('Informe Kelly'!H884='Control informe Kelly'!$A$2,TEXT(((LEFT('Informe Kelly'!E884,2)*1)+1),"dd")&amp;"."&amp;MID('Informe Kelly'!E884,4,2)&amp;"."&amp;RIGHT('Informe Kelly'!E884,4),'Informe Kelly'!E884),'Informe Kelly'!E884)</f>
        <v>15.04.2011</v>
      </c>
      <c r="D891" s="69" t="str">
        <f>IF('Informe Kelly'!E884="","",'Informe Kelly'!E884)</f>
        <v>15.04.2011</v>
      </c>
      <c r="E891" s="72">
        <f t="shared" si="27"/>
        <v>452</v>
      </c>
      <c r="F891" s="72" t="str">
        <f>IFERROR(HLOOKUP(C891,Ingreso!$Q$8:$AD$9,2,FALSE),"v")</f>
        <v>Viernes</v>
      </c>
      <c r="G891" s="65" t="str">
        <f>IFERROR(VLOOKUP(A891,Ingreso!K:P,6,FALSE),"no esta ingresado")</f>
        <v>no esta ingresado</v>
      </c>
      <c r="H891" s="65" t="str">
        <f>IFERROR(IF('Informe Kelly'!H884=$A$2,'Informe Kelly'!F884,""),0)</f>
        <v/>
      </c>
      <c r="I891" s="65">
        <f>IFERROR(IF('Informe Kelly'!H884=$A$3,'Informe Kelly'!F884,""),0)</f>
        <v>0.94756944444444446</v>
      </c>
      <c r="J891" s="65" t="str">
        <f>IF(IFERROR(IF(E891=E890,0,(HLOOKUP(D891,Ingreso!$AN$10:$AT$260,VLOOKUP(A891,Ingreso!$AL$11:$AM$260,2,FALSE)))/24),0)=0,"",IFERROR(IF(E891=E890,0,(HLOOKUP(D891,Ingreso!$AN$10:$AT$260,VLOOKUP(A891,Ingreso!$AL$11:$AM$260,2,FALSE)))/24),0))</f>
        <v/>
      </c>
      <c r="K891" s="65" t="str">
        <f>IF(IFERROR(IF(E891=E890,0,(HLOOKUP(C891,Ingreso!$AW$10:$BC$260,VLOOKUP(A891,Ingreso!$AL$11:$AM$260,2,FALSE)))/24),0)=0,"",IFERROR(IF(E891=E890,0,(HLOOKUP(C891,Ingreso!$AW$10:$BC$260,VLOOKUP(A891,Ingreso!$AL$11:$AM$260,2,FALSE)))/24),0))</f>
        <v/>
      </c>
      <c r="L891" s="63" t="str">
        <f t="shared" si="26"/>
        <v/>
      </c>
      <c r="M891" s="63" t="str">
        <f>IF(IFERROR(IF(C891=C889,0,IF(E891=E890,0,IF(C891=$R$2,HLOOKUP($R$2,Ingreso!$AW$10:$BC$260,VLOOKUP(A891,Ingreso!AL:AM,2,FALSE),FALSE)/24,""))),"")=0,"",IFERROR(IF(C891=C889,0,IF(E891=E890,0,IF(C891=$R$2,HLOOKUP($R$2,Ingreso!$AW$10:$BC$260,VLOOKUP(A891,Ingreso!AL:AM,2,FALSE),FALSE)/24,""))),""))</f>
        <v/>
      </c>
      <c r="N891" s="95" t="str">
        <f>IF(IFERROR(IF(C891=C889,0,IF(E891=E890,0,IF(C891=$R$3,HLOOKUP($R$3,Ingreso!$AW$10:$BC$260,VLOOKUP(A891,Ingreso!AL:AM,2,FALSE),FALSE)/24,""))),"")=0,"",IFERROR(IF(C891=C889,0,IF(E891=E890,0,IF(C891=$R$3,HLOOKUP($R$3,Ingreso!$AW$10:$BC$260,VLOOKUP(A891,Ingreso!AL:AM,2,FALSE),FALSE)/24,""))),""))</f>
        <v/>
      </c>
      <c r="O891" s="95" t="str">
        <f>IF(IFERROR(IF(C891=C889,0,IF(E891=E890,0,IF(C891=$R$4,HLOOKUP($R$4,Ingreso!$AW$10:$BC$260,VLOOKUP(A891,Ingreso!AL:AM,2,FALSE),FALSE)/24,""))),"")=0,"",IFERROR(IF(C891=C889,0,IF(E891=E890,0,IF(C891=$R$4,HLOOKUP($R$4,Ingreso!$AW$10:$BC$260,VLOOKUP(A891,Ingreso!AL:AM,2,FALSE),FALSE)/24,""))),""))</f>
        <v/>
      </c>
      <c r="P891" s="90"/>
      <c r="V891"/>
      <c r="W891"/>
      <c r="X891"/>
      <c r="Y891"/>
      <c r="Z891"/>
      <c r="AA891"/>
      <c r="AB891"/>
      <c r="AC891"/>
      <c r="AD891"/>
    </row>
    <row r="892" spans="1:30">
      <c r="A892" s="65" t="str">
        <f>IFERROR(VLOOKUP('Informe Kelly'!A885,Base!A:B,2,FALSE),"")</f>
        <v>15.445.100-5</v>
      </c>
      <c r="B892" s="65" t="str">
        <f>IFERROR(VLOOKUP('Informe Kelly'!A885,Base!A:G,7,FALSE),"")</f>
        <v>MACAYA MOSCOSO FELIPE ANDRES</v>
      </c>
      <c r="C892" s="69" t="str">
        <f>IF(G892=$C$4,IF('Informe Kelly'!H885='Control informe Kelly'!$A$2,TEXT(((LEFT('Informe Kelly'!E885,2)*1)+1),"dd")&amp;"."&amp;MID('Informe Kelly'!E885,4,2)&amp;"."&amp;RIGHT('Informe Kelly'!E885,4),'Informe Kelly'!E885),'Informe Kelly'!E885)</f>
        <v>15.04.2011</v>
      </c>
      <c r="D892" s="69" t="str">
        <f>IF('Informe Kelly'!E885="","",'Informe Kelly'!E885)</f>
        <v>15.04.2011</v>
      </c>
      <c r="E892" s="72">
        <f t="shared" si="27"/>
        <v>452</v>
      </c>
      <c r="F892" s="72" t="str">
        <f>IFERROR(HLOOKUP(C892,Ingreso!$Q$8:$AD$9,2,FALSE),"v")</f>
        <v>Viernes</v>
      </c>
      <c r="G892" s="65" t="str">
        <f>IFERROR(VLOOKUP(A892,Ingreso!K:P,6,FALSE),"no esta ingresado")</f>
        <v>no esta ingresado</v>
      </c>
      <c r="H892" s="65">
        <f>IFERROR(IF('Informe Kelly'!H885=$A$2,'Informe Kelly'!F885,""),0)</f>
        <v>0.6097569444444445</v>
      </c>
      <c r="I892" s="65" t="str">
        <f>IFERROR(IF('Informe Kelly'!H885=$A$3,'Informe Kelly'!F885,""),0)</f>
        <v/>
      </c>
      <c r="J892" s="65" t="str">
        <f>IF(IFERROR(IF(E892=E891,0,(HLOOKUP(D892,Ingreso!$AN$10:$AT$260,VLOOKUP(A892,Ingreso!$AL$11:$AM$260,2,FALSE)))/24),0)=0,"",IFERROR(IF(E892=E891,0,(HLOOKUP(D892,Ingreso!$AN$10:$AT$260,VLOOKUP(A892,Ingreso!$AL$11:$AM$260,2,FALSE)))/24),0))</f>
        <v/>
      </c>
      <c r="K892" s="65" t="str">
        <f>IF(IFERROR(IF(E892=E891,0,(HLOOKUP(C892,Ingreso!$AW$10:$BC$260,VLOOKUP(A892,Ingreso!$AL$11:$AM$260,2,FALSE)))/24),0)=0,"",IFERROR(IF(E892=E891,0,(HLOOKUP(C892,Ingreso!$AW$10:$BC$260,VLOOKUP(A892,Ingreso!$AL$11:$AM$260,2,FALSE)))/24),0))</f>
        <v/>
      </c>
      <c r="L892" s="63">
        <f t="shared" si="26"/>
        <v>0</v>
      </c>
      <c r="M892" s="63" t="str">
        <f>IF(IFERROR(IF(C892=C890,0,IF(E892=E891,0,IF(C892=$R$2,HLOOKUP($R$2,Ingreso!$AW$10:$BC$260,VLOOKUP(A892,Ingreso!AL:AM,2,FALSE),FALSE)/24,""))),"")=0,"",IFERROR(IF(C892=C890,0,IF(E892=E891,0,IF(C892=$R$2,HLOOKUP($R$2,Ingreso!$AW$10:$BC$260,VLOOKUP(A892,Ingreso!AL:AM,2,FALSE),FALSE)/24,""))),""))</f>
        <v/>
      </c>
      <c r="N892" s="95" t="str">
        <f>IF(IFERROR(IF(C892=C890,0,IF(E892=E891,0,IF(C892=$R$3,HLOOKUP($R$3,Ingreso!$AW$10:$BC$260,VLOOKUP(A892,Ingreso!AL:AM,2,FALSE),FALSE)/24,""))),"")=0,"",IFERROR(IF(C892=C890,0,IF(E892=E891,0,IF(C892=$R$3,HLOOKUP($R$3,Ingreso!$AW$10:$BC$260,VLOOKUP(A892,Ingreso!AL:AM,2,FALSE),FALSE)/24,""))),""))</f>
        <v/>
      </c>
      <c r="O892" s="95" t="str">
        <f>IF(IFERROR(IF(C892=C890,0,IF(E892=E891,0,IF(C892=$R$4,HLOOKUP($R$4,Ingreso!$AW$10:$BC$260,VLOOKUP(A892,Ingreso!AL:AM,2,FALSE),FALSE)/24,""))),"")=0,"",IFERROR(IF(C892=C890,0,IF(E892=E891,0,IF(C892=$R$4,HLOOKUP($R$4,Ingreso!$AW$10:$BC$260,VLOOKUP(A892,Ingreso!AL:AM,2,FALSE),FALSE)/24,""))),""))</f>
        <v/>
      </c>
      <c r="P892" s="90"/>
      <c r="V892"/>
      <c r="W892"/>
      <c r="X892"/>
      <c r="Y892"/>
      <c r="Z892"/>
      <c r="AA892"/>
      <c r="AB892"/>
      <c r="AC892"/>
      <c r="AD892"/>
    </row>
    <row r="893" spans="1:30">
      <c r="A893" s="65" t="str">
        <f>IFERROR(VLOOKUP('Informe Kelly'!A886,Base!A:B,2,FALSE),"")</f>
        <v>15.445.100-5</v>
      </c>
      <c r="B893" s="65" t="str">
        <f>IFERROR(VLOOKUP('Informe Kelly'!A886,Base!A:G,7,FALSE),"")</f>
        <v>MACAYA MOSCOSO FELIPE ANDRES</v>
      </c>
      <c r="C893" s="69" t="str">
        <f>IF(G893=$C$4,IF('Informe Kelly'!H886='Control informe Kelly'!$A$2,TEXT(((LEFT('Informe Kelly'!E886,2)*1)+1),"dd")&amp;"."&amp;MID('Informe Kelly'!E886,4,2)&amp;"."&amp;RIGHT('Informe Kelly'!E886,4),'Informe Kelly'!E886),'Informe Kelly'!E886)</f>
        <v>16.04.2011</v>
      </c>
      <c r="D893" s="69" t="str">
        <f>IF('Informe Kelly'!E886="","",'Informe Kelly'!E886)</f>
        <v>16.04.2011</v>
      </c>
      <c r="E893" s="72">
        <f t="shared" si="27"/>
        <v>453</v>
      </c>
      <c r="F893" s="72" t="str">
        <f>IFERROR(HLOOKUP(C893,Ingreso!$Q$8:$AD$9,2,FALSE),"v")</f>
        <v>Sábado</v>
      </c>
      <c r="G893" s="65" t="str">
        <f>IFERROR(VLOOKUP(A893,Ingreso!K:P,6,FALSE),"no esta ingresado")</f>
        <v>no esta ingresado</v>
      </c>
      <c r="H893" s="65" t="str">
        <f>IFERROR(IF('Informe Kelly'!H886=$A$2,'Informe Kelly'!F886,""),0)</f>
        <v/>
      </c>
      <c r="I893" s="65">
        <f>IFERROR(IF('Informe Kelly'!H886=$A$3,'Informe Kelly'!F886,""),0)</f>
        <v>0.94738425925925929</v>
      </c>
      <c r="J893" s="65" t="str">
        <f>IF(IFERROR(IF(E893=E892,0,(HLOOKUP(D893,Ingreso!$AN$10:$AT$260,VLOOKUP(A893,Ingreso!$AL$11:$AM$260,2,FALSE)))/24),0)=0,"",IFERROR(IF(E893=E892,0,(HLOOKUP(D893,Ingreso!$AN$10:$AT$260,VLOOKUP(A893,Ingreso!$AL$11:$AM$260,2,FALSE)))/24),0))</f>
        <v/>
      </c>
      <c r="K893" s="65" t="str">
        <f>IF(IFERROR(IF(E893=E892,0,(HLOOKUP(C893,Ingreso!$AW$10:$BC$260,VLOOKUP(A893,Ingreso!$AL$11:$AM$260,2,FALSE)))/24),0)=0,"",IFERROR(IF(E893=E892,0,(HLOOKUP(C893,Ingreso!$AW$10:$BC$260,VLOOKUP(A893,Ingreso!$AL$11:$AM$260,2,FALSE)))/24),0))</f>
        <v/>
      </c>
      <c r="L893" s="63" t="str">
        <f t="shared" si="26"/>
        <v/>
      </c>
      <c r="M893" s="63" t="str">
        <f>IF(IFERROR(IF(C893=C891,0,IF(E893=E892,0,IF(C893=$R$2,HLOOKUP($R$2,Ingreso!$AW$10:$BC$260,VLOOKUP(A893,Ingreso!AL:AM,2,FALSE),FALSE)/24,""))),"")=0,"",IFERROR(IF(C893=C891,0,IF(E893=E892,0,IF(C893=$R$2,HLOOKUP($R$2,Ingreso!$AW$10:$BC$260,VLOOKUP(A893,Ingreso!AL:AM,2,FALSE),FALSE)/24,""))),""))</f>
        <v/>
      </c>
      <c r="N893" s="95" t="str">
        <f>IF(IFERROR(IF(C893=C891,0,IF(E893=E892,0,IF(C893=$R$3,HLOOKUP($R$3,Ingreso!$AW$10:$BC$260,VLOOKUP(A893,Ingreso!AL:AM,2,FALSE),FALSE)/24,""))),"")=0,"",IFERROR(IF(C893=C891,0,IF(E893=E892,0,IF(C893=$R$3,HLOOKUP($R$3,Ingreso!$AW$10:$BC$260,VLOOKUP(A893,Ingreso!AL:AM,2,FALSE),FALSE)/24,""))),""))</f>
        <v/>
      </c>
      <c r="O893" s="95" t="str">
        <f>IF(IFERROR(IF(C893=C891,0,IF(E893=E892,0,IF(C893=$R$4,HLOOKUP($R$4,Ingreso!$AW$10:$BC$260,VLOOKUP(A893,Ingreso!AL:AM,2,FALSE),FALSE)/24,""))),"")=0,"",IFERROR(IF(C893=C891,0,IF(E893=E892,0,IF(C893=$R$4,HLOOKUP($R$4,Ingreso!$AW$10:$BC$260,VLOOKUP(A893,Ingreso!AL:AM,2,FALSE),FALSE)/24,""))),""))</f>
        <v/>
      </c>
      <c r="P893" s="90"/>
      <c r="V893"/>
      <c r="W893"/>
      <c r="X893"/>
      <c r="Y893"/>
      <c r="Z893"/>
      <c r="AA893"/>
      <c r="AB893"/>
      <c r="AC893"/>
      <c r="AD893"/>
    </row>
    <row r="894" spans="1:30">
      <c r="A894" s="65" t="str">
        <f>IFERROR(VLOOKUP('Informe Kelly'!A887,Base!A:B,2,FALSE),"")</f>
        <v>15.445.100-5</v>
      </c>
      <c r="B894" s="65" t="str">
        <f>IFERROR(VLOOKUP('Informe Kelly'!A887,Base!A:G,7,FALSE),"")</f>
        <v>MACAYA MOSCOSO FELIPE ANDRES</v>
      </c>
      <c r="C894" s="69" t="str">
        <f>IF(G894=$C$4,IF('Informe Kelly'!H887='Control informe Kelly'!$A$2,TEXT(((LEFT('Informe Kelly'!E887,2)*1)+1),"dd")&amp;"."&amp;MID('Informe Kelly'!E887,4,2)&amp;"."&amp;RIGHT('Informe Kelly'!E887,4),'Informe Kelly'!E887),'Informe Kelly'!E887)</f>
        <v>16.04.2011</v>
      </c>
      <c r="D894" s="69" t="str">
        <f>IF('Informe Kelly'!E887="","",'Informe Kelly'!E887)</f>
        <v>16.04.2011</v>
      </c>
      <c r="E894" s="72">
        <f t="shared" si="27"/>
        <v>453</v>
      </c>
      <c r="F894" s="72" t="str">
        <f>IFERROR(HLOOKUP(C894,Ingreso!$Q$8:$AD$9,2,FALSE),"v")</f>
        <v>Sábado</v>
      </c>
      <c r="G894" s="65" t="str">
        <f>IFERROR(VLOOKUP(A894,Ingreso!K:P,6,FALSE),"no esta ingresado")</f>
        <v>no esta ingresado</v>
      </c>
      <c r="H894" s="65">
        <f>IFERROR(IF('Informe Kelly'!H887=$A$2,'Informe Kelly'!F887,""),0)</f>
        <v>0.6274305555555556</v>
      </c>
      <c r="I894" s="65" t="str">
        <f>IFERROR(IF('Informe Kelly'!H887=$A$3,'Informe Kelly'!F887,""),0)</f>
        <v/>
      </c>
      <c r="J894" s="65" t="str">
        <f>IF(IFERROR(IF(E894=E893,0,(HLOOKUP(D894,Ingreso!$AN$10:$AT$260,VLOOKUP(A894,Ingreso!$AL$11:$AM$260,2,FALSE)))/24),0)=0,"",IFERROR(IF(E894=E893,0,(HLOOKUP(D894,Ingreso!$AN$10:$AT$260,VLOOKUP(A894,Ingreso!$AL$11:$AM$260,2,FALSE)))/24),0))</f>
        <v/>
      </c>
      <c r="K894" s="65" t="str">
        <f>IF(IFERROR(IF(E894=E893,0,(HLOOKUP(C894,Ingreso!$AW$10:$BC$260,VLOOKUP(A894,Ingreso!$AL$11:$AM$260,2,FALSE)))/24),0)=0,"",IFERROR(IF(E894=E893,0,(HLOOKUP(C894,Ingreso!$AW$10:$BC$260,VLOOKUP(A894,Ingreso!$AL$11:$AM$260,2,FALSE)))/24),0))</f>
        <v/>
      </c>
      <c r="L894" s="63">
        <f t="shared" si="26"/>
        <v>0</v>
      </c>
      <c r="M894" s="63" t="str">
        <f>IF(IFERROR(IF(C894=C892,0,IF(E894=E893,0,IF(C894=$R$2,HLOOKUP($R$2,Ingreso!$AW$10:$BC$260,VLOOKUP(A894,Ingreso!AL:AM,2,FALSE),FALSE)/24,""))),"")=0,"",IFERROR(IF(C894=C892,0,IF(E894=E893,0,IF(C894=$R$2,HLOOKUP($R$2,Ingreso!$AW$10:$BC$260,VLOOKUP(A894,Ingreso!AL:AM,2,FALSE),FALSE)/24,""))),""))</f>
        <v/>
      </c>
      <c r="N894" s="95" t="str">
        <f>IF(IFERROR(IF(C894=C892,0,IF(E894=E893,0,IF(C894=$R$3,HLOOKUP($R$3,Ingreso!$AW$10:$BC$260,VLOOKUP(A894,Ingreso!AL:AM,2,FALSE),FALSE)/24,""))),"")=0,"",IFERROR(IF(C894=C892,0,IF(E894=E893,0,IF(C894=$R$3,HLOOKUP($R$3,Ingreso!$AW$10:$BC$260,VLOOKUP(A894,Ingreso!AL:AM,2,FALSE),FALSE)/24,""))),""))</f>
        <v/>
      </c>
      <c r="O894" s="95" t="str">
        <f>IF(IFERROR(IF(C894=C892,0,IF(E894=E893,0,IF(C894=$R$4,HLOOKUP($R$4,Ingreso!$AW$10:$BC$260,VLOOKUP(A894,Ingreso!AL:AM,2,FALSE),FALSE)/24,""))),"")=0,"",IFERROR(IF(C894=C892,0,IF(E894=E893,0,IF(C894=$R$4,HLOOKUP($R$4,Ingreso!$AW$10:$BC$260,VLOOKUP(A894,Ingreso!AL:AM,2,FALSE),FALSE)/24,""))),""))</f>
        <v/>
      </c>
      <c r="P894" s="90"/>
      <c r="V894"/>
      <c r="W894"/>
      <c r="X894"/>
      <c r="Y894"/>
      <c r="Z894"/>
      <c r="AA894"/>
      <c r="AB894"/>
      <c r="AC894"/>
      <c r="AD894"/>
    </row>
    <row r="895" spans="1:30">
      <c r="A895" s="65" t="str">
        <f>IFERROR(VLOOKUP('Informe Kelly'!A888,Base!A:B,2,FALSE),"")</f>
        <v>15.449.281-K</v>
      </c>
      <c r="B895" s="65" t="str">
        <f>IFERROR(VLOOKUP('Informe Kelly'!A888,Base!A:G,7,FALSE),"")</f>
        <v>DURAN MIRANDA ROBERTO FABIAN</v>
      </c>
      <c r="C895" s="69" t="str">
        <f>IF(G895=$C$4,IF('Informe Kelly'!H888='Control informe Kelly'!$A$2,TEXT(((LEFT('Informe Kelly'!E888,2)*1)+1),"dd")&amp;"."&amp;MID('Informe Kelly'!E888,4,2)&amp;"."&amp;RIGHT('Informe Kelly'!E888,4),'Informe Kelly'!E888),'Informe Kelly'!E888)</f>
        <v>11.04.2011</v>
      </c>
      <c r="D895" s="69" t="str">
        <f>IF('Informe Kelly'!E888="","",'Informe Kelly'!E888)</f>
        <v>11.04.2011</v>
      </c>
      <c r="E895" s="72">
        <f t="shared" si="27"/>
        <v>454</v>
      </c>
      <c r="F895" s="72" t="str">
        <f>IFERROR(HLOOKUP(C895,Ingreso!$Q$8:$AD$9,2,FALSE),"v")</f>
        <v>Lunes</v>
      </c>
      <c r="G895" s="65" t="str">
        <f>IFERROR(VLOOKUP(A895,Ingreso!K:P,6,FALSE),"no esta ingresado")</f>
        <v>no esta ingresado</v>
      </c>
      <c r="H895" s="65">
        <f>IFERROR(IF('Informe Kelly'!H888=$A$2,'Informe Kelly'!F888,""),0)</f>
        <v>0.92087962962962966</v>
      </c>
      <c r="I895" s="65" t="str">
        <f>IFERROR(IF('Informe Kelly'!H888=$A$3,'Informe Kelly'!F888,""),0)</f>
        <v/>
      </c>
      <c r="J895" s="65" t="str">
        <f>IF(IFERROR(IF(E895=E894,0,(HLOOKUP(D895,Ingreso!$AN$10:$AT$260,VLOOKUP(A895,Ingreso!$AL$11:$AM$260,2,FALSE)))/24),0)=0,"",IFERROR(IF(E895=E894,0,(HLOOKUP(D895,Ingreso!$AN$10:$AT$260,VLOOKUP(A895,Ingreso!$AL$11:$AM$260,2,FALSE)))/24),0))</f>
        <v/>
      </c>
      <c r="K895" s="65" t="str">
        <f>IF(IFERROR(IF(E895=E894,0,(HLOOKUP(C895,Ingreso!$AW$10:$BC$260,VLOOKUP(A895,Ingreso!$AL$11:$AM$260,2,FALSE)))/24),0)=0,"",IFERROR(IF(E895=E894,0,(HLOOKUP(C895,Ingreso!$AW$10:$BC$260,VLOOKUP(A895,Ingreso!$AL$11:$AM$260,2,FALSE)))/24),0))</f>
        <v/>
      </c>
      <c r="L895" s="63" t="str">
        <f t="shared" si="26"/>
        <v/>
      </c>
      <c r="M895" s="63" t="str">
        <f>IF(IFERROR(IF(C895=C893,0,IF(E895=E894,0,IF(C895=$R$2,HLOOKUP($R$2,Ingreso!$AW$10:$BC$260,VLOOKUP(A895,Ingreso!AL:AM,2,FALSE),FALSE)/24,""))),"")=0,"",IFERROR(IF(C895=C893,0,IF(E895=E894,0,IF(C895=$R$2,HLOOKUP($R$2,Ingreso!$AW$10:$BC$260,VLOOKUP(A895,Ingreso!AL:AM,2,FALSE),FALSE)/24,""))),""))</f>
        <v/>
      </c>
      <c r="N895" s="95" t="str">
        <f>IF(IFERROR(IF(C895=C893,0,IF(E895=E894,0,IF(C895=$R$3,HLOOKUP($R$3,Ingreso!$AW$10:$BC$260,VLOOKUP(A895,Ingreso!AL:AM,2,FALSE),FALSE)/24,""))),"")=0,"",IFERROR(IF(C895=C893,0,IF(E895=E894,0,IF(C895=$R$3,HLOOKUP($R$3,Ingreso!$AW$10:$BC$260,VLOOKUP(A895,Ingreso!AL:AM,2,FALSE),FALSE)/24,""))),""))</f>
        <v/>
      </c>
      <c r="O895" s="95" t="str">
        <f>IF(IFERROR(IF(C895=C893,0,IF(E895=E894,0,IF(C895=$R$4,HLOOKUP($R$4,Ingreso!$AW$10:$BC$260,VLOOKUP(A895,Ingreso!AL:AM,2,FALSE),FALSE)/24,""))),"")=0,"",IFERROR(IF(C895=C893,0,IF(E895=E894,0,IF(C895=$R$4,HLOOKUP($R$4,Ingreso!$AW$10:$BC$260,VLOOKUP(A895,Ingreso!AL:AM,2,FALSE),FALSE)/24,""))),""))</f>
        <v/>
      </c>
      <c r="P895" s="90"/>
      <c r="V895"/>
      <c r="W895"/>
      <c r="X895"/>
      <c r="Y895"/>
      <c r="Z895"/>
      <c r="AA895"/>
      <c r="AB895"/>
      <c r="AC895"/>
      <c r="AD895"/>
    </row>
    <row r="896" spans="1:30">
      <c r="A896" s="65" t="str">
        <f>IFERROR(VLOOKUP('Informe Kelly'!A889,Base!A:B,2,FALSE),"")</f>
        <v>15.449.281-K</v>
      </c>
      <c r="B896" s="65" t="str">
        <f>IFERROR(VLOOKUP('Informe Kelly'!A889,Base!A:G,7,FALSE),"")</f>
        <v>DURAN MIRANDA ROBERTO FABIAN</v>
      </c>
      <c r="C896" s="69" t="str">
        <f>IF(G896=$C$4,IF('Informe Kelly'!H889='Control informe Kelly'!$A$2,TEXT(((LEFT('Informe Kelly'!E889,2)*1)+1),"dd")&amp;"."&amp;MID('Informe Kelly'!E889,4,2)&amp;"."&amp;RIGHT('Informe Kelly'!E889,4),'Informe Kelly'!E889),'Informe Kelly'!E889)</f>
        <v>12.04.2011</v>
      </c>
      <c r="D896" s="69" t="str">
        <f>IF('Informe Kelly'!E889="","",'Informe Kelly'!E889)</f>
        <v>12.04.2011</v>
      </c>
      <c r="E896" s="72">
        <f t="shared" si="27"/>
        <v>455</v>
      </c>
      <c r="F896" s="72" t="str">
        <f>IFERROR(HLOOKUP(C896,Ingreso!$Q$8:$AD$9,2,FALSE),"v")</f>
        <v>Martes</v>
      </c>
      <c r="G896" s="65" t="str">
        <f>IFERROR(VLOOKUP(A896,Ingreso!K:P,6,FALSE),"no esta ingresado")</f>
        <v>no esta ingresado</v>
      </c>
      <c r="H896" s="65" t="str">
        <f>IFERROR(IF('Informe Kelly'!H889=$A$2,'Informe Kelly'!F889,""),0)</f>
        <v/>
      </c>
      <c r="I896" s="65">
        <f>IFERROR(IF('Informe Kelly'!H889=$A$3,'Informe Kelly'!F889,""),0)</f>
        <v>0.32471064814814815</v>
      </c>
      <c r="J896" s="65" t="str">
        <f>IF(IFERROR(IF(E896=E895,0,(HLOOKUP(D896,Ingreso!$AN$10:$AT$260,VLOOKUP(A896,Ingreso!$AL$11:$AM$260,2,FALSE)))/24),0)=0,"",IFERROR(IF(E896=E895,0,(HLOOKUP(D896,Ingreso!$AN$10:$AT$260,VLOOKUP(A896,Ingreso!$AL$11:$AM$260,2,FALSE)))/24),0))</f>
        <v/>
      </c>
      <c r="K896" s="65" t="str">
        <f>IF(IFERROR(IF(E896=E895,0,(HLOOKUP(C896,Ingreso!$AW$10:$BC$260,VLOOKUP(A896,Ingreso!$AL$11:$AM$260,2,FALSE)))/24),0)=0,"",IFERROR(IF(E896=E895,0,(HLOOKUP(C896,Ingreso!$AW$10:$BC$260,VLOOKUP(A896,Ingreso!$AL$11:$AM$260,2,FALSE)))/24),0))</f>
        <v/>
      </c>
      <c r="L896" s="63" t="str">
        <f t="shared" si="26"/>
        <v/>
      </c>
      <c r="M896" s="63" t="str">
        <f>IF(IFERROR(IF(C896=C894,0,IF(E896=E895,0,IF(C896=$R$2,HLOOKUP($R$2,Ingreso!$AW$10:$BC$260,VLOOKUP(A896,Ingreso!AL:AM,2,FALSE),FALSE)/24,""))),"")=0,"",IFERROR(IF(C896=C894,0,IF(E896=E895,0,IF(C896=$R$2,HLOOKUP($R$2,Ingreso!$AW$10:$BC$260,VLOOKUP(A896,Ingreso!AL:AM,2,FALSE),FALSE)/24,""))),""))</f>
        <v/>
      </c>
      <c r="N896" s="95" t="str">
        <f>IF(IFERROR(IF(C896=C894,0,IF(E896=E895,0,IF(C896=$R$3,HLOOKUP($R$3,Ingreso!$AW$10:$BC$260,VLOOKUP(A896,Ingreso!AL:AM,2,FALSE),FALSE)/24,""))),"")=0,"",IFERROR(IF(C896=C894,0,IF(E896=E895,0,IF(C896=$R$3,HLOOKUP($R$3,Ingreso!$AW$10:$BC$260,VLOOKUP(A896,Ingreso!AL:AM,2,FALSE),FALSE)/24,""))),""))</f>
        <v/>
      </c>
      <c r="O896" s="95" t="str">
        <f>IF(IFERROR(IF(C896=C894,0,IF(E896=E895,0,IF(C896=$R$4,HLOOKUP($R$4,Ingreso!$AW$10:$BC$260,VLOOKUP(A896,Ingreso!AL:AM,2,FALSE),FALSE)/24,""))),"")=0,"",IFERROR(IF(C896=C894,0,IF(E896=E895,0,IF(C896=$R$4,HLOOKUP($R$4,Ingreso!$AW$10:$BC$260,VLOOKUP(A896,Ingreso!AL:AM,2,FALSE),FALSE)/24,""))),""))</f>
        <v/>
      </c>
      <c r="P896" s="90"/>
      <c r="V896"/>
      <c r="W896"/>
      <c r="X896"/>
      <c r="Y896"/>
      <c r="Z896"/>
      <c r="AA896"/>
      <c r="AB896"/>
      <c r="AC896"/>
      <c r="AD896"/>
    </row>
    <row r="897" spans="1:30">
      <c r="A897" s="65" t="str">
        <f>IFERROR(VLOOKUP('Informe Kelly'!A890,Base!A:B,2,FALSE),"")</f>
        <v>15.449.281-K</v>
      </c>
      <c r="B897" s="65" t="str">
        <f>IFERROR(VLOOKUP('Informe Kelly'!A890,Base!A:G,7,FALSE),"")</f>
        <v>DURAN MIRANDA ROBERTO FABIAN</v>
      </c>
      <c r="C897" s="69" t="str">
        <f>IF(G897=$C$4,IF('Informe Kelly'!H890='Control informe Kelly'!$A$2,TEXT(((LEFT('Informe Kelly'!E890,2)*1)+1),"dd")&amp;"."&amp;MID('Informe Kelly'!E890,4,2)&amp;"."&amp;RIGHT('Informe Kelly'!E890,4),'Informe Kelly'!E890),'Informe Kelly'!E890)</f>
        <v>12.04.2011</v>
      </c>
      <c r="D897" s="69" t="str">
        <f>IF('Informe Kelly'!E890="","",'Informe Kelly'!E890)</f>
        <v>12.04.2011</v>
      </c>
      <c r="E897" s="72">
        <f t="shared" si="27"/>
        <v>455</v>
      </c>
      <c r="F897" s="72" t="str">
        <f>IFERROR(HLOOKUP(C897,Ingreso!$Q$8:$AD$9,2,FALSE),"v")</f>
        <v>Martes</v>
      </c>
      <c r="G897" s="65" t="str">
        <f>IFERROR(VLOOKUP(A897,Ingreso!K:P,6,FALSE),"no esta ingresado")</f>
        <v>no esta ingresado</v>
      </c>
      <c r="H897" s="65">
        <f>IFERROR(IF('Informe Kelly'!H890=$A$2,'Informe Kelly'!F890,""),0)</f>
        <v>0.91895833333333332</v>
      </c>
      <c r="I897" s="65" t="str">
        <f>IFERROR(IF('Informe Kelly'!H890=$A$3,'Informe Kelly'!F890,""),0)</f>
        <v/>
      </c>
      <c r="J897" s="65" t="str">
        <f>IF(IFERROR(IF(E897=E896,0,(HLOOKUP(D897,Ingreso!$AN$10:$AT$260,VLOOKUP(A897,Ingreso!$AL$11:$AM$260,2,FALSE)))/24),0)=0,"",IFERROR(IF(E897=E896,0,(HLOOKUP(D897,Ingreso!$AN$10:$AT$260,VLOOKUP(A897,Ingreso!$AL$11:$AM$260,2,FALSE)))/24),0))</f>
        <v/>
      </c>
      <c r="K897" s="65" t="str">
        <f>IF(IFERROR(IF(E897=E896,0,(HLOOKUP(C897,Ingreso!$AW$10:$BC$260,VLOOKUP(A897,Ingreso!$AL$11:$AM$260,2,FALSE)))/24),0)=0,"",IFERROR(IF(E897=E896,0,(HLOOKUP(C897,Ingreso!$AW$10:$BC$260,VLOOKUP(A897,Ingreso!$AL$11:$AM$260,2,FALSE)))/24),0))</f>
        <v/>
      </c>
      <c r="L897" s="63">
        <f t="shared" si="26"/>
        <v>0</v>
      </c>
      <c r="M897" s="63" t="str">
        <f>IF(IFERROR(IF(C897=C895,0,IF(E897=E896,0,IF(C897=$R$2,HLOOKUP($R$2,Ingreso!$AW$10:$BC$260,VLOOKUP(A897,Ingreso!AL:AM,2,FALSE),FALSE)/24,""))),"")=0,"",IFERROR(IF(C897=C895,0,IF(E897=E896,0,IF(C897=$R$2,HLOOKUP($R$2,Ingreso!$AW$10:$BC$260,VLOOKUP(A897,Ingreso!AL:AM,2,FALSE),FALSE)/24,""))),""))</f>
        <v/>
      </c>
      <c r="N897" s="95" t="str">
        <f>IF(IFERROR(IF(C897=C895,0,IF(E897=E896,0,IF(C897=$R$3,HLOOKUP($R$3,Ingreso!$AW$10:$BC$260,VLOOKUP(A897,Ingreso!AL:AM,2,FALSE),FALSE)/24,""))),"")=0,"",IFERROR(IF(C897=C895,0,IF(E897=E896,0,IF(C897=$R$3,HLOOKUP($R$3,Ingreso!$AW$10:$BC$260,VLOOKUP(A897,Ingreso!AL:AM,2,FALSE),FALSE)/24,""))),""))</f>
        <v/>
      </c>
      <c r="O897" s="95" t="str">
        <f>IF(IFERROR(IF(C897=C895,0,IF(E897=E896,0,IF(C897=$R$4,HLOOKUP($R$4,Ingreso!$AW$10:$BC$260,VLOOKUP(A897,Ingreso!AL:AM,2,FALSE),FALSE)/24,""))),"")=0,"",IFERROR(IF(C897=C895,0,IF(E897=E896,0,IF(C897=$R$4,HLOOKUP($R$4,Ingreso!$AW$10:$BC$260,VLOOKUP(A897,Ingreso!AL:AM,2,FALSE),FALSE)/24,""))),""))</f>
        <v/>
      </c>
      <c r="P897" s="90"/>
      <c r="V897"/>
      <c r="W897"/>
      <c r="X897"/>
      <c r="Y897"/>
      <c r="Z897"/>
      <c r="AA897"/>
      <c r="AB897"/>
      <c r="AC897"/>
      <c r="AD897"/>
    </row>
    <row r="898" spans="1:30">
      <c r="A898" s="65" t="str">
        <f>IFERROR(VLOOKUP('Informe Kelly'!A891,Base!A:B,2,FALSE),"")</f>
        <v>15.449.281-K</v>
      </c>
      <c r="B898" s="65" t="str">
        <f>IFERROR(VLOOKUP('Informe Kelly'!A891,Base!A:G,7,FALSE),"")</f>
        <v>DURAN MIRANDA ROBERTO FABIAN</v>
      </c>
      <c r="C898" s="69" t="str">
        <f>IF(G898=$C$4,IF('Informe Kelly'!H891='Control informe Kelly'!$A$2,TEXT(((LEFT('Informe Kelly'!E891,2)*1)+1),"dd")&amp;"."&amp;MID('Informe Kelly'!E891,4,2)&amp;"."&amp;RIGHT('Informe Kelly'!E891,4),'Informe Kelly'!E891),'Informe Kelly'!E891)</f>
        <v>13.04.2011</v>
      </c>
      <c r="D898" s="69" t="str">
        <f>IF('Informe Kelly'!E891="","",'Informe Kelly'!E891)</f>
        <v>13.04.2011</v>
      </c>
      <c r="E898" s="72">
        <f t="shared" si="27"/>
        <v>456</v>
      </c>
      <c r="F898" s="72" t="str">
        <f>IFERROR(HLOOKUP(C898,Ingreso!$Q$8:$AD$9,2,FALSE),"v")</f>
        <v>Miércoles</v>
      </c>
      <c r="G898" s="65" t="str">
        <f>IFERROR(VLOOKUP(A898,Ingreso!K:P,6,FALSE),"no esta ingresado")</f>
        <v>no esta ingresado</v>
      </c>
      <c r="H898" s="65" t="str">
        <f>IFERROR(IF('Informe Kelly'!H891=$A$2,'Informe Kelly'!F891,""),0)</f>
        <v/>
      </c>
      <c r="I898" s="65">
        <f>IFERROR(IF('Informe Kelly'!H891=$A$3,'Informe Kelly'!F891,""),0)</f>
        <v>0.32175925925925924</v>
      </c>
      <c r="J898" s="65" t="str">
        <f>IF(IFERROR(IF(E898=E897,0,(HLOOKUP(D898,Ingreso!$AN$10:$AT$260,VLOOKUP(A898,Ingreso!$AL$11:$AM$260,2,FALSE)))/24),0)=0,"",IFERROR(IF(E898=E897,0,(HLOOKUP(D898,Ingreso!$AN$10:$AT$260,VLOOKUP(A898,Ingreso!$AL$11:$AM$260,2,FALSE)))/24),0))</f>
        <v/>
      </c>
      <c r="K898" s="65" t="str">
        <f>IF(IFERROR(IF(E898=E897,0,(HLOOKUP(C898,Ingreso!$AW$10:$BC$260,VLOOKUP(A898,Ingreso!$AL$11:$AM$260,2,FALSE)))/24),0)=0,"",IFERROR(IF(E898=E897,0,(HLOOKUP(C898,Ingreso!$AW$10:$BC$260,VLOOKUP(A898,Ingreso!$AL$11:$AM$260,2,FALSE)))/24),0))</f>
        <v/>
      </c>
      <c r="L898" s="63" t="str">
        <f t="shared" si="26"/>
        <v/>
      </c>
      <c r="M898" s="63" t="str">
        <f>IF(IFERROR(IF(C898=C896,0,IF(E898=E897,0,IF(C898=$R$2,HLOOKUP($R$2,Ingreso!$AW$10:$BC$260,VLOOKUP(A898,Ingreso!AL:AM,2,FALSE),FALSE)/24,""))),"")=0,"",IFERROR(IF(C898=C896,0,IF(E898=E897,0,IF(C898=$R$2,HLOOKUP($R$2,Ingreso!$AW$10:$BC$260,VLOOKUP(A898,Ingreso!AL:AM,2,FALSE),FALSE)/24,""))),""))</f>
        <v/>
      </c>
      <c r="N898" s="95" t="str">
        <f>IF(IFERROR(IF(C898=C896,0,IF(E898=E897,0,IF(C898=$R$3,HLOOKUP($R$3,Ingreso!$AW$10:$BC$260,VLOOKUP(A898,Ingreso!AL:AM,2,FALSE),FALSE)/24,""))),"")=0,"",IFERROR(IF(C898=C896,0,IF(E898=E897,0,IF(C898=$R$3,HLOOKUP($R$3,Ingreso!$AW$10:$BC$260,VLOOKUP(A898,Ingreso!AL:AM,2,FALSE),FALSE)/24,""))),""))</f>
        <v/>
      </c>
      <c r="O898" s="95" t="str">
        <f>IF(IFERROR(IF(C898=C896,0,IF(E898=E897,0,IF(C898=$R$4,HLOOKUP($R$4,Ingreso!$AW$10:$BC$260,VLOOKUP(A898,Ingreso!AL:AM,2,FALSE),FALSE)/24,""))),"")=0,"",IFERROR(IF(C898=C896,0,IF(E898=E897,0,IF(C898=$R$4,HLOOKUP($R$4,Ingreso!$AW$10:$BC$260,VLOOKUP(A898,Ingreso!AL:AM,2,FALSE),FALSE)/24,""))),""))</f>
        <v/>
      </c>
      <c r="P898" s="90"/>
      <c r="V898"/>
      <c r="W898"/>
      <c r="X898"/>
      <c r="Y898"/>
      <c r="Z898"/>
      <c r="AA898"/>
      <c r="AB898"/>
      <c r="AC898"/>
      <c r="AD898"/>
    </row>
    <row r="899" spans="1:30">
      <c r="A899" s="65" t="str">
        <f>IFERROR(VLOOKUP('Informe Kelly'!A892,Base!A:B,2,FALSE),"")</f>
        <v>15.449.281-K</v>
      </c>
      <c r="B899" s="65" t="str">
        <f>IFERROR(VLOOKUP('Informe Kelly'!A892,Base!A:G,7,FALSE),"")</f>
        <v>DURAN MIRANDA ROBERTO FABIAN</v>
      </c>
      <c r="C899" s="69" t="str">
        <f>IF(G899=$C$4,IF('Informe Kelly'!H892='Control informe Kelly'!$A$2,TEXT(((LEFT('Informe Kelly'!E892,2)*1)+1),"dd")&amp;"."&amp;MID('Informe Kelly'!E892,4,2)&amp;"."&amp;RIGHT('Informe Kelly'!E892,4),'Informe Kelly'!E892),'Informe Kelly'!E892)</f>
        <v>13.04.2011</v>
      </c>
      <c r="D899" s="69" t="str">
        <f>IF('Informe Kelly'!E892="","",'Informe Kelly'!E892)</f>
        <v>13.04.2011</v>
      </c>
      <c r="E899" s="72">
        <f t="shared" si="27"/>
        <v>456</v>
      </c>
      <c r="F899" s="72" t="str">
        <f>IFERROR(HLOOKUP(C899,Ingreso!$Q$8:$AD$9,2,FALSE),"v")</f>
        <v>Miércoles</v>
      </c>
      <c r="G899" s="65" t="str">
        <f>IFERROR(VLOOKUP(A899,Ingreso!K:P,6,FALSE),"no esta ingresado")</f>
        <v>no esta ingresado</v>
      </c>
      <c r="H899" s="65">
        <f>IFERROR(IF('Informe Kelly'!H892=$A$2,'Informe Kelly'!F892,""),0)</f>
        <v>0.92113425925925929</v>
      </c>
      <c r="I899" s="65" t="str">
        <f>IFERROR(IF('Informe Kelly'!H892=$A$3,'Informe Kelly'!F892,""),0)</f>
        <v/>
      </c>
      <c r="J899" s="65" t="str">
        <f>IF(IFERROR(IF(E899=E898,0,(HLOOKUP(D899,Ingreso!$AN$10:$AT$260,VLOOKUP(A899,Ingreso!$AL$11:$AM$260,2,FALSE)))/24),0)=0,"",IFERROR(IF(E899=E898,0,(HLOOKUP(D899,Ingreso!$AN$10:$AT$260,VLOOKUP(A899,Ingreso!$AL$11:$AM$260,2,FALSE)))/24),0))</f>
        <v/>
      </c>
      <c r="K899" s="65" t="str">
        <f>IF(IFERROR(IF(E899=E898,0,(HLOOKUP(C899,Ingreso!$AW$10:$BC$260,VLOOKUP(A899,Ingreso!$AL$11:$AM$260,2,FALSE)))/24),0)=0,"",IFERROR(IF(E899=E898,0,(HLOOKUP(C899,Ingreso!$AW$10:$BC$260,VLOOKUP(A899,Ingreso!$AL$11:$AM$260,2,FALSE)))/24),0))</f>
        <v/>
      </c>
      <c r="L899" s="63">
        <f t="shared" si="26"/>
        <v>0</v>
      </c>
      <c r="M899" s="63" t="str">
        <f>IF(IFERROR(IF(C899=C897,0,IF(E899=E898,0,IF(C899=$R$2,HLOOKUP($R$2,Ingreso!$AW$10:$BC$260,VLOOKUP(A899,Ingreso!AL:AM,2,FALSE),FALSE)/24,""))),"")=0,"",IFERROR(IF(C899=C897,0,IF(E899=E898,0,IF(C899=$R$2,HLOOKUP($R$2,Ingreso!$AW$10:$BC$260,VLOOKUP(A899,Ingreso!AL:AM,2,FALSE),FALSE)/24,""))),""))</f>
        <v/>
      </c>
      <c r="N899" s="95" t="str">
        <f>IF(IFERROR(IF(C899=C897,0,IF(E899=E898,0,IF(C899=$R$3,HLOOKUP($R$3,Ingreso!$AW$10:$BC$260,VLOOKUP(A899,Ingreso!AL:AM,2,FALSE),FALSE)/24,""))),"")=0,"",IFERROR(IF(C899=C897,0,IF(E899=E898,0,IF(C899=$R$3,HLOOKUP($R$3,Ingreso!$AW$10:$BC$260,VLOOKUP(A899,Ingreso!AL:AM,2,FALSE),FALSE)/24,""))),""))</f>
        <v/>
      </c>
      <c r="O899" s="95" t="str">
        <f>IF(IFERROR(IF(C899=C897,0,IF(E899=E898,0,IF(C899=$R$4,HLOOKUP($R$4,Ingreso!$AW$10:$BC$260,VLOOKUP(A899,Ingreso!AL:AM,2,FALSE),FALSE)/24,""))),"")=0,"",IFERROR(IF(C899=C897,0,IF(E899=E898,0,IF(C899=$R$4,HLOOKUP($R$4,Ingreso!$AW$10:$BC$260,VLOOKUP(A899,Ingreso!AL:AM,2,FALSE),FALSE)/24,""))),""))</f>
        <v/>
      </c>
      <c r="P899" s="90"/>
      <c r="V899"/>
      <c r="W899"/>
      <c r="X899"/>
      <c r="Y899"/>
      <c r="Z899"/>
      <c r="AA899"/>
      <c r="AB899"/>
      <c r="AC899"/>
      <c r="AD899"/>
    </row>
    <row r="900" spans="1:30">
      <c r="A900" s="65" t="str">
        <f>IFERROR(VLOOKUP('Informe Kelly'!A893,Base!A:B,2,FALSE),"")</f>
        <v>15.449.281-K</v>
      </c>
      <c r="B900" s="65" t="str">
        <f>IFERROR(VLOOKUP('Informe Kelly'!A893,Base!A:G,7,FALSE),"")</f>
        <v>DURAN MIRANDA ROBERTO FABIAN</v>
      </c>
      <c r="C900" s="69" t="str">
        <f>IF(G900=$C$4,IF('Informe Kelly'!H893='Control informe Kelly'!$A$2,TEXT(((LEFT('Informe Kelly'!E893,2)*1)+1),"dd")&amp;"."&amp;MID('Informe Kelly'!E893,4,2)&amp;"."&amp;RIGHT('Informe Kelly'!E893,4),'Informe Kelly'!E893),'Informe Kelly'!E893)</f>
        <v>14.04.2011</v>
      </c>
      <c r="D900" s="69" t="str">
        <f>IF('Informe Kelly'!E893="","",'Informe Kelly'!E893)</f>
        <v>14.04.2011</v>
      </c>
      <c r="E900" s="72">
        <f t="shared" si="27"/>
        <v>457</v>
      </c>
      <c r="F900" s="72" t="str">
        <f>IFERROR(HLOOKUP(C900,Ingreso!$Q$8:$AD$9,2,FALSE),"v")</f>
        <v>Jueves</v>
      </c>
      <c r="G900" s="65" t="str">
        <f>IFERROR(VLOOKUP(A900,Ingreso!K:P,6,FALSE),"no esta ingresado")</f>
        <v>no esta ingresado</v>
      </c>
      <c r="H900" s="65" t="str">
        <f>IFERROR(IF('Informe Kelly'!H893=$A$2,'Informe Kelly'!F893,""),0)</f>
        <v/>
      </c>
      <c r="I900" s="65">
        <f>IFERROR(IF('Informe Kelly'!H893=$A$3,'Informe Kelly'!F893,""),0)</f>
        <v>0.32278935185185187</v>
      </c>
      <c r="J900" s="65" t="str">
        <f>IF(IFERROR(IF(E900=E899,0,(HLOOKUP(D900,Ingreso!$AN$10:$AT$260,VLOOKUP(A900,Ingreso!$AL$11:$AM$260,2,FALSE)))/24),0)=0,"",IFERROR(IF(E900=E899,0,(HLOOKUP(D900,Ingreso!$AN$10:$AT$260,VLOOKUP(A900,Ingreso!$AL$11:$AM$260,2,FALSE)))/24),0))</f>
        <v/>
      </c>
      <c r="K900" s="65" t="str">
        <f>IF(IFERROR(IF(E900=E899,0,(HLOOKUP(C900,Ingreso!$AW$10:$BC$260,VLOOKUP(A900,Ingreso!$AL$11:$AM$260,2,FALSE)))/24),0)=0,"",IFERROR(IF(E900=E899,0,(HLOOKUP(C900,Ingreso!$AW$10:$BC$260,VLOOKUP(A900,Ingreso!$AL$11:$AM$260,2,FALSE)))/24),0))</f>
        <v/>
      </c>
      <c r="L900" s="63" t="str">
        <f t="shared" si="26"/>
        <v/>
      </c>
      <c r="M900" s="63" t="str">
        <f>IF(IFERROR(IF(C900=C898,0,IF(E900=E899,0,IF(C900=$R$2,HLOOKUP($R$2,Ingreso!$AW$10:$BC$260,VLOOKUP(A900,Ingreso!AL:AM,2,FALSE),FALSE)/24,""))),"")=0,"",IFERROR(IF(C900=C898,0,IF(E900=E899,0,IF(C900=$R$2,HLOOKUP($R$2,Ingreso!$AW$10:$BC$260,VLOOKUP(A900,Ingreso!AL:AM,2,FALSE),FALSE)/24,""))),""))</f>
        <v/>
      </c>
      <c r="N900" s="95" t="str">
        <f>IF(IFERROR(IF(C900=C898,0,IF(E900=E899,0,IF(C900=$R$3,HLOOKUP($R$3,Ingreso!$AW$10:$BC$260,VLOOKUP(A900,Ingreso!AL:AM,2,FALSE),FALSE)/24,""))),"")=0,"",IFERROR(IF(C900=C898,0,IF(E900=E899,0,IF(C900=$R$3,HLOOKUP($R$3,Ingreso!$AW$10:$BC$260,VLOOKUP(A900,Ingreso!AL:AM,2,FALSE),FALSE)/24,""))),""))</f>
        <v/>
      </c>
      <c r="O900" s="95" t="str">
        <f>IF(IFERROR(IF(C900=C898,0,IF(E900=E899,0,IF(C900=$R$4,HLOOKUP($R$4,Ingreso!$AW$10:$BC$260,VLOOKUP(A900,Ingreso!AL:AM,2,FALSE),FALSE)/24,""))),"")=0,"",IFERROR(IF(C900=C898,0,IF(E900=E899,0,IF(C900=$R$4,HLOOKUP($R$4,Ingreso!$AW$10:$BC$260,VLOOKUP(A900,Ingreso!AL:AM,2,FALSE),FALSE)/24,""))),""))</f>
        <v/>
      </c>
      <c r="P900" s="90"/>
      <c r="V900"/>
      <c r="W900"/>
      <c r="X900"/>
      <c r="Y900"/>
      <c r="Z900"/>
      <c r="AA900"/>
      <c r="AB900"/>
      <c r="AC900"/>
      <c r="AD900"/>
    </row>
    <row r="901" spans="1:30">
      <c r="A901" s="65" t="str">
        <f>IFERROR(VLOOKUP('Informe Kelly'!A894,Base!A:B,2,FALSE),"")</f>
        <v>15.449.281-K</v>
      </c>
      <c r="B901" s="65" t="str">
        <f>IFERROR(VLOOKUP('Informe Kelly'!A894,Base!A:G,7,FALSE),"")</f>
        <v>DURAN MIRANDA ROBERTO FABIAN</v>
      </c>
      <c r="C901" s="69" t="str">
        <f>IF(G901=$C$4,IF('Informe Kelly'!H894='Control informe Kelly'!$A$2,TEXT(((LEFT('Informe Kelly'!E894,2)*1)+1),"dd")&amp;"."&amp;MID('Informe Kelly'!E894,4,2)&amp;"."&amp;RIGHT('Informe Kelly'!E894,4),'Informe Kelly'!E894),'Informe Kelly'!E894)</f>
        <v>14.04.2011</v>
      </c>
      <c r="D901" s="69" t="str">
        <f>IF('Informe Kelly'!E894="","",'Informe Kelly'!E894)</f>
        <v>14.04.2011</v>
      </c>
      <c r="E901" s="72">
        <f t="shared" si="27"/>
        <v>457</v>
      </c>
      <c r="F901" s="72" t="str">
        <f>IFERROR(HLOOKUP(C901,Ingreso!$Q$8:$AD$9,2,FALSE),"v")</f>
        <v>Jueves</v>
      </c>
      <c r="G901" s="65" t="str">
        <f>IFERROR(VLOOKUP(A901,Ingreso!K:P,6,FALSE),"no esta ingresado")</f>
        <v>no esta ingresado</v>
      </c>
      <c r="H901" s="65">
        <f>IFERROR(IF('Informe Kelly'!H894=$A$2,'Informe Kelly'!F894,""),0)</f>
        <v>0.92033564814814817</v>
      </c>
      <c r="I901" s="65" t="str">
        <f>IFERROR(IF('Informe Kelly'!H894=$A$3,'Informe Kelly'!F894,""),0)</f>
        <v/>
      </c>
      <c r="J901" s="65" t="str">
        <f>IF(IFERROR(IF(E901=E900,0,(HLOOKUP(D901,Ingreso!$AN$10:$AT$260,VLOOKUP(A901,Ingreso!$AL$11:$AM$260,2,FALSE)))/24),0)=0,"",IFERROR(IF(E901=E900,0,(HLOOKUP(D901,Ingreso!$AN$10:$AT$260,VLOOKUP(A901,Ingreso!$AL$11:$AM$260,2,FALSE)))/24),0))</f>
        <v/>
      </c>
      <c r="K901" s="65" t="str">
        <f>IF(IFERROR(IF(E901=E900,0,(HLOOKUP(C901,Ingreso!$AW$10:$BC$260,VLOOKUP(A901,Ingreso!$AL$11:$AM$260,2,FALSE)))/24),0)=0,"",IFERROR(IF(E901=E900,0,(HLOOKUP(C901,Ingreso!$AW$10:$BC$260,VLOOKUP(A901,Ingreso!$AL$11:$AM$260,2,FALSE)))/24),0))</f>
        <v/>
      </c>
      <c r="L901" s="63">
        <f t="shared" si="26"/>
        <v>0</v>
      </c>
      <c r="M901" s="63" t="str">
        <f>IF(IFERROR(IF(C901=C899,0,IF(E901=E900,0,IF(C901=$R$2,HLOOKUP($R$2,Ingreso!$AW$10:$BC$260,VLOOKUP(A901,Ingreso!AL:AM,2,FALSE),FALSE)/24,""))),"")=0,"",IFERROR(IF(C901=C899,0,IF(E901=E900,0,IF(C901=$R$2,HLOOKUP($R$2,Ingreso!$AW$10:$BC$260,VLOOKUP(A901,Ingreso!AL:AM,2,FALSE),FALSE)/24,""))),""))</f>
        <v/>
      </c>
      <c r="N901" s="95" t="str">
        <f>IF(IFERROR(IF(C901=C899,0,IF(E901=E900,0,IF(C901=$R$3,HLOOKUP($R$3,Ingreso!$AW$10:$BC$260,VLOOKUP(A901,Ingreso!AL:AM,2,FALSE),FALSE)/24,""))),"")=0,"",IFERROR(IF(C901=C899,0,IF(E901=E900,0,IF(C901=$R$3,HLOOKUP($R$3,Ingreso!$AW$10:$BC$260,VLOOKUP(A901,Ingreso!AL:AM,2,FALSE),FALSE)/24,""))),""))</f>
        <v/>
      </c>
      <c r="O901" s="95" t="str">
        <f>IF(IFERROR(IF(C901=C899,0,IF(E901=E900,0,IF(C901=$R$4,HLOOKUP($R$4,Ingreso!$AW$10:$BC$260,VLOOKUP(A901,Ingreso!AL:AM,2,FALSE),FALSE)/24,""))),"")=0,"",IFERROR(IF(C901=C899,0,IF(E901=E900,0,IF(C901=$R$4,HLOOKUP($R$4,Ingreso!$AW$10:$BC$260,VLOOKUP(A901,Ingreso!AL:AM,2,FALSE),FALSE)/24,""))),""))</f>
        <v/>
      </c>
      <c r="P901" s="90"/>
      <c r="V901"/>
      <c r="W901"/>
      <c r="X901"/>
      <c r="Y901"/>
      <c r="Z901"/>
      <c r="AA901"/>
      <c r="AB901"/>
      <c r="AC901"/>
      <c r="AD901"/>
    </row>
    <row r="902" spans="1:30">
      <c r="A902" s="65" t="str">
        <f>IFERROR(VLOOKUP('Informe Kelly'!A895,Base!A:B,2,FALSE),"")</f>
        <v>15.449.281-K</v>
      </c>
      <c r="B902" s="65" t="str">
        <f>IFERROR(VLOOKUP('Informe Kelly'!A895,Base!A:G,7,FALSE),"")</f>
        <v>DURAN MIRANDA ROBERTO FABIAN</v>
      </c>
      <c r="C902" s="69" t="str">
        <f>IF(G902=$C$4,IF('Informe Kelly'!H895='Control informe Kelly'!$A$2,TEXT(((LEFT('Informe Kelly'!E895,2)*1)+1),"dd")&amp;"."&amp;MID('Informe Kelly'!E895,4,2)&amp;"."&amp;RIGHT('Informe Kelly'!E895,4),'Informe Kelly'!E895),'Informe Kelly'!E895)</f>
        <v>15.04.2011</v>
      </c>
      <c r="D902" s="69" t="str">
        <f>IF('Informe Kelly'!E895="","",'Informe Kelly'!E895)</f>
        <v>15.04.2011</v>
      </c>
      <c r="E902" s="72">
        <f t="shared" si="27"/>
        <v>458</v>
      </c>
      <c r="F902" s="72" t="str">
        <f>IFERROR(HLOOKUP(C902,Ingreso!$Q$8:$AD$9,2,FALSE),"v")</f>
        <v>Viernes</v>
      </c>
      <c r="G902" s="65" t="str">
        <f>IFERROR(VLOOKUP(A902,Ingreso!K:P,6,FALSE),"no esta ingresado")</f>
        <v>no esta ingresado</v>
      </c>
      <c r="H902" s="65" t="str">
        <f>IFERROR(IF('Informe Kelly'!H895=$A$2,'Informe Kelly'!F895,""),0)</f>
        <v/>
      </c>
      <c r="I902" s="65">
        <f>IFERROR(IF('Informe Kelly'!H895=$A$3,'Informe Kelly'!F895,""),0)</f>
        <v>0.32153935185185184</v>
      </c>
      <c r="J902" s="65" t="str">
        <f>IF(IFERROR(IF(E902=E901,0,(HLOOKUP(D902,Ingreso!$AN$10:$AT$260,VLOOKUP(A902,Ingreso!$AL$11:$AM$260,2,FALSE)))/24),0)=0,"",IFERROR(IF(E902=E901,0,(HLOOKUP(D902,Ingreso!$AN$10:$AT$260,VLOOKUP(A902,Ingreso!$AL$11:$AM$260,2,FALSE)))/24),0))</f>
        <v/>
      </c>
      <c r="K902" s="65" t="str">
        <f>IF(IFERROR(IF(E902=E901,0,(HLOOKUP(C902,Ingreso!$AW$10:$BC$260,VLOOKUP(A902,Ingreso!$AL$11:$AM$260,2,FALSE)))/24),0)=0,"",IFERROR(IF(E902=E901,0,(HLOOKUP(C902,Ingreso!$AW$10:$BC$260,VLOOKUP(A902,Ingreso!$AL$11:$AM$260,2,FALSE)))/24),0))</f>
        <v/>
      </c>
      <c r="L902" s="63" t="str">
        <f t="shared" si="26"/>
        <v/>
      </c>
      <c r="M902" s="63" t="str">
        <f>IF(IFERROR(IF(C902=C900,0,IF(E902=E901,0,IF(C902=$R$2,HLOOKUP($R$2,Ingreso!$AW$10:$BC$260,VLOOKUP(A902,Ingreso!AL:AM,2,FALSE),FALSE)/24,""))),"")=0,"",IFERROR(IF(C902=C900,0,IF(E902=E901,0,IF(C902=$R$2,HLOOKUP($R$2,Ingreso!$AW$10:$BC$260,VLOOKUP(A902,Ingreso!AL:AM,2,FALSE),FALSE)/24,""))),""))</f>
        <v/>
      </c>
      <c r="N902" s="95" t="str">
        <f>IF(IFERROR(IF(C902=C900,0,IF(E902=E901,0,IF(C902=$R$3,HLOOKUP($R$3,Ingreso!$AW$10:$BC$260,VLOOKUP(A902,Ingreso!AL:AM,2,FALSE),FALSE)/24,""))),"")=0,"",IFERROR(IF(C902=C900,0,IF(E902=E901,0,IF(C902=$R$3,HLOOKUP($R$3,Ingreso!$AW$10:$BC$260,VLOOKUP(A902,Ingreso!AL:AM,2,FALSE),FALSE)/24,""))),""))</f>
        <v/>
      </c>
      <c r="O902" s="95" t="str">
        <f>IF(IFERROR(IF(C902=C900,0,IF(E902=E901,0,IF(C902=$R$4,HLOOKUP($R$4,Ingreso!$AW$10:$BC$260,VLOOKUP(A902,Ingreso!AL:AM,2,FALSE),FALSE)/24,""))),"")=0,"",IFERROR(IF(C902=C900,0,IF(E902=E901,0,IF(C902=$R$4,HLOOKUP($R$4,Ingreso!$AW$10:$BC$260,VLOOKUP(A902,Ingreso!AL:AM,2,FALSE),FALSE)/24,""))),""))</f>
        <v/>
      </c>
      <c r="P902" s="90"/>
      <c r="V902"/>
      <c r="W902"/>
      <c r="X902"/>
      <c r="Y902"/>
      <c r="Z902"/>
      <c r="AA902"/>
      <c r="AB902"/>
      <c r="AC902"/>
      <c r="AD902"/>
    </row>
    <row r="903" spans="1:30">
      <c r="A903" s="65" t="str">
        <f>IFERROR(VLOOKUP('Informe Kelly'!A896,Base!A:B,2,FALSE),"")</f>
        <v>15.449.281-K</v>
      </c>
      <c r="B903" s="65" t="str">
        <f>IFERROR(VLOOKUP('Informe Kelly'!A896,Base!A:G,7,FALSE),"")</f>
        <v>DURAN MIRANDA ROBERTO FABIAN</v>
      </c>
      <c r="C903" s="69" t="str">
        <f>IF(G903=$C$4,IF('Informe Kelly'!H896='Control informe Kelly'!$A$2,TEXT(((LEFT('Informe Kelly'!E896,2)*1)+1),"dd")&amp;"."&amp;MID('Informe Kelly'!E896,4,2)&amp;"."&amp;RIGHT('Informe Kelly'!E896,4),'Informe Kelly'!E896),'Informe Kelly'!E896)</f>
        <v>15.04.2011</v>
      </c>
      <c r="D903" s="69" t="str">
        <f>IF('Informe Kelly'!E896="","",'Informe Kelly'!E896)</f>
        <v>15.04.2011</v>
      </c>
      <c r="E903" s="72">
        <f t="shared" si="27"/>
        <v>458</v>
      </c>
      <c r="F903" s="72" t="str">
        <f>IFERROR(HLOOKUP(C903,Ingreso!$Q$8:$AD$9,2,FALSE),"v")</f>
        <v>Viernes</v>
      </c>
      <c r="G903" s="65" t="str">
        <f>IFERROR(VLOOKUP(A903,Ingreso!K:P,6,FALSE),"no esta ingresado")</f>
        <v>no esta ingresado</v>
      </c>
      <c r="H903" s="65">
        <f>IFERROR(IF('Informe Kelly'!H896=$A$2,'Informe Kelly'!F896,""),0)</f>
        <v>0.92052083333333334</v>
      </c>
      <c r="I903" s="65" t="str">
        <f>IFERROR(IF('Informe Kelly'!H896=$A$3,'Informe Kelly'!F896,""),0)</f>
        <v/>
      </c>
      <c r="J903" s="65" t="str">
        <f>IF(IFERROR(IF(E903=E902,0,(HLOOKUP(D903,Ingreso!$AN$10:$AT$260,VLOOKUP(A903,Ingreso!$AL$11:$AM$260,2,FALSE)))/24),0)=0,"",IFERROR(IF(E903=E902,0,(HLOOKUP(D903,Ingreso!$AN$10:$AT$260,VLOOKUP(A903,Ingreso!$AL$11:$AM$260,2,FALSE)))/24),0))</f>
        <v/>
      </c>
      <c r="K903" s="65" t="str">
        <f>IF(IFERROR(IF(E903=E902,0,(HLOOKUP(C903,Ingreso!$AW$10:$BC$260,VLOOKUP(A903,Ingreso!$AL$11:$AM$260,2,FALSE)))/24),0)=0,"",IFERROR(IF(E903=E902,0,(HLOOKUP(C903,Ingreso!$AW$10:$BC$260,VLOOKUP(A903,Ingreso!$AL$11:$AM$260,2,FALSE)))/24),0))</f>
        <v/>
      </c>
      <c r="L903" s="63">
        <f t="shared" si="26"/>
        <v>0</v>
      </c>
      <c r="M903" s="63" t="str">
        <f>IF(IFERROR(IF(C903=C901,0,IF(E903=E902,0,IF(C903=$R$2,HLOOKUP($R$2,Ingreso!$AW$10:$BC$260,VLOOKUP(A903,Ingreso!AL:AM,2,FALSE),FALSE)/24,""))),"")=0,"",IFERROR(IF(C903=C901,0,IF(E903=E902,0,IF(C903=$R$2,HLOOKUP($R$2,Ingreso!$AW$10:$BC$260,VLOOKUP(A903,Ingreso!AL:AM,2,FALSE),FALSE)/24,""))),""))</f>
        <v/>
      </c>
      <c r="N903" s="95" t="str">
        <f>IF(IFERROR(IF(C903=C901,0,IF(E903=E902,0,IF(C903=$R$3,HLOOKUP($R$3,Ingreso!$AW$10:$BC$260,VLOOKUP(A903,Ingreso!AL:AM,2,FALSE),FALSE)/24,""))),"")=0,"",IFERROR(IF(C903=C901,0,IF(E903=E902,0,IF(C903=$R$3,HLOOKUP($R$3,Ingreso!$AW$10:$BC$260,VLOOKUP(A903,Ingreso!AL:AM,2,FALSE),FALSE)/24,""))),""))</f>
        <v/>
      </c>
      <c r="O903" s="95" t="str">
        <f>IF(IFERROR(IF(C903=C901,0,IF(E903=E902,0,IF(C903=$R$4,HLOOKUP($R$4,Ingreso!$AW$10:$BC$260,VLOOKUP(A903,Ingreso!AL:AM,2,FALSE),FALSE)/24,""))),"")=0,"",IFERROR(IF(C903=C901,0,IF(E903=E902,0,IF(C903=$R$4,HLOOKUP($R$4,Ingreso!$AW$10:$BC$260,VLOOKUP(A903,Ingreso!AL:AM,2,FALSE),FALSE)/24,""))),""))</f>
        <v/>
      </c>
      <c r="P903" s="90"/>
      <c r="V903"/>
      <c r="W903"/>
      <c r="X903"/>
      <c r="Y903"/>
      <c r="Z903"/>
      <c r="AA903"/>
      <c r="AB903"/>
      <c r="AC903"/>
      <c r="AD903"/>
    </row>
    <row r="904" spans="1:30">
      <c r="A904" s="65" t="str">
        <f>IFERROR(VLOOKUP('Informe Kelly'!A897,Base!A:B,2,FALSE),"")</f>
        <v>15.449.281-K</v>
      </c>
      <c r="B904" s="65" t="str">
        <f>IFERROR(VLOOKUP('Informe Kelly'!A897,Base!A:G,7,FALSE),"")</f>
        <v>DURAN MIRANDA ROBERTO FABIAN</v>
      </c>
      <c r="C904" s="69" t="str">
        <f>IF(G904=$C$4,IF('Informe Kelly'!H897='Control informe Kelly'!$A$2,TEXT(((LEFT('Informe Kelly'!E897,2)*1)+1),"dd")&amp;"."&amp;MID('Informe Kelly'!E897,4,2)&amp;"."&amp;RIGHT('Informe Kelly'!E897,4),'Informe Kelly'!E897),'Informe Kelly'!E897)</f>
        <v>16.04.2011</v>
      </c>
      <c r="D904" s="69" t="str">
        <f>IF('Informe Kelly'!E897="","",'Informe Kelly'!E897)</f>
        <v>16.04.2011</v>
      </c>
      <c r="E904" s="72">
        <f t="shared" si="27"/>
        <v>459</v>
      </c>
      <c r="F904" s="72" t="str">
        <f>IFERROR(HLOOKUP(C904,Ingreso!$Q$8:$AD$9,2,FALSE),"v")</f>
        <v>Sábado</v>
      </c>
      <c r="G904" s="65" t="str">
        <f>IFERROR(VLOOKUP(A904,Ingreso!K:P,6,FALSE),"no esta ingresado")</f>
        <v>no esta ingresado</v>
      </c>
      <c r="H904" s="65" t="str">
        <f>IFERROR(IF('Informe Kelly'!H897=$A$2,'Informe Kelly'!F897,""),0)</f>
        <v/>
      </c>
      <c r="I904" s="65">
        <f>IFERROR(IF('Informe Kelly'!H897=$A$3,'Informe Kelly'!F897,""),0)</f>
        <v>0.31881944444444443</v>
      </c>
      <c r="J904" s="65" t="str">
        <f>IF(IFERROR(IF(E904=E903,0,(HLOOKUP(D904,Ingreso!$AN$10:$AT$260,VLOOKUP(A904,Ingreso!$AL$11:$AM$260,2,FALSE)))/24),0)=0,"",IFERROR(IF(E904=E903,0,(HLOOKUP(D904,Ingreso!$AN$10:$AT$260,VLOOKUP(A904,Ingreso!$AL$11:$AM$260,2,FALSE)))/24),0))</f>
        <v/>
      </c>
      <c r="K904" s="65" t="str">
        <f>IF(IFERROR(IF(E904=E903,0,(HLOOKUP(C904,Ingreso!$AW$10:$BC$260,VLOOKUP(A904,Ingreso!$AL$11:$AM$260,2,FALSE)))/24),0)=0,"",IFERROR(IF(E904=E903,0,(HLOOKUP(C904,Ingreso!$AW$10:$BC$260,VLOOKUP(A904,Ingreso!$AL$11:$AM$260,2,FALSE)))/24),0))</f>
        <v/>
      </c>
      <c r="L904" s="63" t="str">
        <f t="shared" si="26"/>
        <v/>
      </c>
      <c r="M904" s="63" t="str">
        <f>IF(IFERROR(IF(C904=C902,0,IF(E904=E903,0,IF(C904=$R$2,HLOOKUP($R$2,Ingreso!$AW$10:$BC$260,VLOOKUP(A904,Ingreso!AL:AM,2,FALSE),FALSE)/24,""))),"")=0,"",IFERROR(IF(C904=C902,0,IF(E904=E903,0,IF(C904=$R$2,HLOOKUP($R$2,Ingreso!$AW$10:$BC$260,VLOOKUP(A904,Ingreso!AL:AM,2,FALSE),FALSE)/24,""))),""))</f>
        <v/>
      </c>
      <c r="N904" s="95" t="str">
        <f>IF(IFERROR(IF(C904=C902,0,IF(E904=E903,0,IF(C904=$R$3,HLOOKUP($R$3,Ingreso!$AW$10:$BC$260,VLOOKUP(A904,Ingreso!AL:AM,2,FALSE),FALSE)/24,""))),"")=0,"",IFERROR(IF(C904=C902,0,IF(E904=E903,0,IF(C904=$R$3,HLOOKUP($R$3,Ingreso!$AW$10:$BC$260,VLOOKUP(A904,Ingreso!AL:AM,2,FALSE),FALSE)/24,""))),""))</f>
        <v/>
      </c>
      <c r="O904" s="95" t="str">
        <f>IF(IFERROR(IF(C904=C902,0,IF(E904=E903,0,IF(C904=$R$4,HLOOKUP($R$4,Ingreso!$AW$10:$BC$260,VLOOKUP(A904,Ingreso!AL:AM,2,FALSE),FALSE)/24,""))),"")=0,"",IFERROR(IF(C904=C902,0,IF(E904=E903,0,IF(C904=$R$4,HLOOKUP($R$4,Ingreso!$AW$10:$BC$260,VLOOKUP(A904,Ingreso!AL:AM,2,FALSE),FALSE)/24,""))),""))</f>
        <v/>
      </c>
      <c r="P904" s="90"/>
      <c r="V904"/>
      <c r="W904"/>
      <c r="X904"/>
      <c r="Y904"/>
      <c r="Z904"/>
      <c r="AA904"/>
      <c r="AB904"/>
      <c r="AC904"/>
      <c r="AD904"/>
    </row>
    <row r="905" spans="1:30">
      <c r="A905" s="65" t="str">
        <f>IFERROR(VLOOKUP('Informe Kelly'!A898,Base!A:B,2,FALSE),"")</f>
        <v>15.533.689-7</v>
      </c>
      <c r="B905" s="65" t="str">
        <f>IFERROR(VLOOKUP('Informe Kelly'!A898,Base!A:G,7,FALSE),"")</f>
        <v>DURAN  BRAVO, ROBERTO</v>
      </c>
      <c r="C905" s="69" t="str">
        <f>IF(G905=$C$4,IF('Informe Kelly'!H898='Control informe Kelly'!$A$2,TEXT(((LEFT('Informe Kelly'!E898,2)*1)+1),"dd")&amp;"."&amp;MID('Informe Kelly'!E898,4,2)&amp;"."&amp;RIGHT('Informe Kelly'!E898,4),'Informe Kelly'!E898),'Informe Kelly'!E898)</f>
        <v>15.04.2011</v>
      </c>
      <c r="D905" s="69" t="str">
        <f>IF('Informe Kelly'!E898="","",'Informe Kelly'!E898)</f>
        <v>15.04.2011</v>
      </c>
      <c r="E905" s="72">
        <f t="shared" si="27"/>
        <v>460</v>
      </c>
      <c r="F905" s="72" t="str">
        <f>IFERROR(HLOOKUP(C905,Ingreso!$Q$8:$AD$9,2,FALSE),"v")</f>
        <v>Viernes</v>
      </c>
      <c r="G905" s="65" t="str">
        <f>IFERROR(VLOOKUP(A905,Ingreso!K:P,6,FALSE),"no esta ingresado")</f>
        <v>no esta ingresado</v>
      </c>
      <c r="H905" s="65" t="str">
        <f>IFERROR(IF('Informe Kelly'!H898=$A$2,'Informe Kelly'!F898,""),0)</f>
        <v/>
      </c>
      <c r="I905" s="65">
        <f>IFERROR(IF('Informe Kelly'!H898=$A$3,'Informe Kelly'!F898,""),0)</f>
        <v>0.70156249999999998</v>
      </c>
      <c r="J905" s="65" t="str">
        <f>IF(IFERROR(IF(E905=E904,0,(HLOOKUP(D905,Ingreso!$AN$10:$AT$260,VLOOKUP(A905,Ingreso!$AL$11:$AM$260,2,FALSE)))/24),0)=0,"",IFERROR(IF(E905=E904,0,(HLOOKUP(D905,Ingreso!$AN$10:$AT$260,VLOOKUP(A905,Ingreso!$AL$11:$AM$260,2,FALSE)))/24),0))</f>
        <v/>
      </c>
      <c r="K905" s="65" t="str">
        <f>IF(IFERROR(IF(E905=E904,0,(HLOOKUP(C905,Ingreso!$AW$10:$BC$260,VLOOKUP(A905,Ingreso!$AL$11:$AM$260,2,FALSE)))/24),0)=0,"",IFERROR(IF(E905=E904,0,(HLOOKUP(C905,Ingreso!$AW$10:$BC$260,VLOOKUP(A905,Ingreso!$AL$11:$AM$260,2,FALSE)))/24),0))</f>
        <v/>
      </c>
      <c r="L905" s="63">
        <f t="shared" ref="L905:L968" si="28">IFERROR(IF(C905=C903,0,IF(E905=E904,0,(VLOOKUP(G905,$C$2:$D$5,2,FALSE)))),"")</f>
        <v>0</v>
      </c>
      <c r="M905" s="63" t="str">
        <f>IF(IFERROR(IF(C905=C903,0,IF(E905=E904,0,IF(C905=$R$2,HLOOKUP($R$2,Ingreso!$AW$10:$BC$260,VLOOKUP(A905,Ingreso!AL:AM,2,FALSE),FALSE)/24,""))),"")=0,"",IFERROR(IF(C905=C903,0,IF(E905=E904,0,IF(C905=$R$2,HLOOKUP($R$2,Ingreso!$AW$10:$BC$260,VLOOKUP(A905,Ingreso!AL:AM,2,FALSE),FALSE)/24,""))),""))</f>
        <v/>
      </c>
      <c r="N905" s="95" t="str">
        <f>IF(IFERROR(IF(C905=C903,0,IF(E905=E904,0,IF(C905=$R$3,HLOOKUP($R$3,Ingreso!$AW$10:$BC$260,VLOOKUP(A905,Ingreso!AL:AM,2,FALSE),FALSE)/24,""))),"")=0,"",IFERROR(IF(C905=C903,0,IF(E905=E904,0,IF(C905=$R$3,HLOOKUP($R$3,Ingreso!$AW$10:$BC$260,VLOOKUP(A905,Ingreso!AL:AM,2,FALSE),FALSE)/24,""))),""))</f>
        <v/>
      </c>
      <c r="O905" s="95" t="str">
        <f>IF(IFERROR(IF(C905=C903,0,IF(E905=E904,0,IF(C905=$R$4,HLOOKUP($R$4,Ingreso!$AW$10:$BC$260,VLOOKUP(A905,Ingreso!AL:AM,2,FALSE),FALSE)/24,""))),"")=0,"",IFERROR(IF(C905=C903,0,IF(E905=E904,0,IF(C905=$R$4,HLOOKUP($R$4,Ingreso!$AW$10:$BC$260,VLOOKUP(A905,Ingreso!AL:AM,2,FALSE),FALSE)/24,""))),""))</f>
        <v/>
      </c>
      <c r="P905" s="90"/>
      <c r="V905"/>
      <c r="W905"/>
      <c r="X905"/>
      <c r="Y905"/>
      <c r="Z905"/>
      <c r="AA905"/>
      <c r="AB905"/>
      <c r="AC905"/>
      <c r="AD905"/>
    </row>
    <row r="906" spans="1:30">
      <c r="A906" s="65" t="str">
        <f>IFERROR(VLOOKUP('Informe Kelly'!A899,Base!A:B,2,FALSE),"")</f>
        <v>15.533.689-7</v>
      </c>
      <c r="B906" s="65" t="str">
        <f>IFERROR(VLOOKUP('Informe Kelly'!A899,Base!A:G,7,FALSE),"")</f>
        <v>DURAN  BRAVO, ROBERTO</v>
      </c>
      <c r="C906" s="69" t="str">
        <f>IF(G906=$C$4,IF('Informe Kelly'!H899='Control informe Kelly'!$A$2,TEXT(((LEFT('Informe Kelly'!E899,2)*1)+1),"dd")&amp;"."&amp;MID('Informe Kelly'!E899,4,2)&amp;"."&amp;RIGHT('Informe Kelly'!E899,4),'Informe Kelly'!E899),'Informe Kelly'!E899)</f>
        <v>15.04.2011</v>
      </c>
      <c r="D906" s="69" t="str">
        <f>IF('Informe Kelly'!E899="","",'Informe Kelly'!E899)</f>
        <v>15.04.2011</v>
      </c>
      <c r="E906" s="72">
        <f t="shared" ref="E906:E969" si="29">IF(C905=C906,IF(C906=C903,E905,IF(C906=C904,E905+1,E905)),E905+1)</f>
        <v>460</v>
      </c>
      <c r="F906" s="72" t="str">
        <f>IFERROR(HLOOKUP(C906,Ingreso!$Q$8:$AD$9,2,FALSE),"v")</f>
        <v>Viernes</v>
      </c>
      <c r="G906" s="65" t="str">
        <f>IFERROR(VLOOKUP(A906,Ingreso!K:P,6,FALSE),"no esta ingresado")</f>
        <v>no esta ingresado</v>
      </c>
      <c r="H906" s="65">
        <f>IFERROR(IF('Informe Kelly'!H899=$A$2,'Informe Kelly'!F899,""),0)</f>
        <v>0.31149305555555556</v>
      </c>
      <c r="I906" s="65" t="str">
        <f>IFERROR(IF('Informe Kelly'!H899=$A$3,'Informe Kelly'!F899,""),0)</f>
        <v/>
      </c>
      <c r="J906" s="65" t="str">
        <f>IF(IFERROR(IF(E906=E905,0,(HLOOKUP(D906,Ingreso!$AN$10:$AT$260,VLOOKUP(A906,Ingreso!$AL$11:$AM$260,2,FALSE)))/24),0)=0,"",IFERROR(IF(E906=E905,0,(HLOOKUP(D906,Ingreso!$AN$10:$AT$260,VLOOKUP(A906,Ingreso!$AL$11:$AM$260,2,FALSE)))/24),0))</f>
        <v/>
      </c>
      <c r="K906" s="65" t="str">
        <f>IF(IFERROR(IF(E906=E905,0,(HLOOKUP(C906,Ingreso!$AW$10:$BC$260,VLOOKUP(A906,Ingreso!$AL$11:$AM$260,2,FALSE)))/24),0)=0,"",IFERROR(IF(E906=E905,0,(HLOOKUP(C906,Ingreso!$AW$10:$BC$260,VLOOKUP(A906,Ingreso!$AL$11:$AM$260,2,FALSE)))/24),0))</f>
        <v/>
      </c>
      <c r="L906" s="63">
        <f t="shared" si="28"/>
        <v>0</v>
      </c>
      <c r="M906" s="63" t="str">
        <f>IF(IFERROR(IF(C906=C904,0,IF(E906=E905,0,IF(C906=$R$2,HLOOKUP($R$2,Ingreso!$AW$10:$BC$260,VLOOKUP(A906,Ingreso!AL:AM,2,FALSE),FALSE)/24,""))),"")=0,"",IFERROR(IF(C906=C904,0,IF(E906=E905,0,IF(C906=$R$2,HLOOKUP($R$2,Ingreso!$AW$10:$BC$260,VLOOKUP(A906,Ingreso!AL:AM,2,FALSE),FALSE)/24,""))),""))</f>
        <v/>
      </c>
      <c r="N906" s="95" t="str">
        <f>IF(IFERROR(IF(C906=C904,0,IF(E906=E905,0,IF(C906=$R$3,HLOOKUP($R$3,Ingreso!$AW$10:$BC$260,VLOOKUP(A906,Ingreso!AL:AM,2,FALSE),FALSE)/24,""))),"")=0,"",IFERROR(IF(C906=C904,0,IF(E906=E905,0,IF(C906=$R$3,HLOOKUP($R$3,Ingreso!$AW$10:$BC$260,VLOOKUP(A906,Ingreso!AL:AM,2,FALSE),FALSE)/24,""))),""))</f>
        <v/>
      </c>
      <c r="O906" s="95" t="str">
        <f>IF(IFERROR(IF(C906=C904,0,IF(E906=E905,0,IF(C906=$R$4,HLOOKUP($R$4,Ingreso!$AW$10:$BC$260,VLOOKUP(A906,Ingreso!AL:AM,2,FALSE),FALSE)/24,""))),"")=0,"",IFERROR(IF(C906=C904,0,IF(E906=E905,0,IF(C906=$R$4,HLOOKUP($R$4,Ingreso!$AW$10:$BC$260,VLOOKUP(A906,Ingreso!AL:AM,2,FALSE),FALSE)/24,""))),""))</f>
        <v/>
      </c>
      <c r="P906" s="90"/>
      <c r="V906"/>
      <c r="W906"/>
      <c r="X906"/>
      <c r="Y906"/>
      <c r="Z906"/>
      <c r="AA906"/>
      <c r="AB906"/>
      <c r="AC906"/>
      <c r="AD906"/>
    </row>
    <row r="907" spans="1:30">
      <c r="A907" s="65" t="str">
        <f>IFERROR(VLOOKUP('Informe Kelly'!A900,Base!A:B,2,FALSE),"")</f>
        <v>15.891.790-4</v>
      </c>
      <c r="B907" s="65" t="str">
        <f>IFERROR(VLOOKUP('Informe Kelly'!A900,Base!A:G,7,FALSE),"")</f>
        <v>SALINAS SALDIA LUIS ALBERTO</v>
      </c>
      <c r="C907" s="69" t="str">
        <f>IF(G907=$C$4,IF('Informe Kelly'!H900='Control informe Kelly'!$A$2,TEXT(((LEFT('Informe Kelly'!E900,2)*1)+1),"dd")&amp;"."&amp;MID('Informe Kelly'!E900,4,2)&amp;"."&amp;RIGHT('Informe Kelly'!E900,4),'Informe Kelly'!E900),'Informe Kelly'!E900)</f>
        <v>11.04.2011</v>
      </c>
      <c r="D907" s="69" t="str">
        <f>IF('Informe Kelly'!E900="","",'Informe Kelly'!E900)</f>
        <v>11.04.2011</v>
      </c>
      <c r="E907" s="72">
        <f t="shared" si="29"/>
        <v>461</v>
      </c>
      <c r="F907" s="72" t="str">
        <f>IFERROR(HLOOKUP(C907,Ingreso!$Q$8:$AD$9,2,FALSE),"v")</f>
        <v>Lunes</v>
      </c>
      <c r="G907" s="65" t="str">
        <f>IFERROR(VLOOKUP(A907,Ingreso!K:P,6,FALSE),"no esta ingresado")</f>
        <v>Turno A</v>
      </c>
      <c r="H907" s="65" t="str">
        <f>IFERROR(IF('Informe Kelly'!H900=$A$2,'Informe Kelly'!F900,""),0)</f>
        <v/>
      </c>
      <c r="I907" s="65">
        <f>IFERROR(IF('Informe Kelly'!H900=$A$3,'Informe Kelly'!F900,""),0)</f>
        <v>0.63336805555555553</v>
      </c>
      <c r="J907" s="65" t="str">
        <f>IF(IFERROR(IF(E907=E906,0,(HLOOKUP(D907,Ingreso!$AN$10:$AT$260,VLOOKUP(A907,Ingreso!$AL$11:$AM$260,2,FALSE)))/24),0)=0,"",IFERROR(IF(E907=E906,0,(HLOOKUP(D907,Ingreso!$AN$10:$AT$260,VLOOKUP(A907,Ingreso!$AL$11:$AM$260,2,FALSE)))/24),0))</f>
        <v/>
      </c>
      <c r="K907" s="65" t="str">
        <f>IF(IFERROR(IF(E907=E906,0,(HLOOKUP(C907,Ingreso!$AW$10:$BC$260,VLOOKUP(A907,Ingreso!$AL$11:$AM$260,2,FALSE)))/24),0)=0,"",IFERROR(IF(E907=E906,0,(HLOOKUP(C907,Ingreso!$AW$10:$BC$260,VLOOKUP(A907,Ingreso!$AL$11:$AM$260,2,FALSE)))/24),0))</f>
        <v/>
      </c>
      <c r="L907" s="63">
        <f t="shared" si="28"/>
        <v>0.3125</v>
      </c>
      <c r="M907" s="63" t="str">
        <f>IF(IFERROR(IF(C907=C905,0,IF(E907=E906,0,IF(C907=$R$2,HLOOKUP($R$2,Ingreso!$AW$10:$BC$260,VLOOKUP(A907,Ingreso!AL:AM,2,FALSE),FALSE)/24,""))),"")=0,"",IFERROR(IF(C907=C905,0,IF(E907=E906,0,IF(C907=$R$2,HLOOKUP($R$2,Ingreso!$AW$10:$BC$260,VLOOKUP(A907,Ingreso!AL:AM,2,FALSE),FALSE)/24,""))),""))</f>
        <v/>
      </c>
      <c r="N907" s="95" t="str">
        <f>IF(IFERROR(IF(C907=C905,0,IF(E907=E906,0,IF(C907=$R$3,HLOOKUP($R$3,Ingreso!$AW$10:$BC$260,VLOOKUP(A907,Ingreso!AL:AM,2,FALSE),FALSE)/24,""))),"")=0,"",IFERROR(IF(C907=C905,0,IF(E907=E906,0,IF(C907=$R$3,HLOOKUP($R$3,Ingreso!$AW$10:$BC$260,VLOOKUP(A907,Ingreso!AL:AM,2,FALSE),FALSE)/24,""))),""))</f>
        <v/>
      </c>
      <c r="O907" s="95" t="str">
        <f>IF(IFERROR(IF(C907=C905,0,IF(E907=E906,0,IF(C907=$R$4,HLOOKUP($R$4,Ingreso!$AW$10:$BC$260,VLOOKUP(A907,Ingreso!AL:AM,2,FALSE),FALSE)/24,""))),"")=0,"",IFERROR(IF(C907=C905,0,IF(E907=E906,0,IF(C907=$R$4,HLOOKUP($R$4,Ingreso!$AW$10:$BC$260,VLOOKUP(A907,Ingreso!AL:AM,2,FALSE),FALSE)/24,""))),""))</f>
        <v/>
      </c>
      <c r="P907" s="90"/>
      <c r="V907"/>
      <c r="W907"/>
      <c r="X907"/>
      <c r="Y907"/>
      <c r="Z907"/>
      <c r="AA907"/>
      <c r="AB907"/>
      <c r="AC907"/>
      <c r="AD907"/>
    </row>
    <row r="908" spans="1:30">
      <c r="A908" s="65" t="str">
        <f>IFERROR(VLOOKUP('Informe Kelly'!A901,Base!A:B,2,FALSE),"")</f>
        <v>15.891.790-4</v>
      </c>
      <c r="B908" s="65" t="str">
        <f>IFERROR(VLOOKUP('Informe Kelly'!A901,Base!A:G,7,FALSE),"")</f>
        <v>SALINAS SALDIA LUIS ALBERTO</v>
      </c>
      <c r="C908" s="69" t="str">
        <f>IF(G908=$C$4,IF('Informe Kelly'!H901='Control informe Kelly'!$A$2,TEXT(((LEFT('Informe Kelly'!E901,2)*1)+1),"dd")&amp;"."&amp;MID('Informe Kelly'!E901,4,2)&amp;"."&amp;RIGHT('Informe Kelly'!E901,4),'Informe Kelly'!E901),'Informe Kelly'!E901)</f>
        <v>11.04.2011</v>
      </c>
      <c r="D908" s="69" t="str">
        <f>IF('Informe Kelly'!E901="","",'Informe Kelly'!E901)</f>
        <v>11.04.2011</v>
      </c>
      <c r="E908" s="72">
        <f t="shared" si="29"/>
        <v>461</v>
      </c>
      <c r="F908" s="72" t="str">
        <f>IFERROR(HLOOKUP(C908,Ingreso!$Q$8:$AD$9,2,FALSE),"v")</f>
        <v>Lunes</v>
      </c>
      <c r="G908" s="65" t="str">
        <f>IFERROR(VLOOKUP(A908,Ingreso!K:P,6,FALSE),"no esta ingresado")</f>
        <v>Turno A</v>
      </c>
      <c r="H908" s="65">
        <f>IFERROR(IF('Informe Kelly'!H901=$A$2,'Informe Kelly'!F901,""),0)</f>
        <v>0.31711805555555556</v>
      </c>
      <c r="I908" s="65" t="str">
        <f>IFERROR(IF('Informe Kelly'!H901=$A$3,'Informe Kelly'!F901,""),0)</f>
        <v/>
      </c>
      <c r="J908" s="65" t="str">
        <f>IF(IFERROR(IF(E908=E907,0,(HLOOKUP(D908,Ingreso!$AN$10:$AT$260,VLOOKUP(A908,Ingreso!$AL$11:$AM$260,2,FALSE)))/24),0)=0,"",IFERROR(IF(E908=E907,0,(HLOOKUP(D908,Ingreso!$AN$10:$AT$260,VLOOKUP(A908,Ingreso!$AL$11:$AM$260,2,FALSE)))/24),0))</f>
        <v/>
      </c>
      <c r="K908" s="65" t="str">
        <f>IF(IFERROR(IF(E908=E907,0,(HLOOKUP(C908,Ingreso!$AW$10:$BC$260,VLOOKUP(A908,Ingreso!$AL$11:$AM$260,2,FALSE)))/24),0)=0,"",IFERROR(IF(E908=E907,0,(HLOOKUP(C908,Ingreso!$AW$10:$BC$260,VLOOKUP(A908,Ingreso!$AL$11:$AM$260,2,FALSE)))/24),0))</f>
        <v/>
      </c>
      <c r="L908" s="63">
        <f t="shared" si="28"/>
        <v>0</v>
      </c>
      <c r="M908" s="63" t="str">
        <f>IF(IFERROR(IF(C908=C906,0,IF(E908=E907,0,IF(C908=$R$2,HLOOKUP($R$2,Ingreso!$AW$10:$BC$260,VLOOKUP(A908,Ingreso!AL:AM,2,FALSE),FALSE)/24,""))),"")=0,"",IFERROR(IF(C908=C906,0,IF(E908=E907,0,IF(C908=$R$2,HLOOKUP($R$2,Ingreso!$AW$10:$BC$260,VLOOKUP(A908,Ingreso!AL:AM,2,FALSE),FALSE)/24,""))),""))</f>
        <v/>
      </c>
      <c r="N908" s="95" t="str">
        <f>IF(IFERROR(IF(C908=C906,0,IF(E908=E907,0,IF(C908=$R$3,HLOOKUP($R$3,Ingreso!$AW$10:$BC$260,VLOOKUP(A908,Ingreso!AL:AM,2,FALSE),FALSE)/24,""))),"")=0,"",IFERROR(IF(C908=C906,0,IF(E908=E907,0,IF(C908=$R$3,HLOOKUP($R$3,Ingreso!$AW$10:$BC$260,VLOOKUP(A908,Ingreso!AL:AM,2,FALSE),FALSE)/24,""))),""))</f>
        <v/>
      </c>
      <c r="O908" s="95" t="str">
        <f>IF(IFERROR(IF(C908=C906,0,IF(E908=E907,0,IF(C908=$R$4,HLOOKUP($R$4,Ingreso!$AW$10:$BC$260,VLOOKUP(A908,Ingreso!AL:AM,2,FALSE),FALSE)/24,""))),"")=0,"",IFERROR(IF(C908=C906,0,IF(E908=E907,0,IF(C908=$R$4,HLOOKUP($R$4,Ingreso!$AW$10:$BC$260,VLOOKUP(A908,Ingreso!AL:AM,2,FALSE),FALSE)/24,""))),""))</f>
        <v/>
      </c>
      <c r="P908" s="90"/>
      <c r="V908"/>
      <c r="W908"/>
      <c r="X908"/>
      <c r="Y908"/>
      <c r="Z908"/>
      <c r="AA908"/>
      <c r="AB908"/>
      <c r="AC908"/>
      <c r="AD908"/>
    </row>
    <row r="909" spans="1:30">
      <c r="A909" s="65" t="str">
        <f>IFERROR(VLOOKUP('Informe Kelly'!A902,Base!A:B,2,FALSE),"")</f>
        <v>15.891.790-4</v>
      </c>
      <c r="B909" s="65" t="str">
        <f>IFERROR(VLOOKUP('Informe Kelly'!A902,Base!A:G,7,FALSE),"")</f>
        <v>SALINAS SALDIA LUIS ALBERTO</v>
      </c>
      <c r="C909" s="69" t="str">
        <f>IF(G909=$C$4,IF('Informe Kelly'!H902='Control informe Kelly'!$A$2,TEXT(((LEFT('Informe Kelly'!E902,2)*1)+1),"dd")&amp;"."&amp;MID('Informe Kelly'!E902,4,2)&amp;"."&amp;RIGHT('Informe Kelly'!E902,4),'Informe Kelly'!E902),'Informe Kelly'!E902)</f>
        <v>12.04.2011</v>
      </c>
      <c r="D909" s="69" t="str">
        <f>IF('Informe Kelly'!E902="","",'Informe Kelly'!E902)</f>
        <v>12.04.2011</v>
      </c>
      <c r="E909" s="72">
        <f t="shared" si="29"/>
        <v>462</v>
      </c>
      <c r="F909" s="72" t="str">
        <f>IFERROR(HLOOKUP(C909,Ingreso!$Q$8:$AD$9,2,FALSE),"v")</f>
        <v>Martes</v>
      </c>
      <c r="G909" s="65" t="str">
        <f>IFERROR(VLOOKUP(A909,Ingreso!K:P,6,FALSE),"no esta ingresado")</f>
        <v>Turno A</v>
      </c>
      <c r="H909" s="65" t="str">
        <f>IFERROR(IF('Informe Kelly'!H902=$A$2,'Informe Kelly'!F902,""),0)</f>
        <v/>
      </c>
      <c r="I909" s="65">
        <f>IFERROR(IF('Informe Kelly'!H902=$A$3,'Informe Kelly'!F902,""),0)</f>
        <v>0.71466435185185195</v>
      </c>
      <c r="J909" s="65">
        <f>IF(IFERROR(IF(E909=E908,0,(HLOOKUP(D909,Ingreso!$AN$10:$AT$260,VLOOKUP(A909,Ingreso!$AL$11:$AM$260,2,FALSE)))/24),0)=0,"",IFERROR(IF(E909=E908,0,(HLOOKUP(D909,Ingreso!$AN$10:$AT$260,VLOOKUP(A909,Ingreso!$AL$11:$AM$260,2,FALSE)))/24),0))</f>
        <v>0.10416666666666667</v>
      </c>
      <c r="K909" s="65" t="str">
        <f>IF(IFERROR(IF(E909=E908,0,(HLOOKUP(C909,Ingreso!$AW$10:$BC$260,VLOOKUP(A909,Ingreso!$AL$11:$AM$260,2,FALSE)))/24),0)=0,"",IFERROR(IF(E909=E908,0,(HLOOKUP(C909,Ingreso!$AW$10:$BC$260,VLOOKUP(A909,Ingreso!$AL$11:$AM$260,2,FALSE)))/24),0))</f>
        <v/>
      </c>
      <c r="L909" s="63">
        <f t="shared" si="28"/>
        <v>0.3125</v>
      </c>
      <c r="M909" s="63" t="str">
        <f>IF(IFERROR(IF(C909=C907,0,IF(E909=E908,0,IF(C909=$R$2,HLOOKUP($R$2,Ingreso!$AW$10:$BC$260,VLOOKUP(A909,Ingreso!AL:AM,2,FALSE),FALSE)/24,""))),"")=0,"",IFERROR(IF(C909=C907,0,IF(E909=E908,0,IF(C909=$R$2,HLOOKUP($R$2,Ingreso!$AW$10:$BC$260,VLOOKUP(A909,Ingreso!AL:AM,2,FALSE),FALSE)/24,""))),""))</f>
        <v/>
      </c>
      <c r="N909" s="95" t="str">
        <f>IF(IFERROR(IF(C909=C907,0,IF(E909=E908,0,IF(C909=$R$3,HLOOKUP($R$3,Ingreso!$AW$10:$BC$260,VLOOKUP(A909,Ingreso!AL:AM,2,FALSE),FALSE)/24,""))),"")=0,"",IFERROR(IF(C909=C907,0,IF(E909=E908,0,IF(C909=$R$3,HLOOKUP($R$3,Ingreso!$AW$10:$BC$260,VLOOKUP(A909,Ingreso!AL:AM,2,FALSE),FALSE)/24,""))),""))</f>
        <v/>
      </c>
      <c r="O909" s="95" t="str">
        <f>IF(IFERROR(IF(C909=C907,0,IF(E909=E908,0,IF(C909=$R$4,HLOOKUP($R$4,Ingreso!$AW$10:$BC$260,VLOOKUP(A909,Ingreso!AL:AM,2,FALSE),FALSE)/24,""))),"")=0,"",IFERROR(IF(C909=C907,0,IF(E909=E908,0,IF(C909=$R$4,HLOOKUP($R$4,Ingreso!$AW$10:$BC$260,VLOOKUP(A909,Ingreso!AL:AM,2,FALSE),FALSE)/24,""))),""))</f>
        <v/>
      </c>
      <c r="P909" s="90"/>
      <c r="V909"/>
      <c r="W909"/>
      <c r="X909"/>
      <c r="Y909"/>
      <c r="Z909"/>
      <c r="AA909"/>
      <c r="AB909"/>
      <c r="AC909"/>
      <c r="AD909"/>
    </row>
    <row r="910" spans="1:30">
      <c r="A910" s="65" t="str">
        <f>IFERROR(VLOOKUP('Informe Kelly'!A903,Base!A:B,2,FALSE),"")</f>
        <v>15.891.790-4</v>
      </c>
      <c r="B910" s="65" t="str">
        <f>IFERROR(VLOOKUP('Informe Kelly'!A903,Base!A:G,7,FALSE),"")</f>
        <v>SALINAS SALDIA LUIS ALBERTO</v>
      </c>
      <c r="C910" s="69" t="str">
        <f>IF(G910=$C$4,IF('Informe Kelly'!H903='Control informe Kelly'!$A$2,TEXT(((LEFT('Informe Kelly'!E903,2)*1)+1),"dd")&amp;"."&amp;MID('Informe Kelly'!E903,4,2)&amp;"."&amp;RIGHT('Informe Kelly'!E903,4),'Informe Kelly'!E903),'Informe Kelly'!E903)</f>
        <v>12.04.2011</v>
      </c>
      <c r="D910" s="69" t="str">
        <f>IF('Informe Kelly'!E903="","",'Informe Kelly'!E903)</f>
        <v>12.04.2011</v>
      </c>
      <c r="E910" s="72">
        <f t="shared" si="29"/>
        <v>462</v>
      </c>
      <c r="F910" s="72" t="str">
        <f>IFERROR(HLOOKUP(C910,Ingreso!$Q$8:$AD$9,2,FALSE),"v")</f>
        <v>Martes</v>
      </c>
      <c r="G910" s="65" t="str">
        <f>IFERROR(VLOOKUP(A910,Ingreso!K:P,6,FALSE),"no esta ingresado")</f>
        <v>Turno A</v>
      </c>
      <c r="H910" s="65">
        <f>IFERROR(IF('Informe Kelly'!H903=$A$2,'Informe Kelly'!F903,""),0)</f>
        <v>0.31069444444444444</v>
      </c>
      <c r="I910" s="65" t="str">
        <f>IFERROR(IF('Informe Kelly'!H903=$A$3,'Informe Kelly'!F903,""),0)</f>
        <v/>
      </c>
      <c r="J910" s="65" t="str">
        <f>IF(IFERROR(IF(E910=E909,0,(HLOOKUP(D910,Ingreso!$AN$10:$AT$260,VLOOKUP(A910,Ingreso!$AL$11:$AM$260,2,FALSE)))/24),0)=0,"",IFERROR(IF(E910=E909,0,(HLOOKUP(D910,Ingreso!$AN$10:$AT$260,VLOOKUP(A910,Ingreso!$AL$11:$AM$260,2,FALSE)))/24),0))</f>
        <v/>
      </c>
      <c r="K910" s="65" t="str">
        <f>IF(IFERROR(IF(E910=E909,0,(HLOOKUP(C910,Ingreso!$AW$10:$BC$260,VLOOKUP(A910,Ingreso!$AL$11:$AM$260,2,FALSE)))/24),0)=0,"",IFERROR(IF(E910=E909,0,(HLOOKUP(C910,Ingreso!$AW$10:$BC$260,VLOOKUP(A910,Ingreso!$AL$11:$AM$260,2,FALSE)))/24),0))</f>
        <v/>
      </c>
      <c r="L910" s="63">
        <f t="shared" si="28"/>
        <v>0</v>
      </c>
      <c r="M910" s="63" t="str">
        <f>IF(IFERROR(IF(C910=C908,0,IF(E910=E909,0,IF(C910=$R$2,HLOOKUP($R$2,Ingreso!$AW$10:$BC$260,VLOOKUP(A910,Ingreso!AL:AM,2,FALSE),FALSE)/24,""))),"")=0,"",IFERROR(IF(C910=C908,0,IF(E910=E909,0,IF(C910=$R$2,HLOOKUP($R$2,Ingreso!$AW$10:$BC$260,VLOOKUP(A910,Ingreso!AL:AM,2,FALSE),FALSE)/24,""))),""))</f>
        <v/>
      </c>
      <c r="N910" s="95" t="str">
        <f>IF(IFERROR(IF(C910=C908,0,IF(E910=E909,0,IF(C910=$R$3,HLOOKUP($R$3,Ingreso!$AW$10:$BC$260,VLOOKUP(A910,Ingreso!AL:AM,2,FALSE),FALSE)/24,""))),"")=0,"",IFERROR(IF(C910=C908,0,IF(E910=E909,0,IF(C910=$R$3,HLOOKUP($R$3,Ingreso!$AW$10:$BC$260,VLOOKUP(A910,Ingreso!AL:AM,2,FALSE),FALSE)/24,""))),""))</f>
        <v/>
      </c>
      <c r="O910" s="95" t="str">
        <f>IF(IFERROR(IF(C910=C908,0,IF(E910=E909,0,IF(C910=$R$4,HLOOKUP($R$4,Ingreso!$AW$10:$BC$260,VLOOKUP(A910,Ingreso!AL:AM,2,FALSE),FALSE)/24,""))),"")=0,"",IFERROR(IF(C910=C908,0,IF(E910=E909,0,IF(C910=$R$4,HLOOKUP($R$4,Ingreso!$AW$10:$BC$260,VLOOKUP(A910,Ingreso!AL:AM,2,FALSE),FALSE)/24,""))),""))</f>
        <v/>
      </c>
      <c r="P910" s="90"/>
      <c r="V910"/>
      <c r="W910"/>
      <c r="X910"/>
      <c r="Y910"/>
      <c r="Z910"/>
      <c r="AA910"/>
      <c r="AB910"/>
      <c r="AC910"/>
      <c r="AD910"/>
    </row>
    <row r="911" spans="1:30">
      <c r="A911" s="65" t="str">
        <f>IFERROR(VLOOKUP('Informe Kelly'!A904,Base!A:B,2,FALSE),"")</f>
        <v>15.891.790-4</v>
      </c>
      <c r="B911" s="65" t="str">
        <f>IFERROR(VLOOKUP('Informe Kelly'!A904,Base!A:G,7,FALSE),"")</f>
        <v>SALINAS SALDIA LUIS ALBERTO</v>
      </c>
      <c r="C911" s="69" t="str">
        <f>IF(G911=$C$4,IF('Informe Kelly'!H904='Control informe Kelly'!$A$2,TEXT(((LEFT('Informe Kelly'!E904,2)*1)+1),"dd")&amp;"."&amp;MID('Informe Kelly'!E904,4,2)&amp;"."&amp;RIGHT('Informe Kelly'!E904,4),'Informe Kelly'!E904),'Informe Kelly'!E904)</f>
        <v>13.04.2011</v>
      </c>
      <c r="D911" s="69" t="str">
        <f>IF('Informe Kelly'!E904="","",'Informe Kelly'!E904)</f>
        <v>13.04.2011</v>
      </c>
      <c r="E911" s="72">
        <f t="shared" si="29"/>
        <v>463</v>
      </c>
      <c r="F911" s="72" t="str">
        <f>IFERROR(HLOOKUP(C911,Ingreso!$Q$8:$AD$9,2,FALSE),"v")</f>
        <v>Miércoles</v>
      </c>
      <c r="G911" s="65" t="str">
        <f>IFERROR(VLOOKUP(A911,Ingreso!K:P,6,FALSE),"no esta ingresado")</f>
        <v>Turno A</v>
      </c>
      <c r="H911" s="65" t="str">
        <f>IFERROR(IF('Informe Kelly'!H904=$A$2,'Informe Kelly'!F904,""),0)</f>
        <v/>
      </c>
      <c r="I911" s="65">
        <f>IFERROR(IF('Informe Kelly'!H904=$A$3,'Informe Kelly'!F904,""),0)</f>
        <v>0.71090277777777777</v>
      </c>
      <c r="J911" s="65">
        <f>IF(IFERROR(IF(E911=E910,0,(HLOOKUP(D911,Ingreso!$AN$10:$AT$260,VLOOKUP(A911,Ingreso!$AL$11:$AM$260,2,FALSE)))/24),0)=0,"",IFERROR(IF(E911=E910,0,(HLOOKUP(D911,Ingreso!$AN$10:$AT$260,VLOOKUP(A911,Ingreso!$AL$11:$AM$260,2,FALSE)))/24),0))</f>
        <v>0.10416666666666667</v>
      </c>
      <c r="K911" s="65" t="str">
        <f>IF(IFERROR(IF(E911=E910,0,(HLOOKUP(C911,Ingreso!$AW$10:$BC$260,VLOOKUP(A911,Ingreso!$AL$11:$AM$260,2,FALSE)))/24),0)=0,"",IFERROR(IF(E911=E910,0,(HLOOKUP(C911,Ingreso!$AW$10:$BC$260,VLOOKUP(A911,Ingreso!$AL$11:$AM$260,2,FALSE)))/24),0))</f>
        <v/>
      </c>
      <c r="L911" s="63">
        <f t="shared" si="28"/>
        <v>0.3125</v>
      </c>
      <c r="M911" s="63" t="str">
        <f>IF(IFERROR(IF(C911=C909,0,IF(E911=E910,0,IF(C911=$R$2,HLOOKUP($R$2,Ingreso!$AW$10:$BC$260,VLOOKUP(A911,Ingreso!AL:AM,2,FALSE),FALSE)/24,""))),"")=0,"",IFERROR(IF(C911=C909,0,IF(E911=E910,0,IF(C911=$R$2,HLOOKUP($R$2,Ingreso!$AW$10:$BC$260,VLOOKUP(A911,Ingreso!AL:AM,2,FALSE),FALSE)/24,""))),""))</f>
        <v/>
      </c>
      <c r="N911" s="95" t="str">
        <f>IF(IFERROR(IF(C911=C909,0,IF(E911=E910,0,IF(C911=$R$3,HLOOKUP($R$3,Ingreso!$AW$10:$BC$260,VLOOKUP(A911,Ingreso!AL:AM,2,FALSE),FALSE)/24,""))),"")=0,"",IFERROR(IF(C911=C909,0,IF(E911=E910,0,IF(C911=$R$3,HLOOKUP($R$3,Ingreso!$AW$10:$BC$260,VLOOKUP(A911,Ingreso!AL:AM,2,FALSE),FALSE)/24,""))),""))</f>
        <v/>
      </c>
      <c r="O911" s="95" t="str">
        <f>IF(IFERROR(IF(C911=C909,0,IF(E911=E910,0,IF(C911=$R$4,HLOOKUP($R$4,Ingreso!$AW$10:$BC$260,VLOOKUP(A911,Ingreso!AL:AM,2,FALSE),FALSE)/24,""))),"")=0,"",IFERROR(IF(C911=C909,0,IF(E911=E910,0,IF(C911=$R$4,HLOOKUP($R$4,Ingreso!$AW$10:$BC$260,VLOOKUP(A911,Ingreso!AL:AM,2,FALSE),FALSE)/24,""))),""))</f>
        <v/>
      </c>
      <c r="P911" s="90"/>
      <c r="V911"/>
      <c r="W911"/>
      <c r="X911"/>
      <c r="Y911"/>
      <c r="Z911"/>
      <c r="AA911"/>
      <c r="AB911"/>
      <c r="AC911"/>
      <c r="AD911"/>
    </row>
    <row r="912" spans="1:30">
      <c r="A912" s="65" t="str">
        <f>IFERROR(VLOOKUP('Informe Kelly'!A905,Base!A:B,2,FALSE),"")</f>
        <v>15.891.790-4</v>
      </c>
      <c r="B912" s="65" t="str">
        <f>IFERROR(VLOOKUP('Informe Kelly'!A905,Base!A:G,7,FALSE),"")</f>
        <v>SALINAS SALDIA LUIS ALBERTO</v>
      </c>
      <c r="C912" s="69" t="str">
        <f>IF(G912=$C$4,IF('Informe Kelly'!H905='Control informe Kelly'!$A$2,TEXT(((LEFT('Informe Kelly'!E905,2)*1)+1),"dd")&amp;"."&amp;MID('Informe Kelly'!E905,4,2)&amp;"."&amp;RIGHT('Informe Kelly'!E905,4),'Informe Kelly'!E905),'Informe Kelly'!E905)</f>
        <v>13.04.2011</v>
      </c>
      <c r="D912" s="69" t="str">
        <f>IF('Informe Kelly'!E905="","",'Informe Kelly'!E905)</f>
        <v>13.04.2011</v>
      </c>
      <c r="E912" s="72">
        <f t="shared" si="29"/>
        <v>463</v>
      </c>
      <c r="F912" s="72" t="str">
        <f>IFERROR(HLOOKUP(C912,Ingreso!$Q$8:$AD$9,2,FALSE),"v")</f>
        <v>Miércoles</v>
      </c>
      <c r="G912" s="65" t="str">
        <f>IFERROR(VLOOKUP(A912,Ingreso!K:P,6,FALSE),"no esta ingresado")</f>
        <v>Turno A</v>
      </c>
      <c r="H912" s="65">
        <f>IFERROR(IF('Informe Kelly'!H905=$A$2,'Informe Kelly'!F905,""),0)</f>
        <v>0.31155092592592593</v>
      </c>
      <c r="I912" s="65" t="str">
        <f>IFERROR(IF('Informe Kelly'!H905=$A$3,'Informe Kelly'!F905,""),0)</f>
        <v/>
      </c>
      <c r="J912" s="65" t="str">
        <f>IF(IFERROR(IF(E912=E911,0,(HLOOKUP(D912,Ingreso!$AN$10:$AT$260,VLOOKUP(A912,Ingreso!$AL$11:$AM$260,2,FALSE)))/24),0)=0,"",IFERROR(IF(E912=E911,0,(HLOOKUP(D912,Ingreso!$AN$10:$AT$260,VLOOKUP(A912,Ingreso!$AL$11:$AM$260,2,FALSE)))/24),0))</f>
        <v/>
      </c>
      <c r="K912" s="65" t="str">
        <f>IF(IFERROR(IF(E912=E911,0,(HLOOKUP(C912,Ingreso!$AW$10:$BC$260,VLOOKUP(A912,Ingreso!$AL$11:$AM$260,2,FALSE)))/24),0)=0,"",IFERROR(IF(E912=E911,0,(HLOOKUP(C912,Ingreso!$AW$10:$BC$260,VLOOKUP(A912,Ingreso!$AL$11:$AM$260,2,FALSE)))/24),0))</f>
        <v/>
      </c>
      <c r="L912" s="63">
        <f t="shared" si="28"/>
        <v>0</v>
      </c>
      <c r="M912" s="63" t="str">
        <f>IF(IFERROR(IF(C912=C910,0,IF(E912=E911,0,IF(C912=$R$2,HLOOKUP($R$2,Ingreso!$AW$10:$BC$260,VLOOKUP(A912,Ingreso!AL:AM,2,FALSE),FALSE)/24,""))),"")=0,"",IFERROR(IF(C912=C910,0,IF(E912=E911,0,IF(C912=$R$2,HLOOKUP($R$2,Ingreso!$AW$10:$BC$260,VLOOKUP(A912,Ingreso!AL:AM,2,FALSE),FALSE)/24,""))),""))</f>
        <v/>
      </c>
      <c r="N912" s="95" t="str">
        <f>IF(IFERROR(IF(C912=C910,0,IF(E912=E911,0,IF(C912=$R$3,HLOOKUP($R$3,Ingreso!$AW$10:$BC$260,VLOOKUP(A912,Ingreso!AL:AM,2,FALSE),FALSE)/24,""))),"")=0,"",IFERROR(IF(C912=C910,0,IF(E912=E911,0,IF(C912=$R$3,HLOOKUP($R$3,Ingreso!$AW$10:$BC$260,VLOOKUP(A912,Ingreso!AL:AM,2,FALSE),FALSE)/24,""))),""))</f>
        <v/>
      </c>
      <c r="O912" s="95" t="str">
        <f>IF(IFERROR(IF(C912=C910,0,IF(E912=E911,0,IF(C912=$R$4,HLOOKUP($R$4,Ingreso!$AW$10:$BC$260,VLOOKUP(A912,Ingreso!AL:AM,2,FALSE),FALSE)/24,""))),"")=0,"",IFERROR(IF(C912=C910,0,IF(E912=E911,0,IF(C912=$R$4,HLOOKUP($R$4,Ingreso!$AW$10:$BC$260,VLOOKUP(A912,Ingreso!AL:AM,2,FALSE),FALSE)/24,""))),""))</f>
        <v/>
      </c>
      <c r="P912" s="90"/>
      <c r="V912"/>
      <c r="W912"/>
      <c r="X912"/>
      <c r="Y912"/>
      <c r="Z912"/>
      <c r="AA912"/>
      <c r="AB912"/>
      <c r="AC912"/>
      <c r="AD912"/>
    </row>
    <row r="913" spans="1:30">
      <c r="A913" s="65" t="str">
        <f>IFERROR(VLOOKUP('Informe Kelly'!A906,Base!A:B,2,FALSE),"")</f>
        <v>15.891.790-4</v>
      </c>
      <c r="B913" s="65" t="str">
        <f>IFERROR(VLOOKUP('Informe Kelly'!A906,Base!A:G,7,FALSE),"")</f>
        <v>SALINAS SALDIA LUIS ALBERTO</v>
      </c>
      <c r="C913" s="69" t="str">
        <f>IF(G913=$C$4,IF('Informe Kelly'!H906='Control informe Kelly'!$A$2,TEXT(((LEFT('Informe Kelly'!E906,2)*1)+1),"dd")&amp;"."&amp;MID('Informe Kelly'!E906,4,2)&amp;"."&amp;RIGHT('Informe Kelly'!E906,4),'Informe Kelly'!E906),'Informe Kelly'!E906)</f>
        <v>15.04.2011</v>
      </c>
      <c r="D913" s="69" t="str">
        <f>IF('Informe Kelly'!E906="","",'Informe Kelly'!E906)</f>
        <v>15.04.2011</v>
      </c>
      <c r="E913" s="72">
        <f t="shared" si="29"/>
        <v>464</v>
      </c>
      <c r="F913" s="72" t="str">
        <f>IFERROR(HLOOKUP(C913,Ingreso!$Q$8:$AD$9,2,FALSE),"v")</f>
        <v>Viernes</v>
      </c>
      <c r="G913" s="65" t="str">
        <f>IFERROR(VLOOKUP(A913,Ingreso!K:P,6,FALSE),"no esta ingresado")</f>
        <v>Turno A</v>
      </c>
      <c r="H913" s="65" t="str">
        <f>IFERROR(IF('Informe Kelly'!H906=$A$2,'Informe Kelly'!F906,""),0)</f>
        <v/>
      </c>
      <c r="I913" s="65">
        <f>IFERROR(IF('Informe Kelly'!H906=$A$3,'Informe Kelly'!F906,""),0)</f>
        <v>0.62523148148148155</v>
      </c>
      <c r="J913" s="65" t="str">
        <f>IF(IFERROR(IF(E913=E912,0,(HLOOKUP(D913,Ingreso!$AN$10:$AT$260,VLOOKUP(A913,Ingreso!$AL$11:$AM$260,2,FALSE)))/24),0)=0,"",IFERROR(IF(E913=E912,0,(HLOOKUP(D913,Ingreso!$AN$10:$AT$260,VLOOKUP(A913,Ingreso!$AL$11:$AM$260,2,FALSE)))/24),0))</f>
        <v/>
      </c>
      <c r="K913" s="65" t="str">
        <f>IF(IFERROR(IF(E913=E912,0,(HLOOKUP(C913,Ingreso!$AW$10:$BC$260,VLOOKUP(A913,Ingreso!$AL$11:$AM$260,2,FALSE)))/24),0)=0,"",IFERROR(IF(E913=E912,0,(HLOOKUP(C913,Ingreso!$AW$10:$BC$260,VLOOKUP(A913,Ingreso!$AL$11:$AM$260,2,FALSE)))/24),0))</f>
        <v/>
      </c>
      <c r="L913" s="63">
        <f t="shared" si="28"/>
        <v>0.3125</v>
      </c>
      <c r="M913" s="63" t="str">
        <f>IF(IFERROR(IF(C913=C911,0,IF(E913=E912,0,IF(C913=$R$2,HLOOKUP($R$2,Ingreso!$AW$10:$BC$260,VLOOKUP(A913,Ingreso!AL:AM,2,FALSE),FALSE)/24,""))),"")=0,"",IFERROR(IF(C913=C911,0,IF(E913=E912,0,IF(C913=$R$2,HLOOKUP($R$2,Ingreso!$AW$10:$BC$260,VLOOKUP(A913,Ingreso!AL:AM,2,FALSE),FALSE)/24,""))),""))</f>
        <v/>
      </c>
      <c r="N913" s="95" t="str">
        <f>IF(IFERROR(IF(C913=C911,0,IF(E913=E912,0,IF(C913=$R$3,HLOOKUP($R$3,Ingreso!$AW$10:$BC$260,VLOOKUP(A913,Ingreso!AL:AM,2,FALSE),FALSE)/24,""))),"")=0,"",IFERROR(IF(C913=C911,0,IF(E913=E912,0,IF(C913=$R$3,HLOOKUP($R$3,Ingreso!$AW$10:$BC$260,VLOOKUP(A913,Ingreso!AL:AM,2,FALSE),FALSE)/24,""))),""))</f>
        <v/>
      </c>
      <c r="O913" s="95" t="str">
        <f>IF(IFERROR(IF(C913=C911,0,IF(E913=E912,0,IF(C913=$R$4,HLOOKUP($R$4,Ingreso!$AW$10:$BC$260,VLOOKUP(A913,Ingreso!AL:AM,2,FALSE),FALSE)/24,""))),"")=0,"",IFERROR(IF(C913=C911,0,IF(E913=E912,0,IF(C913=$R$4,HLOOKUP($R$4,Ingreso!$AW$10:$BC$260,VLOOKUP(A913,Ingreso!AL:AM,2,FALSE),FALSE)/24,""))),""))</f>
        <v/>
      </c>
      <c r="P913" s="90"/>
      <c r="V913"/>
      <c r="W913"/>
      <c r="X913"/>
      <c r="Y913"/>
      <c r="Z913"/>
      <c r="AA913"/>
      <c r="AB913"/>
      <c r="AC913"/>
      <c r="AD913"/>
    </row>
    <row r="914" spans="1:30">
      <c r="A914" s="65" t="str">
        <f>IFERROR(VLOOKUP('Informe Kelly'!A907,Base!A:B,2,FALSE),"")</f>
        <v>15.891.790-4</v>
      </c>
      <c r="B914" s="65" t="str">
        <f>IFERROR(VLOOKUP('Informe Kelly'!A907,Base!A:G,7,FALSE),"")</f>
        <v>SALINAS SALDIA LUIS ALBERTO</v>
      </c>
      <c r="C914" s="69" t="str">
        <f>IF(G914=$C$4,IF('Informe Kelly'!H907='Control informe Kelly'!$A$2,TEXT(((LEFT('Informe Kelly'!E907,2)*1)+1),"dd")&amp;"."&amp;MID('Informe Kelly'!E907,4,2)&amp;"."&amp;RIGHT('Informe Kelly'!E907,4),'Informe Kelly'!E907),'Informe Kelly'!E907)</f>
        <v>15.04.2011</v>
      </c>
      <c r="D914" s="69" t="str">
        <f>IF('Informe Kelly'!E907="","",'Informe Kelly'!E907)</f>
        <v>15.04.2011</v>
      </c>
      <c r="E914" s="72">
        <f t="shared" si="29"/>
        <v>464</v>
      </c>
      <c r="F914" s="72" t="str">
        <f>IFERROR(HLOOKUP(C914,Ingreso!$Q$8:$AD$9,2,FALSE),"v")</f>
        <v>Viernes</v>
      </c>
      <c r="G914" s="65" t="str">
        <f>IFERROR(VLOOKUP(A914,Ingreso!K:P,6,FALSE),"no esta ingresado")</f>
        <v>Turno A</v>
      </c>
      <c r="H914" s="65">
        <f>IFERROR(IF('Informe Kelly'!H907=$A$2,'Informe Kelly'!F907,""),0)</f>
        <v>0.32341435185185186</v>
      </c>
      <c r="I914" s="65" t="str">
        <f>IFERROR(IF('Informe Kelly'!H907=$A$3,'Informe Kelly'!F907,""),0)</f>
        <v/>
      </c>
      <c r="J914" s="65" t="str">
        <f>IF(IFERROR(IF(E914=E913,0,(HLOOKUP(D914,Ingreso!$AN$10:$AT$260,VLOOKUP(A914,Ingreso!$AL$11:$AM$260,2,FALSE)))/24),0)=0,"",IFERROR(IF(E914=E913,0,(HLOOKUP(D914,Ingreso!$AN$10:$AT$260,VLOOKUP(A914,Ingreso!$AL$11:$AM$260,2,FALSE)))/24),0))</f>
        <v/>
      </c>
      <c r="K914" s="65" t="str">
        <f>IF(IFERROR(IF(E914=E913,0,(HLOOKUP(C914,Ingreso!$AW$10:$BC$260,VLOOKUP(A914,Ingreso!$AL$11:$AM$260,2,FALSE)))/24),0)=0,"",IFERROR(IF(E914=E913,0,(HLOOKUP(C914,Ingreso!$AW$10:$BC$260,VLOOKUP(A914,Ingreso!$AL$11:$AM$260,2,FALSE)))/24),0))</f>
        <v/>
      </c>
      <c r="L914" s="63">
        <f t="shared" si="28"/>
        <v>0</v>
      </c>
      <c r="M914" s="63" t="str">
        <f>IF(IFERROR(IF(C914=C912,0,IF(E914=E913,0,IF(C914=$R$2,HLOOKUP($R$2,Ingreso!$AW$10:$BC$260,VLOOKUP(A914,Ingreso!AL:AM,2,FALSE),FALSE)/24,""))),"")=0,"",IFERROR(IF(C914=C912,0,IF(E914=E913,0,IF(C914=$R$2,HLOOKUP($R$2,Ingreso!$AW$10:$BC$260,VLOOKUP(A914,Ingreso!AL:AM,2,FALSE),FALSE)/24,""))),""))</f>
        <v/>
      </c>
      <c r="N914" s="95" t="str">
        <f>IF(IFERROR(IF(C914=C912,0,IF(E914=E913,0,IF(C914=$R$3,HLOOKUP($R$3,Ingreso!$AW$10:$BC$260,VLOOKUP(A914,Ingreso!AL:AM,2,FALSE),FALSE)/24,""))),"")=0,"",IFERROR(IF(C914=C912,0,IF(E914=E913,0,IF(C914=$R$3,HLOOKUP($R$3,Ingreso!$AW$10:$BC$260,VLOOKUP(A914,Ingreso!AL:AM,2,FALSE),FALSE)/24,""))),""))</f>
        <v/>
      </c>
      <c r="O914" s="95" t="str">
        <f>IF(IFERROR(IF(C914=C912,0,IF(E914=E913,0,IF(C914=$R$4,HLOOKUP($R$4,Ingreso!$AW$10:$BC$260,VLOOKUP(A914,Ingreso!AL:AM,2,FALSE),FALSE)/24,""))),"")=0,"",IFERROR(IF(C914=C912,0,IF(E914=E913,0,IF(C914=$R$4,HLOOKUP($R$4,Ingreso!$AW$10:$BC$260,VLOOKUP(A914,Ingreso!AL:AM,2,FALSE),FALSE)/24,""))),""))</f>
        <v/>
      </c>
      <c r="P914" s="90"/>
      <c r="V914"/>
      <c r="W914"/>
      <c r="X914"/>
      <c r="Y914"/>
      <c r="Z914"/>
      <c r="AA914"/>
      <c r="AB914"/>
      <c r="AC914"/>
      <c r="AD914"/>
    </row>
    <row r="915" spans="1:30">
      <c r="A915" s="65" t="str">
        <f>IFERROR(VLOOKUP('Informe Kelly'!A908,Base!A:B,2,FALSE),"")</f>
        <v>15.891.790-4</v>
      </c>
      <c r="B915" s="65" t="str">
        <f>IFERROR(VLOOKUP('Informe Kelly'!A908,Base!A:G,7,FALSE),"")</f>
        <v>SALINAS SALDIA LUIS ALBERTO</v>
      </c>
      <c r="C915" s="69" t="str">
        <f>IF(G915=$C$4,IF('Informe Kelly'!H908='Control informe Kelly'!$A$2,TEXT(((LEFT('Informe Kelly'!E908,2)*1)+1),"dd")&amp;"."&amp;MID('Informe Kelly'!E908,4,2)&amp;"."&amp;RIGHT('Informe Kelly'!E908,4),'Informe Kelly'!E908),'Informe Kelly'!E908)</f>
        <v>16.04.2011</v>
      </c>
      <c r="D915" s="69" t="str">
        <f>IF('Informe Kelly'!E908="","",'Informe Kelly'!E908)</f>
        <v>16.04.2011</v>
      </c>
      <c r="E915" s="72">
        <f t="shared" si="29"/>
        <v>465</v>
      </c>
      <c r="F915" s="72" t="str">
        <f>IFERROR(HLOOKUP(C915,Ingreso!$Q$8:$AD$9,2,FALSE),"v")</f>
        <v>Sábado</v>
      </c>
      <c r="G915" s="65" t="str">
        <f>IFERROR(VLOOKUP(A915,Ingreso!K:P,6,FALSE),"no esta ingresado")</f>
        <v>Turno A</v>
      </c>
      <c r="H915" s="65" t="str">
        <f>IFERROR(IF('Informe Kelly'!H908=$A$2,'Informe Kelly'!F908,""),0)</f>
        <v/>
      </c>
      <c r="I915" s="65">
        <f>IFERROR(IF('Informe Kelly'!H908=$A$3,'Informe Kelly'!F908,""),0)</f>
        <v>0.63129629629629636</v>
      </c>
      <c r="J915" s="65" t="str">
        <f>IF(IFERROR(IF(E915=E914,0,(HLOOKUP(D915,Ingreso!$AN$10:$AT$260,VLOOKUP(A915,Ingreso!$AL$11:$AM$260,2,FALSE)))/24),0)=0,"",IFERROR(IF(E915=E914,0,(HLOOKUP(D915,Ingreso!$AN$10:$AT$260,VLOOKUP(A915,Ingreso!$AL$11:$AM$260,2,FALSE)))/24),0))</f>
        <v/>
      </c>
      <c r="K915" s="65" t="str">
        <f>IF(IFERROR(IF(E915=E914,0,(HLOOKUP(C915,Ingreso!$AW$10:$BC$260,VLOOKUP(A915,Ingreso!$AL$11:$AM$260,2,FALSE)))/24),0)=0,"",IFERROR(IF(E915=E914,0,(HLOOKUP(C915,Ingreso!$AW$10:$BC$260,VLOOKUP(A915,Ingreso!$AL$11:$AM$260,2,FALSE)))/24),0))</f>
        <v/>
      </c>
      <c r="L915" s="63">
        <f t="shared" si="28"/>
        <v>0.3125</v>
      </c>
      <c r="M915" s="63" t="str">
        <f>IF(IFERROR(IF(C915=C913,0,IF(E915=E914,0,IF(C915=$R$2,HLOOKUP($R$2,Ingreso!$AW$10:$BC$260,VLOOKUP(A915,Ingreso!AL:AM,2,FALSE),FALSE)/24,""))),"")=0,"",IFERROR(IF(C915=C913,0,IF(E915=E914,0,IF(C915=$R$2,HLOOKUP($R$2,Ingreso!$AW$10:$BC$260,VLOOKUP(A915,Ingreso!AL:AM,2,FALSE),FALSE)/24,""))),""))</f>
        <v/>
      </c>
      <c r="N915" s="95" t="str">
        <f>IF(IFERROR(IF(C915=C913,0,IF(E915=E914,0,IF(C915=$R$3,HLOOKUP($R$3,Ingreso!$AW$10:$BC$260,VLOOKUP(A915,Ingreso!AL:AM,2,FALSE),FALSE)/24,""))),"")=0,"",IFERROR(IF(C915=C913,0,IF(E915=E914,0,IF(C915=$R$3,HLOOKUP($R$3,Ingreso!$AW$10:$BC$260,VLOOKUP(A915,Ingreso!AL:AM,2,FALSE),FALSE)/24,""))),""))</f>
        <v/>
      </c>
      <c r="O915" s="95" t="str">
        <f>IF(IFERROR(IF(C915=C913,0,IF(E915=E914,0,IF(C915=$R$4,HLOOKUP($R$4,Ingreso!$AW$10:$BC$260,VLOOKUP(A915,Ingreso!AL:AM,2,FALSE),FALSE)/24,""))),"")=0,"",IFERROR(IF(C915=C913,0,IF(E915=E914,0,IF(C915=$R$4,HLOOKUP($R$4,Ingreso!$AW$10:$BC$260,VLOOKUP(A915,Ingreso!AL:AM,2,FALSE),FALSE)/24,""))),""))</f>
        <v/>
      </c>
      <c r="P915" s="90"/>
      <c r="V915"/>
      <c r="W915"/>
      <c r="X915"/>
      <c r="Y915"/>
      <c r="Z915"/>
      <c r="AA915"/>
      <c r="AB915"/>
      <c r="AC915"/>
      <c r="AD915"/>
    </row>
    <row r="916" spans="1:30">
      <c r="A916" s="65" t="str">
        <f>IFERROR(VLOOKUP('Informe Kelly'!A909,Base!A:B,2,FALSE),"")</f>
        <v>15.891.790-4</v>
      </c>
      <c r="B916" s="65" t="str">
        <f>IFERROR(VLOOKUP('Informe Kelly'!A909,Base!A:G,7,FALSE),"")</f>
        <v>SALINAS SALDIA LUIS ALBERTO</v>
      </c>
      <c r="C916" s="69" t="str">
        <f>IF(G916=$C$4,IF('Informe Kelly'!H909='Control informe Kelly'!$A$2,TEXT(((LEFT('Informe Kelly'!E909,2)*1)+1),"dd")&amp;"."&amp;MID('Informe Kelly'!E909,4,2)&amp;"."&amp;RIGHT('Informe Kelly'!E909,4),'Informe Kelly'!E909),'Informe Kelly'!E909)</f>
        <v>16.04.2011</v>
      </c>
      <c r="D916" s="69" t="str">
        <f>IF('Informe Kelly'!E909="","",'Informe Kelly'!E909)</f>
        <v>16.04.2011</v>
      </c>
      <c r="E916" s="72">
        <f t="shared" si="29"/>
        <v>465</v>
      </c>
      <c r="F916" s="72" t="str">
        <f>IFERROR(HLOOKUP(C916,Ingreso!$Q$8:$AD$9,2,FALSE),"v")</f>
        <v>Sábado</v>
      </c>
      <c r="G916" s="65" t="str">
        <f>IFERROR(VLOOKUP(A916,Ingreso!K:P,6,FALSE),"no esta ingresado")</f>
        <v>Turno A</v>
      </c>
      <c r="H916" s="65">
        <f>IFERROR(IF('Informe Kelly'!H909=$A$2,'Informe Kelly'!F909,""),0)</f>
        <v>0.32061342592592595</v>
      </c>
      <c r="I916" s="65" t="str">
        <f>IFERROR(IF('Informe Kelly'!H909=$A$3,'Informe Kelly'!F909,""),0)</f>
        <v/>
      </c>
      <c r="J916" s="65" t="str">
        <f>IF(IFERROR(IF(E916=E915,0,(HLOOKUP(D916,Ingreso!$AN$10:$AT$260,VLOOKUP(A916,Ingreso!$AL$11:$AM$260,2,FALSE)))/24),0)=0,"",IFERROR(IF(E916=E915,0,(HLOOKUP(D916,Ingreso!$AN$10:$AT$260,VLOOKUP(A916,Ingreso!$AL$11:$AM$260,2,FALSE)))/24),0))</f>
        <v/>
      </c>
      <c r="K916" s="65" t="str">
        <f>IF(IFERROR(IF(E916=E915,0,(HLOOKUP(C916,Ingreso!$AW$10:$BC$260,VLOOKUP(A916,Ingreso!$AL$11:$AM$260,2,FALSE)))/24),0)=0,"",IFERROR(IF(E916=E915,0,(HLOOKUP(C916,Ingreso!$AW$10:$BC$260,VLOOKUP(A916,Ingreso!$AL$11:$AM$260,2,FALSE)))/24),0))</f>
        <v/>
      </c>
      <c r="L916" s="63">
        <f t="shared" si="28"/>
        <v>0</v>
      </c>
      <c r="M916" s="63" t="str">
        <f>IF(IFERROR(IF(C916=C914,0,IF(E916=E915,0,IF(C916=$R$2,HLOOKUP($R$2,Ingreso!$AW$10:$BC$260,VLOOKUP(A916,Ingreso!AL:AM,2,FALSE),FALSE)/24,""))),"")=0,"",IFERROR(IF(C916=C914,0,IF(E916=E915,0,IF(C916=$R$2,HLOOKUP($R$2,Ingreso!$AW$10:$BC$260,VLOOKUP(A916,Ingreso!AL:AM,2,FALSE),FALSE)/24,""))),""))</f>
        <v/>
      </c>
      <c r="N916" s="95" t="str">
        <f>IF(IFERROR(IF(C916=C914,0,IF(E916=E915,0,IF(C916=$R$3,HLOOKUP($R$3,Ingreso!$AW$10:$BC$260,VLOOKUP(A916,Ingreso!AL:AM,2,FALSE),FALSE)/24,""))),"")=0,"",IFERROR(IF(C916=C914,0,IF(E916=E915,0,IF(C916=$R$3,HLOOKUP($R$3,Ingreso!$AW$10:$BC$260,VLOOKUP(A916,Ingreso!AL:AM,2,FALSE),FALSE)/24,""))),""))</f>
        <v/>
      </c>
      <c r="O916" s="95" t="str">
        <f>IF(IFERROR(IF(C916=C914,0,IF(E916=E915,0,IF(C916=$R$4,HLOOKUP($R$4,Ingreso!$AW$10:$BC$260,VLOOKUP(A916,Ingreso!AL:AM,2,FALSE),FALSE)/24,""))),"")=0,"",IFERROR(IF(C916=C914,0,IF(E916=E915,0,IF(C916=$R$4,HLOOKUP($R$4,Ingreso!$AW$10:$BC$260,VLOOKUP(A916,Ingreso!AL:AM,2,FALSE),FALSE)/24,""))),""))</f>
        <v/>
      </c>
      <c r="P916" s="90"/>
      <c r="V916"/>
      <c r="W916"/>
      <c r="X916"/>
      <c r="Y916"/>
      <c r="Z916"/>
      <c r="AA916"/>
      <c r="AB916"/>
      <c r="AC916"/>
      <c r="AD916"/>
    </row>
    <row r="917" spans="1:30">
      <c r="A917" s="65" t="str">
        <f>IFERROR(VLOOKUP('Informe Kelly'!A910,Base!A:B,2,FALSE),"")</f>
        <v>16.031.949-6</v>
      </c>
      <c r="B917" s="65" t="str">
        <f>IFERROR(VLOOKUP('Informe Kelly'!A910,Base!A:G,7,FALSE),"")</f>
        <v>ESPINOZA MORENO JONATHAN</v>
      </c>
      <c r="C917" s="69" t="str">
        <f>IF(G917=$C$4,IF('Informe Kelly'!H910='Control informe Kelly'!$A$2,TEXT(((LEFT('Informe Kelly'!E910,2)*1)+1),"dd")&amp;"."&amp;MID('Informe Kelly'!E910,4,2)&amp;"."&amp;RIGHT('Informe Kelly'!E910,4),'Informe Kelly'!E910),'Informe Kelly'!E910)</f>
        <v>11.04.2011</v>
      </c>
      <c r="D917" s="69" t="str">
        <f>IF('Informe Kelly'!E910="","",'Informe Kelly'!E910)</f>
        <v>11.04.2011</v>
      </c>
      <c r="E917" s="72">
        <f t="shared" si="29"/>
        <v>466</v>
      </c>
      <c r="F917" s="72" t="str">
        <f>IFERROR(HLOOKUP(C917,Ingreso!$Q$8:$AD$9,2,FALSE),"v")</f>
        <v>Lunes</v>
      </c>
      <c r="G917" s="65" t="str">
        <f>IFERROR(VLOOKUP(A917,Ingreso!K:P,6,FALSE),"no esta ingresado")</f>
        <v>Turno A</v>
      </c>
      <c r="H917" s="65" t="str">
        <f>IFERROR(IF('Informe Kelly'!H910=$A$2,'Informe Kelly'!F910,""),0)</f>
        <v/>
      </c>
      <c r="I917" s="65">
        <f>IFERROR(IF('Informe Kelly'!H910=$A$3,'Informe Kelly'!F910,""),0)</f>
        <v>0.63254629629629633</v>
      </c>
      <c r="J917" s="65" t="str">
        <f>IF(IFERROR(IF(E917=E916,0,(HLOOKUP(D917,Ingreso!$AN$10:$AT$260,VLOOKUP(A917,Ingreso!$AL$11:$AM$260,2,FALSE)))/24),0)=0,"",IFERROR(IF(E917=E916,0,(HLOOKUP(D917,Ingreso!$AN$10:$AT$260,VLOOKUP(A917,Ingreso!$AL$11:$AM$260,2,FALSE)))/24),0))</f>
        <v/>
      </c>
      <c r="K917" s="65" t="str">
        <f>IF(IFERROR(IF(E917=E916,0,(HLOOKUP(C917,Ingreso!$AW$10:$BC$260,VLOOKUP(A917,Ingreso!$AL$11:$AM$260,2,FALSE)))/24),0)=0,"",IFERROR(IF(E917=E916,0,(HLOOKUP(C917,Ingreso!$AW$10:$BC$260,VLOOKUP(A917,Ingreso!$AL$11:$AM$260,2,FALSE)))/24),0))</f>
        <v/>
      </c>
      <c r="L917" s="63">
        <f t="shared" si="28"/>
        <v>0.3125</v>
      </c>
      <c r="M917" s="63" t="str">
        <f>IF(IFERROR(IF(C917=C915,0,IF(E917=E916,0,IF(C917=$R$2,HLOOKUP($R$2,Ingreso!$AW$10:$BC$260,VLOOKUP(A917,Ingreso!AL:AM,2,FALSE),FALSE)/24,""))),"")=0,"",IFERROR(IF(C917=C915,0,IF(E917=E916,0,IF(C917=$R$2,HLOOKUP($R$2,Ingreso!$AW$10:$BC$260,VLOOKUP(A917,Ingreso!AL:AM,2,FALSE),FALSE)/24,""))),""))</f>
        <v/>
      </c>
      <c r="N917" s="95" t="str">
        <f>IF(IFERROR(IF(C917=C915,0,IF(E917=E916,0,IF(C917=$R$3,HLOOKUP($R$3,Ingreso!$AW$10:$BC$260,VLOOKUP(A917,Ingreso!AL:AM,2,FALSE),FALSE)/24,""))),"")=0,"",IFERROR(IF(C917=C915,0,IF(E917=E916,0,IF(C917=$R$3,HLOOKUP($R$3,Ingreso!$AW$10:$BC$260,VLOOKUP(A917,Ingreso!AL:AM,2,FALSE),FALSE)/24,""))),""))</f>
        <v/>
      </c>
      <c r="O917" s="95" t="str">
        <f>IF(IFERROR(IF(C917=C915,0,IF(E917=E916,0,IF(C917=$R$4,HLOOKUP($R$4,Ingreso!$AW$10:$BC$260,VLOOKUP(A917,Ingreso!AL:AM,2,FALSE),FALSE)/24,""))),"")=0,"",IFERROR(IF(C917=C915,0,IF(E917=E916,0,IF(C917=$R$4,HLOOKUP($R$4,Ingreso!$AW$10:$BC$260,VLOOKUP(A917,Ingreso!AL:AM,2,FALSE),FALSE)/24,""))),""))</f>
        <v/>
      </c>
      <c r="P917" s="90"/>
      <c r="V917"/>
      <c r="W917"/>
      <c r="X917"/>
      <c r="Y917"/>
      <c r="Z917"/>
      <c r="AA917"/>
      <c r="AB917"/>
      <c r="AC917"/>
      <c r="AD917"/>
    </row>
    <row r="918" spans="1:30">
      <c r="A918" s="65" t="str">
        <f>IFERROR(VLOOKUP('Informe Kelly'!A911,Base!A:B,2,FALSE),"")</f>
        <v>16.031.949-6</v>
      </c>
      <c r="B918" s="65" t="str">
        <f>IFERROR(VLOOKUP('Informe Kelly'!A911,Base!A:G,7,FALSE),"")</f>
        <v>ESPINOZA MORENO JONATHAN</v>
      </c>
      <c r="C918" s="69" t="str">
        <f>IF(G918=$C$4,IF('Informe Kelly'!H911='Control informe Kelly'!$A$2,TEXT(((LEFT('Informe Kelly'!E911,2)*1)+1),"dd")&amp;"."&amp;MID('Informe Kelly'!E911,4,2)&amp;"."&amp;RIGHT('Informe Kelly'!E911,4),'Informe Kelly'!E911),'Informe Kelly'!E911)</f>
        <v>11.04.2011</v>
      </c>
      <c r="D918" s="69" t="str">
        <f>IF('Informe Kelly'!E911="","",'Informe Kelly'!E911)</f>
        <v>11.04.2011</v>
      </c>
      <c r="E918" s="72">
        <f t="shared" si="29"/>
        <v>466</v>
      </c>
      <c r="F918" s="72" t="str">
        <f>IFERROR(HLOOKUP(C918,Ingreso!$Q$8:$AD$9,2,FALSE),"v")</f>
        <v>Lunes</v>
      </c>
      <c r="G918" s="65" t="str">
        <f>IFERROR(VLOOKUP(A918,Ingreso!K:P,6,FALSE),"no esta ingresado")</f>
        <v>Turno A</v>
      </c>
      <c r="H918" s="65">
        <f>IFERROR(IF('Informe Kelly'!H911=$A$2,'Informe Kelly'!F911,""),0)</f>
        <v>0.29099537037037038</v>
      </c>
      <c r="I918" s="65" t="str">
        <f>IFERROR(IF('Informe Kelly'!H911=$A$3,'Informe Kelly'!F911,""),0)</f>
        <v/>
      </c>
      <c r="J918" s="65" t="str">
        <f>IF(IFERROR(IF(E918=E917,0,(HLOOKUP(D918,Ingreso!$AN$10:$AT$260,VLOOKUP(A918,Ingreso!$AL$11:$AM$260,2,FALSE)))/24),0)=0,"",IFERROR(IF(E918=E917,0,(HLOOKUP(D918,Ingreso!$AN$10:$AT$260,VLOOKUP(A918,Ingreso!$AL$11:$AM$260,2,FALSE)))/24),0))</f>
        <v/>
      </c>
      <c r="K918" s="65" t="str">
        <f>IF(IFERROR(IF(E918=E917,0,(HLOOKUP(C918,Ingreso!$AW$10:$BC$260,VLOOKUP(A918,Ingreso!$AL$11:$AM$260,2,FALSE)))/24),0)=0,"",IFERROR(IF(E918=E917,0,(HLOOKUP(C918,Ingreso!$AW$10:$BC$260,VLOOKUP(A918,Ingreso!$AL$11:$AM$260,2,FALSE)))/24),0))</f>
        <v/>
      </c>
      <c r="L918" s="63">
        <f t="shared" si="28"/>
        <v>0</v>
      </c>
      <c r="M918" s="63" t="str">
        <f>IF(IFERROR(IF(C918=C916,0,IF(E918=E917,0,IF(C918=$R$2,HLOOKUP($R$2,Ingreso!$AW$10:$BC$260,VLOOKUP(A918,Ingreso!AL:AM,2,FALSE),FALSE)/24,""))),"")=0,"",IFERROR(IF(C918=C916,0,IF(E918=E917,0,IF(C918=$R$2,HLOOKUP($R$2,Ingreso!$AW$10:$BC$260,VLOOKUP(A918,Ingreso!AL:AM,2,FALSE),FALSE)/24,""))),""))</f>
        <v/>
      </c>
      <c r="N918" s="95" t="str">
        <f>IF(IFERROR(IF(C918=C916,0,IF(E918=E917,0,IF(C918=$R$3,HLOOKUP($R$3,Ingreso!$AW$10:$BC$260,VLOOKUP(A918,Ingreso!AL:AM,2,FALSE),FALSE)/24,""))),"")=0,"",IFERROR(IF(C918=C916,0,IF(E918=E917,0,IF(C918=$R$3,HLOOKUP($R$3,Ingreso!$AW$10:$BC$260,VLOOKUP(A918,Ingreso!AL:AM,2,FALSE),FALSE)/24,""))),""))</f>
        <v/>
      </c>
      <c r="O918" s="95" t="str">
        <f>IF(IFERROR(IF(C918=C916,0,IF(E918=E917,0,IF(C918=$R$4,HLOOKUP($R$4,Ingreso!$AW$10:$BC$260,VLOOKUP(A918,Ingreso!AL:AM,2,FALSE),FALSE)/24,""))),"")=0,"",IFERROR(IF(C918=C916,0,IF(E918=E917,0,IF(C918=$R$4,HLOOKUP($R$4,Ingreso!$AW$10:$BC$260,VLOOKUP(A918,Ingreso!AL:AM,2,FALSE),FALSE)/24,""))),""))</f>
        <v/>
      </c>
      <c r="P918" s="90"/>
      <c r="V918"/>
      <c r="W918"/>
      <c r="X918"/>
      <c r="Y918"/>
      <c r="Z918"/>
      <c r="AA918"/>
      <c r="AB918"/>
      <c r="AC918"/>
      <c r="AD918"/>
    </row>
    <row r="919" spans="1:30">
      <c r="A919" s="65" t="str">
        <f>IFERROR(VLOOKUP('Informe Kelly'!A912,Base!A:B,2,FALSE),"")</f>
        <v>16.031.949-6</v>
      </c>
      <c r="B919" s="65" t="str">
        <f>IFERROR(VLOOKUP('Informe Kelly'!A912,Base!A:G,7,FALSE),"")</f>
        <v>ESPINOZA MORENO JONATHAN</v>
      </c>
      <c r="C919" s="69" t="str">
        <f>IF(G919=$C$4,IF('Informe Kelly'!H912='Control informe Kelly'!$A$2,TEXT(((LEFT('Informe Kelly'!E912,2)*1)+1),"dd")&amp;"."&amp;MID('Informe Kelly'!E912,4,2)&amp;"."&amp;RIGHT('Informe Kelly'!E912,4),'Informe Kelly'!E912),'Informe Kelly'!E912)</f>
        <v>12.04.2011</v>
      </c>
      <c r="D919" s="69" t="str">
        <f>IF('Informe Kelly'!E912="","",'Informe Kelly'!E912)</f>
        <v>12.04.2011</v>
      </c>
      <c r="E919" s="72">
        <f t="shared" si="29"/>
        <v>467</v>
      </c>
      <c r="F919" s="72" t="str">
        <f>IFERROR(HLOOKUP(C919,Ingreso!$Q$8:$AD$9,2,FALSE),"v")</f>
        <v>Martes</v>
      </c>
      <c r="G919" s="65" t="str">
        <f>IFERROR(VLOOKUP(A919,Ingreso!K:P,6,FALSE),"no esta ingresado")</f>
        <v>Turno A</v>
      </c>
      <c r="H919" s="65" t="str">
        <f>IFERROR(IF('Informe Kelly'!H912=$A$2,'Informe Kelly'!F912,""),0)</f>
        <v/>
      </c>
      <c r="I919" s="65">
        <f>IFERROR(IF('Informe Kelly'!H912=$A$3,'Informe Kelly'!F912,""),0)</f>
        <v>0.62417824074074069</v>
      </c>
      <c r="J919" s="65" t="str">
        <f>IF(IFERROR(IF(E919=E918,0,(HLOOKUP(D919,Ingreso!$AN$10:$AT$260,VLOOKUP(A919,Ingreso!$AL$11:$AM$260,2,FALSE)))/24),0)=0,"",IFERROR(IF(E919=E918,0,(HLOOKUP(D919,Ingreso!$AN$10:$AT$260,VLOOKUP(A919,Ingreso!$AL$11:$AM$260,2,FALSE)))/24),0))</f>
        <v/>
      </c>
      <c r="K919" s="65" t="str">
        <f>IF(IFERROR(IF(E919=E918,0,(HLOOKUP(C919,Ingreso!$AW$10:$BC$260,VLOOKUP(A919,Ingreso!$AL$11:$AM$260,2,FALSE)))/24),0)=0,"",IFERROR(IF(E919=E918,0,(HLOOKUP(C919,Ingreso!$AW$10:$BC$260,VLOOKUP(A919,Ingreso!$AL$11:$AM$260,2,FALSE)))/24),0))</f>
        <v/>
      </c>
      <c r="L919" s="63">
        <f t="shared" si="28"/>
        <v>0.3125</v>
      </c>
      <c r="M919" s="63" t="str">
        <f>IF(IFERROR(IF(C919=C917,0,IF(E919=E918,0,IF(C919=$R$2,HLOOKUP($R$2,Ingreso!$AW$10:$BC$260,VLOOKUP(A919,Ingreso!AL:AM,2,FALSE),FALSE)/24,""))),"")=0,"",IFERROR(IF(C919=C917,0,IF(E919=E918,0,IF(C919=$R$2,HLOOKUP($R$2,Ingreso!$AW$10:$BC$260,VLOOKUP(A919,Ingreso!AL:AM,2,FALSE),FALSE)/24,""))),""))</f>
        <v/>
      </c>
      <c r="N919" s="95" t="str">
        <f>IF(IFERROR(IF(C919=C917,0,IF(E919=E918,0,IF(C919=$R$3,HLOOKUP($R$3,Ingreso!$AW$10:$BC$260,VLOOKUP(A919,Ingreso!AL:AM,2,FALSE),FALSE)/24,""))),"")=0,"",IFERROR(IF(C919=C917,0,IF(E919=E918,0,IF(C919=$R$3,HLOOKUP($R$3,Ingreso!$AW$10:$BC$260,VLOOKUP(A919,Ingreso!AL:AM,2,FALSE),FALSE)/24,""))),""))</f>
        <v/>
      </c>
      <c r="O919" s="95" t="str">
        <f>IF(IFERROR(IF(C919=C917,0,IF(E919=E918,0,IF(C919=$R$4,HLOOKUP($R$4,Ingreso!$AW$10:$BC$260,VLOOKUP(A919,Ingreso!AL:AM,2,FALSE),FALSE)/24,""))),"")=0,"",IFERROR(IF(C919=C917,0,IF(E919=E918,0,IF(C919=$R$4,HLOOKUP($R$4,Ingreso!$AW$10:$BC$260,VLOOKUP(A919,Ingreso!AL:AM,2,FALSE),FALSE)/24,""))),""))</f>
        <v/>
      </c>
      <c r="P919" s="90"/>
      <c r="V919"/>
      <c r="W919"/>
      <c r="X919"/>
      <c r="Y919"/>
      <c r="Z919"/>
      <c r="AA919"/>
      <c r="AB919"/>
      <c r="AC919"/>
      <c r="AD919"/>
    </row>
    <row r="920" spans="1:30">
      <c r="A920" s="65" t="str">
        <f>IFERROR(VLOOKUP('Informe Kelly'!A913,Base!A:B,2,FALSE),"")</f>
        <v>16.031.949-6</v>
      </c>
      <c r="B920" s="65" t="str">
        <f>IFERROR(VLOOKUP('Informe Kelly'!A913,Base!A:G,7,FALSE),"")</f>
        <v>ESPINOZA MORENO JONATHAN</v>
      </c>
      <c r="C920" s="69" t="str">
        <f>IF(G920=$C$4,IF('Informe Kelly'!H913='Control informe Kelly'!$A$2,TEXT(((LEFT('Informe Kelly'!E913,2)*1)+1),"dd")&amp;"."&amp;MID('Informe Kelly'!E913,4,2)&amp;"."&amp;RIGHT('Informe Kelly'!E913,4),'Informe Kelly'!E913),'Informe Kelly'!E913)</f>
        <v>12.04.2011</v>
      </c>
      <c r="D920" s="69" t="str">
        <f>IF('Informe Kelly'!E913="","",'Informe Kelly'!E913)</f>
        <v>12.04.2011</v>
      </c>
      <c r="E920" s="72">
        <f t="shared" si="29"/>
        <v>467</v>
      </c>
      <c r="F920" s="72" t="str">
        <f>IFERROR(HLOOKUP(C920,Ingreso!$Q$8:$AD$9,2,FALSE),"v")</f>
        <v>Martes</v>
      </c>
      <c r="G920" s="65" t="str">
        <f>IFERROR(VLOOKUP(A920,Ingreso!K:P,6,FALSE),"no esta ingresado")</f>
        <v>Turno A</v>
      </c>
      <c r="H920" s="65">
        <f>IFERROR(IF('Informe Kelly'!H913=$A$2,'Informe Kelly'!F913,""),0)</f>
        <v>0.29658564814814814</v>
      </c>
      <c r="I920" s="65" t="str">
        <f>IFERROR(IF('Informe Kelly'!H913=$A$3,'Informe Kelly'!F913,""),0)</f>
        <v/>
      </c>
      <c r="J920" s="65" t="str">
        <f>IF(IFERROR(IF(E920=E919,0,(HLOOKUP(D920,Ingreso!$AN$10:$AT$260,VLOOKUP(A920,Ingreso!$AL$11:$AM$260,2,FALSE)))/24),0)=0,"",IFERROR(IF(E920=E919,0,(HLOOKUP(D920,Ingreso!$AN$10:$AT$260,VLOOKUP(A920,Ingreso!$AL$11:$AM$260,2,FALSE)))/24),0))</f>
        <v/>
      </c>
      <c r="K920" s="65" t="str">
        <f>IF(IFERROR(IF(E920=E919,0,(HLOOKUP(C920,Ingreso!$AW$10:$BC$260,VLOOKUP(A920,Ingreso!$AL$11:$AM$260,2,FALSE)))/24),0)=0,"",IFERROR(IF(E920=E919,0,(HLOOKUP(C920,Ingreso!$AW$10:$BC$260,VLOOKUP(A920,Ingreso!$AL$11:$AM$260,2,FALSE)))/24),0))</f>
        <v/>
      </c>
      <c r="L920" s="63">
        <f t="shared" si="28"/>
        <v>0</v>
      </c>
      <c r="M920" s="63" t="str">
        <f>IF(IFERROR(IF(C920=C918,0,IF(E920=E919,0,IF(C920=$R$2,HLOOKUP($R$2,Ingreso!$AW$10:$BC$260,VLOOKUP(A920,Ingreso!AL:AM,2,FALSE),FALSE)/24,""))),"")=0,"",IFERROR(IF(C920=C918,0,IF(E920=E919,0,IF(C920=$R$2,HLOOKUP($R$2,Ingreso!$AW$10:$BC$260,VLOOKUP(A920,Ingreso!AL:AM,2,FALSE),FALSE)/24,""))),""))</f>
        <v/>
      </c>
      <c r="N920" s="95" t="str">
        <f>IF(IFERROR(IF(C920=C918,0,IF(E920=E919,0,IF(C920=$R$3,HLOOKUP($R$3,Ingreso!$AW$10:$BC$260,VLOOKUP(A920,Ingreso!AL:AM,2,FALSE),FALSE)/24,""))),"")=0,"",IFERROR(IF(C920=C918,0,IF(E920=E919,0,IF(C920=$R$3,HLOOKUP($R$3,Ingreso!$AW$10:$BC$260,VLOOKUP(A920,Ingreso!AL:AM,2,FALSE),FALSE)/24,""))),""))</f>
        <v/>
      </c>
      <c r="O920" s="95" t="str">
        <f>IF(IFERROR(IF(C920=C918,0,IF(E920=E919,0,IF(C920=$R$4,HLOOKUP($R$4,Ingreso!$AW$10:$BC$260,VLOOKUP(A920,Ingreso!AL:AM,2,FALSE),FALSE)/24,""))),"")=0,"",IFERROR(IF(C920=C918,0,IF(E920=E919,0,IF(C920=$R$4,HLOOKUP($R$4,Ingreso!$AW$10:$BC$260,VLOOKUP(A920,Ingreso!AL:AM,2,FALSE),FALSE)/24,""))),""))</f>
        <v/>
      </c>
      <c r="P920" s="90"/>
      <c r="V920"/>
      <c r="W920"/>
      <c r="X920"/>
      <c r="Y920"/>
      <c r="Z920"/>
      <c r="AA920"/>
      <c r="AB920"/>
      <c r="AC920"/>
      <c r="AD920"/>
    </row>
    <row r="921" spans="1:30">
      <c r="A921" s="65" t="str">
        <f>IFERROR(VLOOKUP('Informe Kelly'!A914,Base!A:B,2,FALSE),"")</f>
        <v>16.031.949-6</v>
      </c>
      <c r="B921" s="65" t="str">
        <f>IFERROR(VLOOKUP('Informe Kelly'!A914,Base!A:G,7,FALSE),"")</f>
        <v>ESPINOZA MORENO JONATHAN</v>
      </c>
      <c r="C921" s="69" t="str">
        <f>IF(G921=$C$4,IF('Informe Kelly'!H914='Control informe Kelly'!$A$2,TEXT(((LEFT('Informe Kelly'!E914,2)*1)+1),"dd")&amp;"."&amp;MID('Informe Kelly'!E914,4,2)&amp;"."&amp;RIGHT('Informe Kelly'!E914,4),'Informe Kelly'!E914),'Informe Kelly'!E914)</f>
        <v>13.04.2011</v>
      </c>
      <c r="D921" s="69" t="str">
        <f>IF('Informe Kelly'!E914="","",'Informe Kelly'!E914)</f>
        <v>13.04.2011</v>
      </c>
      <c r="E921" s="72">
        <f t="shared" si="29"/>
        <v>468</v>
      </c>
      <c r="F921" s="72" t="str">
        <f>IFERROR(HLOOKUP(C921,Ingreso!$Q$8:$AD$9,2,FALSE),"v")</f>
        <v>Miércoles</v>
      </c>
      <c r="G921" s="65" t="str">
        <f>IFERROR(VLOOKUP(A921,Ingreso!K:P,6,FALSE),"no esta ingresado")</f>
        <v>Turno A</v>
      </c>
      <c r="H921" s="65" t="str">
        <f>IFERROR(IF('Informe Kelly'!H914=$A$2,'Informe Kelly'!F914,""),0)</f>
        <v/>
      </c>
      <c r="I921" s="65">
        <f>IFERROR(IF('Informe Kelly'!H914=$A$3,'Informe Kelly'!F914,""),0)</f>
        <v>0.63276620370370373</v>
      </c>
      <c r="J921" s="65" t="str">
        <f>IF(IFERROR(IF(E921=E920,0,(HLOOKUP(D921,Ingreso!$AN$10:$AT$260,VLOOKUP(A921,Ingreso!$AL$11:$AM$260,2,FALSE)))/24),0)=0,"",IFERROR(IF(E921=E920,0,(HLOOKUP(D921,Ingreso!$AN$10:$AT$260,VLOOKUP(A921,Ingreso!$AL$11:$AM$260,2,FALSE)))/24),0))</f>
        <v/>
      </c>
      <c r="K921" s="65" t="str">
        <f>IF(IFERROR(IF(E921=E920,0,(HLOOKUP(C921,Ingreso!$AW$10:$BC$260,VLOOKUP(A921,Ingreso!$AL$11:$AM$260,2,FALSE)))/24),0)=0,"",IFERROR(IF(E921=E920,0,(HLOOKUP(C921,Ingreso!$AW$10:$BC$260,VLOOKUP(A921,Ingreso!$AL$11:$AM$260,2,FALSE)))/24),0))</f>
        <v/>
      </c>
      <c r="L921" s="63">
        <f t="shared" si="28"/>
        <v>0.3125</v>
      </c>
      <c r="M921" s="63" t="str">
        <f>IF(IFERROR(IF(C921=C919,0,IF(E921=E920,0,IF(C921=$R$2,HLOOKUP($R$2,Ingreso!$AW$10:$BC$260,VLOOKUP(A921,Ingreso!AL:AM,2,FALSE),FALSE)/24,""))),"")=0,"",IFERROR(IF(C921=C919,0,IF(E921=E920,0,IF(C921=$R$2,HLOOKUP($R$2,Ingreso!$AW$10:$BC$260,VLOOKUP(A921,Ingreso!AL:AM,2,FALSE),FALSE)/24,""))),""))</f>
        <v/>
      </c>
      <c r="N921" s="95" t="str">
        <f>IF(IFERROR(IF(C921=C919,0,IF(E921=E920,0,IF(C921=$R$3,HLOOKUP($R$3,Ingreso!$AW$10:$BC$260,VLOOKUP(A921,Ingreso!AL:AM,2,FALSE),FALSE)/24,""))),"")=0,"",IFERROR(IF(C921=C919,0,IF(E921=E920,0,IF(C921=$R$3,HLOOKUP($R$3,Ingreso!$AW$10:$BC$260,VLOOKUP(A921,Ingreso!AL:AM,2,FALSE),FALSE)/24,""))),""))</f>
        <v/>
      </c>
      <c r="O921" s="95" t="str">
        <f>IF(IFERROR(IF(C921=C919,0,IF(E921=E920,0,IF(C921=$R$4,HLOOKUP($R$4,Ingreso!$AW$10:$BC$260,VLOOKUP(A921,Ingreso!AL:AM,2,FALSE),FALSE)/24,""))),"")=0,"",IFERROR(IF(C921=C919,0,IF(E921=E920,0,IF(C921=$R$4,HLOOKUP($R$4,Ingreso!$AW$10:$BC$260,VLOOKUP(A921,Ingreso!AL:AM,2,FALSE),FALSE)/24,""))),""))</f>
        <v/>
      </c>
      <c r="P921" s="90"/>
      <c r="V921"/>
      <c r="W921"/>
      <c r="X921"/>
      <c r="Y921"/>
      <c r="Z921"/>
      <c r="AA921"/>
      <c r="AB921"/>
      <c r="AC921"/>
      <c r="AD921"/>
    </row>
    <row r="922" spans="1:30">
      <c r="A922" s="65" t="str">
        <f>IFERROR(VLOOKUP('Informe Kelly'!A915,Base!A:B,2,FALSE),"")</f>
        <v>16.031.949-6</v>
      </c>
      <c r="B922" s="65" t="str">
        <f>IFERROR(VLOOKUP('Informe Kelly'!A915,Base!A:G,7,FALSE),"")</f>
        <v>ESPINOZA MORENO JONATHAN</v>
      </c>
      <c r="C922" s="69" t="str">
        <f>IF(G922=$C$4,IF('Informe Kelly'!H915='Control informe Kelly'!$A$2,TEXT(((LEFT('Informe Kelly'!E915,2)*1)+1),"dd")&amp;"."&amp;MID('Informe Kelly'!E915,4,2)&amp;"."&amp;RIGHT('Informe Kelly'!E915,4),'Informe Kelly'!E915),'Informe Kelly'!E915)</f>
        <v>13.04.2011</v>
      </c>
      <c r="D922" s="69" t="str">
        <f>IF('Informe Kelly'!E915="","",'Informe Kelly'!E915)</f>
        <v>13.04.2011</v>
      </c>
      <c r="E922" s="72">
        <f t="shared" si="29"/>
        <v>468</v>
      </c>
      <c r="F922" s="72" t="str">
        <f>IFERROR(HLOOKUP(C922,Ingreso!$Q$8:$AD$9,2,FALSE),"v")</f>
        <v>Miércoles</v>
      </c>
      <c r="G922" s="65" t="str">
        <f>IFERROR(VLOOKUP(A922,Ingreso!K:P,6,FALSE),"no esta ingresado")</f>
        <v>Turno A</v>
      </c>
      <c r="H922" s="65">
        <f>IFERROR(IF('Informe Kelly'!H915=$A$2,'Informe Kelly'!F915,""),0)</f>
        <v>0.29635416666666664</v>
      </c>
      <c r="I922" s="65" t="str">
        <f>IFERROR(IF('Informe Kelly'!H915=$A$3,'Informe Kelly'!F915,""),0)</f>
        <v/>
      </c>
      <c r="J922" s="65" t="str">
        <f>IF(IFERROR(IF(E922=E921,0,(HLOOKUP(D922,Ingreso!$AN$10:$AT$260,VLOOKUP(A922,Ingreso!$AL$11:$AM$260,2,FALSE)))/24),0)=0,"",IFERROR(IF(E922=E921,0,(HLOOKUP(D922,Ingreso!$AN$10:$AT$260,VLOOKUP(A922,Ingreso!$AL$11:$AM$260,2,FALSE)))/24),0))</f>
        <v/>
      </c>
      <c r="K922" s="65" t="str">
        <f>IF(IFERROR(IF(E922=E921,0,(HLOOKUP(C922,Ingreso!$AW$10:$BC$260,VLOOKUP(A922,Ingreso!$AL$11:$AM$260,2,FALSE)))/24),0)=0,"",IFERROR(IF(E922=E921,0,(HLOOKUP(C922,Ingreso!$AW$10:$BC$260,VLOOKUP(A922,Ingreso!$AL$11:$AM$260,2,FALSE)))/24),0))</f>
        <v/>
      </c>
      <c r="L922" s="63">
        <f t="shared" si="28"/>
        <v>0</v>
      </c>
      <c r="M922" s="63" t="str">
        <f>IF(IFERROR(IF(C922=C920,0,IF(E922=E921,0,IF(C922=$R$2,HLOOKUP($R$2,Ingreso!$AW$10:$BC$260,VLOOKUP(A922,Ingreso!AL:AM,2,FALSE),FALSE)/24,""))),"")=0,"",IFERROR(IF(C922=C920,0,IF(E922=E921,0,IF(C922=$R$2,HLOOKUP($R$2,Ingreso!$AW$10:$BC$260,VLOOKUP(A922,Ingreso!AL:AM,2,FALSE),FALSE)/24,""))),""))</f>
        <v/>
      </c>
      <c r="N922" s="95" t="str">
        <f>IF(IFERROR(IF(C922=C920,0,IF(E922=E921,0,IF(C922=$R$3,HLOOKUP($R$3,Ingreso!$AW$10:$BC$260,VLOOKUP(A922,Ingreso!AL:AM,2,FALSE),FALSE)/24,""))),"")=0,"",IFERROR(IF(C922=C920,0,IF(E922=E921,0,IF(C922=$R$3,HLOOKUP($R$3,Ingreso!$AW$10:$BC$260,VLOOKUP(A922,Ingreso!AL:AM,2,FALSE),FALSE)/24,""))),""))</f>
        <v/>
      </c>
      <c r="O922" s="95" t="str">
        <f>IF(IFERROR(IF(C922=C920,0,IF(E922=E921,0,IF(C922=$R$4,HLOOKUP($R$4,Ingreso!$AW$10:$BC$260,VLOOKUP(A922,Ingreso!AL:AM,2,FALSE),FALSE)/24,""))),"")=0,"",IFERROR(IF(C922=C920,0,IF(E922=E921,0,IF(C922=$R$4,HLOOKUP($R$4,Ingreso!$AW$10:$BC$260,VLOOKUP(A922,Ingreso!AL:AM,2,FALSE),FALSE)/24,""))),""))</f>
        <v/>
      </c>
      <c r="P922" s="90"/>
      <c r="V922"/>
      <c r="W922"/>
      <c r="X922"/>
      <c r="Y922"/>
      <c r="Z922"/>
      <c r="AA922"/>
      <c r="AB922"/>
      <c r="AC922"/>
      <c r="AD922"/>
    </row>
    <row r="923" spans="1:30">
      <c r="A923" s="65" t="str">
        <f>IFERROR(VLOOKUP('Informe Kelly'!A916,Base!A:B,2,FALSE),"")</f>
        <v>16.031.949-6</v>
      </c>
      <c r="B923" s="65" t="str">
        <f>IFERROR(VLOOKUP('Informe Kelly'!A916,Base!A:G,7,FALSE),"")</f>
        <v>ESPINOZA MORENO JONATHAN</v>
      </c>
      <c r="C923" s="69" t="str">
        <f>IF(G923=$C$4,IF('Informe Kelly'!H916='Control informe Kelly'!$A$2,TEXT(((LEFT('Informe Kelly'!E916,2)*1)+1),"dd")&amp;"."&amp;MID('Informe Kelly'!E916,4,2)&amp;"."&amp;RIGHT('Informe Kelly'!E916,4),'Informe Kelly'!E916),'Informe Kelly'!E916)</f>
        <v>14.04.2011</v>
      </c>
      <c r="D923" s="69" t="str">
        <f>IF('Informe Kelly'!E916="","",'Informe Kelly'!E916)</f>
        <v>14.04.2011</v>
      </c>
      <c r="E923" s="72">
        <f t="shared" si="29"/>
        <v>469</v>
      </c>
      <c r="F923" s="72" t="str">
        <f>IFERROR(HLOOKUP(C923,Ingreso!$Q$8:$AD$9,2,FALSE),"v")</f>
        <v>Jueves</v>
      </c>
      <c r="G923" s="65" t="str">
        <f>IFERROR(VLOOKUP(A923,Ingreso!K:P,6,FALSE),"no esta ingresado")</f>
        <v>Turno A</v>
      </c>
      <c r="H923" s="65" t="str">
        <f>IFERROR(IF('Informe Kelly'!H916=$A$2,'Informe Kelly'!F916,""),0)</f>
        <v/>
      </c>
      <c r="I923" s="65">
        <f>IFERROR(IF('Informe Kelly'!H916=$A$3,'Informe Kelly'!F916,""),0)</f>
        <v>0.63611111111111118</v>
      </c>
      <c r="J923" s="65" t="str">
        <f>IF(IFERROR(IF(E923=E922,0,(HLOOKUP(D923,Ingreso!$AN$10:$AT$260,VLOOKUP(A923,Ingreso!$AL$11:$AM$260,2,FALSE)))/24),0)=0,"",IFERROR(IF(E923=E922,0,(HLOOKUP(D923,Ingreso!$AN$10:$AT$260,VLOOKUP(A923,Ingreso!$AL$11:$AM$260,2,FALSE)))/24),0))</f>
        <v/>
      </c>
      <c r="K923" s="65" t="str">
        <f>IF(IFERROR(IF(E923=E922,0,(HLOOKUP(C923,Ingreso!$AW$10:$BC$260,VLOOKUP(A923,Ingreso!$AL$11:$AM$260,2,FALSE)))/24),0)=0,"",IFERROR(IF(E923=E922,0,(HLOOKUP(C923,Ingreso!$AW$10:$BC$260,VLOOKUP(A923,Ingreso!$AL$11:$AM$260,2,FALSE)))/24),0))</f>
        <v/>
      </c>
      <c r="L923" s="63">
        <f t="shared" si="28"/>
        <v>0.3125</v>
      </c>
      <c r="M923" s="63" t="str">
        <f>IF(IFERROR(IF(C923=C921,0,IF(E923=E922,0,IF(C923=$R$2,HLOOKUP($R$2,Ingreso!$AW$10:$BC$260,VLOOKUP(A923,Ingreso!AL:AM,2,FALSE),FALSE)/24,""))),"")=0,"",IFERROR(IF(C923=C921,0,IF(E923=E922,0,IF(C923=$R$2,HLOOKUP($R$2,Ingreso!$AW$10:$BC$260,VLOOKUP(A923,Ingreso!AL:AM,2,FALSE),FALSE)/24,""))),""))</f>
        <v/>
      </c>
      <c r="N923" s="95" t="str">
        <f>IF(IFERROR(IF(C923=C921,0,IF(E923=E922,0,IF(C923=$R$3,HLOOKUP($R$3,Ingreso!$AW$10:$BC$260,VLOOKUP(A923,Ingreso!AL:AM,2,FALSE),FALSE)/24,""))),"")=0,"",IFERROR(IF(C923=C921,0,IF(E923=E922,0,IF(C923=$R$3,HLOOKUP($R$3,Ingreso!$AW$10:$BC$260,VLOOKUP(A923,Ingreso!AL:AM,2,FALSE),FALSE)/24,""))),""))</f>
        <v/>
      </c>
      <c r="O923" s="95" t="str">
        <f>IF(IFERROR(IF(C923=C921,0,IF(E923=E922,0,IF(C923=$R$4,HLOOKUP($R$4,Ingreso!$AW$10:$BC$260,VLOOKUP(A923,Ingreso!AL:AM,2,FALSE),FALSE)/24,""))),"")=0,"",IFERROR(IF(C923=C921,0,IF(E923=E922,0,IF(C923=$R$4,HLOOKUP($R$4,Ingreso!$AW$10:$BC$260,VLOOKUP(A923,Ingreso!AL:AM,2,FALSE),FALSE)/24,""))),""))</f>
        <v/>
      </c>
      <c r="P923" s="90"/>
      <c r="V923"/>
      <c r="W923"/>
      <c r="X923"/>
      <c r="Y923"/>
      <c r="Z923"/>
      <c r="AA923"/>
      <c r="AB923"/>
      <c r="AC923"/>
      <c r="AD923"/>
    </row>
    <row r="924" spans="1:30">
      <c r="A924" s="65" t="str">
        <f>IFERROR(VLOOKUP('Informe Kelly'!A917,Base!A:B,2,FALSE),"")</f>
        <v>16.031.949-6</v>
      </c>
      <c r="B924" s="65" t="str">
        <f>IFERROR(VLOOKUP('Informe Kelly'!A917,Base!A:G,7,FALSE),"")</f>
        <v>ESPINOZA MORENO JONATHAN</v>
      </c>
      <c r="C924" s="69" t="str">
        <f>IF(G924=$C$4,IF('Informe Kelly'!H917='Control informe Kelly'!$A$2,TEXT(((LEFT('Informe Kelly'!E917,2)*1)+1),"dd")&amp;"."&amp;MID('Informe Kelly'!E917,4,2)&amp;"."&amp;RIGHT('Informe Kelly'!E917,4),'Informe Kelly'!E917),'Informe Kelly'!E917)</f>
        <v>14.04.2011</v>
      </c>
      <c r="D924" s="69" t="str">
        <f>IF('Informe Kelly'!E917="","",'Informe Kelly'!E917)</f>
        <v>14.04.2011</v>
      </c>
      <c r="E924" s="72">
        <f t="shared" si="29"/>
        <v>469</v>
      </c>
      <c r="F924" s="72" t="str">
        <f>IFERROR(HLOOKUP(C924,Ingreso!$Q$8:$AD$9,2,FALSE),"v")</f>
        <v>Jueves</v>
      </c>
      <c r="G924" s="65" t="str">
        <f>IFERROR(VLOOKUP(A924,Ingreso!K:P,6,FALSE),"no esta ingresado")</f>
        <v>Turno A</v>
      </c>
      <c r="H924" s="65">
        <f>IFERROR(IF('Informe Kelly'!H917=$A$2,'Informe Kelly'!F917,""),0)</f>
        <v>0.29668981481481482</v>
      </c>
      <c r="I924" s="65" t="str">
        <f>IFERROR(IF('Informe Kelly'!H917=$A$3,'Informe Kelly'!F917,""),0)</f>
        <v/>
      </c>
      <c r="J924" s="65" t="str">
        <f>IF(IFERROR(IF(E924=E923,0,(HLOOKUP(D924,Ingreso!$AN$10:$AT$260,VLOOKUP(A924,Ingreso!$AL$11:$AM$260,2,FALSE)))/24),0)=0,"",IFERROR(IF(E924=E923,0,(HLOOKUP(D924,Ingreso!$AN$10:$AT$260,VLOOKUP(A924,Ingreso!$AL$11:$AM$260,2,FALSE)))/24),0))</f>
        <v/>
      </c>
      <c r="K924" s="65" t="str">
        <f>IF(IFERROR(IF(E924=E923,0,(HLOOKUP(C924,Ingreso!$AW$10:$BC$260,VLOOKUP(A924,Ingreso!$AL$11:$AM$260,2,FALSE)))/24),0)=0,"",IFERROR(IF(E924=E923,0,(HLOOKUP(C924,Ingreso!$AW$10:$BC$260,VLOOKUP(A924,Ingreso!$AL$11:$AM$260,2,FALSE)))/24),0))</f>
        <v/>
      </c>
      <c r="L924" s="63">
        <f t="shared" si="28"/>
        <v>0</v>
      </c>
      <c r="M924" s="63" t="str">
        <f>IF(IFERROR(IF(C924=C922,0,IF(E924=E923,0,IF(C924=$R$2,HLOOKUP($R$2,Ingreso!$AW$10:$BC$260,VLOOKUP(A924,Ingreso!AL:AM,2,FALSE),FALSE)/24,""))),"")=0,"",IFERROR(IF(C924=C922,0,IF(E924=E923,0,IF(C924=$R$2,HLOOKUP($R$2,Ingreso!$AW$10:$BC$260,VLOOKUP(A924,Ingreso!AL:AM,2,FALSE),FALSE)/24,""))),""))</f>
        <v/>
      </c>
      <c r="N924" s="95" t="str">
        <f>IF(IFERROR(IF(C924=C922,0,IF(E924=E923,0,IF(C924=$R$3,HLOOKUP($R$3,Ingreso!$AW$10:$BC$260,VLOOKUP(A924,Ingreso!AL:AM,2,FALSE),FALSE)/24,""))),"")=0,"",IFERROR(IF(C924=C922,0,IF(E924=E923,0,IF(C924=$R$3,HLOOKUP($R$3,Ingreso!$AW$10:$BC$260,VLOOKUP(A924,Ingreso!AL:AM,2,FALSE),FALSE)/24,""))),""))</f>
        <v/>
      </c>
      <c r="O924" s="95" t="str">
        <f>IF(IFERROR(IF(C924=C922,0,IF(E924=E923,0,IF(C924=$R$4,HLOOKUP($R$4,Ingreso!$AW$10:$BC$260,VLOOKUP(A924,Ingreso!AL:AM,2,FALSE),FALSE)/24,""))),"")=0,"",IFERROR(IF(C924=C922,0,IF(E924=E923,0,IF(C924=$R$4,HLOOKUP($R$4,Ingreso!$AW$10:$BC$260,VLOOKUP(A924,Ingreso!AL:AM,2,FALSE),FALSE)/24,""))),""))</f>
        <v/>
      </c>
      <c r="P924" s="90"/>
      <c r="V924"/>
      <c r="W924"/>
      <c r="X924"/>
      <c r="Y924"/>
      <c r="Z924"/>
      <c r="AA924"/>
      <c r="AB924"/>
      <c r="AC924"/>
      <c r="AD924"/>
    </row>
    <row r="925" spans="1:30">
      <c r="A925" s="65" t="str">
        <f>IFERROR(VLOOKUP('Informe Kelly'!A918,Base!A:B,2,FALSE),"")</f>
        <v>16.031.949-6</v>
      </c>
      <c r="B925" s="65" t="str">
        <f>IFERROR(VLOOKUP('Informe Kelly'!A918,Base!A:G,7,FALSE),"")</f>
        <v>ESPINOZA MORENO JONATHAN</v>
      </c>
      <c r="C925" s="69" t="str">
        <f>IF(G925=$C$4,IF('Informe Kelly'!H918='Control informe Kelly'!$A$2,TEXT(((LEFT('Informe Kelly'!E918,2)*1)+1),"dd")&amp;"."&amp;MID('Informe Kelly'!E918,4,2)&amp;"."&amp;RIGHT('Informe Kelly'!E918,4),'Informe Kelly'!E918),'Informe Kelly'!E918)</f>
        <v>15.04.2011</v>
      </c>
      <c r="D925" s="69" t="str">
        <f>IF('Informe Kelly'!E918="","",'Informe Kelly'!E918)</f>
        <v>15.04.2011</v>
      </c>
      <c r="E925" s="72">
        <f t="shared" si="29"/>
        <v>470</v>
      </c>
      <c r="F925" s="72" t="str">
        <f>IFERROR(HLOOKUP(C925,Ingreso!$Q$8:$AD$9,2,FALSE),"v")</f>
        <v>Viernes</v>
      </c>
      <c r="G925" s="65" t="str">
        <f>IFERROR(VLOOKUP(A925,Ingreso!K:P,6,FALSE),"no esta ingresado")</f>
        <v>Turno A</v>
      </c>
      <c r="H925" s="65" t="str">
        <f>IFERROR(IF('Informe Kelly'!H918=$A$2,'Informe Kelly'!F918,""),0)</f>
        <v/>
      </c>
      <c r="I925" s="65">
        <f>IFERROR(IF('Informe Kelly'!H918=$A$3,'Informe Kelly'!F918,""),0)</f>
        <v>0.63396990740740744</v>
      </c>
      <c r="J925" s="65" t="str">
        <f>IF(IFERROR(IF(E925=E924,0,(HLOOKUP(D925,Ingreso!$AN$10:$AT$260,VLOOKUP(A925,Ingreso!$AL$11:$AM$260,2,FALSE)))/24),0)=0,"",IFERROR(IF(E925=E924,0,(HLOOKUP(D925,Ingreso!$AN$10:$AT$260,VLOOKUP(A925,Ingreso!$AL$11:$AM$260,2,FALSE)))/24),0))</f>
        <v/>
      </c>
      <c r="K925" s="65" t="str">
        <f>IF(IFERROR(IF(E925=E924,0,(HLOOKUP(C925,Ingreso!$AW$10:$BC$260,VLOOKUP(A925,Ingreso!$AL$11:$AM$260,2,FALSE)))/24),0)=0,"",IFERROR(IF(E925=E924,0,(HLOOKUP(C925,Ingreso!$AW$10:$BC$260,VLOOKUP(A925,Ingreso!$AL$11:$AM$260,2,FALSE)))/24),0))</f>
        <v/>
      </c>
      <c r="L925" s="63">
        <f t="shared" si="28"/>
        <v>0.3125</v>
      </c>
      <c r="M925" s="63" t="str">
        <f>IF(IFERROR(IF(C925=C923,0,IF(E925=E924,0,IF(C925=$R$2,HLOOKUP($R$2,Ingreso!$AW$10:$BC$260,VLOOKUP(A925,Ingreso!AL:AM,2,FALSE),FALSE)/24,""))),"")=0,"",IFERROR(IF(C925=C923,0,IF(E925=E924,0,IF(C925=$R$2,HLOOKUP($R$2,Ingreso!$AW$10:$BC$260,VLOOKUP(A925,Ingreso!AL:AM,2,FALSE),FALSE)/24,""))),""))</f>
        <v/>
      </c>
      <c r="N925" s="95" t="str">
        <f>IF(IFERROR(IF(C925=C923,0,IF(E925=E924,0,IF(C925=$R$3,HLOOKUP($R$3,Ingreso!$AW$10:$BC$260,VLOOKUP(A925,Ingreso!AL:AM,2,FALSE),FALSE)/24,""))),"")=0,"",IFERROR(IF(C925=C923,0,IF(E925=E924,0,IF(C925=$R$3,HLOOKUP($R$3,Ingreso!$AW$10:$BC$260,VLOOKUP(A925,Ingreso!AL:AM,2,FALSE),FALSE)/24,""))),""))</f>
        <v/>
      </c>
      <c r="O925" s="95" t="str">
        <f>IF(IFERROR(IF(C925=C923,0,IF(E925=E924,0,IF(C925=$R$4,HLOOKUP($R$4,Ingreso!$AW$10:$BC$260,VLOOKUP(A925,Ingreso!AL:AM,2,FALSE),FALSE)/24,""))),"")=0,"",IFERROR(IF(C925=C923,0,IF(E925=E924,0,IF(C925=$R$4,HLOOKUP($R$4,Ingreso!$AW$10:$BC$260,VLOOKUP(A925,Ingreso!AL:AM,2,FALSE),FALSE)/24,""))),""))</f>
        <v/>
      </c>
      <c r="P925" s="90"/>
      <c r="V925"/>
      <c r="W925"/>
      <c r="X925"/>
      <c r="Y925"/>
      <c r="Z925"/>
      <c r="AA925"/>
      <c r="AB925"/>
      <c r="AC925"/>
      <c r="AD925"/>
    </row>
    <row r="926" spans="1:30">
      <c r="A926" s="65" t="str">
        <f>IFERROR(VLOOKUP('Informe Kelly'!A919,Base!A:B,2,FALSE),"")</f>
        <v>16.031.949-6</v>
      </c>
      <c r="B926" s="65" t="str">
        <f>IFERROR(VLOOKUP('Informe Kelly'!A919,Base!A:G,7,FALSE),"")</f>
        <v>ESPINOZA MORENO JONATHAN</v>
      </c>
      <c r="C926" s="69" t="str">
        <f>IF(G926=$C$4,IF('Informe Kelly'!H919='Control informe Kelly'!$A$2,TEXT(((LEFT('Informe Kelly'!E919,2)*1)+1),"dd")&amp;"."&amp;MID('Informe Kelly'!E919,4,2)&amp;"."&amp;RIGHT('Informe Kelly'!E919,4),'Informe Kelly'!E919),'Informe Kelly'!E919)</f>
        <v>15.04.2011</v>
      </c>
      <c r="D926" s="69" t="str">
        <f>IF('Informe Kelly'!E919="","",'Informe Kelly'!E919)</f>
        <v>15.04.2011</v>
      </c>
      <c r="E926" s="72">
        <f t="shared" si="29"/>
        <v>470</v>
      </c>
      <c r="F926" s="72" t="str">
        <f>IFERROR(HLOOKUP(C926,Ingreso!$Q$8:$AD$9,2,FALSE),"v")</f>
        <v>Viernes</v>
      </c>
      <c r="G926" s="65" t="str">
        <f>IFERROR(VLOOKUP(A926,Ingreso!K:P,6,FALSE),"no esta ingresado")</f>
        <v>Turno A</v>
      </c>
      <c r="H926" s="65">
        <f>IFERROR(IF('Informe Kelly'!H919=$A$2,'Informe Kelly'!F919,""),0)</f>
        <v>0.29649305555555555</v>
      </c>
      <c r="I926" s="65" t="str">
        <f>IFERROR(IF('Informe Kelly'!H919=$A$3,'Informe Kelly'!F919,""),0)</f>
        <v/>
      </c>
      <c r="J926" s="65" t="str">
        <f>IF(IFERROR(IF(E926=E925,0,(HLOOKUP(D926,Ingreso!$AN$10:$AT$260,VLOOKUP(A926,Ingreso!$AL$11:$AM$260,2,FALSE)))/24),0)=0,"",IFERROR(IF(E926=E925,0,(HLOOKUP(D926,Ingreso!$AN$10:$AT$260,VLOOKUP(A926,Ingreso!$AL$11:$AM$260,2,FALSE)))/24),0))</f>
        <v/>
      </c>
      <c r="K926" s="65" t="str">
        <f>IF(IFERROR(IF(E926=E925,0,(HLOOKUP(C926,Ingreso!$AW$10:$BC$260,VLOOKUP(A926,Ingreso!$AL$11:$AM$260,2,FALSE)))/24),0)=0,"",IFERROR(IF(E926=E925,0,(HLOOKUP(C926,Ingreso!$AW$10:$BC$260,VLOOKUP(A926,Ingreso!$AL$11:$AM$260,2,FALSE)))/24),0))</f>
        <v/>
      </c>
      <c r="L926" s="63">
        <f t="shared" si="28"/>
        <v>0</v>
      </c>
      <c r="M926" s="63" t="str">
        <f>IF(IFERROR(IF(C926=C924,0,IF(E926=E925,0,IF(C926=$R$2,HLOOKUP($R$2,Ingreso!$AW$10:$BC$260,VLOOKUP(A926,Ingreso!AL:AM,2,FALSE),FALSE)/24,""))),"")=0,"",IFERROR(IF(C926=C924,0,IF(E926=E925,0,IF(C926=$R$2,HLOOKUP($R$2,Ingreso!$AW$10:$BC$260,VLOOKUP(A926,Ingreso!AL:AM,2,FALSE),FALSE)/24,""))),""))</f>
        <v/>
      </c>
      <c r="N926" s="95" t="str">
        <f>IF(IFERROR(IF(C926=C924,0,IF(E926=E925,0,IF(C926=$R$3,HLOOKUP($R$3,Ingreso!$AW$10:$BC$260,VLOOKUP(A926,Ingreso!AL:AM,2,FALSE),FALSE)/24,""))),"")=0,"",IFERROR(IF(C926=C924,0,IF(E926=E925,0,IF(C926=$R$3,HLOOKUP($R$3,Ingreso!$AW$10:$BC$260,VLOOKUP(A926,Ingreso!AL:AM,2,FALSE),FALSE)/24,""))),""))</f>
        <v/>
      </c>
      <c r="O926" s="95" t="str">
        <f>IF(IFERROR(IF(C926=C924,0,IF(E926=E925,0,IF(C926=$R$4,HLOOKUP($R$4,Ingreso!$AW$10:$BC$260,VLOOKUP(A926,Ingreso!AL:AM,2,FALSE),FALSE)/24,""))),"")=0,"",IFERROR(IF(C926=C924,0,IF(E926=E925,0,IF(C926=$R$4,HLOOKUP($R$4,Ingreso!$AW$10:$BC$260,VLOOKUP(A926,Ingreso!AL:AM,2,FALSE),FALSE)/24,""))),""))</f>
        <v/>
      </c>
      <c r="P926" s="90"/>
      <c r="V926"/>
      <c r="W926"/>
      <c r="X926"/>
      <c r="Y926"/>
      <c r="Z926"/>
      <c r="AA926"/>
      <c r="AB926"/>
      <c r="AC926"/>
      <c r="AD926"/>
    </row>
    <row r="927" spans="1:30">
      <c r="A927" s="65" t="str">
        <f>IFERROR(VLOOKUP('Informe Kelly'!A920,Base!A:B,2,FALSE),"")</f>
        <v>16.031.949-6</v>
      </c>
      <c r="B927" s="65" t="str">
        <f>IFERROR(VLOOKUP('Informe Kelly'!A920,Base!A:G,7,FALSE),"")</f>
        <v>ESPINOZA MORENO JONATHAN</v>
      </c>
      <c r="C927" s="69" t="str">
        <f>IF(G927=$C$4,IF('Informe Kelly'!H920='Control informe Kelly'!$A$2,TEXT(((LEFT('Informe Kelly'!E920,2)*1)+1),"dd")&amp;"."&amp;MID('Informe Kelly'!E920,4,2)&amp;"."&amp;RIGHT('Informe Kelly'!E920,4),'Informe Kelly'!E920),'Informe Kelly'!E920)</f>
        <v>16.04.2011</v>
      </c>
      <c r="D927" s="69" t="str">
        <f>IF('Informe Kelly'!E920="","",'Informe Kelly'!E920)</f>
        <v>16.04.2011</v>
      </c>
      <c r="E927" s="72">
        <f t="shared" si="29"/>
        <v>471</v>
      </c>
      <c r="F927" s="72" t="str">
        <f>IFERROR(HLOOKUP(C927,Ingreso!$Q$8:$AD$9,2,FALSE),"v")</f>
        <v>Sábado</v>
      </c>
      <c r="G927" s="65" t="str">
        <f>IFERROR(VLOOKUP(A927,Ingreso!K:P,6,FALSE),"no esta ingresado")</f>
        <v>Turno A</v>
      </c>
      <c r="H927" s="65" t="str">
        <f>IFERROR(IF('Informe Kelly'!H920=$A$2,'Informe Kelly'!F920,""),0)</f>
        <v/>
      </c>
      <c r="I927" s="65">
        <f>IFERROR(IF('Informe Kelly'!H920=$A$3,'Informe Kelly'!F920,""),0)</f>
        <v>0.63657407407407407</v>
      </c>
      <c r="J927" s="65" t="str">
        <f>IF(IFERROR(IF(E927=E926,0,(HLOOKUP(D927,Ingreso!$AN$10:$AT$260,VLOOKUP(A927,Ingreso!$AL$11:$AM$260,2,FALSE)))/24),0)=0,"",IFERROR(IF(E927=E926,0,(HLOOKUP(D927,Ingreso!$AN$10:$AT$260,VLOOKUP(A927,Ingreso!$AL$11:$AM$260,2,FALSE)))/24),0))</f>
        <v/>
      </c>
      <c r="K927" s="65" t="str">
        <f>IF(IFERROR(IF(E927=E926,0,(HLOOKUP(C927,Ingreso!$AW$10:$BC$260,VLOOKUP(A927,Ingreso!$AL$11:$AM$260,2,FALSE)))/24),0)=0,"",IFERROR(IF(E927=E926,0,(HLOOKUP(C927,Ingreso!$AW$10:$BC$260,VLOOKUP(A927,Ingreso!$AL$11:$AM$260,2,FALSE)))/24),0))</f>
        <v/>
      </c>
      <c r="L927" s="63">
        <f t="shared" si="28"/>
        <v>0.3125</v>
      </c>
      <c r="M927" s="63" t="str">
        <f>IF(IFERROR(IF(C927=C925,0,IF(E927=E926,0,IF(C927=$R$2,HLOOKUP($R$2,Ingreso!$AW$10:$BC$260,VLOOKUP(A927,Ingreso!AL:AM,2,FALSE),FALSE)/24,""))),"")=0,"",IFERROR(IF(C927=C925,0,IF(E927=E926,0,IF(C927=$R$2,HLOOKUP($R$2,Ingreso!$AW$10:$BC$260,VLOOKUP(A927,Ingreso!AL:AM,2,FALSE),FALSE)/24,""))),""))</f>
        <v/>
      </c>
      <c r="N927" s="95" t="str">
        <f>IF(IFERROR(IF(C927=C925,0,IF(E927=E926,0,IF(C927=$R$3,HLOOKUP($R$3,Ingreso!$AW$10:$BC$260,VLOOKUP(A927,Ingreso!AL:AM,2,FALSE),FALSE)/24,""))),"")=0,"",IFERROR(IF(C927=C925,0,IF(E927=E926,0,IF(C927=$R$3,HLOOKUP($R$3,Ingreso!$AW$10:$BC$260,VLOOKUP(A927,Ingreso!AL:AM,2,FALSE),FALSE)/24,""))),""))</f>
        <v/>
      </c>
      <c r="O927" s="95" t="str">
        <f>IF(IFERROR(IF(C927=C925,0,IF(E927=E926,0,IF(C927=$R$4,HLOOKUP($R$4,Ingreso!$AW$10:$BC$260,VLOOKUP(A927,Ingreso!AL:AM,2,FALSE),FALSE)/24,""))),"")=0,"",IFERROR(IF(C927=C925,0,IF(E927=E926,0,IF(C927=$R$4,HLOOKUP($R$4,Ingreso!$AW$10:$BC$260,VLOOKUP(A927,Ingreso!AL:AM,2,FALSE),FALSE)/24,""))),""))</f>
        <v/>
      </c>
      <c r="P927" s="90"/>
      <c r="V927"/>
      <c r="W927"/>
      <c r="X927"/>
      <c r="Y927"/>
      <c r="Z927"/>
      <c r="AA927"/>
      <c r="AB927"/>
      <c r="AC927"/>
      <c r="AD927"/>
    </row>
    <row r="928" spans="1:30">
      <c r="A928" s="65" t="str">
        <f>IFERROR(VLOOKUP('Informe Kelly'!A921,Base!A:B,2,FALSE),"")</f>
        <v>16.031.949-6</v>
      </c>
      <c r="B928" s="65" t="str">
        <f>IFERROR(VLOOKUP('Informe Kelly'!A921,Base!A:G,7,FALSE),"")</f>
        <v>ESPINOZA MORENO JONATHAN</v>
      </c>
      <c r="C928" s="69" t="str">
        <f>IF(G928=$C$4,IF('Informe Kelly'!H921='Control informe Kelly'!$A$2,TEXT(((LEFT('Informe Kelly'!E921,2)*1)+1),"dd")&amp;"."&amp;MID('Informe Kelly'!E921,4,2)&amp;"."&amp;RIGHT('Informe Kelly'!E921,4),'Informe Kelly'!E921),'Informe Kelly'!E921)</f>
        <v>16.04.2011</v>
      </c>
      <c r="D928" s="69" t="str">
        <f>IF('Informe Kelly'!E921="","",'Informe Kelly'!E921)</f>
        <v>16.04.2011</v>
      </c>
      <c r="E928" s="72">
        <f t="shared" si="29"/>
        <v>471</v>
      </c>
      <c r="F928" s="72" t="str">
        <f>IFERROR(HLOOKUP(C928,Ingreso!$Q$8:$AD$9,2,FALSE),"v")</f>
        <v>Sábado</v>
      </c>
      <c r="G928" s="65" t="str">
        <f>IFERROR(VLOOKUP(A928,Ingreso!K:P,6,FALSE),"no esta ingresado")</f>
        <v>Turno A</v>
      </c>
      <c r="H928" s="65">
        <f>IFERROR(IF('Informe Kelly'!H921=$A$2,'Informe Kelly'!F921,""),0)</f>
        <v>0.29293981481481485</v>
      </c>
      <c r="I928" s="65" t="str">
        <f>IFERROR(IF('Informe Kelly'!H921=$A$3,'Informe Kelly'!F921,""),0)</f>
        <v/>
      </c>
      <c r="J928" s="65" t="str">
        <f>IF(IFERROR(IF(E928=E927,0,(HLOOKUP(D928,Ingreso!$AN$10:$AT$260,VLOOKUP(A928,Ingreso!$AL$11:$AM$260,2,FALSE)))/24),0)=0,"",IFERROR(IF(E928=E927,0,(HLOOKUP(D928,Ingreso!$AN$10:$AT$260,VLOOKUP(A928,Ingreso!$AL$11:$AM$260,2,FALSE)))/24),0))</f>
        <v/>
      </c>
      <c r="K928" s="65" t="str">
        <f>IF(IFERROR(IF(E928=E927,0,(HLOOKUP(C928,Ingreso!$AW$10:$BC$260,VLOOKUP(A928,Ingreso!$AL$11:$AM$260,2,FALSE)))/24),0)=0,"",IFERROR(IF(E928=E927,0,(HLOOKUP(C928,Ingreso!$AW$10:$BC$260,VLOOKUP(A928,Ingreso!$AL$11:$AM$260,2,FALSE)))/24),0))</f>
        <v/>
      </c>
      <c r="L928" s="63">
        <f t="shared" si="28"/>
        <v>0</v>
      </c>
      <c r="M928" s="63" t="str">
        <f>IF(IFERROR(IF(C928=C926,0,IF(E928=E927,0,IF(C928=$R$2,HLOOKUP($R$2,Ingreso!$AW$10:$BC$260,VLOOKUP(A928,Ingreso!AL:AM,2,FALSE),FALSE)/24,""))),"")=0,"",IFERROR(IF(C928=C926,0,IF(E928=E927,0,IF(C928=$R$2,HLOOKUP($R$2,Ingreso!$AW$10:$BC$260,VLOOKUP(A928,Ingreso!AL:AM,2,FALSE),FALSE)/24,""))),""))</f>
        <v/>
      </c>
      <c r="N928" s="95" t="str">
        <f>IF(IFERROR(IF(C928=C926,0,IF(E928=E927,0,IF(C928=$R$3,HLOOKUP($R$3,Ingreso!$AW$10:$BC$260,VLOOKUP(A928,Ingreso!AL:AM,2,FALSE),FALSE)/24,""))),"")=0,"",IFERROR(IF(C928=C926,0,IF(E928=E927,0,IF(C928=$R$3,HLOOKUP($R$3,Ingreso!$AW$10:$BC$260,VLOOKUP(A928,Ingreso!AL:AM,2,FALSE),FALSE)/24,""))),""))</f>
        <v/>
      </c>
      <c r="O928" s="95" t="str">
        <f>IF(IFERROR(IF(C928=C926,0,IF(E928=E927,0,IF(C928=$R$4,HLOOKUP($R$4,Ingreso!$AW$10:$BC$260,VLOOKUP(A928,Ingreso!AL:AM,2,FALSE),FALSE)/24,""))),"")=0,"",IFERROR(IF(C928=C926,0,IF(E928=E927,0,IF(C928=$R$4,HLOOKUP($R$4,Ingreso!$AW$10:$BC$260,VLOOKUP(A928,Ingreso!AL:AM,2,FALSE),FALSE)/24,""))),""))</f>
        <v/>
      </c>
      <c r="P928" s="90"/>
      <c r="V928"/>
      <c r="W928"/>
      <c r="X928"/>
      <c r="Y928"/>
      <c r="Z928"/>
      <c r="AA928"/>
      <c r="AB928"/>
      <c r="AC928"/>
      <c r="AD928"/>
    </row>
    <row r="929" spans="1:30">
      <c r="A929" s="65" t="str">
        <f>IFERROR(VLOOKUP('Informe Kelly'!A922,Base!A:B,2,FALSE),"")</f>
        <v>16.132.065-K</v>
      </c>
      <c r="B929" s="65" t="str">
        <f>IFERROR(VLOOKUP('Informe Kelly'!A922,Base!A:G,7,FALSE),"")</f>
        <v>GALLARDO LUCERO EMERSON</v>
      </c>
      <c r="C929" s="69" t="str">
        <f>IF(G929=$C$4,IF('Informe Kelly'!H922='Control informe Kelly'!$A$2,TEXT(((LEFT('Informe Kelly'!E922,2)*1)+1),"dd")&amp;"."&amp;MID('Informe Kelly'!E922,4,2)&amp;"."&amp;RIGHT('Informe Kelly'!E922,4),'Informe Kelly'!E922),'Informe Kelly'!E922)</f>
        <v>11.04.2011</v>
      </c>
      <c r="D929" s="69" t="str">
        <f>IF('Informe Kelly'!E922="","",'Informe Kelly'!E922)</f>
        <v>11.04.2011</v>
      </c>
      <c r="E929" s="72">
        <f t="shared" si="29"/>
        <v>472</v>
      </c>
      <c r="F929" s="72" t="str">
        <f>IFERROR(HLOOKUP(C929,Ingreso!$Q$8:$AD$9,2,FALSE),"v")</f>
        <v>Lunes</v>
      </c>
      <c r="G929" s="65" t="str">
        <f>IFERROR(VLOOKUP(A929,Ingreso!K:P,6,FALSE),"no esta ingresado")</f>
        <v>Turno A</v>
      </c>
      <c r="H929" s="65" t="str">
        <f>IFERROR(IF('Informe Kelly'!H922=$A$2,'Informe Kelly'!F922,""),0)</f>
        <v/>
      </c>
      <c r="I929" s="65">
        <f>IFERROR(IF('Informe Kelly'!H922=$A$3,'Informe Kelly'!F922,""),0)</f>
        <v>0.62672453703703701</v>
      </c>
      <c r="J929" s="65" t="str">
        <f>IF(IFERROR(IF(E929=E928,0,(HLOOKUP(D929,Ingreso!$AN$10:$AT$260,VLOOKUP(A929,Ingreso!$AL$11:$AM$260,2,FALSE)))/24),0)=0,"",IFERROR(IF(E929=E928,0,(HLOOKUP(D929,Ingreso!$AN$10:$AT$260,VLOOKUP(A929,Ingreso!$AL$11:$AM$260,2,FALSE)))/24),0))</f>
        <v/>
      </c>
      <c r="K929" s="65" t="str">
        <f>IF(IFERROR(IF(E929=E928,0,(HLOOKUP(C929,Ingreso!$AW$10:$BC$260,VLOOKUP(A929,Ingreso!$AL$11:$AM$260,2,FALSE)))/24),0)=0,"",IFERROR(IF(E929=E928,0,(HLOOKUP(C929,Ingreso!$AW$10:$BC$260,VLOOKUP(A929,Ingreso!$AL$11:$AM$260,2,FALSE)))/24),0))</f>
        <v/>
      </c>
      <c r="L929" s="63">
        <f t="shared" si="28"/>
        <v>0.3125</v>
      </c>
      <c r="M929" s="63" t="str">
        <f>IF(IFERROR(IF(C929=C927,0,IF(E929=E928,0,IF(C929=$R$2,HLOOKUP($R$2,Ingreso!$AW$10:$BC$260,VLOOKUP(A929,Ingreso!AL:AM,2,FALSE),FALSE)/24,""))),"")=0,"",IFERROR(IF(C929=C927,0,IF(E929=E928,0,IF(C929=$R$2,HLOOKUP($R$2,Ingreso!$AW$10:$BC$260,VLOOKUP(A929,Ingreso!AL:AM,2,FALSE),FALSE)/24,""))),""))</f>
        <v/>
      </c>
      <c r="N929" s="95" t="str">
        <f>IF(IFERROR(IF(C929=C927,0,IF(E929=E928,0,IF(C929=$R$3,HLOOKUP($R$3,Ingreso!$AW$10:$BC$260,VLOOKUP(A929,Ingreso!AL:AM,2,FALSE),FALSE)/24,""))),"")=0,"",IFERROR(IF(C929=C927,0,IF(E929=E928,0,IF(C929=$R$3,HLOOKUP($R$3,Ingreso!$AW$10:$BC$260,VLOOKUP(A929,Ingreso!AL:AM,2,FALSE),FALSE)/24,""))),""))</f>
        <v/>
      </c>
      <c r="O929" s="95" t="str">
        <f>IF(IFERROR(IF(C929=C927,0,IF(E929=E928,0,IF(C929=$R$4,HLOOKUP($R$4,Ingreso!$AW$10:$BC$260,VLOOKUP(A929,Ingreso!AL:AM,2,FALSE),FALSE)/24,""))),"")=0,"",IFERROR(IF(C929=C927,0,IF(E929=E928,0,IF(C929=$R$4,HLOOKUP($R$4,Ingreso!$AW$10:$BC$260,VLOOKUP(A929,Ingreso!AL:AM,2,FALSE),FALSE)/24,""))),""))</f>
        <v/>
      </c>
      <c r="P929" s="90"/>
      <c r="V929"/>
      <c r="W929"/>
      <c r="X929"/>
      <c r="Y929"/>
      <c r="Z929"/>
      <c r="AA929"/>
      <c r="AB929"/>
      <c r="AC929"/>
      <c r="AD929"/>
    </row>
    <row r="930" spans="1:30">
      <c r="A930" s="65" t="str">
        <f>IFERROR(VLOOKUP('Informe Kelly'!A923,Base!A:B,2,FALSE),"")</f>
        <v>16.132.065-K</v>
      </c>
      <c r="B930" s="65" t="str">
        <f>IFERROR(VLOOKUP('Informe Kelly'!A923,Base!A:G,7,FALSE),"")</f>
        <v>GALLARDO LUCERO EMERSON</v>
      </c>
      <c r="C930" s="69" t="str">
        <f>IF(G930=$C$4,IF('Informe Kelly'!H923='Control informe Kelly'!$A$2,TEXT(((LEFT('Informe Kelly'!E923,2)*1)+1),"dd")&amp;"."&amp;MID('Informe Kelly'!E923,4,2)&amp;"."&amp;RIGHT('Informe Kelly'!E923,4),'Informe Kelly'!E923),'Informe Kelly'!E923)</f>
        <v>11.04.2011</v>
      </c>
      <c r="D930" s="69" t="str">
        <f>IF('Informe Kelly'!E923="","",'Informe Kelly'!E923)</f>
        <v>11.04.2011</v>
      </c>
      <c r="E930" s="72">
        <f t="shared" si="29"/>
        <v>472</v>
      </c>
      <c r="F930" s="72" t="str">
        <f>IFERROR(HLOOKUP(C930,Ingreso!$Q$8:$AD$9,2,FALSE),"v")</f>
        <v>Lunes</v>
      </c>
      <c r="G930" s="65" t="str">
        <f>IFERROR(VLOOKUP(A930,Ingreso!K:P,6,FALSE),"no esta ingresado")</f>
        <v>Turno A</v>
      </c>
      <c r="H930" s="65">
        <f>IFERROR(IF('Informe Kelly'!H923=$A$2,'Informe Kelly'!F923,""),0)</f>
        <v>0.30380787037037038</v>
      </c>
      <c r="I930" s="65" t="str">
        <f>IFERROR(IF('Informe Kelly'!H923=$A$3,'Informe Kelly'!F923,""),0)</f>
        <v/>
      </c>
      <c r="J930" s="65" t="str">
        <f>IF(IFERROR(IF(E930=E929,0,(HLOOKUP(D930,Ingreso!$AN$10:$AT$260,VLOOKUP(A930,Ingreso!$AL$11:$AM$260,2,FALSE)))/24),0)=0,"",IFERROR(IF(E930=E929,0,(HLOOKUP(D930,Ingreso!$AN$10:$AT$260,VLOOKUP(A930,Ingreso!$AL$11:$AM$260,2,FALSE)))/24),0))</f>
        <v/>
      </c>
      <c r="K930" s="65" t="str">
        <f>IF(IFERROR(IF(E930=E929,0,(HLOOKUP(C930,Ingreso!$AW$10:$BC$260,VLOOKUP(A930,Ingreso!$AL$11:$AM$260,2,FALSE)))/24),0)=0,"",IFERROR(IF(E930=E929,0,(HLOOKUP(C930,Ingreso!$AW$10:$BC$260,VLOOKUP(A930,Ingreso!$AL$11:$AM$260,2,FALSE)))/24),0))</f>
        <v/>
      </c>
      <c r="L930" s="63">
        <f t="shared" si="28"/>
        <v>0</v>
      </c>
      <c r="M930" s="63" t="str">
        <f>IF(IFERROR(IF(C930=C928,0,IF(E930=E929,0,IF(C930=$R$2,HLOOKUP($R$2,Ingreso!$AW$10:$BC$260,VLOOKUP(A930,Ingreso!AL:AM,2,FALSE),FALSE)/24,""))),"")=0,"",IFERROR(IF(C930=C928,0,IF(E930=E929,0,IF(C930=$R$2,HLOOKUP($R$2,Ingreso!$AW$10:$BC$260,VLOOKUP(A930,Ingreso!AL:AM,2,FALSE),FALSE)/24,""))),""))</f>
        <v/>
      </c>
      <c r="N930" s="95" t="str">
        <f>IF(IFERROR(IF(C930=C928,0,IF(E930=E929,0,IF(C930=$R$3,HLOOKUP($R$3,Ingreso!$AW$10:$BC$260,VLOOKUP(A930,Ingreso!AL:AM,2,FALSE),FALSE)/24,""))),"")=0,"",IFERROR(IF(C930=C928,0,IF(E930=E929,0,IF(C930=$R$3,HLOOKUP($R$3,Ingreso!$AW$10:$BC$260,VLOOKUP(A930,Ingreso!AL:AM,2,FALSE),FALSE)/24,""))),""))</f>
        <v/>
      </c>
      <c r="O930" s="95" t="str">
        <f>IF(IFERROR(IF(C930=C928,0,IF(E930=E929,0,IF(C930=$R$4,HLOOKUP($R$4,Ingreso!$AW$10:$BC$260,VLOOKUP(A930,Ingreso!AL:AM,2,FALSE),FALSE)/24,""))),"")=0,"",IFERROR(IF(C930=C928,0,IF(E930=E929,0,IF(C930=$R$4,HLOOKUP($R$4,Ingreso!$AW$10:$BC$260,VLOOKUP(A930,Ingreso!AL:AM,2,FALSE),FALSE)/24,""))),""))</f>
        <v/>
      </c>
      <c r="P930" s="90"/>
      <c r="V930"/>
      <c r="W930"/>
      <c r="X930"/>
      <c r="Y930"/>
      <c r="Z930"/>
      <c r="AA930"/>
      <c r="AB930"/>
      <c r="AC930"/>
      <c r="AD930"/>
    </row>
    <row r="931" spans="1:30">
      <c r="A931" s="65" t="str">
        <f>IFERROR(VLOOKUP('Informe Kelly'!A924,Base!A:B,2,FALSE),"")</f>
        <v>16.132.065-K</v>
      </c>
      <c r="B931" s="65" t="str">
        <f>IFERROR(VLOOKUP('Informe Kelly'!A924,Base!A:G,7,FALSE),"")</f>
        <v>GALLARDO LUCERO EMERSON</v>
      </c>
      <c r="C931" s="69" t="str">
        <f>IF(G931=$C$4,IF('Informe Kelly'!H924='Control informe Kelly'!$A$2,TEXT(((LEFT('Informe Kelly'!E924,2)*1)+1),"dd")&amp;"."&amp;MID('Informe Kelly'!E924,4,2)&amp;"."&amp;RIGHT('Informe Kelly'!E924,4),'Informe Kelly'!E924),'Informe Kelly'!E924)</f>
        <v>12.04.2011</v>
      </c>
      <c r="D931" s="69" t="str">
        <f>IF('Informe Kelly'!E924="","",'Informe Kelly'!E924)</f>
        <v>12.04.2011</v>
      </c>
      <c r="E931" s="72">
        <f t="shared" si="29"/>
        <v>473</v>
      </c>
      <c r="F931" s="72" t="str">
        <f>IFERROR(HLOOKUP(C931,Ingreso!$Q$8:$AD$9,2,FALSE),"v")</f>
        <v>Martes</v>
      </c>
      <c r="G931" s="65" t="str">
        <f>IFERROR(VLOOKUP(A931,Ingreso!K:P,6,FALSE),"no esta ingresado")</f>
        <v>Turno A</v>
      </c>
      <c r="H931" s="65" t="str">
        <f>IFERROR(IF('Informe Kelly'!H924=$A$2,'Informe Kelly'!F924,""),0)</f>
        <v/>
      </c>
      <c r="I931" s="65">
        <f>IFERROR(IF('Informe Kelly'!H924=$A$3,'Informe Kelly'!F924,""),0)</f>
        <v>0.63392361111111117</v>
      </c>
      <c r="J931" s="65" t="str">
        <f>IF(IFERROR(IF(E931=E930,0,(HLOOKUP(D931,Ingreso!$AN$10:$AT$260,VLOOKUP(A931,Ingreso!$AL$11:$AM$260,2,FALSE)))/24),0)=0,"",IFERROR(IF(E931=E930,0,(HLOOKUP(D931,Ingreso!$AN$10:$AT$260,VLOOKUP(A931,Ingreso!$AL$11:$AM$260,2,FALSE)))/24),0))</f>
        <v/>
      </c>
      <c r="K931" s="65" t="str">
        <f>IF(IFERROR(IF(E931=E930,0,(HLOOKUP(C931,Ingreso!$AW$10:$BC$260,VLOOKUP(A931,Ingreso!$AL$11:$AM$260,2,FALSE)))/24),0)=0,"",IFERROR(IF(E931=E930,0,(HLOOKUP(C931,Ingreso!$AW$10:$BC$260,VLOOKUP(A931,Ingreso!$AL$11:$AM$260,2,FALSE)))/24),0))</f>
        <v/>
      </c>
      <c r="L931" s="63">
        <f t="shared" si="28"/>
        <v>0.3125</v>
      </c>
      <c r="M931" s="63" t="str">
        <f>IF(IFERROR(IF(C931=C929,0,IF(E931=E930,0,IF(C931=$R$2,HLOOKUP($R$2,Ingreso!$AW$10:$BC$260,VLOOKUP(A931,Ingreso!AL:AM,2,FALSE),FALSE)/24,""))),"")=0,"",IFERROR(IF(C931=C929,0,IF(E931=E930,0,IF(C931=$R$2,HLOOKUP($R$2,Ingreso!$AW$10:$BC$260,VLOOKUP(A931,Ingreso!AL:AM,2,FALSE),FALSE)/24,""))),""))</f>
        <v/>
      </c>
      <c r="N931" s="95" t="str">
        <f>IF(IFERROR(IF(C931=C929,0,IF(E931=E930,0,IF(C931=$R$3,HLOOKUP($R$3,Ingreso!$AW$10:$BC$260,VLOOKUP(A931,Ingreso!AL:AM,2,FALSE),FALSE)/24,""))),"")=0,"",IFERROR(IF(C931=C929,0,IF(E931=E930,0,IF(C931=$R$3,HLOOKUP($R$3,Ingreso!$AW$10:$BC$260,VLOOKUP(A931,Ingreso!AL:AM,2,FALSE),FALSE)/24,""))),""))</f>
        <v/>
      </c>
      <c r="O931" s="95" t="str">
        <f>IF(IFERROR(IF(C931=C929,0,IF(E931=E930,0,IF(C931=$R$4,HLOOKUP($R$4,Ingreso!$AW$10:$BC$260,VLOOKUP(A931,Ingreso!AL:AM,2,FALSE),FALSE)/24,""))),"")=0,"",IFERROR(IF(C931=C929,0,IF(E931=E930,0,IF(C931=$R$4,HLOOKUP($R$4,Ingreso!$AW$10:$BC$260,VLOOKUP(A931,Ingreso!AL:AM,2,FALSE),FALSE)/24,""))),""))</f>
        <v/>
      </c>
      <c r="P931" s="90"/>
      <c r="V931"/>
      <c r="W931"/>
      <c r="X931"/>
      <c r="Y931"/>
      <c r="Z931"/>
      <c r="AA931"/>
      <c r="AB931"/>
      <c r="AC931"/>
      <c r="AD931"/>
    </row>
    <row r="932" spans="1:30">
      <c r="A932" s="65" t="str">
        <f>IFERROR(VLOOKUP('Informe Kelly'!A925,Base!A:B,2,FALSE),"")</f>
        <v>16.132.065-K</v>
      </c>
      <c r="B932" s="65" t="str">
        <f>IFERROR(VLOOKUP('Informe Kelly'!A925,Base!A:G,7,FALSE),"")</f>
        <v>GALLARDO LUCERO EMERSON</v>
      </c>
      <c r="C932" s="69" t="str">
        <f>IF(G932=$C$4,IF('Informe Kelly'!H925='Control informe Kelly'!$A$2,TEXT(((LEFT('Informe Kelly'!E925,2)*1)+1),"dd")&amp;"."&amp;MID('Informe Kelly'!E925,4,2)&amp;"."&amp;RIGHT('Informe Kelly'!E925,4),'Informe Kelly'!E925),'Informe Kelly'!E925)</f>
        <v>12.04.2011</v>
      </c>
      <c r="D932" s="69" t="str">
        <f>IF('Informe Kelly'!E925="","",'Informe Kelly'!E925)</f>
        <v>12.04.2011</v>
      </c>
      <c r="E932" s="72">
        <f t="shared" si="29"/>
        <v>473</v>
      </c>
      <c r="F932" s="72" t="str">
        <f>IFERROR(HLOOKUP(C932,Ingreso!$Q$8:$AD$9,2,FALSE),"v")</f>
        <v>Martes</v>
      </c>
      <c r="G932" s="65" t="str">
        <f>IFERROR(VLOOKUP(A932,Ingreso!K:P,6,FALSE),"no esta ingresado")</f>
        <v>Turno A</v>
      </c>
      <c r="H932" s="65">
        <f>IFERROR(IF('Informe Kelly'!H925=$A$2,'Informe Kelly'!F925,""),0)</f>
        <v>0.2986921296296296</v>
      </c>
      <c r="I932" s="65" t="str">
        <f>IFERROR(IF('Informe Kelly'!H925=$A$3,'Informe Kelly'!F925,""),0)</f>
        <v/>
      </c>
      <c r="J932" s="65" t="str">
        <f>IF(IFERROR(IF(E932=E931,0,(HLOOKUP(D932,Ingreso!$AN$10:$AT$260,VLOOKUP(A932,Ingreso!$AL$11:$AM$260,2,FALSE)))/24),0)=0,"",IFERROR(IF(E932=E931,0,(HLOOKUP(D932,Ingreso!$AN$10:$AT$260,VLOOKUP(A932,Ingreso!$AL$11:$AM$260,2,FALSE)))/24),0))</f>
        <v/>
      </c>
      <c r="K932" s="65" t="str">
        <f>IF(IFERROR(IF(E932=E931,0,(HLOOKUP(C932,Ingreso!$AW$10:$BC$260,VLOOKUP(A932,Ingreso!$AL$11:$AM$260,2,FALSE)))/24),0)=0,"",IFERROR(IF(E932=E931,0,(HLOOKUP(C932,Ingreso!$AW$10:$BC$260,VLOOKUP(A932,Ingreso!$AL$11:$AM$260,2,FALSE)))/24),0))</f>
        <v/>
      </c>
      <c r="L932" s="63">
        <f t="shared" si="28"/>
        <v>0</v>
      </c>
      <c r="M932" s="63" t="str">
        <f>IF(IFERROR(IF(C932=C930,0,IF(E932=E931,0,IF(C932=$R$2,HLOOKUP($R$2,Ingreso!$AW$10:$BC$260,VLOOKUP(A932,Ingreso!AL:AM,2,FALSE),FALSE)/24,""))),"")=0,"",IFERROR(IF(C932=C930,0,IF(E932=E931,0,IF(C932=$R$2,HLOOKUP($R$2,Ingreso!$AW$10:$BC$260,VLOOKUP(A932,Ingreso!AL:AM,2,FALSE),FALSE)/24,""))),""))</f>
        <v/>
      </c>
      <c r="N932" s="95" t="str">
        <f>IF(IFERROR(IF(C932=C930,0,IF(E932=E931,0,IF(C932=$R$3,HLOOKUP($R$3,Ingreso!$AW$10:$BC$260,VLOOKUP(A932,Ingreso!AL:AM,2,FALSE),FALSE)/24,""))),"")=0,"",IFERROR(IF(C932=C930,0,IF(E932=E931,0,IF(C932=$R$3,HLOOKUP($R$3,Ingreso!$AW$10:$BC$260,VLOOKUP(A932,Ingreso!AL:AM,2,FALSE),FALSE)/24,""))),""))</f>
        <v/>
      </c>
      <c r="O932" s="95" t="str">
        <f>IF(IFERROR(IF(C932=C930,0,IF(E932=E931,0,IF(C932=$R$4,HLOOKUP($R$4,Ingreso!$AW$10:$BC$260,VLOOKUP(A932,Ingreso!AL:AM,2,FALSE),FALSE)/24,""))),"")=0,"",IFERROR(IF(C932=C930,0,IF(E932=E931,0,IF(C932=$R$4,HLOOKUP($R$4,Ingreso!$AW$10:$BC$260,VLOOKUP(A932,Ingreso!AL:AM,2,FALSE),FALSE)/24,""))),""))</f>
        <v/>
      </c>
      <c r="P932" s="90"/>
      <c r="V932"/>
      <c r="W932"/>
      <c r="X932"/>
      <c r="Y932"/>
      <c r="Z932"/>
      <c r="AA932"/>
      <c r="AB932"/>
      <c r="AC932"/>
      <c r="AD932"/>
    </row>
    <row r="933" spans="1:30">
      <c r="A933" s="65" t="str">
        <f>IFERROR(VLOOKUP('Informe Kelly'!A926,Base!A:B,2,FALSE),"")</f>
        <v>16.132.065-K</v>
      </c>
      <c r="B933" s="65" t="str">
        <f>IFERROR(VLOOKUP('Informe Kelly'!A926,Base!A:G,7,FALSE),"")</f>
        <v>GALLARDO LUCERO EMERSON</v>
      </c>
      <c r="C933" s="69" t="str">
        <f>IF(G933=$C$4,IF('Informe Kelly'!H926='Control informe Kelly'!$A$2,TEXT(((LEFT('Informe Kelly'!E926,2)*1)+1),"dd")&amp;"."&amp;MID('Informe Kelly'!E926,4,2)&amp;"."&amp;RIGHT('Informe Kelly'!E926,4),'Informe Kelly'!E926),'Informe Kelly'!E926)</f>
        <v>13.04.2011</v>
      </c>
      <c r="D933" s="69" t="str">
        <f>IF('Informe Kelly'!E926="","",'Informe Kelly'!E926)</f>
        <v>13.04.2011</v>
      </c>
      <c r="E933" s="72">
        <f t="shared" si="29"/>
        <v>474</v>
      </c>
      <c r="F933" s="72" t="str">
        <f>IFERROR(HLOOKUP(C933,Ingreso!$Q$8:$AD$9,2,FALSE),"v")</f>
        <v>Miércoles</v>
      </c>
      <c r="G933" s="65" t="str">
        <f>IFERROR(VLOOKUP(A933,Ingreso!K:P,6,FALSE),"no esta ingresado")</f>
        <v>Turno A</v>
      </c>
      <c r="H933" s="65" t="str">
        <f>IFERROR(IF('Informe Kelly'!H926=$A$2,'Informe Kelly'!F926,""),0)</f>
        <v/>
      </c>
      <c r="I933" s="65">
        <f>IFERROR(IF('Informe Kelly'!H926=$A$3,'Informe Kelly'!F926,""),0)</f>
        <v>0.6308449074074074</v>
      </c>
      <c r="J933" s="65" t="str">
        <f>IF(IFERROR(IF(E933=E932,0,(HLOOKUP(D933,Ingreso!$AN$10:$AT$260,VLOOKUP(A933,Ingreso!$AL$11:$AM$260,2,FALSE)))/24),0)=0,"",IFERROR(IF(E933=E932,0,(HLOOKUP(D933,Ingreso!$AN$10:$AT$260,VLOOKUP(A933,Ingreso!$AL$11:$AM$260,2,FALSE)))/24),0))</f>
        <v/>
      </c>
      <c r="K933" s="65" t="str">
        <f>IF(IFERROR(IF(E933=E932,0,(HLOOKUP(C933,Ingreso!$AW$10:$BC$260,VLOOKUP(A933,Ingreso!$AL$11:$AM$260,2,FALSE)))/24),0)=0,"",IFERROR(IF(E933=E932,0,(HLOOKUP(C933,Ingreso!$AW$10:$BC$260,VLOOKUP(A933,Ingreso!$AL$11:$AM$260,2,FALSE)))/24),0))</f>
        <v/>
      </c>
      <c r="L933" s="63">
        <f t="shared" si="28"/>
        <v>0.3125</v>
      </c>
      <c r="M933" s="63" t="str">
        <f>IF(IFERROR(IF(C933=C931,0,IF(E933=E932,0,IF(C933=$R$2,HLOOKUP($R$2,Ingreso!$AW$10:$BC$260,VLOOKUP(A933,Ingreso!AL:AM,2,FALSE),FALSE)/24,""))),"")=0,"",IFERROR(IF(C933=C931,0,IF(E933=E932,0,IF(C933=$R$2,HLOOKUP($R$2,Ingreso!$AW$10:$BC$260,VLOOKUP(A933,Ingreso!AL:AM,2,FALSE),FALSE)/24,""))),""))</f>
        <v/>
      </c>
      <c r="N933" s="95" t="str">
        <f>IF(IFERROR(IF(C933=C931,0,IF(E933=E932,0,IF(C933=$R$3,HLOOKUP($R$3,Ingreso!$AW$10:$BC$260,VLOOKUP(A933,Ingreso!AL:AM,2,FALSE),FALSE)/24,""))),"")=0,"",IFERROR(IF(C933=C931,0,IF(E933=E932,0,IF(C933=$R$3,HLOOKUP($R$3,Ingreso!$AW$10:$BC$260,VLOOKUP(A933,Ingreso!AL:AM,2,FALSE),FALSE)/24,""))),""))</f>
        <v/>
      </c>
      <c r="O933" s="95" t="str">
        <f>IF(IFERROR(IF(C933=C931,0,IF(E933=E932,0,IF(C933=$R$4,HLOOKUP($R$4,Ingreso!$AW$10:$BC$260,VLOOKUP(A933,Ingreso!AL:AM,2,FALSE),FALSE)/24,""))),"")=0,"",IFERROR(IF(C933=C931,0,IF(E933=E932,0,IF(C933=$R$4,HLOOKUP($R$4,Ingreso!$AW$10:$BC$260,VLOOKUP(A933,Ingreso!AL:AM,2,FALSE),FALSE)/24,""))),""))</f>
        <v/>
      </c>
      <c r="P933" s="90"/>
      <c r="V933"/>
      <c r="W933"/>
      <c r="X933"/>
      <c r="Y933"/>
      <c r="Z933"/>
      <c r="AA933"/>
      <c r="AB933"/>
      <c r="AC933"/>
      <c r="AD933"/>
    </row>
    <row r="934" spans="1:30">
      <c r="A934" s="65" t="str">
        <f>IFERROR(VLOOKUP('Informe Kelly'!A927,Base!A:B,2,FALSE),"")</f>
        <v>16.132.065-K</v>
      </c>
      <c r="B934" s="65" t="str">
        <f>IFERROR(VLOOKUP('Informe Kelly'!A927,Base!A:G,7,FALSE),"")</f>
        <v>GALLARDO LUCERO EMERSON</v>
      </c>
      <c r="C934" s="69" t="str">
        <f>IF(G934=$C$4,IF('Informe Kelly'!H927='Control informe Kelly'!$A$2,TEXT(((LEFT('Informe Kelly'!E927,2)*1)+1),"dd")&amp;"."&amp;MID('Informe Kelly'!E927,4,2)&amp;"."&amp;RIGHT('Informe Kelly'!E927,4),'Informe Kelly'!E927),'Informe Kelly'!E927)</f>
        <v>13.04.2011</v>
      </c>
      <c r="D934" s="69" t="str">
        <f>IF('Informe Kelly'!E927="","",'Informe Kelly'!E927)</f>
        <v>13.04.2011</v>
      </c>
      <c r="E934" s="72">
        <f t="shared" si="29"/>
        <v>474</v>
      </c>
      <c r="F934" s="72" t="str">
        <f>IFERROR(HLOOKUP(C934,Ingreso!$Q$8:$AD$9,2,FALSE),"v")</f>
        <v>Miércoles</v>
      </c>
      <c r="G934" s="65" t="str">
        <f>IFERROR(VLOOKUP(A934,Ingreso!K:P,6,FALSE),"no esta ingresado")</f>
        <v>Turno A</v>
      </c>
      <c r="H934" s="65">
        <f>IFERROR(IF('Informe Kelly'!H927=$A$2,'Informe Kelly'!F927,""),0)</f>
        <v>0.3038541666666667</v>
      </c>
      <c r="I934" s="65" t="str">
        <f>IFERROR(IF('Informe Kelly'!H927=$A$3,'Informe Kelly'!F927,""),0)</f>
        <v/>
      </c>
      <c r="J934" s="65" t="str">
        <f>IF(IFERROR(IF(E934=E933,0,(HLOOKUP(D934,Ingreso!$AN$10:$AT$260,VLOOKUP(A934,Ingreso!$AL$11:$AM$260,2,FALSE)))/24),0)=0,"",IFERROR(IF(E934=E933,0,(HLOOKUP(D934,Ingreso!$AN$10:$AT$260,VLOOKUP(A934,Ingreso!$AL$11:$AM$260,2,FALSE)))/24),0))</f>
        <v/>
      </c>
      <c r="K934" s="65" t="str">
        <f>IF(IFERROR(IF(E934=E933,0,(HLOOKUP(C934,Ingreso!$AW$10:$BC$260,VLOOKUP(A934,Ingreso!$AL$11:$AM$260,2,FALSE)))/24),0)=0,"",IFERROR(IF(E934=E933,0,(HLOOKUP(C934,Ingreso!$AW$10:$BC$260,VLOOKUP(A934,Ingreso!$AL$11:$AM$260,2,FALSE)))/24),0))</f>
        <v/>
      </c>
      <c r="L934" s="63">
        <f t="shared" si="28"/>
        <v>0</v>
      </c>
      <c r="M934" s="63" t="str">
        <f>IF(IFERROR(IF(C934=C932,0,IF(E934=E933,0,IF(C934=$R$2,HLOOKUP($R$2,Ingreso!$AW$10:$BC$260,VLOOKUP(A934,Ingreso!AL:AM,2,FALSE),FALSE)/24,""))),"")=0,"",IFERROR(IF(C934=C932,0,IF(E934=E933,0,IF(C934=$R$2,HLOOKUP($R$2,Ingreso!$AW$10:$BC$260,VLOOKUP(A934,Ingreso!AL:AM,2,FALSE),FALSE)/24,""))),""))</f>
        <v/>
      </c>
      <c r="N934" s="95" t="str">
        <f>IF(IFERROR(IF(C934=C932,0,IF(E934=E933,0,IF(C934=$R$3,HLOOKUP($R$3,Ingreso!$AW$10:$BC$260,VLOOKUP(A934,Ingreso!AL:AM,2,FALSE),FALSE)/24,""))),"")=0,"",IFERROR(IF(C934=C932,0,IF(E934=E933,0,IF(C934=$R$3,HLOOKUP($R$3,Ingreso!$AW$10:$BC$260,VLOOKUP(A934,Ingreso!AL:AM,2,FALSE),FALSE)/24,""))),""))</f>
        <v/>
      </c>
      <c r="O934" s="95" t="str">
        <f>IF(IFERROR(IF(C934=C932,0,IF(E934=E933,0,IF(C934=$R$4,HLOOKUP($R$4,Ingreso!$AW$10:$BC$260,VLOOKUP(A934,Ingreso!AL:AM,2,FALSE),FALSE)/24,""))),"")=0,"",IFERROR(IF(C934=C932,0,IF(E934=E933,0,IF(C934=$R$4,HLOOKUP($R$4,Ingreso!$AW$10:$BC$260,VLOOKUP(A934,Ingreso!AL:AM,2,FALSE),FALSE)/24,""))),""))</f>
        <v/>
      </c>
      <c r="P934" s="90"/>
      <c r="V934"/>
      <c r="W934"/>
      <c r="X934"/>
      <c r="Y934"/>
      <c r="Z934"/>
      <c r="AA934"/>
      <c r="AB934"/>
      <c r="AC934"/>
      <c r="AD934"/>
    </row>
    <row r="935" spans="1:30">
      <c r="A935" s="65" t="str">
        <f>IFERROR(VLOOKUP('Informe Kelly'!A928,Base!A:B,2,FALSE),"")</f>
        <v>16.132.065-K</v>
      </c>
      <c r="B935" s="65" t="str">
        <f>IFERROR(VLOOKUP('Informe Kelly'!A928,Base!A:G,7,FALSE),"")</f>
        <v>GALLARDO LUCERO EMERSON</v>
      </c>
      <c r="C935" s="69" t="str">
        <f>IF(G935=$C$4,IF('Informe Kelly'!H928='Control informe Kelly'!$A$2,TEXT(((LEFT('Informe Kelly'!E928,2)*1)+1),"dd")&amp;"."&amp;MID('Informe Kelly'!E928,4,2)&amp;"."&amp;RIGHT('Informe Kelly'!E928,4),'Informe Kelly'!E928),'Informe Kelly'!E928)</f>
        <v>14.04.2011</v>
      </c>
      <c r="D935" s="69" t="str">
        <f>IF('Informe Kelly'!E928="","",'Informe Kelly'!E928)</f>
        <v>14.04.2011</v>
      </c>
      <c r="E935" s="72">
        <f t="shared" si="29"/>
        <v>475</v>
      </c>
      <c r="F935" s="72" t="str">
        <f>IFERROR(HLOOKUP(C935,Ingreso!$Q$8:$AD$9,2,FALSE),"v")</f>
        <v>Jueves</v>
      </c>
      <c r="G935" s="65" t="str">
        <f>IFERROR(VLOOKUP(A935,Ingreso!K:P,6,FALSE),"no esta ingresado")</f>
        <v>Turno A</v>
      </c>
      <c r="H935" s="65" t="str">
        <f>IFERROR(IF('Informe Kelly'!H928=$A$2,'Informe Kelly'!F928,""),0)</f>
        <v/>
      </c>
      <c r="I935" s="65">
        <f>IFERROR(IF('Informe Kelly'!H928=$A$3,'Informe Kelly'!F928,""),0)</f>
        <v>0.62832175925925926</v>
      </c>
      <c r="J935" s="65" t="str">
        <f>IF(IFERROR(IF(E935=E934,0,(HLOOKUP(D935,Ingreso!$AN$10:$AT$260,VLOOKUP(A935,Ingreso!$AL$11:$AM$260,2,FALSE)))/24),0)=0,"",IFERROR(IF(E935=E934,0,(HLOOKUP(D935,Ingreso!$AN$10:$AT$260,VLOOKUP(A935,Ingreso!$AL$11:$AM$260,2,FALSE)))/24),0))</f>
        <v/>
      </c>
      <c r="K935" s="65" t="str">
        <f>IF(IFERROR(IF(E935=E934,0,(HLOOKUP(C935,Ingreso!$AW$10:$BC$260,VLOOKUP(A935,Ingreso!$AL$11:$AM$260,2,FALSE)))/24),0)=0,"",IFERROR(IF(E935=E934,0,(HLOOKUP(C935,Ingreso!$AW$10:$BC$260,VLOOKUP(A935,Ingreso!$AL$11:$AM$260,2,FALSE)))/24),0))</f>
        <v/>
      </c>
      <c r="L935" s="63">
        <f t="shared" si="28"/>
        <v>0.3125</v>
      </c>
      <c r="M935" s="63" t="str">
        <f>IF(IFERROR(IF(C935=C933,0,IF(E935=E934,0,IF(C935=$R$2,HLOOKUP($R$2,Ingreso!$AW$10:$BC$260,VLOOKUP(A935,Ingreso!AL:AM,2,FALSE),FALSE)/24,""))),"")=0,"",IFERROR(IF(C935=C933,0,IF(E935=E934,0,IF(C935=$R$2,HLOOKUP($R$2,Ingreso!$AW$10:$BC$260,VLOOKUP(A935,Ingreso!AL:AM,2,FALSE),FALSE)/24,""))),""))</f>
        <v/>
      </c>
      <c r="N935" s="95" t="str">
        <f>IF(IFERROR(IF(C935=C933,0,IF(E935=E934,0,IF(C935=$R$3,HLOOKUP($R$3,Ingreso!$AW$10:$BC$260,VLOOKUP(A935,Ingreso!AL:AM,2,FALSE),FALSE)/24,""))),"")=0,"",IFERROR(IF(C935=C933,0,IF(E935=E934,0,IF(C935=$R$3,HLOOKUP($R$3,Ingreso!$AW$10:$BC$260,VLOOKUP(A935,Ingreso!AL:AM,2,FALSE),FALSE)/24,""))),""))</f>
        <v/>
      </c>
      <c r="O935" s="95" t="str">
        <f>IF(IFERROR(IF(C935=C933,0,IF(E935=E934,0,IF(C935=$R$4,HLOOKUP($R$4,Ingreso!$AW$10:$BC$260,VLOOKUP(A935,Ingreso!AL:AM,2,FALSE),FALSE)/24,""))),"")=0,"",IFERROR(IF(C935=C933,0,IF(E935=E934,0,IF(C935=$R$4,HLOOKUP($R$4,Ingreso!$AW$10:$BC$260,VLOOKUP(A935,Ingreso!AL:AM,2,FALSE),FALSE)/24,""))),""))</f>
        <v/>
      </c>
      <c r="P935" s="90"/>
      <c r="V935"/>
      <c r="W935"/>
      <c r="X935"/>
      <c r="Y935"/>
      <c r="Z935"/>
      <c r="AA935"/>
      <c r="AB935"/>
      <c r="AC935"/>
      <c r="AD935"/>
    </row>
    <row r="936" spans="1:30">
      <c r="A936" s="65" t="str">
        <f>IFERROR(VLOOKUP('Informe Kelly'!A929,Base!A:B,2,FALSE),"")</f>
        <v>16.132.065-K</v>
      </c>
      <c r="B936" s="65" t="str">
        <f>IFERROR(VLOOKUP('Informe Kelly'!A929,Base!A:G,7,FALSE),"")</f>
        <v>GALLARDO LUCERO EMERSON</v>
      </c>
      <c r="C936" s="69" t="str">
        <f>IF(G936=$C$4,IF('Informe Kelly'!H929='Control informe Kelly'!$A$2,TEXT(((LEFT('Informe Kelly'!E929,2)*1)+1),"dd")&amp;"."&amp;MID('Informe Kelly'!E929,4,2)&amp;"."&amp;RIGHT('Informe Kelly'!E929,4),'Informe Kelly'!E929),'Informe Kelly'!E929)</f>
        <v>14.04.2011</v>
      </c>
      <c r="D936" s="69" t="str">
        <f>IF('Informe Kelly'!E929="","",'Informe Kelly'!E929)</f>
        <v>14.04.2011</v>
      </c>
      <c r="E936" s="72">
        <f t="shared" si="29"/>
        <v>475</v>
      </c>
      <c r="F936" s="72" t="str">
        <f>IFERROR(HLOOKUP(C936,Ingreso!$Q$8:$AD$9,2,FALSE),"v")</f>
        <v>Jueves</v>
      </c>
      <c r="G936" s="65" t="str">
        <f>IFERROR(VLOOKUP(A936,Ingreso!K:P,6,FALSE),"no esta ingresado")</f>
        <v>Turno A</v>
      </c>
      <c r="H936" s="65">
        <f>IFERROR(IF('Informe Kelly'!H929=$A$2,'Informe Kelly'!F929,""),0)</f>
        <v>0.31121527777777774</v>
      </c>
      <c r="I936" s="65" t="str">
        <f>IFERROR(IF('Informe Kelly'!H929=$A$3,'Informe Kelly'!F929,""),0)</f>
        <v/>
      </c>
      <c r="J936" s="65" t="str">
        <f>IF(IFERROR(IF(E936=E935,0,(HLOOKUP(D936,Ingreso!$AN$10:$AT$260,VLOOKUP(A936,Ingreso!$AL$11:$AM$260,2,FALSE)))/24),0)=0,"",IFERROR(IF(E936=E935,0,(HLOOKUP(D936,Ingreso!$AN$10:$AT$260,VLOOKUP(A936,Ingreso!$AL$11:$AM$260,2,FALSE)))/24),0))</f>
        <v/>
      </c>
      <c r="K936" s="65" t="str">
        <f>IF(IFERROR(IF(E936=E935,0,(HLOOKUP(C936,Ingreso!$AW$10:$BC$260,VLOOKUP(A936,Ingreso!$AL$11:$AM$260,2,FALSE)))/24),0)=0,"",IFERROR(IF(E936=E935,0,(HLOOKUP(C936,Ingreso!$AW$10:$BC$260,VLOOKUP(A936,Ingreso!$AL$11:$AM$260,2,FALSE)))/24),0))</f>
        <v/>
      </c>
      <c r="L936" s="63">
        <f t="shared" si="28"/>
        <v>0</v>
      </c>
      <c r="M936" s="63" t="str">
        <f>IF(IFERROR(IF(C936=C934,0,IF(E936=E935,0,IF(C936=$R$2,HLOOKUP($R$2,Ingreso!$AW$10:$BC$260,VLOOKUP(A936,Ingreso!AL:AM,2,FALSE),FALSE)/24,""))),"")=0,"",IFERROR(IF(C936=C934,0,IF(E936=E935,0,IF(C936=$R$2,HLOOKUP($R$2,Ingreso!$AW$10:$BC$260,VLOOKUP(A936,Ingreso!AL:AM,2,FALSE),FALSE)/24,""))),""))</f>
        <v/>
      </c>
      <c r="N936" s="95" t="str">
        <f>IF(IFERROR(IF(C936=C934,0,IF(E936=E935,0,IF(C936=$R$3,HLOOKUP($R$3,Ingreso!$AW$10:$BC$260,VLOOKUP(A936,Ingreso!AL:AM,2,FALSE),FALSE)/24,""))),"")=0,"",IFERROR(IF(C936=C934,0,IF(E936=E935,0,IF(C936=$R$3,HLOOKUP($R$3,Ingreso!$AW$10:$BC$260,VLOOKUP(A936,Ingreso!AL:AM,2,FALSE),FALSE)/24,""))),""))</f>
        <v/>
      </c>
      <c r="O936" s="95" t="str">
        <f>IF(IFERROR(IF(C936=C934,0,IF(E936=E935,0,IF(C936=$R$4,HLOOKUP($R$4,Ingreso!$AW$10:$BC$260,VLOOKUP(A936,Ingreso!AL:AM,2,FALSE),FALSE)/24,""))),"")=0,"",IFERROR(IF(C936=C934,0,IF(E936=E935,0,IF(C936=$R$4,HLOOKUP($R$4,Ingreso!$AW$10:$BC$260,VLOOKUP(A936,Ingreso!AL:AM,2,FALSE),FALSE)/24,""))),""))</f>
        <v/>
      </c>
      <c r="P936" s="90"/>
      <c r="V936"/>
      <c r="W936"/>
      <c r="X936"/>
      <c r="Y936"/>
      <c r="Z936"/>
      <c r="AA936"/>
      <c r="AB936"/>
      <c r="AC936"/>
      <c r="AD936"/>
    </row>
    <row r="937" spans="1:30">
      <c r="A937" s="65" t="str">
        <f>IFERROR(VLOOKUP('Informe Kelly'!A930,Base!A:B,2,FALSE),"")</f>
        <v>16.132.065-K</v>
      </c>
      <c r="B937" s="65" t="str">
        <f>IFERROR(VLOOKUP('Informe Kelly'!A930,Base!A:G,7,FALSE),"")</f>
        <v>GALLARDO LUCERO EMERSON</v>
      </c>
      <c r="C937" s="69" t="str">
        <f>IF(G937=$C$4,IF('Informe Kelly'!H930='Control informe Kelly'!$A$2,TEXT(((LEFT('Informe Kelly'!E930,2)*1)+1),"dd")&amp;"."&amp;MID('Informe Kelly'!E930,4,2)&amp;"."&amp;RIGHT('Informe Kelly'!E930,4),'Informe Kelly'!E930),'Informe Kelly'!E930)</f>
        <v>15.04.2011</v>
      </c>
      <c r="D937" s="69" t="str">
        <f>IF('Informe Kelly'!E930="","",'Informe Kelly'!E930)</f>
        <v>15.04.2011</v>
      </c>
      <c r="E937" s="72">
        <f t="shared" si="29"/>
        <v>476</v>
      </c>
      <c r="F937" s="72" t="str">
        <f>IFERROR(HLOOKUP(C937,Ingreso!$Q$8:$AD$9,2,FALSE),"v")</f>
        <v>Viernes</v>
      </c>
      <c r="G937" s="65" t="str">
        <f>IFERROR(VLOOKUP(A937,Ingreso!K:P,6,FALSE),"no esta ingresado")</f>
        <v>Turno A</v>
      </c>
      <c r="H937" s="65" t="str">
        <f>IFERROR(IF('Informe Kelly'!H930=$A$2,'Informe Kelly'!F930,""),0)</f>
        <v/>
      </c>
      <c r="I937" s="65">
        <f>IFERROR(IF('Informe Kelly'!H930=$A$3,'Informe Kelly'!F930,""),0)</f>
        <v>0.63760416666666664</v>
      </c>
      <c r="J937" s="65" t="str">
        <f>IF(IFERROR(IF(E937=E936,0,(HLOOKUP(D937,Ingreso!$AN$10:$AT$260,VLOOKUP(A937,Ingreso!$AL$11:$AM$260,2,FALSE)))/24),0)=0,"",IFERROR(IF(E937=E936,0,(HLOOKUP(D937,Ingreso!$AN$10:$AT$260,VLOOKUP(A937,Ingreso!$AL$11:$AM$260,2,FALSE)))/24),0))</f>
        <v/>
      </c>
      <c r="K937" s="65" t="str">
        <f>IF(IFERROR(IF(E937=E936,0,(HLOOKUP(C937,Ingreso!$AW$10:$BC$260,VLOOKUP(A937,Ingreso!$AL$11:$AM$260,2,FALSE)))/24),0)=0,"",IFERROR(IF(E937=E936,0,(HLOOKUP(C937,Ingreso!$AW$10:$BC$260,VLOOKUP(A937,Ingreso!$AL$11:$AM$260,2,FALSE)))/24),0))</f>
        <v/>
      </c>
      <c r="L937" s="63">
        <f t="shared" si="28"/>
        <v>0.3125</v>
      </c>
      <c r="M937" s="63" t="str">
        <f>IF(IFERROR(IF(C937=C935,0,IF(E937=E936,0,IF(C937=$R$2,HLOOKUP($R$2,Ingreso!$AW$10:$BC$260,VLOOKUP(A937,Ingreso!AL:AM,2,FALSE),FALSE)/24,""))),"")=0,"",IFERROR(IF(C937=C935,0,IF(E937=E936,0,IF(C937=$R$2,HLOOKUP($R$2,Ingreso!$AW$10:$BC$260,VLOOKUP(A937,Ingreso!AL:AM,2,FALSE),FALSE)/24,""))),""))</f>
        <v/>
      </c>
      <c r="N937" s="95" t="str">
        <f>IF(IFERROR(IF(C937=C935,0,IF(E937=E936,0,IF(C937=$R$3,HLOOKUP($R$3,Ingreso!$AW$10:$BC$260,VLOOKUP(A937,Ingreso!AL:AM,2,FALSE),FALSE)/24,""))),"")=0,"",IFERROR(IF(C937=C935,0,IF(E937=E936,0,IF(C937=$R$3,HLOOKUP($R$3,Ingreso!$AW$10:$BC$260,VLOOKUP(A937,Ingreso!AL:AM,2,FALSE),FALSE)/24,""))),""))</f>
        <v/>
      </c>
      <c r="O937" s="95" t="str">
        <f>IF(IFERROR(IF(C937=C935,0,IF(E937=E936,0,IF(C937=$R$4,HLOOKUP($R$4,Ingreso!$AW$10:$BC$260,VLOOKUP(A937,Ingreso!AL:AM,2,FALSE),FALSE)/24,""))),"")=0,"",IFERROR(IF(C937=C935,0,IF(E937=E936,0,IF(C937=$R$4,HLOOKUP($R$4,Ingreso!$AW$10:$BC$260,VLOOKUP(A937,Ingreso!AL:AM,2,FALSE),FALSE)/24,""))),""))</f>
        <v/>
      </c>
      <c r="P937" s="90"/>
      <c r="V937"/>
      <c r="W937"/>
      <c r="X937"/>
      <c r="Y937"/>
      <c r="Z937"/>
      <c r="AA937"/>
      <c r="AB937"/>
      <c r="AC937"/>
      <c r="AD937"/>
    </row>
    <row r="938" spans="1:30">
      <c r="A938" s="65" t="str">
        <f>IFERROR(VLOOKUP('Informe Kelly'!A931,Base!A:B,2,FALSE),"")</f>
        <v>16.132.065-K</v>
      </c>
      <c r="B938" s="65" t="str">
        <f>IFERROR(VLOOKUP('Informe Kelly'!A931,Base!A:G,7,FALSE),"")</f>
        <v>GALLARDO LUCERO EMERSON</v>
      </c>
      <c r="C938" s="69" t="str">
        <f>IF(G938=$C$4,IF('Informe Kelly'!H931='Control informe Kelly'!$A$2,TEXT(((LEFT('Informe Kelly'!E931,2)*1)+1),"dd")&amp;"."&amp;MID('Informe Kelly'!E931,4,2)&amp;"."&amp;RIGHT('Informe Kelly'!E931,4),'Informe Kelly'!E931),'Informe Kelly'!E931)</f>
        <v>15.04.2011</v>
      </c>
      <c r="D938" s="69" t="str">
        <f>IF('Informe Kelly'!E931="","",'Informe Kelly'!E931)</f>
        <v>15.04.2011</v>
      </c>
      <c r="E938" s="72">
        <f t="shared" si="29"/>
        <v>476</v>
      </c>
      <c r="F938" s="72" t="str">
        <f>IFERROR(HLOOKUP(C938,Ingreso!$Q$8:$AD$9,2,FALSE),"v")</f>
        <v>Viernes</v>
      </c>
      <c r="G938" s="65" t="str">
        <f>IFERROR(VLOOKUP(A938,Ingreso!K:P,6,FALSE),"no esta ingresado")</f>
        <v>Turno A</v>
      </c>
      <c r="H938" s="65">
        <f>IFERROR(IF('Informe Kelly'!H931=$A$2,'Informe Kelly'!F931,""),0)</f>
        <v>0.30528935185185185</v>
      </c>
      <c r="I938" s="65" t="str">
        <f>IFERROR(IF('Informe Kelly'!H931=$A$3,'Informe Kelly'!F931,""),0)</f>
        <v/>
      </c>
      <c r="J938" s="65" t="str">
        <f>IF(IFERROR(IF(E938=E937,0,(HLOOKUP(D938,Ingreso!$AN$10:$AT$260,VLOOKUP(A938,Ingreso!$AL$11:$AM$260,2,FALSE)))/24),0)=0,"",IFERROR(IF(E938=E937,0,(HLOOKUP(D938,Ingreso!$AN$10:$AT$260,VLOOKUP(A938,Ingreso!$AL$11:$AM$260,2,FALSE)))/24),0))</f>
        <v/>
      </c>
      <c r="K938" s="65" t="str">
        <f>IF(IFERROR(IF(E938=E937,0,(HLOOKUP(C938,Ingreso!$AW$10:$BC$260,VLOOKUP(A938,Ingreso!$AL$11:$AM$260,2,FALSE)))/24),0)=0,"",IFERROR(IF(E938=E937,0,(HLOOKUP(C938,Ingreso!$AW$10:$BC$260,VLOOKUP(A938,Ingreso!$AL$11:$AM$260,2,FALSE)))/24),0))</f>
        <v/>
      </c>
      <c r="L938" s="63">
        <f t="shared" si="28"/>
        <v>0</v>
      </c>
      <c r="M938" s="63" t="str">
        <f>IF(IFERROR(IF(C938=C936,0,IF(E938=E937,0,IF(C938=$R$2,HLOOKUP($R$2,Ingreso!$AW$10:$BC$260,VLOOKUP(A938,Ingreso!AL:AM,2,FALSE),FALSE)/24,""))),"")=0,"",IFERROR(IF(C938=C936,0,IF(E938=E937,0,IF(C938=$R$2,HLOOKUP($R$2,Ingreso!$AW$10:$BC$260,VLOOKUP(A938,Ingreso!AL:AM,2,FALSE),FALSE)/24,""))),""))</f>
        <v/>
      </c>
      <c r="N938" s="95" t="str">
        <f>IF(IFERROR(IF(C938=C936,0,IF(E938=E937,0,IF(C938=$R$3,HLOOKUP($R$3,Ingreso!$AW$10:$BC$260,VLOOKUP(A938,Ingreso!AL:AM,2,FALSE),FALSE)/24,""))),"")=0,"",IFERROR(IF(C938=C936,0,IF(E938=E937,0,IF(C938=$R$3,HLOOKUP($R$3,Ingreso!$AW$10:$BC$260,VLOOKUP(A938,Ingreso!AL:AM,2,FALSE),FALSE)/24,""))),""))</f>
        <v/>
      </c>
      <c r="O938" s="95" t="str">
        <f>IF(IFERROR(IF(C938=C936,0,IF(E938=E937,0,IF(C938=$R$4,HLOOKUP($R$4,Ingreso!$AW$10:$BC$260,VLOOKUP(A938,Ingreso!AL:AM,2,FALSE),FALSE)/24,""))),"")=0,"",IFERROR(IF(C938=C936,0,IF(E938=E937,0,IF(C938=$R$4,HLOOKUP($R$4,Ingreso!$AW$10:$BC$260,VLOOKUP(A938,Ingreso!AL:AM,2,FALSE),FALSE)/24,""))),""))</f>
        <v/>
      </c>
      <c r="P938" s="90"/>
      <c r="V938"/>
      <c r="W938"/>
      <c r="X938"/>
      <c r="Y938"/>
      <c r="Z938"/>
      <c r="AA938"/>
      <c r="AB938"/>
      <c r="AC938"/>
      <c r="AD938"/>
    </row>
    <row r="939" spans="1:30">
      <c r="A939" s="65" t="str">
        <f>IFERROR(VLOOKUP('Informe Kelly'!A932,Base!A:B,2,FALSE),"")</f>
        <v>16.132.065-K</v>
      </c>
      <c r="B939" s="65" t="str">
        <f>IFERROR(VLOOKUP('Informe Kelly'!A932,Base!A:G,7,FALSE),"")</f>
        <v>GALLARDO LUCERO EMERSON</v>
      </c>
      <c r="C939" s="69" t="str">
        <f>IF(G939=$C$4,IF('Informe Kelly'!H932='Control informe Kelly'!$A$2,TEXT(((LEFT('Informe Kelly'!E932,2)*1)+1),"dd")&amp;"."&amp;MID('Informe Kelly'!E932,4,2)&amp;"."&amp;RIGHT('Informe Kelly'!E932,4),'Informe Kelly'!E932),'Informe Kelly'!E932)</f>
        <v>16.04.2011</v>
      </c>
      <c r="D939" s="69" t="str">
        <f>IF('Informe Kelly'!E932="","",'Informe Kelly'!E932)</f>
        <v>16.04.2011</v>
      </c>
      <c r="E939" s="72">
        <f t="shared" si="29"/>
        <v>477</v>
      </c>
      <c r="F939" s="72" t="str">
        <f>IFERROR(HLOOKUP(C939,Ingreso!$Q$8:$AD$9,2,FALSE),"v")</f>
        <v>Sábado</v>
      </c>
      <c r="G939" s="65" t="str">
        <f>IFERROR(VLOOKUP(A939,Ingreso!K:P,6,FALSE),"no esta ingresado")</f>
        <v>Turno A</v>
      </c>
      <c r="H939" s="65" t="str">
        <f>IFERROR(IF('Informe Kelly'!H932=$A$2,'Informe Kelly'!F932,""),0)</f>
        <v/>
      </c>
      <c r="I939" s="65">
        <f>IFERROR(IF('Informe Kelly'!H932=$A$3,'Informe Kelly'!F932,""),0)</f>
        <v>0.6396412037037037</v>
      </c>
      <c r="J939" s="65" t="str">
        <f>IF(IFERROR(IF(E939=E938,0,(HLOOKUP(D939,Ingreso!$AN$10:$AT$260,VLOOKUP(A939,Ingreso!$AL$11:$AM$260,2,FALSE)))/24),0)=0,"",IFERROR(IF(E939=E938,0,(HLOOKUP(D939,Ingreso!$AN$10:$AT$260,VLOOKUP(A939,Ingreso!$AL$11:$AM$260,2,FALSE)))/24),0))</f>
        <v/>
      </c>
      <c r="K939" s="65" t="str">
        <f>IF(IFERROR(IF(E939=E938,0,(HLOOKUP(C939,Ingreso!$AW$10:$BC$260,VLOOKUP(A939,Ingreso!$AL$11:$AM$260,2,FALSE)))/24),0)=0,"",IFERROR(IF(E939=E938,0,(HLOOKUP(C939,Ingreso!$AW$10:$BC$260,VLOOKUP(A939,Ingreso!$AL$11:$AM$260,2,FALSE)))/24),0))</f>
        <v/>
      </c>
      <c r="L939" s="63">
        <f t="shared" si="28"/>
        <v>0.3125</v>
      </c>
      <c r="M939" s="63" t="str">
        <f>IF(IFERROR(IF(C939=C937,0,IF(E939=E938,0,IF(C939=$R$2,HLOOKUP($R$2,Ingreso!$AW$10:$BC$260,VLOOKUP(A939,Ingreso!AL:AM,2,FALSE),FALSE)/24,""))),"")=0,"",IFERROR(IF(C939=C937,0,IF(E939=E938,0,IF(C939=$R$2,HLOOKUP($R$2,Ingreso!$AW$10:$BC$260,VLOOKUP(A939,Ingreso!AL:AM,2,FALSE),FALSE)/24,""))),""))</f>
        <v/>
      </c>
      <c r="N939" s="95" t="str">
        <f>IF(IFERROR(IF(C939=C937,0,IF(E939=E938,0,IF(C939=$R$3,HLOOKUP($R$3,Ingreso!$AW$10:$BC$260,VLOOKUP(A939,Ingreso!AL:AM,2,FALSE),FALSE)/24,""))),"")=0,"",IFERROR(IF(C939=C937,0,IF(E939=E938,0,IF(C939=$R$3,HLOOKUP($R$3,Ingreso!$AW$10:$BC$260,VLOOKUP(A939,Ingreso!AL:AM,2,FALSE),FALSE)/24,""))),""))</f>
        <v/>
      </c>
      <c r="O939" s="95" t="str">
        <f>IF(IFERROR(IF(C939=C937,0,IF(E939=E938,0,IF(C939=$R$4,HLOOKUP($R$4,Ingreso!$AW$10:$BC$260,VLOOKUP(A939,Ingreso!AL:AM,2,FALSE),FALSE)/24,""))),"")=0,"",IFERROR(IF(C939=C937,0,IF(E939=E938,0,IF(C939=$R$4,HLOOKUP($R$4,Ingreso!$AW$10:$BC$260,VLOOKUP(A939,Ingreso!AL:AM,2,FALSE),FALSE)/24,""))),""))</f>
        <v/>
      </c>
      <c r="P939" s="90"/>
      <c r="V939"/>
      <c r="W939"/>
      <c r="X939"/>
      <c r="Y939"/>
      <c r="Z939"/>
      <c r="AA939"/>
      <c r="AB939"/>
      <c r="AC939"/>
      <c r="AD939"/>
    </row>
    <row r="940" spans="1:30">
      <c r="A940" s="65" t="str">
        <f>IFERROR(VLOOKUP('Informe Kelly'!A933,Base!A:B,2,FALSE),"")</f>
        <v>16.132.065-K</v>
      </c>
      <c r="B940" s="65" t="str">
        <f>IFERROR(VLOOKUP('Informe Kelly'!A933,Base!A:G,7,FALSE),"")</f>
        <v>GALLARDO LUCERO EMERSON</v>
      </c>
      <c r="C940" s="69" t="str">
        <f>IF(G940=$C$4,IF('Informe Kelly'!H933='Control informe Kelly'!$A$2,TEXT(((LEFT('Informe Kelly'!E933,2)*1)+1),"dd")&amp;"."&amp;MID('Informe Kelly'!E933,4,2)&amp;"."&amp;RIGHT('Informe Kelly'!E933,4),'Informe Kelly'!E933),'Informe Kelly'!E933)</f>
        <v>16.04.2011</v>
      </c>
      <c r="D940" s="69" t="str">
        <f>IF('Informe Kelly'!E933="","",'Informe Kelly'!E933)</f>
        <v>16.04.2011</v>
      </c>
      <c r="E940" s="72">
        <f t="shared" si="29"/>
        <v>477</v>
      </c>
      <c r="F940" s="72" t="str">
        <f>IFERROR(HLOOKUP(C940,Ingreso!$Q$8:$AD$9,2,FALSE),"v")</f>
        <v>Sábado</v>
      </c>
      <c r="G940" s="65" t="str">
        <f>IFERROR(VLOOKUP(A940,Ingreso!K:P,6,FALSE),"no esta ingresado")</f>
        <v>Turno A</v>
      </c>
      <c r="H940" s="65">
        <f>IFERROR(IF('Informe Kelly'!H933=$A$2,'Informe Kelly'!F933,""),0)</f>
        <v>0.3144675925925926</v>
      </c>
      <c r="I940" s="65" t="str">
        <f>IFERROR(IF('Informe Kelly'!H933=$A$3,'Informe Kelly'!F933,""),0)</f>
        <v/>
      </c>
      <c r="J940" s="65" t="str">
        <f>IF(IFERROR(IF(E940=E939,0,(HLOOKUP(D940,Ingreso!$AN$10:$AT$260,VLOOKUP(A940,Ingreso!$AL$11:$AM$260,2,FALSE)))/24),0)=0,"",IFERROR(IF(E940=E939,0,(HLOOKUP(D940,Ingreso!$AN$10:$AT$260,VLOOKUP(A940,Ingreso!$AL$11:$AM$260,2,FALSE)))/24),0))</f>
        <v/>
      </c>
      <c r="K940" s="65" t="str">
        <f>IF(IFERROR(IF(E940=E939,0,(HLOOKUP(C940,Ingreso!$AW$10:$BC$260,VLOOKUP(A940,Ingreso!$AL$11:$AM$260,2,FALSE)))/24),0)=0,"",IFERROR(IF(E940=E939,0,(HLOOKUP(C940,Ingreso!$AW$10:$BC$260,VLOOKUP(A940,Ingreso!$AL$11:$AM$260,2,FALSE)))/24),0))</f>
        <v/>
      </c>
      <c r="L940" s="63">
        <f t="shared" si="28"/>
        <v>0</v>
      </c>
      <c r="M940" s="63" t="str">
        <f>IF(IFERROR(IF(C940=C938,0,IF(E940=E939,0,IF(C940=$R$2,HLOOKUP($R$2,Ingreso!$AW$10:$BC$260,VLOOKUP(A940,Ingreso!AL:AM,2,FALSE),FALSE)/24,""))),"")=0,"",IFERROR(IF(C940=C938,0,IF(E940=E939,0,IF(C940=$R$2,HLOOKUP($R$2,Ingreso!$AW$10:$BC$260,VLOOKUP(A940,Ingreso!AL:AM,2,FALSE),FALSE)/24,""))),""))</f>
        <v/>
      </c>
      <c r="N940" s="95" t="str">
        <f>IF(IFERROR(IF(C940=C938,0,IF(E940=E939,0,IF(C940=$R$3,HLOOKUP($R$3,Ingreso!$AW$10:$BC$260,VLOOKUP(A940,Ingreso!AL:AM,2,FALSE),FALSE)/24,""))),"")=0,"",IFERROR(IF(C940=C938,0,IF(E940=E939,0,IF(C940=$R$3,HLOOKUP($R$3,Ingreso!$AW$10:$BC$260,VLOOKUP(A940,Ingreso!AL:AM,2,FALSE),FALSE)/24,""))),""))</f>
        <v/>
      </c>
      <c r="O940" s="95" t="str">
        <f>IF(IFERROR(IF(C940=C938,0,IF(E940=E939,0,IF(C940=$R$4,HLOOKUP($R$4,Ingreso!$AW$10:$BC$260,VLOOKUP(A940,Ingreso!AL:AM,2,FALSE),FALSE)/24,""))),"")=0,"",IFERROR(IF(C940=C938,0,IF(E940=E939,0,IF(C940=$R$4,HLOOKUP($R$4,Ingreso!$AW$10:$BC$260,VLOOKUP(A940,Ingreso!AL:AM,2,FALSE),FALSE)/24,""))),""))</f>
        <v/>
      </c>
      <c r="P940" s="90"/>
      <c r="V940"/>
      <c r="W940"/>
      <c r="X940"/>
      <c r="Y940"/>
      <c r="Z940"/>
      <c r="AA940"/>
      <c r="AB940"/>
      <c r="AC940"/>
      <c r="AD940"/>
    </row>
    <row r="941" spans="1:30">
      <c r="A941" s="65" t="str">
        <f>IFERROR(VLOOKUP('Informe Kelly'!A934,Base!A:B,2,FALSE),"")</f>
        <v>16149604-</v>
      </c>
      <c r="B941" s="65" t="str">
        <f>IFERROR(VLOOKUP('Informe Kelly'!A934,Base!A:G,7,FALSE),"")</f>
        <v xml:space="preserve">POBLETE SANDOVAL RODRIGO </v>
      </c>
      <c r="C941" s="69" t="str">
        <f>IF(G941=$C$4,IF('Informe Kelly'!H934='Control informe Kelly'!$A$2,TEXT(((LEFT('Informe Kelly'!E934,2)*1)+1),"dd")&amp;"."&amp;MID('Informe Kelly'!E934,4,2)&amp;"."&amp;RIGHT('Informe Kelly'!E934,4),'Informe Kelly'!E934),'Informe Kelly'!E934)</f>
        <v>11.04.2011</v>
      </c>
      <c r="D941" s="69" t="str">
        <f>IF('Informe Kelly'!E934="","",'Informe Kelly'!E934)</f>
        <v>11.04.2011</v>
      </c>
      <c r="E941" s="72">
        <f t="shared" si="29"/>
        <v>478</v>
      </c>
      <c r="F941" s="72" t="str">
        <f>IFERROR(HLOOKUP(C941,Ingreso!$Q$8:$AD$9,2,FALSE),"v")</f>
        <v>Lunes</v>
      </c>
      <c r="G941" s="65" t="str">
        <f>IFERROR(VLOOKUP(A941,Ingreso!K:P,6,FALSE),"no esta ingresado")</f>
        <v>no esta ingresado</v>
      </c>
      <c r="H941" s="65">
        <f>IFERROR(IF('Informe Kelly'!H934=$A$2,'Informe Kelly'!F934,""),0)</f>
        <v>0.92133101851851851</v>
      </c>
      <c r="I941" s="65" t="str">
        <f>IFERROR(IF('Informe Kelly'!H934=$A$3,'Informe Kelly'!F934,""),0)</f>
        <v/>
      </c>
      <c r="J941" s="65" t="str">
        <f>IF(IFERROR(IF(E941=E940,0,(HLOOKUP(D941,Ingreso!$AN$10:$AT$260,VLOOKUP(A941,Ingreso!$AL$11:$AM$260,2,FALSE)))/24),0)=0,"",IFERROR(IF(E941=E940,0,(HLOOKUP(D941,Ingreso!$AN$10:$AT$260,VLOOKUP(A941,Ingreso!$AL$11:$AM$260,2,FALSE)))/24),0))</f>
        <v/>
      </c>
      <c r="K941" s="65" t="str">
        <f>IF(IFERROR(IF(E941=E940,0,(HLOOKUP(C941,Ingreso!$AW$10:$BC$260,VLOOKUP(A941,Ingreso!$AL$11:$AM$260,2,FALSE)))/24),0)=0,"",IFERROR(IF(E941=E940,0,(HLOOKUP(C941,Ingreso!$AW$10:$BC$260,VLOOKUP(A941,Ingreso!$AL$11:$AM$260,2,FALSE)))/24),0))</f>
        <v/>
      </c>
      <c r="L941" s="63" t="str">
        <f t="shared" si="28"/>
        <v/>
      </c>
      <c r="M941" s="63" t="str">
        <f>IF(IFERROR(IF(C941=C939,0,IF(E941=E940,0,IF(C941=$R$2,HLOOKUP($R$2,Ingreso!$AW$10:$BC$260,VLOOKUP(A941,Ingreso!AL:AM,2,FALSE),FALSE)/24,""))),"")=0,"",IFERROR(IF(C941=C939,0,IF(E941=E940,0,IF(C941=$R$2,HLOOKUP($R$2,Ingreso!$AW$10:$BC$260,VLOOKUP(A941,Ingreso!AL:AM,2,FALSE),FALSE)/24,""))),""))</f>
        <v/>
      </c>
      <c r="N941" s="95" t="str">
        <f>IF(IFERROR(IF(C941=C939,0,IF(E941=E940,0,IF(C941=$R$3,HLOOKUP($R$3,Ingreso!$AW$10:$BC$260,VLOOKUP(A941,Ingreso!AL:AM,2,FALSE),FALSE)/24,""))),"")=0,"",IFERROR(IF(C941=C939,0,IF(E941=E940,0,IF(C941=$R$3,HLOOKUP($R$3,Ingreso!$AW$10:$BC$260,VLOOKUP(A941,Ingreso!AL:AM,2,FALSE),FALSE)/24,""))),""))</f>
        <v/>
      </c>
      <c r="O941" s="95" t="str">
        <f>IF(IFERROR(IF(C941=C939,0,IF(E941=E940,0,IF(C941=$R$4,HLOOKUP($R$4,Ingreso!$AW$10:$BC$260,VLOOKUP(A941,Ingreso!AL:AM,2,FALSE),FALSE)/24,""))),"")=0,"",IFERROR(IF(C941=C939,0,IF(E941=E940,0,IF(C941=$R$4,HLOOKUP($R$4,Ingreso!$AW$10:$BC$260,VLOOKUP(A941,Ingreso!AL:AM,2,FALSE),FALSE)/24,""))),""))</f>
        <v/>
      </c>
      <c r="P941" s="90"/>
      <c r="V941"/>
      <c r="W941"/>
      <c r="X941"/>
      <c r="Y941"/>
      <c r="Z941"/>
      <c r="AA941"/>
      <c r="AB941"/>
      <c r="AC941"/>
      <c r="AD941"/>
    </row>
    <row r="942" spans="1:30">
      <c r="A942" s="65" t="str">
        <f>IFERROR(VLOOKUP('Informe Kelly'!A935,Base!A:B,2,FALSE),"")</f>
        <v>16149604-</v>
      </c>
      <c r="B942" s="65" t="str">
        <f>IFERROR(VLOOKUP('Informe Kelly'!A935,Base!A:G,7,FALSE),"")</f>
        <v xml:space="preserve">POBLETE SANDOVAL RODRIGO </v>
      </c>
      <c r="C942" s="69" t="str">
        <f>IF(G942=$C$4,IF('Informe Kelly'!H935='Control informe Kelly'!$A$2,TEXT(((LEFT('Informe Kelly'!E935,2)*1)+1),"dd")&amp;"."&amp;MID('Informe Kelly'!E935,4,2)&amp;"."&amp;RIGHT('Informe Kelly'!E935,4),'Informe Kelly'!E935),'Informe Kelly'!E935)</f>
        <v>12.04.2011</v>
      </c>
      <c r="D942" s="69" t="str">
        <f>IF('Informe Kelly'!E935="","",'Informe Kelly'!E935)</f>
        <v>12.04.2011</v>
      </c>
      <c r="E942" s="72">
        <f t="shared" si="29"/>
        <v>479</v>
      </c>
      <c r="F942" s="72" t="str">
        <f>IFERROR(HLOOKUP(C942,Ingreso!$Q$8:$AD$9,2,FALSE),"v")</f>
        <v>Martes</v>
      </c>
      <c r="G942" s="65" t="str">
        <f>IFERROR(VLOOKUP(A942,Ingreso!K:P,6,FALSE),"no esta ingresado")</f>
        <v>no esta ingresado</v>
      </c>
      <c r="H942" s="65" t="str">
        <f>IFERROR(IF('Informe Kelly'!H935=$A$2,'Informe Kelly'!F935,""),0)</f>
        <v/>
      </c>
      <c r="I942" s="65">
        <f>IFERROR(IF('Informe Kelly'!H935=$A$3,'Informe Kelly'!F935,""),0)</f>
        <v>0.32763888888888887</v>
      </c>
      <c r="J942" s="65" t="str">
        <f>IF(IFERROR(IF(E942=E941,0,(HLOOKUP(D942,Ingreso!$AN$10:$AT$260,VLOOKUP(A942,Ingreso!$AL$11:$AM$260,2,FALSE)))/24),0)=0,"",IFERROR(IF(E942=E941,0,(HLOOKUP(D942,Ingreso!$AN$10:$AT$260,VLOOKUP(A942,Ingreso!$AL$11:$AM$260,2,FALSE)))/24),0))</f>
        <v/>
      </c>
      <c r="K942" s="65" t="str">
        <f>IF(IFERROR(IF(E942=E941,0,(HLOOKUP(C942,Ingreso!$AW$10:$BC$260,VLOOKUP(A942,Ingreso!$AL$11:$AM$260,2,FALSE)))/24),0)=0,"",IFERROR(IF(E942=E941,0,(HLOOKUP(C942,Ingreso!$AW$10:$BC$260,VLOOKUP(A942,Ingreso!$AL$11:$AM$260,2,FALSE)))/24),0))</f>
        <v/>
      </c>
      <c r="L942" s="63" t="str">
        <f t="shared" si="28"/>
        <v/>
      </c>
      <c r="M942" s="63" t="str">
        <f>IF(IFERROR(IF(C942=C940,0,IF(E942=E941,0,IF(C942=$R$2,HLOOKUP($R$2,Ingreso!$AW$10:$BC$260,VLOOKUP(A942,Ingreso!AL:AM,2,FALSE),FALSE)/24,""))),"")=0,"",IFERROR(IF(C942=C940,0,IF(E942=E941,0,IF(C942=$R$2,HLOOKUP($R$2,Ingreso!$AW$10:$BC$260,VLOOKUP(A942,Ingreso!AL:AM,2,FALSE),FALSE)/24,""))),""))</f>
        <v/>
      </c>
      <c r="N942" s="95" t="str">
        <f>IF(IFERROR(IF(C942=C940,0,IF(E942=E941,0,IF(C942=$R$3,HLOOKUP($R$3,Ingreso!$AW$10:$BC$260,VLOOKUP(A942,Ingreso!AL:AM,2,FALSE),FALSE)/24,""))),"")=0,"",IFERROR(IF(C942=C940,0,IF(E942=E941,0,IF(C942=$R$3,HLOOKUP($R$3,Ingreso!$AW$10:$BC$260,VLOOKUP(A942,Ingreso!AL:AM,2,FALSE),FALSE)/24,""))),""))</f>
        <v/>
      </c>
      <c r="O942" s="95" t="str">
        <f>IF(IFERROR(IF(C942=C940,0,IF(E942=E941,0,IF(C942=$R$4,HLOOKUP($R$4,Ingreso!$AW$10:$BC$260,VLOOKUP(A942,Ingreso!AL:AM,2,FALSE),FALSE)/24,""))),"")=0,"",IFERROR(IF(C942=C940,0,IF(E942=E941,0,IF(C942=$R$4,HLOOKUP($R$4,Ingreso!$AW$10:$BC$260,VLOOKUP(A942,Ingreso!AL:AM,2,FALSE),FALSE)/24,""))),""))</f>
        <v/>
      </c>
      <c r="P942" s="90"/>
      <c r="V942"/>
      <c r="W942"/>
      <c r="X942"/>
      <c r="Y942"/>
      <c r="Z942"/>
      <c r="AA942"/>
      <c r="AB942"/>
      <c r="AC942"/>
      <c r="AD942"/>
    </row>
    <row r="943" spans="1:30">
      <c r="A943" s="65" t="str">
        <f>IFERROR(VLOOKUP('Informe Kelly'!A936,Base!A:B,2,FALSE),"")</f>
        <v>16149604-</v>
      </c>
      <c r="B943" s="65" t="str">
        <f>IFERROR(VLOOKUP('Informe Kelly'!A936,Base!A:G,7,FALSE),"")</f>
        <v xml:space="preserve">POBLETE SANDOVAL RODRIGO </v>
      </c>
      <c r="C943" s="69" t="str">
        <f>IF(G943=$C$4,IF('Informe Kelly'!H936='Control informe Kelly'!$A$2,TEXT(((LEFT('Informe Kelly'!E936,2)*1)+1),"dd")&amp;"."&amp;MID('Informe Kelly'!E936,4,2)&amp;"."&amp;RIGHT('Informe Kelly'!E936,4),'Informe Kelly'!E936),'Informe Kelly'!E936)</f>
        <v>12.04.2011</v>
      </c>
      <c r="D943" s="69" t="str">
        <f>IF('Informe Kelly'!E936="","",'Informe Kelly'!E936)</f>
        <v>12.04.2011</v>
      </c>
      <c r="E943" s="72">
        <f t="shared" si="29"/>
        <v>479</v>
      </c>
      <c r="F943" s="72" t="str">
        <f>IFERROR(HLOOKUP(C943,Ingreso!$Q$8:$AD$9,2,FALSE),"v")</f>
        <v>Martes</v>
      </c>
      <c r="G943" s="65" t="str">
        <f>IFERROR(VLOOKUP(A943,Ingreso!K:P,6,FALSE),"no esta ingresado")</f>
        <v>no esta ingresado</v>
      </c>
      <c r="H943" s="65">
        <f>IFERROR(IF('Informe Kelly'!H936=$A$2,'Informe Kelly'!F936,""),0)</f>
        <v>0.91961805555555554</v>
      </c>
      <c r="I943" s="65" t="str">
        <f>IFERROR(IF('Informe Kelly'!H936=$A$3,'Informe Kelly'!F936,""),0)</f>
        <v/>
      </c>
      <c r="J943" s="65" t="str">
        <f>IF(IFERROR(IF(E943=E942,0,(HLOOKUP(D943,Ingreso!$AN$10:$AT$260,VLOOKUP(A943,Ingreso!$AL$11:$AM$260,2,FALSE)))/24),0)=0,"",IFERROR(IF(E943=E942,0,(HLOOKUP(D943,Ingreso!$AN$10:$AT$260,VLOOKUP(A943,Ingreso!$AL$11:$AM$260,2,FALSE)))/24),0))</f>
        <v/>
      </c>
      <c r="K943" s="65" t="str">
        <f>IF(IFERROR(IF(E943=E942,0,(HLOOKUP(C943,Ingreso!$AW$10:$BC$260,VLOOKUP(A943,Ingreso!$AL$11:$AM$260,2,FALSE)))/24),0)=0,"",IFERROR(IF(E943=E942,0,(HLOOKUP(C943,Ingreso!$AW$10:$BC$260,VLOOKUP(A943,Ingreso!$AL$11:$AM$260,2,FALSE)))/24),0))</f>
        <v/>
      </c>
      <c r="L943" s="63">
        <f t="shared" si="28"/>
        <v>0</v>
      </c>
      <c r="M943" s="63" t="str">
        <f>IF(IFERROR(IF(C943=C941,0,IF(E943=E942,0,IF(C943=$R$2,HLOOKUP($R$2,Ingreso!$AW$10:$BC$260,VLOOKUP(A943,Ingreso!AL:AM,2,FALSE),FALSE)/24,""))),"")=0,"",IFERROR(IF(C943=C941,0,IF(E943=E942,0,IF(C943=$R$2,HLOOKUP($R$2,Ingreso!$AW$10:$BC$260,VLOOKUP(A943,Ingreso!AL:AM,2,FALSE),FALSE)/24,""))),""))</f>
        <v/>
      </c>
      <c r="N943" s="95" t="str">
        <f>IF(IFERROR(IF(C943=C941,0,IF(E943=E942,0,IF(C943=$R$3,HLOOKUP($R$3,Ingreso!$AW$10:$BC$260,VLOOKUP(A943,Ingreso!AL:AM,2,FALSE),FALSE)/24,""))),"")=0,"",IFERROR(IF(C943=C941,0,IF(E943=E942,0,IF(C943=$R$3,HLOOKUP($R$3,Ingreso!$AW$10:$BC$260,VLOOKUP(A943,Ingreso!AL:AM,2,FALSE),FALSE)/24,""))),""))</f>
        <v/>
      </c>
      <c r="O943" s="95" t="str">
        <f>IF(IFERROR(IF(C943=C941,0,IF(E943=E942,0,IF(C943=$R$4,HLOOKUP($R$4,Ingreso!$AW$10:$BC$260,VLOOKUP(A943,Ingreso!AL:AM,2,FALSE),FALSE)/24,""))),"")=0,"",IFERROR(IF(C943=C941,0,IF(E943=E942,0,IF(C943=$R$4,HLOOKUP($R$4,Ingreso!$AW$10:$BC$260,VLOOKUP(A943,Ingreso!AL:AM,2,FALSE),FALSE)/24,""))),""))</f>
        <v/>
      </c>
      <c r="P943" s="90"/>
      <c r="V943"/>
      <c r="W943"/>
      <c r="X943"/>
      <c r="Y943"/>
      <c r="Z943"/>
      <c r="AA943"/>
      <c r="AB943"/>
      <c r="AC943"/>
      <c r="AD943"/>
    </row>
    <row r="944" spans="1:30">
      <c r="A944" s="65" t="str">
        <f>IFERROR(VLOOKUP('Informe Kelly'!A937,Base!A:B,2,FALSE),"")</f>
        <v>16149604-</v>
      </c>
      <c r="B944" s="65" t="str">
        <f>IFERROR(VLOOKUP('Informe Kelly'!A937,Base!A:G,7,FALSE),"")</f>
        <v xml:space="preserve">POBLETE SANDOVAL RODRIGO </v>
      </c>
      <c r="C944" s="69" t="str">
        <f>IF(G944=$C$4,IF('Informe Kelly'!H937='Control informe Kelly'!$A$2,TEXT(((LEFT('Informe Kelly'!E937,2)*1)+1),"dd")&amp;"."&amp;MID('Informe Kelly'!E937,4,2)&amp;"."&amp;RIGHT('Informe Kelly'!E937,4),'Informe Kelly'!E937),'Informe Kelly'!E937)</f>
        <v>13.04.2011</v>
      </c>
      <c r="D944" s="69" t="str">
        <f>IF('Informe Kelly'!E937="","",'Informe Kelly'!E937)</f>
        <v>13.04.2011</v>
      </c>
      <c r="E944" s="72">
        <f t="shared" si="29"/>
        <v>480</v>
      </c>
      <c r="F944" s="72" t="str">
        <f>IFERROR(HLOOKUP(C944,Ingreso!$Q$8:$AD$9,2,FALSE),"v")</f>
        <v>Miércoles</v>
      </c>
      <c r="G944" s="65" t="str">
        <f>IFERROR(VLOOKUP(A944,Ingreso!K:P,6,FALSE),"no esta ingresado")</f>
        <v>no esta ingresado</v>
      </c>
      <c r="H944" s="65" t="str">
        <f>IFERROR(IF('Informe Kelly'!H937=$A$2,'Informe Kelly'!F937,""),0)</f>
        <v/>
      </c>
      <c r="I944" s="65">
        <f>IFERROR(IF('Informe Kelly'!H937=$A$3,'Informe Kelly'!F937,""),0)</f>
        <v>0.32762731481481483</v>
      </c>
      <c r="J944" s="65" t="str">
        <f>IF(IFERROR(IF(E944=E943,0,(HLOOKUP(D944,Ingreso!$AN$10:$AT$260,VLOOKUP(A944,Ingreso!$AL$11:$AM$260,2,FALSE)))/24),0)=0,"",IFERROR(IF(E944=E943,0,(HLOOKUP(D944,Ingreso!$AN$10:$AT$260,VLOOKUP(A944,Ingreso!$AL$11:$AM$260,2,FALSE)))/24),0))</f>
        <v/>
      </c>
      <c r="K944" s="65" t="str">
        <f>IF(IFERROR(IF(E944=E943,0,(HLOOKUP(C944,Ingreso!$AW$10:$BC$260,VLOOKUP(A944,Ingreso!$AL$11:$AM$260,2,FALSE)))/24),0)=0,"",IFERROR(IF(E944=E943,0,(HLOOKUP(C944,Ingreso!$AW$10:$BC$260,VLOOKUP(A944,Ingreso!$AL$11:$AM$260,2,FALSE)))/24),0))</f>
        <v/>
      </c>
      <c r="L944" s="63" t="str">
        <f t="shared" si="28"/>
        <v/>
      </c>
      <c r="M944" s="63" t="str">
        <f>IF(IFERROR(IF(C944=C942,0,IF(E944=E943,0,IF(C944=$R$2,HLOOKUP($R$2,Ingreso!$AW$10:$BC$260,VLOOKUP(A944,Ingreso!AL:AM,2,FALSE),FALSE)/24,""))),"")=0,"",IFERROR(IF(C944=C942,0,IF(E944=E943,0,IF(C944=$R$2,HLOOKUP($R$2,Ingreso!$AW$10:$BC$260,VLOOKUP(A944,Ingreso!AL:AM,2,FALSE),FALSE)/24,""))),""))</f>
        <v/>
      </c>
      <c r="N944" s="95" t="str">
        <f>IF(IFERROR(IF(C944=C942,0,IF(E944=E943,0,IF(C944=$R$3,HLOOKUP($R$3,Ingreso!$AW$10:$BC$260,VLOOKUP(A944,Ingreso!AL:AM,2,FALSE),FALSE)/24,""))),"")=0,"",IFERROR(IF(C944=C942,0,IF(E944=E943,0,IF(C944=$R$3,HLOOKUP($R$3,Ingreso!$AW$10:$BC$260,VLOOKUP(A944,Ingreso!AL:AM,2,FALSE),FALSE)/24,""))),""))</f>
        <v/>
      </c>
      <c r="O944" s="95" t="str">
        <f>IF(IFERROR(IF(C944=C942,0,IF(E944=E943,0,IF(C944=$R$4,HLOOKUP($R$4,Ingreso!$AW$10:$BC$260,VLOOKUP(A944,Ingreso!AL:AM,2,FALSE),FALSE)/24,""))),"")=0,"",IFERROR(IF(C944=C942,0,IF(E944=E943,0,IF(C944=$R$4,HLOOKUP($R$4,Ingreso!$AW$10:$BC$260,VLOOKUP(A944,Ingreso!AL:AM,2,FALSE),FALSE)/24,""))),""))</f>
        <v/>
      </c>
      <c r="P944" s="90"/>
      <c r="V944"/>
      <c r="W944" s="62"/>
      <c r="X944" s="62"/>
      <c r="Y944" s="62"/>
      <c r="Z944" s="62"/>
      <c r="AA944" s="62"/>
      <c r="AB944" s="62"/>
      <c r="AC944" s="62"/>
    </row>
    <row r="945" spans="1:29">
      <c r="A945" s="65" t="str">
        <f>IFERROR(VLOOKUP('Informe Kelly'!A938,Base!A:B,2,FALSE),"")</f>
        <v>16149604-</v>
      </c>
      <c r="B945" s="65" t="str">
        <f>IFERROR(VLOOKUP('Informe Kelly'!A938,Base!A:G,7,FALSE),"")</f>
        <v xml:space="preserve">POBLETE SANDOVAL RODRIGO </v>
      </c>
      <c r="C945" s="69" t="str">
        <f>IF(G945=$C$4,IF('Informe Kelly'!H938='Control informe Kelly'!$A$2,TEXT(((LEFT('Informe Kelly'!E938,2)*1)+1),"dd")&amp;"."&amp;MID('Informe Kelly'!E938,4,2)&amp;"."&amp;RIGHT('Informe Kelly'!E938,4),'Informe Kelly'!E938),'Informe Kelly'!E938)</f>
        <v>13.04.2011</v>
      </c>
      <c r="D945" s="69" t="str">
        <f>IF('Informe Kelly'!E938="","",'Informe Kelly'!E938)</f>
        <v>13.04.2011</v>
      </c>
      <c r="E945" s="72">
        <f t="shared" si="29"/>
        <v>480</v>
      </c>
      <c r="F945" s="72" t="str">
        <f>IFERROR(HLOOKUP(C945,Ingreso!$Q$8:$AD$9,2,FALSE),"v")</f>
        <v>Miércoles</v>
      </c>
      <c r="G945" s="65" t="str">
        <f>IFERROR(VLOOKUP(A945,Ingreso!K:P,6,FALSE),"no esta ingresado")</f>
        <v>no esta ingresado</v>
      </c>
      <c r="H945" s="65">
        <f>IFERROR(IF('Informe Kelly'!H938=$A$2,'Informe Kelly'!F938,""),0)</f>
        <v>0.92138888888888892</v>
      </c>
      <c r="I945" s="65" t="str">
        <f>IFERROR(IF('Informe Kelly'!H938=$A$3,'Informe Kelly'!F938,""),0)</f>
        <v/>
      </c>
      <c r="J945" s="65" t="str">
        <f>IF(IFERROR(IF(E945=E944,0,(HLOOKUP(D945,Ingreso!$AN$10:$AT$260,VLOOKUP(A945,Ingreso!$AL$11:$AM$260,2,FALSE)))/24),0)=0,"",IFERROR(IF(E945=E944,0,(HLOOKUP(D945,Ingreso!$AN$10:$AT$260,VLOOKUP(A945,Ingreso!$AL$11:$AM$260,2,FALSE)))/24),0))</f>
        <v/>
      </c>
      <c r="K945" s="65" t="str">
        <f>IF(IFERROR(IF(E945=E944,0,(HLOOKUP(C945,Ingreso!$AW$10:$BC$260,VLOOKUP(A945,Ingreso!$AL$11:$AM$260,2,FALSE)))/24),0)=0,"",IFERROR(IF(E945=E944,0,(HLOOKUP(C945,Ingreso!$AW$10:$BC$260,VLOOKUP(A945,Ingreso!$AL$11:$AM$260,2,FALSE)))/24),0))</f>
        <v/>
      </c>
      <c r="L945" s="63">
        <f t="shared" si="28"/>
        <v>0</v>
      </c>
      <c r="M945" s="63" t="str">
        <f>IF(IFERROR(IF(C945=C943,0,IF(E945=E944,0,IF(C945=$R$2,HLOOKUP($R$2,Ingreso!$AW$10:$BC$260,VLOOKUP(A945,Ingreso!AL:AM,2,FALSE),FALSE)/24,""))),"")=0,"",IFERROR(IF(C945=C943,0,IF(E945=E944,0,IF(C945=$R$2,HLOOKUP($R$2,Ingreso!$AW$10:$BC$260,VLOOKUP(A945,Ingreso!AL:AM,2,FALSE),FALSE)/24,""))),""))</f>
        <v/>
      </c>
      <c r="N945" s="95" t="str">
        <f>IF(IFERROR(IF(C945=C943,0,IF(E945=E944,0,IF(C945=$R$3,HLOOKUP($R$3,Ingreso!$AW$10:$BC$260,VLOOKUP(A945,Ingreso!AL:AM,2,FALSE),FALSE)/24,""))),"")=0,"",IFERROR(IF(C945=C943,0,IF(E945=E944,0,IF(C945=$R$3,HLOOKUP($R$3,Ingreso!$AW$10:$BC$260,VLOOKUP(A945,Ingreso!AL:AM,2,FALSE),FALSE)/24,""))),""))</f>
        <v/>
      </c>
      <c r="O945" s="95" t="str">
        <f>IF(IFERROR(IF(C945=C943,0,IF(E945=E944,0,IF(C945=$R$4,HLOOKUP($R$4,Ingreso!$AW$10:$BC$260,VLOOKUP(A945,Ingreso!AL:AM,2,FALSE),FALSE)/24,""))),"")=0,"",IFERROR(IF(C945=C943,0,IF(E945=E944,0,IF(C945=$R$4,HLOOKUP($R$4,Ingreso!$AW$10:$BC$260,VLOOKUP(A945,Ingreso!AL:AM,2,FALSE),FALSE)/24,""))),""))</f>
        <v/>
      </c>
      <c r="P945" s="90"/>
      <c r="V945"/>
      <c r="W945" s="62"/>
      <c r="X945" s="62"/>
      <c r="Y945" s="62"/>
      <c r="Z945" s="62"/>
      <c r="AA945" s="62"/>
      <c r="AB945" s="62"/>
      <c r="AC945" s="62"/>
    </row>
    <row r="946" spans="1:29">
      <c r="A946" s="65" t="str">
        <f>IFERROR(VLOOKUP('Informe Kelly'!A939,Base!A:B,2,FALSE),"")</f>
        <v>16149604-</v>
      </c>
      <c r="B946" s="65" t="str">
        <f>IFERROR(VLOOKUP('Informe Kelly'!A939,Base!A:G,7,FALSE),"")</f>
        <v xml:space="preserve">POBLETE SANDOVAL RODRIGO </v>
      </c>
      <c r="C946" s="69" t="str">
        <f>IF(G946=$C$4,IF('Informe Kelly'!H939='Control informe Kelly'!$A$2,TEXT(((LEFT('Informe Kelly'!E939,2)*1)+1),"dd")&amp;"."&amp;MID('Informe Kelly'!E939,4,2)&amp;"."&amp;RIGHT('Informe Kelly'!E939,4),'Informe Kelly'!E939),'Informe Kelly'!E939)</f>
        <v>14.04.2011</v>
      </c>
      <c r="D946" s="69" t="str">
        <f>IF('Informe Kelly'!E939="","",'Informe Kelly'!E939)</f>
        <v>14.04.2011</v>
      </c>
      <c r="E946" s="72">
        <f t="shared" si="29"/>
        <v>481</v>
      </c>
      <c r="F946" s="72" t="str">
        <f>IFERROR(HLOOKUP(C946,Ingreso!$Q$8:$AD$9,2,FALSE),"v")</f>
        <v>Jueves</v>
      </c>
      <c r="G946" s="65" t="str">
        <f>IFERROR(VLOOKUP(A946,Ingreso!K:P,6,FALSE),"no esta ingresado")</f>
        <v>no esta ingresado</v>
      </c>
      <c r="H946" s="65" t="str">
        <f>IFERROR(IF('Informe Kelly'!H939=$A$2,'Informe Kelly'!F939,""),0)</f>
        <v/>
      </c>
      <c r="I946" s="65">
        <f>IFERROR(IF('Informe Kelly'!H939=$A$3,'Informe Kelly'!F939,""),0)</f>
        <v>0.32859953703703704</v>
      </c>
      <c r="J946" s="65" t="str">
        <f>IF(IFERROR(IF(E946=E945,0,(HLOOKUP(D946,Ingreso!$AN$10:$AT$260,VLOOKUP(A946,Ingreso!$AL$11:$AM$260,2,FALSE)))/24),0)=0,"",IFERROR(IF(E946=E945,0,(HLOOKUP(D946,Ingreso!$AN$10:$AT$260,VLOOKUP(A946,Ingreso!$AL$11:$AM$260,2,FALSE)))/24),0))</f>
        <v/>
      </c>
      <c r="K946" s="65" t="str">
        <f>IF(IFERROR(IF(E946=E945,0,(HLOOKUP(C946,Ingreso!$AW$10:$BC$260,VLOOKUP(A946,Ingreso!$AL$11:$AM$260,2,FALSE)))/24),0)=0,"",IFERROR(IF(E946=E945,0,(HLOOKUP(C946,Ingreso!$AW$10:$BC$260,VLOOKUP(A946,Ingreso!$AL$11:$AM$260,2,FALSE)))/24),0))</f>
        <v/>
      </c>
      <c r="L946" s="63" t="str">
        <f t="shared" si="28"/>
        <v/>
      </c>
      <c r="M946" s="63" t="str">
        <f>IF(IFERROR(IF(C946=C944,0,IF(E946=E945,0,IF(C946=$R$2,HLOOKUP($R$2,Ingreso!$AW$10:$BC$260,VLOOKUP(A946,Ingreso!AL:AM,2,FALSE),FALSE)/24,""))),"")=0,"",IFERROR(IF(C946=C944,0,IF(E946=E945,0,IF(C946=$R$2,HLOOKUP($R$2,Ingreso!$AW$10:$BC$260,VLOOKUP(A946,Ingreso!AL:AM,2,FALSE),FALSE)/24,""))),""))</f>
        <v/>
      </c>
      <c r="N946" s="95" t="str">
        <f>IF(IFERROR(IF(C946=C944,0,IF(E946=E945,0,IF(C946=$R$3,HLOOKUP($R$3,Ingreso!$AW$10:$BC$260,VLOOKUP(A946,Ingreso!AL:AM,2,FALSE),FALSE)/24,""))),"")=0,"",IFERROR(IF(C946=C944,0,IF(E946=E945,0,IF(C946=$R$3,HLOOKUP($R$3,Ingreso!$AW$10:$BC$260,VLOOKUP(A946,Ingreso!AL:AM,2,FALSE),FALSE)/24,""))),""))</f>
        <v/>
      </c>
      <c r="O946" s="95" t="str">
        <f>IF(IFERROR(IF(C946=C944,0,IF(E946=E945,0,IF(C946=$R$4,HLOOKUP($R$4,Ingreso!$AW$10:$BC$260,VLOOKUP(A946,Ingreso!AL:AM,2,FALSE),FALSE)/24,""))),"")=0,"",IFERROR(IF(C946=C944,0,IF(E946=E945,0,IF(C946=$R$4,HLOOKUP($R$4,Ingreso!$AW$10:$BC$260,VLOOKUP(A946,Ingreso!AL:AM,2,FALSE),FALSE)/24,""))),""))</f>
        <v/>
      </c>
      <c r="P946" s="90"/>
      <c r="V946"/>
      <c r="W946" s="62"/>
      <c r="X946" s="62"/>
      <c r="Y946" s="62"/>
      <c r="Z946" s="62"/>
      <c r="AA946" s="62"/>
      <c r="AB946" s="62"/>
      <c r="AC946" s="62"/>
    </row>
    <row r="947" spans="1:29">
      <c r="A947" s="65" t="str">
        <f>IFERROR(VLOOKUP('Informe Kelly'!A940,Base!A:B,2,FALSE),"")</f>
        <v>16149604-</v>
      </c>
      <c r="B947" s="65" t="str">
        <f>IFERROR(VLOOKUP('Informe Kelly'!A940,Base!A:G,7,FALSE),"")</f>
        <v xml:space="preserve">POBLETE SANDOVAL RODRIGO </v>
      </c>
      <c r="C947" s="69" t="str">
        <f>IF(G947=$C$4,IF('Informe Kelly'!H940='Control informe Kelly'!$A$2,TEXT(((LEFT('Informe Kelly'!E940,2)*1)+1),"dd")&amp;"."&amp;MID('Informe Kelly'!E940,4,2)&amp;"."&amp;RIGHT('Informe Kelly'!E940,4),'Informe Kelly'!E940),'Informe Kelly'!E940)</f>
        <v>14.04.2011</v>
      </c>
      <c r="D947" s="69" t="str">
        <f>IF('Informe Kelly'!E940="","",'Informe Kelly'!E940)</f>
        <v>14.04.2011</v>
      </c>
      <c r="E947" s="72">
        <f t="shared" si="29"/>
        <v>481</v>
      </c>
      <c r="F947" s="72" t="str">
        <f>IFERROR(HLOOKUP(C947,Ingreso!$Q$8:$AD$9,2,FALSE),"v")</f>
        <v>Jueves</v>
      </c>
      <c r="G947" s="65" t="str">
        <f>IFERROR(VLOOKUP(A947,Ingreso!K:P,6,FALSE),"no esta ingresado")</f>
        <v>no esta ingresado</v>
      </c>
      <c r="H947" s="65">
        <f>IFERROR(IF('Informe Kelly'!H940=$A$2,'Informe Kelly'!F940,""),0)</f>
        <v>0.92082175925925924</v>
      </c>
      <c r="I947" s="65" t="str">
        <f>IFERROR(IF('Informe Kelly'!H940=$A$3,'Informe Kelly'!F940,""),0)</f>
        <v/>
      </c>
      <c r="J947" s="65" t="str">
        <f>IF(IFERROR(IF(E947=E946,0,(HLOOKUP(D947,Ingreso!$AN$10:$AT$260,VLOOKUP(A947,Ingreso!$AL$11:$AM$260,2,FALSE)))/24),0)=0,"",IFERROR(IF(E947=E946,0,(HLOOKUP(D947,Ingreso!$AN$10:$AT$260,VLOOKUP(A947,Ingreso!$AL$11:$AM$260,2,FALSE)))/24),0))</f>
        <v/>
      </c>
      <c r="K947" s="65" t="str">
        <f>IF(IFERROR(IF(E947=E946,0,(HLOOKUP(C947,Ingreso!$AW$10:$BC$260,VLOOKUP(A947,Ingreso!$AL$11:$AM$260,2,FALSE)))/24),0)=0,"",IFERROR(IF(E947=E946,0,(HLOOKUP(C947,Ingreso!$AW$10:$BC$260,VLOOKUP(A947,Ingreso!$AL$11:$AM$260,2,FALSE)))/24),0))</f>
        <v/>
      </c>
      <c r="L947" s="63">
        <f t="shared" si="28"/>
        <v>0</v>
      </c>
      <c r="M947" s="63" t="str">
        <f>IF(IFERROR(IF(C947=C945,0,IF(E947=E946,0,IF(C947=$R$2,HLOOKUP($R$2,Ingreso!$AW$10:$BC$260,VLOOKUP(A947,Ingreso!AL:AM,2,FALSE),FALSE)/24,""))),"")=0,"",IFERROR(IF(C947=C945,0,IF(E947=E946,0,IF(C947=$R$2,HLOOKUP($R$2,Ingreso!$AW$10:$BC$260,VLOOKUP(A947,Ingreso!AL:AM,2,FALSE),FALSE)/24,""))),""))</f>
        <v/>
      </c>
      <c r="N947" s="95" t="str">
        <f>IF(IFERROR(IF(C947=C945,0,IF(E947=E946,0,IF(C947=$R$3,HLOOKUP($R$3,Ingreso!$AW$10:$BC$260,VLOOKUP(A947,Ingreso!AL:AM,2,FALSE),FALSE)/24,""))),"")=0,"",IFERROR(IF(C947=C945,0,IF(E947=E946,0,IF(C947=$R$3,HLOOKUP($R$3,Ingreso!$AW$10:$BC$260,VLOOKUP(A947,Ingreso!AL:AM,2,FALSE),FALSE)/24,""))),""))</f>
        <v/>
      </c>
      <c r="O947" s="95" t="str">
        <f>IF(IFERROR(IF(C947=C945,0,IF(E947=E946,0,IF(C947=$R$4,HLOOKUP($R$4,Ingreso!$AW$10:$BC$260,VLOOKUP(A947,Ingreso!AL:AM,2,FALSE),FALSE)/24,""))),"")=0,"",IFERROR(IF(C947=C945,0,IF(E947=E946,0,IF(C947=$R$4,HLOOKUP($R$4,Ingreso!$AW$10:$BC$260,VLOOKUP(A947,Ingreso!AL:AM,2,FALSE),FALSE)/24,""))),""))</f>
        <v/>
      </c>
      <c r="P947" s="90"/>
      <c r="V947"/>
      <c r="W947" s="62"/>
      <c r="X947" s="62"/>
      <c r="Y947" s="62"/>
      <c r="Z947" s="62"/>
      <c r="AA947" s="62"/>
      <c r="AB947" s="62"/>
      <c r="AC947" s="62"/>
    </row>
    <row r="948" spans="1:29">
      <c r="A948" s="65" t="str">
        <f>IFERROR(VLOOKUP('Informe Kelly'!A941,Base!A:B,2,FALSE),"")</f>
        <v>16149604-</v>
      </c>
      <c r="B948" s="65" t="str">
        <f>IFERROR(VLOOKUP('Informe Kelly'!A941,Base!A:G,7,FALSE),"")</f>
        <v xml:space="preserve">POBLETE SANDOVAL RODRIGO </v>
      </c>
      <c r="C948" s="69" t="str">
        <f>IF(G948=$C$4,IF('Informe Kelly'!H941='Control informe Kelly'!$A$2,TEXT(((LEFT('Informe Kelly'!E941,2)*1)+1),"dd")&amp;"."&amp;MID('Informe Kelly'!E941,4,2)&amp;"."&amp;RIGHT('Informe Kelly'!E941,4),'Informe Kelly'!E941),'Informe Kelly'!E941)</f>
        <v>15.04.2011</v>
      </c>
      <c r="D948" s="69" t="str">
        <f>IF('Informe Kelly'!E941="","",'Informe Kelly'!E941)</f>
        <v>15.04.2011</v>
      </c>
      <c r="E948" s="72">
        <f t="shared" si="29"/>
        <v>482</v>
      </c>
      <c r="F948" s="72" t="str">
        <f>IFERROR(HLOOKUP(C948,Ingreso!$Q$8:$AD$9,2,FALSE),"v")</f>
        <v>Viernes</v>
      </c>
      <c r="G948" s="65" t="str">
        <f>IFERROR(VLOOKUP(A948,Ingreso!K:P,6,FALSE),"no esta ingresado")</f>
        <v>no esta ingresado</v>
      </c>
      <c r="H948" s="65" t="str">
        <f>IFERROR(IF('Informe Kelly'!H941=$A$2,'Informe Kelly'!F941,""),0)</f>
        <v/>
      </c>
      <c r="I948" s="65">
        <f>IFERROR(IF('Informe Kelly'!H941=$A$3,'Informe Kelly'!F941,""),0)</f>
        <v>0.32841435185185186</v>
      </c>
      <c r="J948" s="65" t="str">
        <f>IF(IFERROR(IF(E948=E947,0,(HLOOKUP(D948,Ingreso!$AN$10:$AT$260,VLOOKUP(A948,Ingreso!$AL$11:$AM$260,2,FALSE)))/24),0)=0,"",IFERROR(IF(E948=E947,0,(HLOOKUP(D948,Ingreso!$AN$10:$AT$260,VLOOKUP(A948,Ingreso!$AL$11:$AM$260,2,FALSE)))/24),0))</f>
        <v/>
      </c>
      <c r="K948" s="65" t="str">
        <f>IF(IFERROR(IF(E948=E947,0,(HLOOKUP(C948,Ingreso!$AW$10:$BC$260,VLOOKUP(A948,Ingreso!$AL$11:$AM$260,2,FALSE)))/24),0)=0,"",IFERROR(IF(E948=E947,0,(HLOOKUP(C948,Ingreso!$AW$10:$BC$260,VLOOKUP(A948,Ingreso!$AL$11:$AM$260,2,FALSE)))/24),0))</f>
        <v/>
      </c>
      <c r="L948" s="63" t="str">
        <f t="shared" si="28"/>
        <v/>
      </c>
      <c r="M948" s="63" t="str">
        <f>IF(IFERROR(IF(C948=C946,0,IF(E948=E947,0,IF(C948=$R$2,HLOOKUP($R$2,Ingreso!$AW$10:$BC$260,VLOOKUP(A948,Ingreso!AL:AM,2,FALSE),FALSE)/24,""))),"")=0,"",IFERROR(IF(C948=C946,0,IF(E948=E947,0,IF(C948=$R$2,HLOOKUP($R$2,Ingreso!$AW$10:$BC$260,VLOOKUP(A948,Ingreso!AL:AM,2,FALSE),FALSE)/24,""))),""))</f>
        <v/>
      </c>
      <c r="N948" s="95" t="str">
        <f>IF(IFERROR(IF(C948=C946,0,IF(E948=E947,0,IF(C948=$R$3,HLOOKUP($R$3,Ingreso!$AW$10:$BC$260,VLOOKUP(A948,Ingreso!AL:AM,2,FALSE),FALSE)/24,""))),"")=0,"",IFERROR(IF(C948=C946,0,IF(E948=E947,0,IF(C948=$R$3,HLOOKUP($R$3,Ingreso!$AW$10:$BC$260,VLOOKUP(A948,Ingreso!AL:AM,2,FALSE),FALSE)/24,""))),""))</f>
        <v/>
      </c>
      <c r="O948" s="95" t="str">
        <f>IF(IFERROR(IF(C948=C946,0,IF(E948=E947,0,IF(C948=$R$4,HLOOKUP($R$4,Ingreso!$AW$10:$BC$260,VLOOKUP(A948,Ingreso!AL:AM,2,FALSE),FALSE)/24,""))),"")=0,"",IFERROR(IF(C948=C946,0,IF(E948=E947,0,IF(C948=$R$4,HLOOKUP($R$4,Ingreso!$AW$10:$BC$260,VLOOKUP(A948,Ingreso!AL:AM,2,FALSE),FALSE)/24,""))),""))</f>
        <v/>
      </c>
      <c r="P948" s="90"/>
      <c r="V948"/>
      <c r="W948" s="62"/>
      <c r="X948" s="62"/>
      <c r="Y948" s="62"/>
      <c r="Z948" s="62"/>
      <c r="AA948" s="62"/>
      <c r="AB948" s="62"/>
      <c r="AC948" s="62"/>
    </row>
    <row r="949" spans="1:29">
      <c r="A949" s="65" t="str">
        <f>IFERROR(VLOOKUP('Informe Kelly'!A942,Base!A:B,2,FALSE),"")</f>
        <v>16149604-</v>
      </c>
      <c r="B949" s="65" t="str">
        <f>IFERROR(VLOOKUP('Informe Kelly'!A942,Base!A:G,7,FALSE),"")</f>
        <v xml:space="preserve">POBLETE SANDOVAL RODRIGO </v>
      </c>
      <c r="C949" s="69" t="str">
        <f>IF(G949=$C$4,IF('Informe Kelly'!H942='Control informe Kelly'!$A$2,TEXT(((LEFT('Informe Kelly'!E942,2)*1)+1),"dd")&amp;"."&amp;MID('Informe Kelly'!E942,4,2)&amp;"."&amp;RIGHT('Informe Kelly'!E942,4),'Informe Kelly'!E942),'Informe Kelly'!E942)</f>
        <v>15.04.2011</v>
      </c>
      <c r="D949" s="69" t="str">
        <f>IF('Informe Kelly'!E942="","",'Informe Kelly'!E942)</f>
        <v>15.04.2011</v>
      </c>
      <c r="E949" s="72">
        <f t="shared" si="29"/>
        <v>482</v>
      </c>
      <c r="F949" s="72" t="str">
        <f>IFERROR(HLOOKUP(C949,Ingreso!$Q$8:$AD$9,2,FALSE),"v")</f>
        <v>Viernes</v>
      </c>
      <c r="G949" s="65" t="str">
        <f>IFERROR(VLOOKUP(A949,Ingreso!K:P,6,FALSE),"no esta ingresado")</f>
        <v>no esta ingresado</v>
      </c>
      <c r="H949" s="65">
        <f>IFERROR(IF('Informe Kelly'!H942=$A$2,'Informe Kelly'!F942,""),0)</f>
        <v>0.92087962962962966</v>
      </c>
      <c r="I949" s="65" t="str">
        <f>IFERROR(IF('Informe Kelly'!H942=$A$3,'Informe Kelly'!F942,""),0)</f>
        <v/>
      </c>
      <c r="J949" s="65" t="str">
        <f>IF(IFERROR(IF(E949=E948,0,(HLOOKUP(D949,Ingreso!$AN$10:$AT$260,VLOOKUP(A949,Ingreso!$AL$11:$AM$260,2,FALSE)))/24),0)=0,"",IFERROR(IF(E949=E948,0,(HLOOKUP(D949,Ingreso!$AN$10:$AT$260,VLOOKUP(A949,Ingreso!$AL$11:$AM$260,2,FALSE)))/24),0))</f>
        <v/>
      </c>
      <c r="K949" s="65" t="str">
        <f>IF(IFERROR(IF(E949=E948,0,(HLOOKUP(C949,Ingreso!$AW$10:$BC$260,VLOOKUP(A949,Ingreso!$AL$11:$AM$260,2,FALSE)))/24),0)=0,"",IFERROR(IF(E949=E948,0,(HLOOKUP(C949,Ingreso!$AW$10:$BC$260,VLOOKUP(A949,Ingreso!$AL$11:$AM$260,2,FALSE)))/24),0))</f>
        <v/>
      </c>
      <c r="L949" s="63">
        <f t="shared" si="28"/>
        <v>0</v>
      </c>
      <c r="M949" s="63" t="str">
        <f>IF(IFERROR(IF(C949=C947,0,IF(E949=E948,0,IF(C949=$R$2,HLOOKUP($R$2,Ingreso!$AW$10:$BC$260,VLOOKUP(A949,Ingreso!AL:AM,2,FALSE),FALSE)/24,""))),"")=0,"",IFERROR(IF(C949=C947,0,IF(E949=E948,0,IF(C949=$R$2,HLOOKUP($R$2,Ingreso!$AW$10:$BC$260,VLOOKUP(A949,Ingreso!AL:AM,2,FALSE),FALSE)/24,""))),""))</f>
        <v/>
      </c>
      <c r="N949" s="95" t="str">
        <f>IF(IFERROR(IF(C949=C947,0,IF(E949=E948,0,IF(C949=$R$3,HLOOKUP($R$3,Ingreso!$AW$10:$BC$260,VLOOKUP(A949,Ingreso!AL:AM,2,FALSE),FALSE)/24,""))),"")=0,"",IFERROR(IF(C949=C947,0,IF(E949=E948,0,IF(C949=$R$3,HLOOKUP($R$3,Ingreso!$AW$10:$BC$260,VLOOKUP(A949,Ingreso!AL:AM,2,FALSE),FALSE)/24,""))),""))</f>
        <v/>
      </c>
      <c r="O949" s="95" t="str">
        <f>IF(IFERROR(IF(C949=C947,0,IF(E949=E948,0,IF(C949=$R$4,HLOOKUP($R$4,Ingreso!$AW$10:$BC$260,VLOOKUP(A949,Ingreso!AL:AM,2,FALSE),FALSE)/24,""))),"")=0,"",IFERROR(IF(C949=C947,0,IF(E949=E948,0,IF(C949=$R$4,HLOOKUP($R$4,Ingreso!$AW$10:$BC$260,VLOOKUP(A949,Ingreso!AL:AM,2,FALSE),FALSE)/24,""))),""))</f>
        <v/>
      </c>
      <c r="P949" s="90"/>
      <c r="V949"/>
      <c r="W949" s="62"/>
      <c r="X949" s="62"/>
      <c r="Y949" s="62"/>
      <c r="Z949" s="62"/>
      <c r="AA949" s="62"/>
      <c r="AB949" s="62"/>
      <c r="AC949" s="62"/>
    </row>
    <row r="950" spans="1:29">
      <c r="A950" s="65" t="str">
        <f>IFERROR(VLOOKUP('Informe Kelly'!A943,Base!A:B,2,FALSE),"")</f>
        <v>16149604-</v>
      </c>
      <c r="B950" s="65" t="str">
        <f>IFERROR(VLOOKUP('Informe Kelly'!A943,Base!A:G,7,FALSE),"")</f>
        <v xml:space="preserve">POBLETE SANDOVAL RODRIGO </v>
      </c>
      <c r="C950" s="69" t="str">
        <f>IF(G950=$C$4,IF('Informe Kelly'!H943='Control informe Kelly'!$A$2,TEXT(((LEFT('Informe Kelly'!E943,2)*1)+1),"dd")&amp;"."&amp;MID('Informe Kelly'!E943,4,2)&amp;"."&amp;RIGHT('Informe Kelly'!E943,4),'Informe Kelly'!E943),'Informe Kelly'!E943)</f>
        <v>16.04.2011</v>
      </c>
      <c r="D950" s="69" t="str">
        <f>IF('Informe Kelly'!E943="","",'Informe Kelly'!E943)</f>
        <v>16.04.2011</v>
      </c>
      <c r="E950" s="72">
        <f t="shared" si="29"/>
        <v>483</v>
      </c>
      <c r="F950" s="72" t="str">
        <f>IFERROR(HLOOKUP(C950,Ingreso!$Q$8:$AD$9,2,FALSE),"v")</f>
        <v>Sábado</v>
      </c>
      <c r="G950" s="65" t="str">
        <f>IFERROR(VLOOKUP(A950,Ingreso!K:P,6,FALSE),"no esta ingresado")</f>
        <v>no esta ingresado</v>
      </c>
      <c r="H950" s="65" t="str">
        <f>IFERROR(IF('Informe Kelly'!H943=$A$2,'Informe Kelly'!F943,""),0)</f>
        <v/>
      </c>
      <c r="I950" s="65">
        <f>IFERROR(IF('Informe Kelly'!H943=$A$3,'Informe Kelly'!F943,""),0)</f>
        <v>0.32782407407407405</v>
      </c>
      <c r="J950" s="65" t="str">
        <f>IF(IFERROR(IF(E950=E949,0,(HLOOKUP(D950,Ingreso!$AN$10:$AT$260,VLOOKUP(A950,Ingreso!$AL$11:$AM$260,2,FALSE)))/24),0)=0,"",IFERROR(IF(E950=E949,0,(HLOOKUP(D950,Ingreso!$AN$10:$AT$260,VLOOKUP(A950,Ingreso!$AL$11:$AM$260,2,FALSE)))/24),0))</f>
        <v/>
      </c>
      <c r="K950" s="65" t="str">
        <f>IF(IFERROR(IF(E950=E949,0,(HLOOKUP(C950,Ingreso!$AW$10:$BC$260,VLOOKUP(A950,Ingreso!$AL$11:$AM$260,2,FALSE)))/24),0)=0,"",IFERROR(IF(E950=E949,0,(HLOOKUP(C950,Ingreso!$AW$10:$BC$260,VLOOKUP(A950,Ingreso!$AL$11:$AM$260,2,FALSE)))/24),0))</f>
        <v/>
      </c>
      <c r="L950" s="63" t="str">
        <f t="shared" si="28"/>
        <v/>
      </c>
      <c r="M950" s="63" t="str">
        <f>IF(IFERROR(IF(C950=C948,0,IF(E950=E949,0,IF(C950=$R$2,HLOOKUP($R$2,Ingreso!$AW$10:$BC$260,VLOOKUP(A950,Ingreso!AL:AM,2,FALSE),FALSE)/24,""))),"")=0,"",IFERROR(IF(C950=C948,0,IF(E950=E949,0,IF(C950=$R$2,HLOOKUP($R$2,Ingreso!$AW$10:$BC$260,VLOOKUP(A950,Ingreso!AL:AM,2,FALSE),FALSE)/24,""))),""))</f>
        <v/>
      </c>
      <c r="N950" s="95" t="str">
        <f>IF(IFERROR(IF(C950=C948,0,IF(E950=E949,0,IF(C950=$R$3,HLOOKUP($R$3,Ingreso!$AW$10:$BC$260,VLOOKUP(A950,Ingreso!AL:AM,2,FALSE),FALSE)/24,""))),"")=0,"",IFERROR(IF(C950=C948,0,IF(E950=E949,0,IF(C950=$R$3,HLOOKUP($R$3,Ingreso!$AW$10:$BC$260,VLOOKUP(A950,Ingreso!AL:AM,2,FALSE),FALSE)/24,""))),""))</f>
        <v/>
      </c>
      <c r="O950" s="95" t="str">
        <f>IF(IFERROR(IF(C950=C948,0,IF(E950=E949,0,IF(C950=$R$4,HLOOKUP($R$4,Ingreso!$AW$10:$BC$260,VLOOKUP(A950,Ingreso!AL:AM,2,FALSE),FALSE)/24,""))),"")=0,"",IFERROR(IF(C950=C948,0,IF(E950=E949,0,IF(C950=$R$4,HLOOKUP($R$4,Ingreso!$AW$10:$BC$260,VLOOKUP(A950,Ingreso!AL:AM,2,FALSE),FALSE)/24,""))),""))</f>
        <v/>
      </c>
      <c r="P950" s="90"/>
      <c r="V950"/>
      <c r="W950" s="62"/>
      <c r="X950" s="62"/>
      <c r="Y950" s="62"/>
      <c r="Z950" s="62"/>
      <c r="AA950" s="62"/>
      <c r="AB950" s="62"/>
      <c r="AC950" s="62"/>
    </row>
    <row r="951" spans="1:29">
      <c r="A951" s="65" t="str">
        <f>IFERROR(VLOOKUP('Informe Kelly'!A944,Base!A:B,2,FALSE),"")</f>
        <v>16.169.301-4</v>
      </c>
      <c r="B951" s="65" t="str">
        <f>IFERROR(VLOOKUP('Informe Kelly'!A944,Base!A:G,7,FALSE),"")</f>
        <v>ÑANCUCHEO MARIQUEO JOSE MAURICIO</v>
      </c>
      <c r="C951" s="69" t="str">
        <f>IF(G951=$C$4,IF('Informe Kelly'!H944='Control informe Kelly'!$A$2,TEXT(((LEFT('Informe Kelly'!E944,2)*1)+1),"dd")&amp;"."&amp;MID('Informe Kelly'!E944,4,2)&amp;"."&amp;RIGHT('Informe Kelly'!E944,4),'Informe Kelly'!E944),'Informe Kelly'!E944)</f>
        <v>11.04.2011</v>
      </c>
      <c r="D951" s="69" t="str">
        <f>IF('Informe Kelly'!E944="","",'Informe Kelly'!E944)</f>
        <v>11.04.2011</v>
      </c>
      <c r="E951" s="72">
        <f t="shared" si="29"/>
        <v>484</v>
      </c>
      <c r="F951" s="72" t="str">
        <f>IFERROR(HLOOKUP(C951,Ingreso!$Q$8:$AD$9,2,FALSE),"v")</f>
        <v>Lunes</v>
      </c>
      <c r="G951" s="65" t="str">
        <f>IFERROR(VLOOKUP(A951,Ingreso!K:P,6,FALSE),"no esta ingresado")</f>
        <v>no esta ingresado</v>
      </c>
      <c r="H951" s="65" t="str">
        <f>IFERROR(IF('Informe Kelly'!H944=$A$2,'Informe Kelly'!F944,""),0)</f>
        <v/>
      </c>
      <c r="I951" s="65">
        <f>IFERROR(IF('Informe Kelly'!H944=$A$3,'Informe Kelly'!F944,""),0)</f>
        <v>0.63453703703703701</v>
      </c>
      <c r="J951" s="65" t="str">
        <f>IF(IFERROR(IF(E951=E950,0,(HLOOKUP(D951,Ingreso!$AN$10:$AT$260,VLOOKUP(A951,Ingreso!$AL$11:$AM$260,2,FALSE)))/24),0)=0,"",IFERROR(IF(E951=E950,0,(HLOOKUP(D951,Ingreso!$AN$10:$AT$260,VLOOKUP(A951,Ingreso!$AL$11:$AM$260,2,FALSE)))/24),0))</f>
        <v/>
      </c>
      <c r="K951" s="65" t="str">
        <f>IF(IFERROR(IF(E951=E950,0,(HLOOKUP(C951,Ingreso!$AW$10:$BC$260,VLOOKUP(A951,Ingreso!$AL$11:$AM$260,2,FALSE)))/24),0)=0,"",IFERROR(IF(E951=E950,0,(HLOOKUP(C951,Ingreso!$AW$10:$BC$260,VLOOKUP(A951,Ingreso!$AL$11:$AM$260,2,FALSE)))/24),0))</f>
        <v/>
      </c>
      <c r="L951" s="63" t="str">
        <f t="shared" si="28"/>
        <v/>
      </c>
      <c r="M951" s="63" t="str">
        <f>IF(IFERROR(IF(C951=C949,0,IF(E951=E950,0,IF(C951=$R$2,HLOOKUP($R$2,Ingreso!$AW$10:$BC$260,VLOOKUP(A951,Ingreso!AL:AM,2,FALSE),FALSE)/24,""))),"")=0,"",IFERROR(IF(C951=C949,0,IF(E951=E950,0,IF(C951=$R$2,HLOOKUP($R$2,Ingreso!$AW$10:$BC$260,VLOOKUP(A951,Ingreso!AL:AM,2,FALSE),FALSE)/24,""))),""))</f>
        <v/>
      </c>
      <c r="N951" s="95" t="str">
        <f>IF(IFERROR(IF(C951=C949,0,IF(E951=E950,0,IF(C951=$R$3,HLOOKUP($R$3,Ingreso!$AW$10:$BC$260,VLOOKUP(A951,Ingreso!AL:AM,2,FALSE),FALSE)/24,""))),"")=0,"",IFERROR(IF(C951=C949,0,IF(E951=E950,0,IF(C951=$R$3,HLOOKUP($R$3,Ingreso!$AW$10:$BC$260,VLOOKUP(A951,Ingreso!AL:AM,2,FALSE),FALSE)/24,""))),""))</f>
        <v/>
      </c>
      <c r="O951" s="95" t="str">
        <f>IF(IFERROR(IF(C951=C949,0,IF(E951=E950,0,IF(C951=$R$4,HLOOKUP($R$4,Ingreso!$AW$10:$BC$260,VLOOKUP(A951,Ingreso!AL:AM,2,FALSE),FALSE)/24,""))),"")=0,"",IFERROR(IF(C951=C949,0,IF(E951=E950,0,IF(C951=$R$4,HLOOKUP($R$4,Ingreso!$AW$10:$BC$260,VLOOKUP(A951,Ingreso!AL:AM,2,FALSE),FALSE)/24,""))),""))</f>
        <v/>
      </c>
      <c r="P951" s="90"/>
      <c r="V951"/>
      <c r="W951" s="62"/>
      <c r="X951" s="62"/>
      <c r="Y951" s="62"/>
      <c r="Z951" s="62"/>
      <c r="AA951" s="62"/>
      <c r="AB951" s="62"/>
      <c r="AC951" s="62"/>
    </row>
    <row r="952" spans="1:29">
      <c r="A952" s="65" t="str">
        <f>IFERROR(VLOOKUP('Informe Kelly'!A945,Base!A:B,2,FALSE),"")</f>
        <v>16.169.301-4</v>
      </c>
      <c r="B952" s="65" t="str">
        <f>IFERROR(VLOOKUP('Informe Kelly'!A945,Base!A:G,7,FALSE),"")</f>
        <v>ÑANCUCHEO MARIQUEO JOSE MAURICIO</v>
      </c>
      <c r="C952" s="69" t="str">
        <f>IF(G952=$C$4,IF('Informe Kelly'!H945='Control informe Kelly'!$A$2,TEXT(((LEFT('Informe Kelly'!E945,2)*1)+1),"dd")&amp;"."&amp;MID('Informe Kelly'!E945,4,2)&amp;"."&amp;RIGHT('Informe Kelly'!E945,4),'Informe Kelly'!E945),'Informe Kelly'!E945)</f>
        <v>11.04.2011</v>
      </c>
      <c r="D952" s="69" t="str">
        <f>IF('Informe Kelly'!E945="","",'Informe Kelly'!E945)</f>
        <v>11.04.2011</v>
      </c>
      <c r="E952" s="72">
        <f t="shared" si="29"/>
        <v>484</v>
      </c>
      <c r="F952" s="72" t="str">
        <f>IFERROR(HLOOKUP(C952,Ingreso!$Q$8:$AD$9,2,FALSE),"v")</f>
        <v>Lunes</v>
      </c>
      <c r="G952" s="65" t="str">
        <f>IFERROR(VLOOKUP(A952,Ingreso!K:P,6,FALSE),"no esta ingresado")</f>
        <v>no esta ingresado</v>
      </c>
      <c r="H952" s="65">
        <f>IFERROR(IF('Informe Kelly'!H945=$A$2,'Informe Kelly'!F945,""),0)</f>
        <v>0.2950578703703704</v>
      </c>
      <c r="I952" s="65" t="str">
        <f>IFERROR(IF('Informe Kelly'!H945=$A$3,'Informe Kelly'!F945,""),0)</f>
        <v/>
      </c>
      <c r="J952" s="65" t="str">
        <f>IF(IFERROR(IF(E952=E951,0,(HLOOKUP(D952,Ingreso!$AN$10:$AT$260,VLOOKUP(A952,Ingreso!$AL$11:$AM$260,2,FALSE)))/24),0)=0,"",IFERROR(IF(E952=E951,0,(HLOOKUP(D952,Ingreso!$AN$10:$AT$260,VLOOKUP(A952,Ingreso!$AL$11:$AM$260,2,FALSE)))/24),0))</f>
        <v/>
      </c>
      <c r="K952" s="65" t="str">
        <f>IF(IFERROR(IF(E952=E951,0,(HLOOKUP(C952,Ingreso!$AW$10:$BC$260,VLOOKUP(A952,Ingreso!$AL$11:$AM$260,2,FALSE)))/24),0)=0,"",IFERROR(IF(E952=E951,0,(HLOOKUP(C952,Ingreso!$AW$10:$BC$260,VLOOKUP(A952,Ingreso!$AL$11:$AM$260,2,FALSE)))/24),0))</f>
        <v/>
      </c>
      <c r="L952" s="63">
        <f t="shared" si="28"/>
        <v>0</v>
      </c>
      <c r="M952" s="63" t="str">
        <f>IF(IFERROR(IF(C952=C950,0,IF(E952=E951,0,IF(C952=$R$2,HLOOKUP($R$2,Ingreso!$AW$10:$BC$260,VLOOKUP(A952,Ingreso!AL:AM,2,FALSE),FALSE)/24,""))),"")=0,"",IFERROR(IF(C952=C950,0,IF(E952=E951,0,IF(C952=$R$2,HLOOKUP($R$2,Ingreso!$AW$10:$BC$260,VLOOKUP(A952,Ingreso!AL:AM,2,FALSE),FALSE)/24,""))),""))</f>
        <v/>
      </c>
      <c r="N952" s="95" t="str">
        <f>IF(IFERROR(IF(C952=C950,0,IF(E952=E951,0,IF(C952=$R$3,HLOOKUP($R$3,Ingreso!$AW$10:$BC$260,VLOOKUP(A952,Ingreso!AL:AM,2,FALSE),FALSE)/24,""))),"")=0,"",IFERROR(IF(C952=C950,0,IF(E952=E951,0,IF(C952=$R$3,HLOOKUP($R$3,Ingreso!$AW$10:$BC$260,VLOOKUP(A952,Ingreso!AL:AM,2,FALSE),FALSE)/24,""))),""))</f>
        <v/>
      </c>
      <c r="O952" s="95" t="str">
        <f>IF(IFERROR(IF(C952=C950,0,IF(E952=E951,0,IF(C952=$R$4,HLOOKUP($R$4,Ingreso!$AW$10:$BC$260,VLOOKUP(A952,Ingreso!AL:AM,2,FALSE),FALSE)/24,""))),"")=0,"",IFERROR(IF(C952=C950,0,IF(E952=E951,0,IF(C952=$R$4,HLOOKUP($R$4,Ingreso!$AW$10:$BC$260,VLOOKUP(A952,Ingreso!AL:AM,2,FALSE),FALSE)/24,""))),""))</f>
        <v/>
      </c>
      <c r="P952" s="90"/>
      <c r="V952"/>
      <c r="W952" s="62"/>
      <c r="X952" s="62"/>
      <c r="Y952" s="62"/>
      <c r="Z952" s="62"/>
      <c r="AA952" s="62"/>
      <c r="AB952" s="62"/>
      <c r="AC952" s="62"/>
    </row>
    <row r="953" spans="1:29">
      <c r="A953" s="65" t="str">
        <f>IFERROR(VLOOKUP('Informe Kelly'!A946,Base!A:B,2,FALSE),"")</f>
        <v>16.169.301-4</v>
      </c>
      <c r="B953" s="65" t="str">
        <f>IFERROR(VLOOKUP('Informe Kelly'!A946,Base!A:G,7,FALSE),"")</f>
        <v>ÑANCUCHEO MARIQUEO JOSE MAURICIO</v>
      </c>
      <c r="C953" s="69" t="str">
        <f>IF(G953=$C$4,IF('Informe Kelly'!H946='Control informe Kelly'!$A$2,TEXT(((LEFT('Informe Kelly'!E946,2)*1)+1),"dd")&amp;"."&amp;MID('Informe Kelly'!E946,4,2)&amp;"."&amp;RIGHT('Informe Kelly'!E946,4),'Informe Kelly'!E946),'Informe Kelly'!E946)</f>
        <v>12.04.2011</v>
      </c>
      <c r="D953" s="69" t="str">
        <f>IF('Informe Kelly'!E946="","",'Informe Kelly'!E946)</f>
        <v>12.04.2011</v>
      </c>
      <c r="E953" s="72">
        <f t="shared" si="29"/>
        <v>485</v>
      </c>
      <c r="F953" s="72" t="str">
        <f>IFERROR(HLOOKUP(C953,Ingreso!$Q$8:$AD$9,2,FALSE),"v")</f>
        <v>Martes</v>
      </c>
      <c r="G953" s="65" t="str">
        <f>IFERROR(VLOOKUP(A953,Ingreso!K:P,6,FALSE),"no esta ingresado")</f>
        <v>no esta ingresado</v>
      </c>
      <c r="H953" s="65" t="str">
        <f>IFERROR(IF('Informe Kelly'!H946=$A$2,'Informe Kelly'!F946,""),0)</f>
        <v/>
      </c>
      <c r="I953" s="65">
        <f>IFERROR(IF('Informe Kelly'!H946=$A$3,'Informe Kelly'!F946,""),0)</f>
        <v>0.63302083333333337</v>
      </c>
      <c r="J953" s="65" t="str">
        <f>IF(IFERROR(IF(E953=E952,0,(HLOOKUP(D953,Ingreso!$AN$10:$AT$260,VLOOKUP(A953,Ingreso!$AL$11:$AM$260,2,FALSE)))/24),0)=0,"",IFERROR(IF(E953=E952,0,(HLOOKUP(D953,Ingreso!$AN$10:$AT$260,VLOOKUP(A953,Ingreso!$AL$11:$AM$260,2,FALSE)))/24),0))</f>
        <v/>
      </c>
      <c r="K953" s="65" t="str">
        <f>IF(IFERROR(IF(E953=E952,0,(HLOOKUP(C953,Ingreso!$AW$10:$BC$260,VLOOKUP(A953,Ingreso!$AL$11:$AM$260,2,FALSE)))/24),0)=0,"",IFERROR(IF(E953=E952,0,(HLOOKUP(C953,Ingreso!$AW$10:$BC$260,VLOOKUP(A953,Ingreso!$AL$11:$AM$260,2,FALSE)))/24),0))</f>
        <v/>
      </c>
      <c r="L953" s="63" t="str">
        <f t="shared" si="28"/>
        <v/>
      </c>
      <c r="M953" s="63" t="str">
        <f>IF(IFERROR(IF(C953=C951,0,IF(E953=E952,0,IF(C953=$R$2,HLOOKUP($R$2,Ingreso!$AW$10:$BC$260,VLOOKUP(A953,Ingreso!AL:AM,2,FALSE),FALSE)/24,""))),"")=0,"",IFERROR(IF(C953=C951,0,IF(E953=E952,0,IF(C953=$R$2,HLOOKUP($R$2,Ingreso!$AW$10:$BC$260,VLOOKUP(A953,Ingreso!AL:AM,2,FALSE),FALSE)/24,""))),""))</f>
        <v/>
      </c>
      <c r="N953" s="95" t="str">
        <f>IF(IFERROR(IF(C953=C951,0,IF(E953=E952,0,IF(C953=$R$3,HLOOKUP($R$3,Ingreso!$AW$10:$BC$260,VLOOKUP(A953,Ingreso!AL:AM,2,FALSE),FALSE)/24,""))),"")=0,"",IFERROR(IF(C953=C951,0,IF(E953=E952,0,IF(C953=$R$3,HLOOKUP($R$3,Ingreso!$AW$10:$BC$260,VLOOKUP(A953,Ingreso!AL:AM,2,FALSE),FALSE)/24,""))),""))</f>
        <v/>
      </c>
      <c r="O953" s="95" t="str">
        <f>IF(IFERROR(IF(C953=C951,0,IF(E953=E952,0,IF(C953=$R$4,HLOOKUP($R$4,Ingreso!$AW$10:$BC$260,VLOOKUP(A953,Ingreso!AL:AM,2,FALSE),FALSE)/24,""))),"")=0,"",IFERROR(IF(C953=C951,0,IF(E953=E952,0,IF(C953=$R$4,HLOOKUP($R$4,Ingreso!$AW$10:$BC$260,VLOOKUP(A953,Ingreso!AL:AM,2,FALSE),FALSE)/24,""))),""))</f>
        <v/>
      </c>
      <c r="P953" s="90"/>
      <c r="V953"/>
      <c r="W953" s="62"/>
      <c r="X953" s="62"/>
      <c r="Y953" s="62"/>
      <c r="Z953" s="62"/>
      <c r="AA953" s="62"/>
      <c r="AB953" s="62"/>
      <c r="AC953" s="62"/>
    </row>
    <row r="954" spans="1:29">
      <c r="A954" s="65" t="str">
        <f>IFERROR(VLOOKUP('Informe Kelly'!A947,Base!A:B,2,FALSE),"")</f>
        <v>16.169.301-4</v>
      </c>
      <c r="B954" s="65" t="str">
        <f>IFERROR(VLOOKUP('Informe Kelly'!A947,Base!A:G,7,FALSE),"")</f>
        <v>ÑANCUCHEO MARIQUEO JOSE MAURICIO</v>
      </c>
      <c r="C954" s="69" t="str">
        <f>IF(G954=$C$4,IF('Informe Kelly'!H947='Control informe Kelly'!$A$2,TEXT(((LEFT('Informe Kelly'!E947,2)*1)+1),"dd")&amp;"."&amp;MID('Informe Kelly'!E947,4,2)&amp;"."&amp;RIGHT('Informe Kelly'!E947,4),'Informe Kelly'!E947),'Informe Kelly'!E947)</f>
        <v>12.04.2011</v>
      </c>
      <c r="D954" s="69" t="str">
        <f>IF('Informe Kelly'!E947="","",'Informe Kelly'!E947)</f>
        <v>12.04.2011</v>
      </c>
      <c r="E954" s="72">
        <f t="shared" si="29"/>
        <v>485</v>
      </c>
      <c r="F954" s="72" t="str">
        <f>IFERROR(HLOOKUP(C954,Ingreso!$Q$8:$AD$9,2,FALSE),"v")</f>
        <v>Martes</v>
      </c>
      <c r="G954" s="65" t="str">
        <f>IFERROR(VLOOKUP(A954,Ingreso!K:P,6,FALSE),"no esta ingresado")</f>
        <v>no esta ingresado</v>
      </c>
      <c r="H954" s="65">
        <f>IFERROR(IF('Informe Kelly'!H947=$A$2,'Informe Kelly'!F947,""),0)</f>
        <v>0.29450231481481481</v>
      </c>
      <c r="I954" s="65" t="str">
        <f>IFERROR(IF('Informe Kelly'!H947=$A$3,'Informe Kelly'!F947,""),0)</f>
        <v/>
      </c>
      <c r="J954" s="65" t="str">
        <f>IF(IFERROR(IF(E954=E953,0,(HLOOKUP(D954,Ingreso!$AN$10:$AT$260,VLOOKUP(A954,Ingreso!$AL$11:$AM$260,2,FALSE)))/24),0)=0,"",IFERROR(IF(E954=E953,0,(HLOOKUP(D954,Ingreso!$AN$10:$AT$260,VLOOKUP(A954,Ingreso!$AL$11:$AM$260,2,FALSE)))/24),0))</f>
        <v/>
      </c>
      <c r="K954" s="65" t="str">
        <f>IF(IFERROR(IF(E954=E953,0,(HLOOKUP(C954,Ingreso!$AW$10:$BC$260,VLOOKUP(A954,Ingreso!$AL$11:$AM$260,2,FALSE)))/24),0)=0,"",IFERROR(IF(E954=E953,0,(HLOOKUP(C954,Ingreso!$AW$10:$BC$260,VLOOKUP(A954,Ingreso!$AL$11:$AM$260,2,FALSE)))/24),0))</f>
        <v/>
      </c>
      <c r="L954" s="63">
        <f t="shared" si="28"/>
        <v>0</v>
      </c>
      <c r="M954" s="63" t="str">
        <f>IF(IFERROR(IF(C954=C952,0,IF(E954=E953,0,IF(C954=$R$2,HLOOKUP($R$2,Ingreso!$AW$10:$BC$260,VLOOKUP(A954,Ingreso!AL:AM,2,FALSE),FALSE)/24,""))),"")=0,"",IFERROR(IF(C954=C952,0,IF(E954=E953,0,IF(C954=$R$2,HLOOKUP($R$2,Ingreso!$AW$10:$BC$260,VLOOKUP(A954,Ingreso!AL:AM,2,FALSE),FALSE)/24,""))),""))</f>
        <v/>
      </c>
      <c r="N954" s="95" t="str">
        <f>IF(IFERROR(IF(C954=C952,0,IF(E954=E953,0,IF(C954=$R$3,HLOOKUP($R$3,Ingreso!$AW$10:$BC$260,VLOOKUP(A954,Ingreso!AL:AM,2,FALSE),FALSE)/24,""))),"")=0,"",IFERROR(IF(C954=C952,0,IF(E954=E953,0,IF(C954=$R$3,HLOOKUP($R$3,Ingreso!$AW$10:$BC$260,VLOOKUP(A954,Ingreso!AL:AM,2,FALSE),FALSE)/24,""))),""))</f>
        <v/>
      </c>
      <c r="O954" s="95" t="str">
        <f>IF(IFERROR(IF(C954=C952,0,IF(E954=E953,0,IF(C954=$R$4,HLOOKUP($R$4,Ingreso!$AW$10:$BC$260,VLOOKUP(A954,Ingreso!AL:AM,2,FALSE),FALSE)/24,""))),"")=0,"",IFERROR(IF(C954=C952,0,IF(E954=E953,0,IF(C954=$R$4,HLOOKUP($R$4,Ingreso!$AW$10:$BC$260,VLOOKUP(A954,Ingreso!AL:AM,2,FALSE),FALSE)/24,""))),""))</f>
        <v/>
      </c>
      <c r="P954" s="90"/>
      <c r="V954"/>
      <c r="W954" s="62"/>
      <c r="X954" s="62"/>
      <c r="Y954" s="62"/>
      <c r="Z954" s="62"/>
      <c r="AA954" s="62"/>
      <c r="AB954" s="62"/>
      <c r="AC954" s="62"/>
    </row>
    <row r="955" spans="1:29">
      <c r="A955" s="65" t="str">
        <f>IFERROR(VLOOKUP('Informe Kelly'!A948,Base!A:B,2,FALSE),"")</f>
        <v>16.169.301-4</v>
      </c>
      <c r="B955" s="65" t="str">
        <f>IFERROR(VLOOKUP('Informe Kelly'!A948,Base!A:G,7,FALSE),"")</f>
        <v>ÑANCUCHEO MARIQUEO JOSE MAURICIO</v>
      </c>
      <c r="C955" s="69" t="str">
        <f>IF(G955=$C$4,IF('Informe Kelly'!H948='Control informe Kelly'!$A$2,TEXT(((LEFT('Informe Kelly'!E948,2)*1)+1),"dd")&amp;"."&amp;MID('Informe Kelly'!E948,4,2)&amp;"."&amp;RIGHT('Informe Kelly'!E948,4),'Informe Kelly'!E948),'Informe Kelly'!E948)</f>
        <v>13.04.2011</v>
      </c>
      <c r="D955" s="69" t="str">
        <f>IF('Informe Kelly'!E948="","",'Informe Kelly'!E948)</f>
        <v>13.04.2011</v>
      </c>
      <c r="E955" s="72">
        <f t="shared" si="29"/>
        <v>486</v>
      </c>
      <c r="F955" s="72" t="str">
        <f>IFERROR(HLOOKUP(C955,Ingreso!$Q$8:$AD$9,2,FALSE),"v")</f>
        <v>Miércoles</v>
      </c>
      <c r="G955" s="65" t="str">
        <f>IFERROR(VLOOKUP(A955,Ingreso!K:P,6,FALSE),"no esta ingresado")</f>
        <v>no esta ingresado</v>
      </c>
      <c r="H955" s="65" t="str">
        <f>IFERROR(IF('Informe Kelly'!H948=$A$2,'Informe Kelly'!F948,""),0)</f>
        <v/>
      </c>
      <c r="I955" s="65">
        <f>IFERROR(IF('Informe Kelly'!H948=$A$3,'Informe Kelly'!F948,""),0)</f>
        <v>0.63156250000000003</v>
      </c>
      <c r="J955" s="65" t="str">
        <f>IF(IFERROR(IF(E955=E954,0,(HLOOKUP(D955,Ingreso!$AN$10:$AT$260,VLOOKUP(A955,Ingreso!$AL$11:$AM$260,2,FALSE)))/24),0)=0,"",IFERROR(IF(E955=E954,0,(HLOOKUP(D955,Ingreso!$AN$10:$AT$260,VLOOKUP(A955,Ingreso!$AL$11:$AM$260,2,FALSE)))/24),0))</f>
        <v/>
      </c>
      <c r="K955" s="65" t="str">
        <f>IF(IFERROR(IF(E955=E954,0,(HLOOKUP(C955,Ingreso!$AW$10:$BC$260,VLOOKUP(A955,Ingreso!$AL$11:$AM$260,2,FALSE)))/24),0)=0,"",IFERROR(IF(E955=E954,0,(HLOOKUP(C955,Ingreso!$AW$10:$BC$260,VLOOKUP(A955,Ingreso!$AL$11:$AM$260,2,FALSE)))/24),0))</f>
        <v/>
      </c>
      <c r="L955" s="63" t="str">
        <f t="shared" si="28"/>
        <v/>
      </c>
      <c r="M955" s="63" t="str">
        <f>IF(IFERROR(IF(C955=C953,0,IF(E955=E954,0,IF(C955=$R$2,HLOOKUP($R$2,Ingreso!$AW$10:$BC$260,VLOOKUP(A955,Ingreso!AL:AM,2,FALSE),FALSE)/24,""))),"")=0,"",IFERROR(IF(C955=C953,0,IF(E955=E954,0,IF(C955=$R$2,HLOOKUP($R$2,Ingreso!$AW$10:$BC$260,VLOOKUP(A955,Ingreso!AL:AM,2,FALSE),FALSE)/24,""))),""))</f>
        <v/>
      </c>
      <c r="N955" s="95" t="str">
        <f>IF(IFERROR(IF(C955=C953,0,IF(E955=E954,0,IF(C955=$R$3,HLOOKUP($R$3,Ingreso!$AW$10:$BC$260,VLOOKUP(A955,Ingreso!AL:AM,2,FALSE),FALSE)/24,""))),"")=0,"",IFERROR(IF(C955=C953,0,IF(E955=E954,0,IF(C955=$R$3,HLOOKUP($R$3,Ingreso!$AW$10:$BC$260,VLOOKUP(A955,Ingreso!AL:AM,2,FALSE),FALSE)/24,""))),""))</f>
        <v/>
      </c>
      <c r="O955" s="95" t="str">
        <f>IF(IFERROR(IF(C955=C953,0,IF(E955=E954,0,IF(C955=$R$4,HLOOKUP($R$4,Ingreso!$AW$10:$BC$260,VLOOKUP(A955,Ingreso!AL:AM,2,FALSE),FALSE)/24,""))),"")=0,"",IFERROR(IF(C955=C953,0,IF(E955=E954,0,IF(C955=$R$4,HLOOKUP($R$4,Ingreso!$AW$10:$BC$260,VLOOKUP(A955,Ingreso!AL:AM,2,FALSE),FALSE)/24,""))),""))</f>
        <v/>
      </c>
      <c r="P955" s="90"/>
      <c r="V955"/>
      <c r="W955" s="62"/>
      <c r="X955" s="62"/>
      <c r="Y955" s="62"/>
      <c r="Z955" s="62"/>
      <c r="AA955" s="62"/>
      <c r="AB955" s="62"/>
      <c r="AC955" s="62"/>
    </row>
    <row r="956" spans="1:29">
      <c r="A956" s="65" t="str">
        <f>IFERROR(VLOOKUP('Informe Kelly'!A949,Base!A:B,2,FALSE),"")</f>
        <v>16.169.301-4</v>
      </c>
      <c r="B956" s="65" t="str">
        <f>IFERROR(VLOOKUP('Informe Kelly'!A949,Base!A:G,7,FALSE),"")</f>
        <v>ÑANCUCHEO MARIQUEO JOSE MAURICIO</v>
      </c>
      <c r="C956" s="69" t="str">
        <f>IF(G956=$C$4,IF('Informe Kelly'!H949='Control informe Kelly'!$A$2,TEXT(((LEFT('Informe Kelly'!E949,2)*1)+1),"dd")&amp;"."&amp;MID('Informe Kelly'!E949,4,2)&amp;"."&amp;RIGHT('Informe Kelly'!E949,4),'Informe Kelly'!E949),'Informe Kelly'!E949)</f>
        <v>13.04.2011</v>
      </c>
      <c r="D956" s="69" t="str">
        <f>IF('Informe Kelly'!E949="","",'Informe Kelly'!E949)</f>
        <v>13.04.2011</v>
      </c>
      <c r="E956" s="72">
        <f t="shared" si="29"/>
        <v>486</v>
      </c>
      <c r="F956" s="72" t="str">
        <f>IFERROR(HLOOKUP(C956,Ingreso!$Q$8:$AD$9,2,FALSE),"v")</f>
        <v>Miércoles</v>
      </c>
      <c r="G956" s="65" t="str">
        <f>IFERROR(VLOOKUP(A956,Ingreso!K:P,6,FALSE),"no esta ingresado")</f>
        <v>no esta ingresado</v>
      </c>
      <c r="H956" s="65">
        <f>IFERROR(IF('Informe Kelly'!H949=$A$2,'Informe Kelly'!F949,""),0)</f>
        <v>0.29496527777777776</v>
      </c>
      <c r="I956" s="65" t="str">
        <f>IFERROR(IF('Informe Kelly'!H949=$A$3,'Informe Kelly'!F949,""),0)</f>
        <v/>
      </c>
      <c r="J956" s="65" t="str">
        <f>IF(IFERROR(IF(E956=E955,0,(HLOOKUP(D956,Ingreso!$AN$10:$AT$260,VLOOKUP(A956,Ingreso!$AL$11:$AM$260,2,FALSE)))/24),0)=0,"",IFERROR(IF(E956=E955,0,(HLOOKUP(D956,Ingreso!$AN$10:$AT$260,VLOOKUP(A956,Ingreso!$AL$11:$AM$260,2,FALSE)))/24),0))</f>
        <v/>
      </c>
      <c r="K956" s="65" t="str">
        <f>IF(IFERROR(IF(E956=E955,0,(HLOOKUP(C956,Ingreso!$AW$10:$BC$260,VLOOKUP(A956,Ingreso!$AL$11:$AM$260,2,FALSE)))/24),0)=0,"",IFERROR(IF(E956=E955,0,(HLOOKUP(C956,Ingreso!$AW$10:$BC$260,VLOOKUP(A956,Ingreso!$AL$11:$AM$260,2,FALSE)))/24),0))</f>
        <v/>
      </c>
      <c r="L956" s="63">
        <f t="shared" si="28"/>
        <v>0</v>
      </c>
      <c r="M956" s="63" t="str">
        <f>IF(IFERROR(IF(C956=C954,0,IF(E956=E955,0,IF(C956=$R$2,HLOOKUP($R$2,Ingreso!$AW$10:$BC$260,VLOOKUP(A956,Ingreso!AL:AM,2,FALSE),FALSE)/24,""))),"")=0,"",IFERROR(IF(C956=C954,0,IF(E956=E955,0,IF(C956=$R$2,HLOOKUP($R$2,Ingreso!$AW$10:$BC$260,VLOOKUP(A956,Ingreso!AL:AM,2,FALSE),FALSE)/24,""))),""))</f>
        <v/>
      </c>
      <c r="N956" s="95" t="str">
        <f>IF(IFERROR(IF(C956=C954,0,IF(E956=E955,0,IF(C956=$R$3,HLOOKUP($R$3,Ingreso!$AW$10:$BC$260,VLOOKUP(A956,Ingreso!AL:AM,2,FALSE),FALSE)/24,""))),"")=0,"",IFERROR(IF(C956=C954,0,IF(E956=E955,0,IF(C956=$R$3,HLOOKUP($R$3,Ingreso!$AW$10:$BC$260,VLOOKUP(A956,Ingreso!AL:AM,2,FALSE),FALSE)/24,""))),""))</f>
        <v/>
      </c>
      <c r="O956" s="95" t="str">
        <f>IF(IFERROR(IF(C956=C954,0,IF(E956=E955,0,IF(C956=$R$4,HLOOKUP($R$4,Ingreso!$AW$10:$BC$260,VLOOKUP(A956,Ingreso!AL:AM,2,FALSE),FALSE)/24,""))),"")=0,"",IFERROR(IF(C956=C954,0,IF(E956=E955,0,IF(C956=$R$4,HLOOKUP($R$4,Ingreso!$AW$10:$BC$260,VLOOKUP(A956,Ingreso!AL:AM,2,FALSE),FALSE)/24,""))),""))</f>
        <v/>
      </c>
      <c r="P956" s="90"/>
      <c r="V956"/>
      <c r="W956" s="62"/>
      <c r="X956" s="62"/>
      <c r="Y956" s="62"/>
      <c r="Z956" s="62"/>
      <c r="AA956" s="62"/>
      <c r="AB956" s="62"/>
      <c r="AC956" s="62"/>
    </row>
    <row r="957" spans="1:29">
      <c r="A957" s="65" t="str">
        <f>IFERROR(VLOOKUP('Informe Kelly'!A950,Base!A:B,2,FALSE),"")</f>
        <v>16.169.301-4</v>
      </c>
      <c r="B957" s="65" t="str">
        <f>IFERROR(VLOOKUP('Informe Kelly'!A950,Base!A:G,7,FALSE),"")</f>
        <v>ÑANCUCHEO MARIQUEO JOSE MAURICIO</v>
      </c>
      <c r="C957" s="69" t="str">
        <f>IF(G957=$C$4,IF('Informe Kelly'!H950='Control informe Kelly'!$A$2,TEXT(((LEFT('Informe Kelly'!E950,2)*1)+1),"dd")&amp;"."&amp;MID('Informe Kelly'!E950,4,2)&amp;"."&amp;RIGHT('Informe Kelly'!E950,4),'Informe Kelly'!E950),'Informe Kelly'!E950)</f>
        <v>14.04.2011</v>
      </c>
      <c r="D957" s="69" t="str">
        <f>IF('Informe Kelly'!E950="","",'Informe Kelly'!E950)</f>
        <v>14.04.2011</v>
      </c>
      <c r="E957" s="72">
        <f t="shared" si="29"/>
        <v>487</v>
      </c>
      <c r="F957" s="72" t="str">
        <f>IFERROR(HLOOKUP(C957,Ingreso!$Q$8:$AD$9,2,FALSE),"v")</f>
        <v>Jueves</v>
      </c>
      <c r="G957" s="65" t="str">
        <f>IFERROR(VLOOKUP(A957,Ingreso!K:P,6,FALSE),"no esta ingresado")</f>
        <v>no esta ingresado</v>
      </c>
      <c r="H957" s="65" t="str">
        <f>IFERROR(IF('Informe Kelly'!H950=$A$2,'Informe Kelly'!F950,""),0)</f>
        <v/>
      </c>
      <c r="I957" s="65">
        <f>IFERROR(IF('Informe Kelly'!H950=$A$3,'Informe Kelly'!F950,""),0)</f>
        <v>0.63133101851851847</v>
      </c>
      <c r="J957" s="65" t="str">
        <f>IF(IFERROR(IF(E957=E956,0,(HLOOKUP(D957,Ingreso!$AN$10:$AT$260,VLOOKUP(A957,Ingreso!$AL$11:$AM$260,2,FALSE)))/24),0)=0,"",IFERROR(IF(E957=E956,0,(HLOOKUP(D957,Ingreso!$AN$10:$AT$260,VLOOKUP(A957,Ingreso!$AL$11:$AM$260,2,FALSE)))/24),0))</f>
        <v/>
      </c>
      <c r="K957" s="65" t="str">
        <f>IF(IFERROR(IF(E957=E956,0,(HLOOKUP(C957,Ingreso!$AW$10:$BC$260,VLOOKUP(A957,Ingreso!$AL$11:$AM$260,2,FALSE)))/24),0)=0,"",IFERROR(IF(E957=E956,0,(HLOOKUP(C957,Ingreso!$AW$10:$BC$260,VLOOKUP(A957,Ingreso!$AL$11:$AM$260,2,FALSE)))/24),0))</f>
        <v/>
      </c>
      <c r="L957" s="63" t="str">
        <f t="shared" si="28"/>
        <v/>
      </c>
      <c r="M957" s="63" t="str">
        <f>IF(IFERROR(IF(C957=C955,0,IF(E957=E956,0,IF(C957=$R$2,HLOOKUP($R$2,Ingreso!$AW$10:$BC$260,VLOOKUP(A957,Ingreso!AL:AM,2,FALSE),FALSE)/24,""))),"")=0,"",IFERROR(IF(C957=C955,0,IF(E957=E956,0,IF(C957=$R$2,HLOOKUP($R$2,Ingreso!$AW$10:$BC$260,VLOOKUP(A957,Ingreso!AL:AM,2,FALSE),FALSE)/24,""))),""))</f>
        <v/>
      </c>
      <c r="N957" s="95" t="str">
        <f>IF(IFERROR(IF(C957=C955,0,IF(E957=E956,0,IF(C957=$R$3,HLOOKUP($R$3,Ingreso!$AW$10:$BC$260,VLOOKUP(A957,Ingreso!AL:AM,2,FALSE),FALSE)/24,""))),"")=0,"",IFERROR(IF(C957=C955,0,IF(E957=E956,0,IF(C957=$R$3,HLOOKUP($R$3,Ingreso!$AW$10:$BC$260,VLOOKUP(A957,Ingreso!AL:AM,2,FALSE),FALSE)/24,""))),""))</f>
        <v/>
      </c>
      <c r="O957" s="95" t="str">
        <f>IF(IFERROR(IF(C957=C955,0,IF(E957=E956,0,IF(C957=$R$4,HLOOKUP($R$4,Ingreso!$AW$10:$BC$260,VLOOKUP(A957,Ingreso!AL:AM,2,FALSE),FALSE)/24,""))),"")=0,"",IFERROR(IF(C957=C955,0,IF(E957=E956,0,IF(C957=$R$4,HLOOKUP($R$4,Ingreso!$AW$10:$BC$260,VLOOKUP(A957,Ingreso!AL:AM,2,FALSE),FALSE)/24,""))),""))</f>
        <v/>
      </c>
      <c r="P957" s="90"/>
      <c r="V957"/>
      <c r="W957" s="62"/>
      <c r="X957" s="62"/>
      <c r="Y957" s="62"/>
      <c r="Z957" s="62"/>
      <c r="AA957" s="62"/>
      <c r="AB957" s="62"/>
      <c r="AC957" s="62"/>
    </row>
    <row r="958" spans="1:29">
      <c r="A958" s="65" t="str">
        <f>IFERROR(VLOOKUP('Informe Kelly'!A951,Base!A:B,2,FALSE),"")</f>
        <v>16.169.301-4</v>
      </c>
      <c r="B958" s="65" t="str">
        <f>IFERROR(VLOOKUP('Informe Kelly'!A951,Base!A:G,7,FALSE),"")</f>
        <v>ÑANCUCHEO MARIQUEO JOSE MAURICIO</v>
      </c>
      <c r="C958" s="69" t="str">
        <f>IF(G958=$C$4,IF('Informe Kelly'!H951='Control informe Kelly'!$A$2,TEXT(((LEFT('Informe Kelly'!E951,2)*1)+1),"dd")&amp;"."&amp;MID('Informe Kelly'!E951,4,2)&amp;"."&amp;RIGHT('Informe Kelly'!E951,4),'Informe Kelly'!E951),'Informe Kelly'!E951)</f>
        <v>14.04.2011</v>
      </c>
      <c r="D958" s="69" t="str">
        <f>IF('Informe Kelly'!E951="","",'Informe Kelly'!E951)</f>
        <v>14.04.2011</v>
      </c>
      <c r="E958" s="72">
        <f t="shared" si="29"/>
        <v>487</v>
      </c>
      <c r="F958" s="72" t="str">
        <f>IFERROR(HLOOKUP(C958,Ingreso!$Q$8:$AD$9,2,FALSE),"v")</f>
        <v>Jueves</v>
      </c>
      <c r="G958" s="65" t="str">
        <f>IFERROR(VLOOKUP(A958,Ingreso!K:P,6,FALSE),"no esta ingresado")</f>
        <v>no esta ingresado</v>
      </c>
      <c r="H958" s="65">
        <f>IFERROR(IF('Informe Kelly'!H951=$A$2,'Informe Kelly'!F951,""),0)</f>
        <v>0.29394675925925923</v>
      </c>
      <c r="I958" s="65" t="str">
        <f>IFERROR(IF('Informe Kelly'!H951=$A$3,'Informe Kelly'!F951,""),0)</f>
        <v/>
      </c>
      <c r="J958" s="65" t="str">
        <f>IF(IFERROR(IF(E958=E957,0,(HLOOKUP(D958,Ingreso!$AN$10:$AT$260,VLOOKUP(A958,Ingreso!$AL$11:$AM$260,2,FALSE)))/24),0)=0,"",IFERROR(IF(E958=E957,0,(HLOOKUP(D958,Ingreso!$AN$10:$AT$260,VLOOKUP(A958,Ingreso!$AL$11:$AM$260,2,FALSE)))/24),0))</f>
        <v/>
      </c>
      <c r="K958" s="65" t="str">
        <f>IF(IFERROR(IF(E958=E957,0,(HLOOKUP(C958,Ingreso!$AW$10:$BC$260,VLOOKUP(A958,Ingreso!$AL$11:$AM$260,2,FALSE)))/24),0)=0,"",IFERROR(IF(E958=E957,0,(HLOOKUP(C958,Ingreso!$AW$10:$BC$260,VLOOKUP(A958,Ingreso!$AL$11:$AM$260,2,FALSE)))/24),0))</f>
        <v/>
      </c>
      <c r="L958" s="63">
        <f t="shared" si="28"/>
        <v>0</v>
      </c>
      <c r="M958" s="63" t="str">
        <f>IF(IFERROR(IF(C958=C956,0,IF(E958=E957,0,IF(C958=$R$2,HLOOKUP($R$2,Ingreso!$AW$10:$BC$260,VLOOKUP(A958,Ingreso!AL:AM,2,FALSE),FALSE)/24,""))),"")=0,"",IFERROR(IF(C958=C956,0,IF(E958=E957,0,IF(C958=$R$2,HLOOKUP($R$2,Ingreso!$AW$10:$BC$260,VLOOKUP(A958,Ingreso!AL:AM,2,FALSE),FALSE)/24,""))),""))</f>
        <v/>
      </c>
      <c r="N958" s="95" t="str">
        <f>IF(IFERROR(IF(C958=C956,0,IF(E958=E957,0,IF(C958=$R$3,HLOOKUP($R$3,Ingreso!$AW$10:$BC$260,VLOOKUP(A958,Ingreso!AL:AM,2,FALSE),FALSE)/24,""))),"")=0,"",IFERROR(IF(C958=C956,0,IF(E958=E957,0,IF(C958=$R$3,HLOOKUP($R$3,Ingreso!$AW$10:$BC$260,VLOOKUP(A958,Ingreso!AL:AM,2,FALSE),FALSE)/24,""))),""))</f>
        <v/>
      </c>
      <c r="O958" s="95" t="str">
        <f>IF(IFERROR(IF(C958=C956,0,IF(E958=E957,0,IF(C958=$R$4,HLOOKUP($R$4,Ingreso!$AW$10:$BC$260,VLOOKUP(A958,Ingreso!AL:AM,2,FALSE),FALSE)/24,""))),"")=0,"",IFERROR(IF(C958=C956,0,IF(E958=E957,0,IF(C958=$R$4,HLOOKUP($R$4,Ingreso!$AW$10:$BC$260,VLOOKUP(A958,Ingreso!AL:AM,2,FALSE),FALSE)/24,""))),""))</f>
        <v/>
      </c>
      <c r="P958" s="90"/>
      <c r="V958"/>
      <c r="W958" s="62"/>
      <c r="X958" s="62"/>
      <c r="Y958" s="62"/>
      <c r="Z958" s="62"/>
      <c r="AA958" s="62"/>
      <c r="AB958" s="62"/>
      <c r="AC958" s="62"/>
    </row>
    <row r="959" spans="1:29">
      <c r="A959" s="65" t="str">
        <f>IFERROR(VLOOKUP('Informe Kelly'!A952,Base!A:B,2,FALSE),"")</f>
        <v>16.169.301-4</v>
      </c>
      <c r="B959" s="65" t="str">
        <f>IFERROR(VLOOKUP('Informe Kelly'!A952,Base!A:G,7,FALSE),"")</f>
        <v>ÑANCUCHEO MARIQUEO JOSE MAURICIO</v>
      </c>
      <c r="C959" s="69" t="str">
        <f>IF(G959=$C$4,IF('Informe Kelly'!H952='Control informe Kelly'!$A$2,TEXT(((LEFT('Informe Kelly'!E952,2)*1)+1),"dd")&amp;"."&amp;MID('Informe Kelly'!E952,4,2)&amp;"."&amp;RIGHT('Informe Kelly'!E952,4),'Informe Kelly'!E952),'Informe Kelly'!E952)</f>
        <v>15.04.2011</v>
      </c>
      <c r="D959" s="69" t="str">
        <f>IF('Informe Kelly'!E952="","",'Informe Kelly'!E952)</f>
        <v>15.04.2011</v>
      </c>
      <c r="E959" s="72">
        <f t="shared" si="29"/>
        <v>488</v>
      </c>
      <c r="F959" s="72" t="str">
        <f>IFERROR(HLOOKUP(C959,Ingreso!$Q$8:$AD$9,2,FALSE),"v")</f>
        <v>Viernes</v>
      </c>
      <c r="G959" s="65" t="str">
        <f>IFERROR(VLOOKUP(A959,Ingreso!K:P,6,FALSE),"no esta ingresado")</f>
        <v>no esta ingresado</v>
      </c>
      <c r="H959" s="65" t="str">
        <f>IFERROR(IF('Informe Kelly'!H952=$A$2,'Informe Kelly'!F952,""),0)</f>
        <v/>
      </c>
      <c r="I959" s="65">
        <f>IFERROR(IF('Informe Kelly'!H952=$A$3,'Informe Kelly'!F952,""),0)</f>
        <v>0.63201388888888888</v>
      </c>
      <c r="J959" s="65" t="str">
        <f>IF(IFERROR(IF(E959=E958,0,(HLOOKUP(D959,Ingreso!$AN$10:$AT$260,VLOOKUP(A959,Ingreso!$AL$11:$AM$260,2,FALSE)))/24),0)=0,"",IFERROR(IF(E959=E958,0,(HLOOKUP(D959,Ingreso!$AN$10:$AT$260,VLOOKUP(A959,Ingreso!$AL$11:$AM$260,2,FALSE)))/24),0))</f>
        <v/>
      </c>
      <c r="K959" s="65" t="str">
        <f>IF(IFERROR(IF(E959=E958,0,(HLOOKUP(C959,Ingreso!$AW$10:$BC$260,VLOOKUP(A959,Ingreso!$AL$11:$AM$260,2,FALSE)))/24),0)=0,"",IFERROR(IF(E959=E958,0,(HLOOKUP(C959,Ingreso!$AW$10:$BC$260,VLOOKUP(A959,Ingreso!$AL$11:$AM$260,2,FALSE)))/24),0))</f>
        <v/>
      </c>
      <c r="L959" s="63" t="str">
        <f t="shared" si="28"/>
        <v/>
      </c>
      <c r="M959" s="63" t="str">
        <f>IF(IFERROR(IF(C959=C957,0,IF(E959=E958,0,IF(C959=$R$2,HLOOKUP($R$2,Ingreso!$AW$10:$BC$260,VLOOKUP(A959,Ingreso!AL:AM,2,FALSE),FALSE)/24,""))),"")=0,"",IFERROR(IF(C959=C957,0,IF(E959=E958,0,IF(C959=$R$2,HLOOKUP($R$2,Ingreso!$AW$10:$BC$260,VLOOKUP(A959,Ingreso!AL:AM,2,FALSE),FALSE)/24,""))),""))</f>
        <v/>
      </c>
      <c r="N959" s="95" t="str">
        <f>IF(IFERROR(IF(C959=C957,0,IF(E959=E958,0,IF(C959=$R$3,HLOOKUP($R$3,Ingreso!$AW$10:$BC$260,VLOOKUP(A959,Ingreso!AL:AM,2,FALSE),FALSE)/24,""))),"")=0,"",IFERROR(IF(C959=C957,0,IF(E959=E958,0,IF(C959=$R$3,HLOOKUP($R$3,Ingreso!$AW$10:$BC$260,VLOOKUP(A959,Ingreso!AL:AM,2,FALSE),FALSE)/24,""))),""))</f>
        <v/>
      </c>
      <c r="O959" s="95" t="str">
        <f>IF(IFERROR(IF(C959=C957,0,IF(E959=E958,0,IF(C959=$R$4,HLOOKUP($R$4,Ingreso!$AW$10:$BC$260,VLOOKUP(A959,Ingreso!AL:AM,2,FALSE),FALSE)/24,""))),"")=0,"",IFERROR(IF(C959=C957,0,IF(E959=E958,0,IF(C959=$R$4,HLOOKUP($R$4,Ingreso!$AW$10:$BC$260,VLOOKUP(A959,Ingreso!AL:AM,2,FALSE),FALSE)/24,""))),""))</f>
        <v/>
      </c>
      <c r="P959" s="90"/>
      <c r="V959"/>
      <c r="W959" s="62"/>
      <c r="X959" s="62"/>
      <c r="Y959" s="62"/>
      <c r="Z959" s="62"/>
      <c r="AA959" s="62"/>
      <c r="AB959" s="62"/>
      <c r="AC959" s="62"/>
    </row>
    <row r="960" spans="1:29">
      <c r="A960" s="65" t="str">
        <f>IFERROR(VLOOKUP('Informe Kelly'!A953,Base!A:B,2,FALSE),"")</f>
        <v>16.169.301-4</v>
      </c>
      <c r="B960" s="65" t="str">
        <f>IFERROR(VLOOKUP('Informe Kelly'!A953,Base!A:G,7,FALSE),"")</f>
        <v>ÑANCUCHEO MARIQUEO JOSE MAURICIO</v>
      </c>
      <c r="C960" s="69" t="str">
        <f>IF(G960=$C$4,IF('Informe Kelly'!H953='Control informe Kelly'!$A$2,TEXT(((LEFT('Informe Kelly'!E953,2)*1)+1),"dd")&amp;"."&amp;MID('Informe Kelly'!E953,4,2)&amp;"."&amp;RIGHT('Informe Kelly'!E953,4),'Informe Kelly'!E953),'Informe Kelly'!E953)</f>
        <v>15.04.2011</v>
      </c>
      <c r="D960" s="69" t="str">
        <f>IF('Informe Kelly'!E953="","",'Informe Kelly'!E953)</f>
        <v>15.04.2011</v>
      </c>
      <c r="E960" s="72">
        <f t="shared" si="29"/>
        <v>488</v>
      </c>
      <c r="F960" s="72" t="str">
        <f>IFERROR(HLOOKUP(C960,Ingreso!$Q$8:$AD$9,2,FALSE),"v")</f>
        <v>Viernes</v>
      </c>
      <c r="G960" s="65" t="str">
        <f>IFERROR(VLOOKUP(A960,Ingreso!K:P,6,FALSE),"no esta ingresado")</f>
        <v>no esta ingresado</v>
      </c>
      <c r="H960" s="65">
        <f>IFERROR(IF('Informe Kelly'!H953=$A$2,'Informe Kelly'!F953,""),0)</f>
        <v>0.29518518518518516</v>
      </c>
      <c r="I960" s="65" t="str">
        <f>IFERROR(IF('Informe Kelly'!H953=$A$3,'Informe Kelly'!F953,""),0)</f>
        <v/>
      </c>
      <c r="J960" s="65" t="str">
        <f>IF(IFERROR(IF(E960=E959,0,(HLOOKUP(D960,Ingreso!$AN$10:$AT$260,VLOOKUP(A960,Ingreso!$AL$11:$AM$260,2,FALSE)))/24),0)=0,"",IFERROR(IF(E960=E959,0,(HLOOKUP(D960,Ingreso!$AN$10:$AT$260,VLOOKUP(A960,Ingreso!$AL$11:$AM$260,2,FALSE)))/24),0))</f>
        <v/>
      </c>
      <c r="K960" s="65" t="str">
        <f>IF(IFERROR(IF(E960=E959,0,(HLOOKUP(C960,Ingreso!$AW$10:$BC$260,VLOOKUP(A960,Ingreso!$AL$11:$AM$260,2,FALSE)))/24),0)=0,"",IFERROR(IF(E960=E959,0,(HLOOKUP(C960,Ingreso!$AW$10:$BC$260,VLOOKUP(A960,Ingreso!$AL$11:$AM$260,2,FALSE)))/24),0))</f>
        <v/>
      </c>
      <c r="L960" s="63">
        <f t="shared" si="28"/>
        <v>0</v>
      </c>
      <c r="M960" s="63" t="str">
        <f>IF(IFERROR(IF(C960=C958,0,IF(E960=E959,0,IF(C960=$R$2,HLOOKUP($R$2,Ingreso!$AW$10:$BC$260,VLOOKUP(A960,Ingreso!AL:AM,2,FALSE),FALSE)/24,""))),"")=0,"",IFERROR(IF(C960=C958,0,IF(E960=E959,0,IF(C960=$R$2,HLOOKUP($R$2,Ingreso!$AW$10:$BC$260,VLOOKUP(A960,Ingreso!AL:AM,2,FALSE),FALSE)/24,""))),""))</f>
        <v/>
      </c>
      <c r="N960" s="95" t="str">
        <f>IF(IFERROR(IF(C960=C958,0,IF(E960=E959,0,IF(C960=$R$3,HLOOKUP($R$3,Ingreso!$AW$10:$BC$260,VLOOKUP(A960,Ingreso!AL:AM,2,FALSE),FALSE)/24,""))),"")=0,"",IFERROR(IF(C960=C958,0,IF(E960=E959,0,IF(C960=$R$3,HLOOKUP($R$3,Ingreso!$AW$10:$BC$260,VLOOKUP(A960,Ingreso!AL:AM,2,FALSE),FALSE)/24,""))),""))</f>
        <v/>
      </c>
      <c r="O960" s="95" t="str">
        <f>IF(IFERROR(IF(C960=C958,0,IF(E960=E959,0,IF(C960=$R$4,HLOOKUP($R$4,Ingreso!$AW$10:$BC$260,VLOOKUP(A960,Ingreso!AL:AM,2,FALSE),FALSE)/24,""))),"")=0,"",IFERROR(IF(C960=C958,0,IF(E960=E959,0,IF(C960=$R$4,HLOOKUP($R$4,Ingreso!$AW$10:$BC$260,VLOOKUP(A960,Ingreso!AL:AM,2,FALSE),FALSE)/24,""))),""))</f>
        <v/>
      </c>
      <c r="P960" s="90"/>
      <c r="V960"/>
      <c r="W960" s="62"/>
      <c r="X960" s="62"/>
      <c r="Y960" s="62"/>
      <c r="Z960" s="62"/>
      <c r="AA960" s="62"/>
      <c r="AB960" s="62"/>
      <c r="AC960" s="62"/>
    </row>
    <row r="961" spans="1:29">
      <c r="A961" s="65" t="str">
        <f>IFERROR(VLOOKUP('Informe Kelly'!A954,Base!A:B,2,FALSE),"")</f>
        <v>16.169.301-4</v>
      </c>
      <c r="B961" s="65" t="str">
        <f>IFERROR(VLOOKUP('Informe Kelly'!A954,Base!A:G,7,FALSE),"")</f>
        <v>ÑANCUCHEO MARIQUEO JOSE MAURICIO</v>
      </c>
      <c r="C961" s="69" t="str">
        <f>IF(G961=$C$4,IF('Informe Kelly'!H954='Control informe Kelly'!$A$2,TEXT(((LEFT('Informe Kelly'!E954,2)*1)+1),"dd")&amp;"."&amp;MID('Informe Kelly'!E954,4,2)&amp;"."&amp;RIGHT('Informe Kelly'!E954,4),'Informe Kelly'!E954),'Informe Kelly'!E954)</f>
        <v>16.04.2011</v>
      </c>
      <c r="D961" s="69" t="str">
        <f>IF('Informe Kelly'!E954="","",'Informe Kelly'!E954)</f>
        <v>16.04.2011</v>
      </c>
      <c r="E961" s="72">
        <f t="shared" si="29"/>
        <v>489</v>
      </c>
      <c r="F961" s="72" t="str">
        <f>IFERROR(HLOOKUP(C961,Ingreso!$Q$8:$AD$9,2,FALSE),"v")</f>
        <v>Sábado</v>
      </c>
      <c r="G961" s="65" t="str">
        <f>IFERROR(VLOOKUP(A961,Ingreso!K:P,6,FALSE),"no esta ingresado")</f>
        <v>no esta ingresado</v>
      </c>
      <c r="H961" s="65" t="str">
        <f>IFERROR(IF('Informe Kelly'!H954=$A$2,'Informe Kelly'!F954,""),0)</f>
        <v/>
      </c>
      <c r="I961" s="65">
        <f>IFERROR(IF('Informe Kelly'!H954=$A$3,'Informe Kelly'!F954,""),0)</f>
        <v>0.63329861111111108</v>
      </c>
      <c r="J961" s="65" t="str">
        <f>IF(IFERROR(IF(E961=E960,0,(HLOOKUP(D961,Ingreso!$AN$10:$AT$260,VLOOKUP(A961,Ingreso!$AL$11:$AM$260,2,FALSE)))/24),0)=0,"",IFERROR(IF(E961=E960,0,(HLOOKUP(D961,Ingreso!$AN$10:$AT$260,VLOOKUP(A961,Ingreso!$AL$11:$AM$260,2,FALSE)))/24),0))</f>
        <v/>
      </c>
      <c r="K961" s="65" t="str">
        <f>IF(IFERROR(IF(E961=E960,0,(HLOOKUP(C961,Ingreso!$AW$10:$BC$260,VLOOKUP(A961,Ingreso!$AL$11:$AM$260,2,FALSE)))/24),0)=0,"",IFERROR(IF(E961=E960,0,(HLOOKUP(C961,Ingreso!$AW$10:$BC$260,VLOOKUP(A961,Ingreso!$AL$11:$AM$260,2,FALSE)))/24),0))</f>
        <v/>
      </c>
      <c r="L961" s="63" t="str">
        <f t="shared" si="28"/>
        <v/>
      </c>
      <c r="M961" s="63" t="str">
        <f>IF(IFERROR(IF(C961=C959,0,IF(E961=E960,0,IF(C961=$R$2,HLOOKUP($R$2,Ingreso!$AW$10:$BC$260,VLOOKUP(A961,Ingreso!AL:AM,2,FALSE),FALSE)/24,""))),"")=0,"",IFERROR(IF(C961=C959,0,IF(E961=E960,0,IF(C961=$R$2,HLOOKUP($R$2,Ingreso!$AW$10:$BC$260,VLOOKUP(A961,Ingreso!AL:AM,2,FALSE),FALSE)/24,""))),""))</f>
        <v/>
      </c>
      <c r="N961" s="95" t="str">
        <f>IF(IFERROR(IF(C961=C959,0,IF(E961=E960,0,IF(C961=$R$3,HLOOKUP($R$3,Ingreso!$AW$10:$BC$260,VLOOKUP(A961,Ingreso!AL:AM,2,FALSE),FALSE)/24,""))),"")=0,"",IFERROR(IF(C961=C959,0,IF(E961=E960,0,IF(C961=$R$3,HLOOKUP($R$3,Ingreso!$AW$10:$BC$260,VLOOKUP(A961,Ingreso!AL:AM,2,FALSE),FALSE)/24,""))),""))</f>
        <v/>
      </c>
      <c r="O961" s="95" t="str">
        <f>IF(IFERROR(IF(C961=C959,0,IF(E961=E960,0,IF(C961=$R$4,HLOOKUP($R$4,Ingreso!$AW$10:$BC$260,VLOOKUP(A961,Ingreso!AL:AM,2,FALSE),FALSE)/24,""))),"")=0,"",IFERROR(IF(C961=C959,0,IF(E961=E960,0,IF(C961=$R$4,HLOOKUP($R$4,Ingreso!$AW$10:$BC$260,VLOOKUP(A961,Ingreso!AL:AM,2,FALSE),FALSE)/24,""))),""))</f>
        <v/>
      </c>
      <c r="P961" s="90"/>
      <c r="V961"/>
      <c r="W961" s="62"/>
      <c r="X961" s="62"/>
      <c r="Y961" s="62"/>
      <c r="Z961" s="62"/>
      <c r="AA961" s="62"/>
      <c r="AB961" s="62"/>
      <c r="AC961" s="62"/>
    </row>
    <row r="962" spans="1:29">
      <c r="A962" s="65" t="str">
        <f>IFERROR(VLOOKUP('Informe Kelly'!A955,Base!A:B,2,FALSE),"")</f>
        <v>16.169.301-4</v>
      </c>
      <c r="B962" s="65" t="str">
        <f>IFERROR(VLOOKUP('Informe Kelly'!A955,Base!A:G,7,FALSE),"")</f>
        <v>ÑANCUCHEO MARIQUEO JOSE MAURICIO</v>
      </c>
      <c r="C962" s="69" t="str">
        <f>IF(G962=$C$4,IF('Informe Kelly'!H955='Control informe Kelly'!$A$2,TEXT(((LEFT('Informe Kelly'!E955,2)*1)+1),"dd")&amp;"."&amp;MID('Informe Kelly'!E955,4,2)&amp;"."&amp;RIGHT('Informe Kelly'!E955,4),'Informe Kelly'!E955),'Informe Kelly'!E955)</f>
        <v>16.04.2011</v>
      </c>
      <c r="D962" s="69" t="str">
        <f>IF('Informe Kelly'!E955="","",'Informe Kelly'!E955)</f>
        <v>16.04.2011</v>
      </c>
      <c r="E962" s="72">
        <f t="shared" si="29"/>
        <v>489</v>
      </c>
      <c r="F962" s="72" t="str">
        <f>IFERROR(HLOOKUP(C962,Ingreso!$Q$8:$AD$9,2,FALSE),"v")</f>
        <v>Sábado</v>
      </c>
      <c r="G962" s="65" t="str">
        <f>IFERROR(VLOOKUP(A962,Ingreso!K:P,6,FALSE),"no esta ingresado")</f>
        <v>no esta ingresado</v>
      </c>
      <c r="H962" s="65">
        <f>IFERROR(IF('Informe Kelly'!H955=$A$2,'Informe Kelly'!F955,""),0)</f>
        <v>0.29386574074074073</v>
      </c>
      <c r="I962" s="65" t="str">
        <f>IFERROR(IF('Informe Kelly'!H955=$A$3,'Informe Kelly'!F955,""),0)</f>
        <v/>
      </c>
      <c r="J962" s="65" t="str">
        <f>IF(IFERROR(IF(E962=E961,0,(HLOOKUP(D962,Ingreso!$AN$10:$AT$260,VLOOKUP(A962,Ingreso!$AL$11:$AM$260,2,FALSE)))/24),0)=0,"",IFERROR(IF(E962=E961,0,(HLOOKUP(D962,Ingreso!$AN$10:$AT$260,VLOOKUP(A962,Ingreso!$AL$11:$AM$260,2,FALSE)))/24),0))</f>
        <v/>
      </c>
      <c r="K962" s="65" t="str">
        <f>IF(IFERROR(IF(E962=E961,0,(HLOOKUP(C962,Ingreso!$AW$10:$BC$260,VLOOKUP(A962,Ingreso!$AL$11:$AM$260,2,FALSE)))/24),0)=0,"",IFERROR(IF(E962=E961,0,(HLOOKUP(C962,Ingreso!$AW$10:$BC$260,VLOOKUP(A962,Ingreso!$AL$11:$AM$260,2,FALSE)))/24),0))</f>
        <v/>
      </c>
      <c r="L962" s="63">
        <f t="shared" si="28"/>
        <v>0</v>
      </c>
      <c r="M962" s="63" t="str">
        <f>IF(IFERROR(IF(C962=C960,0,IF(E962=E961,0,IF(C962=$R$2,HLOOKUP($R$2,Ingreso!$AW$10:$BC$260,VLOOKUP(A962,Ingreso!AL:AM,2,FALSE),FALSE)/24,""))),"")=0,"",IFERROR(IF(C962=C960,0,IF(E962=E961,0,IF(C962=$R$2,HLOOKUP($R$2,Ingreso!$AW$10:$BC$260,VLOOKUP(A962,Ingreso!AL:AM,2,FALSE),FALSE)/24,""))),""))</f>
        <v/>
      </c>
      <c r="N962" s="95" t="str">
        <f>IF(IFERROR(IF(C962=C960,0,IF(E962=E961,0,IF(C962=$R$3,HLOOKUP($R$3,Ingreso!$AW$10:$BC$260,VLOOKUP(A962,Ingreso!AL:AM,2,FALSE),FALSE)/24,""))),"")=0,"",IFERROR(IF(C962=C960,0,IF(E962=E961,0,IF(C962=$R$3,HLOOKUP($R$3,Ingreso!$AW$10:$BC$260,VLOOKUP(A962,Ingreso!AL:AM,2,FALSE),FALSE)/24,""))),""))</f>
        <v/>
      </c>
      <c r="O962" s="95" t="str">
        <f>IF(IFERROR(IF(C962=C960,0,IF(E962=E961,0,IF(C962=$R$4,HLOOKUP($R$4,Ingreso!$AW$10:$BC$260,VLOOKUP(A962,Ingreso!AL:AM,2,FALSE),FALSE)/24,""))),"")=0,"",IFERROR(IF(C962=C960,0,IF(E962=E961,0,IF(C962=$R$4,HLOOKUP($R$4,Ingreso!$AW$10:$BC$260,VLOOKUP(A962,Ingreso!AL:AM,2,FALSE),FALSE)/24,""))),""))</f>
        <v/>
      </c>
      <c r="P962" s="90"/>
      <c r="V962"/>
      <c r="W962" s="62"/>
      <c r="X962" s="62"/>
      <c r="Y962" s="62"/>
      <c r="Z962" s="62"/>
      <c r="AA962" s="62"/>
      <c r="AB962" s="62"/>
      <c r="AC962" s="62"/>
    </row>
    <row r="963" spans="1:29">
      <c r="A963" s="65" t="str">
        <f>IFERROR(VLOOKUP('Informe Kelly'!A956,Base!A:B,2,FALSE),"")</f>
        <v>16.266.817-K</v>
      </c>
      <c r="B963" s="65" t="str">
        <f>IFERROR(VLOOKUP('Informe Kelly'!A956,Base!A:G,7,FALSE),"")</f>
        <v>PEREZ PADILLA RODRIGO ALEJANDRO</v>
      </c>
      <c r="C963" s="69" t="str">
        <f>IF(G963=$C$4,IF('Informe Kelly'!H956='Control informe Kelly'!$A$2,TEXT(((LEFT('Informe Kelly'!E956,2)*1)+1),"dd")&amp;"."&amp;MID('Informe Kelly'!E956,4,2)&amp;"."&amp;RIGHT('Informe Kelly'!E956,4),'Informe Kelly'!E956),'Informe Kelly'!E956)</f>
        <v>11.04.2011</v>
      </c>
      <c r="D963" s="69" t="str">
        <f>IF('Informe Kelly'!E956="","",'Informe Kelly'!E956)</f>
        <v>11.04.2011</v>
      </c>
      <c r="E963" s="72">
        <f t="shared" si="29"/>
        <v>490</v>
      </c>
      <c r="F963" s="72" t="str">
        <f>IFERROR(HLOOKUP(C963,Ingreso!$Q$8:$AD$9,2,FALSE),"v")</f>
        <v>Lunes</v>
      </c>
      <c r="G963" s="65" t="str">
        <f>IFERROR(VLOOKUP(A963,Ingreso!K:P,6,FALSE),"no esta ingresado")</f>
        <v>Turno A</v>
      </c>
      <c r="H963" s="65" t="str">
        <f>IFERROR(IF('Informe Kelly'!H956=$A$2,'Informe Kelly'!F956,""),0)</f>
        <v/>
      </c>
      <c r="I963" s="65">
        <f>IFERROR(IF('Informe Kelly'!H956=$A$3,'Informe Kelly'!F956,""),0)</f>
        <v>0.72682870370370367</v>
      </c>
      <c r="J963" s="65">
        <f>IF(IFERROR(IF(E963=E962,0,(HLOOKUP(D963,Ingreso!$AN$10:$AT$260,VLOOKUP(A963,Ingreso!$AL$11:$AM$260,2,FALSE)))/24),0)=0,"",IFERROR(IF(E963=E962,0,(HLOOKUP(D963,Ingreso!$AN$10:$AT$260,VLOOKUP(A963,Ingreso!$AL$11:$AM$260,2,FALSE)))/24),0))</f>
        <v>8.3333333333333329E-2</v>
      </c>
      <c r="K963" s="65" t="str">
        <f>IF(IFERROR(IF(E963=E962,0,(HLOOKUP(C963,Ingreso!$AW$10:$BC$260,VLOOKUP(A963,Ingreso!$AL$11:$AM$260,2,FALSE)))/24),0)=0,"",IFERROR(IF(E963=E962,0,(HLOOKUP(C963,Ingreso!$AW$10:$BC$260,VLOOKUP(A963,Ingreso!$AL$11:$AM$260,2,FALSE)))/24),0))</f>
        <v/>
      </c>
      <c r="L963" s="63">
        <f t="shared" si="28"/>
        <v>0.3125</v>
      </c>
      <c r="M963" s="63" t="str">
        <f>IF(IFERROR(IF(C963=C961,0,IF(E963=E962,0,IF(C963=$R$2,HLOOKUP($R$2,Ingreso!$AW$10:$BC$260,VLOOKUP(A963,Ingreso!AL:AM,2,FALSE),FALSE)/24,""))),"")=0,"",IFERROR(IF(C963=C961,0,IF(E963=E962,0,IF(C963=$R$2,HLOOKUP($R$2,Ingreso!$AW$10:$BC$260,VLOOKUP(A963,Ingreso!AL:AM,2,FALSE),FALSE)/24,""))),""))</f>
        <v/>
      </c>
      <c r="N963" s="95" t="str">
        <f>IF(IFERROR(IF(C963=C961,0,IF(E963=E962,0,IF(C963=$R$3,HLOOKUP($R$3,Ingreso!$AW$10:$BC$260,VLOOKUP(A963,Ingreso!AL:AM,2,FALSE),FALSE)/24,""))),"")=0,"",IFERROR(IF(C963=C961,0,IF(E963=E962,0,IF(C963=$R$3,HLOOKUP($R$3,Ingreso!$AW$10:$BC$260,VLOOKUP(A963,Ingreso!AL:AM,2,FALSE),FALSE)/24,""))),""))</f>
        <v/>
      </c>
      <c r="O963" s="95" t="str">
        <f>IF(IFERROR(IF(C963=C961,0,IF(E963=E962,0,IF(C963=$R$4,HLOOKUP($R$4,Ingreso!$AW$10:$BC$260,VLOOKUP(A963,Ingreso!AL:AM,2,FALSE),FALSE)/24,""))),"")=0,"",IFERROR(IF(C963=C961,0,IF(E963=E962,0,IF(C963=$R$4,HLOOKUP($R$4,Ingreso!$AW$10:$BC$260,VLOOKUP(A963,Ingreso!AL:AM,2,FALSE),FALSE)/24,""))),""))</f>
        <v/>
      </c>
      <c r="P963" s="90"/>
      <c r="V963"/>
      <c r="W963" s="62"/>
      <c r="X963" s="62"/>
      <c r="Y963" s="62"/>
      <c r="Z963" s="62"/>
      <c r="AA963" s="62"/>
      <c r="AB963" s="62"/>
      <c r="AC963" s="62"/>
    </row>
    <row r="964" spans="1:29">
      <c r="A964" s="65" t="str">
        <f>IFERROR(VLOOKUP('Informe Kelly'!A957,Base!A:B,2,FALSE),"")</f>
        <v>16.266.817-K</v>
      </c>
      <c r="B964" s="65" t="str">
        <f>IFERROR(VLOOKUP('Informe Kelly'!A957,Base!A:G,7,FALSE),"")</f>
        <v>PEREZ PADILLA RODRIGO ALEJANDRO</v>
      </c>
      <c r="C964" s="69" t="str">
        <f>IF(G964=$C$4,IF('Informe Kelly'!H957='Control informe Kelly'!$A$2,TEXT(((LEFT('Informe Kelly'!E957,2)*1)+1),"dd")&amp;"."&amp;MID('Informe Kelly'!E957,4,2)&amp;"."&amp;RIGHT('Informe Kelly'!E957,4),'Informe Kelly'!E957),'Informe Kelly'!E957)</f>
        <v>11.04.2011</v>
      </c>
      <c r="D964" s="69" t="str">
        <f>IF('Informe Kelly'!E957="","",'Informe Kelly'!E957)</f>
        <v>11.04.2011</v>
      </c>
      <c r="E964" s="72">
        <f t="shared" si="29"/>
        <v>490</v>
      </c>
      <c r="F964" s="72" t="str">
        <f>IFERROR(HLOOKUP(C964,Ingreso!$Q$8:$AD$9,2,FALSE),"v")</f>
        <v>Lunes</v>
      </c>
      <c r="G964" s="65" t="str">
        <f>IFERROR(VLOOKUP(A964,Ingreso!K:P,6,FALSE),"no esta ingresado")</f>
        <v>Turno A</v>
      </c>
      <c r="H964" s="65">
        <f>IFERROR(IF('Informe Kelly'!H957=$A$2,'Informe Kelly'!F957,""),0)</f>
        <v>0.30194444444444446</v>
      </c>
      <c r="I964" s="65" t="str">
        <f>IFERROR(IF('Informe Kelly'!H957=$A$3,'Informe Kelly'!F957,""),0)</f>
        <v/>
      </c>
      <c r="J964" s="65" t="str">
        <f>IF(IFERROR(IF(E964=E963,0,(HLOOKUP(D964,Ingreso!$AN$10:$AT$260,VLOOKUP(A964,Ingreso!$AL$11:$AM$260,2,FALSE)))/24),0)=0,"",IFERROR(IF(E964=E963,0,(HLOOKUP(D964,Ingreso!$AN$10:$AT$260,VLOOKUP(A964,Ingreso!$AL$11:$AM$260,2,FALSE)))/24),0))</f>
        <v/>
      </c>
      <c r="K964" s="65" t="str">
        <f>IF(IFERROR(IF(E964=E963,0,(HLOOKUP(C964,Ingreso!$AW$10:$BC$260,VLOOKUP(A964,Ingreso!$AL$11:$AM$260,2,FALSE)))/24),0)=0,"",IFERROR(IF(E964=E963,0,(HLOOKUP(C964,Ingreso!$AW$10:$BC$260,VLOOKUP(A964,Ingreso!$AL$11:$AM$260,2,FALSE)))/24),0))</f>
        <v/>
      </c>
      <c r="L964" s="63">
        <f t="shared" si="28"/>
        <v>0</v>
      </c>
      <c r="M964" s="63" t="str">
        <f>IF(IFERROR(IF(C964=C962,0,IF(E964=E963,0,IF(C964=$R$2,HLOOKUP($R$2,Ingreso!$AW$10:$BC$260,VLOOKUP(A964,Ingreso!AL:AM,2,FALSE),FALSE)/24,""))),"")=0,"",IFERROR(IF(C964=C962,0,IF(E964=E963,0,IF(C964=$R$2,HLOOKUP($R$2,Ingreso!$AW$10:$BC$260,VLOOKUP(A964,Ingreso!AL:AM,2,FALSE),FALSE)/24,""))),""))</f>
        <v/>
      </c>
      <c r="N964" s="95" t="str">
        <f>IF(IFERROR(IF(C964=C962,0,IF(E964=E963,0,IF(C964=$R$3,HLOOKUP($R$3,Ingreso!$AW$10:$BC$260,VLOOKUP(A964,Ingreso!AL:AM,2,FALSE),FALSE)/24,""))),"")=0,"",IFERROR(IF(C964=C962,0,IF(E964=E963,0,IF(C964=$R$3,HLOOKUP($R$3,Ingreso!$AW$10:$BC$260,VLOOKUP(A964,Ingreso!AL:AM,2,FALSE),FALSE)/24,""))),""))</f>
        <v/>
      </c>
      <c r="O964" s="95" t="str">
        <f>IF(IFERROR(IF(C964=C962,0,IF(E964=E963,0,IF(C964=$R$4,HLOOKUP($R$4,Ingreso!$AW$10:$BC$260,VLOOKUP(A964,Ingreso!AL:AM,2,FALSE),FALSE)/24,""))),"")=0,"",IFERROR(IF(C964=C962,0,IF(E964=E963,0,IF(C964=$R$4,HLOOKUP($R$4,Ingreso!$AW$10:$BC$260,VLOOKUP(A964,Ingreso!AL:AM,2,FALSE),FALSE)/24,""))),""))</f>
        <v/>
      </c>
      <c r="P964" s="90"/>
      <c r="V964"/>
      <c r="W964" s="62"/>
      <c r="X964" s="62"/>
      <c r="Y964" s="62"/>
      <c r="Z964" s="62"/>
      <c r="AA964" s="62"/>
      <c r="AB964" s="62"/>
      <c r="AC964" s="62"/>
    </row>
    <row r="965" spans="1:29">
      <c r="A965" s="65" t="str">
        <f>IFERROR(VLOOKUP('Informe Kelly'!A958,Base!A:B,2,FALSE),"")</f>
        <v>16.266.817-K</v>
      </c>
      <c r="B965" s="65" t="str">
        <f>IFERROR(VLOOKUP('Informe Kelly'!A958,Base!A:G,7,FALSE),"")</f>
        <v>PEREZ PADILLA RODRIGO ALEJANDRO</v>
      </c>
      <c r="C965" s="69" t="str">
        <f>IF(G965=$C$4,IF('Informe Kelly'!H958='Control informe Kelly'!$A$2,TEXT(((LEFT('Informe Kelly'!E958,2)*1)+1),"dd")&amp;"."&amp;MID('Informe Kelly'!E958,4,2)&amp;"."&amp;RIGHT('Informe Kelly'!E958,4),'Informe Kelly'!E958),'Informe Kelly'!E958)</f>
        <v>12.04.2011</v>
      </c>
      <c r="D965" s="69" t="str">
        <f>IF('Informe Kelly'!E958="","",'Informe Kelly'!E958)</f>
        <v>12.04.2011</v>
      </c>
      <c r="E965" s="72">
        <f t="shared" si="29"/>
        <v>491</v>
      </c>
      <c r="F965" s="72" t="str">
        <f>IFERROR(HLOOKUP(C965,Ingreso!$Q$8:$AD$9,2,FALSE),"v")</f>
        <v>Martes</v>
      </c>
      <c r="G965" s="65" t="str">
        <f>IFERROR(VLOOKUP(A965,Ingreso!K:P,6,FALSE),"no esta ingresado")</f>
        <v>Turno A</v>
      </c>
      <c r="H965" s="65" t="str">
        <f>IFERROR(IF('Informe Kelly'!H958=$A$2,'Informe Kelly'!F958,""),0)</f>
        <v/>
      </c>
      <c r="I965" s="65">
        <f>IFERROR(IF('Informe Kelly'!H958=$A$3,'Informe Kelly'!F958,""),0)</f>
        <v>0.71965277777777781</v>
      </c>
      <c r="J965" s="65">
        <f>IF(IFERROR(IF(E965=E964,0,(HLOOKUP(D965,Ingreso!$AN$10:$AT$260,VLOOKUP(A965,Ingreso!$AL$11:$AM$260,2,FALSE)))/24),0)=0,"",IFERROR(IF(E965=E964,0,(HLOOKUP(D965,Ingreso!$AN$10:$AT$260,VLOOKUP(A965,Ingreso!$AL$11:$AM$260,2,FALSE)))/24),0))</f>
        <v>8.3333333333333329E-2</v>
      </c>
      <c r="K965" s="65" t="str">
        <f>IF(IFERROR(IF(E965=E964,0,(HLOOKUP(C965,Ingreso!$AW$10:$BC$260,VLOOKUP(A965,Ingreso!$AL$11:$AM$260,2,FALSE)))/24),0)=0,"",IFERROR(IF(E965=E964,0,(HLOOKUP(C965,Ingreso!$AW$10:$BC$260,VLOOKUP(A965,Ingreso!$AL$11:$AM$260,2,FALSE)))/24),0))</f>
        <v/>
      </c>
      <c r="L965" s="63">
        <f t="shared" si="28"/>
        <v>0.3125</v>
      </c>
      <c r="M965" s="63" t="str">
        <f>IF(IFERROR(IF(C965=C963,0,IF(E965=E964,0,IF(C965=$R$2,HLOOKUP($R$2,Ingreso!$AW$10:$BC$260,VLOOKUP(A965,Ingreso!AL:AM,2,FALSE),FALSE)/24,""))),"")=0,"",IFERROR(IF(C965=C963,0,IF(E965=E964,0,IF(C965=$R$2,HLOOKUP($R$2,Ingreso!$AW$10:$BC$260,VLOOKUP(A965,Ingreso!AL:AM,2,FALSE),FALSE)/24,""))),""))</f>
        <v/>
      </c>
      <c r="N965" s="95" t="str">
        <f>IF(IFERROR(IF(C965=C963,0,IF(E965=E964,0,IF(C965=$R$3,HLOOKUP($R$3,Ingreso!$AW$10:$BC$260,VLOOKUP(A965,Ingreso!AL:AM,2,FALSE),FALSE)/24,""))),"")=0,"",IFERROR(IF(C965=C963,0,IF(E965=E964,0,IF(C965=$R$3,HLOOKUP($R$3,Ingreso!$AW$10:$BC$260,VLOOKUP(A965,Ingreso!AL:AM,2,FALSE),FALSE)/24,""))),""))</f>
        <v/>
      </c>
      <c r="O965" s="95" t="str">
        <f>IF(IFERROR(IF(C965=C963,0,IF(E965=E964,0,IF(C965=$R$4,HLOOKUP($R$4,Ingreso!$AW$10:$BC$260,VLOOKUP(A965,Ingreso!AL:AM,2,FALSE),FALSE)/24,""))),"")=0,"",IFERROR(IF(C965=C963,0,IF(E965=E964,0,IF(C965=$R$4,HLOOKUP($R$4,Ingreso!$AW$10:$BC$260,VLOOKUP(A965,Ingreso!AL:AM,2,FALSE),FALSE)/24,""))),""))</f>
        <v/>
      </c>
      <c r="P965" s="90"/>
      <c r="V965"/>
      <c r="W965" s="62"/>
      <c r="X965" s="62"/>
      <c r="Y965" s="62"/>
      <c r="Z965" s="62"/>
      <c r="AA965" s="62"/>
      <c r="AB965" s="62"/>
      <c r="AC965" s="62"/>
    </row>
    <row r="966" spans="1:29">
      <c r="A966" s="65" t="str">
        <f>IFERROR(VLOOKUP('Informe Kelly'!A959,Base!A:B,2,FALSE),"")</f>
        <v>16.266.817-K</v>
      </c>
      <c r="B966" s="65" t="str">
        <f>IFERROR(VLOOKUP('Informe Kelly'!A959,Base!A:G,7,FALSE),"")</f>
        <v>PEREZ PADILLA RODRIGO ALEJANDRO</v>
      </c>
      <c r="C966" s="69" t="str">
        <f>IF(G966=$C$4,IF('Informe Kelly'!H959='Control informe Kelly'!$A$2,TEXT(((LEFT('Informe Kelly'!E959,2)*1)+1),"dd")&amp;"."&amp;MID('Informe Kelly'!E959,4,2)&amp;"."&amp;RIGHT('Informe Kelly'!E959,4),'Informe Kelly'!E959),'Informe Kelly'!E959)</f>
        <v>12.04.2011</v>
      </c>
      <c r="D966" s="69" t="str">
        <f>IF('Informe Kelly'!E959="","",'Informe Kelly'!E959)</f>
        <v>12.04.2011</v>
      </c>
      <c r="E966" s="72">
        <f t="shared" si="29"/>
        <v>491</v>
      </c>
      <c r="F966" s="72" t="str">
        <f>IFERROR(HLOOKUP(C966,Ingreso!$Q$8:$AD$9,2,FALSE),"v")</f>
        <v>Martes</v>
      </c>
      <c r="G966" s="65" t="str">
        <f>IFERROR(VLOOKUP(A966,Ingreso!K:P,6,FALSE),"no esta ingresado")</f>
        <v>Turno A</v>
      </c>
      <c r="H966" s="65">
        <f>IFERROR(IF('Informe Kelly'!H959=$A$2,'Informe Kelly'!F959,""),0)</f>
        <v>0.30587962962962961</v>
      </c>
      <c r="I966" s="65" t="str">
        <f>IFERROR(IF('Informe Kelly'!H959=$A$3,'Informe Kelly'!F959,""),0)</f>
        <v/>
      </c>
      <c r="J966" s="65" t="str">
        <f>IF(IFERROR(IF(E966=E965,0,(HLOOKUP(D966,Ingreso!$AN$10:$AT$260,VLOOKUP(A966,Ingreso!$AL$11:$AM$260,2,FALSE)))/24),0)=0,"",IFERROR(IF(E966=E965,0,(HLOOKUP(D966,Ingreso!$AN$10:$AT$260,VLOOKUP(A966,Ingreso!$AL$11:$AM$260,2,FALSE)))/24),0))</f>
        <v/>
      </c>
      <c r="K966" s="65" t="str">
        <f>IF(IFERROR(IF(E966=E965,0,(HLOOKUP(C966,Ingreso!$AW$10:$BC$260,VLOOKUP(A966,Ingreso!$AL$11:$AM$260,2,FALSE)))/24),0)=0,"",IFERROR(IF(E966=E965,0,(HLOOKUP(C966,Ingreso!$AW$10:$BC$260,VLOOKUP(A966,Ingreso!$AL$11:$AM$260,2,FALSE)))/24),0))</f>
        <v/>
      </c>
      <c r="L966" s="63">
        <f t="shared" si="28"/>
        <v>0</v>
      </c>
      <c r="M966" s="63" t="str">
        <f>IF(IFERROR(IF(C966=C964,0,IF(E966=E965,0,IF(C966=$R$2,HLOOKUP($R$2,Ingreso!$AW$10:$BC$260,VLOOKUP(A966,Ingreso!AL:AM,2,FALSE),FALSE)/24,""))),"")=0,"",IFERROR(IF(C966=C964,0,IF(E966=E965,0,IF(C966=$R$2,HLOOKUP($R$2,Ingreso!$AW$10:$BC$260,VLOOKUP(A966,Ingreso!AL:AM,2,FALSE),FALSE)/24,""))),""))</f>
        <v/>
      </c>
      <c r="N966" s="95" t="str">
        <f>IF(IFERROR(IF(C966=C964,0,IF(E966=E965,0,IF(C966=$R$3,HLOOKUP($R$3,Ingreso!$AW$10:$BC$260,VLOOKUP(A966,Ingreso!AL:AM,2,FALSE),FALSE)/24,""))),"")=0,"",IFERROR(IF(C966=C964,0,IF(E966=E965,0,IF(C966=$R$3,HLOOKUP($R$3,Ingreso!$AW$10:$BC$260,VLOOKUP(A966,Ingreso!AL:AM,2,FALSE),FALSE)/24,""))),""))</f>
        <v/>
      </c>
      <c r="O966" s="95" t="str">
        <f>IF(IFERROR(IF(C966=C964,0,IF(E966=E965,0,IF(C966=$R$4,HLOOKUP($R$4,Ingreso!$AW$10:$BC$260,VLOOKUP(A966,Ingreso!AL:AM,2,FALSE),FALSE)/24,""))),"")=0,"",IFERROR(IF(C966=C964,0,IF(E966=E965,0,IF(C966=$R$4,HLOOKUP($R$4,Ingreso!$AW$10:$BC$260,VLOOKUP(A966,Ingreso!AL:AM,2,FALSE),FALSE)/24,""))),""))</f>
        <v/>
      </c>
      <c r="P966" s="90"/>
      <c r="V966"/>
      <c r="W966" s="62"/>
      <c r="X966" s="62"/>
      <c r="Y966" s="62"/>
      <c r="Z966" s="62"/>
      <c r="AA966" s="62"/>
      <c r="AB966" s="62"/>
      <c r="AC966" s="62"/>
    </row>
    <row r="967" spans="1:29">
      <c r="A967" s="65" t="str">
        <f>IFERROR(VLOOKUP('Informe Kelly'!A960,Base!A:B,2,FALSE),"")</f>
        <v>16.266.817-K</v>
      </c>
      <c r="B967" s="65" t="str">
        <f>IFERROR(VLOOKUP('Informe Kelly'!A960,Base!A:G,7,FALSE),"")</f>
        <v>PEREZ PADILLA RODRIGO ALEJANDRO</v>
      </c>
      <c r="C967" s="69" t="str">
        <f>IF(G967=$C$4,IF('Informe Kelly'!H960='Control informe Kelly'!$A$2,TEXT(((LEFT('Informe Kelly'!E960,2)*1)+1),"dd")&amp;"."&amp;MID('Informe Kelly'!E960,4,2)&amp;"."&amp;RIGHT('Informe Kelly'!E960,4),'Informe Kelly'!E960),'Informe Kelly'!E960)</f>
        <v>13.04.2011</v>
      </c>
      <c r="D967" s="69" t="str">
        <f>IF('Informe Kelly'!E960="","",'Informe Kelly'!E960)</f>
        <v>13.04.2011</v>
      </c>
      <c r="E967" s="72">
        <f t="shared" si="29"/>
        <v>492</v>
      </c>
      <c r="F967" s="72" t="str">
        <f>IFERROR(HLOOKUP(C967,Ingreso!$Q$8:$AD$9,2,FALSE),"v")</f>
        <v>Miércoles</v>
      </c>
      <c r="G967" s="65" t="str">
        <f>IFERROR(VLOOKUP(A967,Ingreso!K:P,6,FALSE),"no esta ingresado")</f>
        <v>Turno A</v>
      </c>
      <c r="H967" s="65" t="str">
        <f>IFERROR(IF('Informe Kelly'!H960=$A$2,'Informe Kelly'!F960,""),0)</f>
        <v/>
      </c>
      <c r="I967" s="65">
        <f>IFERROR(IF('Informe Kelly'!H960=$A$3,'Informe Kelly'!F960,""),0)</f>
        <v>0.65881944444444451</v>
      </c>
      <c r="J967" s="65" t="str">
        <f>IF(IFERROR(IF(E967=E966,0,(HLOOKUP(D967,Ingreso!$AN$10:$AT$260,VLOOKUP(A967,Ingreso!$AL$11:$AM$260,2,FALSE)))/24),0)=0,"",IFERROR(IF(E967=E966,0,(HLOOKUP(D967,Ingreso!$AN$10:$AT$260,VLOOKUP(A967,Ingreso!$AL$11:$AM$260,2,FALSE)))/24),0))</f>
        <v/>
      </c>
      <c r="K967" s="65" t="str">
        <f>IF(IFERROR(IF(E967=E966,0,(HLOOKUP(C967,Ingreso!$AW$10:$BC$260,VLOOKUP(A967,Ingreso!$AL$11:$AM$260,2,FALSE)))/24),0)=0,"",IFERROR(IF(E967=E966,0,(HLOOKUP(C967,Ingreso!$AW$10:$BC$260,VLOOKUP(A967,Ingreso!$AL$11:$AM$260,2,FALSE)))/24),0))</f>
        <v/>
      </c>
      <c r="L967" s="63">
        <f t="shared" si="28"/>
        <v>0.3125</v>
      </c>
      <c r="M967" s="63" t="str">
        <f>IF(IFERROR(IF(C967=C965,0,IF(E967=E966,0,IF(C967=$R$2,HLOOKUP($R$2,Ingreso!$AW$10:$BC$260,VLOOKUP(A967,Ingreso!AL:AM,2,FALSE),FALSE)/24,""))),"")=0,"",IFERROR(IF(C967=C965,0,IF(E967=E966,0,IF(C967=$R$2,HLOOKUP($R$2,Ingreso!$AW$10:$BC$260,VLOOKUP(A967,Ingreso!AL:AM,2,FALSE),FALSE)/24,""))),""))</f>
        <v/>
      </c>
      <c r="N967" s="95" t="str">
        <f>IF(IFERROR(IF(C967=C965,0,IF(E967=E966,0,IF(C967=$R$3,HLOOKUP($R$3,Ingreso!$AW$10:$BC$260,VLOOKUP(A967,Ingreso!AL:AM,2,FALSE),FALSE)/24,""))),"")=0,"",IFERROR(IF(C967=C965,0,IF(E967=E966,0,IF(C967=$R$3,HLOOKUP($R$3,Ingreso!$AW$10:$BC$260,VLOOKUP(A967,Ingreso!AL:AM,2,FALSE),FALSE)/24,""))),""))</f>
        <v/>
      </c>
      <c r="O967" s="95" t="str">
        <f>IF(IFERROR(IF(C967=C965,0,IF(E967=E966,0,IF(C967=$R$4,HLOOKUP($R$4,Ingreso!$AW$10:$BC$260,VLOOKUP(A967,Ingreso!AL:AM,2,FALSE),FALSE)/24,""))),"")=0,"",IFERROR(IF(C967=C965,0,IF(E967=E966,0,IF(C967=$R$4,HLOOKUP($R$4,Ingreso!$AW$10:$BC$260,VLOOKUP(A967,Ingreso!AL:AM,2,FALSE),FALSE)/24,""))),""))</f>
        <v/>
      </c>
      <c r="P967" s="90"/>
      <c r="V967"/>
      <c r="W967" s="62"/>
      <c r="X967" s="62"/>
      <c r="Y967" s="62"/>
      <c r="Z967" s="62"/>
      <c r="AA967" s="62"/>
      <c r="AB967" s="62"/>
      <c r="AC967" s="62"/>
    </row>
    <row r="968" spans="1:29">
      <c r="A968" s="65" t="str">
        <f>IFERROR(VLOOKUP('Informe Kelly'!A961,Base!A:B,2,FALSE),"")</f>
        <v>16.266.817-K</v>
      </c>
      <c r="B968" s="65" t="str">
        <f>IFERROR(VLOOKUP('Informe Kelly'!A961,Base!A:G,7,FALSE),"")</f>
        <v>PEREZ PADILLA RODRIGO ALEJANDRO</v>
      </c>
      <c r="C968" s="69" t="str">
        <f>IF(G968=$C$4,IF('Informe Kelly'!H961='Control informe Kelly'!$A$2,TEXT(((LEFT('Informe Kelly'!E961,2)*1)+1),"dd")&amp;"."&amp;MID('Informe Kelly'!E961,4,2)&amp;"."&amp;RIGHT('Informe Kelly'!E961,4),'Informe Kelly'!E961),'Informe Kelly'!E961)</f>
        <v>13.04.2011</v>
      </c>
      <c r="D968" s="69" t="str">
        <f>IF('Informe Kelly'!E961="","",'Informe Kelly'!E961)</f>
        <v>13.04.2011</v>
      </c>
      <c r="E968" s="72">
        <f t="shared" si="29"/>
        <v>492</v>
      </c>
      <c r="F968" s="72" t="str">
        <f>IFERROR(HLOOKUP(C968,Ingreso!$Q$8:$AD$9,2,FALSE),"v")</f>
        <v>Miércoles</v>
      </c>
      <c r="G968" s="65" t="str">
        <f>IFERROR(VLOOKUP(A968,Ingreso!K:P,6,FALSE),"no esta ingresado")</f>
        <v>Turno A</v>
      </c>
      <c r="H968" s="65">
        <f>IFERROR(IF('Informe Kelly'!H961=$A$2,'Informe Kelly'!F961,""),0)</f>
        <v>0.30599537037037033</v>
      </c>
      <c r="I968" s="65" t="str">
        <f>IFERROR(IF('Informe Kelly'!H961=$A$3,'Informe Kelly'!F961,""),0)</f>
        <v/>
      </c>
      <c r="J968" s="65" t="str">
        <f>IF(IFERROR(IF(E968=E967,0,(HLOOKUP(D968,Ingreso!$AN$10:$AT$260,VLOOKUP(A968,Ingreso!$AL$11:$AM$260,2,FALSE)))/24),0)=0,"",IFERROR(IF(E968=E967,0,(HLOOKUP(D968,Ingreso!$AN$10:$AT$260,VLOOKUP(A968,Ingreso!$AL$11:$AM$260,2,FALSE)))/24),0))</f>
        <v/>
      </c>
      <c r="K968" s="65" t="str">
        <f>IF(IFERROR(IF(E968=E967,0,(HLOOKUP(C968,Ingreso!$AW$10:$BC$260,VLOOKUP(A968,Ingreso!$AL$11:$AM$260,2,FALSE)))/24),0)=0,"",IFERROR(IF(E968=E967,0,(HLOOKUP(C968,Ingreso!$AW$10:$BC$260,VLOOKUP(A968,Ingreso!$AL$11:$AM$260,2,FALSE)))/24),0))</f>
        <v/>
      </c>
      <c r="L968" s="63">
        <f t="shared" si="28"/>
        <v>0</v>
      </c>
      <c r="M968" s="63" t="str">
        <f>IF(IFERROR(IF(C968=C966,0,IF(E968=E967,0,IF(C968=$R$2,HLOOKUP($R$2,Ingreso!$AW$10:$BC$260,VLOOKUP(A968,Ingreso!AL:AM,2,FALSE),FALSE)/24,""))),"")=0,"",IFERROR(IF(C968=C966,0,IF(E968=E967,0,IF(C968=$R$2,HLOOKUP($R$2,Ingreso!$AW$10:$BC$260,VLOOKUP(A968,Ingreso!AL:AM,2,FALSE),FALSE)/24,""))),""))</f>
        <v/>
      </c>
      <c r="N968" s="95" t="str">
        <f>IF(IFERROR(IF(C968=C966,0,IF(E968=E967,0,IF(C968=$R$3,HLOOKUP($R$3,Ingreso!$AW$10:$BC$260,VLOOKUP(A968,Ingreso!AL:AM,2,FALSE),FALSE)/24,""))),"")=0,"",IFERROR(IF(C968=C966,0,IF(E968=E967,0,IF(C968=$R$3,HLOOKUP($R$3,Ingreso!$AW$10:$BC$260,VLOOKUP(A968,Ingreso!AL:AM,2,FALSE),FALSE)/24,""))),""))</f>
        <v/>
      </c>
      <c r="O968" s="95" t="str">
        <f>IF(IFERROR(IF(C968=C966,0,IF(E968=E967,0,IF(C968=$R$4,HLOOKUP($R$4,Ingreso!$AW$10:$BC$260,VLOOKUP(A968,Ingreso!AL:AM,2,FALSE),FALSE)/24,""))),"")=0,"",IFERROR(IF(C968=C966,0,IF(E968=E967,0,IF(C968=$R$4,HLOOKUP($R$4,Ingreso!$AW$10:$BC$260,VLOOKUP(A968,Ingreso!AL:AM,2,FALSE),FALSE)/24,""))),""))</f>
        <v/>
      </c>
      <c r="P968" s="90"/>
      <c r="V968"/>
      <c r="W968" s="62"/>
      <c r="X968" s="62"/>
      <c r="Y968" s="62"/>
      <c r="Z968" s="62"/>
      <c r="AA968" s="62"/>
      <c r="AB968" s="62"/>
      <c r="AC968" s="62"/>
    </row>
    <row r="969" spans="1:29">
      <c r="A969" s="65" t="str">
        <f>IFERROR(VLOOKUP('Informe Kelly'!A962,Base!A:B,2,FALSE),"")</f>
        <v>16.266.817-K</v>
      </c>
      <c r="B969" s="65" t="str">
        <f>IFERROR(VLOOKUP('Informe Kelly'!A962,Base!A:G,7,FALSE),"")</f>
        <v>PEREZ PADILLA RODRIGO ALEJANDRO</v>
      </c>
      <c r="C969" s="69" t="str">
        <f>IF(G969=$C$4,IF('Informe Kelly'!H962='Control informe Kelly'!$A$2,TEXT(((LEFT('Informe Kelly'!E962,2)*1)+1),"dd")&amp;"."&amp;MID('Informe Kelly'!E962,4,2)&amp;"."&amp;RIGHT('Informe Kelly'!E962,4),'Informe Kelly'!E962),'Informe Kelly'!E962)</f>
        <v>14.04.2011</v>
      </c>
      <c r="D969" s="69" t="str">
        <f>IF('Informe Kelly'!E962="","",'Informe Kelly'!E962)</f>
        <v>14.04.2011</v>
      </c>
      <c r="E969" s="72">
        <f t="shared" si="29"/>
        <v>493</v>
      </c>
      <c r="F969" s="72" t="str">
        <f>IFERROR(HLOOKUP(C969,Ingreso!$Q$8:$AD$9,2,FALSE),"v")</f>
        <v>Jueves</v>
      </c>
      <c r="G969" s="65" t="str">
        <f>IFERROR(VLOOKUP(A969,Ingreso!K:P,6,FALSE),"no esta ingresado")</f>
        <v>Turno A</v>
      </c>
      <c r="H969" s="65" t="str">
        <f>IFERROR(IF('Informe Kelly'!H962=$A$2,'Informe Kelly'!F962,""),0)</f>
        <v/>
      </c>
      <c r="I969" s="65">
        <f>IFERROR(IF('Informe Kelly'!H962=$A$3,'Informe Kelly'!F962,""),0)</f>
        <v>0.72461805555555558</v>
      </c>
      <c r="J969" s="65">
        <f>IF(IFERROR(IF(E969=E968,0,(HLOOKUP(D969,Ingreso!$AN$10:$AT$260,VLOOKUP(A969,Ingreso!$AL$11:$AM$260,2,FALSE)))/24),0)=0,"",IFERROR(IF(E969=E968,0,(HLOOKUP(D969,Ingreso!$AN$10:$AT$260,VLOOKUP(A969,Ingreso!$AL$11:$AM$260,2,FALSE)))/24),0))</f>
        <v>8.3333333333333329E-2</v>
      </c>
      <c r="K969" s="65" t="str">
        <f>IF(IFERROR(IF(E969=E968,0,(HLOOKUP(C969,Ingreso!$AW$10:$BC$260,VLOOKUP(A969,Ingreso!$AL$11:$AM$260,2,FALSE)))/24),0)=0,"",IFERROR(IF(E969=E968,0,(HLOOKUP(C969,Ingreso!$AW$10:$BC$260,VLOOKUP(A969,Ingreso!$AL$11:$AM$260,2,FALSE)))/24),0))</f>
        <v/>
      </c>
      <c r="L969" s="63">
        <f t="shared" ref="L969:L1032" si="30">IFERROR(IF(C969=C967,0,IF(E969=E968,0,(VLOOKUP(G969,$C$2:$D$5,2,FALSE)))),"")</f>
        <v>0.3125</v>
      </c>
      <c r="M969" s="63" t="str">
        <f>IF(IFERROR(IF(C969=C967,0,IF(E969=E968,0,IF(C969=$R$2,HLOOKUP($R$2,Ingreso!$AW$10:$BC$260,VLOOKUP(A969,Ingreso!AL:AM,2,FALSE),FALSE)/24,""))),"")=0,"",IFERROR(IF(C969=C967,0,IF(E969=E968,0,IF(C969=$R$2,HLOOKUP($R$2,Ingreso!$AW$10:$BC$260,VLOOKUP(A969,Ingreso!AL:AM,2,FALSE),FALSE)/24,""))),""))</f>
        <v/>
      </c>
      <c r="N969" s="95" t="str">
        <f>IF(IFERROR(IF(C969=C967,0,IF(E969=E968,0,IF(C969=$R$3,HLOOKUP($R$3,Ingreso!$AW$10:$BC$260,VLOOKUP(A969,Ingreso!AL:AM,2,FALSE),FALSE)/24,""))),"")=0,"",IFERROR(IF(C969=C967,0,IF(E969=E968,0,IF(C969=$R$3,HLOOKUP($R$3,Ingreso!$AW$10:$BC$260,VLOOKUP(A969,Ingreso!AL:AM,2,FALSE),FALSE)/24,""))),""))</f>
        <v/>
      </c>
      <c r="O969" s="95" t="str">
        <f>IF(IFERROR(IF(C969=C967,0,IF(E969=E968,0,IF(C969=$R$4,HLOOKUP($R$4,Ingreso!$AW$10:$BC$260,VLOOKUP(A969,Ingreso!AL:AM,2,FALSE),FALSE)/24,""))),"")=0,"",IFERROR(IF(C969=C967,0,IF(E969=E968,0,IF(C969=$R$4,HLOOKUP($R$4,Ingreso!$AW$10:$BC$260,VLOOKUP(A969,Ingreso!AL:AM,2,FALSE),FALSE)/24,""))),""))</f>
        <v/>
      </c>
      <c r="P969" s="90"/>
      <c r="V969"/>
      <c r="W969" s="62"/>
      <c r="X969" s="62"/>
      <c r="Y969" s="62"/>
      <c r="Z969" s="62"/>
      <c r="AA969" s="62"/>
      <c r="AB969" s="62"/>
      <c r="AC969" s="62"/>
    </row>
    <row r="970" spans="1:29">
      <c r="A970" s="65" t="str">
        <f>IFERROR(VLOOKUP('Informe Kelly'!A963,Base!A:B,2,FALSE),"")</f>
        <v>16.266.817-K</v>
      </c>
      <c r="B970" s="65" t="str">
        <f>IFERROR(VLOOKUP('Informe Kelly'!A963,Base!A:G,7,FALSE),"")</f>
        <v>PEREZ PADILLA RODRIGO ALEJANDRO</v>
      </c>
      <c r="C970" s="69" t="str">
        <f>IF(G970=$C$4,IF('Informe Kelly'!H963='Control informe Kelly'!$A$2,TEXT(((LEFT('Informe Kelly'!E963,2)*1)+1),"dd")&amp;"."&amp;MID('Informe Kelly'!E963,4,2)&amp;"."&amp;RIGHT('Informe Kelly'!E963,4),'Informe Kelly'!E963),'Informe Kelly'!E963)</f>
        <v>14.04.2011</v>
      </c>
      <c r="D970" s="69" t="str">
        <f>IF('Informe Kelly'!E963="","",'Informe Kelly'!E963)</f>
        <v>14.04.2011</v>
      </c>
      <c r="E970" s="72">
        <f t="shared" ref="E970:E1033" si="31">IF(C969=C970,IF(C970=C967,E969,IF(C970=C968,E969+1,E969)),E969+1)</f>
        <v>493</v>
      </c>
      <c r="F970" s="72" t="str">
        <f>IFERROR(HLOOKUP(C970,Ingreso!$Q$8:$AD$9,2,FALSE),"v")</f>
        <v>Jueves</v>
      </c>
      <c r="G970" s="65" t="str">
        <f>IFERROR(VLOOKUP(A970,Ingreso!K:P,6,FALSE),"no esta ingresado")</f>
        <v>Turno A</v>
      </c>
      <c r="H970" s="65">
        <f>IFERROR(IF('Informe Kelly'!H963=$A$2,'Informe Kelly'!F963,""),0)</f>
        <v>0.30092592592592593</v>
      </c>
      <c r="I970" s="65" t="str">
        <f>IFERROR(IF('Informe Kelly'!H963=$A$3,'Informe Kelly'!F963,""),0)</f>
        <v/>
      </c>
      <c r="J970" s="65" t="str">
        <f>IF(IFERROR(IF(E970=E969,0,(HLOOKUP(D970,Ingreso!$AN$10:$AT$260,VLOOKUP(A970,Ingreso!$AL$11:$AM$260,2,FALSE)))/24),0)=0,"",IFERROR(IF(E970=E969,0,(HLOOKUP(D970,Ingreso!$AN$10:$AT$260,VLOOKUP(A970,Ingreso!$AL$11:$AM$260,2,FALSE)))/24),0))</f>
        <v/>
      </c>
      <c r="K970" s="65" t="str">
        <f>IF(IFERROR(IF(E970=E969,0,(HLOOKUP(C970,Ingreso!$AW$10:$BC$260,VLOOKUP(A970,Ingreso!$AL$11:$AM$260,2,FALSE)))/24),0)=0,"",IFERROR(IF(E970=E969,0,(HLOOKUP(C970,Ingreso!$AW$10:$BC$260,VLOOKUP(A970,Ingreso!$AL$11:$AM$260,2,FALSE)))/24),0))</f>
        <v/>
      </c>
      <c r="L970" s="63">
        <f t="shared" si="30"/>
        <v>0</v>
      </c>
      <c r="M970" s="63" t="str">
        <f>IF(IFERROR(IF(C970=C968,0,IF(E970=E969,0,IF(C970=$R$2,HLOOKUP($R$2,Ingreso!$AW$10:$BC$260,VLOOKUP(A970,Ingreso!AL:AM,2,FALSE),FALSE)/24,""))),"")=0,"",IFERROR(IF(C970=C968,0,IF(E970=E969,0,IF(C970=$R$2,HLOOKUP($R$2,Ingreso!$AW$10:$BC$260,VLOOKUP(A970,Ingreso!AL:AM,2,FALSE),FALSE)/24,""))),""))</f>
        <v/>
      </c>
      <c r="N970" s="95" t="str">
        <f>IF(IFERROR(IF(C970=C968,0,IF(E970=E969,0,IF(C970=$R$3,HLOOKUP($R$3,Ingreso!$AW$10:$BC$260,VLOOKUP(A970,Ingreso!AL:AM,2,FALSE),FALSE)/24,""))),"")=0,"",IFERROR(IF(C970=C968,0,IF(E970=E969,0,IF(C970=$R$3,HLOOKUP($R$3,Ingreso!$AW$10:$BC$260,VLOOKUP(A970,Ingreso!AL:AM,2,FALSE),FALSE)/24,""))),""))</f>
        <v/>
      </c>
      <c r="O970" s="95" t="str">
        <f>IF(IFERROR(IF(C970=C968,0,IF(E970=E969,0,IF(C970=$R$4,HLOOKUP($R$4,Ingreso!$AW$10:$BC$260,VLOOKUP(A970,Ingreso!AL:AM,2,FALSE),FALSE)/24,""))),"")=0,"",IFERROR(IF(C970=C968,0,IF(E970=E969,0,IF(C970=$R$4,HLOOKUP($R$4,Ingreso!$AW$10:$BC$260,VLOOKUP(A970,Ingreso!AL:AM,2,FALSE),FALSE)/24,""))),""))</f>
        <v/>
      </c>
      <c r="P970" s="90"/>
      <c r="V970"/>
      <c r="W970" s="62"/>
      <c r="X970" s="62"/>
      <c r="Y970" s="62"/>
      <c r="Z970" s="62"/>
      <c r="AA970" s="62"/>
      <c r="AB970" s="62"/>
      <c r="AC970" s="62"/>
    </row>
    <row r="971" spans="1:29">
      <c r="A971" s="65" t="str">
        <f>IFERROR(VLOOKUP('Informe Kelly'!A964,Base!A:B,2,FALSE),"")</f>
        <v>16.266.817-K</v>
      </c>
      <c r="B971" s="65" t="str">
        <f>IFERROR(VLOOKUP('Informe Kelly'!A964,Base!A:G,7,FALSE),"")</f>
        <v>PEREZ PADILLA RODRIGO ALEJANDRO</v>
      </c>
      <c r="C971" s="69" t="str">
        <f>IF(G971=$C$4,IF('Informe Kelly'!H964='Control informe Kelly'!$A$2,TEXT(((LEFT('Informe Kelly'!E964,2)*1)+1),"dd")&amp;"."&amp;MID('Informe Kelly'!E964,4,2)&amp;"."&amp;RIGHT('Informe Kelly'!E964,4),'Informe Kelly'!E964),'Informe Kelly'!E964)</f>
        <v>15.04.2011</v>
      </c>
      <c r="D971" s="69" t="str">
        <f>IF('Informe Kelly'!E964="","",'Informe Kelly'!E964)</f>
        <v>15.04.2011</v>
      </c>
      <c r="E971" s="72">
        <f t="shared" si="31"/>
        <v>494</v>
      </c>
      <c r="F971" s="72" t="str">
        <f>IFERROR(HLOOKUP(C971,Ingreso!$Q$8:$AD$9,2,FALSE),"v")</f>
        <v>Viernes</v>
      </c>
      <c r="G971" s="65" t="str">
        <f>IFERROR(VLOOKUP(A971,Ingreso!K:P,6,FALSE),"no esta ingresado")</f>
        <v>Turno A</v>
      </c>
      <c r="H971" s="65" t="str">
        <f>IFERROR(IF('Informe Kelly'!H964=$A$2,'Informe Kelly'!F964,""),0)</f>
        <v/>
      </c>
      <c r="I971" s="65">
        <f>IFERROR(IF('Informe Kelly'!H964=$A$3,'Informe Kelly'!F964,""),0)</f>
        <v>0.71805555555555556</v>
      </c>
      <c r="J971" s="65">
        <f>IF(IFERROR(IF(E971=E970,0,(HLOOKUP(D971,Ingreso!$AN$10:$AT$260,VLOOKUP(A971,Ingreso!$AL$11:$AM$260,2,FALSE)))/24),0)=0,"",IFERROR(IF(E971=E970,0,(HLOOKUP(D971,Ingreso!$AN$10:$AT$260,VLOOKUP(A971,Ingreso!$AL$11:$AM$260,2,FALSE)))/24),0))</f>
        <v>8.3333333333333329E-2</v>
      </c>
      <c r="K971" s="65" t="str">
        <f>IF(IFERROR(IF(E971=E970,0,(HLOOKUP(C971,Ingreso!$AW$10:$BC$260,VLOOKUP(A971,Ingreso!$AL$11:$AM$260,2,FALSE)))/24),0)=0,"",IFERROR(IF(E971=E970,0,(HLOOKUP(C971,Ingreso!$AW$10:$BC$260,VLOOKUP(A971,Ingreso!$AL$11:$AM$260,2,FALSE)))/24),0))</f>
        <v/>
      </c>
      <c r="L971" s="63">
        <f t="shared" si="30"/>
        <v>0.3125</v>
      </c>
      <c r="M971" s="63" t="str">
        <f>IF(IFERROR(IF(C971=C969,0,IF(E971=E970,0,IF(C971=$R$2,HLOOKUP($R$2,Ingreso!$AW$10:$BC$260,VLOOKUP(A971,Ingreso!AL:AM,2,FALSE),FALSE)/24,""))),"")=0,"",IFERROR(IF(C971=C969,0,IF(E971=E970,0,IF(C971=$R$2,HLOOKUP($R$2,Ingreso!$AW$10:$BC$260,VLOOKUP(A971,Ingreso!AL:AM,2,FALSE),FALSE)/24,""))),""))</f>
        <v/>
      </c>
      <c r="N971" s="95" t="str">
        <f>IF(IFERROR(IF(C971=C969,0,IF(E971=E970,0,IF(C971=$R$3,HLOOKUP($R$3,Ingreso!$AW$10:$BC$260,VLOOKUP(A971,Ingreso!AL:AM,2,FALSE),FALSE)/24,""))),"")=0,"",IFERROR(IF(C971=C969,0,IF(E971=E970,0,IF(C971=$R$3,HLOOKUP($R$3,Ingreso!$AW$10:$BC$260,VLOOKUP(A971,Ingreso!AL:AM,2,FALSE),FALSE)/24,""))),""))</f>
        <v/>
      </c>
      <c r="O971" s="95" t="str">
        <f>IF(IFERROR(IF(C971=C969,0,IF(E971=E970,0,IF(C971=$R$4,HLOOKUP($R$4,Ingreso!$AW$10:$BC$260,VLOOKUP(A971,Ingreso!AL:AM,2,FALSE),FALSE)/24,""))),"")=0,"",IFERROR(IF(C971=C969,0,IF(E971=E970,0,IF(C971=$R$4,HLOOKUP($R$4,Ingreso!$AW$10:$BC$260,VLOOKUP(A971,Ingreso!AL:AM,2,FALSE),FALSE)/24,""))),""))</f>
        <v/>
      </c>
      <c r="P971" s="90"/>
      <c r="V971"/>
      <c r="W971" s="62"/>
      <c r="X971" s="62"/>
      <c r="Y971" s="62"/>
      <c r="Z971" s="62"/>
      <c r="AA971" s="62"/>
      <c r="AB971" s="62"/>
      <c r="AC971" s="62"/>
    </row>
    <row r="972" spans="1:29">
      <c r="A972" s="65" t="str">
        <f>IFERROR(VLOOKUP('Informe Kelly'!A965,Base!A:B,2,FALSE),"")</f>
        <v>16.266.817-K</v>
      </c>
      <c r="B972" s="65" t="str">
        <f>IFERROR(VLOOKUP('Informe Kelly'!A965,Base!A:G,7,FALSE),"")</f>
        <v>PEREZ PADILLA RODRIGO ALEJANDRO</v>
      </c>
      <c r="C972" s="69" t="str">
        <f>IF(G972=$C$4,IF('Informe Kelly'!H965='Control informe Kelly'!$A$2,TEXT(((LEFT('Informe Kelly'!E965,2)*1)+1),"dd")&amp;"."&amp;MID('Informe Kelly'!E965,4,2)&amp;"."&amp;RIGHT('Informe Kelly'!E965,4),'Informe Kelly'!E965),'Informe Kelly'!E965)</f>
        <v>15.04.2011</v>
      </c>
      <c r="D972" s="69" t="str">
        <f>IF('Informe Kelly'!E965="","",'Informe Kelly'!E965)</f>
        <v>15.04.2011</v>
      </c>
      <c r="E972" s="72">
        <f t="shared" si="31"/>
        <v>494</v>
      </c>
      <c r="F972" s="72" t="str">
        <f>IFERROR(HLOOKUP(C972,Ingreso!$Q$8:$AD$9,2,FALSE),"v")</f>
        <v>Viernes</v>
      </c>
      <c r="G972" s="65" t="str">
        <f>IFERROR(VLOOKUP(A972,Ingreso!K:P,6,FALSE),"no esta ingresado")</f>
        <v>Turno A</v>
      </c>
      <c r="H972" s="65">
        <f>IFERROR(IF('Informe Kelly'!H965=$A$2,'Informe Kelly'!F965,""),0)</f>
        <v>0.31216435185185182</v>
      </c>
      <c r="I972" s="65" t="str">
        <f>IFERROR(IF('Informe Kelly'!H965=$A$3,'Informe Kelly'!F965,""),0)</f>
        <v/>
      </c>
      <c r="J972" s="65" t="str">
        <f>IF(IFERROR(IF(E972=E971,0,(HLOOKUP(D972,Ingreso!$AN$10:$AT$260,VLOOKUP(A972,Ingreso!$AL$11:$AM$260,2,FALSE)))/24),0)=0,"",IFERROR(IF(E972=E971,0,(HLOOKUP(D972,Ingreso!$AN$10:$AT$260,VLOOKUP(A972,Ingreso!$AL$11:$AM$260,2,FALSE)))/24),0))</f>
        <v/>
      </c>
      <c r="K972" s="65" t="str">
        <f>IF(IFERROR(IF(E972=E971,0,(HLOOKUP(C972,Ingreso!$AW$10:$BC$260,VLOOKUP(A972,Ingreso!$AL$11:$AM$260,2,FALSE)))/24),0)=0,"",IFERROR(IF(E972=E971,0,(HLOOKUP(C972,Ingreso!$AW$10:$BC$260,VLOOKUP(A972,Ingreso!$AL$11:$AM$260,2,FALSE)))/24),0))</f>
        <v/>
      </c>
      <c r="L972" s="63">
        <f t="shared" si="30"/>
        <v>0</v>
      </c>
      <c r="M972" s="63" t="str">
        <f>IF(IFERROR(IF(C972=C970,0,IF(E972=E971,0,IF(C972=$R$2,HLOOKUP($R$2,Ingreso!$AW$10:$BC$260,VLOOKUP(A972,Ingreso!AL:AM,2,FALSE),FALSE)/24,""))),"")=0,"",IFERROR(IF(C972=C970,0,IF(E972=E971,0,IF(C972=$R$2,HLOOKUP($R$2,Ingreso!$AW$10:$BC$260,VLOOKUP(A972,Ingreso!AL:AM,2,FALSE),FALSE)/24,""))),""))</f>
        <v/>
      </c>
      <c r="N972" s="95" t="str">
        <f>IF(IFERROR(IF(C972=C970,0,IF(E972=E971,0,IF(C972=$R$3,HLOOKUP($R$3,Ingreso!$AW$10:$BC$260,VLOOKUP(A972,Ingreso!AL:AM,2,FALSE),FALSE)/24,""))),"")=0,"",IFERROR(IF(C972=C970,0,IF(E972=E971,0,IF(C972=$R$3,HLOOKUP($R$3,Ingreso!$AW$10:$BC$260,VLOOKUP(A972,Ingreso!AL:AM,2,FALSE),FALSE)/24,""))),""))</f>
        <v/>
      </c>
      <c r="O972" s="95" t="str">
        <f>IF(IFERROR(IF(C972=C970,0,IF(E972=E971,0,IF(C972=$R$4,HLOOKUP($R$4,Ingreso!$AW$10:$BC$260,VLOOKUP(A972,Ingreso!AL:AM,2,FALSE),FALSE)/24,""))),"")=0,"",IFERROR(IF(C972=C970,0,IF(E972=E971,0,IF(C972=$R$4,HLOOKUP($R$4,Ingreso!$AW$10:$BC$260,VLOOKUP(A972,Ingreso!AL:AM,2,FALSE),FALSE)/24,""))),""))</f>
        <v/>
      </c>
      <c r="P972" s="90"/>
      <c r="V972"/>
      <c r="W972" s="62"/>
      <c r="X972" s="62"/>
      <c r="Y972" s="62"/>
      <c r="Z972" s="62"/>
      <c r="AA972" s="62"/>
      <c r="AB972" s="62"/>
      <c r="AC972" s="62"/>
    </row>
    <row r="973" spans="1:29">
      <c r="A973" s="65" t="str">
        <f>IFERROR(VLOOKUP('Informe Kelly'!A966,Base!A:B,2,FALSE),"")</f>
        <v>16.266.817-K</v>
      </c>
      <c r="B973" s="65" t="str">
        <f>IFERROR(VLOOKUP('Informe Kelly'!A966,Base!A:G,7,FALSE),"")</f>
        <v>PEREZ PADILLA RODRIGO ALEJANDRO</v>
      </c>
      <c r="C973" s="69" t="str">
        <f>IF(G973=$C$4,IF('Informe Kelly'!H966='Control informe Kelly'!$A$2,TEXT(((LEFT('Informe Kelly'!E966,2)*1)+1),"dd")&amp;"."&amp;MID('Informe Kelly'!E966,4,2)&amp;"."&amp;RIGHT('Informe Kelly'!E966,4),'Informe Kelly'!E966),'Informe Kelly'!E966)</f>
        <v>16.04.2011</v>
      </c>
      <c r="D973" s="69" t="str">
        <f>IF('Informe Kelly'!E966="","",'Informe Kelly'!E966)</f>
        <v>16.04.2011</v>
      </c>
      <c r="E973" s="72">
        <f t="shared" si="31"/>
        <v>495</v>
      </c>
      <c r="F973" s="72" t="str">
        <f>IFERROR(HLOOKUP(C973,Ingreso!$Q$8:$AD$9,2,FALSE),"v")</f>
        <v>Sábado</v>
      </c>
      <c r="G973" s="65" t="str">
        <f>IFERROR(VLOOKUP(A973,Ingreso!K:P,6,FALSE),"no esta ingresado")</f>
        <v>Turno A</v>
      </c>
      <c r="H973" s="65" t="str">
        <f>IFERROR(IF('Informe Kelly'!H966=$A$2,'Informe Kelly'!F966,""),0)</f>
        <v/>
      </c>
      <c r="I973" s="65">
        <f>IFERROR(IF('Informe Kelly'!H966=$A$3,'Informe Kelly'!F966,""),0)</f>
        <v>0.63164351851851852</v>
      </c>
      <c r="J973" s="65" t="str">
        <f>IF(IFERROR(IF(E973=E972,0,(HLOOKUP(D973,Ingreso!$AN$10:$AT$260,VLOOKUP(A973,Ingreso!$AL$11:$AM$260,2,FALSE)))/24),0)=0,"",IFERROR(IF(E973=E972,0,(HLOOKUP(D973,Ingreso!$AN$10:$AT$260,VLOOKUP(A973,Ingreso!$AL$11:$AM$260,2,FALSE)))/24),0))</f>
        <v/>
      </c>
      <c r="K973" s="65" t="str">
        <f>IF(IFERROR(IF(E973=E972,0,(HLOOKUP(C973,Ingreso!$AW$10:$BC$260,VLOOKUP(A973,Ingreso!$AL$11:$AM$260,2,FALSE)))/24),0)=0,"",IFERROR(IF(E973=E972,0,(HLOOKUP(C973,Ingreso!$AW$10:$BC$260,VLOOKUP(A973,Ingreso!$AL$11:$AM$260,2,FALSE)))/24),0))</f>
        <v/>
      </c>
      <c r="L973" s="63">
        <f t="shared" si="30"/>
        <v>0.3125</v>
      </c>
      <c r="M973" s="63" t="str">
        <f>IF(IFERROR(IF(C973=C971,0,IF(E973=E972,0,IF(C973=$R$2,HLOOKUP($R$2,Ingreso!$AW$10:$BC$260,VLOOKUP(A973,Ingreso!AL:AM,2,FALSE),FALSE)/24,""))),"")=0,"",IFERROR(IF(C973=C971,0,IF(E973=E972,0,IF(C973=$R$2,HLOOKUP($R$2,Ingreso!$AW$10:$BC$260,VLOOKUP(A973,Ingreso!AL:AM,2,FALSE),FALSE)/24,""))),""))</f>
        <v/>
      </c>
      <c r="N973" s="95" t="str">
        <f>IF(IFERROR(IF(C973=C971,0,IF(E973=E972,0,IF(C973=$R$3,HLOOKUP($R$3,Ingreso!$AW$10:$BC$260,VLOOKUP(A973,Ingreso!AL:AM,2,FALSE),FALSE)/24,""))),"")=0,"",IFERROR(IF(C973=C971,0,IF(E973=E972,0,IF(C973=$R$3,HLOOKUP($R$3,Ingreso!$AW$10:$BC$260,VLOOKUP(A973,Ingreso!AL:AM,2,FALSE),FALSE)/24,""))),""))</f>
        <v/>
      </c>
      <c r="O973" s="95" t="str">
        <f>IF(IFERROR(IF(C973=C971,0,IF(E973=E972,0,IF(C973=$R$4,HLOOKUP($R$4,Ingreso!$AW$10:$BC$260,VLOOKUP(A973,Ingreso!AL:AM,2,FALSE),FALSE)/24,""))),"")=0,"",IFERROR(IF(C973=C971,0,IF(E973=E972,0,IF(C973=$R$4,HLOOKUP($R$4,Ingreso!$AW$10:$BC$260,VLOOKUP(A973,Ingreso!AL:AM,2,FALSE),FALSE)/24,""))),""))</f>
        <v/>
      </c>
      <c r="P973" s="90"/>
      <c r="V973"/>
      <c r="W973" s="62"/>
      <c r="X973" s="62"/>
      <c r="Y973" s="62"/>
      <c r="Z973" s="62"/>
      <c r="AA973" s="62"/>
      <c r="AB973" s="62"/>
      <c r="AC973" s="62"/>
    </row>
    <row r="974" spans="1:29">
      <c r="A974" s="65" t="str">
        <f>IFERROR(VLOOKUP('Informe Kelly'!A967,Base!A:B,2,FALSE),"")</f>
        <v>16.266.817-K</v>
      </c>
      <c r="B974" s="65" t="str">
        <f>IFERROR(VLOOKUP('Informe Kelly'!A967,Base!A:G,7,FALSE),"")</f>
        <v>PEREZ PADILLA RODRIGO ALEJANDRO</v>
      </c>
      <c r="C974" s="69" t="str">
        <f>IF(G974=$C$4,IF('Informe Kelly'!H967='Control informe Kelly'!$A$2,TEXT(((LEFT('Informe Kelly'!E967,2)*1)+1),"dd")&amp;"."&amp;MID('Informe Kelly'!E967,4,2)&amp;"."&amp;RIGHT('Informe Kelly'!E967,4),'Informe Kelly'!E967),'Informe Kelly'!E967)</f>
        <v>16.04.2011</v>
      </c>
      <c r="D974" s="69" t="str">
        <f>IF('Informe Kelly'!E967="","",'Informe Kelly'!E967)</f>
        <v>16.04.2011</v>
      </c>
      <c r="E974" s="72">
        <f t="shared" si="31"/>
        <v>495</v>
      </c>
      <c r="F974" s="72" t="str">
        <f>IFERROR(HLOOKUP(C974,Ingreso!$Q$8:$AD$9,2,FALSE),"v")</f>
        <v>Sábado</v>
      </c>
      <c r="G974" s="65" t="str">
        <f>IFERROR(VLOOKUP(A974,Ingreso!K:P,6,FALSE),"no esta ingresado")</f>
        <v>Turno A</v>
      </c>
      <c r="H974" s="65">
        <f>IFERROR(IF('Informe Kelly'!H967=$A$2,'Informe Kelly'!F967,""),0)</f>
        <v>0.31350694444444444</v>
      </c>
      <c r="I974" s="65" t="str">
        <f>IFERROR(IF('Informe Kelly'!H967=$A$3,'Informe Kelly'!F967,""),0)</f>
        <v/>
      </c>
      <c r="J974" s="65" t="str">
        <f>IF(IFERROR(IF(E974=E973,0,(HLOOKUP(D974,Ingreso!$AN$10:$AT$260,VLOOKUP(A974,Ingreso!$AL$11:$AM$260,2,FALSE)))/24),0)=0,"",IFERROR(IF(E974=E973,0,(HLOOKUP(D974,Ingreso!$AN$10:$AT$260,VLOOKUP(A974,Ingreso!$AL$11:$AM$260,2,FALSE)))/24),0))</f>
        <v/>
      </c>
      <c r="K974" s="65" t="str">
        <f>IF(IFERROR(IF(E974=E973,0,(HLOOKUP(C974,Ingreso!$AW$10:$BC$260,VLOOKUP(A974,Ingreso!$AL$11:$AM$260,2,FALSE)))/24),0)=0,"",IFERROR(IF(E974=E973,0,(HLOOKUP(C974,Ingreso!$AW$10:$BC$260,VLOOKUP(A974,Ingreso!$AL$11:$AM$260,2,FALSE)))/24),0))</f>
        <v/>
      </c>
      <c r="L974" s="63">
        <f t="shared" si="30"/>
        <v>0</v>
      </c>
      <c r="M974" s="63" t="str">
        <f>IF(IFERROR(IF(C974=C972,0,IF(E974=E973,0,IF(C974=$R$2,HLOOKUP($R$2,Ingreso!$AW$10:$BC$260,VLOOKUP(A974,Ingreso!AL:AM,2,FALSE),FALSE)/24,""))),"")=0,"",IFERROR(IF(C974=C972,0,IF(E974=E973,0,IF(C974=$R$2,HLOOKUP($R$2,Ingreso!$AW$10:$BC$260,VLOOKUP(A974,Ingreso!AL:AM,2,FALSE),FALSE)/24,""))),""))</f>
        <v/>
      </c>
      <c r="N974" s="95" t="str">
        <f>IF(IFERROR(IF(C974=C972,0,IF(E974=E973,0,IF(C974=$R$3,HLOOKUP($R$3,Ingreso!$AW$10:$BC$260,VLOOKUP(A974,Ingreso!AL:AM,2,FALSE),FALSE)/24,""))),"")=0,"",IFERROR(IF(C974=C972,0,IF(E974=E973,0,IF(C974=$R$3,HLOOKUP($R$3,Ingreso!$AW$10:$BC$260,VLOOKUP(A974,Ingreso!AL:AM,2,FALSE),FALSE)/24,""))),""))</f>
        <v/>
      </c>
      <c r="O974" s="95" t="str">
        <f>IF(IFERROR(IF(C974=C972,0,IF(E974=E973,0,IF(C974=$R$4,HLOOKUP($R$4,Ingreso!$AW$10:$BC$260,VLOOKUP(A974,Ingreso!AL:AM,2,FALSE),FALSE)/24,""))),"")=0,"",IFERROR(IF(C974=C972,0,IF(E974=E973,0,IF(C974=$R$4,HLOOKUP($R$4,Ingreso!$AW$10:$BC$260,VLOOKUP(A974,Ingreso!AL:AM,2,FALSE),FALSE)/24,""))),""))</f>
        <v/>
      </c>
      <c r="P974" s="90"/>
      <c r="V974"/>
      <c r="W974" s="62"/>
      <c r="X974" s="62"/>
      <c r="Y974" s="62"/>
      <c r="Z974" s="62"/>
      <c r="AA974" s="62"/>
      <c r="AB974" s="62"/>
      <c r="AC974" s="62"/>
    </row>
    <row r="975" spans="1:29">
      <c r="A975" s="65" t="str">
        <f>IFERROR(VLOOKUP('Informe Kelly'!A968,Base!A:B,2,FALSE),"")</f>
        <v>16.268.829-4</v>
      </c>
      <c r="B975" s="65" t="str">
        <f>IFERROR(VLOOKUP('Informe Kelly'!A968,Base!A:G,7,FALSE),"")</f>
        <v>MORALES DIAZ SLBERTO</v>
      </c>
      <c r="C975" s="69" t="str">
        <f>IF(G975=$C$4,IF('Informe Kelly'!H968='Control informe Kelly'!$A$2,TEXT(((LEFT('Informe Kelly'!E968,2)*1)+1),"dd")&amp;"."&amp;MID('Informe Kelly'!E968,4,2)&amp;"."&amp;RIGHT('Informe Kelly'!E968,4),'Informe Kelly'!E968),'Informe Kelly'!E968)</f>
        <v>11.04.2011</v>
      </c>
      <c r="D975" s="69" t="str">
        <f>IF('Informe Kelly'!E968="","",'Informe Kelly'!E968)</f>
        <v>11.04.2011</v>
      </c>
      <c r="E975" s="72">
        <f t="shared" si="31"/>
        <v>496</v>
      </c>
      <c r="F975" s="72" t="str">
        <f>IFERROR(HLOOKUP(C975,Ingreso!$Q$8:$AD$9,2,FALSE),"v")</f>
        <v>Lunes</v>
      </c>
      <c r="G975" s="65" t="str">
        <f>IFERROR(VLOOKUP(A975,Ingreso!K:P,6,FALSE),"no esta ingresado")</f>
        <v>no esta ingresado</v>
      </c>
      <c r="H975" s="65" t="str">
        <f>IFERROR(IF('Informe Kelly'!H968=$A$2,'Informe Kelly'!F968,""),0)</f>
        <v/>
      </c>
      <c r="I975" s="65">
        <f>IFERROR(IF('Informe Kelly'!H968=$A$3,'Informe Kelly'!F968,""),0)</f>
        <v>0.95020833333333332</v>
      </c>
      <c r="J975" s="65" t="str">
        <f>IF(IFERROR(IF(E975=E974,0,(HLOOKUP(D975,Ingreso!$AN$10:$AT$260,VLOOKUP(A975,Ingreso!$AL$11:$AM$260,2,FALSE)))/24),0)=0,"",IFERROR(IF(E975=E974,0,(HLOOKUP(D975,Ingreso!$AN$10:$AT$260,VLOOKUP(A975,Ingreso!$AL$11:$AM$260,2,FALSE)))/24),0))</f>
        <v/>
      </c>
      <c r="K975" s="65" t="str">
        <f>IF(IFERROR(IF(E975=E974,0,(HLOOKUP(C975,Ingreso!$AW$10:$BC$260,VLOOKUP(A975,Ingreso!$AL$11:$AM$260,2,FALSE)))/24),0)=0,"",IFERROR(IF(E975=E974,0,(HLOOKUP(C975,Ingreso!$AW$10:$BC$260,VLOOKUP(A975,Ingreso!$AL$11:$AM$260,2,FALSE)))/24),0))</f>
        <v/>
      </c>
      <c r="L975" s="63" t="str">
        <f t="shared" si="30"/>
        <v/>
      </c>
      <c r="M975" s="63" t="str">
        <f>IF(IFERROR(IF(C975=C973,0,IF(E975=E974,0,IF(C975=$R$2,HLOOKUP($R$2,Ingreso!$AW$10:$BC$260,VLOOKUP(A975,Ingreso!AL:AM,2,FALSE),FALSE)/24,""))),"")=0,"",IFERROR(IF(C975=C973,0,IF(E975=E974,0,IF(C975=$R$2,HLOOKUP($R$2,Ingreso!$AW$10:$BC$260,VLOOKUP(A975,Ingreso!AL:AM,2,FALSE),FALSE)/24,""))),""))</f>
        <v/>
      </c>
      <c r="N975" s="95" t="str">
        <f>IF(IFERROR(IF(C975=C973,0,IF(E975=E974,0,IF(C975=$R$3,HLOOKUP($R$3,Ingreso!$AW$10:$BC$260,VLOOKUP(A975,Ingreso!AL:AM,2,FALSE),FALSE)/24,""))),"")=0,"",IFERROR(IF(C975=C973,0,IF(E975=E974,0,IF(C975=$R$3,HLOOKUP($R$3,Ingreso!$AW$10:$BC$260,VLOOKUP(A975,Ingreso!AL:AM,2,FALSE),FALSE)/24,""))),""))</f>
        <v/>
      </c>
      <c r="O975" s="95" t="str">
        <f>IF(IFERROR(IF(C975=C973,0,IF(E975=E974,0,IF(C975=$R$4,HLOOKUP($R$4,Ingreso!$AW$10:$BC$260,VLOOKUP(A975,Ingreso!AL:AM,2,FALSE),FALSE)/24,""))),"")=0,"",IFERROR(IF(C975=C973,0,IF(E975=E974,0,IF(C975=$R$4,HLOOKUP($R$4,Ingreso!$AW$10:$BC$260,VLOOKUP(A975,Ingreso!AL:AM,2,FALSE),FALSE)/24,""))),""))</f>
        <v/>
      </c>
      <c r="P975" s="90"/>
      <c r="V975"/>
      <c r="W975" s="62"/>
      <c r="X975" s="62"/>
      <c r="Y975" s="62"/>
      <c r="Z975" s="62"/>
      <c r="AA975" s="62"/>
      <c r="AB975" s="62"/>
      <c r="AC975" s="62"/>
    </row>
    <row r="976" spans="1:29">
      <c r="A976" s="65" t="str">
        <f>IFERROR(VLOOKUP('Informe Kelly'!A969,Base!A:B,2,FALSE),"")</f>
        <v>16.268.829-4</v>
      </c>
      <c r="B976" s="65" t="str">
        <f>IFERROR(VLOOKUP('Informe Kelly'!A969,Base!A:G,7,FALSE),"")</f>
        <v>MORALES DIAZ SLBERTO</v>
      </c>
      <c r="C976" s="69" t="str">
        <f>IF(G976=$C$4,IF('Informe Kelly'!H969='Control informe Kelly'!$A$2,TEXT(((LEFT('Informe Kelly'!E969,2)*1)+1),"dd")&amp;"."&amp;MID('Informe Kelly'!E969,4,2)&amp;"."&amp;RIGHT('Informe Kelly'!E969,4),'Informe Kelly'!E969),'Informe Kelly'!E969)</f>
        <v>11.04.2011</v>
      </c>
      <c r="D976" s="69" t="str">
        <f>IF('Informe Kelly'!E969="","",'Informe Kelly'!E969)</f>
        <v>11.04.2011</v>
      </c>
      <c r="E976" s="72">
        <f t="shared" si="31"/>
        <v>496</v>
      </c>
      <c r="F976" s="72" t="str">
        <f>IFERROR(HLOOKUP(C976,Ingreso!$Q$8:$AD$9,2,FALSE),"v")</f>
        <v>Lunes</v>
      </c>
      <c r="G976" s="65" t="str">
        <f>IFERROR(VLOOKUP(A976,Ingreso!K:P,6,FALSE),"no esta ingresado")</f>
        <v>no esta ingresado</v>
      </c>
      <c r="H976" s="65">
        <f>IFERROR(IF('Informe Kelly'!H969=$A$2,'Informe Kelly'!F969,""),0)</f>
        <v>0.59244212962962961</v>
      </c>
      <c r="I976" s="65" t="str">
        <f>IFERROR(IF('Informe Kelly'!H969=$A$3,'Informe Kelly'!F969,""),0)</f>
        <v/>
      </c>
      <c r="J976" s="65" t="str">
        <f>IF(IFERROR(IF(E976=E975,0,(HLOOKUP(D976,Ingreso!$AN$10:$AT$260,VLOOKUP(A976,Ingreso!$AL$11:$AM$260,2,FALSE)))/24),0)=0,"",IFERROR(IF(E976=E975,0,(HLOOKUP(D976,Ingreso!$AN$10:$AT$260,VLOOKUP(A976,Ingreso!$AL$11:$AM$260,2,FALSE)))/24),0))</f>
        <v/>
      </c>
      <c r="K976" s="65" t="str">
        <f>IF(IFERROR(IF(E976=E975,0,(HLOOKUP(C976,Ingreso!$AW$10:$BC$260,VLOOKUP(A976,Ingreso!$AL$11:$AM$260,2,FALSE)))/24),0)=0,"",IFERROR(IF(E976=E975,0,(HLOOKUP(C976,Ingreso!$AW$10:$BC$260,VLOOKUP(A976,Ingreso!$AL$11:$AM$260,2,FALSE)))/24),0))</f>
        <v/>
      </c>
      <c r="L976" s="63">
        <f t="shared" si="30"/>
        <v>0</v>
      </c>
      <c r="M976" s="63" t="str">
        <f>IF(IFERROR(IF(C976=C974,0,IF(E976=E975,0,IF(C976=$R$2,HLOOKUP($R$2,Ingreso!$AW$10:$BC$260,VLOOKUP(A976,Ingreso!AL:AM,2,FALSE),FALSE)/24,""))),"")=0,"",IFERROR(IF(C976=C974,0,IF(E976=E975,0,IF(C976=$R$2,HLOOKUP($R$2,Ingreso!$AW$10:$BC$260,VLOOKUP(A976,Ingreso!AL:AM,2,FALSE),FALSE)/24,""))),""))</f>
        <v/>
      </c>
      <c r="N976" s="95" t="str">
        <f>IF(IFERROR(IF(C976=C974,0,IF(E976=E975,0,IF(C976=$R$3,HLOOKUP($R$3,Ingreso!$AW$10:$BC$260,VLOOKUP(A976,Ingreso!AL:AM,2,FALSE),FALSE)/24,""))),"")=0,"",IFERROR(IF(C976=C974,0,IF(E976=E975,0,IF(C976=$R$3,HLOOKUP($R$3,Ingreso!$AW$10:$BC$260,VLOOKUP(A976,Ingreso!AL:AM,2,FALSE),FALSE)/24,""))),""))</f>
        <v/>
      </c>
      <c r="O976" s="95" t="str">
        <f>IF(IFERROR(IF(C976=C974,0,IF(E976=E975,0,IF(C976=$R$4,HLOOKUP($R$4,Ingreso!$AW$10:$BC$260,VLOOKUP(A976,Ingreso!AL:AM,2,FALSE),FALSE)/24,""))),"")=0,"",IFERROR(IF(C976=C974,0,IF(E976=E975,0,IF(C976=$R$4,HLOOKUP($R$4,Ingreso!$AW$10:$BC$260,VLOOKUP(A976,Ingreso!AL:AM,2,FALSE),FALSE)/24,""))),""))</f>
        <v/>
      </c>
      <c r="P976" s="90"/>
      <c r="V976"/>
      <c r="W976" s="62"/>
      <c r="X976" s="62"/>
      <c r="Y976" s="62"/>
      <c r="Z976" s="62"/>
      <c r="AA976" s="62"/>
      <c r="AB976" s="62"/>
      <c r="AC976" s="62"/>
    </row>
    <row r="977" spans="1:29">
      <c r="A977" s="65" t="str">
        <f>IFERROR(VLOOKUP('Informe Kelly'!A970,Base!A:B,2,FALSE),"")</f>
        <v>16.268.829-4</v>
      </c>
      <c r="B977" s="65" t="str">
        <f>IFERROR(VLOOKUP('Informe Kelly'!A970,Base!A:G,7,FALSE),"")</f>
        <v>MORALES DIAZ SLBERTO</v>
      </c>
      <c r="C977" s="69" t="str">
        <f>IF(G977=$C$4,IF('Informe Kelly'!H970='Control informe Kelly'!$A$2,TEXT(((LEFT('Informe Kelly'!E970,2)*1)+1),"dd")&amp;"."&amp;MID('Informe Kelly'!E970,4,2)&amp;"."&amp;RIGHT('Informe Kelly'!E970,4),'Informe Kelly'!E970),'Informe Kelly'!E970)</f>
        <v>12.04.2011</v>
      </c>
      <c r="D977" s="69" t="str">
        <f>IF('Informe Kelly'!E970="","",'Informe Kelly'!E970)</f>
        <v>12.04.2011</v>
      </c>
      <c r="E977" s="72">
        <f t="shared" si="31"/>
        <v>497</v>
      </c>
      <c r="F977" s="72" t="str">
        <f>IFERROR(HLOOKUP(C977,Ingreso!$Q$8:$AD$9,2,FALSE),"v")</f>
        <v>Martes</v>
      </c>
      <c r="G977" s="65" t="str">
        <f>IFERROR(VLOOKUP(A977,Ingreso!K:P,6,FALSE),"no esta ingresado")</f>
        <v>no esta ingresado</v>
      </c>
      <c r="H977" s="65" t="str">
        <f>IFERROR(IF('Informe Kelly'!H970=$A$2,'Informe Kelly'!F970,""),0)</f>
        <v/>
      </c>
      <c r="I977" s="65">
        <f>IFERROR(IF('Informe Kelly'!H970=$A$3,'Informe Kelly'!F970,""),0)</f>
        <v>0.94534722222222223</v>
      </c>
      <c r="J977" s="65" t="str">
        <f>IF(IFERROR(IF(E977=E976,0,(HLOOKUP(D977,Ingreso!$AN$10:$AT$260,VLOOKUP(A977,Ingreso!$AL$11:$AM$260,2,FALSE)))/24),0)=0,"",IFERROR(IF(E977=E976,0,(HLOOKUP(D977,Ingreso!$AN$10:$AT$260,VLOOKUP(A977,Ingreso!$AL$11:$AM$260,2,FALSE)))/24),0))</f>
        <v/>
      </c>
      <c r="K977" s="65" t="str">
        <f>IF(IFERROR(IF(E977=E976,0,(HLOOKUP(C977,Ingreso!$AW$10:$BC$260,VLOOKUP(A977,Ingreso!$AL$11:$AM$260,2,FALSE)))/24),0)=0,"",IFERROR(IF(E977=E976,0,(HLOOKUP(C977,Ingreso!$AW$10:$BC$260,VLOOKUP(A977,Ingreso!$AL$11:$AM$260,2,FALSE)))/24),0))</f>
        <v/>
      </c>
      <c r="L977" s="63" t="str">
        <f t="shared" si="30"/>
        <v/>
      </c>
      <c r="M977" s="63" t="str">
        <f>IF(IFERROR(IF(C977=C975,0,IF(E977=E976,0,IF(C977=$R$2,HLOOKUP($R$2,Ingreso!$AW$10:$BC$260,VLOOKUP(A977,Ingreso!AL:AM,2,FALSE),FALSE)/24,""))),"")=0,"",IFERROR(IF(C977=C975,0,IF(E977=E976,0,IF(C977=$R$2,HLOOKUP($R$2,Ingreso!$AW$10:$BC$260,VLOOKUP(A977,Ingreso!AL:AM,2,FALSE),FALSE)/24,""))),""))</f>
        <v/>
      </c>
      <c r="N977" s="95" t="str">
        <f>IF(IFERROR(IF(C977=C975,0,IF(E977=E976,0,IF(C977=$R$3,HLOOKUP($R$3,Ingreso!$AW$10:$BC$260,VLOOKUP(A977,Ingreso!AL:AM,2,FALSE),FALSE)/24,""))),"")=0,"",IFERROR(IF(C977=C975,0,IF(E977=E976,0,IF(C977=$R$3,HLOOKUP($R$3,Ingreso!$AW$10:$BC$260,VLOOKUP(A977,Ingreso!AL:AM,2,FALSE),FALSE)/24,""))),""))</f>
        <v/>
      </c>
      <c r="O977" s="95" t="str">
        <f>IF(IFERROR(IF(C977=C975,0,IF(E977=E976,0,IF(C977=$R$4,HLOOKUP($R$4,Ingreso!$AW$10:$BC$260,VLOOKUP(A977,Ingreso!AL:AM,2,FALSE),FALSE)/24,""))),"")=0,"",IFERROR(IF(C977=C975,0,IF(E977=E976,0,IF(C977=$R$4,HLOOKUP($R$4,Ingreso!$AW$10:$BC$260,VLOOKUP(A977,Ingreso!AL:AM,2,FALSE),FALSE)/24,""))),""))</f>
        <v/>
      </c>
      <c r="P977" s="90"/>
      <c r="V977"/>
      <c r="W977" s="62"/>
      <c r="X977" s="62"/>
      <c r="Y977" s="62"/>
      <c r="Z977" s="62"/>
      <c r="AA977" s="62"/>
      <c r="AB977" s="62"/>
      <c r="AC977" s="62"/>
    </row>
    <row r="978" spans="1:29">
      <c r="A978" s="65" t="str">
        <f>IFERROR(VLOOKUP('Informe Kelly'!A971,Base!A:B,2,FALSE),"")</f>
        <v>16.268.829-4</v>
      </c>
      <c r="B978" s="65" t="str">
        <f>IFERROR(VLOOKUP('Informe Kelly'!A971,Base!A:G,7,FALSE),"")</f>
        <v>MORALES DIAZ SLBERTO</v>
      </c>
      <c r="C978" s="69" t="str">
        <f>IF(G978=$C$4,IF('Informe Kelly'!H971='Control informe Kelly'!$A$2,TEXT(((LEFT('Informe Kelly'!E971,2)*1)+1),"dd")&amp;"."&amp;MID('Informe Kelly'!E971,4,2)&amp;"."&amp;RIGHT('Informe Kelly'!E971,4),'Informe Kelly'!E971),'Informe Kelly'!E971)</f>
        <v>12.04.2011</v>
      </c>
      <c r="D978" s="69" t="str">
        <f>IF('Informe Kelly'!E971="","",'Informe Kelly'!E971)</f>
        <v>12.04.2011</v>
      </c>
      <c r="E978" s="72">
        <f t="shared" si="31"/>
        <v>497</v>
      </c>
      <c r="F978" s="72" t="str">
        <f>IFERROR(HLOOKUP(C978,Ingreso!$Q$8:$AD$9,2,FALSE),"v")</f>
        <v>Martes</v>
      </c>
      <c r="G978" s="65" t="str">
        <f>IFERROR(VLOOKUP(A978,Ingreso!K:P,6,FALSE),"no esta ingresado")</f>
        <v>no esta ingresado</v>
      </c>
      <c r="H978" s="65">
        <f>IFERROR(IF('Informe Kelly'!H971=$A$2,'Informe Kelly'!F971,""),0)</f>
        <v>0.60572916666666665</v>
      </c>
      <c r="I978" s="65" t="str">
        <f>IFERROR(IF('Informe Kelly'!H971=$A$3,'Informe Kelly'!F971,""),0)</f>
        <v/>
      </c>
      <c r="J978" s="65" t="str">
        <f>IF(IFERROR(IF(E978=E977,0,(HLOOKUP(D978,Ingreso!$AN$10:$AT$260,VLOOKUP(A978,Ingreso!$AL$11:$AM$260,2,FALSE)))/24),0)=0,"",IFERROR(IF(E978=E977,0,(HLOOKUP(D978,Ingreso!$AN$10:$AT$260,VLOOKUP(A978,Ingreso!$AL$11:$AM$260,2,FALSE)))/24),0))</f>
        <v/>
      </c>
      <c r="K978" s="65" t="str">
        <f>IF(IFERROR(IF(E978=E977,0,(HLOOKUP(C978,Ingreso!$AW$10:$BC$260,VLOOKUP(A978,Ingreso!$AL$11:$AM$260,2,FALSE)))/24),0)=0,"",IFERROR(IF(E978=E977,0,(HLOOKUP(C978,Ingreso!$AW$10:$BC$260,VLOOKUP(A978,Ingreso!$AL$11:$AM$260,2,FALSE)))/24),0))</f>
        <v/>
      </c>
      <c r="L978" s="63">
        <f t="shared" si="30"/>
        <v>0</v>
      </c>
      <c r="M978" s="63" t="str">
        <f>IF(IFERROR(IF(C978=C976,0,IF(E978=E977,0,IF(C978=$R$2,HLOOKUP($R$2,Ingreso!$AW$10:$BC$260,VLOOKUP(A978,Ingreso!AL:AM,2,FALSE),FALSE)/24,""))),"")=0,"",IFERROR(IF(C978=C976,0,IF(E978=E977,0,IF(C978=$R$2,HLOOKUP($R$2,Ingreso!$AW$10:$BC$260,VLOOKUP(A978,Ingreso!AL:AM,2,FALSE),FALSE)/24,""))),""))</f>
        <v/>
      </c>
      <c r="N978" s="95" t="str">
        <f>IF(IFERROR(IF(C978=C976,0,IF(E978=E977,0,IF(C978=$R$3,HLOOKUP($R$3,Ingreso!$AW$10:$BC$260,VLOOKUP(A978,Ingreso!AL:AM,2,FALSE),FALSE)/24,""))),"")=0,"",IFERROR(IF(C978=C976,0,IF(E978=E977,0,IF(C978=$R$3,HLOOKUP($R$3,Ingreso!$AW$10:$BC$260,VLOOKUP(A978,Ingreso!AL:AM,2,FALSE),FALSE)/24,""))),""))</f>
        <v/>
      </c>
      <c r="O978" s="95" t="str">
        <f>IF(IFERROR(IF(C978=C976,0,IF(E978=E977,0,IF(C978=$R$4,HLOOKUP($R$4,Ingreso!$AW$10:$BC$260,VLOOKUP(A978,Ingreso!AL:AM,2,FALSE),FALSE)/24,""))),"")=0,"",IFERROR(IF(C978=C976,0,IF(E978=E977,0,IF(C978=$R$4,HLOOKUP($R$4,Ingreso!$AW$10:$BC$260,VLOOKUP(A978,Ingreso!AL:AM,2,FALSE),FALSE)/24,""))),""))</f>
        <v/>
      </c>
      <c r="P978" s="90"/>
      <c r="V978"/>
      <c r="W978" s="62"/>
      <c r="X978" s="62"/>
      <c r="Y978" s="62"/>
      <c r="Z978" s="62"/>
      <c r="AA978" s="62"/>
      <c r="AB978" s="62"/>
      <c r="AC978" s="62"/>
    </row>
    <row r="979" spans="1:29">
      <c r="A979" s="65" t="str">
        <f>IFERROR(VLOOKUP('Informe Kelly'!A972,Base!A:B,2,FALSE),"")</f>
        <v>16.268.829-4</v>
      </c>
      <c r="B979" s="65" t="str">
        <f>IFERROR(VLOOKUP('Informe Kelly'!A972,Base!A:G,7,FALSE),"")</f>
        <v>MORALES DIAZ SLBERTO</v>
      </c>
      <c r="C979" s="69" t="str">
        <f>IF(G979=$C$4,IF('Informe Kelly'!H972='Control informe Kelly'!$A$2,TEXT(((LEFT('Informe Kelly'!E972,2)*1)+1),"dd")&amp;"."&amp;MID('Informe Kelly'!E972,4,2)&amp;"."&amp;RIGHT('Informe Kelly'!E972,4),'Informe Kelly'!E972),'Informe Kelly'!E972)</f>
        <v>13.04.2011</v>
      </c>
      <c r="D979" s="69" t="str">
        <f>IF('Informe Kelly'!E972="","",'Informe Kelly'!E972)</f>
        <v>13.04.2011</v>
      </c>
      <c r="E979" s="72">
        <f t="shared" si="31"/>
        <v>498</v>
      </c>
      <c r="F979" s="72" t="str">
        <f>IFERROR(HLOOKUP(C979,Ingreso!$Q$8:$AD$9,2,FALSE),"v")</f>
        <v>Miércoles</v>
      </c>
      <c r="G979" s="65" t="str">
        <f>IFERROR(VLOOKUP(A979,Ingreso!K:P,6,FALSE),"no esta ingresado")</f>
        <v>no esta ingresado</v>
      </c>
      <c r="H979" s="65" t="str">
        <f>IFERROR(IF('Informe Kelly'!H972=$A$2,'Informe Kelly'!F972,""),0)</f>
        <v/>
      </c>
      <c r="I979" s="65">
        <f>IFERROR(IF('Informe Kelly'!H972=$A$3,'Informe Kelly'!F972,""),0)</f>
        <v>0.94710648148148147</v>
      </c>
      <c r="J979" s="65" t="str">
        <f>IF(IFERROR(IF(E979=E978,0,(HLOOKUP(D979,Ingreso!$AN$10:$AT$260,VLOOKUP(A979,Ingreso!$AL$11:$AM$260,2,FALSE)))/24),0)=0,"",IFERROR(IF(E979=E978,0,(HLOOKUP(D979,Ingreso!$AN$10:$AT$260,VLOOKUP(A979,Ingreso!$AL$11:$AM$260,2,FALSE)))/24),0))</f>
        <v/>
      </c>
      <c r="K979" s="65" t="str">
        <f>IF(IFERROR(IF(E979=E978,0,(HLOOKUP(C979,Ingreso!$AW$10:$BC$260,VLOOKUP(A979,Ingreso!$AL$11:$AM$260,2,FALSE)))/24),0)=0,"",IFERROR(IF(E979=E978,0,(HLOOKUP(C979,Ingreso!$AW$10:$BC$260,VLOOKUP(A979,Ingreso!$AL$11:$AM$260,2,FALSE)))/24),0))</f>
        <v/>
      </c>
      <c r="L979" s="63" t="str">
        <f t="shared" si="30"/>
        <v/>
      </c>
      <c r="M979" s="63" t="str">
        <f>IF(IFERROR(IF(C979=C977,0,IF(E979=E978,0,IF(C979=$R$2,HLOOKUP($R$2,Ingreso!$AW$10:$BC$260,VLOOKUP(A979,Ingreso!AL:AM,2,FALSE),FALSE)/24,""))),"")=0,"",IFERROR(IF(C979=C977,0,IF(E979=E978,0,IF(C979=$R$2,HLOOKUP($R$2,Ingreso!$AW$10:$BC$260,VLOOKUP(A979,Ingreso!AL:AM,2,FALSE),FALSE)/24,""))),""))</f>
        <v/>
      </c>
      <c r="N979" s="95" t="str">
        <f>IF(IFERROR(IF(C979=C977,0,IF(E979=E978,0,IF(C979=$R$3,HLOOKUP($R$3,Ingreso!$AW$10:$BC$260,VLOOKUP(A979,Ingreso!AL:AM,2,FALSE),FALSE)/24,""))),"")=0,"",IFERROR(IF(C979=C977,0,IF(E979=E978,0,IF(C979=$R$3,HLOOKUP($R$3,Ingreso!$AW$10:$BC$260,VLOOKUP(A979,Ingreso!AL:AM,2,FALSE),FALSE)/24,""))),""))</f>
        <v/>
      </c>
      <c r="O979" s="95" t="str">
        <f>IF(IFERROR(IF(C979=C977,0,IF(E979=E978,0,IF(C979=$R$4,HLOOKUP($R$4,Ingreso!$AW$10:$BC$260,VLOOKUP(A979,Ingreso!AL:AM,2,FALSE),FALSE)/24,""))),"")=0,"",IFERROR(IF(C979=C977,0,IF(E979=E978,0,IF(C979=$R$4,HLOOKUP($R$4,Ingreso!$AW$10:$BC$260,VLOOKUP(A979,Ingreso!AL:AM,2,FALSE),FALSE)/24,""))),""))</f>
        <v/>
      </c>
      <c r="P979" s="90"/>
      <c r="V979"/>
      <c r="W979" s="62"/>
      <c r="X979" s="62"/>
      <c r="Y979" s="62"/>
      <c r="Z979" s="62"/>
      <c r="AA979" s="62"/>
      <c r="AB979" s="62"/>
      <c r="AC979" s="62"/>
    </row>
    <row r="980" spans="1:29">
      <c r="A980" s="65" t="str">
        <f>IFERROR(VLOOKUP('Informe Kelly'!A973,Base!A:B,2,FALSE),"")</f>
        <v>16.268.829-4</v>
      </c>
      <c r="B980" s="65" t="str">
        <f>IFERROR(VLOOKUP('Informe Kelly'!A973,Base!A:G,7,FALSE),"")</f>
        <v>MORALES DIAZ SLBERTO</v>
      </c>
      <c r="C980" s="69" t="str">
        <f>IF(G980=$C$4,IF('Informe Kelly'!H973='Control informe Kelly'!$A$2,TEXT(((LEFT('Informe Kelly'!E973,2)*1)+1),"dd")&amp;"."&amp;MID('Informe Kelly'!E973,4,2)&amp;"."&amp;RIGHT('Informe Kelly'!E973,4),'Informe Kelly'!E973),'Informe Kelly'!E973)</f>
        <v>13.04.2011</v>
      </c>
      <c r="D980" s="69" t="str">
        <f>IF('Informe Kelly'!E973="","",'Informe Kelly'!E973)</f>
        <v>13.04.2011</v>
      </c>
      <c r="E980" s="72">
        <f t="shared" si="31"/>
        <v>498</v>
      </c>
      <c r="F980" s="72" t="str">
        <f>IFERROR(HLOOKUP(C980,Ingreso!$Q$8:$AD$9,2,FALSE),"v")</f>
        <v>Miércoles</v>
      </c>
      <c r="G980" s="65" t="str">
        <f>IFERROR(VLOOKUP(A980,Ingreso!K:P,6,FALSE),"no esta ingresado")</f>
        <v>no esta ingresado</v>
      </c>
      <c r="H980" s="65">
        <f>IFERROR(IF('Informe Kelly'!H973=$A$2,'Informe Kelly'!F973,""),0)</f>
        <v>0.61223379629629626</v>
      </c>
      <c r="I980" s="65" t="str">
        <f>IFERROR(IF('Informe Kelly'!H973=$A$3,'Informe Kelly'!F973,""),0)</f>
        <v/>
      </c>
      <c r="J980" s="65" t="str">
        <f>IF(IFERROR(IF(E980=E979,0,(HLOOKUP(D980,Ingreso!$AN$10:$AT$260,VLOOKUP(A980,Ingreso!$AL$11:$AM$260,2,FALSE)))/24),0)=0,"",IFERROR(IF(E980=E979,0,(HLOOKUP(D980,Ingreso!$AN$10:$AT$260,VLOOKUP(A980,Ingreso!$AL$11:$AM$260,2,FALSE)))/24),0))</f>
        <v/>
      </c>
      <c r="K980" s="65" t="str">
        <f>IF(IFERROR(IF(E980=E979,0,(HLOOKUP(C980,Ingreso!$AW$10:$BC$260,VLOOKUP(A980,Ingreso!$AL$11:$AM$260,2,FALSE)))/24),0)=0,"",IFERROR(IF(E980=E979,0,(HLOOKUP(C980,Ingreso!$AW$10:$BC$260,VLOOKUP(A980,Ingreso!$AL$11:$AM$260,2,FALSE)))/24),0))</f>
        <v/>
      </c>
      <c r="L980" s="63">
        <f t="shared" si="30"/>
        <v>0</v>
      </c>
      <c r="M980" s="63" t="str">
        <f>IF(IFERROR(IF(C980=C978,0,IF(E980=E979,0,IF(C980=$R$2,HLOOKUP($R$2,Ingreso!$AW$10:$BC$260,VLOOKUP(A980,Ingreso!AL:AM,2,FALSE),FALSE)/24,""))),"")=0,"",IFERROR(IF(C980=C978,0,IF(E980=E979,0,IF(C980=$R$2,HLOOKUP($R$2,Ingreso!$AW$10:$BC$260,VLOOKUP(A980,Ingreso!AL:AM,2,FALSE),FALSE)/24,""))),""))</f>
        <v/>
      </c>
      <c r="N980" s="95" t="str">
        <f>IF(IFERROR(IF(C980=C978,0,IF(E980=E979,0,IF(C980=$R$3,HLOOKUP($R$3,Ingreso!$AW$10:$BC$260,VLOOKUP(A980,Ingreso!AL:AM,2,FALSE),FALSE)/24,""))),"")=0,"",IFERROR(IF(C980=C978,0,IF(E980=E979,0,IF(C980=$R$3,HLOOKUP($R$3,Ingreso!$AW$10:$BC$260,VLOOKUP(A980,Ingreso!AL:AM,2,FALSE),FALSE)/24,""))),""))</f>
        <v/>
      </c>
      <c r="O980" s="95" t="str">
        <f>IF(IFERROR(IF(C980=C978,0,IF(E980=E979,0,IF(C980=$R$4,HLOOKUP($R$4,Ingreso!$AW$10:$BC$260,VLOOKUP(A980,Ingreso!AL:AM,2,FALSE),FALSE)/24,""))),"")=0,"",IFERROR(IF(C980=C978,0,IF(E980=E979,0,IF(C980=$R$4,HLOOKUP($R$4,Ingreso!$AW$10:$BC$260,VLOOKUP(A980,Ingreso!AL:AM,2,FALSE),FALSE)/24,""))),""))</f>
        <v/>
      </c>
      <c r="P980" s="90"/>
      <c r="V980"/>
      <c r="W980" s="62"/>
      <c r="X980" s="62"/>
      <c r="Y980" s="62"/>
      <c r="Z980" s="62"/>
      <c r="AA980" s="62"/>
      <c r="AB980" s="62"/>
      <c r="AC980" s="62"/>
    </row>
    <row r="981" spans="1:29">
      <c r="A981" s="65" t="str">
        <f>IFERROR(VLOOKUP('Informe Kelly'!A974,Base!A:B,2,FALSE),"")</f>
        <v>16.268.829-4</v>
      </c>
      <c r="B981" s="65" t="str">
        <f>IFERROR(VLOOKUP('Informe Kelly'!A974,Base!A:G,7,FALSE),"")</f>
        <v>MORALES DIAZ SLBERTO</v>
      </c>
      <c r="C981" s="69" t="str">
        <f>IF(G981=$C$4,IF('Informe Kelly'!H974='Control informe Kelly'!$A$2,TEXT(((LEFT('Informe Kelly'!E974,2)*1)+1),"dd")&amp;"."&amp;MID('Informe Kelly'!E974,4,2)&amp;"."&amp;RIGHT('Informe Kelly'!E974,4),'Informe Kelly'!E974),'Informe Kelly'!E974)</f>
        <v>14.04.2011</v>
      </c>
      <c r="D981" s="69" t="str">
        <f>IF('Informe Kelly'!E974="","",'Informe Kelly'!E974)</f>
        <v>14.04.2011</v>
      </c>
      <c r="E981" s="72">
        <f t="shared" si="31"/>
        <v>499</v>
      </c>
      <c r="F981" s="72" t="str">
        <f>IFERROR(HLOOKUP(C981,Ingreso!$Q$8:$AD$9,2,FALSE),"v")</f>
        <v>Jueves</v>
      </c>
      <c r="G981" s="65" t="str">
        <f>IFERROR(VLOOKUP(A981,Ingreso!K:P,6,FALSE),"no esta ingresado")</f>
        <v>no esta ingresado</v>
      </c>
      <c r="H981" s="65" t="str">
        <f>IFERROR(IF('Informe Kelly'!H974=$A$2,'Informe Kelly'!F974,""),0)</f>
        <v/>
      </c>
      <c r="I981" s="65">
        <f>IFERROR(IF('Informe Kelly'!H974=$A$3,'Informe Kelly'!F974,""),0)</f>
        <v>0.94826388888888891</v>
      </c>
      <c r="J981" s="65" t="str">
        <f>IF(IFERROR(IF(E981=E980,0,(HLOOKUP(D981,Ingreso!$AN$10:$AT$260,VLOOKUP(A981,Ingreso!$AL$11:$AM$260,2,FALSE)))/24),0)=0,"",IFERROR(IF(E981=E980,0,(HLOOKUP(D981,Ingreso!$AN$10:$AT$260,VLOOKUP(A981,Ingreso!$AL$11:$AM$260,2,FALSE)))/24),0))</f>
        <v/>
      </c>
      <c r="K981" s="65" t="str">
        <f>IF(IFERROR(IF(E981=E980,0,(HLOOKUP(C981,Ingreso!$AW$10:$BC$260,VLOOKUP(A981,Ingreso!$AL$11:$AM$260,2,FALSE)))/24),0)=0,"",IFERROR(IF(E981=E980,0,(HLOOKUP(C981,Ingreso!$AW$10:$BC$260,VLOOKUP(A981,Ingreso!$AL$11:$AM$260,2,FALSE)))/24),0))</f>
        <v/>
      </c>
      <c r="L981" s="63" t="str">
        <f t="shared" si="30"/>
        <v/>
      </c>
      <c r="M981" s="63" t="str">
        <f>IF(IFERROR(IF(C981=C979,0,IF(E981=E980,0,IF(C981=$R$2,HLOOKUP($R$2,Ingreso!$AW$10:$BC$260,VLOOKUP(A981,Ingreso!AL:AM,2,FALSE),FALSE)/24,""))),"")=0,"",IFERROR(IF(C981=C979,0,IF(E981=E980,0,IF(C981=$R$2,HLOOKUP($R$2,Ingreso!$AW$10:$BC$260,VLOOKUP(A981,Ingreso!AL:AM,2,FALSE),FALSE)/24,""))),""))</f>
        <v/>
      </c>
      <c r="N981" s="95" t="str">
        <f>IF(IFERROR(IF(C981=C979,0,IF(E981=E980,0,IF(C981=$R$3,HLOOKUP($R$3,Ingreso!$AW$10:$BC$260,VLOOKUP(A981,Ingreso!AL:AM,2,FALSE),FALSE)/24,""))),"")=0,"",IFERROR(IF(C981=C979,0,IF(E981=E980,0,IF(C981=$R$3,HLOOKUP($R$3,Ingreso!$AW$10:$BC$260,VLOOKUP(A981,Ingreso!AL:AM,2,FALSE),FALSE)/24,""))),""))</f>
        <v/>
      </c>
      <c r="O981" s="95" t="str">
        <f>IF(IFERROR(IF(C981=C979,0,IF(E981=E980,0,IF(C981=$R$4,HLOOKUP($R$4,Ingreso!$AW$10:$BC$260,VLOOKUP(A981,Ingreso!AL:AM,2,FALSE),FALSE)/24,""))),"")=0,"",IFERROR(IF(C981=C979,0,IF(E981=E980,0,IF(C981=$R$4,HLOOKUP($R$4,Ingreso!$AW$10:$BC$260,VLOOKUP(A981,Ingreso!AL:AM,2,FALSE),FALSE)/24,""))),""))</f>
        <v/>
      </c>
      <c r="P981" s="90"/>
      <c r="V981"/>
      <c r="W981" s="62"/>
      <c r="X981" s="62"/>
      <c r="Y981" s="62"/>
      <c r="Z981" s="62"/>
      <c r="AA981" s="62"/>
      <c r="AB981" s="62"/>
      <c r="AC981" s="62"/>
    </row>
    <row r="982" spans="1:29">
      <c r="A982" s="65" t="str">
        <f>IFERROR(VLOOKUP('Informe Kelly'!A975,Base!A:B,2,FALSE),"")</f>
        <v>16.268.829-4</v>
      </c>
      <c r="B982" s="65" t="str">
        <f>IFERROR(VLOOKUP('Informe Kelly'!A975,Base!A:G,7,FALSE),"")</f>
        <v>MORALES DIAZ SLBERTO</v>
      </c>
      <c r="C982" s="69" t="str">
        <f>IF(G982=$C$4,IF('Informe Kelly'!H975='Control informe Kelly'!$A$2,TEXT(((LEFT('Informe Kelly'!E975,2)*1)+1),"dd")&amp;"."&amp;MID('Informe Kelly'!E975,4,2)&amp;"."&amp;RIGHT('Informe Kelly'!E975,4),'Informe Kelly'!E975),'Informe Kelly'!E975)</f>
        <v>14.04.2011</v>
      </c>
      <c r="D982" s="69" t="str">
        <f>IF('Informe Kelly'!E975="","",'Informe Kelly'!E975)</f>
        <v>14.04.2011</v>
      </c>
      <c r="E982" s="72">
        <f t="shared" si="31"/>
        <v>499</v>
      </c>
      <c r="F982" s="72" t="str">
        <f>IFERROR(HLOOKUP(C982,Ingreso!$Q$8:$AD$9,2,FALSE),"v")</f>
        <v>Jueves</v>
      </c>
      <c r="G982" s="65" t="str">
        <f>IFERROR(VLOOKUP(A982,Ingreso!K:P,6,FALSE),"no esta ingresado")</f>
        <v>no esta ingresado</v>
      </c>
      <c r="H982" s="65">
        <f>IFERROR(IF('Informe Kelly'!H975=$A$2,'Informe Kelly'!F975,""),0)</f>
        <v>0.60526620370370365</v>
      </c>
      <c r="I982" s="65" t="str">
        <f>IFERROR(IF('Informe Kelly'!H975=$A$3,'Informe Kelly'!F975,""),0)</f>
        <v/>
      </c>
      <c r="J982" s="65" t="str">
        <f>IF(IFERROR(IF(E982=E981,0,(HLOOKUP(D982,Ingreso!$AN$10:$AT$260,VLOOKUP(A982,Ingreso!$AL$11:$AM$260,2,FALSE)))/24),0)=0,"",IFERROR(IF(E982=E981,0,(HLOOKUP(D982,Ingreso!$AN$10:$AT$260,VLOOKUP(A982,Ingreso!$AL$11:$AM$260,2,FALSE)))/24),0))</f>
        <v/>
      </c>
      <c r="K982" s="65" t="str">
        <f>IF(IFERROR(IF(E982=E981,0,(HLOOKUP(C982,Ingreso!$AW$10:$BC$260,VLOOKUP(A982,Ingreso!$AL$11:$AM$260,2,FALSE)))/24),0)=0,"",IFERROR(IF(E982=E981,0,(HLOOKUP(C982,Ingreso!$AW$10:$BC$260,VLOOKUP(A982,Ingreso!$AL$11:$AM$260,2,FALSE)))/24),0))</f>
        <v/>
      </c>
      <c r="L982" s="63">
        <f t="shared" si="30"/>
        <v>0</v>
      </c>
      <c r="M982" s="63" t="str">
        <f>IF(IFERROR(IF(C982=C980,0,IF(E982=E981,0,IF(C982=$R$2,HLOOKUP($R$2,Ingreso!$AW$10:$BC$260,VLOOKUP(A982,Ingreso!AL:AM,2,FALSE),FALSE)/24,""))),"")=0,"",IFERROR(IF(C982=C980,0,IF(E982=E981,0,IF(C982=$R$2,HLOOKUP($R$2,Ingreso!$AW$10:$BC$260,VLOOKUP(A982,Ingreso!AL:AM,2,FALSE),FALSE)/24,""))),""))</f>
        <v/>
      </c>
      <c r="N982" s="95" t="str">
        <f>IF(IFERROR(IF(C982=C980,0,IF(E982=E981,0,IF(C982=$R$3,HLOOKUP($R$3,Ingreso!$AW$10:$BC$260,VLOOKUP(A982,Ingreso!AL:AM,2,FALSE),FALSE)/24,""))),"")=0,"",IFERROR(IF(C982=C980,0,IF(E982=E981,0,IF(C982=$R$3,HLOOKUP($R$3,Ingreso!$AW$10:$BC$260,VLOOKUP(A982,Ingreso!AL:AM,2,FALSE),FALSE)/24,""))),""))</f>
        <v/>
      </c>
      <c r="O982" s="95" t="str">
        <f>IF(IFERROR(IF(C982=C980,0,IF(E982=E981,0,IF(C982=$R$4,HLOOKUP($R$4,Ingreso!$AW$10:$BC$260,VLOOKUP(A982,Ingreso!AL:AM,2,FALSE),FALSE)/24,""))),"")=0,"",IFERROR(IF(C982=C980,0,IF(E982=E981,0,IF(C982=$R$4,HLOOKUP($R$4,Ingreso!$AW$10:$BC$260,VLOOKUP(A982,Ingreso!AL:AM,2,FALSE),FALSE)/24,""))),""))</f>
        <v/>
      </c>
      <c r="P982" s="90"/>
      <c r="V982"/>
      <c r="W982" s="62"/>
      <c r="X982" s="62"/>
      <c r="Y982" s="62"/>
      <c r="Z982" s="62"/>
      <c r="AA982" s="62"/>
      <c r="AB982" s="62"/>
      <c r="AC982" s="62"/>
    </row>
    <row r="983" spans="1:29">
      <c r="A983" s="65" t="str">
        <f>IFERROR(VLOOKUP('Informe Kelly'!A976,Base!A:B,2,FALSE),"")</f>
        <v>16.268.829-4</v>
      </c>
      <c r="B983" s="65" t="str">
        <f>IFERROR(VLOOKUP('Informe Kelly'!A976,Base!A:G,7,FALSE),"")</f>
        <v>MORALES DIAZ SLBERTO</v>
      </c>
      <c r="C983" s="69" t="str">
        <f>IF(G983=$C$4,IF('Informe Kelly'!H976='Control informe Kelly'!$A$2,TEXT(((LEFT('Informe Kelly'!E976,2)*1)+1),"dd")&amp;"."&amp;MID('Informe Kelly'!E976,4,2)&amp;"."&amp;RIGHT('Informe Kelly'!E976,4),'Informe Kelly'!E976),'Informe Kelly'!E976)</f>
        <v>15.04.2011</v>
      </c>
      <c r="D983" s="69" t="str">
        <f>IF('Informe Kelly'!E976="","",'Informe Kelly'!E976)</f>
        <v>15.04.2011</v>
      </c>
      <c r="E983" s="72">
        <f t="shared" si="31"/>
        <v>500</v>
      </c>
      <c r="F983" s="72" t="str">
        <f>IFERROR(HLOOKUP(C983,Ingreso!$Q$8:$AD$9,2,FALSE),"v")</f>
        <v>Viernes</v>
      </c>
      <c r="G983" s="65" t="str">
        <f>IFERROR(VLOOKUP(A983,Ingreso!K:P,6,FALSE),"no esta ingresado")</f>
        <v>no esta ingresado</v>
      </c>
      <c r="H983" s="65" t="str">
        <f>IFERROR(IF('Informe Kelly'!H976=$A$2,'Informe Kelly'!F976,""),0)</f>
        <v/>
      </c>
      <c r="I983" s="65">
        <f>IFERROR(IF('Informe Kelly'!H976=$A$3,'Informe Kelly'!F976,""),0)</f>
        <v>0.95136574074074076</v>
      </c>
      <c r="J983" s="65" t="str">
        <f>IF(IFERROR(IF(E983=E982,0,(HLOOKUP(D983,Ingreso!$AN$10:$AT$260,VLOOKUP(A983,Ingreso!$AL$11:$AM$260,2,FALSE)))/24),0)=0,"",IFERROR(IF(E983=E982,0,(HLOOKUP(D983,Ingreso!$AN$10:$AT$260,VLOOKUP(A983,Ingreso!$AL$11:$AM$260,2,FALSE)))/24),0))</f>
        <v/>
      </c>
      <c r="K983" s="65" t="str">
        <f>IF(IFERROR(IF(E983=E982,0,(HLOOKUP(C983,Ingreso!$AW$10:$BC$260,VLOOKUP(A983,Ingreso!$AL$11:$AM$260,2,FALSE)))/24),0)=0,"",IFERROR(IF(E983=E982,0,(HLOOKUP(C983,Ingreso!$AW$10:$BC$260,VLOOKUP(A983,Ingreso!$AL$11:$AM$260,2,FALSE)))/24),0))</f>
        <v/>
      </c>
      <c r="L983" s="63" t="str">
        <f t="shared" si="30"/>
        <v/>
      </c>
      <c r="M983" s="63" t="str">
        <f>IF(IFERROR(IF(C983=C981,0,IF(E983=E982,0,IF(C983=$R$2,HLOOKUP($R$2,Ingreso!$AW$10:$BC$260,VLOOKUP(A983,Ingreso!AL:AM,2,FALSE),FALSE)/24,""))),"")=0,"",IFERROR(IF(C983=C981,0,IF(E983=E982,0,IF(C983=$R$2,HLOOKUP($R$2,Ingreso!$AW$10:$BC$260,VLOOKUP(A983,Ingreso!AL:AM,2,FALSE),FALSE)/24,""))),""))</f>
        <v/>
      </c>
      <c r="N983" s="95" t="str">
        <f>IF(IFERROR(IF(C983=C981,0,IF(E983=E982,0,IF(C983=$R$3,HLOOKUP($R$3,Ingreso!$AW$10:$BC$260,VLOOKUP(A983,Ingreso!AL:AM,2,FALSE),FALSE)/24,""))),"")=0,"",IFERROR(IF(C983=C981,0,IF(E983=E982,0,IF(C983=$R$3,HLOOKUP($R$3,Ingreso!$AW$10:$BC$260,VLOOKUP(A983,Ingreso!AL:AM,2,FALSE),FALSE)/24,""))),""))</f>
        <v/>
      </c>
      <c r="O983" s="95" t="str">
        <f>IF(IFERROR(IF(C983=C981,0,IF(E983=E982,0,IF(C983=$R$4,HLOOKUP($R$4,Ingreso!$AW$10:$BC$260,VLOOKUP(A983,Ingreso!AL:AM,2,FALSE),FALSE)/24,""))),"")=0,"",IFERROR(IF(C983=C981,0,IF(E983=E982,0,IF(C983=$R$4,HLOOKUP($R$4,Ingreso!$AW$10:$BC$260,VLOOKUP(A983,Ingreso!AL:AM,2,FALSE),FALSE)/24,""))),""))</f>
        <v/>
      </c>
      <c r="P983" s="90"/>
      <c r="V983"/>
      <c r="W983" s="62"/>
      <c r="X983" s="62"/>
      <c r="Y983" s="62"/>
      <c r="Z983" s="62"/>
      <c r="AA983" s="62"/>
      <c r="AB983" s="62"/>
      <c r="AC983" s="62"/>
    </row>
    <row r="984" spans="1:29">
      <c r="A984" s="65" t="str">
        <f>IFERROR(VLOOKUP('Informe Kelly'!A977,Base!A:B,2,FALSE),"")</f>
        <v>16.268.829-4</v>
      </c>
      <c r="B984" s="65" t="str">
        <f>IFERROR(VLOOKUP('Informe Kelly'!A977,Base!A:G,7,FALSE),"")</f>
        <v>MORALES DIAZ SLBERTO</v>
      </c>
      <c r="C984" s="69" t="str">
        <f>IF(G984=$C$4,IF('Informe Kelly'!H977='Control informe Kelly'!$A$2,TEXT(((LEFT('Informe Kelly'!E977,2)*1)+1),"dd")&amp;"."&amp;MID('Informe Kelly'!E977,4,2)&amp;"."&amp;RIGHT('Informe Kelly'!E977,4),'Informe Kelly'!E977),'Informe Kelly'!E977)</f>
        <v>15.04.2011</v>
      </c>
      <c r="D984" s="69" t="str">
        <f>IF('Informe Kelly'!E977="","",'Informe Kelly'!E977)</f>
        <v>15.04.2011</v>
      </c>
      <c r="E984" s="72">
        <f t="shared" si="31"/>
        <v>500</v>
      </c>
      <c r="F984" s="72" t="str">
        <f>IFERROR(HLOOKUP(C984,Ingreso!$Q$8:$AD$9,2,FALSE),"v")</f>
        <v>Viernes</v>
      </c>
      <c r="G984" s="65" t="str">
        <f>IFERROR(VLOOKUP(A984,Ingreso!K:P,6,FALSE),"no esta ingresado")</f>
        <v>no esta ingresado</v>
      </c>
      <c r="H984" s="65">
        <f>IFERROR(IF('Informe Kelly'!H977=$A$2,'Informe Kelly'!F977,""),0)</f>
        <v>0.64315972222222217</v>
      </c>
      <c r="I984" s="65" t="str">
        <f>IFERROR(IF('Informe Kelly'!H977=$A$3,'Informe Kelly'!F977,""),0)</f>
        <v/>
      </c>
      <c r="J984" s="65" t="str">
        <f>IF(IFERROR(IF(E984=E983,0,(HLOOKUP(D984,Ingreso!$AN$10:$AT$260,VLOOKUP(A984,Ingreso!$AL$11:$AM$260,2,FALSE)))/24),0)=0,"",IFERROR(IF(E984=E983,0,(HLOOKUP(D984,Ingreso!$AN$10:$AT$260,VLOOKUP(A984,Ingreso!$AL$11:$AM$260,2,FALSE)))/24),0))</f>
        <v/>
      </c>
      <c r="K984" s="65" t="str">
        <f>IF(IFERROR(IF(E984=E983,0,(HLOOKUP(C984,Ingreso!$AW$10:$BC$260,VLOOKUP(A984,Ingreso!$AL$11:$AM$260,2,FALSE)))/24),0)=0,"",IFERROR(IF(E984=E983,0,(HLOOKUP(C984,Ingreso!$AW$10:$BC$260,VLOOKUP(A984,Ingreso!$AL$11:$AM$260,2,FALSE)))/24),0))</f>
        <v/>
      </c>
      <c r="L984" s="63">
        <f t="shared" si="30"/>
        <v>0</v>
      </c>
      <c r="M984" s="63" t="str">
        <f>IF(IFERROR(IF(C984=C982,0,IF(E984=E983,0,IF(C984=$R$2,HLOOKUP($R$2,Ingreso!$AW$10:$BC$260,VLOOKUP(A984,Ingreso!AL:AM,2,FALSE),FALSE)/24,""))),"")=0,"",IFERROR(IF(C984=C982,0,IF(E984=E983,0,IF(C984=$R$2,HLOOKUP($R$2,Ingreso!$AW$10:$BC$260,VLOOKUP(A984,Ingreso!AL:AM,2,FALSE),FALSE)/24,""))),""))</f>
        <v/>
      </c>
      <c r="N984" s="95" t="str">
        <f>IF(IFERROR(IF(C984=C982,0,IF(E984=E983,0,IF(C984=$R$3,HLOOKUP($R$3,Ingreso!$AW$10:$BC$260,VLOOKUP(A984,Ingreso!AL:AM,2,FALSE),FALSE)/24,""))),"")=0,"",IFERROR(IF(C984=C982,0,IF(E984=E983,0,IF(C984=$R$3,HLOOKUP($R$3,Ingreso!$AW$10:$BC$260,VLOOKUP(A984,Ingreso!AL:AM,2,FALSE),FALSE)/24,""))),""))</f>
        <v/>
      </c>
      <c r="O984" s="95" t="str">
        <f>IF(IFERROR(IF(C984=C982,0,IF(E984=E983,0,IF(C984=$R$4,HLOOKUP($R$4,Ingreso!$AW$10:$BC$260,VLOOKUP(A984,Ingreso!AL:AM,2,FALSE),FALSE)/24,""))),"")=0,"",IFERROR(IF(C984=C982,0,IF(E984=E983,0,IF(C984=$R$4,HLOOKUP($R$4,Ingreso!$AW$10:$BC$260,VLOOKUP(A984,Ingreso!AL:AM,2,FALSE),FALSE)/24,""))),""))</f>
        <v/>
      </c>
      <c r="P984" s="90"/>
      <c r="V984"/>
      <c r="W984" s="62"/>
      <c r="X984" s="62"/>
      <c r="Y984" s="62"/>
      <c r="Z984" s="62"/>
      <c r="AA984" s="62"/>
      <c r="AB984" s="62"/>
      <c r="AC984" s="62"/>
    </row>
    <row r="985" spans="1:29">
      <c r="A985" s="65" t="str">
        <f>IFERROR(VLOOKUP('Informe Kelly'!A978,Base!A:B,2,FALSE),"")</f>
        <v>16.268.829-4</v>
      </c>
      <c r="B985" s="65" t="str">
        <f>IFERROR(VLOOKUP('Informe Kelly'!A978,Base!A:G,7,FALSE),"")</f>
        <v>MORALES DIAZ SLBERTO</v>
      </c>
      <c r="C985" s="69" t="str">
        <f>IF(G985=$C$4,IF('Informe Kelly'!H978='Control informe Kelly'!$A$2,TEXT(((LEFT('Informe Kelly'!E978,2)*1)+1),"dd")&amp;"."&amp;MID('Informe Kelly'!E978,4,2)&amp;"."&amp;RIGHT('Informe Kelly'!E978,4),'Informe Kelly'!E978),'Informe Kelly'!E978)</f>
        <v>16.04.2011</v>
      </c>
      <c r="D985" s="69" t="str">
        <f>IF('Informe Kelly'!E978="","",'Informe Kelly'!E978)</f>
        <v>16.04.2011</v>
      </c>
      <c r="E985" s="72">
        <f t="shared" si="31"/>
        <v>501</v>
      </c>
      <c r="F985" s="72" t="str">
        <f>IFERROR(HLOOKUP(C985,Ingreso!$Q$8:$AD$9,2,FALSE),"v")</f>
        <v>Sábado</v>
      </c>
      <c r="G985" s="65" t="str">
        <f>IFERROR(VLOOKUP(A985,Ingreso!K:P,6,FALSE),"no esta ingresado")</f>
        <v>no esta ingresado</v>
      </c>
      <c r="H985" s="65" t="str">
        <f>IFERROR(IF('Informe Kelly'!H978=$A$2,'Informe Kelly'!F978,""),0)</f>
        <v/>
      </c>
      <c r="I985" s="65">
        <f>IFERROR(IF('Informe Kelly'!H978=$A$3,'Informe Kelly'!F978,""),0)</f>
        <v>0.94298611111111119</v>
      </c>
      <c r="J985" s="65" t="str">
        <f>IF(IFERROR(IF(E985=E984,0,(HLOOKUP(D985,Ingreso!$AN$10:$AT$260,VLOOKUP(A985,Ingreso!$AL$11:$AM$260,2,FALSE)))/24),0)=0,"",IFERROR(IF(E985=E984,0,(HLOOKUP(D985,Ingreso!$AN$10:$AT$260,VLOOKUP(A985,Ingreso!$AL$11:$AM$260,2,FALSE)))/24),0))</f>
        <v/>
      </c>
      <c r="K985" s="65" t="str">
        <f>IF(IFERROR(IF(E985=E984,0,(HLOOKUP(C985,Ingreso!$AW$10:$BC$260,VLOOKUP(A985,Ingreso!$AL$11:$AM$260,2,FALSE)))/24),0)=0,"",IFERROR(IF(E985=E984,0,(HLOOKUP(C985,Ingreso!$AW$10:$BC$260,VLOOKUP(A985,Ingreso!$AL$11:$AM$260,2,FALSE)))/24),0))</f>
        <v/>
      </c>
      <c r="L985" s="63" t="str">
        <f t="shared" si="30"/>
        <v/>
      </c>
      <c r="M985" s="63" t="str">
        <f>IF(IFERROR(IF(C985=C983,0,IF(E985=E984,0,IF(C985=$R$2,HLOOKUP($R$2,Ingreso!$AW$10:$BC$260,VLOOKUP(A985,Ingreso!AL:AM,2,FALSE),FALSE)/24,""))),"")=0,"",IFERROR(IF(C985=C983,0,IF(E985=E984,0,IF(C985=$R$2,HLOOKUP($R$2,Ingreso!$AW$10:$BC$260,VLOOKUP(A985,Ingreso!AL:AM,2,FALSE),FALSE)/24,""))),""))</f>
        <v/>
      </c>
      <c r="N985" s="95" t="str">
        <f>IF(IFERROR(IF(C985=C983,0,IF(E985=E984,0,IF(C985=$R$3,HLOOKUP($R$3,Ingreso!$AW$10:$BC$260,VLOOKUP(A985,Ingreso!AL:AM,2,FALSE),FALSE)/24,""))),"")=0,"",IFERROR(IF(C985=C983,0,IF(E985=E984,0,IF(C985=$R$3,HLOOKUP($R$3,Ingreso!$AW$10:$BC$260,VLOOKUP(A985,Ingreso!AL:AM,2,FALSE),FALSE)/24,""))),""))</f>
        <v/>
      </c>
      <c r="O985" s="95" t="str">
        <f>IF(IFERROR(IF(C985=C983,0,IF(E985=E984,0,IF(C985=$R$4,HLOOKUP($R$4,Ingreso!$AW$10:$BC$260,VLOOKUP(A985,Ingreso!AL:AM,2,FALSE),FALSE)/24,""))),"")=0,"",IFERROR(IF(C985=C983,0,IF(E985=E984,0,IF(C985=$R$4,HLOOKUP($R$4,Ingreso!$AW$10:$BC$260,VLOOKUP(A985,Ingreso!AL:AM,2,FALSE),FALSE)/24,""))),""))</f>
        <v/>
      </c>
      <c r="P985" s="90"/>
      <c r="V985"/>
      <c r="W985" s="62"/>
      <c r="X985" s="62"/>
      <c r="Y985" s="62"/>
      <c r="Z985" s="62"/>
      <c r="AA985" s="62"/>
      <c r="AB985" s="62"/>
      <c r="AC985" s="62"/>
    </row>
    <row r="986" spans="1:29">
      <c r="A986" s="65" t="str">
        <f>IFERROR(VLOOKUP('Informe Kelly'!A979,Base!A:B,2,FALSE),"")</f>
        <v>16.268.829-4</v>
      </c>
      <c r="B986" s="65" t="str">
        <f>IFERROR(VLOOKUP('Informe Kelly'!A979,Base!A:G,7,FALSE),"")</f>
        <v>MORALES DIAZ SLBERTO</v>
      </c>
      <c r="C986" s="69" t="str">
        <f>IF(G986=$C$4,IF('Informe Kelly'!H979='Control informe Kelly'!$A$2,TEXT(((LEFT('Informe Kelly'!E979,2)*1)+1),"dd")&amp;"."&amp;MID('Informe Kelly'!E979,4,2)&amp;"."&amp;RIGHT('Informe Kelly'!E979,4),'Informe Kelly'!E979),'Informe Kelly'!E979)</f>
        <v>16.04.2011</v>
      </c>
      <c r="D986" s="69" t="str">
        <f>IF('Informe Kelly'!E979="","",'Informe Kelly'!E979)</f>
        <v>16.04.2011</v>
      </c>
      <c r="E986" s="72">
        <f t="shared" si="31"/>
        <v>501</v>
      </c>
      <c r="F986" s="72" t="str">
        <f>IFERROR(HLOOKUP(C986,Ingreso!$Q$8:$AD$9,2,FALSE),"v")</f>
        <v>Sábado</v>
      </c>
      <c r="G986" s="65" t="str">
        <f>IFERROR(VLOOKUP(A986,Ingreso!K:P,6,FALSE),"no esta ingresado")</f>
        <v>no esta ingresado</v>
      </c>
      <c r="H986" s="65">
        <f>IFERROR(IF('Informe Kelly'!H979=$A$2,'Informe Kelly'!F979,""),0)</f>
        <v>0.60403935185185187</v>
      </c>
      <c r="I986" s="65" t="str">
        <f>IFERROR(IF('Informe Kelly'!H979=$A$3,'Informe Kelly'!F979,""),0)</f>
        <v/>
      </c>
      <c r="J986" s="65" t="str">
        <f>IF(IFERROR(IF(E986=E985,0,(HLOOKUP(D986,Ingreso!$AN$10:$AT$260,VLOOKUP(A986,Ingreso!$AL$11:$AM$260,2,FALSE)))/24),0)=0,"",IFERROR(IF(E986=E985,0,(HLOOKUP(D986,Ingreso!$AN$10:$AT$260,VLOOKUP(A986,Ingreso!$AL$11:$AM$260,2,FALSE)))/24),0))</f>
        <v/>
      </c>
      <c r="K986" s="65" t="str">
        <f>IF(IFERROR(IF(E986=E985,0,(HLOOKUP(C986,Ingreso!$AW$10:$BC$260,VLOOKUP(A986,Ingreso!$AL$11:$AM$260,2,FALSE)))/24),0)=0,"",IFERROR(IF(E986=E985,0,(HLOOKUP(C986,Ingreso!$AW$10:$BC$260,VLOOKUP(A986,Ingreso!$AL$11:$AM$260,2,FALSE)))/24),0))</f>
        <v/>
      </c>
      <c r="L986" s="63">
        <f t="shared" si="30"/>
        <v>0</v>
      </c>
      <c r="M986" s="63" t="str">
        <f>IF(IFERROR(IF(C986=C984,0,IF(E986=E985,0,IF(C986=$R$2,HLOOKUP($R$2,Ingreso!$AW$10:$BC$260,VLOOKUP(A986,Ingreso!AL:AM,2,FALSE),FALSE)/24,""))),"")=0,"",IFERROR(IF(C986=C984,0,IF(E986=E985,0,IF(C986=$R$2,HLOOKUP($R$2,Ingreso!$AW$10:$BC$260,VLOOKUP(A986,Ingreso!AL:AM,2,FALSE),FALSE)/24,""))),""))</f>
        <v/>
      </c>
      <c r="N986" s="95" t="str">
        <f>IF(IFERROR(IF(C986=C984,0,IF(E986=E985,0,IF(C986=$R$3,HLOOKUP($R$3,Ingreso!$AW$10:$BC$260,VLOOKUP(A986,Ingreso!AL:AM,2,FALSE),FALSE)/24,""))),"")=0,"",IFERROR(IF(C986=C984,0,IF(E986=E985,0,IF(C986=$R$3,HLOOKUP($R$3,Ingreso!$AW$10:$BC$260,VLOOKUP(A986,Ingreso!AL:AM,2,FALSE),FALSE)/24,""))),""))</f>
        <v/>
      </c>
      <c r="O986" s="95" t="str">
        <f>IF(IFERROR(IF(C986=C984,0,IF(E986=E985,0,IF(C986=$R$4,HLOOKUP($R$4,Ingreso!$AW$10:$BC$260,VLOOKUP(A986,Ingreso!AL:AM,2,FALSE),FALSE)/24,""))),"")=0,"",IFERROR(IF(C986=C984,0,IF(E986=E985,0,IF(C986=$R$4,HLOOKUP($R$4,Ingreso!$AW$10:$BC$260,VLOOKUP(A986,Ingreso!AL:AM,2,FALSE),FALSE)/24,""))),""))</f>
        <v/>
      </c>
      <c r="P986" s="90"/>
      <c r="V986"/>
      <c r="W986" s="62"/>
      <c r="X986" s="62"/>
      <c r="Y986" s="62"/>
      <c r="Z986" s="62"/>
      <c r="AA986" s="62"/>
      <c r="AB986" s="62"/>
      <c r="AC986" s="62"/>
    </row>
    <row r="987" spans="1:29">
      <c r="A987" s="65" t="str">
        <f>IFERROR(VLOOKUP('Informe Kelly'!A980,Base!A:B,2,FALSE),"")</f>
        <v>16.380.050-0</v>
      </c>
      <c r="B987" s="65" t="str">
        <f>IFERROR(VLOOKUP('Informe Kelly'!A980,Base!A:G,7,FALSE),"")</f>
        <v>FLORES ARANDA MARCELO</v>
      </c>
      <c r="C987" s="69" t="str">
        <f>IF(G987=$C$4,IF('Informe Kelly'!H980='Control informe Kelly'!$A$2,TEXT(((LEFT('Informe Kelly'!E980,2)*1)+1),"dd")&amp;"."&amp;MID('Informe Kelly'!E980,4,2)&amp;"."&amp;RIGHT('Informe Kelly'!E980,4),'Informe Kelly'!E980),'Informe Kelly'!E980)</f>
        <v>11.04.2011</v>
      </c>
      <c r="D987" s="69" t="str">
        <f>IF('Informe Kelly'!E980="","",'Informe Kelly'!E980)</f>
        <v>11.04.2011</v>
      </c>
      <c r="E987" s="72">
        <f t="shared" si="31"/>
        <v>502</v>
      </c>
      <c r="F987" s="72" t="str">
        <f>IFERROR(HLOOKUP(C987,Ingreso!$Q$8:$AD$9,2,FALSE),"v")</f>
        <v>Lunes</v>
      </c>
      <c r="G987" s="65" t="str">
        <f>IFERROR(VLOOKUP(A987,Ingreso!K:P,6,FALSE),"no esta ingresado")</f>
        <v>Turno B</v>
      </c>
      <c r="H987" s="65" t="str">
        <f>IFERROR(IF('Informe Kelly'!H980=$A$2,'Informe Kelly'!F980,""),0)</f>
        <v/>
      </c>
      <c r="I987" s="65">
        <f>IFERROR(IF('Informe Kelly'!H980=$A$3,'Informe Kelly'!F980,""),0)</f>
        <v>0.94054398148148144</v>
      </c>
      <c r="J987" s="65" t="str">
        <f>IF(IFERROR(IF(E987=E986,0,(HLOOKUP(D987,Ingreso!$AN$10:$AT$260,VLOOKUP(A987,Ingreso!$AL$11:$AM$260,2,FALSE)))/24),0)=0,"",IFERROR(IF(E987=E986,0,(HLOOKUP(D987,Ingreso!$AN$10:$AT$260,VLOOKUP(A987,Ingreso!$AL$11:$AM$260,2,FALSE)))/24),0))</f>
        <v/>
      </c>
      <c r="K987" s="65" t="str">
        <f>IF(IFERROR(IF(E987=E986,0,(HLOOKUP(C987,Ingreso!$AW$10:$BC$260,VLOOKUP(A987,Ingreso!$AL$11:$AM$260,2,FALSE)))/24),0)=0,"",IFERROR(IF(E987=E986,0,(HLOOKUP(C987,Ingreso!$AW$10:$BC$260,VLOOKUP(A987,Ingreso!$AL$11:$AM$260,2,FALSE)))/24),0))</f>
        <v/>
      </c>
      <c r="L987" s="63">
        <f t="shared" si="30"/>
        <v>0.3125</v>
      </c>
      <c r="M987" s="63" t="str">
        <f>IF(IFERROR(IF(C987=C985,0,IF(E987=E986,0,IF(C987=$R$2,HLOOKUP($R$2,Ingreso!$AW$10:$BC$260,VLOOKUP(A987,Ingreso!AL:AM,2,FALSE),FALSE)/24,""))),"")=0,"",IFERROR(IF(C987=C985,0,IF(E987=E986,0,IF(C987=$R$2,HLOOKUP($R$2,Ingreso!$AW$10:$BC$260,VLOOKUP(A987,Ingreso!AL:AM,2,FALSE),FALSE)/24,""))),""))</f>
        <v/>
      </c>
      <c r="N987" s="95" t="str">
        <f>IF(IFERROR(IF(C987=C985,0,IF(E987=E986,0,IF(C987=$R$3,HLOOKUP($R$3,Ingreso!$AW$10:$BC$260,VLOOKUP(A987,Ingreso!AL:AM,2,FALSE),FALSE)/24,""))),"")=0,"",IFERROR(IF(C987=C985,0,IF(E987=E986,0,IF(C987=$R$3,HLOOKUP($R$3,Ingreso!$AW$10:$BC$260,VLOOKUP(A987,Ingreso!AL:AM,2,FALSE),FALSE)/24,""))),""))</f>
        <v/>
      </c>
      <c r="O987" s="95" t="str">
        <f>IF(IFERROR(IF(C987=C985,0,IF(E987=E986,0,IF(C987=$R$4,HLOOKUP($R$4,Ingreso!$AW$10:$BC$260,VLOOKUP(A987,Ingreso!AL:AM,2,FALSE),FALSE)/24,""))),"")=0,"",IFERROR(IF(C987=C985,0,IF(E987=E986,0,IF(C987=$R$4,HLOOKUP($R$4,Ingreso!$AW$10:$BC$260,VLOOKUP(A987,Ingreso!AL:AM,2,FALSE),FALSE)/24,""))),""))</f>
        <v/>
      </c>
      <c r="P987" s="90"/>
      <c r="V987"/>
      <c r="W987" s="62"/>
      <c r="X987" s="62"/>
      <c r="Y987" s="62"/>
      <c r="Z987" s="62"/>
      <c r="AA987" s="62"/>
      <c r="AB987" s="62"/>
      <c r="AC987" s="62"/>
    </row>
    <row r="988" spans="1:29">
      <c r="A988" s="65" t="str">
        <f>IFERROR(VLOOKUP('Informe Kelly'!A981,Base!A:B,2,FALSE),"")</f>
        <v>16.380.050-0</v>
      </c>
      <c r="B988" s="65" t="str">
        <f>IFERROR(VLOOKUP('Informe Kelly'!A981,Base!A:G,7,FALSE),"")</f>
        <v>FLORES ARANDA MARCELO</v>
      </c>
      <c r="C988" s="69" t="str">
        <f>IF(G988=$C$4,IF('Informe Kelly'!H981='Control informe Kelly'!$A$2,TEXT(((LEFT('Informe Kelly'!E981,2)*1)+1),"dd")&amp;"."&amp;MID('Informe Kelly'!E981,4,2)&amp;"."&amp;RIGHT('Informe Kelly'!E981,4),'Informe Kelly'!E981),'Informe Kelly'!E981)</f>
        <v>11.04.2011</v>
      </c>
      <c r="D988" s="69" t="str">
        <f>IF('Informe Kelly'!E981="","",'Informe Kelly'!E981)</f>
        <v>11.04.2011</v>
      </c>
      <c r="E988" s="72">
        <f t="shared" si="31"/>
        <v>502</v>
      </c>
      <c r="F988" s="72" t="str">
        <f>IFERROR(HLOOKUP(C988,Ingreso!$Q$8:$AD$9,2,FALSE),"v")</f>
        <v>Lunes</v>
      </c>
      <c r="G988" s="65" t="str">
        <f>IFERROR(VLOOKUP(A988,Ingreso!K:P,6,FALSE),"no esta ingresado")</f>
        <v>Turno B</v>
      </c>
      <c r="H988" s="65">
        <f>IFERROR(IF('Informe Kelly'!H981=$A$2,'Informe Kelly'!F981,""),0)</f>
        <v>0.61869212962962961</v>
      </c>
      <c r="I988" s="65" t="str">
        <f>IFERROR(IF('Informe Kelly'!H981=$A$3,'Informe Kelly'!F981,""),0)</f>
        <v/>
      </c>
      <c r="J988" s="65" t="str">
        <f>IF(IFERROR(IF(E988=E987,0,(HLOOKUP(D988,Ingreso!$AN$10:$AT$260,VLOOKUP(A988,Ingreso!$AL$11:$AM$260,2,FALSE)))/24),0)=0,"",IFERROR(IF(E988=E987,0,(HLOOKUP(D988,Ingreso!$AN$10:$AT$260,VLOOKUP(A988,Ingreso!$AL$11:$AM$260,2,FALSE)))/24),0))</f>
        <v/>
      </c>
      <c r="K988" s="65" t="str">
        <f>IF(IFERROR(IF(E988=E987,0,(HLOOKUP(C988,Ingreso!$AW$10:$BC$260,VLOOKUP(A988,Ingreso!$AL$11:$AM$260,2,FALSE)))/24),0)=0,"",IFERROR(IF(E988=E987,0,(HLOOKUP(C988,Ingreso!$AW$10:$BC$260,VLOOKUP(A988,Ingreso!$AL$11:$AM$260,2,FALSE)))/24),0))</f>
        <v/>
      </c>
      <c r="L988" s="63">
        <f t="shared" si="30"/>
        <v>0</v>
      </c>
      <c r="M988" s="63" t="str">
        <f>IF(IFERROR(IF(C988=C986,0,IF(E988=E987,0,IF(C988=$R$2,HLOOKUP($R$2,Ingreso!$AW$10:$BC$260,VLOOKUP(A988,Ingreso!AL:AM,2,FALSE),FALSE)/24,""))),"")=0,"",IFERROR(IF(C988=C986,0,IF(E988=E987,0,IF(C988=$R$2,HLOOKUP($R$2,Ingreso!$AW$10:$BC$260,VLOOKUP(A988,Ingreso!AL:AM,2,FALSE),FALSE)/24,""))),""))</f>
        <v/>
      </c>
      <c r="N988" s="95" t="str">
        <f>IF(IFERROR(IF(C988=C986,0,IF(E988=E987,0,IF(C988=$R$3,HLOOKUP($R$3,Ingreso!$AW$10:$BC$260,VLOOKUP(A988,Ingreso!AL:AM,2,FALSE),FALSE)/24,""))),"")=0,"",IFERROR(IF(C988=C986,0,IF(E988=E987,0,IF(C988=$R$3,HLOOKUP($R$3,Ingreso!$AW$10:$BC$260,VLOOKUP(A988,Ingreso!AL:AM,2,FALSE),FALSE)/24,""))),""))</f>
        <v/>
      </c>
      <c r="O988" s="95" t="str">
        <f>IF(IFERROR(IF(C988=C986,0,IF(E988=E987,0,IF(C988=$R$4,HLOOKUP($R$4,Ingreso!$AW$10:$BC$260,VLOOKUP(A988,Ingreso!AL:AM,2,FALSE),FALSE)/24,""))),"")=0,"",IFERROR(IF(C988=C986,0,IF(E988=E987,0,IF(C988=$R$4,HLOOKUP($R$4,Ingreso!$AW$10:$BC$260,VLOOKUP(A988,Ingreso!AL:AM,2,FALSE),FALSE)/24,""))),""))</f>
        <v/>
      </c>
      <c r="P988" s="90"/>
      <c r="V988"/>
      <c r="W988" s="62"/>
      <c r="X988" s="62"/>
      <c r="Y988" s="62"/>
      <c r="Z988" s="62"/>
      <c r="AA988" s="62"/>
      <c r="AB988" s="62"/>
      <c r="AC988" s="62"/>
    </row>
    <row r="989" spans="1:29">
      <c r="A989" s="65" t="str">
        <f>IFERROR(VLOOKUP('Informe Kelly'!A982,Base!A:B,2,FALSE),"")</f>
        <v>16.380.050-0</v>
      </c>
      <c r="B989" s="65" t="str">
        <f>IFERROR(VLOOKUP('Informe Kelly'!A982,Base!A:G,7,FALSE),"")</f>
        <v>FLORES ARANDA MARCELO</v>
      </c>
      <c r="C989" s="69" t="str">
        <f>IF(G989=$C$4,IF('Informe Kelly'!H982='Control informe Kelly'!$A$2,TEXT(((LEFT('Informe Kelly'!E982,2)*1)+1),"dd")&amp;"."&amp;MID('Informe Kelly'!E982,4,2)&amp;"."&amp;RIGHT('Informe Kelly'!E982,4),'Informe Kelly'!E982),'Informe Kelly'!E982)</f>
        <v>12.04.2011</v>
      </c>
      <c r="D989" s="69" t="str">
        <f>IF('Informe Kelly'!E982="","",'Informe Kelly'!E982)</f>
        <v>12.04.2011</v>
      </c>
      <c r="E989" s="72">
        <f t="shared" si="31"/>
        <v>503</v>
      </c>
      <c r="F989" s="72" t="str">
        <f>IFERROR(HLOOKUP(C989,Ingreso!$Q$8:$AD$9,2,FALSE),"v")</f>
        <v>Martes</v>
      </c>
      <c r="G989" s="65" t="str">
        <f>IFERROR(VLOOKUP(A989,Ingreso!K:P,6,FALSE),"no esta ingresado")</f>
        <v>Turno B</v>
      </c>
      <c r="H989" s="65" t="str">
        <f>IFERROR(IF('Informe Kelly'!H982=$A$2,'Informe Kelly'!F982,""),0)</f>
        <v/>
      </c>
      <c r="I989" s="65">
        <f>IFERROR(IF('Informe Kelly'!H982=$A$3,'Informe Kelly'!F982,""),0)</f>
        <v>0.94627314814814811</v>
      </c>
      <c r="J989" s="65" t="str">
        <f>IF(IFERROR(IF(E989=E988,0,(HLOOKUP(D989,Ingreso!$AN$10:$AT$260,VLOOKUP(A989,Ingreso!$AL$11:$AM$260,2,FALSE)))/24),0)=0,"",IFERROR(IF(E989=E988,0,(HLOOKUP(D989,Ingreso!$AN$10:$AT$260,VLOOKUP(A989,Ingreso!$AL$11:$AM$260,2,FALSE)))/24),0))</f>
        <v/>
      </c>
      <c r="K989" s="65" t="str">
        <f>IF(IFERROR(IF(E989=E988,0,(HLOOKUP(C989,Ingreso!$AW$10:$BC$260,VLOOKUP(A989,Ingreso!$AL$11:$AM$260,2,FALSE)))/24),0)=0,"",IFERROR(IF(E989=E988,0,(HLOOKUP(C989,Ingreso!$AW$10:$BC$260,VLOOKUP(A989,Ingreso!$AL$11:$AM$260,2,FALSE)))/24),0))</f>
        <v/>
      </c>
      <c r="L989" s="63">
        <f t="shared" si="30"/>
        <v>0.3125</v>
      </c>
      <c r="M989" s="63" t="str">
        <f>IF(IFERROR(IF(C989=C987,0,IF(E989=E988,0,IF(C989=$R$2,HLOOKUP($R$2,Ingreso!$AW$10:$BC$260,VLOOKUP(A989,Ingreso!AL:AM,2,FALSE),FALSE)/24,""))),"")=0,"",IFERROR(IF(C989=C987,0,IF(E989=E988,0,IF(C989=$R$2,HLOOKUP($R$2,Ingreso!$AW$10:$BC$260,VLOOKUP(A989,Ingreso!AL:AM,2,FALSE),FALSE)/24,""))),""))</f>
        <v/>
      </c>
      <c r="N989" s="95" t="str">
        <f>IF(IFERROR(IF(C989=C987,0,IF(E989=E988,0,IF(C989=$R$3,HLOOKUP($R$3,Ingreso!$AW$10:$BC$260,VLOOKUP(A989,Ingreso!AL:AM,2,FALSE),FALSE)/24,""))),"")=0,"",IFERROR(IF(C989=C987,0,IF(E989=E988,0,IF(C989=$R$3,HLOOKUP($R$3,Ingreso!$AW$10:$BC$260,VLOOKUP(A989,Ingreso!AL:AM,2,FALSE),FALSE)/24,""))),""))</f>
        <v/>
      </c>
      <c r="O989" s="95" t="str">
        <f>IF(IFERROR(IF(C989=C987,0,IF(E989=E988,0,IF(C989=$R$4,HLOOKUP($R$4,Ingreso!$AW$10:$BC$260,VLOOKUP(A989,Ingreso!AL:AM,2,FALSE),FALSE)/24,""))),"")=0,"",IFERROR(IF(C989=C987,0,IF(E989=E988,0,IF(C989=$R$4,HLOOKUP($R$4,Ingreso!$AW$10:$BC$260,VLOOKUP(A989,Ingreso!AL:AM,2,FALSE),FALSE)/24,""))),""))</f>
        <v/>
      </c>
      <c r="P989" s="90"/>
      <c r="V989"/>
      <c r="W989" s="62"/>
      <c r="X989" s="62"/>
      <c r="Y989" s="62"/>
      <c r="Z989" s="62"/>
      <c r="AA989" s="62"/>
      <c r="AB989" s="62"/>
      <c r="AC989" s="62"/>
    </row>
    <row r="990" spans="1:29">
      <c r="A990" s="65" t="str">
        <f>IFERROR(VLOOKUP('Informe Kelly'!A983,Base!A:B,2,FALSE),"")</f>
        <v>16.380.050-0</v>
      </c>
      <c r="B990" s="65" t="str">
        <f>IFERROR(VLOOKUP('Informe Kelly'!A983,Base!A:G,7,FALSE),"")</f>
        <v>FLORES ARANDA MARCELO</v>
      </c>
      <c r="C990" s="69" t="str">
        <f>IF(G990=$C$4,IF('Informe Kelly'!H983='Control informe Kelly'!$A$2,TEXT(((LEFT('Informe Kelly'!E983,2)*1)+1),"dd")&amp;"."&amp;MID('Informe Kelly'!E983,4,2)&amp;"."&amp;RIGHT('Informe Kelly'!E983,4),'Informe Kelly'!E983),'Informe Kelly'!E983)</f>
        <v>12.04.2011</v>
      </c>
      <c r="D990" s="69" t="str">
        <f>IF('Informe Kelly'!E983="","",'Informe Kelly'!E983)</f>
        <v>12.04.2011</v>
      </c>
      <c r="E990" s="72">
        <f t="shared" si="31"/>
        <v>503</v>
      </c>
      <c r="F990" s="72" t="str">
        <f>IFERROR(HLOOKUP(C990,Ingreso!$Q$8:$AD$9,2,FALSE),"v")</f>
        <v>Martes</v>
      </c>
      <c r="G990" s="65" t="str">
        <f>IFERROR(VLOOKUP(A990,Ingreso!K:P,6,FALSE),"no esta ingresado")</f>
        <v>Turno B</v>
      </c>
      <c r="H990" s="65">
        <f>IFERROR(IF('Informe Kelly'!H983=$A$2,'Informe Kelly'!F983,""),0)</f>
        <v>0.6144560185185185</v>
      </c>
      <c r="I990" s="65" t="str">
        <f>IFERROR(IF('Informe Kelly'!H983=$A$3,'Informe Kelly'!F983,""),0)</f>
        <v/>
      </c>
      <c r="J990" s="65" t="str">
        <f>IF(IFERROR(IF(E990=E989,0,(HLOOKUP(D990,Ingreso!$AN$10:$AT$260,VLOOKUP(A990,Ingreso!$AL$11:$AM$260,2,FALSE)))/24),0)=0,"",IFERROR(IF(E990=E989,0,(HLOOKUP(D990,Ingreso!$AN$10:$AT$260,VLOOKUP(A990,Ingreso!$AL$11:$AM$260,2,FALSE)))/24),0))</f>
        <v/>
      </c>
      <c r="K990" s="65" t="str">
        <f>IF(IFERROR(IF(E990=E989,0,(HLOOKUP(C990,Ingreso!$AW$10:$BC$260,VLOOKUP(A990,Ingreso!$AL$11:$AM$260,2,FALSE)))/24),0)=0,"",IFERROR(IF(E990=E989,0,(HLOOKUP(C990,Ingreso!$AW$10:$BC$260,VLOOKUP(A990,Ingreso!$AL$11:$AM$260,2,FALSE)))/24),0))</f>
        <v/>
      </c>
      <c r="L990" s="63">
        <f t="shared" si="30"/>
        <v>0</v>
      </c>
      <c r="M990" s="63" t="str">
        <f>IF(IFERROR(IF(C990=C988,0,IF(E990=E989,0,IF(C990=$R$2,HLOOKUP($R$2,Ingreso!$AW$10:$BC$260,VLOOKUP(A990,Ingreso!AL:AM,2,FALSE),FALSE)/24,""))),"")=0,"",IFERROR(IF(C990=C988,0,IF(E990=E989,0,IF(C990=$R$2,HLOOKUP($R$2,Ingreso!$AW$10:$BC$260,VLOOKUP(A990,Ingreso!AL:AM,2,FALSE),FALSE)/24,""))),""))</f>
        <v/>
      </c>
      <c r="N990" s="95" t="str">
        <f>IF(IFERROR(IF(C990=C988,0,IF(E990=E989,0,IF(C990=$R$3,HLOOKUP($R$3,Ingreso!$AW$10:$BC$260,VLOOKUP(A990,Ingreso!AL:AM,2,FALSE),FALSE)/24,""))),"")=0,"",IFERROR(IF(C990=C988,0,IF(E990=E989,0,IF(C990=$R$3,HLOOKUP($R$3,Ingreso!$AW$10:$BC$260,VLOOKUP(A990,Ingreso!AL:AM,2,FALSE),FALSE)/24,""))),""))</f>
        <v/>
      </c>
      <c r="O990" s="95" t="str">
        <f>IF(IFERROR(IF(C990=C988,0,IF(E990=E989,0,IF(C990=$R$4,HLOOKUP($R$4,Ingreso!$AW$10:$BC$260,VLOOKUP(A990,Ingreso!AL:AM,2,FALSE),FALSE)/24,""))),"")=0,"",IFERROR(IF(C990=C988,0,IF(E990=E989,0,IF(C990=$R$4,HLOOKUP($R$4,Ingreso!$AW$10:$BC$260,VLOOKUP(A990,Ingreso!AL:AM,2,FALSE),FALSE)/24,""))),""))</f>
        <v/>
      </c>
      <c r="P990" s="90"/>
      <c r="V990"/>
      <c r="W990" s="62"/>
      <c r="X990" s="62"/>
      <c r="Y990" s="62"/>
      <c r="Z990" s="62"/>
      <c r="AA990" s="62"/>
      <c r="AB990" s="62"/>
      <c r="AC990" s="62"/>
    </row>
    <row r="991" spans="1:29">
      <c r="A991" s="65" t="str">
        <f>IFERROR(VLOOKUP('Informe Kelly'!A984,Base!A:B,2,FALSE),"")</f>
        <v>16.380.050-0</v>
      </c>
      <c r="B991" s="65" t="str">
        <f>IFERROR(VLOOKUP('Informe Kelly'!A984,Base!A:G,7,FALSE),"")</f>
        <v>FLORES ARANDA MARCELO</v>
      </c>
      <c r="C991" s="69" t="str">
        <f>IF(G991=$C$4,IF('Informe Kelly'!H984='Control informe Kelly'!$A$2,TEXT(((LEFT('Informe Kelly'!E984,2)*1)+1),"dd")&amp;"."&amp;MID('Informe Kelly'!E984,4,2)&amp;"."&amp;RIGHT('Informe Kelly'!E984,4),'Informe Kelly'!E984),'Informe Kelly'!E984)</f>
        <v>13.04.2011</v>
      </c>
      <c r="D991" s="69" t="str">
        <f>IF('Informe Kelly'!E984="","",'Informe Kelly'!E984)</f>
        <v>13.04.2011</v>
      </c>
      <c r="E991" s="72">
        <f t="shared" si="31"/>
        <v>504</v>
      </c>
      <c r="F991" s="72" t="str">
        <f>IFERROR(HLOOKUP(C991,Ingreso!$Q$8:$AD$9,2,FALSE),"v")</f>
        <v>Miércoles</v>
      </c>
      <c r="G991" s="65" t="str">
        <f>IFERROR(VLOOKUP(A991,Ingreso!K:P,6,FALSE),"no esta ingresado")</f>
        <v>Turno B</v>
      </c>
      <c r="H991" s="65" t="str">
        <f>IFERROR(IF('Informe Kelly'!H984=$A$2,'Informe Kelly'!F984,""),0)</f>
        <v/>
      </c>
      <c r="I991" s="65">
        <f>IFERROR(IF('Informe Kelly'!H984=$A$3,'Informe Kelly'!F984,""),0)</f>
        <v>0.94113425925925931</v>
      </c>
      <c r="J991" s="65" t="str">
        <f>IF(IFERROR(IF(E991=E990,0,(HLOOKUP(D991,Ingreso!$AN$10:$AT$260,VLOOKUP(A991,Ingreso!$AL$11:$AM$260,2,FALSE)))/24),0)=0,"",IFERROR(IF(E991=E990,0,(HLOOKUP(D991,Ingreso!$AN$10:$AT$260,VLOOKUP(A991,Ingreso!$AL$11:$AM$260,2,FALSE)))/24),0))</f>
        <v/>
      </c>
      <c r="K991" s="65" t="str">
        <f>IF(IFERROR(IF(E991=E990,0,(HLOOKUP(C991,Ingreso!$AW$10:$BC$260,VLOOKUP(A991,Ingreso!$AL$11:$AM$260,2,FALSE)))/24),0)=0,"",IFERROR(IF(E991=E990,0,(HLOOKUP(C991,Ingreso!$AW$10:$BC$260,VLOOKUP(A991,Ingreso!$AL$11:$AM$260,2,FALSE)))/24),0))</f>
        <v/>
      </c>
      <c r="L991" s="63">
        <f t="shared" si="30"/>
        <v>0.3125</v>
      </c>
      <c r="M991" s="63" t="str">
        <f>IF(IFERROR(IF(C991=C989,0,IF(E991=E990,0,IF(C991=$R$2,HLOOKUP($R$2,Ingreso!$AW$10:$BC$260,VLOOKUP(A991,Ingreso!AL:AM,2,FALSE),FALSE)/24,""))),"")=0,"",IFERROR(IF(C991=C989,0,IF(E991=E990,0,IF(C991=$R$2,HLOOKUP($R$2,Ingreso!$AW$10:$BC$260,VLOOKUP(A991,Ingreso!AL:AM,2,FALSE),FALSE)/24,""))),""))</f>
        <v/>
      </c>
      <c r="N991" s="95" t="str">
        <f>IF(IFERROR(IF(C991=C989,0,IF(E991=E990,0,IF(C991=$R$3,HLOOKUP($R$3,Ingreso!$AW$10:$BC$260,VLOOKUP(A991,Ingreso!AL:AM,2,FALSE),FALSE)/24,""))),"")=0,"",IFERROR(IF(C991=C989,0,IF(E991=E990,0,IF(C991=$R$3,HLOOKUP($R$3,Ingreso!$AW$10:$BC$260,VLOOKUP(A991,Ingreso!AL:AM,2,FALSE),FALSE)/24,""))),""))</f>
        <v/>
      </c>
      <c r="O991" s="95" t="str">
        <f>IF(IFERROR(IF(C991=C989,0,IF(E991=E990,0,IF(C991=$R$4,HLOOKUP($R$4,Ingreso!$AW$10:$BC$260,VLOOKUP(A991,Ingreso!AL:AM,2,FALSE),FALSE)/24,""))),"")=0,"",IFERROR(IF(C991=C989,0,IF(E991=E990,0,IF(C991=$R$4,HLOOKUP($R$4,Ingreso!$AW$10:$BC$260,VLOOKUP(A991,Ingreso!AL:AM,2,FALSE),FALSE)/24,""))),""))</f>
        <v/>
      </c>
      <c r="P991" s="90"/>
      <c r="V991"/>
      <c r="W991" s="62"/>
      <c r="X991" s="62"/>
      <c r="Y991" s="62"/>
      <c r="Z991" s="62"/>
      <c r="AA991" s="62"/>
      <c r="AB991" s="62"/>
      <c r="AC991" s="62"/>
    </row>
    <row r="992" spans="1:29">
      <c r="A992" s="65" t="str">
        <f>IFERROR(VLOOKUP('Informe Kelly'!A985,Base!A:B,2,FALSE),"")</f>
        <v>16.380.050-0</v>
      </c>
      <c r="B992" s="65" t="str">
        <f>IFERROR(VLOOKUP('Informe Kelly'!A985,Base!A:G,7,FALSE),"")</f>
        <v>FLORES ARANDA MARCELO</v>
      </c>
      <c r="C992" s="69" t="str">
        <f>IF(G992=$C$4,IF('Informe Kelly'!H985='Control informe Kelly'!$A$2,TEXT(((LEFT('Informe Kelly'!E985,2)*1)+1),"dd")&amp;"."&amp;MID('Informe Kelly'!E985,4,2)&amp;"."&amp;RIGHT('Informe Kelly'!E985,4),'Informe Kelly'!E985),'Informe Kelly'!E985)</f>
        <v>13.04.2011</v>
      </c>
      <c r="D992" s="69" t="str">
        <f>IF('Informe Kelly'!E985="","",'Informe Kelly'!E985)</f>
        <v>13.04.2011</v>
      </c>
      <c r="E992" s="72">
        <f t="shared" si="31"/>
        <v>504</v>
      </c>
      <c r="F992" s="72" t="str">
        <f>IFERROR(HLOOKUP(C992,Ingreso!$Q$8:$AD$9,2,FALSE),"v")</f>
        <v>Miércoles</v>
      </c>
      <c r="G992" s="65" t="str">
        <f>IFERROR(VLOOKUP(A992,Ingreso!K:P,6,FALSE),"no esta ingresado")</f>
        <v>Turno B</v>
      </c>
      <c r="H992" s="65">
        <f>IFERROR(IF('Informe Kelly'!H985=$A$2,'Informe Kelly'!F985,""),0)</f>
        <v>0.61228009259259253</v>
      </c>
      <c r="I992" s="65" t="str">
        <f>IFERROR(IF('Informe Kelly'!H985=$A$3,'Informe Kelly'!F985,""),0)</f>
        <v/>
      </c>
      <c r="J992" s="65" t="str">
        <f>IF(IFERROR(IF(E992=E991,0,(HLOOKUP(D992,Ingreso!$AN$10:$AT$260,VLOOKUP(A992,Ingreso!$AL$11:$AM$260,2,FALSE)))/24),0)=0,"",IFERROR(IF(E992=E991,0,(HLOOKUP(D992,Ingreso!$AN$10:$AT$260,VLOOKUP(A992,Ingreso!$AL$11:$AM$260,2,FALSE)))/24),0))</f>
        <v/>
      </c>
      <c r="K992" s="65" t="str">
        <f>IF(IFERROR(IF(E992=E991,0,(HLOOKUP(C992,Ingreso!$AW$10:$BC$260,VLOOKUP(A992,Ingreso!$AL$11:$AM$260,2,FALSE)))/24),0)=0,"",IFERROR(IF(E992=E991,0,(HLOOKUP(C992,Ingreso!$AW$10:$BC$260,VLOOKUP(A992,Ingreso!$AL$11:$AM$260,2,FALSE)))/24),0))</f>
        <v/>
      </c>
      <c r="L992" s="63">
        <f t="shared" si="30"/>
        <v>0</v>
      </c>
      <c r="M992" s="63" t="str">
        <f>IF(IFERROR(IF(C992=C990,0,IF(E992=E991,0,IF(C992=$R$2,HLOOKUP($R$2,Ingreso!$AW$10:$BC$260,VLOOKUP(A992,Ingreso!AL:AM,2,FALSE),FALSE)/24,""))),"")=0,"",IFERROR(IF(C992=C990,0,IF(E992=E991,0,IF(C992=$R$2,HLOOKUP($R$2,Ingreso!$AW$10:$BC$260,VLOOKUP(A992,Ingreso!AL:AM,2,FALSE),FALSE)/24,""))),""))</f>
        <v/>
      </c>
      <c r="N992" s="95" t="str">
        <f>IF(IFERROR(IF(C992=C990,0,IF(E992=E991,0,IF(C992=$R$3,HLOOKUP($R$3,Ingreso!$AW$10:$BC$260,VLOOKUP(A992,Ingreso!AL:AM,2,FALSE),FALSE)/24,""))),"")=0,"",IFERROR(IF(C992=C990,0,IF(E992=E991,0,IF(C992=$R$3,HLOOKUP($R$3,Ingreso!$AW$10:$BC$260,VLOOKUP(A992,Ingreso!AL:AM,2,FALSE),FALSE)/24,""))),""))</f>
        <v/>
      </c>
      <c r="O992" s="95" t="str">
        <f>IF(IFERROR(IF(C992=C990,0,IF(E992=E991,0,IF(C992=$R$4,HLOOKUP($R$4,Ingreso!$AW$10:$BC$260,VLOOKUP(A992,Ingreso!AL:AM,2,FALSE),FALSE)/24,""))),"")=0,"",IFERROR(IF(C992=C990,0,IF(E992=E991,0,IF(C992=$R$4,HLOOKUP($R$4,Ingreso!$AW$10:$BC$260,VLOOKUP(A992,Ingreso!AL:AM,2,FALSE),FALSE)/24,""))),""))</f>
        <v/>
      </c>
      <c r="P992" s="90"/>
      <c r="V992"/>
      <c r="W992" s="62"/>
      <c r="X992" s="62"/>
      <c r="Y992" s="62"/>
      <c r="Z992" s="62"/>
      <c r="AA992" s="62"/>
      <c r="AB992" s="62"/>
      <c r="AC992" s="62"/>
    </row>
    <row r="993" spans="1:29">
      <c r="A993" s="65" t="str">
        <f>IFERROR(VLOOKUP('Informe Kelly'!A986,Base!A:B,2,FALSE),"")</f>
        <v>16.380.050-0</v>
      </c>
      <c r="B993" s="65" t="str">
        <f>IFERROR(VLOOKUP('Informe Kelly'!A986,Base!A:G,7,FALSE),"")</f>
        <v>FLORES ARANDA MARCELO</v>
      </c>
      <c r="C993" s="69" t="str">
        <f>IF(G993=$C$4,IF('Informe Kelly'!H986='Control informe Kelly'!$A$2,TEXT(((LEFT('Informe Kelly'!E986,2)*1)+1),"dd")&amp;"."&amp;MID('Informe Kelly'!E986,4,2)&amp;"."&amp;RIGHT('Informe Kelly'!E986,4),'Informe Kelly'!E986),'Informe Kelly'!E986)</f>
        <v>14.04.2011</v>
      </c>
      <c r="D993" s="69" t="str">
        <f>IF('Informe Kelly'!E986="","",'Informe Kelly'!E986)</f>
        <v>14.04.2011</v>
      </c>
      <c r="E993" s="72">
        <f t="shared" si="31"/>
        <v>505</v>
      </c>
      <c r="F993" s="72" t="str">
        <f>IFERROR(HLOOKUP(C993,Ingreso!$Q$8:$AD$9,2,FALSE),"v")</f>
        <v>Jueves</v>
      </c>
      <c r="G993" s="65" t="str">
        <f>IFERROR(VLOOKUP(A993,Ingreso!K:P,6,FALSE),"no esta ingresado")</f>
        <v>Turno B</v>
      </c>
      <c r="H993" s="65" t="str">
        <f>IFERROR(IF('Informe Kelly'!H986=$A$2,'Informe Kelly'!F986,""),0)</f>
        <v/>
      </c>
      <c r="I993" s="65">
        <f>IFERROR(IF('Informe Kelly'!H986=$A$3,'Informe Kelly'!F986,""),0)</f>
        <v>0.94459490740740737</v>
      </c>
      <c r="J993" s="65" t="str">
        <f>IF(IFERROR(IF(E993=E992,0,(HLOOKUP(D993,Ingreso!$AN$10:$AT$260,VLOOKUP(A993,Ingreso!$AL$11:$AM$260,2,FALSE)))/24),0)=0,"",IFERROR(IF(E993=E992,0,(HLOOKUP(D993,Ingreso!$AN$10:$AT$260,VLOOKUP(A993,Ingreso!$AL$11:$AM$260,2,FALSE)))/24),0))</f>
        <v/>
      </c>
      <c r="K993" s="65" t="str">
        <f>IF(IFERROR(IF(E993=E992,0,(HLOOKUP(C993,Ingreso!$AW$10:$BC$260,VLOOKUP(A993,Ingreso!$AL$11:$AM$260,2,FALSE)))/24),0)=0,"",IFERROR(IF(E993=E992,0,(HLOOKUP(C993,Ingreso!$AW$10:$BC$260,VLOOKUP(A993,Ingreso!$AL$11:$AM$260,2,FALSE)))/24),0))</f>
        <v/>
      </c>
      <c r="L993" s="63">
        <f t="shared" si="30"/>
        <v>0.3125</v>
      </c>
      <c r="M993" s="63" t="str">
        <f>IF(IFERROR(IF(C993=C991,0,IF(E993=E992,0,IF(C993=$R$2,HLOOKUP($R$2,Ingreso!$AW$10:$BC$260,VLOOKUP(A993,Ingreso!AL:AM,2,FALSE),FALSE)/24,""))),"")=0,"",IFERROR(IF(C993=C991,0,IF(E993=E992,0,IF(C993=$R$2,HLOOKUP($R$2,Ingreso!$AW$10:$BC$260,VLOOKUP(A993,Ingreso!AL:AM,2,FALSE),FALSE)/24,""))),""))</f>
        <v/>
      </c>
      <c r="N993" s="95" t="str">
        <f>IF(IFERROR(IF(C993=C991,0,IF(E993=E992,0,IF(C993=$R$3,HLOOKUP($R$3,Ingreso!$AW$10:$BC$260,VLOOKUP(A993,Ingreso!AL:AM,2,FALSE),FALSE)/24,""))),"")=0,"",IFERROR(IF(C993=C991,0,IF(E993=E992,0,IF(C993=$R$3,HLOOKUP($R$3,Ingreso!$AW$10:$BC$260,VLOOKUP(A993,Ingreso!AL:AM,2,FALSE),FALSE)/24,""))),""))</f>
        <v/>
      </c>
      <c r="O993" s="95" t="str">
        <f>IF(IFERROR(IF(C993=C991,0,IF(E993=E992,0,IF(C993=$R$4,HLOOKUP($R$4,Ingreso!$AW$10:$BC$260,VLOOKUP(A993,Ingreso!AL:AM,2,FALSE),FALSE)/24,""))),"")=0,"",IFERROR(IF(C993=C991,0,IF(E993=E992,0,IF(C993=$R$4,HLOOKUP($R$4,Ingreso!$AW$10:$BC$260,VLOOKUP(A993,Ingreso!AL:AM,2,FALSE),FALSE)/24,""))),""))</f>
        <v/>
      </c>
      <c r="P993" s="90"/>
      <c r="V993"/>
      <c r="W993" s="62"/>
      <c r="X993" s="62"/>
      <c r="Y993" s="62"/>
      <c r="Z993" s="62"/>
      <c r="AA993" s="62"/>
      <c r="AB993" s="62"/>
      <c r="AC993" s="62"/>
    </row>
    <row r="994" spans="1:29">
      <c r="A994" s="65" t="str">
        <f>IFERROR(VLOOKUP('Informe Kelly'!A987,Base!A:B,2,FALSE),"")</f>
        <v>16.380.050-0</v>
      </c>
      <c r="B994" s="65" t="str">
        <f>IFERROR(VLOOKUP('Informe Kelly'!A987,Base!A:G,7,FALSE),"")</f>
        <v>FLORES ARANDA MARCELO</v>
      </c>
      <c r="C994" s="69" t="str">
        <f>IF(G994=$C$4,IF('Informe Kelly'!H987='Control informe Kelly'!$A$2,TEXT(((LEFT('Informe Kelly'!E987,2)*1)+1),"dd")&amp;"."&amp;MID('Informe Kelly'!E987,4,2)&amp;"."&amp;RIGHT('Informe Kelly'!E987,4),'Informe Kelly'!E987),'Informe Kelly'!E987)</f>
        <v>14.04.2011</v>
      </c>
      <c r="D994" s="69" t="str">
        <f>IF('Informe Kelly'!E987="","",'Informe Kelly'!E987)</f>
        <v>14.04.2011</v>
      </c>
      <c r="E994" s="72">
        <f t="shared" si="31"/>
        <v>505</v>
      </c>
      <c r="F994" s="72" t="str">
        <f>IFERROR(HLOOKUP(C994,Ingreso!$Q$8:$AD$9,2,FALSE),"v")</f>
        <v>Jueves</v>
      </c>
      <c r="G994" s="65" t="str">
        <f>IFERROR(VLOOKUP(A994,Ingreso!K:P,6,FALSE),"no esta ingresado")</f>
        <v>Turno B</v>
      </c>
      <c r="H994" s="65">
        <f>IFERROR(IF('Informe Kelly'!H987=$A$2,'Informe Kelly'!F987,""),0)</f>
        <v>0.61744212962962963</v>
      </c>
      <c r="I994" s="65" t="str">
        <f>IFERROR(IF('Informe Kelly'!H987=$A$3,'Informe Kelly'!F987,""),0)</f>
        <v/>
      </c>
      <c r="J994" s="65" t="str">
        <f>IF(IFERROR(IF(E994=E993,0,(HLOOKUP(D994,Ingreso!$AN$10:$AT$260,VLOOKUP(A994,Ingreso!$AL$11:$AM$260,2,FALSE)))/24),0)=0,"",IFERROR(IF(E994=E993,0,(HLOOKUP(D994,Ingreso!$AN$10:$AT$260,VLOOKUP(A994,Ingreso!$AL$11:$AM$260,2,FALSE)))/24),0))</f>
        <v/>
      </c>
      <c r="K994" s="65" t="str">
        <f>IF(IFERROR(IF(E994=E993,0,(HLOOKUP(C994,Ingreso!$AW$10:$BC$260,VLOOKUP(A994,Ingreso!$AL$11:$AM$260,2,FALSE)))/24),0)=0,"",IFERROR(IF(E994=E993,0,(HLOOKUP(C994,Ingreso!$AW$10:$BC$260,VLOOKUP(A994,Ingreso!$AL$11:$AM$260,2,FALSE)))/24),0))</f>
        <v/>
      </c>
      <c r="L994" s="63">
        <f t="shared" si="30"/>
        <v>0</v>
      </c>
      <c r="M994" s="63" t="str">
        <f>IF(IFERROR(IF(C994=C992,0,IF(E994=E993,0,IF(C994=$R$2,HLOOKUP($R$2,Ingreso!$AW$10:$BC$260,VLOOKUP(A994,Ingreso!AL:AM,2,FALSE),FALSE)/24,""))),"")=0,"",IFERROR(IF(C994=C992,0,IF(E994=E993,0,IF(C994=$R$2,HLOOKUP($R$2,Ingreso!$AW$10:$BC$260,VLOOKUP(A994,Ingreso!AL:AM,2,FALSE),FALSE)/24,""))),""))</f>
        <v/>
      </c>
      <c r="N994" s="95" t="str">
        <f>IF(IFERROR(IF(C994=C992,0,IF(E994=E993,0,IF(C994=$R$3,HLOOKUP($R$3,Ingreso!$AW$10:$BC$260,VLOOKUP(A994,Ingreso!AL:AM,2,FALSE),FALSE)/24,""))),"")=0,"",IFERROR(IF(C994=C992,0,IF(E994=E993,0,IF(C994=$R$3,HLOOKUP($R$3,Ingreso!$AW$10:$BC$260,VLOOKUP(A994,Ingreso!AL:AM,2,FALSE),FALSE)/24,""))),""))</f>
        <v/>
      </c>
      <c r="O994" s="95" t="str">
        <f>IF(IFERROR(IF(C994=C992,0,IF(E994=E993,0,IF(C994=$R$4,HLOOKUP($R$4,Ingreso!$AW$10:$BC$260,VLOOKUP(A994,Ingreso!AL:AM,2,FALSE),FALSE)/24,""))),"")=0,"",IFERROR(IF(C994=C992,0,IF(E994=E993,0,IF(C994=$R$4,HLOOKUP($R$4,Ingreso!$AW$10:$BC$260,VLOOKUP(A994,Ingreso!AL:AM,2,FALSE),FALSE)/24,""))),""))</f>
        <v/>
      </c>
      <c r="P994" s="90"/>
      <c r="V994"/>
      <c r="W994" s="62"/>
      <c r="X994" s="62"/>
      <c r="Y994" s="62"/>
      <c r="Z994" s="62"/>
      <c r="AA994" s="62"/>
      <c r="AB994" s="62"/>
      <c r="AC994" s="62"/>
    </row>
    <row r="995" spans="1:29">
      <c r="A995" s="65" t="str">
        <f>IFERROR(VLOOKUP('Informe Kelly'!A988,Base!A:B,2,FALSE),"")</f>
        <v>16.380.050-0</v>
      </c>
      <c r="B995" s="65" t="str">
        <f>IFERROR(VLOOKUP('Informe Kelly'!A988,Base!A:G,7,FALSE),"")</f>
        <v>FLORES ARANDA MARCELO</v>
      </c>
      <c r="C995" s="69" t="str">
        <f>IF(G995=$C$4,IF('Informe Kelly'!H988='Control informe Kelly'!$A$2,TEXT(((LEFT('Informe Kelly'!E988,2)*1)+1),"dd")&amp;"."&amp;MID('Informe Kelly'!E988,4,2)&amp;"."&amp;RIGHT('Informe Kelly'!E988,4),'Informe Kelly'!E988),'Informe Kelly'!E988)</f>
        <v>15.04.2011</v>
      </c>
      <c r="D995" s="69" t="str">
        <f>IF('Informe Kelly'!E988="","",'Informe Kelly'!E988)</f>
        <v>15.04.2011</v>
      </c>
      <c r="E995" s="72">
        <f t="shared" si="31"/>
        <v>506</v>
      </c>
      <c r="F995" s="72" t="str">
        <f>IFERROR(HLOOKUP(C995,Ingreso!$Q$8:$AD$9,2,FALSE),"v")</f>
        <v>Viernes</v>
      </c>
      <c r="G995" s="65" t="str">
        <f>IFERROR(VLOOKUP(A995,Ingreso!K:P,6,FALSE),"no esta ingresado")</f>
        <v>Turno B</v>
      </c>
      <c r="H995" s="65" t="str">
        <f>IFERROR(IF('Informe Kelly'!H988=$A$2,'Informe Kelly'!F988,""),0)</f>
        <v/>
      </c>
      <c r="I995" s="65">
        <f>IFERROR(IF('Informe Kelly'!H988=$A$3,'Informe Kelly'!F988,""),0)</f>
        <v>0.94481481481481477</v>
      </c>
      <c r="J995" s="65" t="str">
        <f>IF(IFERROR(IF(E995=E994,0,(HLOOKUP(D995,Ingreso!$AN$10:$AT$260,VLOOKUP(A995,Ingreso!$AL$11:$AM$260,2,FALSE)))/24),0)=0,"",IFERROR(IF(E995=E994,0,(HLOOKUP(D995,Ingreso!$AN$10:$AT$260,VLOOKUP(A995,Ingreso!$AL$11:$AM$260,2,FALSE)))/24),0))</f>
        <v/>
      </c>
      <c r="K995" s="65" t="str">
        <f>IF(IFERROR(IF(E995=E994,0,(HLOOKUP(C995,Ingreso!$AW$10:$BC$260,VLOOKUP(A995,Ingreso!$AL$11:$AM$260,2,FALSE)))/24),0)=0,"",IFERROR(IF(E995=E994,0,(HLOOKUP(C995,Ingreso!$AW$10:$BC$260,VLOOKUP(A995,Ingreso!$AL$11:$AM$260,2,FALSE)))/24),0))</f>
        <v/>
      </c>
      <c r="L995" s="63">
        <f t="shared" si="30"/>
        <v>0.3125</v>
      </c>
      <c r="M995" s="63" t="str">
        <f>IF(IFERROR(IF(C995=C993,0,IF(E995=E994,0,IF(C995=$R$2,HLOOKUP($R$2,Ingreso!$AW$10:$BC$260,VLOOKUP(A995,Ingreso!AL:AM,2,FALSE),FALSE)/24,""))),"")=0,"",IFERROR(IF(C995=C993,0,IF(E995=E994,0,IF(C995=$R$2,HLOOKUP($R$2,Ingreso!$AW$10:$BC$260,VLOOKUP(A995,Ingreso!AL:AM,2,FALSE),FALSE)/24,""))),""))</f>
        <v/>
      </c>
      <c r="N995" s="95" t="str">
        <f>IF(IFERROR(IF(C995=C993,0,IF(E995=E994,0,IF(C995=$R$3,HLOOKUP($R$3,Ingreso!$AW$10:$BC$260,VLOOKUP(A995,Ingreso!AL:AM,2,FALSE),FALSE)/24,""))),"")=0,"",IFERROR(IF(C995=C993,0,IF(E995=E994,0,IF(C995=$R$3,HLOOKUP($R$3,Ingreso!$AW$10:$BC$260,VLOOKUP(A995,Ingreso!AL:AM,2,FALSE),FALSE)/24,""))),""))</f>
        <v/>
      </c>
      <c r="O995" s="95" t="str">
        <f>IF(IFERROR(IF(C995=C993,0,IF(E995=E994,0,IF(C995=$R$4,HLOOKUP($R$4,Ingreso!$AW$10:$BC$260,VLOOKUP(A995,Ingreso!AL:AM,2,FALSE),FALSE)/24,""))),"")=0,"",IFERROR(IF(C995=C993,0,IF(E995=E994,0,IF(C995=$R$4,HLOOKUP($R$4,Ingreso!$AW$10:$BC$260,VLOOKUP(A995,Ingreso!AL:AM,2,FALSE),FALSE)/24,""))),""))</f>
        <v/>
      </c>
      <c r="P995" s="90"/>
      <c r="V995"/>
      <c r="W995" s="62"/>
      <c r="X995" s="62"/>
      <c r="Y995" s="62"/>
      <c r="Z995" s="62"/>
      <c r="AA995" s="62"/>
      <c r="AB995" s="62"/>
      <c r="AC995" s="62"/>
    </row>
    <row r="996" spans="1:29">
      <c r="A996" s="65" t="str">
        <f>IFERROR(VLOOKUP('Informe Kelly'!A989,Base!A:B,2,FALSE),"")</f>
        <v>16.380.050-0</v>
      </c>
      <c r="B996" s="65" t="str">
        <f>IFERROR(VLOOKUP('Informe Kelly'!A989,Base!A:G,7,FALSE),"")</f>
        <v>FLORES ARANDA MARCELO</v>
      </c>
      <c r="C996" s="69" t="str">
        <f>IF(G996=$C$4,IF('Informe Kelly'!H989='Control informe Kelly'!$A$2,TEXT(((LEFT('Informe Kelly'!E989,2)*1)+1),"dd")&amp;"."&amp;MID('Informe Kelly'!E989,4,2)&amp;"."&amp;RIGHT('Informe Kelly'!E989,4),'Informe Kelly'!E989),'Informe Kelly'!E989)</f>
        <v>15.04.2011</v>
      </c>
      <c r="D996" s="69" t="str">
        <f>IF('Informe Kelly'!E989="","",'Informe Kelly'!E989)</f>
        <v>15.04.2011</v>
      </c>
      <c r="E996" s="72">
        <f t="shared" si="31"/>
        <v>506</v>
      </c>
      <c r="F996" s="72" t="str">
        <f>IFERROR(HLOOKUP(C996,Ingreso!$Q$8:$AD$9,2,FALSE),"v")</f>
        <v>Viernes</v>
      </c>
      <c r="G996" s="65" t="str">
        <f>IFERROR(VLOOKUP(A996,Ingreso!K:P,6,FALSE),"no esta ingresado")</f>
        <v>Turno B</v>
      </c>
      <c r="H996" s="65">
        <f>IFERROR(IF('Informe Kelly'!H989=$A$2,'Informe Kelly'!F989,""),0)</f>
        <v>0.61966435185185187</v>
      </c>
      <c r="I996" s="65" t="str">
        <f>IFERROR(IF('Informe Kelly'!H989=$A$3,'Informe Kelly'!F989,""),0)</f>
        <v/>
      </c>
      <c r="J996" s="65" t="str">
        <f>IF(IFERROR(IF(E996=E995,0,(HLOOKUP(D996,Ingreso!$AN$10:$AT$260,VLOOKUP(A996,Ingreso!$AL$11:$AM$260,2,FALSE)))/24),0)=0,"",IFERROR(IF(E996=E995,0,(HLOOKUP(D996,Ingreso!$AN$10:$AT$260,VLOOKUP(A996,Ingreso!$AL$11:$AM$260,2,FALSE)))/24),0))</f>
        <v/>
      </c>
      <c r="K996" s="65" t="str">
        <f>IF(IFERROR(IF(E996=E995,0,(HLOOKUP(C996,Ingreso!$AW$10:$BC$260,VLOOKUP(A996,Ingreso!$AL$11:$AM$260,2,FALSE)))/24),0)=0,"",IFERROR(IF(E996=E995,0,(HLOOKUP(C996,Ingreso!$AW$10:$BC$260,VLOOKUP(A996,Ingreso!$AL$11:$AM$260,2,FALSE)))/24),0))</f>
        <v/>
      </c>
      <c r="L996" s="63">
        <f t="shared" si="30"/>
        <v>0</v>
      </c>
      <c r="M996" s="63" t="str">
        <f>IF(IFERROR(IF(C996=C994,0,IF(E996=E995,0,IF(C996=$R$2,HLOOKUP($R$2,Ingreso!$AW$10:$BC$260,VLOOKUP(A996,Ingreso!AL:AM,2,FALSE),FALSE)/24,""))),"")=0,"",IFERROR(IF(C996=C994,0,IF(E996=E995,0,IF(C996=$R$2,HLOOKUP($R$2,Ingreso!$AW$10:$BC$260,VLOOKUP(A996,Ingreso!AL:AM,2,FALSE),FALSE)/24,""))),""))</f>
        <v/>
      </c>
      <c r="N996" s="95" t="str">
        <f>IF(IFERROR(IF(C996=C994,0,IF(E996=E995,0,IF(C996=$R$3,HLOOKUP($R$3,Ingreso!$AW$10:$BC$260,VLOOKUP(A996,Ingreso!AL:AM,2,FALSE),FALSE)/24,""))),"")=0,"",IFERROR(IF(C996=C994,0,IF(E996=E995,0,IF(C996=$R$3,HLOOKUP($R$3,Ingreso!$AW$10:$BC$260,VLOOKUP(A996,Ingreso!AL:AM,2,FALSE),FALSE)/24,""))),""))</f>
        <v/>
      </c>
      <c r="O996" s="95" t="str">
        <f>IF(IFERROR(IF(C996=C994,0,IF(E996=E995,0,IF(C996=$R$4,HLOOKUP($R$4,Ingreso!$AW$10:$BC$260,VLOOKUP(A996,Ingreso!AL:AM,2,FALSE),FALSE)/24,""))),"")=0,"",IFERROR(IF(C996=C994,0,IF(E996=E995,0,IF(C996=$R$4,HLOOKUP($R$4,Ingreso!$AW$10:$BC$260,VLOOKUP(A996,Ingreso!AL:AM,2,FALSE),FALSE)/24,""))),""))</f>
        <v/>
      </c>
      <c r="P996" s="90"/>
      <c r="V996"/>
      <c r="W996" s="62"/>
      <c r="X996" s="62"/>
      <c r="Y996" s="62"/>
      <c r="Z996" s="62"/>
      <c r="AA996" s="62"/>
      <c r="AB996" s="62"/>
      <c r="AC996" s="62"/>
    </row>
    <row r="997" spans="1:29">
      <c r="A997" s="65" t="str">
        <f>IFERROR(VLOOKUP('Informe Kelly'!A990,Base!A:B,2,FALSE),"")</f>
        <v>16.380.050-0</v>
      </c>
      <c r="B997" s="65" t="str">
        <f>IFERROR(VLOOKUP('Informe Kelly'!A990,Base!A:G,7,FALSE),"")</f>
        <v>FLORES ARANDA MARCELO</v>
      </c>
      <c r="C997" s="69" t="str">
        <f>IF(G997=$C$4,IF('Informe Kelly'!H990='Control informe Kelly'!$A$2,TEXT(((LEFT('Informe Kelly'!E990,2)*1)+1),"dd")&amp;"."&amp;MID('Informe Kelly'!E990,4,2)&amp;"."&amp;RIGHT('Informe Kelly'!E990,4),'Informe Kelly'!E990),'Informe Kelly'!E990)</f>
        <v>16.04.2011</v>
      </c>
      <c r="D997" s="69" t="str">
        <f>IF('Informe Kelly'!E990="","",'Informe Kelly'!E990)</f>
        <v>16.04.2011</v>
      </c>
      <c r="E997" s="72">
        <f t="shared" si="31"/>
        <v>507</v>
      </c>
      <c r="F997" s="72" t="str">
        <f>IFERROR(HLOOKUP(C997,Ingreso!$Q$8:$AD$9,2,FALSE),"v")</f>
        <v>Sábado</v>
      </c>
      <c r="G997" s="65" t="str">
        <f>IFERROR(VLOOKUP(A997,Ingreso!K:P,6,FALSE),"no esta ingresado")</f>
        <v>Turno B</v>
      </c>
      <c r="H997" s="65" t="str">
        <f>IFERROR(IF('Informe Kelly'!H990=$A$2,'Informe Kelly'!F990,""),0)</f>
        <v/>
      </c>
      <c r="I997" s="65">
        <f>IFERROR(IF('Informe Kelly'!H990=$A$3,'Informe Kelly'!F990,""),0)</f>
        <v>0.82162037037037028</v>
      </c>
      <c r="J997" s="65" t="str">
        <f>IF(IFERROR(IF(E997=E996,0,(HLOOKUP(D997,Ingreso!$AN$10:$AT$260,VLOOKUP(A997,Ingreso!$AL$11:$AM$260,2,FALSE)))/24),0)=0,"",IFERROR(IF(E997=E996,0,(HLOOKUP(D997,Ingreso!$AN$10:$AT$260,VLOOKUP(A997,Ingreso!$AL$11:$AM$260,2,FALSE)))/24),0))</f>
        <v/>
      </c>
      <c r="K997" s="65" t="str">
        <f>IF(IFERROR(IF(E997=E996,0,(HLOOKUP(C997,Ingreso!$AW$10:$BC$260,VLOOKUP(A997,Ingreso!$AL$11:$AM$260,2,FALSE)))/24),0)=0,"",IFERROR(IF(E997=E996,0,(HLOOKUP(C997,Ingreso!$AW$10:$BC$260,VLOOKUP(A997,Ingreso!$AL$11:$AM$260,2,FALSE)))/24),0))</f>
        <v/>
      </c>
      <c r="L997" s="63">
        <f t="shared" si="30"/>
        <v>0.3125</v>
      </c>
      <c r="M997" s="63" t="str">
        <f>IF(IFERROR(IF(C997=C995,0,IF(E997=E996,0,IF(C997=$R$2,HLOOKUP($R$2,Ingreso!$AW$10:$BC$260,VLOOKUP(A997,Ingreso!AL:AM,2,FALSE),FALSE)/24,""))),"")=0,"",IFERROR(IF(C997=C995,0,IF(E997=E996,0,IF(C997=$R$2,HLOOKUP($R$2,Ingreso!$AW$10:$BC$260,VLOOKUP(A997,Ingreso!AL:AM,2,FALSE),FALSE)/24,""))),""))</f>
        <v/>
      </c>
      <c r="N997" s="95" t="str">
        <f>IF(IFERROR(IF(C997=C995,0,IF(E997=E996,0,IF(C997=$R$3,HLOOKUP($R$3,Ingreso!$AW$10:$BC$260,VLOOKUP(A997,Ingreso!AL:AM,2,FALSE),FALSE)/24,""))),"")=0,"",IFERROR(IF(C997=C995,0,IF(E997=E996,0,IF(C997=$R$3,HLOOKUP($R$3,Ingreso!$AW$10:$BC$260,VLOOKUP(A997,Ingreso!AL:AM,2,FALSE),FALSE)/24,""))),""))</f>
        <v/>
      </c>
      <c r="O997" s="95" t="str">
        <f>IF(IFERROR(IF(C997=C995,0,IF(E997=E996,0,IF(C997=$R$4,HLOOKUP($R$4,Ingreso!$AW$10:$BC$260,VLOOKUP(A997,Ingreso!AL:AM,2,FALSE),FALSE)/24,""))),"")=0,"",IFERROR(IF(C997=C995,0,IF(E997=E996,0,IF(C997=$R$4,HLOOKUP($R$4,Ingreso!$AW$10:$BC$260,VLOOKUP(A997,Ingreso!AL:AM,2,FALSE),FALSE)/24,""))),""))</f>
        <v/>
      </c>
      <c r="P997" s="90"/>
      <c r="V997"/>
      <c r="W997" s="62"/>
      <c r="X997" s="62"/>
      <c r="Y997" s="62"/>
      <c r="Z997" s="62"/>
      <c r="AA997" s="62"/>
      <c r="AB997" s="62"/>
      <c r="AC997" s="62"/>
    </row>
    <row r="998" spans="1:29">
      <c r="A998" s="65" t="str">
        <f>IFERROR(VLOOKUP('Informe Kelly'!A991,Base!A:B,2,FALSE),"")</f>
        <v>16.380.050-0</v>
      </c>
      <c r="B998" s="65" t="str">
        <f>IFERROR(VLOOKUP('Informe Kelly'!A991,Base!A:G,7,FALSE),"")</f>
        <v>FLORES ARANDA MARCELO</v>
      </c>
      <c r="C998" s="69" t="str">
        <f>IF(G998=$C$4,IF('Informe Kelly'!H991='Control informe Kelly'!$A$2,TEXT(((LEFT('Informe Kelly'!E991,2)*1)+1),"dd")&amp;"."&amp;MID('Informe Kelly'!E991,4,2)&amp;"."&amp;RIGHT('Informe Kelly'!E991,4),'Informe Kelly'!E991),'Informe Kelly'!E991)</f>
        <v>16.04.2011</v>
      </c>
      <c r="D998" s="69" t="str">
        <f>IF('Informe Kelly'!E991="","",'Informe Kelly'!E991)</f>
        <v>16.04.2011</v>
      </c>
      <c r="E998" s="72">
        <f t="shared" si="31"/>
        <v>507</v>
      </c>
      <c r="F998" s="72" t="str">
        <f>IFERROR(HLOOKUP(C998,Ingreso!$Q$8:$AD$9,2,FALSE),"v")</f>
        <v>Sábado</v>
      </c>
      <c r="G998" s="65" t="str">
        <f>IFERROR(VLOOKUP(A998,Ingreso!K:P,6,FALSE),"no esta ingresado")</f>
        <v>Turno B</v>
      </c>
      <c r="H998" s="65">
        <f>IFERROR(IF('Informe Kelly'!H991=$A$2,'Informe Kelly'!F991,""),0)</f>
        <v>0.49791666666666662</v>
      </c>
      <c r="I998" s="65" t="str">
        <f>IFERROR(IF('Informe Kelly'!H991=$A$3,'Informe Kelly'!F991,""),0)</f>
        <v/>
      </c>
      <c r="J998" s="65" t="str">
        <f>IF(IFERROR(IF(E998=E997,0,(HLOOKUP(D998,Ingreso!$AN$10:$AT$260,VLOOKUP(A998,Ingreso!$AL$11:$AM$260,2,FALSE)))/24),0)=0,"",IFERROR(IF(E998=E997,0,(HLOOKUP(D998,Ingreso!$AN$10:$AT$260,VLOOKUP(A998,Ingreso!$AL$11:$AM$260,2,FALSE)))/24),0))</f>
        <v/>
      </c>
      <c r="K998" s="65" t="str">
        <f>IF(IFERROR(IF(E998=E997,0,(HLOOKUP(C998,Ingreso!$AW$10:$BC$260,VLOOKUP(A998,Ingreso!$AL$11:$AM$260,2,FALSE)))/24),0)=0,"",IFERROR(IF(E998=E997,0,(HLOOKUP(C998,Ingreso!$AW$10:$BC$260,VLOOKUP(A998,Ingreso!$AL$11:$AM$260,2,FALSE)))/24),0))</f>
        <v/>
      </c>
      <c r="L998" s="63">
        <f t="shared" si="30"/>
        <v>0</v>
      </c>
      <c r="M998" s="63" t="str">
        <f>IF(IFERROR(IF(C998=C996,0,IF(E998=E997,0,IF(C998=$R$2,HLOOKUP($R$2,Ingreso!$AW$10:$BC$260,VLOOKUP(A998,Ingreso!AL:AM,2,FALSE),FALSE)/24,""))),"")=0,"",IFERROR(IF(C998=C996,0,IF(E998=E997,0,IF(C998=$R$2,HLOOKUP($R$2,Ingreso!$AW$10:$BC$260,VLOOKUP(A998,Ingreso!AL:AM,2,FALSE),FALSE)/24,""))),""))</f>
        <v/>
      </c>
      <c r="N998" s="95" t="str">
        <f>IF(IFERROR(IF(C998=C996,0,IF(E998=E997,0,IF(C998=$R$3,HLOOKUP($R$3,Ingreso!$AW$10:$BC$260,VLOOKUP(A998,Ingreso!AL:AM,2,FALSE),FALSE)/24,""))),"")=0,"",IFERROR(IF(C998=C996,0,IF(E998=E997,0,IF(C998=$R$3,HLOOKUP($R$3,Ingreso!$AW$10:$BC$260,VLOOKUP(A998,Ingreso!AL:AM,2,FALSE),FALSE)/24,""))),""))</f>
        <v/>
      </c>
      <c r="O998" s="95" t="str">
        <f>IF(IFERROR(IF(C998=C996,0,IF(E998=E997,0,IF(C998=$R$4,HLOOKUP($R$4,Ingreso!$AW$10:$BC$260,VLOOKUP(A998,Ingreso!AL:AM,2,FALSE),FALSE)/24,""))),"")=0,"",IFERROR(IF(C998=C996,0,IF(E998=E997,0,IF(C998=$R$4,HLOOKUP($R$4,Ingreso!$AW$10:$BC$260,VLOOKUP(A998,Ingreso!AL:AM,2,FALSE),FALSE)/24,""))),""))</f>
        <v/>
      </c>
      <c r="P998" s="90"/>
      <c r="V998"/>
      <c r="W998" s="62"/>
      <c r="X998" s="62"/>
      <c r="Y998" s="62"/>
      <c r="Z998" s="62"/>
      <c r="AA998" s="62"/>
      <c r="AB998" s="62"/>
      <c r="AC998" s="62"/>
    </row>
    <row r="999" spans="1:29">
      <c r="A999" s="65" t="str">
        <f>IFERROR(VLOOKUP('Informe Kelly'!A992,Base!A:B,2,FALSE),"")</f>
        <v>16.413.939-5</v>
      </c>
      <c r="B999" s="65" t="str">
        <f>IFERROR(VLOOKUP('Informe Kelly'!A992,Base!A:G,7,FALSE),"")</f>
        <v>ESPINOZA MATURANA FABIAN</v>
      </c>
      <c r="C999" s="69" t="str">
        <f>IF(G999=$C$4,IF('Informe Kelly'!H992='Control informe Kelly'!$A$2,TEXT(((LEFT('Informe Kelly'!E992,2)*1)+1),"dd")&amp;"."&amp;MID('Informe Kelly'!E992,4,2)&amp;"."&amp;RIGHT('Informe Kelly'!E992,4),'Informe Kelly'!E992),'Informe Kelly'!E992)</f>
        <v>11.04.2011</v>
      </c>
      <c r="D999" s="69" t="str">
        <f>IF('Informe Kelly'!E992="","",'Informe Kelly'!E992)</f>
        <v>11.04.2011</v>
      </c>
      <c r="E999" s="72">
        <f t="shared" si="31"/>
        <v>508</v>
      </c>
      <c r="F999" s="72" t="str">
        <f>IFERROR(HLOOKUP(C999,Ingreso!$Q$8:$AD$9,2,FALSE),"v")</f>
        <v>Lunes</v>
      </c>
      <c r="G999" s="65" t="str">
        <f>IFERROR(VLOOKUP(A999,Ingreso!K:P,6,FALSE),"no esta ingresado")</f>
        <v>no esta ingresado</v>
      </c>
      <c r="H999" s="65" t="str">
        <f>IFERROR(IF('Informe Kelly'!H992=$A$2,'Informe Kelly'!F992,""),0)</f>
        <v/>
      </c>
      <c r="I999" s="65">
        <f>IFERROR(IF('Informe Kelly'!H992=$A$3,'Informe Kelly'!F992,""),0)</f>
        <v>0.64082175925925922</v>
      </c>
      <c r="J999" s="65" t="str">
        <f>IF(IFERROR(IF(E999=E998,0,(HLOOKUP(D999,Ingreso!$AN$10:$AT$260,VLOOKUP(A999,Ingreso!$AL$11:$AM$260,2,FALSE)))/24),0)=0,"",IFERROR(IF(E999=E998,0,(HLOOKUP(D999,Ingreso!$AN$10:$AT$260,VLOOKUP(A999,Ingreso!$AL$11:$AM$260,2,FALSE)))/24),0))</f>
        <v/>
      </c>
      <c r="K999" s="65" t="str">
        <f>IF(IFERROR(IF(E999=E998,0,(HLOOKUP(C999,Ingreso!$AW$10:$BC$260,VLOOKUP(A999,Ingreso!$AL$11:$AM$260,2,FALSE)))/24),0)=0,"",IFERROR(IF(E999=E998,0,(HLOOKUP(C999,Ingreso!$AW$10:$BC$260,VLOOKUP(A999,Ingreso!$AL$11:$AM$260,2,FALSE)))/24),0))</f>
        <v/>
      </c>
      <c r="L999" s="63" t="str">
        <f t="shared" si="30"/>
        <v/>
      </c>
      <c r="M999" s="63" t="str">
        <f>IF(IFERROR(IF(C999=C997,0,IF(E999=E998,0,IF(C999=$R$2,HLOOKUP($R$2,Ingreso!$AW$10:$BC$260,VLOOKUP(A999,Ingreso!AL:AM,2,FALSE),FALSE)/24,""))),"")=0,"",IFERROR(IF(C999=C997,0,IF(E999=E998,0,IF(C999=$R$2,HLOOKUP($R$2,Ingreso!$AW$10:$BC$260,VLOOKUP(A999,Ingreso!AL:AM,2,FALSE),FALSE)/24,""))),""))</f>
        <v/>
      </c>
      <c r="N999" s="95" t="str">
        <f>IF(IFERROR(IF(C999=C997,0,IF(E999=E998,0,IF(C999=$R$3,HLOOKUP($R$3,Ingreso!$AW$10:$BC$260,VLOOKUP(A999,Ingreso!AL:AM,2,FALSE),FALSE)/24,""))),"")=0,"",IFERROR(IF(C999=C997,0,IF(E999=E998,0,IF(C999=$R$3,HLOOKUP($R$3,Ingreso!$AW$10:$BC$260,VLOOKUP(A999,Ingreso!AL:AM,2,FALSE),FALSE)/24,""))),""))</f>
        <v/>
      </c>
      <c r="O999" s="95" t="str">
        <f>IF(IFERROR(IF(C999=C997,0,IF(E999=E998,0,IF(C999=$R$4,HLOOKUP($R$4,Ingreso!$AW$10:$BC$260,VLOOKUP(A999,Ingreso!AL:AM,2,FALSE),FALSE)/24,""))),"")=0,"",IFERROR(IF(C999=C997,0,IF(E999=E998,0,IF(C999=$R$4,HLOOKUP($R$4,Ingreso!$AW$10:$BC$260,VLOOKUP(A999,Ingreso!AL:AM,2,FALSE),FALSE)/24,""))),""))</f>
        <v/>
      </c>
      <c r="P999" s="90"/>
      <c r="V999"/>
      <c r="W999" s="62"/>
      <c r="X999" s="62"/>
      <c r="Y999" s="62"/>
      <c r="Z999" s="62"/>
      <c r="AA999" s="62"/>
      <c r="AB999" s="62"/>
      <c r="AC999" s="62"/>
    </row>
    <row r="1000" spans="1:29">
      <c r="A1000" s="65" t="str">
        <f>IFERROR(VLOOKUP('Informe Kelly'!A993,Base!A:B,2,FALSE),"")</f>
        <v>16.413.939-5</v>
      </c>
      <c r="B1000" s="65" t="str">
        <f>IFERROR(VLOOKUP('Informe Kelly'!A993,Base!A:G,7,FALSE),"")</f>
        <v>ESPINOZA MATURANA FABIAN</v>
      </c>
      <c r="C1000" s="69" t="str">
        <f>IF(G1000=$C$4,IF('Informe Kelly'!H993='Control informe Kelly'!$A$2,TEXT(((LEFT('Informe Kelly'!E993,2)*1)+1),"dd")&amp;"."&amp;MID('Informe Kelly'!E993,4,2)&amp;"."&amp;RIGHT('Informe Kelly'!E993,4),'Informe Kelly'!E993),'Informe Kelly'!E993)</f>
        <v>11.04.2011</v>
      </c>
      <c r="D1000" s="69" t="str">
        <f>IF('Informe Kelly'!E993="","",'Informe Kelly'!E993)</f>
        <v>11.04.2011</v>
      </c>
      <c r="E1000" s="72">
        <f t="shared" si="31"/>
        <v>508</v>
      </c>
      <c r="F1000" s="72" t="str">
        <f>IFERROR(HLOOKUP(C1000,Ingreso!$Q$8:$AD$9,2,FALSE),"v")</f>
        <v>Lunes</v>
      </c>
      <c r="G1000" s="65" t="str">
        <f>IFERROR(VLOOKUP(A1000,Ingreso!K:P,6,FALSE),"no esta ingresado")</f>
        <v>no esta ingresado</v>
      </c>
      <c r="H1000" s="65">
        <f>IFERROR(IF('Informe Kelly'!H993=$A$2,'Informe Kelly'!F993,""),0)</f>
        <v>0.29605324074074074</v>
      </c>
      <c r="I1000" s="65" t="str">
        <f>IFERROR(IF('Informe Kelly'!H993=$A$3,'Informe Kelly'!F993,""),0)</f>
        <v/>
      </c>
      <c r="J1000" s="65" t="str">
        <f>IF(IFERROR(IF(E1000=E999,0,(HLOOKUP(D1000,Ingreso!$AN$10:$AT$260,VLOOKUP(A1000,Ingreso!$AL$11:$AM$260,2,FALSE)))/24),0)=0,"",IFERROR(IF(E1000=E999,0,(HLOOKUP(D1000,Ingreso!$AN$10:$AT$260,VLOOKUP(A1000,Ingreso!$AL$11:$AM$260,2,FALSE)))/24),0))</f>
        <v/>
      </c>
      <c r="K1000" s="65" t="str">
        <f>IF(IFERROR(IF(E1000=E999,0,(HLOOKUP(C1000,Ingreso!$AW$10:$BC$260,VLOOKUP(A1000,Ingreso!$AL$11:$AM$260,2,FALSE)))/24),0)=0,"",IFERROR(IF(E1000=E999,0,(HLOOKUP(C1000,Ingreso!$AW$10:$BC$260,VLOOKUP(A1000,Ingreso!$AL$11:$AM$260,2,FALSE)))/24),0))</f>
        <v/>
      </c>
      <c r="L1000" s="63">
        <f t="shared" si="30"/>
        <v>0</v>
      </c>
      <c r="M1000" s="63" t="str">
        <f>IF(IFERROR(IF(C1000=C998,0,IF(E1000=E999,0,IF(C1000=$R$2,HLOOKUP($R$2,Ingreso!$AW$10:$BC$260,VLOOKUP(A1000,Ingreso!AL:AM,2,FALSE),FALSE)/24,""))),"")=0,"",IFERROR(IF(C1000=C998,0,IF(E1000=E999,0,IF(C1000=$R$2,HLOOKUP($R$2,Ingreso!$AW$10:$BC$260,VLOOKUP(A1000,Ingreso!AL:AM,2,FALSE),FALSE)/24,""))),""))</f>
        <v/>
      </c>
      <c r="N1000" s="95" t="str">
        <f>IF(IFERROR(IF(C1000=C998,0,IF(E1000=E999,0,IF(C1000=$R$3,HLOOKUP($R$3,Ingreso!$AW$10:$BC$260,VLOOKUP(A1000,Ingreso!AL:AM,2,FALSE),FALSE)/24,""))),"")=0,"",IFERROR(IF(C1000=C998,0,IF(E1000=E999,0,IF(C1000=$R$3,HLOOKUP($R$3,Ingreso!$AW$10:$BC$260,VLOOKUP(A1000,Ingreso!AL:AM,2,FALSE),FALSE)/24,""))),""))</f>
        <v/>
      </c>
      <c r="O1000" s="95" t="str">
        <f>IF(IFERROR(IF(C1000=C998,0,IF(E1000=E999,0,IF(C1000=$R$4,HLOOKUP($R$4,Ingreso!$AW$10:$BC$260,VLOOKUP(A1000,Ingreso!AL:AM,2,FALSE),FALSE)/24,""))),"")=0,"",IFERROR(IF(C1000=C998,0,IF(E1000=E999,0,IF(C1000=$R$4,HLOOKUP($R$4,Ingreso!$AW$10:$BC$260,VLOOKUP(A1000,Ingreso!AL:AM,2,FALSE),FALSE)/24,""))),""))</f>
        <v/>
      </c>
      <c r="P1000" s="90"/>
      <c r="V1000"/>
      <c r="W1000" s="62"/>
      <c r="X1000" s="62"/>
      <c r="Y1000" s="62"/>
      <c r="Z1000" s="62"/>
      <c r="AA1000" s="62"/>
      <c r="AB1000" s="62"/>
      <c r="AC1000" s="62"/>
    </row>
    <row r="1001" spans="1:29">
      <c r="A1001" s="65" t="str">
        <f>IFERROR(VLOOKUP('Informe Kelly'!A994,Base!A:B,2,FALSE),"")</f>
        <v>16.413.939-5</v>
      </c>
      <c r="B1001" s="65" t="str">
        <f>IFERROR(VLOOKUP('Informe Kelly'!A994,Base!A:G,7,FALSE),"")</f>
        <v>ESPINOZA MATURANA FABIAN</v>
      </c>
      <c r="C1001" s="69" t="str">
        <f>IF(G1001=$C$4,IF('Informe Kelly'!H994='Control informe Kelly'!$A$2,TEXT(((LEFT('Informe Kelly'!E994,2)*1)+1),"dd")&amp;"."&amp;MID('Informe Kelly'!E994,4,2)&amp;"."&amp;RIGHT('Informe Kelly'!E994,4),'Informe Kelly'!E994),'Informe Kelly'!E994)</f>
        <v>12.04.2011</v>
      </c>
      <c r="D1001" s="69" t="str">
        <f>IF('Informe Kelly'!E994="","",'Informe Kelly'!E994)</f>
        <v>12.04.2011</v>
      </c>
      <c r="E1001" s="72">
        <f t="shared" si="31"/>
        <v>509</v>
      </c>
      <c r="F1001" s="72" t="str">
        <f>IFERROR(HLOOKUP(C1001,Ingreso!$Q$8:$AD$9,2,FALSE),"v")</f>
        <v>Martes</v>
      </c>
      <c r="G1001" s="65" t="str">
        <f>IFERROR(VLOOKUP(A1001,Ingreso!K:P,6,FALSE),"no esta ingresado")</f>
        <v>no esta ingresado</v>
      </c>
      <c r="H1001" s="65" t="str">
        <f>IFERROR(IF('Informe Kelly'!H994=$A$2,'Informe Kelly'!F994,""),0)</f>
        <v/>
      </c>
      <c r="I1001" s="65">
        <f>IFERROR(IF('Informe Kelly'!H994=$A$3,'Informe Kelly'!F994,""),0)</f>
        <v>0.64013888888888892</v>
      </c>
      <c r="J1001" s="65" t="str">
        <f>IF(IFERROR(IF(E1001=E1000,0,(HLOOKUP(D1001,Ingreso!$AN$10:$AT$260,VLOOKUP(A1001,Ingreso!$AL$11:$AM$260,2,FALSE)))/24),0)=0,"",IFERROR(IF(E1001=E1000,0,(HLOOKUP(D1001,Ingreso!$AN$10:$AT$260,VLOOKUP(A1001,Ingreso!$AL$11:$AM$260,2,FALSE)))/24),0))</f>
        <v/>
      </c>
      <c r="K1001" s="65" t="str">
        <f>IF(IFERROR(IF(E1001=E1000,0,(HLOOKUP(C1001,Ingreso!$AW$10:$BC$260,VLOOKUP(A1001,Ingreso!$AL$11:$AM$260,2,FALSE)))/24),0)=0,"",IFERROR(IF(E1001=E1000,0,(HLOOKUP(C1001,Ingreso!$AW$10:$BC$260,VLOOKUP(A1001,Ingreso!$AL$11:$AM$260,2,FALSE)))/24),0))</f>
        <v/>
      </c>
      <c r="L1001" s="63" t="str">
        <f t="shared" si="30"/>
        <v/>
      </c>
      <c r="M1001" s="63" t="str">
        <f>IF(IFERROR(IF(C1001=C999,0,IF(E1001=E1000,0,IF(C1001=$R$2,HLOOKUP($R$2,Ingreso!$AW$10:$BC$260,VLOOKUP(A1001,Ingreso!AL:AM,2,FALSE),FALSE)/24,""))),"")=0,"",IFERROR(IF(C1001=C999,0,IF(E1001=E1000,0,IF(C1001=$R$2,HLOOKUP($R$2,Ingreso!$AW$10:$BC$260,VLOOKUP(A1001,Ingreso!AL:AM,2,FALSE),FALSE)/24,""))),""))</f>
        <v/>
      </c>
      <c r="N1001" s="95" t="str">
        <f>IF(IFERROR(IF(C1001=C999,0,IF(E1001=E1000,0,IF(C1001=$R$3,HLOOKUP($R$3,Ingreso!$AW$10:$BC$260,VLOOKUP(A1001,Ingreso!AL:AM,2,FALSE),FALSE)/24,""))),"")=0,"",IFERROR(IF(C1001=C999,0,IF(E1001=E1000,0,IF(C1001=$R$3,HLOOKUP($R$3,Ingreso!$AW$10:$BC$260,VLOOKUP(A1001,Ingreso!AL:AM,2,FALSE),FALSE)/24,""))),""))</f>
        <v/>
      </c>
      <c r="O1001" s="95" t="str">
        <f>IF(IFERROR(IF(C1001=C999,0,IF(E1001=E1000,0,IF(C1001=$R$4,HLOOKUP($R$4,Ingreso!$AW$10:$BC$260,VLOOKUP(A1001,Ingreso!AL:AM,2,FALSE),FALSE)/24,""))),"")=0,"",IFERROR(IF(C1001=C999,0,IF(E1001=E1000,0,IF(C1001=$R$4,HLOOKUP($R$4,Ingreso!$AW$10:$BC$260,VLOOKUP(A1001,Ingreso!AL:AM,2,FALSE),FALSE)/24,""))),""))</f>
        <v/>
      </c>
      <c r="P1001" s="90"/>
      <c r="V1001"/>
      <c r="W1001" s="62"/>
      <c r="X1001" s="62"/>
      <c r="Y1001" s="62"/>
      <c r="Z1001" s="62"/>
      <c r="AA1001" s="62"/>
      <c r="AB1001" s="62"/>
      <c r="AC1001" s="62"/>
    </row>
    <row r="1002" spans="1:29">
      <c r="A1002" s="65" t="str">
        <f>IFERROR(VLOOKUP('Informe Kelly'!A995,Base!A:B,2,FALSE),"")</f>
        <v>16.413.939-5</v>
      </c>
      <c r="B1002" s="65" t="str">
        <f>IFERROR(VLOOKUP('Informe Kelly'!A995,Base!A:G,7,FALSE),"")</f>
        <v>ESPINOZA MATURANA FABIAN</v>
      </c>
      <c r="C1002" s="69" t="str">
        <f>IF(G1002=$C$4,IF('Informe Kelly'!H995='Control informe Kelly'!$A$2,TEXT(((LEFT('Informe Kelly'!E995,2)*1)+1),"dd")&amp;"."&amp;MID('Informe Kelly'!E995,4,2)&amp;"."&amp;RIGHT('Informe Kelly'!E995,4),'Informe Kelly'!E995),'Informe Kelly'!E995)</f>
        <v>12.04.2011</v>
      </c>
      <c r="D1002" s="69" t="str">
        <f>IF('Informe Kelly'!E995="","",'Informe Kelly'!E995)</f>
        <v>12.04.2011</v>
      </c>
      <c r="E1002" s="72">
        <f t="shared" si="31"/>
        <v>509</v>
      </c>
      <c r="F1002" s="72" t="str">
        <f>IFERROR(HLOOKUP(C1002,Ingreso!$Q$8:$AD$9,2,FALSE),"v")</f>
        <v>Martes</v>
      </c>
      <c r="G1002" s="65" t="str">
        <f>IFERROR(VLOOKUP(A1002,Ingreso!K:P,6,FALSE),"no esta ingresado")</f>
        <v>no esta ingresado</v>
      </c>
      <c r="H1002" s="65">
        <f>IFERROR(IF('Informe Kelly'!H995=$A$2,'Informe Kelly'!F995,""),0)</f>
        <v>0.29548611111111112</v>
      </c>
      <c r="I1002" s="65" t="str">
        <f>IFERROR(IF('Informe Kelly'!H995=$A$3,'Informe Kelly'!F995,""),0)</f>
        <v/>
      </c>
      <c r="J1002" s="65" t="str">
        <f>IF(IFERROR(IF(E1002=E1001,0,(HLOOKUP(D1002,Ingreso!$AN$10:$AT$260,VLOOKUP(A1002,Ingreso!$AL$11:$AM$260,2,FALSE)))/24),0)=0,"",IFERROR(IF(E1002=E1001,0,(HLOOKUP(D1002,Ingreso!$AN$10:$AT$260,VLOOKUP(A1002,Ingreso!$AL$11:$AM$260,2,FALSE)))/24),0))</f>
        <v/>
      </c>
      <c r="K1002" s="65" t="str">
        <f>IF(IFERROR(IF(E1002=E1001,0,(HLOOKUP(C1002,Ingreso!$AW$10:$BC$260,VLOOKUP(A1002,Ingreso!$AL$11:$AM$260,2,FALSE)))/24),0)=0,"",IFERROR(IF(E1002=E1001,0,(HLOOKUP(C1002,Ingreso!$AW$10:$BC$260,VLOOKUP(A1002,Ingreso!$AL$11:$AM$260,2,FALSE)))/24),0))</f>
        <v/>
      </c>
      <c r="L1002" s="63">
        <f t="shared" si="30"/>
        <v>0</v>
      </c>
      <c r="M1002" s="63" t="str">
        <f>IF(IFERROR(IF(C1002=C1000,0,IF(E1002=E1001,0,IF(C1002=$R$2,HLOOKUP($R$2,Ingreso!$AW$10:$BC$260,VLOOKUP(A1002,Ingreso!AL:AM,2,FALSE),FALSE)/24,""))),"")=0,"",IFERROR(IF(C1002=C1000,0,IF(E1002=E1001,0,IF(C1002=$R$2,HLOOKUP($R$2,Ingreso!$AW$10:$BC$260,VLOOKUP(A1002,Ingreso!AL:AM,2,FALSE),FALSE)/24,""))),""))</f>
        <v/>
      </c>
      <c r="N1002" s="95" t="str">
        <f>IF(IFERROR(IF(C1002=C1000,0,IF(E1002=E1001,0,IF(C1002=$R$3,HLOOKUP($R$3,Ingreso!$AW$10:$BC$260,VLOOKUP(A1002,Ingreso!AL:AM,2,FALSE),FALSE)/24,""))),"")=0,"",IFERROR(IF(C1002=C1000,0,IF(E1002=E1001,0,IF(C1002=$R$3,HLOOKUP($R$3,Ingreso!$AW$10:$BC$260,VLOOKUP(A1002,Ingreso!AL:AM,2,FALSE),FALSE)/24,""))),""))</f>
        <v/>
      </c>
      <c r="O1002" s="95" t="str">
        <f>IF(IFERROR(IF(C1002=C1000,0,IF(E1002=E1001,0,IF(C1002=$R$4,HLOOKUP($R$4,Ingreso!$AW$10:$BC$260,VLOOKUP(A1002,Ingreso!AL:AM,2,FALSE),FALSE)/24,""))),"")=0,"",IFERROR(IF(C1002=C1000,0,IF(E1002=E1001,0,IF(C1002=$R$4,HLOOKUP($R$4,Ingreso!$AW$10:$BC$260,VLOOKUP(A1002,Ingreso!AL:AM,2,FALSE),FALSE)/24,""))),""))</f>
        <v/>
      </c>
      <c r="P1002" s="90"/>
      <c r="V1002"/>
      <c r="W1002" s="62"/>
      <c r="X1002" s="62"/>
      <c r="Y1002" s="62"/>
      <c r="Z1002" s="62"/>
      <c r="AA1002" s="62"/>
      <c r="AB1002" s="62"/>
      <c r="AC1002" s="62"/>
    </row>
    <row r="1003" spans="1:29">
      <c r="A1003" s="65" t="str">
        <f>IFERROR(VLOOKUP('Informe Kelly'!A996,Base!A:B,2,FALSE),"")</f>
        <v>16.413.939-5</v>
      </c>
      <c r="B1003" s="65" t="str">
        <f>IFERROR(VLOOKUP('Informe Kelly'!A996,Base!A:G,7,FALSE),"")</f>
        <v>ESPINOZA MATURANA FABIAN</v>
      </c>
      <c r="C1003" s="69" t="str">
        <f>IF(G1003=$C$4,IF('Informe Kelly'!H996='Control informe Kelly'!$A$2,TEXT(((LEFT('Informe Kelly'!E996,2)*1)+1),"dd")&amp;"."&amp;MID('Informe Kelly'!E996,4,2)&amp;"."&amp;RIGHT('Informe Kelly'!E996,4),'Informe Kelly'!E996),'Informe Kelly'!E996)</f>
        <v>13.04.2011</v>
      </c>
      <c r="D1003" s="69" t="str">
        <f>IF('Informe Kelly'!E996="","",'Informe Kelly'!E996)</f>
        <v>13.04.2011</v>
      </c>
      <c r="E1003" s="72">
        <f t="shared" si="31"/>
        <v>510</v>
      </c>
      <c r="F1003" s="72" t="str">
        <f>IFERROR(HLOOKUP(C1003,Ingreso!$Q$8:$AD$9,2,FALSE),"v")</f>
        <v>Miércoles</v>
      </c>
      <c r="G1003" s="65" t="str">
        <f>IFERROR(VLOOKUP(A1003,Ingreso!K:P,6,FALSE),"no esta ingresado")</f>
        <v>no esta ingresado</v>
      </c>
      <c r="H1003" s="65" t="str">
        <f>IFERROR(IF('Informe Kelly'!H996=$A$2,'Informe Kelly'!F996,""),0)</f>
        <v/>
      </c>
      <c r="I1003" s="65">
        <f>IFERROR(IF('Informe Kelly'!H996=$A$3,'Informe Kelly'!F996,""),0)</f>
        <v>0.63980324074074069</v>
      </c>
      <c r="J1003" s="65" t="str">
        <f>IF(IFERROR(IF(E1003=E1002,0,(HLOOKUP(D1003,Ingreso!$AN$10:$AT$260,VLOOKUP(A1003,Ingreso!$AL$11:$AM$260,2,FALSE)))/24),0)=0,"",IFERROR(IF(E1003=E1002,0,(HLOOKUP(D1003,Ingreso!$AN$10:$AT$260,VLOOKUP(A1003,Ingreso!$AL$11:$AM$260,2,FALSE)))/24),0))</f>
        <v/>
      </c>
      <c r="K1003" s="65" t="str">
        <f>IF(IFERROR(IF(E1003=E1002,0,(HLOOKUP(C1003,Ingreso!$AW$10:$BC$260,VLOOKUP(A1003,Ingreso!$AL$11:$AM$260,2,FALSE)))/24),0)=0,"",IFERROR(IF(E1003=E1002,0,(HLOOKUP(C1003,Ingreso!$AW$10:$BC$260,VLOOKUP(A1003,Ingreso!$AL$11:$AM$260,2,FALSE)))/24),0))</f>
        <v/>
      </c>
      <c r="L1003" s="63" t="str">
        <f t="shared" si="30"/>
        <v/>
      </c>
      <c r="M1003" s="63" t="str">
        <f>IF(IFERROR(IF(C1003=C1001,0,IF(E1003=E1002,0,IF(C1003=$R$2,HLOOKUP($R$2,Ingreso!$AW$10:$BC$260,VLOOKUP(A1003,Ingreso!AL:AM,2,FALSE),FALSE)/24,""))),"")=0,"",IFERROR(IF(C1003=C1001,0,IF(E1003=E1002,0,IF(C1003=$R$2,HLOOKUP($R$2,Ingreso!$AW$10:$BC$260,VLOOKUP(A1003,Ingreso!AL:AM,2,FALSE),FALSE)/24,""))),""))</f>
        <v/>
      </c>
      <c r="N1003" s="95" t="str">
        <f>IF(IFERROR(IF(C1003=C1001,0,IF(E1003=E1002,0,IF(C1003=$R$3,HLOOKUP($R$3,Ingreso!$AW$10:$BC$260,VLOOKUP(A1003,Ingreso!AL:AM,2,FALSE),FALSE)/24,""))),"")=0,"",IFERROR(IF(C1003=C1001,0,IF(E1003=E1002,0,IF(C1003=$R$3,HLOOKUP($R$3,Ingreso!$AW$10:$BC$260,VLOOKUP(A1003,Ingreso!AL:AM,2,FALSE),FALSE)/24,""))),""))</f>
        <v/>
      </c>
      <c r="O1003" s="95" t="str">
        <f>IF(IFERROR(IF(C1003=C1001,0,IF(E1003=E1002,0,IF(C1003=$R$4,HLOOKUP($R$4,Ingreso!$AW$10:$BC$260,VLOOKUP(A1003,Ingreso!AL:AM,2,FALSE),FALSE)/24,""))),"")=0,"",IFERROR(IF(C1003=C1001,0,IF(E1003=E1002,0,IF(C1003=$R$4,HLOOKUP($R$4,Ingreso!$AW$10:$BC$260,VLOOKUP(A1003,Ingreso!AL:AM,2,FALSE),FALSE)/24,""))),""))</f>
        <v/>
      </c>
      <c r="P1003" s="90"/>
      <c r="V1003"/>
      <c r="W1003" s="62"/>
      <c r="X1003" s="62"/>
      <c r="Y1003" s="62"/>
      <c r="Z1003" s="62"/>
      <c r="AA1003" s="62"/>
      <c r="AB1003" s="62"/>
      <c r="AC1003" s="62"/>
    </row>
    <row r="1004" spans="1:29">
      <c r="A1004" s="65" t="str">
        <f>IFERROR(VLOOKUP('Informe Kelly'!A997,Base!A:B,2,FALSE),"")</f>
        <v>16.413.939-5</v>
      </c>
      <c r="B1004" s="65" t="str">
        <f>IFERROR(VLOOKUP('Informe Kelly'!A997,Base!A:G,7,FALSE),"")</f>
        <v>ESPINOZA MATURANA FABIAN</v>
      </c>
      <c r="C1004" s="69" t="str">
        <f>IF(G1004=$C$4,IF('Informe Kelly'!H997='Control informe Kelly'!$A$2,TEXT(((LEFT('Informe Kelly'!E997,2)*1)+1),"dd")&amp;"."&amp;MID('Informe Kelly'!E997,4,2)&amp;"."&amp;RIGHT('Informe Kelly'!E997,4),'Informe Kelly'!E997),'Informe Kelly'!E997)</f>
        <v>13.04.2011</v>
      </c>
      <c r="D1004" s="69" t="str">
        <f>IF('Informe Kelly'!E997="","",'Informe Kelly'!E997)</f>
        <v>13.04.2011</v>
      </c>
      <c r="E1004" s="72">
        <f t="shared" si="31"/>
        <v>510</v>
      </c>
      <c r="F1004" s="72" t="str">
        <f>IFERROR(HLOOKUP(C1004,Ingreso!$Q$8:$AD$9,2,FALSE),"v")</f>
        <v>Miércoles</v>
      </c>
      <c r="G1004" s="65" t="str">
        <f>IFERROR(VLOOKUP(A1004,Ingreso!K:P,6,FALSE),"no esta ingresado")</f>
        <v>no esta ingresado</v>
      </c>
      <c r="H1004" s="65">
        <f>IFERROR(IF('Informe Kelly'!H997=$A$2,'Informe Kelly'!F997,""),0)</f>
        <v>0.29228009259259258</v>
      </c>
      <c r="I1004" s="65" t="str">
        <f>IFERROR(IF('Informe Kelly'!H997=$A$3,'Informe Kelly'!F997,""),0)</f>
        <v/>
      </c>
      <c r="J1004" s="65" t="str">
        <f>IF(IFERROR(IF(E1004=E1003,0,(HLOOKUP(D1004,Ingreso!$AN$10:$AT$260,VLOOKUP(A1004,Ingreso!$AL$11:$AM$260,2,FALSE)))/24),0)=0,"",IFERROR(IF(E1004=E1003,0,(HLOOKUP(D1004,Ingreso!$AN$10:$AT$260,VLOOKUP(A1004,Ingreso!$AL$11:$AM$260,2,FALSE)))/24),0))</f>
        <v/>
      </c>
      <c r="K1004" s="65" t="str">
        <f>IF(IFERROR(IF(E1004=E1003,0,(HLOOKUP(C1004,Ingreso!$AW$10:$BC$260,VLOOKUP(A1004,Ingreso!$AL$11:$AM$260,2,FALSE)))/24),0)=0,"",IFERROR(IF(E1004=E1003,0,(HLOOKUP(C1004,Ingreso!$AW$10:$BC$260,VLOOKUP(A1004,Ingreso!$AL$11:$AM$260,2,FALSE)))/24),0))</f>
        <v/>
      </c>
      <c r="L1004" s="63">
        <f t="shared" si="30"/>
        <v>0</v>
      </c>
      <c r="M1004" s="63" t="str">
        <f>IF(IFERROR(IF(C1004=C1002,0,IF(E1004=E1003,0,IF(C1004=$R$2,HLOOKUP($R$2,Ingreso!$AW$10:$BC$260,VLOOKUP(A1004,Ingreso!AL:AM,2,FALSE),FALSE)/24,""))),"")=0,"",IFERROR(IF(C1004=C1002,0,IF(E1004=E1003,0,IF(C1004=$R$2,HLOOKUP($R$2,Ingreso!$AW$10:$BC$260,VLOOKUP(A1004,Ingreso!AL:AM,2,FALSE),FALSE)/24,""))),""))</f>
        <v/>
      </c>
      <c r="N1004" s="95" t="str">
        <f>IF(IFERROR(IF(C1004=C1002,0,IF(E1004=E1003,0,IF(C1004=$R$3,HLOOKUP($R$3,Ingreso!$AW$10:$BC$260,VLOOKUP(A1004,Ingreso!AL:AM,2,FALSE),FALSE)/24,""))),"")=0,"",IFERROR(IF(C1004=C1002,0,IF(E1004=E1003,0,IF(C1004=$R$3,HLOOKUP($R$3,Ingreso!$AW$10:$BC$260,VLOOKUP(A1004,Ingreso!AL:AM,2,FALSE),FALSE)/24,""))),""))</f>
        <v/>
      </c>
      <c r="O1004" s="95" t="str">
        <f>IF(IFERROR(IF(C1004=C1002,0,IF(E1004=E1003,0,IF(C1004=$R$4,HLOOKUP($R$4,Ingreso!$AW$10:$BC$260,VLOOKUP(A1004,Ingreso!AL:AM,2,FALSE),FALSE)/24,""))),"")=0,"",IFERROR(IF(C1004=C1002,0,IF(E1004=E1003,0,IF(C1004=$R$4,HLOOKUP($R$4,Ingreso!$AW$10:$BC$260,VLOOKUP(A1004,Ingreso!AL:AM,2,FALSE),FALSE)/24,""))),""))</f>
        <v/>
      </c>
      <c r="P1004" s="90"/>
      <c r="V1004"/>
      <c r="W1004" s="62"/>
      <c r="X1004" s="62"/>
      <c r="Y1004" s="62"/>
      <c r="Z1004" s="62"/>
      <c r="AA1004" s="62"/>
      <c r="AB1004" s="62"/>
      <c r="AC1004" s="62"/>
    </row>
    <row r="1005" spans="1:29">
      <c r="A1005" s="65" t="str">
        <f>IFERROR(VLOOKUP('Informe Kelly'!A998,Base!A:B,2,FALSE),"")</f>
        <v>16.413.939-5</v>
      </c>
      <c r="B1005" s="65" t="str">
        <f>IFERROR(VLOOKUP('Informe Kelly'!A998,Base!A:G,7,FALSE),"")</f>
        <v>ESPINOZA MATURANA FABIAN</v>
      </c>
      <c r="C1005" s="69" t="str">
        <f>IF(G1005=$C$4,IF('Informe Kelly'!H998='Control informe Kelly'!$A$2,TEXT(((LEFT('Informe Kelly'!E998,2)*1)+1),"dd")&amp;"."&amp;MID('Informe Kelly'!E998,4,2)&amp;"."&amp;RIGHT('Informe Kelly'!E998,4),'Informe Kelly'!E998),'Informe Kelly'!E998)</f>
        <v>14.04.2011</v>
      </c>
      <c r="D1005" s="69" t="str">
        <f>IF('Informe Kelly'!E998="","",'Informe Kelly'!E998)</f>
        <v>14.04.2011</v>
      </c>
      <c r="E1005" s="72">
        <f t="shared" si="31"/>
        <v>511</v>
      </c>
      <c r="F1005" s="72" t="str">
        <f>IFERROR(HLOOKUP(C1005,Ingreso!$Q$8:$AD$9,2,FALSE),"v")</f>
        <v>Jueves</v>
      </c>
      <c r="G1005" s="65" t="str">
        <f>IFERROR(VLOOKUP(A1005,Ingreso!K:P,6,FALSE),"no esta ingresado")</f>
        <v>no esta ingresado</v>
      </c>
      <c r="H1005" s="65" t="str">
        <f>IFERROR(IF('Informe Kelly'!H998=$A$2,'Informe Kelly'!F998,""),0)</f>
        <v/>
      </c>
      <c r="I1005" s="65">
        <f>IFERROR(IF('Informe Kelly'!H998=$A$3,'Informe Kelly'!F998,""),0)</f>
        <v>0.64706018518518515</v>
      </c>
      <c r="J1005" s="65" t="str">
        <f>IF(IFERROR(IF(E1005=E1004,0,(HLOOKUP(D1005,Ingreso!$AN$10:$AT$260,VLOOKUP(A1005,Ingreso!$AL$11:$AM$260,2,FALSE)))/24),0)=0,"",IFERROR(IF(E1005=E1004,0,(HLOOKUP(D1005,Ingreso!$AN$10:$AT$260,VLOOKUP(A1005,Ingreso!$AL$11:$AM$260,2,FALSE)))/24),0))</f>
        <v/>
      </c>
      <c r="K1005" s="65" t="str">
        <f>IF(IFERROR(IF(E1005=E1004,0,(HLOOKUP(C1005,Ingreso!$AW$10:$BC$260,VLOOKUP(A1005,Ingreso!$AL$11:$AM$260,2,FALSE)))/24),0)=0,"",IFERROR(IF(E1005=E1004,0,(HLOOKUP(C1005,Ingreso!$AW$10:$BC$260,VLOOKUP(A1005,Ingreso!$AL$11:$AM$260,2,FALSE)))/24),0))</f>
        <v/>
      </c>
      <c r="L1005" s="63" t="str">
        <f t="shared" si="30"/>
        <v/>
      </c>
      <c r="M1005" s="63" t="str">
        <f>IF(IFERROR(IF(C1005=C1003,0,IF(E1005=E1004,0,IF(C1005=$R$2,HLOOKUP($R$2,Ingreso!$AW$10:$BC$260,VLOOKUP(A1005,Ingreso!AL:AM,2,FALSE),FALSE)/24,""))),"")=0,"",IFERROR(IF(C1005=C1003,0,IF(E1005=E1004,0,IF(C1005=$R$2,HLOOKUP($R$2,Ingreso!$AW$10:$BC$260,VLOOKUP(A1005,Ingreso!AL:AM,2,FALSE),FALSE)/24,""))),""))</f>
        <v/>
      </c>
      <c r="N1005" s="95" t="str">
        <f>IF(IFERROR(IF(C1005=C1003,0,IF(E1005=E1004,0,IF(C1005=$R$3,HLOOKUP($R$3,Ingreso!$AW$10:$BC$260,VLOOKUP(A1005,Ingreso!AL:AM,2,FALSE),FALSE)/24,""))),"")=0,"",IFERROR(IF(C1005=C1003,0,IF(E1005=E1004,0,IF(C1005=$R$3,HLOOKUP($R$3,Ingreso!$AW$10:$BC$260,VLOOKUP(A1005,Ingreso!AL:AM,2,FALSE),FALSE)/24,""))),""))</f>
        <v/>
      </c>
      <c r="O1005" s="95" t="str">
        <f>IF(IFERROR(IF(C1005=C1003,0,IF(E1005=E1004,0,IF(C1005=$R$4,HLOOKUP($R$4,Ingreso!$AW$10:$BC$260,VLOOKUP(A1005,Ingreso!AL:AM,2,FALSE),FALSE)/24,""))),"")=0,"",IFERROR(IF(C1005=C1003,0,IF(E1005=E1004,0,IF(C1005=$R$4,HLOOKUP($R$4,Ingreso!$AW$10:$BC$260,VLOOKUP(A1005,Ingreso!AL:AM,2,FALSE),FALSE)/24,""))),""))</f>
        <v/>
      </c>
      <c r="P1005" s="90"/>
      <c r="V1005"/>
      <c r="W1005" s="62"/>
      <c r="X1005" s="62"/>
      <c r="Y1005" s="62"/>
      <c r="Z1005" s="62"/>
      <c r="AA1005" s="62"/>
      <c r="AB1005" s="62"/>
      <c r="AC1005" s="62"/>
    </row>
    <row r="1006" spans="1:29">
      <c r="A1006" s="65" t="str">
        <f>IFERROR(VLOOKUP('Informe Kelly'!A999,Base!A:B,2,FALSE),"")</f>
        <v>16.413.939-5</v>
      </c>
      <c r="B1006" s="65" t="str">
        <f>IFERROR(VLOOKUP('Informe Kelly'!A999,Base!A:G,7,FALSE),"")</f>
        <v>ESPINOZA MATURANA FABIAN</v>
      </c>
      <c r="C1006" s="69" t="str">
        <f>IF(G1006=$C$4,IF('Informe Kelly'!H999='Control informe Kelly'!$A$2,TEXT(((LEFT('Informe Kelly'!E999,2)*1)+1),"dd")&amp;"."&amp;MID('Informe Kelly'!E999,4,2)&amp;"."&amp;RIGHT('Informe Kelly'!E999,4),'Informe Kelly'!E999),'Informe Kelly'!E999)</f>
        <v>14.04.2011</v>
      </c>
      <c r="D1006" s="69" t="str">
        <f>IF('Informe Kelly'!E999="","",'Informe Kelly'!E999)</f>
        <v>14.04.2011</v>
      </c>
      <c r="E1006" s="72">
        <f t="shared" si="31"/>
        <v>511</v>
      </c>
      <c r="F1006" s="72" t="str">
        <f>IFERROR(HLOOKUP(C1006,Ingreso!$Q$8:$AD$9,2,FALSE),"v")</f>
        <v>Jueves</v>
      </c>
      <c r="G1006" s="65" t="str">
        <f>IFERROR(VLOOKUP(A1006,Ingreso!K:P,6,FALSE),"no esta ingresado")</f>
        <v>no esta ingresado</v>
      </c>
      <c r="H1006" s="65">
        <f>IFERROR(IF('Informe Kelly'!H999=$A$2,'Informe Kelly'!F999,""),0)</f>
        <v>0.30819444444444444</v>
      </c>
      <c r="I1006" s="65" t="str">
        <f>IFERROR(IF('Informe Kelly'!H999=$A$3,'Informe Kelly'!F999,""),0)</f>
        <v/>
      </c>
      <c r="J1006" s="65" t="str">
        <f>IF(IFERROR(IF(E1006=E1005,0,(HLOOKUP(D1006,Ingreso!$AN$10:$AT$260,VLOOKUP(A1006,Ingreso!$AL$11:$AM$260,2,FALSE)))/24),0)=0,"",IFERROR(IF(E1006=E1005,0,(HLOOKUP(D1006,Ingreso!$AN$10:$AT$260,VLOOKUP(A1006,Ingreso!$AL$11:$AM$260,2,FALSE)))/24),0))</f>
        <v/>
      </c>
      <c r="K1006" s="65" t="str">
        <f>IF(IFERROR(IF(E1006=E1005,0,(HLOOKUP(C1006,Ingreso!$AW$10:$BC$260,VLOOKUP(A1006,Ingreso!$AL$11:$AM$260,2,FALSE)))/24),0)=0,"",IFERROR(IF(E1006=E1005,0,(HLOOKUP(C1006,Ingreso!$AW$10:$BC$260,VLOOKUP(A1006,Ingreso!$AL$11:$AM$260,2,FALSE)))/24),0))</f>
        <v/>
      </c>
      <c r="L1006" s="63">
        <f t="shared" si="30"/>
        <v>0</v>
      </c>
      <c r="M1006" s="63" t="str">
        <f>IF(IFERROR(IF(C1006=C1004,0,IF(E1006=E1005,0,IF(C1006=$R$2,HLOOKUP($R$2,Ingreso!$AW$10:$BC$260,VLOOKUP(A1006,Ingreso!AL:AM,2,FALSE),FALSE)/24,""))),"")=0,"",IFERROR(IF(C1006=C1004,0,IF(E1006=E1005,0,IF(C1006=$R$2,HLOOKUP($R$2,Ingreso!$AW$10:$BC$260,VLOOKUP(A1006,Ingreso!AL:AM,2,FALSE),FALSE)/24,""))),""))</f>
        <v/>
      </c>
      <c r="N1006" s="95" t="str">
        <f>IF(IFERROR(IF(C1006=C1004,0,IF(E1006=E1005,0,IF(C1006=$R$3,HLOOKUP($R$3,Ingreso!$AW$10:$BC$260,VLOOKUP(A1006,Ingreso!AL:AM,2,FALSE),FALSE)/24,""))),"")=0,"",IFERROR(IF(C1006=C1004,0,IF(E1006=E1005,0,IF(C1006=$R$3,HLOOKUP($R$3,Ingreso!$AW$10:$BC$260,VLOOKUP(A1006,Ingreso!AL:AM,2,FALSE),FALSE)/24,""))),""))</f>
        <v/>
      </c>
      <c r="O1006" s="95" t="str">
        <f>IF(IFERROR(IF(C1006=C1004,0,IF(E1006=E1005,0,IF(C1006=$R$4,HLOOKUP($R$4,Ingreso!$AW$10:$BC$260,VLOOKUP(A1006,Ingreso!AL:AM,2,FALSE),FALSE)/24,""))),"")=0,"",IFERROR(IF(C1006=C1004,0,IF(E1006=E1005,0,IF(C1006=$R$4,HLOOKUP($R$4,Ingreso!$AW$10:$BC$260,VLOOKUP(A1006,Ingreso!AL:AM,2,FALSE),FALSE)/24,""))),""))</f>
        <v/>
      </c>
      <c r="P1006" s="90"/>
      <c r="V1006"/>
      <c r="W1006" s="62"/>
      <c r="X1006" s="62"/>
      <c r="Y1006" s="62"/>
      <c r="Z1006" s="62"/>
      <c r="AA1006" s="62"/>
      <c r="AB1006" s="62"/>
      <c r="AC1006" s="62"/>
    </row>
    <row r="1007" spans="1:29">
      <c r="A1007" s="65" t="str">
        <f>IFERROR(VLOOKUP('Informe Kelly'!A1000,Base!A:B,2,FALSE),"")</f>
        <v>16.413.939-5</v>
      </c>
      <c r="B1007" s="65" t="str">
        <f>IFERROR(VLOOKUP('Informe Kelly'!A1000,Base!A:G,7,FALSE),"")</f>
        <v>ESPINOZA MATURANA FABIAN</v>
      </c>
      <c r="C1007" s="69" t="str">
        <f>IF(G1007=$C$4,IF('Informe Kelly'!H1000='Control informe Kelly'!$A$2,TEXT(((LEFT('Informe Kelly'!E1000,2)*1)+1),"dd")&amp;"."&amp;MID('Informe Kelly'!E1000,4,2)&amp;"."&amp;RIGHT('Informe Kelly'!E1000,4),'Informe Kelly'!E1000),'Informe Kelly'!E1000)</f>
        <v>15.04.2011</v>
      </c>
      <c r="D1007" s="69" t="str">
        <f>IF('Informe Kelly'!E1000="","",'Informe Kelly'!E1000)</f>
        <v>15.04.2011</v>
      </c>
      <c r="E1007" s="72">
        <f t="shared" si="31"/>
        <v>512</v>
      </c>
      <c r="F1007" s="72" t="str">
        <f>IFERROR(HLOOKUP(C1007,Ingreso!$Q$8:$AD$9,2,FALSE),"v")</f>
        <v>Viernes</v>
      </c>
      <c r="G1007" s="65" t="str">
        <f>IFERROR(VLOOKUP(A1007,Ingreso!K:P,6,FALSE),"no esta ingresado")</f>
        <v>no esta ingresado</v>
      </c>
      <c r="H1007" s="65" t="str">
        <f>IFERROR(IF('Informe Kelly'!H1000=$A$2,'Informe Kelly'!F1000,""),0)</f>
        <v/>
      </c>
      <c r="I1007" s="65">
        <f>IFERROR(IF('Informe Kelly'!H1000=$A$3,'Informe Kelly'!F1000,""),0)</f>
        <v>0.65160879629629631</v>
      </c>
      <c r="J1007" s="65" t="str">
        <f>IF(IFERROR(IF(E1007=E1006,0,(HLOOKUP(D1007,Ingreso!$AN$10:$AT$260,VLOOKUP(A1007,Ingreso!$AL$11:$AM$260,2,FALSE)))/24),0)=0,"",IFERROR(IF(E1007=E1006,0,(HLOOKUP(D1007,Ingreso!$AN$10:$AT$260,VLOOKUP(A1007,Ingreso!$AL$11:$AM$260,2,FALSE)))/24),0))</f>
        <v/>
      </c>
      <c r="K1007" s="65" t="str">
        <f>IF(IFERROR(IF(E1007=E1006,0,(HLOOKUP(C1007,Ingreso!$AW$10:$BC$260,VLOOKUP(A1007,Ingreso!$AL$11:$AM$260,2,FALSE)))/24),0)=0,"",IFERROR(IF(E1007=E1006,0,(HLOOKUP(C1007,Ingreso!$AW$10:$BC$260,VLOOKUP(A1007,Ingreso!$AL$11:$AM$260,2,FALSE)))/24),0))</f>
        <v/>
      </c>
      <c r="L1007" s="63" t="str">
        <f t="shared" si="30"/>
        <v/>
      </c>
      <c r="M1007" s="63" t="str">
        <f>IF(IFERROR(IF(C1007=C1005,0,IF(E1007=E1006,0,IF(C1007=$R$2,HLOOKUP($R$2,Ingreso!$AW$10:$BC$260,VLOOKUP(A1007,Ingreso!AL:AM,2,FALSE),FALSE)/24,""))),"")=0,"",IFERROR(IF(C1007=C1005,0,IF(E1007=E1006,0,IF(C1007=$R$2,HLOOKUP($R$2,Ingreso!$AW$10:$BC$260,VLOOKUP(A1007,Ingreso!AL:AM,2,FALSE),FALSE)/24,""))),""))</f>
        <v/>
      </c>
      <c r="N1007" s="95" t="str">
        <f>IF(IFERROR(IF(C1007=C1005,0,IF(E1007=E1006,0,IF(C1007=$R$3,HLOOKUP($R$3,Ingreso!$AW$10:$BC$260,VLOOKUP(A1007,Ingreso!AL:AM,2,FALSE),FALSE)/24,""))),"")=0,"",IFERROR(IF(C1007=C1005,0,IF(E1007=E1006,0,IF(C1007=$R$3,HLOOKUP($R$3,Ingreso!$AW$10:$BC$260,VLOOKUP(A1007,Ingreso!AL:AM,2,FALSE),FALSE)/24,""))),""))</f>
        <v/>
      </c>
      <c r="O1007" s="95" t="str">
        <f>IF(IFERROR(IF(C1007=C1005,0,IF(E1007=E1006,0,IF(C1007=$R$4,HLOOKUP($R$4,Ingreso!$AW$10:$BC$260,VLOOKUP(A1007,Ingreso!AL:AM,2,FALSE),FALSE)/24,""))),"")=0,"",IFERROR(IF(C1007=C1005,0,IF(E1007=E1006,0,IF(C1007=$R$4,HLOOKUP($R$4,Ingreso!$AW$10:$BC$260,VLOOKUP(A1007,Ingreso!AL:AM,2,FALSE),FALSE)/24,""))),""))</f>
        <v/>
      </c>
      <c r="P1007" s="90"/>
      <c r="V1007"/>
      <c r="W1007" s="62"/>
      <c r="X1007" s="62"/>
      <c r="Y1007" s="62"/>
      <c r="Z1007" s="62"/>
      <c r="AA1007" s="62"/>
      <c r="AB1007" s="62"/>
      <c r="AC1007" s="62"/>
    </row>
    <row r="1008" spans="1:29">
      <c r="A1008" s="65" t="str">
        <f>IFERROR(VLOOKUP('Informe Kelly'!A1001,Base!A:B,2,FALSE),"")</f>
        <v>16.413.939-5</v>
      </c>
      <c r="B1008" s="65" t="str">
        <f>IFERROR(VLOOKUP('Informe Kelly'!A1001,Base!A:G,7,FALSE),"")</f>
        <v>ESPINOZA MATURANA FABIAN</v>
      </c>
      <c r="C1008" s="69" t="str">
        <f>IF(G1008=$C$4,IF('Informe Kelly'!H1001='Control informe Kelly'!$A$2,TEXT(((LEFT('Informe Kelly'!E1001,2)*1)+1),"dd")&amp;"."&amp;MID('Informe Kelly'!E1001,4,2)&amp;"."&amp;RIGHT('Informe Kelly'!E1001,4),'Informe Kelly'!E1001),'Informe Kelly'!E1001)</f>
        <v>15.04.2011</v>
      </c>
      <c r="D1008" s="69" t="str">
        <f>IF('Informe Kelly'!E1001="","",'Informe Kelly'!E1001)</f>
        <v>15.04.2011</v>
      </c>
      <c r="E1008" s="72">
        <f t="shared" si="31"/>
        <v>512</v>
      </c>
      <c r="F1008" s="72" t="str">
        <f>IFERROR(HLOOKUP(C1008,Ingreso!$Q$8:$AD$9,2,FALSE),"v")</f>
        <v>Viernes</v>
      </c>
      <c r="G1008" s="65" t="str">
        <f>IFERROR(VLOOKUP(A1008,Ingreso!K:P,6,FALSE),"no esta ingresado")</f>
        <v>no esta ingresado</v>
      </c>
      <c r="H1008" s="65">
        <f>IFERROR(IF('Informe Kelly'!H1001=$A$2,'Informe Kelly'!F1001,""),0)</f>
        <v>0.29006944444444444</v>
      </c>
      <c r="I1008" s="65" t="str">
        <f>IFERROR(IF('Informe Kelly'!H1001=$A$3,'Informe Kelly'!F1001,""),0)</f>
        <v/>
      </c>
      <c r="J1008" s="65" t="str">
        <f>IF(IFERROR(IF(E1008=E1007,0,(HLOOKUP(D1008,Ingreso!$AN$10:$AT$260,VLOOKUP(A1008,Ingreso!$AL$11:$AM$260,2,FALSE)))/24),0)=0,"",IFERROR(IF(E1008=E1007,0,(HLOOKUP(D1008,Ingreso!$AN$10:$AT$260,VLOOKUP(A1008,Ingreso!$AL$11:$AM$260,2,FALSE)))/24),0))</f>
        <v/>
      </c>
      <c r="K1008" s="65" t="str">
        <f>IF(IFERROR(IF(E1008=E1007,0,(HLOOKUP(C1008,Ingreso!$AW$10:$BC$260,VLOOKUP(A1008,Ingreso!$AL$11:$AM$260,2,FALSE)))/24),0)=0,"",IFERROR(IF(E1008=E1007,0,(HLOOKUP(C1008,Ingreso!$AW$10:$BC$260,VLOOKUP(A1008,Ingreso!$AL$11:$AM$260,2,FALSE)))/24),0))</f>
        <v/>
      </c>
      <c r="L1008" s="63">
        <f t="shared" si="30"/>
        <v>0</v>
      </c>
      <c r="M1008" s="63" t="str">
        <f>IF(IFERROR(IF(C1008=C1006,0,IF(E1008=E1007,0,IF(C1008=$R$2,HLOOKUP($R$2,Ingreso!$AW$10:$BC$260,VLOOKUP(A1008,Ingreso!AL:AM,2,FALSE),FALSE)/24,""))),"")=0,"",IFERROR(IF(C1008=C1006,0,IF(E1008=E1007,0,IF(C1008=$R$2,HLOOKUP($R$2,Ingreso!$AW$10:$BC$260,VLOOKUP(A1008,Ingreso!AL:AM,2,FALSE),FALSE)/24,""))),""))</f>
        <v/>
      </c>
      <c r="N1008" s="95" t="str">
        <f>IF(IFERROR(IF(C1008=C1006,0,IF(E1008=E1007,0,IF(C1008=$R$3,HLOOKUP($R$3,Ingreso!$AW$10:$BC$260,VLOOKUP(A1008,Ingreso!AL:AM,2,FALSE),FALSE)/24,""))),"")=0,"",IFERROR(IF(C1008=C1006,0,IF(E1008=E1007,0,IF(C1008=$R$3,HLOOKUP($R$3,Ingreso!$AW$10:$BC$260,VLOOKUP(A1008,Ingreso!AL:AM,2,FALSE),FALSE)/24,""))),""))</f>
        <v/>
      </c>
      <c r="O1008" s="95" t="str">
        <f>IF(IFERROR(IF(C1008=C1006,0,IF(E1008=E1007,0,IF(C1008=$R$4,HLOOKUP($R$4,Ingreso!$AW$10:$BC$260,VLOOKUP(A1008,Ingreso!AL:AM,2,FALSE),FALSE)/24,""))),"")=0,"",IFERROR(IF(C1008=C1006,0,IF(E1008=E1007,0,IF(C1008=$R$4,HLOOKUP($R$4,Ingreso!$AW$10:$BC$260,VLOOKUP(A1008,Ingreso!AL:AM,2,FALSE),FALSE)/24,""))),""))</f>
        <v/>
      </c>
      <c r="P1008" s="90"/>
      <c r="V1008"/>
      <c r="W1008" s="62"/>
      <c r="X1008" s="62"/>
      <c r="Y1008" s="62"/>
      <c r="Z1008" s="62"/>
      <c r="AA1008" s="62"/>
      <c r="AB1008" s="62"/>
      <c r="AC1008" s="62"/>
    </row>
    <row r="1009" spans="1:29">
      <c r="A1009" s="65" t="str">
        <f>IFERROR(VLOOKUP('Informe Kelly'!A1002,Base!A:B,2,FALSE),"")</f>
        <v>16.413.939-5</v>
      </c>
      <c r="B1009" s="65" t="str">
        <f>IFERROR(VLOOKUP('Informe Kelly'!A1002,Base!A:G,7,FALSE),"")</f>
        <v>ESPINOZA MATURANA FABIAN</v>
      </c>
      <c r="C1009" s="69" t="str">
        <f>IF(G1009=$C$4,IF('Informe Kelly'!H1002='Control informe Kelly'!$A$2,TEXT(((LEFT('Informe Kelly'!E1002,2)*1)+1),"dd")&amp;"."&amp;MID('Informe Kelly'!E1002,4,2)&amp;"."&amp;RIGHT('Informe Kelly'!E1002,4),'Informe Kelly'!E1002),'Informe Kelly'!E1002)</f>
        <v>16.04.2011</v>
      </c>
      <c r="D1009" s="69" t="str">
        <f>IF('Informe Kelly'!E1002="","",'Informe Kelly'!E1002)</f>
        <v>16.04.2011</v>
      </c>
      <c r="E1009" s="72">
        <f t="shared" si="31"/>
        <v>513</v>
      </c>
      <c r="F1009" s="72" t="str">
        <f>IFERROR(HLOOKUP(C1009,Ingreso!$Q$8:$AD$9,2,FALSE),"v")</f>
        <v>Sábado</v>
      </c>
      <c r="G1009" s="65" t="str">
        <f>IFERROR(VLOOKUP(A1009,Ingreso!K:P,6,FALSE),"no esta ingresado")</f>
        <v>no esta ingresado</v>
      </c>
      <c r="H1009" s="65" t="str">
        <f>IFERROR(IF('Informe Kelly'!H1002=$A$2,'Informe Kelly'!F1002,""),0)</f>
        <v/>
      </c>
      <c r="I1009" s="65">
        <f>IFERROR(IF('Informe Kelly'!H1002=$A$3,'Informe Kelly'!F1002,""),0)</f>
        <v>0.64021990740740742</v>
      </c>
      <c r="J1009" s="65" t="str">
        <f>IF(IFERROR(IF(E1009=E1008,0,(HLOOKUP(D1009,Ingreso!$AN$10:$AT$260,VLOOKUP(A1009,Ingreso!$AL$11:$AM$260,2,FALSE)))/24),0)=0,"",IFERROR(IF(E1009=E1008,0,(HLOOKUP(D1009,Ingreso!$AN$10:$AT$260,VLOOKUP(A1009,Ingreso!$AL$11:$AM$260,2,FALSE)))/24),0))</f>
        <v/>
      </c>
      <c r="K1009" s="65" t="str">
        <f>IF(IFERROR(IF(E1009=E1008,0,(HLOOKUP(C1009,Ingreso!$AW$10:$BC$260,VLOOKUP(A1009,Ingreso!$AL$11:$AM$260,2,FALSE)))/24),0)=0,"",IFERROR(IF(E1009=E1008,0,(HLOOKUP(C1009,Ingreso!$AW$10:$BC$260,VLOOKUP(A1009,Ingreso!$AL$11:$AM$260,2,FALSE)))/24),0))</f>
        <v/>
      </c>
      <c r="L1009" s="63" t="str">
        <f t="shared" si="30"/>
        <v/>
      </c>
      <c r="M1009" s="63" t="str">
        <f>IF(IFERROR(IF(C1009=C1007,0,IF(E1009=E1008,0,IF(C1009=$R$2,HLOOKUP($R$2,Ingreso!$AW$10:$BC$260,VLOOKUP(A1009,Ingreso!AL:AM,2,FALSE),FALSE)/24,""))),"")=0,"",IFERROR(IF(C1009=C1007,0,IF(E1009=E1008,0,IF(C1009=$R$2,HLOOKUP($R$2,Ingreso!$AW$10:$BC$260,VLOOKUP(A1009,Ingreso!AL:AM,2,FALSE),FALSE)/24,""))),""))</f>
        <v/>
      </c>
      <c r="N1009" s="95" t="str">
        <f>IF(IFERROR(IF(C1009=C1007,0,IF(E1009=E1008,0,IF(C1009=$R$3,HLOOKUP($R$3,Ingreso!$AW$10:$BC$260,VLOOKUP(A1009,Ingreso!AL:AM,2,FALSE),FALSE)/24,""))),"")=0,"",IFERROR(IF(C1009=C1007,0,IF(E1009=E1008,0,IF(C1009=$R$3,HLOOKUP($R$3,Ingreso!$AW$10:$BC$260,VLOOKUP(A1009,Ingreso!AL:AM,2,FALSE),FALSE)/24,""))),""))</f>
        <v/>
      </c>
      <c r="O1009" s="95" t="str">
        <f>IF(IFERROR(IF(C1009=C1007,0,IF(E1009=E1008,0,IF(C1009=$R$4,HLOOKUP($R$4,Ingreso!$AW$10:$BC$260,VLOOKUP(A1009,Ingreso!AL:AM,2,FALSE),FALSE)/24,""))),"")=0,"",IFERROR(IF(C1009=C1007,0,IF(E1009=E1008,0,IF(C1009=$R$4,HLOOKUP($R$4,Ingreso!$AW$10:$BC$260,VLOOKUP(A1009,Ingreso!AL:AM,2,FALSE),FALSE)/24,""))),""))</f>
        <v/>
      </c>
      <c r="P1009" s="90"/>
      <c r="V1009"/>
      <c r="W1009" s="62"/>
      <c r="X1009" s="62"/>
      <c r="Y1009" s="62"/>
      <c r="Z1009" s="62"/>
      <c r="AA1009" s="62"/>
      <c r="AB1009" s="62"/>
      <c r="AC1009" s="62"/>
    </row>
    <row r="1010" spans="1:29">
      <c r="A1010" s="65" t="str">
        <f>IFERROR(VLOOKUP('Informe Kelly'!A1003,Base!A:B,2,FALSE),"")</f>
        <v>16.413.939-5</v>
      </c>
      <c r="B1010" s="65" t="str">
        <f>IFERROR(VLOOKUP('Informe Kelly'!A1003,Base!A:G,7,FALSE),"")</f>
        <v>ESPINOZA MATURANA FABIAN</v>
      </c>
      <c r="C1010" s="69" t="str">
        <f>IF(G1010=$C$4,IF('Informe Kelly'!H1003='Control informe Kelly'!$A$2,TEXT(((LEFT('Informe Kelly'!E1003,2)*1)+1),"dd")&amp;"."&amp;MID('Informe Kelly'!E1003,4,2)&amp;"."&amp;RIGHT('Informe Kelly'!E1003,4),'Informe Kelly'!E1003),'Informe Kelly'!E1003)</f>
        <v>16.04.2011</v>
      </c>
      <c r="D1010" s="69" t="str">
        <f>IF('Informe Kelly'!E1003="","",'Informe Kelly'!E1003)</f>
        <v>16.04.2011</v>
      </c>
      <c r="E1010" s="72">
        <f t="shared" si="31"/>
        <v>513</v>
      </c>
      <c r="F1010" s="72" t="str">
        <f>IFERROR(HLOOKUP(C1010,Ingreso!$Q$8:$AD$9,2,FALSE),"v")</f>
        <v>Sábado</v>
      </c>
      <c r="G1010" s="65" t="str">
        <f>IFERROR(VLOOKUP(A1010,Ingreso!K:P,6,FALSE),"no esta ingresado")</f>
        <v>no esta ingresado</v>
      </c>
      <c r="H1010" s="65">
        <f>IFERROR(IF('Informe Kelly'!H1003=$A$2,'Informe Kelly'!F1003,""),0)</f>
        <v>0.35575231481481479</v>
      </c>
      <c r="I1010" s="65" t="str">
        <f>IFERROR(IF('Informe Kelly'!H1003=$A$3,'Informe Kelly'!F1003,""),0)</f>
        <v/>
      </c>
      <c r="J1010" s="65" t="str">
        <f>IF(IFERROR(IF(E1010=E1009,0,(HLOOKUP(D1010,Ingreso!$AN$10:$AT$260,VLOOKUP(A1010,Ingreso!$AL$11:$AM$260,2,FALSE)))/24),0)=0,"",IFERROR(IF(E1010=E1009,0,(HLOOKUP(D1010,Ingreso!$AN$10:$AT$260,VLOOKUP(A1010,Ingreso!$AL$11:$AM$260,2,FALSE)))/24),0))</f>
        <v/>
      </c>
      <c r="K1010" s="65" t="str">
        <f>IF(IFERROR(IF(E1010=E1009,0,(HLOOKUP(C1010,Ingreso!$AW$10:$BC$260,VLOOKUP(A1010,Ingreso!$AL$11:$AM$260,2,FALSE)))/24),0)=0,"",IFERROR(IF(E1010=E1009,0,(HLOOKUP(C1010,Ingreso!$AW$10:$BC$260,VLOOKUP(A1010,Ingreso!$AL$11:$AM$260,2,FALSE)))/24),0))</f>
        <v/>
      </c>
      <c r="L1010" s="63">
        <f t="shared" si="30"/>
        <v>0</v>
      </c>
      <c r="M1010" s="63" t="str">
        <f>IF(IFERROR(IF(C1010=C1008,0,IF(E1010=E1009,0,IF(C1010=$R$2,HLOOKUP($R$2,Ingreso!$AW$10:$BC$260,VLOOKUP(A1010,Ingreso!AL:AM,2,FALSE),FALSE)/24,""))),"")=0,"",IFERROR(IF(C1010=C1008,0,IF(E1010=E1009,0,IF(C1010=$R$2,HLOOKUP($R$2,Ingreso!$AW$10:$BC$260,VLOOKUP(A1010,Ingreso!AL:AM,2,FALSE),FALSE)/24,""))),""))</f>
        <v/>
      </c>
      <c r="N1010" s="95" t="str">
        <f>IF(IFERROR(IF(C1010=C1008,0,IF(E1010=E1009,0,IF(C1010=$R$3,HLOOKUP($R$3,Ingreso!$AW$10:$BC$260,VLOOKUP(A1010,Ingreso!AL:AM,2,FALSE),FALSE)/24,""))),"")=0,"",IFERROR(IF(C1010=C1008,0,IF(E1010=E1009,0,IF(C1010=$R$3,HLOOKUP($R$3,Ingreso!$AW$10:$BC$260,VLOOKUP(A1010,Ingreso!AL:AM,2,FALSE),FALSE)/24,""))),""))</f>
        <v/>
      </c>
      <c r="O1010" s="95" t="str">
        <f>IF(IFERROR(IF(C1010=C1008,0,IF(E1010=E1009,0,IF(C1010=$R$4,HLOOKUP($R$4,Ingreso!$AW$10:$BC$260,VLOOKUP(A1010,Ingreso!AL:AM,2,FALSE),FALSE)/24,""))),"")=0,"",IFERROR(IF(C1010=C1008,0,IF(E1010=E1009,0,IF(C1010=$R$4,HLOOKUP($R$4,Ingreso!$AW$10:$BC$260,VLOOKUP(A1010,Ingreso!AL:AM,2,FALSE),FALSE)/24,""))),""))</f>
        <v/>
      </c>
      <c r="P1010" s="90"/>
      <c r="V1010"/>
      <c r="W1010" s="62"/>
      <c r="X1010" s="62"/>
      <c r="Y1010" s="62"/>
      <c r="Z1010" s="62"/>
      <c r="AA1010" s="62"/>
      <c r="AB1010" s="62"/>
      <c r="AC1010" s="62"/>
    </row>
    <row r="1011" spans="1:29">
      <c r="A1011" s="65" t="str">
        <f>IFERROR(VLOOKUP('Informe Kelly'!A1004,Base!A:B,2,FALSE),"")</f>
        <v>16.441.340-3</v>
      </c>
      <c r="B1011" s="65" t="str">
        <f>IFERROR(VLOOKUP('Informe Kelly'!A1004,Base!A:G,7,FALSE),"")</f>
        <v>ORMAZABAL CACERES LUIS HERNAN</v>
      </c>
      <c r="C1011" s="69" t="str">
        <f>IF(G1011=$C$4,IF('Informe Kelly'!H1004='Control informe Kelly'!$A$2,TEXT(((LEFT('Informe Kelly'!E1004,2)*1)+1),"dd")&amp;"."&amp;MID('Informe Kelly'!E1004,4,2)&amp;"."&amp;RIGHT('Informe Kelly'!E1004,4),'Informe Kelly'!E1004),'Informe Kelly'!E1004)</f>
        <v>11.04.2011</v>
      </c>
      <c r="D1011" s="69" t="str">
        <f>IF('Informe Kelly'!E1004="","",'Informe Kelly'!E1004)</f>
        <v>11.04.2011</v>
      </c>
      <c r="E1011" s="72">
        <f t="shared" si="31"/>
        <v>514</v>
      </c>
      <c r="F1011" s="72" t="str">
        <f>IFERROR(HLOOKUP(C1011,Ingreso!$Q$8:$AD$9,2,FALSE),"v")</f>
        <v>Lunes</v>
      </c>
      <c r="G1011" s="65" t="str">
        <f>IFERROR(VLOOKUP(A1011,Ingreso!K:P,6,FALSE),"no esta ingresado")</f>
        <v>Turno A</v>
      </c>
      <c r="H1011" s="65" t="str">
        <f>IFERROR(IF('Informe Kelly'!H1004=$A$2,'Informe Kelly'!F1004,""),0)</f>
        <v/>
      </c>
      <c r="I1011" s="65">
        <f>IFERROR(IF('Informe Kelly'!H1004=$A$3,'Informe Kelly'!F1004,""),0)</f>
        <v>0.62644675925925919</v>
      </c>
      <c r="J1011" s="65" t="str">
        <f>IF(IFERROR(IF(E1011=E1010,0,(HLOOKUP(D1011,Ingreso!$AN$10:$AT$260,VLOOKUP(A1011,Ingreso!$AL$11:$AM$260,2,FALSE)))/24),0)=0,"",IFERROR(IF(E1011=E1010,0,(HLOOKUP(D1011,Ingreso!$AN$10:$AT$260,VLOOKUP(A1011,Ingreso!$AL$11:$AM$260,2,FALSE)))/24),0))</f>
        <v/>
      </c>
      <c r="K1011" s="65" t="str">
        <f>IF(IFERROR(IF(E1011=E1010,0,(HLOOKUP(C1011,Ingreso!$AW$10:$BC$260,VLOOKUP(A1011,Ingreso!$AL$11:$AM$260,2,FALSE)))/24),0)=0,"",IFERROR(IF(E1011=E1010,0,(HLOOKUP(C1011,Ingreso!$AW$10:$BC$260,VLOOKUP(A1011,Ingreso!$AL$11:$AM$260,2,FALSE)))/24),0))</f>
        <v/>
      </c>
      <c r="L1011" s="63">
        <f t="shared" si="30"/>
        <v>0.3125</v>
      </c>
      <c r="M1011" s="63" t="str">
        <f>IF(IFERROR(IF(C1011=C1009,0,IF(E1011=E1010,0,IF(C1011=$R$2,HLOOKUP($R$2,Ingreso!$AW$10:$BC$260,VLOOKUP(A1011,Ingreso!AL:AM,2,FALSE),FALSE)/24,""))),"")=0,"",IFERROR(IF(C1011=C1009,0,IF(E1011=E1010,0,IF(C1011=$R$2,HLOOKUP($R$2,Ingreso!$AW$10:$BC$260,VLOOKUP(A1011,Ingreso!AL:AM,2,FALSE),FALSE)/24,""))),""))</f>
        <v/>
      </c>
      <c r="N1011" s="95" t="str">
        <f>IF(IFERROR(IF(C1011=C1009,0,IF(E1011=E1010,0,IF(C1011=$R$3,HLOOKUP($R$3,Ingreso!$AW$10:$BC$260,VLOOKUP(A1011,Ingreso!AL:AM,2,FALSE),FALSE)/24,""))),"")=0,"",IFERROR(IF(C1011=C1009,0,IF(E1011=E1010,0,IF(C1011=$R$3,HLOOKUP($R$3,Ingreso!$AW$10:$BC$260,VLOOKUP(A1011,Ingreso!AL:AM,2,FALSE),FALSE)/24,""))),""))</f>
        <v/>
      </c>
      <c r="O1011" s="95" t="str">
        <f>IF(IFERROR(IF(C1011=C1009,0,IF(E1011=E1010,0,IF(C1011=$R$4,HLOOKUP($R$4,Ingreso!$AW$10:$BC$260,VLOOKUP(A1011,Ingreso!AL:AM,2,FALSE),FALSE)/24,""))),"")=0,"",IFERROR(IF(C1011=C1009,0,IF(E1011=E1010,0,IF(C1011=$R$4,HLOOKUP($R$4,Ingreso!$AW$10:$BC$260,VLOOKUP(A1011,Ingreso!AL:AM,2,FALSE),FALSE)/24,""))),""))</f>
        <v/>
      </c>
      <c r="P1011" s="90"/>
      <c r="V1011"/>
      <c r="W1011" s="62"/>
      <c r="X1011" s="62"/>
      <c r="Y1011" s="62"/>
      <c r="Z1011" s="62"/>
      <c r="AA1011" s="62"/>
      <c r="AB1011" s="62"/>
      <c r="AC1011" s="62"/>
    </row>
    <row r="1012" spans="1:29">
      <c r="A1012" s="65" t="str">
        <f>IFERROR(VLOOKUP('Informe Kelly'!A1005,Base!A:B,2,FALSE),"")</f>
        <v>16.441.340-3</v>
      </c>
      <c r="B1012" s="65" t="str">
        <f>IFERROR(VLOOKUP('Informe Kelly'!A1005,Base!A:G,7,FALSE),"")</f>
        <v>ORMAZABAL CACERES LUIS HERNAN</v>
      </c>
      <c r="C1012" s="69" t="str">
        <f>IF(G1012=$C$4,IF('Informe Kelly'!H1005='Control informe Kelly'!$A$2,TEXT(((LEFT('Informe Kelly'!E1005,2)*1)+1),"dd")&amp;"."&amp;MID('Informe Kelly'!E1005,4,2)&amp;"."&amp;RIGHT('Informe Kelly'!E1005,4),'Informe Kelly'!E1005),'Informe Kelly'!E1005)</f>
        <v>11.04.2011</v>
      </c>
      <c r="D1012" s="69" t="str">
        <f>IF('Informe Kelly'!E1005="","",'Informe Kelly'!E1005)</f>
        <v>11.04.2011</v>
      </c>
      <c r="E1012" s="72">
        <f t="shared" si="31"/>
        <v>514</v>
      </c>
      <c r="F1012" s="72" t="str">
        <f>IFERROR(HLOOKUP(C1012,Ingreso!$Q$8:$AD$9,2,FALSE),"v")</f>
        <v>Lunes</v>
      </c>
      <c r="G1012" s="65" t="str">
        <f>IFERROR(VLOOKUP(A1012,Ingreso!K:P,6,FALSE),"no esta ingresado")</f>
        <v>Turno A</v>
      </c>
      <c r="H1012" s="65">
        <f>IFERROR(IF('Informe Kelly'!H1005=$A$2,'Informe Kelly'!F1005,""),0)</f>
        <v>0.31903935185185184</v>
      </c>
      <c r="I1012" s="65" t="str">
        <f>IFERROR(IF('Informe Kelly'!H1005=$A$3,'Informe Kelly'!F1005,""),0)</f>
        <v/>
      </c>
      <c r="J1012" s="65" t="str">
        <f>IF(IFERROR(IF(E1012=E1011,0,(HLOOKUP(D1012,Ingreso!$AN$10:$AT$260,VLOOKUP(A1012,Ingreso!$AL$11:$AM$260,2,FALSE)))/24),0)=0,"",IFERROR(IF(E1012=E1011,0,(HLOOKUP(D1012,Ingreso!$AN$10:$AT$260,VLOOKUP(A1012,Ingreso!$AL$11:$AM$260,2,FALSE)))/24),0))</f>
        <v/>
      </c>
      <c r="K1012" s="65" t="str">
        <f>IF(IFERROR(IF(E1012=E1011,0,(HLOOKUP(C1012,Ingreso!$AW$10:$BC$260,VLOOKUP(A1012,Ingreso!$AL$11:$AM$260,2,FALSE)))/24),0)=0,"",IFERROR(IF(E1012=E1011,0,(HLOOKUP(C1012,Ingreso!$AW$10:$BC$260,VLOOKUP(A1012,Ingreso!$AL$11:$AM$260,2,FALSE)))/24),0))</f>
        <v/>
      </c>
      <c r="L1012" s="63">
        <f t="shared" si="30"/>
        <v>0</v>
      </c>
      <c r="M1012" s="63" t="str">
        <f>IF(IFERROR(IF(C1012=C1010,0,IF(E1012=E1011,0,IF(C1012=$R$2,HLOOKUP($R$2,Ingreso!$AW$10:$BC$260,VLOOKUP(A1012,Ingreso!AL:AM,2,FALSE),FALSE)/24,""))),"")=0,"",IFERROR(IF(C1012=C1010,0,IF(E1012=E1011,0,IF(C1012=$R$2,HLOOKUP($R$2,Ingreso!$AW$10:$BC$260,VLOOKUP(A1012,Ingreso!AL:AM,2,FALSE),FALSE)/24,""))),""))</f>
        <v/>
      </c>
      <c r="N1012" s="95" t="str">
        <f>IF(IFERROR(IF(C1012=C1010,0,IF(E1012=E1011,0,IF(C1012=$R$3,HLOOKUP($R$3,Ingreso!$AW$10:$BC$260,VLOOKUP(A1012,Ingreso!AL:AM,2,FALSE),FALSE)/24,""))),"")=0,"",IFERROR(IF(C1012=C1010,0,IF(E1012=E1011,0,IF(C1012=$R$3,HLOOKUP($R$3,Ingreso!$AW$10:$BC$260,VLOOKUP(A1012,Ingreso!AL:AM,2,FALSE),FALSE)/24,""))),""))</f>
        <v/>
      </c>
      <c r="O1012" s="95" t="str">
        <f>IF(IFERROR(IF(C1012=C1010,0,IF(E1012=E1011,0,IF(C1012=$R$4,HLOOKUP($R$4,Ingreso!$AW$10:$BC$260,VLOOKUP(A1012,Ingreso!AL:AM,2,FALSE),FALSE)/24,""))),"")=0,"",IFERROR(IF(C1012=C1010,0,IF(E1012=E1011,0,IF(C1012=$R$4,HLOOKUP($R$4,Ingreso!$AW$10:$BC$260,VLOOKUP(A1012,Ingreso!AL:AM,2,FALSE),FALSE)/24,""))),""))</f>
        <v/>
      </c>
      <c r="P1012" s="90"/>
      <c r="V1012"/>
      <c r="W1012" s="62"/>
      <c r="X1012" s="62"/>
      <c r="Y1012" s="62"/>
      <c r="Z1012" s="62"/>
      <c r="AA1012" s="62"/>
      <c r="AB1012" s="62"/>
      <c r="AC1012" s="62"/>
    </row>
    <row r="1013" spans="1:29">
      <c r="A1013" s="65" t="str">
        <f>IFERROR(VLOOKUP('Informe Kelly'!A1006,Base!A:B,2,FALSE),"")</f>
        <v>16.441.340-3</v>
      </c>
      <c r="B1013" s="65" t="str">
        <f>IFERROR(VLOOKUP('Informe Kelly'!A1006,Base!A:G,7,FALSE),"")</f>
        <v>ORMAZABAL CACERES LUIS HERNAN</v>
      </c>
      <c r="C1013" s="69" t="str">
        <f>IF(G1013=$C$4,IF('Informe Kelly'!H1006='Control informe Kelly'!$A$2,TEXT(((LEFT('Informe Kelly'!E1006,2)*1)+1),"dd")&amp;"."&amp;MID('Informe Kelly'!E1006,4,2)&amp;"."&amp;RIGHT('Informe Kelly'!E1006,4),'Informe Kelly'!E1006),'Informe Kelly'!E1006)</f>
        <v>12.04.2011</v>
      </c>
      <c r="D1013" s="69" t="str">
        <f>IF('Informe Kelly'!E1006="","",'Informe Kelly'!E1006)</f>
        <v>12.04.2011</v>
      </c>
      <c r="E1013" s="72">
        <f t="shared" si="31"/>
        <v>515</v>
      </c>
      <c r="F1013" s="72" t="str">
        <f>IFERROR(HLOOKUP(C1013,Ingreso!$Q$8:$AD$9,2,FALSE),"v")</f>
        <v>Martes</v>
      </c>
      <c r="G1013" s="65" t="str">
        <f>IFERROR(VLOOKUP(A1013,Ingreso!K:P,6,FALSE),"no esta ingresado")</f>
        <v>Turno A</v>
      </c>
      <c r="H1013" s="65" t="str">
        <f>IFERROR(IF('Informe Kelly'!H1006=$A$2,'Informe Kelly'!F1006,""),0)</f>
        <v/>
      </c>
      <c r="I1013" s="65">
        <f>IFERROR(IF('Informe Kelly'!H1006=$A$3,'Informe Kelly'!F1006,""),0)</f>
        <v>0.62511574074074072</v>
      </c>
      <c r="J1013" s="65" t="str">
        <f>IF(IFERROR(IF(E1013=E1012,0,(HLOOKUP(D1013,Ingreso!$AN$10:$AT$260,VLOOKUP(A1013,Ingreso!$AL$11:$AM$260,2,FALSE)))/24),0)=0,"",IFERROR(IF(E1013=E1012,0,(HLOOKUP(D1013,Ingreso!$AN$10:$AT$260,VLOOKUP(A1013,Ingreso!$AL$11:$AM$260,2,FALSE)))/24),0))</f>
        <v/>
      </c>
      <c r="K1013" s="65" t="str">
        <f>IF(IFERROR(IF(E1013=E1012,0,(HLOOKUP(C1013,Ingreso!$AW$10:$BC$260,VLOOKUP(A1013,Ingreso!$AL$11:$AM$260,2,FALSE)))/24),0)=0,"",IFERROR(IF(E1013=E1012,0,(HLOOKUP(C1013,Ingreso!$AW$10:$BC$260,VLOOKUP(A1013,Ingreso!$AL$11:$AM$260,2,FALSE)))/24),0))</f>
        <v/>
      </c>
      <c r="L1013" s="63">
        <f t="shared" si="30"/>
        <v>0.3125</v>
      </c>
      <c r="M1013" s="63" t="str">
        <f>IF(IFERROR(IF(C1013=C1011,0,IF(E1013=E1012,0,IF(C1013=$R$2,HLOOKUP($R$2,Ingreso!$AW$10:$BC$260,VLOOKUP(A1013,Ingreso!AL:AM,2,FALSE),FALSE)/24,""))),"")=0,"",IFERROR(IF(C1013=C1011,0,IF(E1013=E1012,0,IF(C1013=$R$2,HLOOKUP($R$2,Ingreso!$AW$10:$BC$260,VLOOKUP(A1013,Ingreso!AL:AM,2,FALSE),FALSE)/24,""))),""))</f>
        <v/>
      </c>
      <c r="N1013" s="95" t="str">
        <f>IF(IFERROR(IF(C1013=C1011,0,IF(E1013=E1012,0,IF(C1013=$R$3,HLOOKUP($R$3,Ingreso!$AW$10:$BC$260,VLOOKUP(A1013,Ingreso!AL:AM,2,FALSE),FALSE)/24,""))),"")=0,"",IFERROR(IF(C1013=C1011,0,IF(E1013=E1012,0,IF(C1013=$R$3,HLOOKUP($R$3,Ingreso!$AW$10:$BC$260,VLOOKUP(A1013,Ingreso!AL:AM,2,FALSE),FALSE)/24,""))),""))</f>
        <v/>
      </c>
      <c r="O1013" s="95" t="str">
        <f>IF(IFERROR(IF(C1013=C1011,0,IF(E1013=E1012,0,IF(C1013=$R$4,HLOOKUP($R$4,Ingreso!$AW$10:$BC$260,VLOOKUP(A1013,Ingreso!AL:AM,2,FALSE),FALSE)/24,""))),"")=0,"",IFERROR(IF(C1013=C1011,0,IF(E1013=E1012,0,IF(C1013=$R$4,HLOOKUP($R$4,Ingreso!$AW$10:$BC$260,VLOOKUP(A1013,Ingreso!AL:AM,2,FALSE),FALSE)/24,""))),""))</f>
        <v/>
      </c>
      <c r="P1013" s="90"/>
      <c r="V1013"/>
      <c r="W1013" s="62"/>
      <c r="X1013" s="62"/>
      <c r="Y1013" s="62"/>
      <c r="Z1013" s="62"/>
      <c r="AA1013" s="62"/>
      <c r="AB1013" s="62"/>
      <c r="AC1013" s="62"/>
    </row>
    <row r="1014" spans="1:29">
      <c r="A1014" s="65" t="str">
        <f>IFERROR(VLOOKUP('Informe Kelly'!A1007,Base!A:B,2,FALSE),"")</f>
        <v>16.441.340-3</v>
      </c>
      <c r="B1014" s="65" t="str">
        <f>IFERROR(VLOOKUP('Informe Kelly'!A1007,Base!A:G,7,FALSE),"")</f>
        <v>ORMAZABAL CACERES LUIS HERNAN</v>
      </c>
      <c r="C1014" s="69" t="str">
        <f>IF(G1014=$C$4,IF('Informe Kelly'!H1007='Control informe Kelly'!$A$2,TEXT(((LEFT('Informe Kelly'!E1007,2)*1)+1),"dd")&amp;"."&amp;MID('Informe Kelly'!E1007,4,2)&amp;"."&amp;RIGHT('Informe Kelly'!E1007,4),'Informe Kelly'!E1007),'Informe Kelly'!E1007)</f>
        <v>12.04.2011</v>
      </c>
      <c r="D1014" s="69" t="str">
        <f>IF('Informe Kelly'!E1007="","",'Informe Kelly'!E1007)</f>
        <v>12.04.2011</v>
      </c>
      <c r="E1014" s="72">
        <f t="shared" si="31"/>
        <v>515</v>
      </c>
      <c r="F1014" s="72" t="str">
        <f>IFERROR(HLOOKUP(C1014,Ingreso!$Q$8:$AD$9,2,FALSE),"v")</f>
        <v>Martes</v>
      </c>
      <c r="G1014" s="65" t="str">
        <f>IFERROR(VLOOKUP(A1014,Ingreso!K:P,6,FALSE),"no esta ingresado")</f>
        <v>Turno A</v>
      </c>
      <c r="H1014" s="65">
        <f>IFERROR(IF('Informe Kelly'!H1007=$A$2,'Informe Kelly'!F1007,""),0)</f>
        <v>0.30959490740740742</v>
      </c>
      <c r="I1014" s="65" t="str">
        <f>IFERROR(IF('Informe Kelly'!H1007=$A$3,'Informe Kelly'!F1007,""),0)</f>
        <v/>
      </c>
      <c r="J1014" s="65" t="str">
        <f>IF(IFERROR(IF(E1014=E1013,0,(HLOOKUP(D1014,Ingreso!$AN$10:$AT$260,VLOOKUP(A1014,Ingreso!$AL$11:$AM$260,2,FALSE)))/24),0)=0,"",IFERROR(IF(E1014=E1013,0,(HLOOKUP(D1014,Ingreso!$AN$10:$AT$260,VLOOKUP(A1014,Ingreso!$AL$11:$AM$260,2,FALSE)))/24),0))</f>
        <v/>
      </c>
      <c r="K1014" s="65" t="str">
        <f>IF(IFERROR(IF(E1014=E1013,0,(HLOOKUP(C1014,Ingreso!$AW$10:$BC$260,VLOOKUP(A1014,Ingreso!$AL$11:$AM$260,2,FALSE)))/24),0)=0,"",IFERROR(IF(E1014=E1013,0,(HLOOKUP(C1014,Ingreso!$AW$10:$BC$260,VLOOKUP(A1014,Ingreso!$AL$11:$AM$260,2,FALSE)))/24),0))</f>
        <v/>
      </c>
      <c r="L1014" s="63">
        <f t="shared" si="30"/>
        <v>0</v>
      </c>
      <c r="M1014" s="63" t="str">
        <f>IF(IFERROR(IF(C1014=C1012,0,IF(E1014=E1013,0,IF(C1014=$R$2,HLOOKUP($R$2,Ingreso!$AW$10:$BC$260,VLOOKUP(A1014,Ingreso!AL:AM,2,FALSE),FALSE)/24,""))),"")=0,"",IFERROR(IF(C1014=C1012,0,IF(E1014=E1013,0,IF(C1014=$R$2,HLOOKUP($R$2,Ingreso!$AW$10:$BC$260,VLOOKUP(A1014,Ingreso!AL:AM,2,FALSE),FALSE)/24,""))),""))</f>
        <v/>
      </c>
      <c r="N1014" s="95" t="str">
        <f>IF(IFERROR(IF(C1014=C1012,0,IF(E1014=E1013,0,IF(C1014=$R$3,HLOOKUP($R$3,Ingreso!$AW$10:$BC$260,VLOOKUP(A1014,Ingreso!AL:AM,2,FALSE),FALSE)/24,""))),"")=0,"",IFERROR(IF(C1014=C1012,0,IF(E1014=E1013,0,IF(C1014=$R$3,HLOOKUP($R$3,Ingreso!$AW$10:$BC$260,VLOOKUP(A1014,Ingreso!AL:AM,2,FALSE),FALSE)/24,""))),""))</f>
        <v/>
      </c>
      <c r="O1014" s="95" t="str">
        <f>IF(IFERROR(IF(C1014=C1012,0,IF(E1014=E1013,0,IF(C1014=$R$4,HLOOKUP($R$4,Ingreso!$AW$10:$BC$260,VLOOKUP(A1014,Ingreso!AL:AM,2,FALSE),FALSE)/24,""))),"")=0,"",IFERROR(IF(C1014=C1012,0,IF(E1014=E1013,0,IF(C1014=$R$4,HLOOKUP($R$4,Ingreso!$AW$10:$BC$260,VLOOKUP(A1014,Ingreso!AL:AM,2,FALSE),FALSE)/24,""))),""))</f>
        <v/>
      </c>
      <c r="P1014" s="90"/>
      <c r="V1014"/>
      <c r="W1014" s="62"/>
      <c r="X1014" s="62"/>
      <c r="Y1014" s="62"/>
      <c r="Z1014" s="62"/>
      <c r="AA1014" s="62"/>
      <c r="AB1014" s="62"/>
      <c r="AC1014" s="62"/>
    </row>
    <row r="1015" spans="1:29">
      <c r="A1015" s="65" t="str">
        <f>IFERROR(VLOOKUP('Informe Kelly'!A1008,Base!A:B,2,FALSE),"")</f>
        <v>16.441.340-3</v>
      </c>
      <c r="B1015" s="65" t="str">
        <f>IFERROR(VLOOKUP('Informe Kelly'!A1008,Base!A:G,7,FALSE),"")</f>
        <v>ORMAZABAL CACERES LUIS HERNAN</v>
      </c>
      <c r="C1015" s="69" t="str">
        <f>IF(G1015=$C$4,IF('Informe Kelly'!H1008='Control informe Kelly'!$A$2,TEXT(((LEFT('Informe Kelly'!E1008,2)*1)+1),"dd")&amp;"."&amp;MID('Informe Kelly'!E1008,4,2)&amp;"."&amp;RIGHT('Informe Kelly'!E1008,4),'Informe Kelly'!E1008),'Informe Kelly'!E1008)</f>
        <v>13.04.2011</v>
      </c>
      <c r="D1015" s="69" t="str">
        <f>IF('Informe Kelly'!E1008="","",'Informe Kelly'!E1008)</f>
        <v>13.04.2011</v>
      </c>
      <c r="E1015" s="72">
        <f t="shared" si="31"/>
        <v>516</v>
      </c>
      <c r="F1015" s="72" t="str">
        <f>IFERROR(HLOOKUP(C1015,Ingreso!$Q$8:$AD$9,2,FALSE),"v")</f>
        <v>Miércoles</v>
      </c>
      <c r="G1015" s="65" t="str">
        <f>IFERROR(VLOOKUP(A1015,Ingreso!K:P,6,FALSE),"no esta ingresado")</f>
        <v>Turno A</v>
      </c>
      <c r="H1015" s="65" t="str">
        <f>IFERROR(IF('Informe Kelly'!H1008=$A$2,'Informe Kelly'!F1008,""),0)</f>
        <v/>
      </c>
      <c r="I1015" s="65">
        <f>IFERROR(IF('Informe Kelly'!H1008=$A$3,'Informe Kelly'!F1008,""),0)</f>
        <v>0.63962962962962966</v>
      </c>
      <c r="J1015" s="65" t="str">
        <f>IF(IFERROR(IF(E1015=E1014,0,(HLOOKUP(D1015,Ingreso!$AN$10:$AT$260,VLOOKUP(A1015,Ingreso!$AL$11:$AM$260,2,FALSE)))/24),0)=0,"",IFERROR(IF(E1015=E1014,0,(HLOOKUP(D1015,Ingreso!$AN$10:$AT$260,VLOOKUP(A1015,Ingreso!$AL$11:$AM$260,2,FALSE)))/24),0))</f>
        <v/>
      </c>
      <c r="K1015" s="65" t="str">
        <f>IF(IFERROR(IF(E1015=E1014,0,(HLOOKUP(C1015,Ingreso!$AW$10:$BC$260,VLOOKUP(A1015,Ingreso!$AL$11:$AM$260,2,FALSE)))/24),0)=0,"",IFERROR(IF(E1015=E1014,0,(HLOOKUP(C1015,Ingreso!$AW$10:$BC$260,VLOOKUP(A1015,Ingreso!$AL$11:$AM$260,2,FALSE)))/24),0))</f>
        <v/>
      </c>
      <c r="L1015" s="63">
        <f t="shared" si="30"/>
        <v>0.3125</v>
      </c>
      <c r="M1015" s="63" t="str">
        <f>IF(IFERROR(IF(C1015=C1013,0,IF(E1015=E1014,0,IF(C1015=$R$2,HLOOKUP($R$2,Ingreso!$AW$10:$BC$260,VLOOKUP(A1015,Ingreso!AL:AM,2,FALSE),FALSE)/24,""))),"")=0,"",IFERROR(IF(C1015=C1013,0,IF(E1015=E1014,0,IF(C1015=$R$2,HLOOKUP($R$2,Ingreso!$AW$10:$BC$260,VLOOKUP(A1015,Ingreso!AL:AM,2,FALSE),FALSE)/24,""))),""))</f>
        <v/>
      </c>
      <c r="N1015" s="95" t="str">
        <f>IF(IFERROR(IF(C1015=C1013,0,IF(E1015=E1014,0,IF(C1015=$R$3,HLOOKUP($R$3,Ingreso!$AW$10:$BC$260,VLOOKUP(A1015,Ingreso!AL:AM,2,FALSE),FALSE)/24,""))),"")=0,"",IFERROR(IF(C1015=C1013,0,IF(E1015=E1014,0,IF(C1015=$R$3,HLOOKUP($R$3,Ingreso!$AW$10:$BC$260,VLOOKUP(A1015,Ingreso!AL:AM,2,FALSE),FALSE)/24,""))),""))</f>
        <v/>
      </c>
      <c r="O1015" s="95" t="str">
        <f>IF(IFERROR(IF(C1015=C1013,0,IF(E1015=E1014,0,IF(C1015=$R$4,HLOOKUP($R$4,Ingreso!$AW$10:$BC$260,VLOOKUP(A1015,Ingreso!AL:AM,2,FALSE),FALSE)/24,""))),"")=0,"",IFERROR(IF(C1015=C1013,0,IF(E1015=E1014,0,IF(C1015=$R$4,HLOOKUP($R$4,Ingreso!$AW$10:$BC$260,VLOOKUP(A1015,Ingreso!AL:AM,2,FALSE),FALSE)/24,""))),""))</f>
        <v/>
      </c>
      <c r="P1015" s="90"/>
      <c r="V1015"/>
      <c r="W1015" s="62"/>
      <c r="X1015" s="62"/>
      <c r="Y1015" s="62"/>
      <c r="Z1015" s="62"/>
      <c r="AA1015" s="62"/>
      <c r="AB1015" s="62"/>
      <c r="AC1015" s="62"/>
    </row>
    <row r="1016" spans="1:29">
      <c r="A1016" s="65" t="str">
        <f>IFERROR(VLOOKUP('Informe Kelly'!A1009,Base!A:B,2,FALSE),"")</f>
        <v>16.441.340-3</v>
      </c>
      <c r="B1016" s="65" t="str">
        <f>IFERROR(VLOOKUP('Informe Kelly'!A1009,Base!A:G,7,FALSE),"")</f>
        <v>ORMAZABAL CACERES LUIS HERNAN</v>
      </c>
      <c r="C1016" s="69" t="str">
        <f>IF(G1016=$C$4,IF('Informe Kelly'!H1009='Control informe Kelly'!$A$2,TEXT(((LEFT('Informe Kelly'!E1009,2)*1)+1),"dd")&amp;"."&amp;MID('Informe Kelly'!E1009,4,2)&amp;"."&amp;RIGHT('Informe Kelly'!E1009,4),'Informe Kelly'!E1009),'Informe Kelly'!E1009)</f>
        <v>13.04.2011</v>
      </c>
      <c r="D1016" s="69" t="str">
        <f>IF('Informe Kelly'!E1009="","",'Informe Kelly'!E1009)</f>
        <v>13.04.2011</v>
      </c>
      <c r="E1016" s="72">
        <f t="shared" si="31"/>
        <v>516</v>
      </c>
      <c r="F1016" s="72" t="str">
        <f>IFERROR(HLOOKUP(C1016,Ingreso!$Q$8:$AD$9,2,FALSE),"v")</f>
        <v>Miércoles</v>
      </c>
      <c r="G1016" s="65" t="str">
        <f>IFERROR(VLOOKUP(A1016,Ingreso!K:P,6,FALSE),"no esta ingresado")</f>
        <v>Turno A</v>
      </c>
      <c r="H1016" s="65">
        <f>IFERROR(IF('Informe Kelly'!H1009=$A$2,'Informe Kelly'!F1009,""),0)</f>
        <v>0.31618055555555552</v>
      </c>
      <c r="I1016" s="65" t="str">
        <f>IFERROR(IF('Informe Kelly'!H1009=$A$3,'Informe Kelly'!F1009,""),0)</f>
        <v/>
      </c>
      <c r="J1016" s="65" t="str">
        <f>IF(IFERROR(IF(E1016=E1015,0,(HLOOKUP(D1016,Ingreso!$AN$10:$AT$260,VLOOKUP(A1016,Ingreso!$AL$11:$AM$260,2,FALSE)))/24),0)=0,"",IFERROR(IF(E1016=E1015,0,(HLOOKUP(D1016,Ingreso!$AN$10:$AT$260,VLOOKUP(A1016,Ingreso!$AL$11:$AM$260,2,FALSE)))/24),0))</f>
        <v/>
      </c>
      <c r="K1016" s="65" t="str">
        <f>IF(IFERROR(IF(E1016=E1015,0,(HLOOKUP(C1016,Ingreso!$AW$10:$BC$260,VLOOKUP(A1016,Ingreso!$AL$11:$AM$260,2,FALSE)))/24),0)=0,"",IFERROR(IF(E1016=E1015,0,(HLOOKUP(C1016,Ingreso!$AW$10:$BC$260,VLOOKUP(A1016,Ingreso!$AL$11:$AM$260,2,FALSE)))/24),0))</f>
        <v/>
      </c>
      <c r="L1016" s="63">
        <f t="shared" si="30"/>
        <v>0</v>
      </c>
      <c r="M1016" s="63" t="str">
        <f>IF(IFERROR(IF(C1016=C1014,0,IF(E1016=E1015,0,IF(C1016=$R$2,HLOOKUP($R$2,Ingreso!$AW$10:$BC$260,VLOOKUP(A1016,Ingreso!AL:AM,2,FALSE),FALSE)/24,""))),"")=0,"",IFERROR(IF(C1016=C1014,0,IF(E1016=E1015,0,IF(C1016=$R$2,HLOOKUP($R$2,Ingreso!$AW$10:$BC$260,VLOOKUP(A1016,Ingreso!AL:AM,2,FALSE),FALSE)/24,""))),""))</f>
        <v/>
      </c>
      <c r="N1016" s="95" t="str">
        <f>IF(IFERROR(IF(C1016=C1014,0,IF(E1016=E1015,0,IF(C1016=$R$3,HLOOKUP($R$3,Ingreso!$AW$10:$BC$260,VLOOKUP(A1016,Ingreso!AL:AM,2,FALSE),FALSE)/24,""))),"")=0,"",IFERROR(IF(C1016=C1014,0,IF(E1016=E1015,0,IF(C1016=$R$3,HLOOKUP($R$3,Ingreso!$AW$10:$BC$260,VLOOKUP(A1016,Ingreso!AL:AM,2,FALSE),FALSE)/24,""))),""))</f>
        <v/>
      </c>
      <c r="O1016" s="95" t="str">
        <f>IF(IFERROR(IF(C1016=C1014,0,IF(E1016=E1015,0,IF(C1016=$R$4,HLOOKUP($R$4,Ingreso!$AW$10:$BC$260,VLOOKUP(A1016,Ingreso!AL:AM,2,FALSE),FALSE)/24,""))),"")=0,"",IFERROR(IF(C1016=C1014,0,IF(E1016=E1015,0,IF(C1016=$R$4,HLOOKUP($R$4,Ingreso!$AW$10:$BC$260,VLOOKUP(A1016,Ingreso!AL:AM,2,FALSE),FALSE)/24,""))),""))</f>
        <v/>
      </c>
      <c r="P1016" s="90"/>
      <c r="V1016"/>
      <c r="W1016" s="62"/>
      <c r="X1016" s="62"/>
      <c r="Y1016" s="62"/>
      <c r="Z1016" s="62"/>
      <c r="AA1016" s="62"/>
      <c r="AB1016" s="62"/>
      <c r="AC1016" s="62"/>
    </row>
    <row r="1017" spans="1:29">
      <c r="A1017" s="65" t="str">
        <f>IFERROR(VLOOKUP('Informe Kelly'!A1010,Base!A:B,2,FALSE),"")</f>
        <v>16.441.340-3</v>
      </c>
      <c r="B1017" s="65" t="str">
        <f>IFERROR(VLOOKUP('Informe Kelly'!A1010,Base!A:G,7,FALSE),"")</f>
        <v>ORMAZABAL CACERES LUIS HERNAN</v>
      </c>
      <c r="C1017" s="69" t="str">
        <f>IF(G1017=$C$4,IF('Informe Kelly'!H1010='Control informe Kelly'!$A$2,TEXT(((LEFT('Informe Kelly'!E1010,2)*1)+1),"dd")&amp;"."&amp;MID('Informe Kelly'!E1010,4,2)&amp;"."&amp;RIGHT('Informe Kelly'!E1010,4),'Informe Kelly'!E1010),'Informe Kelly'!E1010)</f>
        <v>14.04.2011</v>
      </c>
      <c r="D1017" s="69" t="str">
        <f>IF('Informe Kelly'!E1010="","",'Informe Kelly'!E1010)</f>
        <v>14.04.2011</v>
      </c>
      <c r="E1017" s="72">
        <f t="shared" si="31"/>
        <v>517</v>
      </c>
      <c r="F1017" s="72" t="str">
        <f>IFERROR(HLOOKUP(C1017,Ingreso!$Q$8:$AD$9,2,FALSE),"v")</f>
        <v>Jueves</v>
      </c>
      <c r="G1017" s="65" t="str">
        <f>IFERROR(VLOOKUP(A1017,Ingreso!K:P,6,FALSE),"no esta ingresado")</f>
        <v>Turno A</v>
      </c>
      <c r="H1017" s="65" t="str">
        <f>IFERROR(IF('Informe Kelly'!H1010=$A$2,'Informe Kelly'!F1010,""),0)</f>
        <v/>
      </c>
      <c r="I1017" s="65">
        <f>IFERROR(IF('Informe Kelly'!H1010=$A$3,'Informe Kelly'!F1010,""),0)</f>
        <v>0.62822916666666673</v>
      </c>
      <c r="J1017" s="65" t="str">
        <f>IF(IFERROR(IF(E1017=E1016,0,(HLOOKUP(D1017,Ingreso!$AN$10:$AT$260,VLOOKUP(A1017,Ingreso!$AL$11:$AM$260,2,FALSE)))/24),0)=0,"",IFERROR(IF(E1017=E1016,0,(HLOOKUP(D1017,Ingreso!$AN$10:$AT$260,VLOOKUP(A1017,Ingreso!$AL$11:$AM$260,2,FALSE)))/24),0))</f>
        <v/>
      </c>
      <c r="K1017" s="65" t="str">
        <f>IF(IFERROR(IF(E1017=E1016,0,(HLOOKUP(C1017,Ingreso!$AW$10:$BC$260,VLOOKUP(A1017,Ingreso!$AL$11:$AM$260,2,FALSE)))/24),0)=0,"",IFERROR(IF(E1017=E1016,0,(HLOOKUP(C1017,Ingreso!$AW$10:$BC$260,VLOOKUP(A1017,Ingreso!$AL$11:$AM$260,2,FALSE)))/24),0))</f>
        <v/>
      </c>
      <c r="L1017" s="63">
        <f t="shared" si="30"/>
        <v>0.3125</v>
      </c>
      <c r="M1017" s="63" t="str">
        <f>IF(IFERROR(IF(C1017=C1015,0,IF(E1017=E1016,0,IF(C1017=$R$2,HLOOKUP($R$2,Ingreso!$AW$10:$BC$260,VLOOKUP(A1017,Ingreso!AL:AM,2,FALSE),FALSE)/24,""))),"")=0,"",IFERROR(IF(C1017=C1015,0,IF(E1017=E1016,0,IF(C1017=$R$2,HLOOKUP($R$2,Ingreso!$AW$10:$BC$260,VLOOKUP(A1017,Ingreso!AL:AM,2,FALSE),FALSE)/24,""))),""))</f>
        <v/>
      </c>
      <c r="N1017" s="95" t="str">
        <f>IF(IFERROR(IF(C1017=C1015,0,IF(E1017=E1016,0,IF(C1017=$R$3,HLOOKUP($R$3,Ingreso!$AW$10:$BC$260,VLOOKUP(A1017,Ingreso!AL:AM,2,FALSE),FALSE)/24,""))),"")=0,"",IFERROR(IF(C1017=C1015,0,IF(E1017=E1016,0,IF(C1017=$R$3,HLOOKUP($R$3,Ingreso!$AW$10:$BC$260,VLOOKUP(A1017,Ingreso!AL:AM,2,FALSE),FALSE)/24,""))),""))</f>
        <v/>
      </c>
      <c r="O1017" s="95" t="str">
        <f>IF(IFERROR(IF(C1017=C1015,0,IF(E1017=E1016,0,IF(C1017=$R$4,HLOOKUP($R$4,Ingreso!$AW$10:$BC$260,VLOOKUP(A1017,Ingreso!AL:AM,2,FALSE),FALSE)/24,""))),"")=0,"",IFERROR(IF(C1017=C1015,0,IF(E1017=E1016,0,IF(C1017=$R$4,HLOOKUP($R$4,Ingreso!$AW$10:$BC$260,VLOOKUP(A1017,Ingreso!AL:AM,2,FALSE),FALSE)/24,""))),""))</f>
        <v/>
      </c>
      <c r="P1017" s="90"/>
      <c r="V1017"/>
      <c r="W1017" s="62"/>
      <c r="X1017" s="62"/>
      <c r="Y1017" s="62"/>
      <c r="Z1017" s="62"/>
      <c r="AA1017" s="62"/>
      <c r="AB1017" s="62"/>
      <c r="AC1017" s="62"/>
    </row>
    <row r="1018" spans="1:29">
      <c r="A1018" s="65" t="str">
        <f>IFERROR(VLOOKUP('Informe Kelly'!A1011,Base!A:B,2,FALSE),"")</f>
        <v>16.441.340-3</v>
      </c>
      <c r="B1018" s="65" t="str">
        <f>IFERROR(VLOOKUP('Informe Kelly'!A1011,Base!A:G,7,FALSE),"")</f>
        <v>ORMAZABAL CACERES LUIS HERNAN</v>
      </c>
      <c r="C1018" s="69" t="str">
        <f>IF(G1018=$C$4,IF('Informe Kelly'!H1011='Control informe Kelly'!$A$2,TEXT(((LEFT('Informe Kelly'!E1011,2)*1)+1),"dd")&amp;"."&amp;MID('Informe Kelly'!E1011,4,2)&amp;"."&amp;RIGHT('Informe Kelly'!E1011,4),'Informe Kelly'!E1011),'Informe Kelly'!E1011)</f>
        <v>14.04.2011</v>
      </c>
      <c r="D1018" s="69" t="str">
        <f>IF('Informe Kelly'!E1011="","",'Informe Kelly'!E1011)</f>
        <v>14.04.2011</v>
      </c>
      <c r="E1018" s="72">
        <f t="shared" si="31"/>
        <v>517</v>
      </c>
      <c r="F1018" s="72" t="str">
        <f>IFERROR(HLOOKUP(C1018,Ingreso!$Q$8:$AD$9,2,FALSE),"v")</f>
        <v>Jueves</v>
      </c>
      <c r="G1018" s="65" t="str">
        <f>IFERROR(VLOOKUP(A1018,Ingreso!K:P,6,FALSE),"no esta ingresado")</f>
        <v>Turno A</v>
      </c>
      <c r="H1018" s="65">
        <f>IFERROR(IF('Informe Kelly'!H1011=$A$2,'Informe Kelly'!F1011,""),0)</f>
        <v>0.31724537037037037</v>
      </c>
      <c r="I1018" s="65" t="str">
        <f>IFERROR(IF('Informe Kelly'!H1011=$A$3,'Informe Kelly'!F1011,""),0)</f>
        <v/>
      </c>
      <c r="J1018" s="65" t="str">
        <f>IF(IFERROR(IF(E1018=E1017,0,(HLOOKUP(D1018,Ingreso!$AN$10:$AT$260,VLOOKUP(A1018,Ingreso!$AL$11:$AM$260,2,FALSE)))/24),0)=0,"",IFERROR(IF(E1018=E1017,0,(HLOOKUP(D1018,Ingreso!$AN$10:$AT$260,VLOOKUP(A1018,Ingreso!$AL$11:$AM$260,2,FALSE)))/24),0))</f>
        <v/>
      </c>
      <c r="K1018" s="65" t="str">
        <f>IF(IFERROR(IF(E1018=E1017,0,(HLOOKUP(C1018,Ingreso!$AW$10:$BC$260,VLOOKUP(A1018,Ingreso!$AL$11:$AM$260,2,FALSE)))/24),0)=0,"",IFERROR(IF(E1018=E1017,0,(HLOOKUP(C1018,Ingreso!$AW$10:$BC$260,VLOOKUP(A1018,Ingreso!$AL$11:$AM$260,2,FALSE)))/24),0))</f>
        <v/>
      </c>
      <c r="L1018" s="63">
        <f t="shared" si="30"/>
        <v>0</v>
      </c>
      <c r="M1018" s="63" t="str">
        <f>IF(IFERROR(IF(C1018=C1016,0,IF(E1018=E1017,0,IF(C1018=$R$2,HLOOKUP($R$2,Ingreso!$AW$10:$BC$260,VLOOKUP(A1018,Ingreso!AL:AM,2,FALSE),FALSE)/24,""))),"")=0,"",IFERROR(IF(C1018=C1016,0,IF(E1018=E1017,0,IF(C1018=$R$2,HLOOKUP($R$2,Ingreso!$AW$10:$BC$260,VLOOKUP(A1018,Ingreso!AL:AM,2,FALSE),FALSE)/24,""))),""))</f>
        <v/>
      </c>
      <c r="N1018" s="95" t="str">
        <f>IF(IFERROR(IF(C1018=C1016,0,IF(E1018=E1017,0,IF(C1018=$R$3,HLOOKUP($R$3,Ingreso!$AW$10:$BC$260,VLOOKUP(A1018,Ingreso!AL:AM,2,FALSE),FALSE)/24,""))),"")=0,"",IFERROR(IF(C1018=C1016,0,IF(E1018=E1017,0,IF(C1018=$R$3,HLOOKUP($R$3,Ingreso!$AW$10:$BC$260,VLOOKUP(A1018,Ingreso!AL:AM,2,FALSE),FALSE)/24,""))),""))</f>
        <v/>
      </c>
      <c r="O1018" s="95" t="str">
        <f>IF(IFERROR(IF(C1018=C1016,0,IF(E1018=E1017,0,IF(C1018=$R$4,HLOOKUP($R$4,Ingreso!$AW$10:$BC$260,VLOOKUP(A1018,Ingreso!AL:AM,2,FALSE),FALSE)/24,""))),"")=0,"",IFERROR(IF(C1018=C1016,0,IF(E1018=E1017,0,IF(C1018=$R$4,HLOOKUP($R$4,Ingreso!$AW$10:$BC$260,VLOOKUP(A1018,Ingreso!AL:AM,2,FALSE),FALSE)/24,""))),""))</f>
        <v/>
      </c>
      <c r="P1018" s="90"/>
      <c r="V1018"/>
      <c r="W1018" s="62"/>
      <c r="X1018" s="62"/>
      <c r="Y1018" s="62"/>
      <c r="Z1018" s="62"/>
      <c r="AA1018" s="62"/>
      <c r="AB1018" s="62"/>
      <c r="AC1018" s="62"/>
    </row>
    <row r="1019" spans="1:29">
      <c r="A1019" s="65" t="str">
        <f>IFERROR(VLOOKUP('Informe Kelly'!A1012,Base!A:B,2,FALSE),"")</f>
        <v>16.441.340-3</v>
      </c>
      <c r="B1019" s="65" t="str">
        <f>IFERROR(VLOOKUP('Informe Kelly'!A1012,Base!A:G,7,FALSE),"")</f>
        <v>ORMAZABAL CACERES LUIS HERNAN</v>
      </c>
      <c r="C1019" s="69" t="str">
        <f>IF(G1019=$C$4,IF('Informe Kelly'!H1012='Control informe Kelly'!$A$2,TEXT(((LEFT('Informe Kelly'!E1012,2)*1)+1),"dd")&amp;"."&amp;MID('Informe Kelly'!E1012,4,2)&amp;"."&amp;RIGHT('Informe Kelly'!E1012,4),'Informe Kelly'!E1012),'Informe Kelly'!E1012)</f>
        <v>15.04.2011</v>
      </c>
      <c r="D1019" s="69" t="str">
        <f>IF('Informe Kelly'!E1012="","",'Informe Kelly'!E1012)</f>
        <v>15.04.2011</v>
      </c>
      <c r="E1019" s="72">
        <f t="shared" si="31"/>
        <v>518</v>
      </c>
      <c r="F1019" s="72" t="str">
        <f>IFERROR(HLOOKUP(C1019,Ingreso!$Q$8:$AD$9,2,FALSE),"v")</f>
        <v>Viernes</v>
      </c>
      <c r="G1019" s="65" t="str">
        <f>IFERROR(VLOOKUP(A1019,Ingreso!K:P,6,FALSE),"no esta ingresado")</f>
        <v>Turno A</v>
      </c>
      <c r="H1019" s="65" t="str">
        <f>IFERROR(IF('Informe Kelly'!H1012=$A$2,'Informe Kelly'!F1012,""),0)</f>
        <v/>
      </c>
      <c r="I1019" s="65">
        <f>IFERROR(IF('Informe Kelly'!H1012=$A$3,'Informe Kelly'!F1012,""),0)</f>
        <v>0.62652777777777779</v>
      </c>
      <c r="J1019" s="65" t="str">
        <f>IF(IFERROR(IF(E1019=E1018,0,(HLOOKUP(D1019,Ingreso!$AN$10:$AT$260,VLOOKUP(A1019,Ingreso!$AL$11:$AM$260,2,FALSE)))/24),0)=0,"",IFERROR(IF(E1019=E1018,0,(HLOOKUP(D1019,Ingreso!$AN$10:$AT$260,VLOOKUP(A1019,Ingreso!$AL$11:$AM$260,2,FALSE)))/24),0))</f>
        <v/>
      </c>
      <c r="K1019" s="65" t="str">
        <f>IF(IFERROR(IF(E1019=E1018,0,(HLOOKUP(C1019,Ingreso!$AW$10:$BC$260,VLOOKUP(A1019,Ingreso!$AL$11:$AM$260,2,FALSE)))/24),0)=0,"",IFERROR(IF(E1019=E1018,0,(HLOOKUP(C1019,Ingreso!$AW$10:$BC$260,VLOOKUP(A1019,Ingreso!$AL$11:$AM$260,2,FALSE)))/24),0))</f>
        <v/>
      </c>
      <c r="L1019" s="63">
        <f t="shared" si="30"/>
        <v>0.3125</v>
      </c>
      <c r="M1019" s="63" t="str">
        <f>IF(IFERROR(IF(C1019=C1017,0,IF(E1019=E1018,0,IF(C1019=$R$2,HLOOKUP($R$2,Ingreso!$AW$10:$BC$260,VLOOKUP(A1019,Ingreso!AL:AM,2,FALSE),FALSE)/24,""))),"")=0,"",IFERROR(IF(C1019=C1017,0,IF(E1019=E1018,0,IF(C1019=$R$2,HLOOKUP($R$2,Ingreso!$AW$10:$BC$260,VLOOKUP(A1019,Ingreso!AL:AM,2,FALSE),FALSE)/24,""))),""))</f>
        <v/>
      </c>
      <c r="N1019" s="95" t="str">
        <f>IF(IFERROR(IF(C1019=C1017,0,IF(E1019=E1018,0,IF(C1019=$R$3,HLOOKUP($R$3,Ingreso!$AW$10:$BC$260,VLOOKUP(A1019,Ingreso!AL:AM,2,FALSE),FALSE)/24,""))),"")=0,"",IFERROR(IF(C1019=C1017,0,IF(E1019=E1018,0,IF(C1019=$R$3,HLOOKUP($R$3,Ingreso!$AW$10:$BC$260,VLOOKUP(A1019,Ingreso!AL:AM,2,FALSE),FALSE)/24,""))),""))</f>
        <v/>
      </c>
      <c r="O1019" s="95" t="str">
        <f>IF(IFERROR(IF(C1019=C1017,0,IF(E1019=E1018,0,IF(C1019=$R$4,HLOOKUP($R$4,Ingreso!$AW$10:$BC$260,VLOOKUP(A1019,Ingreso!AL:AM,2,FALSE),FALSE)/24,""))),"")=0,"",IFERROR(IF(C1019=C1017,0,IF(E1019=E1018,0,IF(C1019=$R$4,HLOOKUP($R$4,Ingreso!$AW$10:$BC$260,VLOOKUP(A1019,Ingreso!AL:AM,2,FALSE),FALSE)/24,""))),""))</f>
        <v/>
      </c>
      <c r="P1019" s="90"/>
      <c r="V1019"/>
      <c r="W1019" s="62"/>
      <c r="X1019" s="62"/>
      <c r="Y1019" s="62"/>
      <c r="Z1019" s="62"/>
      <c r="AA1019" s="62"/>
      <c r="AB1019" s="62"/>
      <c r="AC1019" s="62"/>
    </row>
    <row r="1020" spans="1:29">
      <c r="A1020" s="65" t="str">
        <f>IFERROR(VLOOKUP('Informe Kelly'!A1013,Base!A:B,2,FALSE),"")</f>
        <v>16.441.340-3</v>
      </c>
      <c r="B1020" s="65" t="str">
        <f>IFERROR(VLOOKUP('Informe Kelly'!A1013,Base!A:G,7,FALSE),"")</f>
        <v>ORMAZABAL CACERES LUIS HERNAN</v>
      </c>
      <c r="C1020" s="69" t="str">
        <f>IF(G1020=$C$4,IF('Informe Kelly'!H1013='Control informe Kelly'!$A$2,TEXT(((LEFT('Informe Kelly'!E1013,2)*1)+1),"dd")&amp;"."&amp;MID('Informe Kelly'!E1013,4,2)&amp;"."&amp;RIGHT('Informe Kelly'!E1013,4),'Informe Kelly'!E1013),'Informe Kelly'!E1013)</f>
        <v>15.04.2011</v>
      </c>
      <c r="D1020" s="69" t="str">
        <f>IF('Informe Kelly'!E1013="","",'Informe Kelly'!E1013)</f>
        <v>15.04.2011</v>
      </c>
      <c r="E1020" s="72">
        <f t="shared" si="31"/>
        <v>518</v>
      </c>
      <c r="F1020" s="72" t="str">
        <f>IFERROR(HLOOKUP(C1020,Ingreso!$Q$8:$AD$9,2,FALSE),"v")</f>
        <v>Viernes</v>
      </c>
      <c r="G1020" s="65" t="str">
        <f>IFERROR(VLOOKUP(A1020,Ingreso!K:P,6,FALSE),"no esta ingresado")</f>
        <v>Turno A</v>
      </c>
      <c r="H1020" s="65">
        <f>IFERROR(IF('Informe Kelly'!H1013=$A$2,'Informe Kelly'!F1013,""),0)</f>
        <v>0.31767361111111109</v>
      </c>
      <c r="I1020" s="65" t="str">
        <f>IFERROR(IF('Informe Kelly'!H1013=$A$3,'Informe Kelly'!F1013,""),0)</f>
        <v/>
      </c>
      <c r="J1020" s="65" t="str">
        <f>IF(IFERROR(IF(E1020=E1019,0,(HLOOKUP(D1020,Ingreso!$AN$10:$AT$260,VLOOKUP(A1020,Ingreso!$AL$11:$AM$260,2,FALSE)))/24),0)=0,"",IFERROR(IF(E1020=E1019,0,(HLOOKUP(D1020,Ingreso!$AN$10:$AT$260,VLOOKUP(A1020,Ingreso!$AL$11:$AM$260,2,FALSE)))/24),0))</f>
        <v/>
      </c>
      <c r="K1020" s="65" t="str">
        <f>IF(IFERROR(IF(E1020=E1019,0,(HLOOKUP(C1020,Ingreso!$AW$10:$BC$260,VLOOKUP(A1020,Ingreso!$AL$11:$AM$260,2,FALSE)))/24),0)=0,"",IFERROR(IF(E1020=E1019,0,(HLOOKUP(C1020,Ingreso!$AW$10:$BC$260,VLOOKUP(A1020,Ingreso!$AL$11:$AM$260,2,FALSE)))/24),0))</f>
        <v/>
      </c>
      <c r="L1020" s="63">
        <f t="shared" si="30"/>
        <v>0</v>
      </c>
      <c r="M1020" s="63" t="str">
        <f>IF(IFERROR(IF(C1020=C1018,0,IF(E1020=E1019,0,IF(C1020=$R$2,HLOOKUP($R$2,Ingreso!$AW$10:$BC$260,VLOOKUP(A1020,Ingreso!AL:AM,2,FALSE),FALSE)/24,""))),"")=0,"",IFERROR(IF(C1020=C1018,0,IF(E1020=E1019,0,IF(C1020=$R$2,HLOOKUP($R$2,Ingreso!$AW$10:$BC$260,VLOOKUP(A1020,Ingreso!AL:AM,2,FALSE),FALSE)/24,""))),""))</f>
        <v/>
      </c>
      <c r="N1020" s="95" t="str">
        <f>IF(IFERROR(IF(C1020=C1018,0,IF(E1020=E1019,0,IF(C1020=$R$3,HLOOKUP($R$3,Ingreso!$AW$10:$BC$260,VLOOKUP(A1020,Ingreso!AL:AM,2,FALSE),FALSE)/24,""))),"")=0,"",IFERROR(IF(C1020=C1018,0,IF(E1020=E1019,0,IF(C1020=$R$3,HLOOKUP($R$3,Ingreso!$AW$10:$BC$260,VLOOKUP(A1020,Ingreso!AL:AM,2,FALSE),FALSE)/24,""))),""))</f>
        <v/>
      </c>
      <c r="O1020" s="95" t="str">
        <f>IF(IFERROR(IF(C1020=C1018,0,IF(E1020=E1019,0,IF(C1020=$R$4,HLOOKUP($R$4,Ingreso!$AW$10:$BC$260,VLOOKUP(A1020,Ingreso!AL:AM,2,FALSE),FALSE)/24,""))),"")=0,"",IFERROR(IF(C1020=C1018,0,IF(E1020=E1019,0,IF(C1020=$R$4,HLOOKUP($R$4,Ingreso!$AW$10:$BC$260,VLOOKUP(A1020,Ingreso!AL:AM,2,FALSE),FALSE)/24,""))),""))</f>
        <v/>
      </c>
      <c r="P1020" s="90"/>
      <c r="V1020"/>
      <c r="W1020" s="62"/>
      <c r="X1020" s="62"/>
      <c r="Y1020" s="62"/>
      <c r="Z1020" s="62"/>
      <c r="AA1020" s="62"/>
      <c r="AB1020" s="62"/>
      <c r="AC1020" s="62"/>
    </row>
    <row r="1021" spans="1:29">
      <c r="A1021" s="65" t="str">
        <f>IFERROR(VLOOKUP('Informe Kelly'!A1014,Base!A:B,2,FALSE),"")</f>
        <v>16.441.340-3</v>
      </c>
      <c r="B1021" s="65" t="str">
        <f>IFERROR(VLOOKUP('Informe Kelly'!A1014,Base!A:G,7,FALSE),"")</f>
        <v>ORMAZABAL CACERES LUIS HERNAN</v>
      </c>
      <c r="C1021" s="69" t="str">
        <f>IF(G1021=$C$4,IF('Informe Kelly'!H1014='Control informe Kelly'!$A$2,TEXT(((LEFT('Informe Kelly'!E1014,2)*1)+1),"dd")&amp;"."&amp;MID('Informe Kelly'!E1014,4,2)&amp;"."&amp;RIGHT('Informe Kelly'!E1014,4),'Informe Kelly'!E1014),'Informe Kelly'!E1014)</f>
        <v>16.04.2011</v>
      </c>
      <c r="D1021" s="69" t="str">
        <f>IF('Informe Kelly'!E1014="","",'Informe Kelly'!E1014)</f>
        <v>16.04.2011</v>
      </c>
      <c r="E1021" s="72">
        <f t="shared" si="31"/>
        <v>519</v>
      </c>
      <c r="F1021" s="72" t="str">
        <f>IFERROR(HLOOKUP(C1021,Ingreso!$Q$8:$AD$9,2,FALSE),"v")</f>
        <v>Sábado</v>
      </c>
      <c r="G1021" s="65" t="str">
        <f>IFERROR(VLOOKUP(A1021,Ingreso!K:P,6,FALSE),"no esta ingresado")</f>
        <v>Turno A</v>
      </c>
      <c r="H1021" s="65" t="str">
        <f>IFERROR(IF('Informe Kelly'!H1014=$A$2,'Informe Kelly'!F1014,""),0)</f>
        <v/>
      </c>
      <c r="I1021" s="65">
        <f>IFERROR(IF('Informe Kelly'!H1014=$A$3,'Informe Kelly'!F1014,""),0)</f>
        <v>0.62703703703703706</v>
      </c>
      <c r="J1021" s="65" t="str">
        <f>IF(IFERROR(IF(E1021=E1020,0,(HLOOKUP(D1021,Ingreso!$AN$10:$AT$260,VLOOKUP(A1021,Ingreso!$AL$11:$AM$260,2,FALSE)))/24),0)=0,"",IFERROR(IF(E1021=E1020,0,(HLOOKUP(D1021,Ingreso!$AN$10:$AT$260,VLOOKUP(A1021,Ingreso!$AL$11:$AM$260,2,FALSE)))/24),0))</f>
        <v/>
      </c>
      <c r="K1021" s="65" t="str">
        <f>IF(IFERROR(IF(E1021=E1020,0,(HLOOKUP(C1021,Ingreso!$AW$10:$BC$260,VLOOKUP(A1021,Ingreso!$AL$11:$AM$260,2,FALSE)))/24),0)=0,"",IFERROR(IF(E1021=E1020,0,(HLOOKUP(C1021,Ingreso!$AW$10:$BC$260,VLOOKUP(A1021,Ingreso!$AL$11:$AM$260,2,FALSE)))/24),0))</f>
        <v/>
      </c>
      <c r="L1021" s="63">
        <f t="shared" si="30"/>
        <v>0.3125</v>
      </c>
      <c r="M1021" s="63" t="str">
        <f>IF(IFERROR(IF(C1021=C1019,0,IF(E1021=E1020,0,IF(C1021=$R$2,HLOOKUP($R$2,Ingreso!$AW$10:$BC$260,VLOOKUP(A1021,Ingreso!AL:AM,2,FALSE),FALSE)/24,""))),"")=0,"",IFERROR(IF(C1021=C1019,0,IF(E1021=E1020,0,IF(C1021=$R$2,HLOOKUP($R$2,Ingreso!$AW$10:$BC$260,VLOOKUP(A1021,Ingreso!AL:AM,2,FALSE),FALSE)/24,""))),""))</f>
        <v/>
      </c>
      <c r="N1021" s="95" t="str">
        <f>IF(IFERROR(IF(C1021=C1019,0,IF(E1021=E1020,0,IF(C1021=$R$3,HLOOKUP($R$3,Ingreso!$AW$10:$BC$260,VLOOKUP(A1021,Ingreso!AL:AM,2,FALSE),FALSE)/24,""))),"")=0,"",IFERROR(IF(C1021=C1019,0,IF(E1021=E1020,0,IF(C1021=$R$3,HLOOKUP($R$3,Ingreso!$AW$10:$BC$260,VLOOKUP(A1021,Ingreso!AL:AM,2,FALSE),FALSE)/24,""))),""))</f>
        <v/>
      </c>
      <c r="O1021" s="95" t="str">
        <f>IF(IFERROR(IF(C1021=C1019,0,IF(E1021=E1020,0,IF(C1021=$R$4,HLOOKUP($R$4,Ingreso!$AW$10:$BC$260,VLOOKUP(A1021,Ingreso!AL:AM,2,FALSE),FALSE)/24,""))),"")=0,"",IFERROR(IF(C1021=C1019,0,IF(E1021=E1020,0,IF(C1021=$R$4,HLOOKUP($R$4,Ingreso!$AW$10:$BC$260,VLOOKUP(A1021,Ingreso!AL:AM,2,FALSE),FALSE)/24,""))),""))</f>
        <v/>
      </c>
      <c r="P1021" s="90"/>
      <c r="V1021"/>
      <c r="W1021" s="62"/>
      <c r="X1021" s="62"/>
      <c r="Y1021" s="62"/>
      <c r="Z1021" s="62"/>
      <c r="AA1021" s="62"/>
      <c r="AB1021" s="62"/>
      <c r="AC1021" s="62"/>
    </row>
    <row r="1022" spans="1:29">
      <c r="A1022" s="65" t="str">
        <f>IFERROR(VLOOKUP('Informe Kelly'!A1015,Base!A:B,2,FALSE),"")</f>
        <v>16.441.340-3</v>
      </c>
      <c r="B1022" s="65" t="str">
        <f>IFERROR(VLOOKUP('Informe Kelly'!A1015,Base!A:G,7,FALSE),"")</f>
        <v>ORMAZABAL CACERES LUIS HERNAN</v>
      </c>
      <c r="C1022" s="69" t="str">
        <f>IF(G1022=$C$4,IF('Informe Kelly'!H1015='Control informe Kelly'!$A$2,TEXT(((LEFT('Informe Kelly'!E1015,2)*1)+1),"dd")&amp;"."&amp;MID('Informe Kelly'!E1015,4,2)&amp;"."&amp;RIGHT('Informe Kelly'!E1015,4),'Informe Kelly'!E1015),'Informe Kelly'!E1015)</f>
        <v>16.04.2011</v>
      </c>
      <c r="D1022" s="69" t="str">
        <f>IF('Informe Kelly'!E1015="","",'Informe Kelly'!E1015)</f>
        <v>16.04.2011</v>
      </c>
      <c r="E1022" s="72">
        <f t="shared" si="31"/>
        <v>519</v>
      </c>
      <c r="F1022" s="72" t="str">
        <f>IFERROR(HLOOKUP(C1022,Ingreso!$Q$8:$AD$9,2,FALSE),"v")</f>
        <v>Sábado</v>
      </c>
      <c r="G1022" s="65" t="str">
        <f>IFERROR(VLOOKUP(A1022,Ingreso!K:P,6,FALSE),"no esta ingresado")</f>
        <v>Turno A</v>
      </c>
      <c r="H1022" s="65">
        <f>IFERROR(IF('Informe Kelly'!H1015=$A$2,'Informe Kelly'!F1015,""),0)</f>
        <v>0.31440972222222224</v>
      </c>
      <c r="I1022" s="65" t="str">
        <f>IFERROR(IF('Informe Kelly'!H1015=$A$3,'Informe Kelly'!F1015,""),0)</f>
        <v/>
      </c>
      <c r="J1022" s="65" t="str">
        <f>IF(IFERROR(IF(E1022=E1021,0,(HLOOKUP(D1022,Ingreso!$AN$10:$AT$260,VLOOKUP(A1022,Ingreso!$AL$11:$AM$260,2,FALSE)))/24),0)=0,"",IFERROR(IF(E1022=E1021,0,(HLOOKUP(D1022,Ingreso!$AN$10:$AT$260,VLOOKUP(A1022,Ingreso!$AL$11:$AM$260,2,FALSE)))/24),0))</f>
        <v/>
      </c>
      <c r="K1022" s="65" t="str">
        <f>IF(IFERROR(IF(E1022=E1021,0,(HLOOKUP(C1022,Ingreso!$AW$10:$BC$260,VLOOKUP(A1022,Ingreso!$AL$11:$AM$260,2,FALSE)))/24),0)=0,"",IFERROR(IF(E1022=E1021,0,(HLOOKUP(C1022,Ingreso!$AW$10:$BC$260,VLOOKUP(A1022,Ingreso!$AL$11:$AM$260,2,FALSE)))/24),0))</f>
        <v/>
      </c>
      <c r="L1022" s="63">
        <f t="shared" si="30"/>
        <v>0</v>
      </c>
      <c r="M1022" s="63" t="str">
        <f>IF(IFERROR(IF(C1022=C1020,0,IF(E1022=E1021,0,IF(C1022=$R$2,HLOOKUP($R$2,Ingreso!$AW$10:$BC$260,VLOOKUP(A1022,Ingreso!AL:AM,2,FALSE),FALSE)/24,""))),"")=0,"",IFERROR(IF(C1022=C1020,0,IF(E1022=E1021,0,IF(C1022=$R$2,HLOOKUP($R$2,Ingreso!$AW$10:$BC$260,VLOOKUP(A1022,Ingreso!AL:AM,2,FALSE),FALSE)/24,""))),""))</f>
        <v/>
      </c>
      <c r="N1022" s="95" t="str">
        <f>IF(IFERROR(IF(C1022=C1020,0,IF(E1022=E1021,0,IF(C1022=$R$3,HLOOKUP($R$3,Ingreso!$AW$10:$BC$260,VLOOKUP(A1022,Ingreso!AL:AM,2,FALSE),FALSE)/24,""))),"")=0,"",IFERROR(IF(C1022=C1020,0,IF(E1022=E1021,0,IF(C1022=$R$3,HLOOKUP($R$3,Ingreso!$AW$10:$BC$260,VLOOKUP(A1022,Ingreso!AL:AM,2,FALSE),FALSE)/24,""))),""))</f>
        <v/>
      </c>
      <c r="O1022" s="95" t="str">
        <f>IF(IFERROR(IF(C1022=C1020,0,IF(E1022=E1021,0,IF(C1022=$R$4,HLOOKUP($R$4,Ingreso!$AW$10:$BC$260,VLOOKUP(A1022,Ingreso!AL:AM,2,FALSE),FALSE)/24,""))),"")=0,"",IFERROR(IF(C1022=C1020,0,IF(E1022=E1021,0,IF(C1022=$R$4,HLOOKUP($R$4,Ingreso!$AW$10:$BC$260,VLOOKUP(A1022,Ingreso!AL:AM,2,FALSE),FALSE)/24,""))),""))</f>
        <v/>
      </c>
      <c r="P1022" s="90"/>
      <c r="V1022"/>
      <c r="W1022" s="62"/>
      <c r="X1022" s="62"/>
      <c r="Y1022" s="62"/>
      <c r="Z1022" s="62"/>
      <c r="AA1022" s="62"/>
      <c r="AB1022" s="62"/>
      <c r="AC1022" s="62"/>
    </row>
    <row r="1023" spans="1:29">
      <c r="A1023" s="65" t="str">
        <f>IFERROR(VLOOKUP('Informe Kelly'!A1016,Base!A:B,2,FALSE),"")</f>
        <v>16.649.200-9</v>
      </c>
      <c r="B1023" s="65" t="str">
        <f>IFERROR(VLOOKUP('Informe Kelly'!A1016,Base!A:G,7,FALSE),"")</f>
        <v>MARTINEZ RIVERA VICTOR ALFONSO</v>
      </c>
      <c r="C1023" s="69" t="str">
        <f>IF(G1023=$C$4,IF('Informe Kelly'!H1016='Control informe Kelly'!$A$2,TEXT(((LEFT('Informe Kelly'!E1016,2)*1)+1),"dd")&amp;"."&amp;MID('Informe Kelly'!E1016,4,2)&amp;"."&amp;RIGHT('Informe Kelly'!E1016,4),'Informe Kelly'!E1016),'Informe Kelly'!E1016)</f>
        <v>11.04.2011</v>
      </c>
      <c r="D1023" s="69" t="str">
        <f>IF('Informe Kelly'!E1016="","",'Informe Kelly'!E1016)</f>
        <v>11.04.2011</v>
      </c>
      <c r="E1023" s="72">
        <f t="shared" si="31"/>
        <v>520</v>
      </c>
      <c r="F1023" s="72" t="str">
        <f>IFERROR(HLOOKUP(C1023,Ingreso!$Q$8:$AD$9,2,FALSE),"v")</f>
        <v>Lunes</v>
      </c>
      <c r="G1023" s="65" t="str">
        <f>IFERROR(VLOOKUP(A1023,Ingreso!K:P,6,FALSE),"no esta ingresado")</f>
        <v>no esta ingresado</v>
      </c>
      <c r="H1023" s="65" t="str">
        <f>IFERROR(IF('Informe Kelly'!H1016=$A$2,'Informe Kelly'!F1016,""),0)</f>
        <v/>
      </c>
      <c r="I1023" s="65">
        <f>IFERROR(IF('Informe Kelly'!H1016=$A$3,'Informe Kelly'!F1016,""),0)</f>
        <v>0.63539351851851855</v>
      </c>
      <c r="J1023" s="65" t="str">
        <f>IF(IFERROR(IF(E1023=E1022,0,(HLOOKUP(D1023,Ingreso!$AN$10:$AT$260,VLOOKUP(A1023,Ingreso!$AL$11:$AM$260,2,FALSE)))/24),0)=0,"",IFERROR(IF(E1023=E1022,0,(HLOOKUP(D1023,Ingreso!$AN$10:$AT$260,VLOOKUP(A1023,Ingreso!$AL$11:$AM$260,2,FALSE)))/24),0))</f>
        <v/>
      </c>
      <c r="K1023" s="65" t="str">
        <f>IF(IFERROR(IF(E1023=E1022,0,(HLOOKUP(C1023,Ingreso!$AW$10:$BC$260,VLOOKUP(A1023,Ingreso!$AL$11:$AM$260,2,FALSE)))/24),0)=0,"",IFERROR(IF(E1023=E1022,0,(HLOOKUP(C1023,Ingreso!$AW$10:$BC$260,VLOOKUP(A1023,Ingreso!$AL$11:$AM$260,2,FALSE)))/24),0))</f>
        <v/>
      </c>
      <c r="L1023" s="63" t="str">
        <f t="shared" si="30"/>
        <v/>
      </c>
      <c r="M1023" s="63" t="str">
        <f>IF(IFERROR(IF(C1023=C1021,0,IF(E1023=E1022,0,IF(C1023=$R$2,HLOOKUP($R$2,Ingreso!$AW$10:$BC$260,VLOOKUP(A1023,Ingreso!AL:AM,2,FALSE),FALSE)/24,""))),"")=0,"",IFERROR(IF(C1023=C1021,0,IF(E1023=E1022,0,IF(C1023=$R$2,HLOOKUP($R$2,Ingreso!$AW$10:$BC$260,VLOOKUP(A1023,Ingreso!AL:AM,2,FALSE),FALSE)/24,""))),""))</f>
        <v/>
      </c>
      <c r="N1023" s="95" t="str">
        <f>IF(IFERROR(IF(C1023=C1021,0,IF(E1023=E1022,0,IF(C1023=$R$3,HLOOKUP($R$3,Ingreso!$AW$10:$BC$260,VLOOKUP(A1023,Ingreso!AL:AM,2,FALSE),FALSE)/24,""))),"")=0,"",IFERROR(IF(C1023=C1021,0,IF(E1023=E1022,0,IF(C1023=$R$3,HLOOKUP($R$3,Ingreso!$AW$10:$BC$260,VLOOKUP(A1023,Ingreso!AL:AM,2,FALSE),FALSE)/24,""))),""))</f>
        <v/>
      </c>
      <c r="O1023" s="95" t="str">
        <f>IF(IFERROR(IF(C1023=C1021,0,IF(E1023=E1022,0,IF(C1023=$R$4,HLOOKUP($R$4,Ingreso!$AW$10:$BC$260,VLOOKUP(A1023,Ingreso!AL:AM,2,FALSE),FALSE)/24,""))),"")=0,"",IFERROR(IF(C1023=C1021,0,IF(E1023=E1022,0,IF(C1023=$R$4,HLOOKUP($R$4,Ingreso!$AW$10:$BC$260,VLOOKUP(A1023,Ingreso!AL:AM,2,FALSE),FALSE)/24,""))),""))</f>
        <v/>
      </c>
      <c r="P1023" s="90"/>
      <c r="V1023"/>
      <c r="W1023" s="62"/>
      <c r="X1023" s="62"/>
      <c r="Y1023" s="62"/>
      <c r="Z1023" s="62"/>
      <c r="AA1023" s="62"/>
      <c r="AB1023" s="62"/>
      <c r="AC1023" s="62"/>
    </row>
    <row r="1024" spans="1:29">
      <c r="A1024" s="65" t="str">
        <f>IFERROR(VLOOKUP('Informe Kelly'!A1017,Base!A:B,2,FALSE),"")</f>
        <v>16.649.200-9</v>
      </c>
      <c r="B1024" s="65" t="str">
        <f>IFERROR(VLOOKUP('Informe Kelly'!A1017,Base!A:G,7,FALSE),"")</f>
        <v>MARTINEZ RIVERA VICTOR ALFONSO</v>
      </c>
      <c r="C1024" s="69" t="str">
        <f>IF(G1024=$C$4,IF('Informe Kelly'!H1017='Control informe Kelly'!$A$2,TEXT(((LEFT('Informe Kelly'!E1017,2)*1)+1),"dd")&amp;"."&amp;MID('Informe Kelly'!E1017,4,2)&amp;"."&amp;RIGHT('Informe Kelly'!E1017,4),'Informe Kelly'!E1017),'Informe Kelly'!E1017)</f>
        <v>11.04.2011</v>
      </c>
      <c r="D1024" s="69" t="str">
        <f>IF('Informe Kelly'!E1017="","",'Informe Kelly'!E1017)</f>
        <v>11.04.2011</v>
      </c>
      <c r="E1024" s="72">
        <f t="shared" si="31"/>
        <v>520</v>
      </c>
      <c r="F1024" s="72" t="str">
        <f>IFERROR(HLOOKUP(C1024,Ingreso!$Q$8:$AD$9,2,FALSE),"v")</f>
        <v>Lunes</v>
      </c>
      <c r="G1024" s="65" t="str">
        <f>IFERROR(VLOOKUP(A1024,Ingreso!K:P,6,FALSE),"no esta ingresado")</f>
        <v>no esta ingresado</v>
      </c>
      <c r="H1024" s="65">
        <f>IFERROR(IF('Informe Kelly'!H1017=$A$2,'Informe Kelly'!F1017,""),0)</f>
        <v>0.29599537037037038</v>
      </c>
      <c r="I1024" s="65" t="str">
        <f>IFERROR(IF('Informe Kelly'!H1017=$A$3,'Informe Kelly'!F1017,""),0)</f>
        <v/>
      </c>
      <c r="J1024" s="65" t="str">
        <f>IF(IFERROR(IF(E1024=E1023,0,(HLOOKUP(D1024,Ingreso!$AN$10:$AT$260,VLOOKUP(A1024,Ingreso!$AL$11:$AM$260,2,FALSE)))/24),0)=0,"",IFERROR(IF(E1024=E1023,0,(HLOOKUP(D1024,Ingreso!$AN$10:$AT$260,VLOOKUP(A1024,Ingreso!$AL$11:$AM$260,2,FALSE)))/24),0))</f>
        <v/>
      </c>
      <c r="K1024" s="65" t="str">
        <f>IF(IFERROR(IF(E1024=E1023,0,(HLOOKUP(C1024,Ingreso!$AW$10:$BC$260,VLOOKUP(A1024,Ingreso!$AL$11:$AM$260,2,FALSE)))/24),0)=0,"",IFERROR(IF(E1024=E1023,0,(HLOOKUP(C1024,Ingreso!$AW$10:$BC$260,VLOOKUP(A1024,Ingreso!$AL$11:$AM$260,2,FALSE)))/24),0))</f>
        <v/>
      </c>
      <c r="L1024" s="63">
        <f t="shared" si="30"/>
        <v>0</v>
      </c>
      <c r="M1024" s="63" t="str">
        <f>IF(IFERROR(IF(C1024=C1022,0,IF(E1024=E1023,0,IF(C1024=$R$2,HLOOKUP($R$2,Ingreso!$AW$10:$BC$260,VLOOKUP(A1024,Ingreso!AL:AM,2,FALSE),FALSE)/24,""))),"")=0,"",IFERROR(IF(C1024=C1022,0,IF(E1024=E1023,0,IF(C1024=$R$2,HLOOKUP($R$2,Ingreso!$AW$10:$BC$260,VLOOKUP(A1024,Ingreso!AL:AM,2,FALSE),FALSE)/24,""))),""))</f>
        <v/>
      </c>
      <c r="N1024" s="95" t="str">
        <f>IF(IFERROR(IF(C1024=C1022,0,IF(E1024=E1023,0,IF(C1024=$R$3,HLOOKUP($R$3,Ingreso!$AW$10:$BC$260,VLOOKUP(A1024,Ingreso!AL:AM,2,FALSE),FALSE)/24,""))),"")=0,"",IFERROR(IF(C1024=C1022,0,IF(E1024=E1023,0,IF(C1024=$R$3,HLOOKUP($R$3,Ingreso!$AW$10:$BC$260,VLOOKUP(A1024,Ingreso!AL:AM,2,FALSE),FALSE)/24,""))),""))</f>
        <v/>
      </c>
      <c r="O1024" s="95" t="str">
        <f>IF(IFERROR(IF(C1024=C1022,0,IF(E1024=E1023,0,IF(C1024=$R$4,HLOOKUP($R$4,Ingreso!$AW$10:$BC$260,VLOOKUP(A1024,Ingreso!AL:AM,2,FALSE),FALSE)/24,""))),"")=0,"",IFERROR(IF(C1024=C1022,0,IF(E1024=E1023,0,IF(C1024=$R$4,HLOOKUP($R$4,Ingreso!$AW$10:$BC$260,VLOOKUP(A1024,Ingreso!AL:AM,2,FALSE),FALSE)/24,""))),""))</f>
        <v/>
      </c>
      <c r="P1024" s="90"/>
      <c r="V1024"/>
      <c r="W1024" s="62"/>
      <c r="X1024" s="62"/>
      <c r="Y1024" s="62"/>
      <c r="Z1024" s="62"/>
      <c r="AA1024" s="62"/>
      <c r="AB1024" s="62"/>
      <c r="AC1024" s="62"/>
    </row>
    <row r="1025" spans="1:29">
      <c r="A1025" s="65" t="str">
        <f>IFERROR(VLOOKUP('Informe Kelly'!A1018,Base!A:B,2,FALSE),"")</f>
        <v>16.649.200-9</v>
      </c>
      <c r="B1025" s="65" t="str">
        <f>IFERROR(VLOOKUP('Informe Kelly'!A1018,Base!A:G,7,FALSE),"")</f>
        <v>MARTINEZ RIVERA VICTOR ALFONSO</v>
      </c>
      <c r="C1025" s="69" t="str">
        <f>IF(G1025=$C$4,IF('Informe Kelly'!H1018='Control informe Kelly'!$A$2,TEXT(((LEFT('Informe Kelly'!E1018,2)*1)+1),"dd")&amp;"."&amp;MID('Informe Kelly'!E1018,4,2)&amp;"."&amp;RIGHT('Informe Kelly'!E1018,4),'Informe Kelly'!E1018),'Informe Kelly'!E1018)</f>
        <v>12.04.2011</v>
      </c>
      <c r="D1025" s="69" t="str">
        <f>IF('Informe Kelly'!E1018="","",'Informe Kelly'!E1018)</f>
        <v>12.04.2011</v>
      </c>
      <c r="E1025" s="72">
        <f t="shared" si="31"/>
        <v>521</v>
      </c>
      <c r="F1025" s="72" t="str">
        <f>IFERROR(HLOOKUP(C1025,Ingreso!$Q$8:$AD$9,2,FALSE),"v")</f>
        <v>Martes</v>
      </c>
      <c r="G1025" s="65" t="str">
        <f>IFERROR(VLOOKUP(A1025,Ingreso!K:P,6,FALSE),"no esta ingresado")</f>
        <v>no esta ingresado</v>
      </c>
      <c r="H1025" s="65" t="str">
        <f>IFERROR(IF('Informe Kelly'!H1018=$A$2,'Informe Kelly'!F1018,""),0)</f>
        <v/>
      </c>
      <c r="I1025" s="65">
        <f>IFERROR(IF('Informe Kelly'!H1018=$A$3,'Informe Kelly'!F1018,""),0)</f>
        <v>0.63694444444444442</v>
      </c>
      <c r="J1025" s="65" t="str">
        <f>IF(IFERROR(IF(E1025=E1024,0,(HLOOKUP(D1025,Ingreso!$AN$10:$AT$260,VLOOKUP(A1025,Ingreso!$AL$11:$AM$260,2,FALSE)))/24),0)=0,"",IFERROR(IF(E1025=E1024,0,(HLOOKUP(D1025,Ingreso!$AN$10:$AT$260,VLOOKUP(A1025,Ingreso!$AL$11:$AM$260,2,FALSE)))/24),0))</f>
        <v/>
      </c>
      <c r="K1025" s="65" t="str">
        <f>IF(IFERROR(IF(E1025=E1024,0,(HLOOKUP(C1025,Ingreso!$AW$10:$BC$260,VLOOKUP(A1025,Ingreso!$AL$11:$AM$260,2,FALSE)))/24),0)=0,"",IFERROR(IF(E1025=E1024,0,(HLOOKUP(C1025,Ingreso!$AW$10:$BC$260,VLOOKUP(A1025,Ingreso!$AL$11:$AM$260,2,FALSE)))/24),0))</f>
        <v/>
      </c>
      <c r="L1025" s="63" t="str">
        <f t="shared" si="30"/>
        <v/>
      </c>
      <c r="M1025" s="63" t="str">
        <f>IF(IFERROR(IF(C1025=C1023,0,IF(E1025=E1024,0,IF(C1025=$R$2,HLOOKUP($R$2,Ingreso!$AW$10:$BC$260,VLOOKUP(A1025,Ingreso!AL:AM,2,FALSE),FALSE)/24,""))),"")=0,"",IFERROR(IF(C1025=C1023,0,IF(E1025=E1024,0,IF(C1025=$R$2,HLOOKUP($R$2,Ingreso!$AW$10:$BC$260,VLOOKUP(A1025,Ingreso!AL:AM,2,FALSE),FALSE)/24,""))),""))</f>
        <v/>
      </c>
      <c r="N1025" s="95" t="str">
        <f>IF(IFERROR(IF(C1025=C1023,0,IF(E1025=E1024,0,IF(C1025=$R$3,HLOOKUP($R$3,Ingreso!$AW$10:$BC$260,VLOOKUP(A1025,Ingreso!AL:AM,2,FALSE),FALSE)/24,""))),"")=0,"",IFERROR(IF(C1025=C1023,0,IF(E1025=E1024,0,IF(C1025=$R$3,HLOOKUP($R$3,Ingreso!$AW$10:$BC$260,VLOOKUP(A1025,Ingreso!AL:AM,2,FALSE),FALSE)/24,""))),""))</f>
        <v/>
      </c>
      <c r="O1025" s="95" t="str">
        <f>IF(IFERROR(IF(C1025=C1023,0,IF(E1025=E1024,0,IF(C1025=$R$4,HLOOKUP($R$4,Ingreso!$AW$10:$BC$260,VLOOKUP(A1025,Ingreso!AL:AM,2,FALSE),FALSE)/24,""))),"")=0,"",IFERROR(IF(C1025=C1023,0,IF(E1025=E1024,0,IF(C1025=$R$4,HLOOKUP($R$4,Ingreso!$AW$10:$BC$260,VLOOKUP(A1025,Ingreso!AL:AM,2,FALSE),FALSE)/24,""))),""))</f>
        <v/>
      </c>
      <c r="P1025" s="90"/>
      <c r="V1025"/>
      <c r="W1025" s="62"/>
      <c r="X1025" s="62"/>
      <c r="Y1025" s="62"/>
      <c r="Z1025" s="62"/>
      <c r="AA1025" s="62"/>
      <c r="AB1025" s="62"/>
      <c r="AC1025" s="62"/>
    </row>
    <row r="1026" spans="1:29">
      <c r="A1026" s="65" t="str">
        <f>IFERROR(VLOOKUP('Informe Kelly'!A1019,Base!A:B,2,FALSE),"")</f>
        <v>16.649.200-9</v>
      </c>
      <c r="B1026" s="65" t="str">
        <f>IFERROR(VLOOKUP('Informe Kelly'!A1019,Base!A:G,7,FALSE),"")</f>
        <v>MARTINEZ RIVERA VICTOR ALFONSO</v>
      </c>
      <c r="C1026" s="69" t="str">
        <f>IF(G1026=$C$4,IF('Informe Kelly'!H1019='Control informe Kelly'!$A$2,TEXT(((LEFT('Informe Kelly'!E1019,2)*1)+1),"dd")&amp;"."&amp;MID('Informe Kelly'!E1019,4,2)&amp;"."&amp;RIGHT('Informe Kelly'!E1019,4),'Informe Kelly'!E1019),'Informe Kelly'!E1019)</f>
        <v>12.04.2011</v>
      </c>
      <c r="D1026" s="69" t="str">
        <f>IF('Informe Kelly'!E1019="","",'Informe Kelly'!E1019)</f>
        <v>12.04.2011</v>
      </c>
      <c r="E1026" s="72">
        <f t="shared" si="31"/>
        <v>521</v>
      </c>
      <c r="F1026" s="72" t="str">
        <f>IFERROR(HLOOKUP(C1026,Ingreso!$Q$8:$AD$9,2,FALSE),"v")</f>
        <v>Martes</v>
      </c>
      <c r="G1026" s="65" t="str">
        <f>IFERROR(VLOOKUP(A1026,Ingreso!K:P,6,FALSE),"no esta ingresado")</f>
        <v>no esta ingresado</v>
      </c>
      <c r="H1026" s="65">
        <f>IFERROR(IF('Informe Kelly'!H1019=$A$2,'Informe Kelly'!F1019,""),0)</f>
        <v>0.3082523148148148</v>
      </c>
      <c r="I1026" s="65" t="str">
        <f>IFERROR(IF('Informe Kelly'!H1019=$A$3,'Informe Kelly'!F1019,""),0)</f>
        <v/>
      </c>
      <c r="J1026" s="65" t="str">
        <f>IF(IFERROR(IF(E1026=E1025,0,(HLOOKUP(D1026,Ingreso!$AN$10:$AT$260,VLOOKUP(A1026,Ingreso!$AL$11:$AM$260,2,FALSE)))/24),0)=0,"",IFERROR(IF(E1026=E1025,0,(HLOOKUP(D1026,Ingreso!$AN$10:$AT$260,VLOOKUP(A1026,Ingreso!$AL$11:$AM$260,2,FALSE)))/24),0))</f>
        <v/>
      </c>
      <c r="K1026" s="65" t="str">
        <f>IF(IFERROR(IF(E1026=E1025,0,(HLOOKUP(C1026,Ingreso!$AW$10:$BC$260,VLOOKUP(A1026,Ingreso!$AL$11:$AM$260,2,FALSE)))/24),0)=0,"",IFERROR(IF(E1026=E1025,0,(HLOOKUP(C1026,Ingreso!$AW$10:$BC$260,VLOOKUP(A1026,Ingreso!$AL$11:$AM$260,2,FALSE)))/24),0))</f>
        <v/>
      </c>
      <c r="L1026" s="63">
        <f t="shared" si="30"/>
        <v>0</v>
      </c>
      <c r="M1026" s="63" t="str">
        <f>IF(IFERROR(IF(C1026=C1024,0,IF(E1026=E1025,0,IF(C1026=$R$2,HLOOKUP($R$2,Ingreso!$AW$10:$BC$260,VLOOKUP(A1026,Ingreso!AL:AM,2,FALSE),FALSE)/24,""))),"")=0,"",IFERROR(IF(C1026=C1024,0,IF(E1026=E1025,0,IF(C1026=$R$2,HLOOKUP($R$2,Ingreso!$AW$10:$BC$260,VLOOKUP(A1026,Ingreso!AL:AM,2,FALSE),FALSE)/24,""))),""))</f>
        <v/>
      </c>
      <c r="N1026" s="95" t="str">
        <f>IF(IFERROR(IF(C1026=C1024,0,IF(E1026=E1025,0,IF(C1026=$R$3,HLOOKUP($R$3,Ingreso!$AW$10:$BC$260,VLOOKUP(A1026,Ingreso!AL:AM,2,FALSE),FALSE)/24,""))),"")=0,"",IFERROR(IF(C1026=C1024,0,IF(E1026=E1025,0,IF(C1026=$R$3,HLOOKUP($R$3,Ingreso!$AW$10:$BC$260,VLOOKUP(A1026,Ingreso!AL:AM,2,FALSE),FALSE)/24,""))),""))</f>
        <v/>
      </c>
      <c r="O1026" s="95" t="str">
        <f>IF(IFERROR(IF(C1026=C1024,0,IF(E1026=E1025,0,IF(C1026=$R$4,HLOOKUP($R$4,Ingreso!$AW$10:$BC$260,VLOOKUP(A1026,Ingreso!AL:AM,2,FALSE),FALSE)/24,""))),"")=0,"",IFERROR(IF(C1026=C1024,0,IF(E1026=E1025,0,IF(C1026=$R$4,HLOOKUP($R$4,Ingreso!$AW$10:$BC$260,VLOOKUP(A1026,Ingreso!AL:AM,2,FALSE),FALSE)/24,""))),""))</f>
        <v/>
      </c>
      <c r="P1026" s="90"/>
      <c r="V1026"/>
      <c r="W1026" s="62"/>
      <c r="X1026" s="62"/>
      <c r="Y1026" s="62"/>
      <c r="Z1026" s="62"/>
      <c r="AA1026" s="62"/>
      <c r="AB1026" s="62"/>
      <c r="AC1026" s="62"/>
    </row>
    <row r="1027" spans="1:29">
      <c r="A1027" s="65" t="str">
        <f>IFERROR(VLOOKUP('Informe Kelly'!A1020,Base!A:B,2,FALSE),"")</f>
        <v>16.649.200-9</v>
      </c>
      <c r="B1027" s="65" t="str">
        <f>IFERROR(VLOOKUP('Informe Kelly'!A1020,Base!A:G,7,FALSE),"")</f>
        <v>MARTINEZ RIVERA VICTOR ALFONSO</v>
      </c>
      <c r="C1027" s="69" t="str">
        <f>IF(G1027=$C$4,IF('Informe Kelly'!H1020='Control informe Kelly'!$A$2,TEXT(((LEFT('Informe Kelly'!E1020,2)*1)+1),"dd")&amp;"."&amp;MID('Informe Kelly'!E1020,4,2)&amp;"."&amp;RIGHT('Informe Kelly'!E1020,4),'Informe Kelly'!E1020),'Informe Kelly'!E1020)</f>
        <v>13.04.2011</v>
      </c>
      <c r="D1027" s="69" t="str">
        <f>IF('Informe Kelly'!E1020="","",'Informe Kelly'!E1020)</f>
        <v>13.04.2011</v>
      </c>
      <c r="E1027" s="72">
        <f t="shared" si="31"/>
        <v>522</v>
      </c>
      <c r="F1027" s="72" t="str">
        <f>IFERROR(HLOOKUP(C1027,Ingreso!$Q$8:$AD$9,2,FALSE),"v")</f>
        <v>Miércoles</v>
      </c>
      <c r="G1027" s="65" t="str">
        <f>IFERROR(VLOOKUP(A1027,Ingreso!K:P,6,FALSE),"no esta ingresado")</f>
        <v>no esta ingresado</v>
      </c>
      <c r="H1027" s="65" t="str">
        <f>IFERROR(IF('Informe Kelly'!H1020=$A$2,'Informe Kelly'!F1020,""),0)</f>
        <v/>
      </c>
      <c r="I1027" s="65">
        <f>IFERROR(IF('Informe Kelly'!H1020=$A$3,'Informe Kelly'!F1020,""),0)</f>
        <v>0.63708333333333333</v>
      </c>
      <c r="J1027" s="65" t="str">
        <f>IF(IFERROR(IF(E1027=E1026,0,(HLOOKUP(D1027,Ingreso!$AN$10:$AT$260,VLOOKUP(A1027,Ingreso!$AL$11:$AM$260,2,FALSE)))/24),0)=0,"",IFERROR(IF(E1027=E1026,0,(HLOOKUP(D1027,Ingreso!$AN$10:$AT$260,VLOOKUP(A1027,Ingreso!$AL$11:$AM$260,2,FALSE)))/24),0))</f>
        <v/>
      </c>
      <c r="K1027" s="65" t="str">
        <f>IF(IFERROR(IF(E1027=E1026,0,(HLOOKUP(C1027,Ingreso!$AW$10:$BC$260,VLOOKUP(A1027,Ingreso!$AL$11:$AM$260,2,FALSE)))/24),0)=0,"",IFERROR(IF(E1027=E1026,0,(HLOOKUP(C1027,Ingreso!$AW$10:$BC$260,VLOOKUP(A1027,Ingreso!$AL$11:$AM$260,2,FALSE)))/24),0))</f>
        <v/>
      </c>
      <c r="L1027" s="63" t="str">
        <f t="shared" si="30"/>
        <v/>
      </c>
      <c r="M1027" s="63" t="str">
        <f>IF(IFERROR(IF(C1027=C1025,0,IF(E1027=E1026,0,IF(C1027=$R$2,HLOOKUP($R$2,Ingreso!$AW$10:$BC$260,VLOOKUP(A1027,Ingreso!AL:AM,2,FALSE),FALSE)/24,""))),"")=0,"",IFERROR(IF(C1027=C1025,0,IF(E1027=E1026,0,IF(C1027=$R$2,HLOOKUP($R$2,Ingreso!$AW$10:$BC$260,VLOOKUP(A1027,Ingreso!AL:AM,2,FALSE),FALSE)/24,""))),""))</f>
        <v/>
      </c>
      <c r="N1027" s="95" t="str">
        <f>IF(IFERROR(IF(C1027=C1025,0,IF(E1027=E1026,0,IF(C1027=$R$3,HLOOKUP($R$3,Ingreso!$AW$10:$BC$260,VLOOKUP(A1027,Ingreso!AL:AM,2,FALSE),FALSE)/24,""))),"")=0,"",IFERROR(IF(C1027=C1025,0,IF(E1027=E1026,0,IF(C1027=$R$3,HLOOKUP($R$3,Ingreso!$AW$10:$BC$260,VLOOKUP(A1027,Ingreso!AL:AM,2,FALSE),FALSE)/24,""))),""))</f>
        <v/>
      </c>
      <c r="O1027" s="95" t="str">
        <f>IF(IFERROR(IF(C1027=C1025,0,IF(E1027=E1026,0,IF(C1027=$R$4,HLOOKUP($R$4,Ingreso!$AW$10:$BC$260,VLOOKUP(A1027,Ingreso!AL:AM,2,FALSE),FALSE)/24,""))),"")=0,"",IFERROR(IF(C1027=C1025,0,IF(E1027=E1026,0,IF(C1027=$R$4,HLOOKUP($R$4,Ingreso!$AW$10:$BC$260,VLOOKUP(A1027,Ingreso!AL:AM,2,FALSE),FALSE)/24,""))),""))</f>
        <v/>
      </c>
      <c r="P1027" s="90"/>
      <c r="V1027"/>
      <c r="W1027" s="62"/>
      <c r="X1027" s="62"/>
      <c r="Y1027" s="62"/>
      <c r="Z1027" s="62"/>
      <c r="AA1027" s="62"/>
      <c r="AB1027" s="62"/>
      <c r="AC1027" s="62"/>
    </row>
    <row r="1028" spans="1:29">
      <c r="A1028" s="65" t="str">
        <f>IFERROR(VLOOKUP('Informe Kelly'!A1021,Base!A:B,2,FALSE),"")</f>
        <v>16.649.200-9</v>
      </c>
      <c r="B1028" s="65" t="str">
        <f>IFERROR(VLOOKUP('Informe Kelly'!A1021,Base!A:G,7,FALSE),"")</f>
        <v>MARTINEZ RIVERA VICTOR ALFONSO</v>
      </c>
      <c r="C1028" s="69" t="str">
        <f>IF(G1028=$C$4,IF('Informe Kelly'!H1021='Control informe Kelly'!$A$2,TEXT(((LEFT('Informe Kelly'!E1021,2)*1)+1),"dd")&amp;"."&amp;MID('Informe Kelly'!E1021,4,2)&amp;"."&amp;RIGHT('Informe Kelly'!E1021,4),'Informe Kelly'!E1021),'Informe Kelly'!E1021)</f>
        <v>13.04.2011</v>
      </c>
      <c r="D1028" s="69" t="str">
        <f>IF('Informe Kelly'!E1021="","",'Informe Kelly'!E1021)</f>
        <v>13.04.2011</v>
      </c>
      <c r="E1028" s="72">
        <f t="shared" si="31"/>
        <v>522</v>
      </c>
      <c r="F1028" s="72" t="str">
        <f>IFERROR(HLOOKUP(C1028,Ingreso!$Q$8:$AD$9,2,FALSE),"v")</f>
        <v>Miércoles</v>
      </c>
      <c r="G1028" s="65" t="str">
        <f>IFERROR(VLOOKUP(A1028,Ingreso!K:P,6,FALSE),"no esta ingresado")</f>
        <v>no esta ingresado</v>
      </c>
      <c r="H1028" s="65">
        <f>IFERROR(IF('Informe Kelly'!H1021=$A$2,'Informe Kelly'!F1021,""),0)</f>
        <v>0.29530092592592594</v>
      </c>
      <c r="I1028" s="65" t="str">
        <f>IFERROR(IF('Informe Kelly'!H1021=$A$3,'Informe Kelly'!F1021,""),0)</f>
        <v/>
      </c>
      <c r="J1028" s="65" t="str">
        <f>IF(IFERROR(IF(E1028=E1027,0,(HLOOKUP(D1028,Ingreso!$AN$10:$AT$260,VLOOKUP(A1028,Ingreso!$AL$11:$AM$260,2,FALSE)))/24),0)=0,"",IFERROR(IF(E1028=E1027,0,(HLOOKUP(D1028,Ingreso!$AN$10:$AT$260,VLOOKUP(A1028,Ingreso!$AL$11:$AM$260,2,FALSE)))/24),0))</f>
        <v/>
      </c>
      <c r="K1028" s="65" t="str">
        <f>IF(IFERROR(IF(E1028=E1027,0,(HLOOKUP(C1028,Ingreso!$AW$10:$BC$260,VLOOKUP(A1028,Ingreso!$AL$11:$AM$260,2,FALSE)))/24),0)=0,"",IFERROR(IF(E1028=E1027,0,(HLOOKUP(C1028,Ingreso!$AW$10:$BC$260,VLOOKUP(A1028,Ingreso!$AL$11:$AM$260,2,FALSE)))/24),0))</f>
        <v/>
      </c>
      <c r="L1028" s="63">
        <f t="shared" si="30"/>
        <v>0</v>
      </c>
      <c r="M1028" s="63" t="str">
        <f>IF(IFERROR(IF(C1028=C1026,0,IF(E1028=E1027,0,IF(C1028=$R$2,HLOOKUP($R$2,Ingreso!$AW$10:$BC$260,VLOOKUP(A1028,Ingreso!AL:AM,2,FALSE),FALSE)/24,""))),"")=0,"",IFERROR(IF(C1028=C1026,0,IF(E1028=E1027,0,IF(C1028=$R$2,HLOOKUP($R$2,Ingreso!$AW$10:$BC$260,VLOOKUP(A1028,Ingreso!AL:AM,2,FALSE),FALSE)/24,""))),""))</f>
        <v/>
      </c>
      <c r="N1028" s="95" t="str">
        <f>IF(IFERROR(IF(C1028=C1026,0,IF(E1028=E1027,0,IF(C1028=$R$3,HLOOKUP($R$3,Ingreso!$AW$10:$BC$260,VLOOKUP(A1028,Ingreso!AL:AM,2,FALSE),FALSE)/24,""))),"")=0,"",IFERROR(IF(C1028=C1026,0,IF(E1028=E1027,0,IF(C1028=$R$3,HLOOKUP($R$3,Ingreso!$AW$10:$BC$260,VLOOKUP(A1028,Ingreso!AL:AM,2,FALSE),FALSE)/24,""))),""))</f>
        <v/>
      </c>
      <c r="O1028" s="95" t="str">
        <f>IF(IFERROR(IF(C1028=C1026,0,IF(E1028=E1027,0,IF(C1028=$R$4,HLOOKUP($R$4,Ingreso!$AW$10:$BC$260,VLOOKUP(A1028,Ingreso!AL:AM,2,FALSE),FALSE)/24,""))),"")=0,"",IFERROR(IF(C1028=C1026,0,IF(E1028=E1027,0,IF(C1028=$R$4,HLOOKUP($R$4,Ingreso!$AW$10:$BC$260,VLOOKUP(A1028,Ingreso!AL:AM,2,FALSE),FALSE)/24,""))),""))</f>
        <v/>
      </c>
      <c r="P1028" s="90"/>
      <c r="V1028"/>
      <c r="W1028" s="62"/>
      <c r="X1028" s="62"/>
      <c r="Y1028" s="62"/>
      <c r="Z1028" s="62"/>
      <c r="AA1028" s="62"/>
      <c r="AB1028" s="62"/>
      <c r="AC1028" s="62"/>
    </row>
    <row r="1029" spans="1:29">
      <c r="A1029" s="65" t="str">
        <f>IFERROR(VLOOKUP('Informe Kelly'!A1022,Base!A:B,2,FALSE),"")</f>
        <v>16.649.200-9</v>
      </c>
      <c r="B1029" s="65" t="str">
        <f>IFERROR(VLOOKUP('Informe Kelly'!A1022,Base!A:G,7,FALSE),"")</f>
        <v>MARTINEZ RIVERA VICTOR ALFONSO</v>
      </c>
      <c r="C1029" s="69" t="str">
        <f>IF(G1029=$C$4,IF('Informe Kelly'!H1022='Control informe Kelly'!$A$2,TEXT(((LEFT('Informe Kelly'!E1022,2)*1)+1),"dd")&amp;"."&amp;MID('Informe Kelly'!E1022,4,2)&amp;"."&amp;RIGHT('Informe Kelly'!E1022,4),'Informe Kelly'!E1022),'Informe Kelly'!E1022)</f>
        <v>14.04.2011</v>
      </c>
      <c r="D1029" s="69" t="str">
        <f>IF('Informe Kelly'!E1022="","",'Informe Kelly'!E1022)</f>
        <v>14.04.2011</v>
      </c>
      <c r="E1029" s="72">
        <f t="shared" si="31"/>
        <v>523</v>
      </c>
      <c r="F1029" s="72" t="str">
        <f>IFERROR(HLOOKUP(C1029,Ingreso!$Q$8:$AD$9,2,FALSE),"v")</f>
        <v>Jueves</v>
      </c>
      <c r="G1029" s="65" t="str">
        <f>IFERROR(VLOOKUP(A1029,Ingreso!K:P,6,FALSE),"no esta ingresado")</f>
        <v>no esta ingresado</v>
      </c>
      <c r="H1029" s="65" t="str">
        <f>IFERROR(IF('Informe Kelly'!H1022=$A$2,'Informe Kelly'!F1022,""),0)</f>
        <v/>
      </c>
      <c r="I1029" s="65">
        <f>IFERROR(IF('Informe Kelly'!H1022=$A$3,'Informe Kelly'!F1022,""),0)</f>
        <v>0.63574074074074072</v>
      </c>
      <c r="J1029" s="65" t="str">
        <f>IF(IFERROR(IF(E1029=E1028,0,(HLOOKUP(D1029,Ingreso!$AN$10:$AT$260,VLOOKUP(A1029,Ingreso!$AL$11:$AM$260,2,FALSE)))/24),0)=0,"",IFERROR(IF(E1029=E1028,0,(HLOOKUP(D1029,Ingreso!$AN$10:$AT$260,VLOOKUP(A1029,Ingreso!$AL$11:$AM$260,2,FALSE)))/24),0))</f>
        <v/>
      </c>
      <c r="K1029" s="65" t="str">
        <f>IF(IFERROR(IF(E1029=E1028,0,(HLOOKUP(C1029,Ingreso!$AW$10:$BC$260,VLOOKUP(A1029,Ingreso!$AL$11:$AM$260,2,FALSE)))/24),0)=0,"",IFERROR(IF(E1029=E1028,0,(HLOOKUP(C1029,Ingreso!$AW$10:$BC$260,VLOOKUP(A1029,Ingreso!$AL$11:$AM$260,2,FALSE)))/24),0))</f>
        <v/>
      </c>
      <c r="L1029" s="63" t="str">
        <f t="shared" si="30"/>
        <v/>
      </c>
      <c r="M1029" s="63" t="str">
        <f>IF(IFERROR(IF(C1029=C1027,0,IF(E1029=E1028,0,IF(C1029=$R$2,HLOOKUP($R$2,Ingreso!$AW$10:$BC$260,VLOOKUP(A1029,Ingreso!AL:AM,2,FALSE),FALSE)/24,""))),"")=0,"",IFERROR(IF(C1029=C1027,0,IF(E1029=E1028,0,IF(C1029=$R$2,HLOOKUP($R$2,Ingreso!$AW$10:$BC$260,VLOOKUP(A1029,Ingreso!AL:AM,2,FALSE),FALSE)/24,""))),""))</f>
        <v/>
      </c>
      <c r="N1029" s="95" t="str">
        <f>IF(IFERROR(IF(C1029=C1027,0,IF(E1029=E1028,0,IF(C1029=$R$3,HLOOKUP($R$3,Ingreso!$AW$10:$BC$260,VLOOKUP(A1029,Ingreso!AL:AM,2,FALSE),FALSE)/24,""))),"")=0,"",IFERROR(IF(C1029=C1027,0,IF(E1029=E1028,0,IF(C1029=$R$3,HLOOKUP($R$3,Ingreso!$AW$10:$BC$260,VLOOKUP(A1029,Ingreso!AL:AM,2,FALSE),FALSE)/24,""))),""))</f>
        <v/>
      </c>
      <c r="O1029" s="95" t="str">
        <f>IF(IFERROR(IF(C1029=C1027,0,IF(E1029=E1028,0,IF(C1029=$R$4,HLOOKUP($R$4,Ingreso!$AW$10:$BC$260,VLOOKUP(A1029,Ingreso!AL:AM,2,FALSE),FALSE)/24,""))),"")=0,"",IFERROR(IF(C1029=C1027,0,IF(E1029=E1028,0,IF(C1029=$R$4,HLOOKUP($R$4,Ingreso!$AW$10:$BC$260,VLOOKUP(A1029,Ingreso!AL:AM,2,FALSE),FALSE)/24,""))),""))</f>
        <v/>
      </c>
      <c r="P1029" s="90"/>
      <c r="V1029"/>
      <c r="W1029" s="62"/>
      <c r="X1029" s="62"/>
      <c r="Y1029" s="62"/>
      <c r="Z1029" s="62"/>
      <c r="AA1029" s="62"/>
      <c r="AB1029" s="62"/>
      <c r="AC1029" s="62"/>
    </row>
    <row r="1030" spans="1:29">
      <c r="A1030" s="65" t="str">
        <f>IFERROR(VLOOKUP('Informe Kelly'!A1023,Base!A:B,2,FALSE),"")</f>
        <v>16.649.200-9</v>
      </c>
      <c r="B1030" s="65" t="str">
        <f>IFERROR(VLOOKUP('Informe Kelly'!A1023,Base!A:G,7,FALSE),"")</f>
        <v>MARTINEZ RIVERA VICTOR ALFONSO</v>
      </c>
      <c r="C1030" s="69" t="str">
        <f>IF(G1030=$C$4,IF('Informe Kelly'!H1023='Control informe Kelly'!$A$2,TEXT(((LEFT('Informe Kelly'!E1023,2)*1)+1),"dd")&amp;"."&amp;MID('Informe Kelly'!E1023,4,2)&amp;"."&amp;RIGHT('Informe Kelly'!E1023,4),'Informe Kelly'!E1023),'Informe Kelly'!E1023)</f>
        <v>14.04.2011</v>
      </c>
      <c r="D1030" s="69" t="str">
        <f>IF('Informe Kelly'!E1023="","",'Informe Kelly'!E1023)</f>
        <v>14.04.2011</v>
      </c>
      <c r="E1030" s="72">
        <f t="shared" si="31"/>
        <v>523</v>
      </c>
      <c r="F1030" s="72" t="str">
        <f>IFERROR(HLOOKUP(C1030,Ingreso!$Q$8:$AD$9,2,FALSE),"v")</f>
        <v>Jueves</v>
      </c>
      <c r="G1030" s="65" t="str">
        <f>IFERROR(VLOOKUP(A1030,Ingreso!K:P,6,FALSE),"no esta ingresado")</f>
        <v>no esta ingresado</v>
      </c>
      <c r="H1030" s="65">
        <f>IFERROR(IF('Informe Kelly'!H1023=$A$2,'Informe Kelly'!F1023,""),0)</f>
        <v>0.29317129629629629</v>
      </c>
      <c r="I1030" s="65" t="str">
        <f>IFERROR(IF('Informe Kelly'!H1023=$A$3,'Informe Kelly'!F1023,""),0)</f>
        <v/>
      </c>
      <c r="J1030" s="65" t="str">
        <f>IF(IFERROR(IF(E1030=E1029,0,(HLOOKUP(D1030,Ingreso!$AN$10:$AT$260,VLOOKUP(A1030,Ingreso!$AL$11:$AM$260,2,FALSE)))/24),0)=0,"",IFERROR(IF(E1030=E1029,0,(HLOOKUP(D1030,Ingreso!$AN$10:$AT$260,VLOOKUP(A1030,Ingreso!$AL$11:$AM$260,2,FALSE)))/24),0))</f>
        <v/>
      </c>
      <c r="K1030" s="65" t="str">
        <f>IF(IFERROR(IF(E1030=E1029,0,(HLOOKUP(C1030,Ingreso!$AW$10:$BC$260,VLOOKUP(A1030,Ingreso!$AL$11:$AM$260,2,FALSE)))/24),0)=0,"",IFERROR(IF(E1030=E1029,0,(HLOOKUP(C1030,Ingreso!$AW$10:$BC$260,VLOOKUP(A1030,Ingreso!$AL$11:$AM$260,2,FALSE)))/24),0))</f>
        <v/>
      </c>
      <c r="L1030" s="63">
        <f t="shared" si="30"/>
        <v>0</v>
      </c>
      <c r="M1030" s="63" t="str">
        <f>IF(IFERROR(IF(C1030=C1028,0,IF(E1030=E1029,0,IF(C1030=$R$2,HLOOKUP($R$2,Ingreso!$AW$10:$BC$260,VLOOKUP(A1030,Ingreso!AL:AM,2,FALSE),FALSE)/24,""))),"")=0,"",IFERROR(IF(C1030=C1028,0,IF(E1030=E1029,0,IF(C1030=$R$2,HLOOKUP($R$2,Ingreso!$AW$10:$BC$260,VLOOKUP(A1030,Ingreso!AL:AM,2,FALSE),FALSE)/24,""))),""))</f>
        <v/>
      </c>
      <c r="N1030" s="95" t="str">
        <f>IF(IFERROR(IF(C1030=C1028,0,IF(E1030=E1029,0,IF(C1030=$R$3,HLOOKUP($R$3,Ingreso!$AW$10:$BC$260,VLOOKUP(A1030,Ingreso!AL:AM,2,FALSE),FALSE)/24,""))),"")=0,"",IFERROR(IF(C1030=C1028,0,IF(E1030=E1029,0,IF(C1030=$R$3,HLOOKUP($R$3,Ingreso!$AW$10:$BC$260,VLOOKUP(A1030,Ingreso!AL:AM,2,FALSE),FALSE)/24,""))),""))</f>
        <v/>
      </c>
      <c r="O1030" s="95" t="str">
        <f>IF(IFERROR(IF(C1030=C1028,0,IF(E1030=E1029,0,IF(C1030=$R$4,HLOOKUP($R$4,Ingreso!$AW$10:$BC$260,VLOOKUP(A1030,Ingreso!AL:AM,2,FALSE),FALSE)/24,""))),"")=0,"",IFERROR(IF(C1030=C1028,0,IF(E1030=E1029,0,IF(C1030=$R$4,HLOOKUP($R$4,Ingreso!$AW$10:$BC$260,VLOOKUP(A1030,Ingreso!AL:AM,2,FALSE),FALSE)/24,""))),""))</f>
        <v/>
      </c>
      <c r="P1030" s="90"/>
      <c r="V1030"/>
      <c r="W1030" s="62"/>
      <c r="X1030" s="62"/>
      <c r="Y1030" s="62"/>
      <c r="Z1030" s="62"/>
      <c r="AA1030" s="62"/>
      <c r="AB1030" s="62"/>
      <c r="AC1030" s="62"/>
    </row>
    <row r="1031" spans="1:29">
      <c r="A1031" s="65" t="str">
        <f>IFERROR(VLOOKUP('Informe Kelly'!A1024,Base!A:B,2,FALSE),"")</f>
        <v>16.649.200-9</v>
      </c>
      <c r="B1031" s="65" t="str">
        <f>IFERROR(VLOOKUP('Informe Kelly'!A1024,Base!A:G,7,FALSE),"")</f>
        <v>MARTINEZ RIVERA VICTOR ALFONSO</v>
      </c>
      <c r="C1031" s="69" t="str">
        <f>IF(G1031=$C$4,IF('Informe Kelly'!H1024='Control informe Kelly'!$A$2,TEXT(((LEFT('Informe Kelly'!E1024,2)*1)+1),"dd")&amp;"."&amp;MID('Informe Kelly'!E1024,4,2)&amp;"."&amp;RIGHT('Informe Kelly'!E1024,4),'Informe Kelly'!E1024),'Informe Kelly'!E1024)</f>
        <v>15.04.2011</v>
      </c>
      <c r="D1031" s="69" t="str">
        <f>IF('Informe Kelly'!E1024="","",'Informe Kelly'!E1024)</f>
        <v>15.04.2011</v>
      </c>
      <c r="E1031" s="72">
        <f t="shared" si="31"/>
        <v>524</v>
      </c>
      <c r="F1031" s="72" t="str">
        <f>IFERROR(HLOOKUP(C1031,Ingreso!$Q$8:$AD$9,2,FALSE),"v")</f>
        <v>Viernes</v>
      </c>
      <c r="G1031" s="65" t="str">
        <f>IFERROR(VLOOKUP(A1031,Ingreso!K:P,6,FALSE),"no esta ingresado")</f>
        <v>no esta ingresado</v>
      </c>
      <c r="H1031" s="65" t="str">
        <f>IFERROR(IF('Informe Kelly'!H1024=$A$2,'Informe Kelly'!F1024,""),0)</f>
        <v/>
      </c>
      <c r="I1031" s="65">
        <f>IFERROR(IF('Informe Kelly'!H1024=$A$3,'Informe Kelly'!F1024,""),0)</f>
        <v>0.63304398148148155</v>
      </c>
      <c r="J1031" s="65" t="str">
        <f>IF(IFERROR(IF(E1031=E1030,0,(HLOOKUP(D1031,Ingreso!$AN$10:$AT$260,VLOOKUP(A1031,Ingreso!$AL$11:$AM$260,2,FALSE)))/24),0)=0,"",IFERROR(IF(E1031=E1030,0,(HLOOKUP(D1031,Ingreso!$AN$10:$AT$260,VLOOKUP(A1031,Ingreso!$AL$11:$AM$260,2,FALSE)))/24),0))</f>
        <v/>
      </c>
      <c r="K1031" s="65" t="str">
        <f>IF(IFERROR(IF(E1031=E1030,0,(HLOOKUP(C1031,Ingreso!$AW$10:$BC$260,VLOOKUP(A1031,Ingreso!$AL$11:$AM$260,2,FALSE)))/24),0)=0,"",IFERROR(IF(E1031=E1030,0,(HLOOKUP(C1031,Ingreso!$AW$10:$BC$260,VLOOKUP(A1031,Ingreso!$AL$11:$AM$260,2,FALSE)))/24),0))</f>
        <v/>
      </c>
      <c r="L1031" s="63" t="str">
        <f t="shared" si="30"/>
        <v/>
      </c>
      <c r="M1031" s="63" t="str">
        <f>IF(IFERROR(IF(C1031=C1029,0,IF(E1031=E1030,0,IF(C1031=$R$2,HLOOKUP($R$2,Ingreso!$AW$10:$BC$260,VLOOKUP(A1031,Ingreso!AL:AM,2,FALSE),FALSE)/24,""))),"")=0,"",IFERROR(IF(C1031=C1029,0,IF(E1031=E1030,0,IF(C1031=$R$2,HLOOKUP($R$2,Ingreso!$AW$10:$BC$260,VLOOKUP(A1031,Ingreso!AL:AM,2,FALSE),FALSE)/24,""))),""))</f>
        <v/>
      </c>
      <c r="N1031" s="95" t="str">
        <f>IF(IFERROR(IF(C1031=C1029,0,IF(E1031=E1030,0,IF(C1031=$R$3,HLOOKUP($R$3,Ingreso!$AW$10:$BC$260,VLOOKUP(A1031,Ingreso!AL:AM,2,FALSE),FALSE)/24,""))),"")=0,"",IFERROR(IF(C1031=C1029,0,IF(E1031=E1030,0,IF(C1031=$R$3,HLOOKUP($R$3,Ingreso!$AW$10:$BC$260,VLOOKUP(A1031,Ingreso!AL:AM,2,FALSE),FALSE)/24,""))),""))</f>
        <v/>
      </c>
      <c r="O1031" s="95" t="str">
        <f>IF(IFERROR(IF(C1031=C1029,0,IF(E1031=E1030,0,IF(C1031=$R$4,HLOOKUP($R$4,Ingreso!$AW$10:$BC$260,VLOOKUP(A1031,Ingreso!AL:AM,2,FALSE),FALSE)/24,""))),"")=0,"",IFERROR(IF(C1031=C1029,0,IF(E1031=E1030,0,IF(C1031=$R$4,HLOOKUP($R$4,Ingreso!$AW$10:$BC$260,VLOOKUP(A1031,Ingreso!AL:AM,2,FALSE),FALSE)/24,""))),""))</f>
        <v/>
      </c>
      <c r="P1031" s="90"/>
      <c r="V1031"/>
      <c r="W1031" s="62"/>
      <c r="X1031" s="62"/>
      <c r="Y1031" s="62"/>
      <c r="Z1031" s="62"/>
      <c r="AA1031" s="62"/>
      <c r="AB1031" s="62"/>
      <c r="AC1031" s="62"/>
    </row>
    <row r="1032" spans="1:29">
      <c r="A1032" s="65" t="str">
        <f>IFERROR(VLOOKUP('Informe Kelly'!A1025,Base!A:B,2,FALSE),"")</f>
        <v>16.649.200-9</v>
      </c>
      <c r="B1032" s="65" t="str">
        <f>IFERROR(VLOOKUP('Informe Kelly'!A1025,Base!A:G,7,FALSE),"")</f>
        <v>MARTINEZ RIVERA VICTOR ALFONSO</v>
      </c>
      <c r="C1032" s="69" t="str">
        <f>IF(G1032=$C$4,IF('Informe Kelly'!H1025='Control informe Kelly'!$A$2,TEXT(((LEFT('Informe Kelly'!E1025,2)*1)+1),"dd")&amp;"."&amp;MID('Informe Kelly'!E1025,4,2)&amp;"."&amp;RIGHT('Informe Kelly'!E1025,4),'Informe Kelly'!E1025),'Informe Kelly'!E1025)</f>
        <v>15.04.2011</v>
      </c>
      <c r="D1032" s="69" t="str">
        <f>IF('Informe Kelly'!E1025="","",'Informe Kelly'!E1025)</f>
        <v>15.04.2011</v>
      </c>
      <c r="E1032" s="72">
        <f t="shared" si="31"/>
        <v>524</v>
      </c>
      <c r="F1032" s="72" t="str">
        <f>IFERROR(HLOOKUP(C1032,Ingreso!$Q$8:$AD$9,2,FALSE),"v")</f>
        <v>Viernes</v>
      </c>
      <c r="G1032" s="65" t="str">
        <f>IFERROR(VLOOKUP(A1032,Ingreso!K:P,6,FALSE),"no esta ingresado")</f>
        <v>no esta ingresado</v>
      </c>
      <c r="H1032" s="65">
        <f>IFERROR(IF('Informe Kelly'!H1025=$A$2,'Informe Kelly'!F1025,""),0)</f>
        <v>0.29572916666666665</v>
      </c>
      <c r="I1032" s="65" t="str">
        <f>IFERROR(IF('Informe Kelly'!H1025=$A$3,'Informe Kelly'!F1025,""),0)</f>
        <v/>
      </c>
      <c r="J1032" s="65" t="str">
        <f>IF(IFERROR(IF(E1032=E1031,0,(HLOOKUP(D1032,Ingreso!$AN$10:$AT$260,VLOOKUP(A1032,Ingreso!$AL$11:$AM$260,2,FALSE)))/24),0)=0,"",IFERROR(IF(E1032=E1031,0,(HLOOKUP(D1032,Ingreso!$AN$10:$AT$260,VLOOKUP(A1032,Ingreso!$AL$11:$AM$260,2,FALSE)))/24),0))</f>
        <v/>
      </c>
      <c r="K1032" s="65" t="str">
        <f>IF(IFERROR(IF(E1032=E1031,0,(HLOOKUP(C1032,Ingreso!$AW$10:$BC$260,VLOOKUP(A1032,Ingreso!$AL$11:$AM$260,2,FALSE)))/24),0)=0,"",IFERROR(IF(E1032=E1031,0,(HLOOKUP(C1032,Ingreso!$AW$10:$BC$260,VLOOKUP(A1032,Ingreso!$AL$11:$AM$260,2,FALSE)))/24),0))</f>
        <v/>
      </c>
      <c r="L1032" s="63">
        <f t="shared" si="30"/>
        <v>0</v>
      </c>
      <c r="M1032" s="63" t="str">
        <f>IF(IFERROR(IF(C1032=C1030,0,IF(E1032=E1031,0,IF(C1032=$R$2,HLOOKUP($R$2,Ingreso!$AW$10:$BC$260,VLOOKUP(A1032,Ingreso!AL:AM,2,FALSE),FALSE)/24,""))),"")=0,"",IFERROR(IF(C1032=C1030,0,IF(E1032=E1031,0,IF(C1032=$R$2,HLOOKUP($R$2,Ingreso!$AW$10:$BC$260,VLOOKUP(A1032,Ingreso!AL:AM,2,FALSE),FALSE)/24,""))),""))</f>
        <v/>
      </c>
      <c r="N1032" s="95" t="str">
        <f>IF(IFERROR(IF(C1032=C1030,0,IF(E1032=E1031,0,IF(C1032=$R$3,HLOOKUP($R$3,Ingreso!$AW$10:$BC$260,VLOOKUP(A1032,Ingreso!AL:AM,2,FALSE),FALSE)/24,""))),"")=0,"",IFERROR(IF(C1032=C1030,0,IF(E1032=E1031,0,IF(C1032=$R$3,HLOOKUP($R$3,Ingreso!$AW$10:$BC$260,VLOOKUP(A1032,Ingreso!AL:AM,2,FALSE),FALSE)/24,""))),""))</f>
        <v/>
      </c>
      <c r="O1032" s="95" t="str">
        <f>IF(IFERROR(IF(C1032=C1030,0,IF(E1032=E1031,0,IF(C1032=$R$4,HLOOKUP($R$4,Ingreso!$AW$10:$BC$260,VLOOKUP(A1032,Ingreso!AL:AM,2,FALSE),FALSE)/24,""))),"")=0,"",IFERROR(IF(C1032=C1030,0,IF(E1032=E1031,0,IF(C1032=$R$4,HLOOKUP($R$4,Ingreso!$AW$10:$BC$260,VLOOKUP(A1032,Ingreso!AL:AM,2,FALSE),FALSE)/24,""))),""))</f>
        <v/>
      </c>
      <c r="P1032" s="90"/>
      <c r="V1032"/>
      <c r="W1032" s="62"/>
      <c r="X1032" s="62"/>
      <c r="Y1032" s="62"/>
      <c r="Z1032" s="62"/>
      <c r="AA1032" s="62"/>
      <c r="AB1032" s="62"/>
      <c r="AC1032" s="62"/>
    </row>
    <row r="1033" spans="1:29">
      <c r="A1033" s="65" t="str">
        <f>IFERROR(VLOOKUP('Informe Kelly'!A1026,Base!A:B,2,FALSE),"")</f>
        <v>16.691.386-1</v>
      </c>
      <c r="B1033" s="65" t="str">
        <f>IFERROR(VLOOKUP('Informe Kelly'!A1026,Base!A:G,7,FALSE),"")</f>
        <v xml:space="preserve">SANDOVAL ALTAMIRANO LORENZO </v>
      </c>
      <c r="C1033" s="69" t="str">
        <f>IF(G1033=$C$4,IF('Informe Kelly'!H1026='Control informe Kelly'!$A$2,TEXT(((LEFT('Informe Kelly'!E1026,2)*1)+1),"dd")&amp;"."&amp;MID('Informe Kelly'!E1026,4,2)&amp;"."&amp;RIGHT('Informe Kelly'!E1026,4),'Informe Kelly'!E1026),'Informe Kelly'!E1026)</f>
        <v>11.04.2011</v>
      </c>
      <c r="D1033" s="69" t="str">
        <f>IF('Informe Kelly'!E1026="","",'Informe Kelly'!E1026)</f>
        <v>11.04.2011</v>
      </c>
      <c r="E1033" s="72">
        <f t="shared" si="31"/>
        <v>525</v>
      </c>
      <c r="F1033" s="72" t="str">
        <f>IFERROR(HLOOKUP(C1033,Ingreso!$Q$8:$AD$9,2,FALSE),"v")</f>
        <v>Lunes</v>
      </c>
      <c r="G1033" s="65" t="str">
        <f>IFERROR(VLOOKUP(A1033,Ingreso!K:P,6,FALSE),"no esta ingresado")</f>
        <v>Turno A</v>
      </c>
      <c r="H1033" s="65" t="str">
        <f>IFERROR(IF('Informe Kelly'!H1026=$A$2,'Informe Kelly'!F1026,""),0)</f>
        <v/>
      </c>
      <c r="I1033" s="65">
        <f>IFERROR(IF('Informe Kelly'!H1026=$A$3,'Informe Kelly'!F1026,""),0)</f>
        <v>0.63236111111111104</v>
      </c>
      <c r="J1033" s="65" t="str">
        <f>IF(IFERROR(IF(E1033=E1032,0,(HLOOKUP(D1033,Ingreso!$AN$10:$AT$260,VLOOKUP(A1033,Ingreso!$AL$11:$AM$260,2,FALSE)))/24),0)=0,"",IFERROR(IF(E1033=E1032,0,(HLOOKUP(D1033,Ingreso!$AN$10:$AT$260,VLOOKUP(A1033,Ingreso!$AL$11:$AM$260,2,FALSE)))/24),0))</f>
        <v/>
      </c>
      <c r="K1033" s="65" t="str">
        <f>IF(IFERROR(IF(E1033=E1032,0,(HLOOKUP(C1033,Ingreso!$AW$10:$BC$260,VLOOKUP(A1033,Ingreso!$AL$11:$AM$260,2,FALSE)))/24),0)=0,"",IFERROR(IF(E1033=E1032,0,(HLOOKUP(C1033,Ingreso!$AW$10:$BC$260,VLOOKUP(A1033,Ingreso!$AL$11:$AM$260,2,FALSE)))/24),0))</f>
        <v/>
      </c>
      <c r="L1033" s="63">
        <f t="shared" ref="L1033:L1096" si="32">IFERROR(IF(C1033=C1031,0,IF(E1033=E1032,0,(VLOOKUP(G1033,$C$2:$D$5,2,FALSE)))),"")</f>
        <v>0.3125</v>
      </c>
      <c r="M1033" s="63" t="str">
        <f>IF(IFERROR(IF(C1033=C1031,0,IF(E1033=E1032,0,IF(C1033=$R$2,HLOOKUP($R$2,Ingreso!$AW$10:$BC$260,VLOOKUP(A1033,Ingreso!AL:AM,2,FALSE),FALSE)/24,""))),"")=0,"",IFERROR(IF(C1033=C1031,0,IF(E1033=E1032,0,IF(C1033=$R$2,HLOOKUP($R$2,Ingreso!$AW$10:$BC$260,VLOOKUP(A1033,Ingreso!AL:AM,2,FALSE),FALSE)/24,""))),""))</f>
        <v/>
      </c>
      <c r="N1033" s="95" t="str">
        <f>IF(IFERROR(IF(C1033=C1031,0,IF(E1033=E1032,0,IF(C1033=$R$3,HLOOKUP($R$3,Ingreso!$AW$10:$BC$260,VLOOKUP(A1033,Ingreso!AL:AM,2,FALSE),FALSE)/24,""))),"")=0,"",IFERROR(IF(C1033=C1031,0,IF(E1033=E1032,0,IF(C1033=$R$3,HLOOKUP($R$3,Ingreso!$AW$10:$BC$260,VLOOKUP(A1033,Ingreso!AL:AM,2,FALSE),FALSE)/24,""))),""))</f>
        <v/>
      </c>
      <c r="O1033" s="95" t="str">
        <f>IF(IFERROR(IF(C1033=C1031,0,IF(E1033=E1032,0,IF(C1033=$R$4,HLOOKUP($R$4,Ingreso!$AW$10:$BC$260,VLOOKUP(A1033,Ingreso!AL:AM,2,FALSE),FALSE)/24,""))),"")=0,"",IFERROR(IF(C1033=C1031,0,IF(E1033=E1032,0,IF(C1033=$R$4,HLOOKUP($R$4,Ingreso!$AW$10:$BC$260,VLOOKUP(A1033,Ingreso!AL:AM,2,FALSE),FALSE)/24,""))),""))</f>
        <v/>
      </c>
      <c r="P1033" s="90"/>
      <c r="V1033"/>
      <c r="W1033" s="62"/>
      <c r="X1033" s="62"/>
      <c r="Y1033" s="62"/>
      <c r="Z1033" s="62"/>
      <c r="AA1033" s="62"/>
      <c r="AB1033" s="62"/>
      <c r="AC1033" s="62"/>
    </row>
    <row r="1034" spans="1:29">
      <c r="A1034" s="65" t="str">
        <f>IFERROR(VLOOKUP('Informe Kelly'!A1027,Base!A:B,2,FALSE),"")</f>
        <v>16.691.386-1</v>
      </c>
      <c r="B1034" s="65" t="str">
        <f>IFERROR(VLOOKUP('Informe Kelly'!A1027,Base!A:G,7,FALSE),"")</f>
        <v xml:space="preserve">SANDOVAL ALTAMIRANO LORENZO </v>
      </c>
      <c r="C1034" s="69" t="str">
        <f>IF(G1034=$C$4,IF('Informe Kelly'!H1027='Control informe Kelly'!$A$2,TEXT(((LEFT('Informe Kelly'!E1027,2)*1)+1),"dd")&amp;"."&amp;MID('Informe Kelly'!E1027,4,2)&amp;"."&amp;RIGHT('Informe Kelly'!E1027,4),'Informe Kelly'!E1027),'Informe Kelly'!E1027)</f>
        <v>11.04.2011</v>
      </c>
      <c r="D1034" s="69" t="str">
        <f>IF('Informe Kelly'!E1027="","",'Informe Kelly'!E1027)</f>
        <v>11.04.2011</v>
      </c>
      <c r="E1034" s="72">
        <f t="shared" ref="E1034:E1097" si="33">IF(C1033=C1034,IF(C1034=C1031,E1033,IF(C1034=C1032,E1033+1,E1033)),E1033+1)</f>
        <v>525</v>
      </c>
      <c r="F1034" s="72" t="str">
        <f>IFERROR(HLOOKUP(C1034,Ingreso!$Q$8:$AD$9,2,FALSE),"v")</f>
        <v>Lunes</v>
      </c>
      <c r="G1034" s="65" t="str">
        <f>IFERROR(VLOOKUP(A1034,Ingreso!K:P,6,FALSE),"no esta ingresado")</f>
        <v>Turno A</v>
      </c>
      <c r="H1034" s="65">
        <f>IFERROR(IF('Informe Kelly'!H1027=$A$2,'Informe Kelly'!F1027,""),0)</f>
        <v>0.29619212962962965</v>
      </c>
      <c r="I1034" s="65" t="str">
        <f>IFERROR(IF('Informe Kelly'!H1027=$A$3,'Informe Kelly'!F1027,""),0)</f>
        <v/>
      </c>
      <c r="J1034" s="65" t="str">
        <f>IF(IFERROR(IF(E1034=E1033,0,(HLOOKUP(D1034,Ingreso!$AN$10:$AT$260,VLOOKUP(A1034,Ingreso!$AL$11:$AM$260,2,FALSE)))/24),0)=0,"",IFERROR(IF(E1034=E1033,0,(HLOOKUP(D1034,Ingreso!$AN$10:$AT$260,VLOOKUP(A1034,Ingreso!$AL$11:$AM$260,2,FALSE)))/24),0))</f>
        <v/>
      </c>
      <c r="K1034" s="65" t="str">
        <f>IF(IFERROR(IF(E1034=E1033,0,(HLOOKUP(C1034,Ingreso!$AW$10:$BC$260,VLOOKUP(A1034,Ingreso!$AL$11:$AM$260,2,FALSE)))/24),0)=0,"",IFERROR(IF(E1034=E1033,0,(HLOOKUP(C1034,Ingreso!$AW$10:$BC$260,VLOOKUP(A1034,Ingreso!$AL$11:$AM$260,2,FALSE)))/24),0))</f>
        <v/>
      </c>
      <c r="L1034" s="63">
        <f t="shared" si="32"/>
        <v>0</v>
      </c>
      <c r="M1034" s="63" t="str">
        <f>IF(IFERROR(IF(C1034=C1032,0,IF(E1034=E1033,0,IF(C1034=$R$2,HLOOKUP($R$2,Ingreso!$AW$10:$BC$260,VLOOKUP(A1034,Ingreso!AL:AM,2,FALSE),FALSE)/24,""))),"")=0,"",IFERROR(IF(C1034=C1032,0,IF(E1034=E1033,0,IF(C1034=$R$2,HLOOKUP($R$2,Ingreso!$AW$10:$BC$260,VLOOKUP(A1034,Ingreso!AL:AM,2,FALSE),FALSE)/24,""))),""))</f>
        <v/>
      </c>
      <c r="N1034" s="95" t="str">
        <f>IF(IFERROR(IF(C1034=C1032,0,IF(E1034=E1033,0,IF(C1034=$R$3,HLOOKUP($R$3,Ingreso!$AW$10:$BC$260,VLOOKUP(A1034,Ingreso!AL:AM,2,FALSE),FALSE)/24,""))),"")=0,"",IFERROR(IF(C1034=C1032,0,IF(E1034=E1033,0,IF(C1034=$R$3,HLOOKUP($R$3,Ingreso!$AW$10:$BC$260,VLOOKUP(A1034,Ingreso!AL:AM,2,FALSE),FALSE)/24,""))),""))</f>
        <v/>
      </c>
      <c r="O1034" s="95" t="str">
        <f>IF(IFERROR(IF(C1034=C1032,0,IF(E1034=E1033,0,IF(C1034=$R$4,HLOOKUP($R$4,Ingreso!$AW$10:$BC$260,VLOOKUP(A1034,Ingreso!AL:AM,2,FALSE),FALSE)/24,""))),"")=0,"",IFERROR(IF(C1034=C1032,0,IF(E1034=E1033,0,IF(C1034=$R$4,HLOOKUP($R$4,Ingreso!$AW$10:$BC$260,VLOOKUP(A1034,Ingreso!AL:AM,2,FALSE),FALSE)/24,""))),""))</f>
        <v/>
      </c>
      <c r="P1034" s="90"/>
      <c r="V1034"/>
      <c r="W1034" s="62"/>
      <c r="X1034" s="62"/>
      <c r="Y1034" s="62"/>
      <c r="Z1034" s="62"/>
      <c r="AA1034" s="62"/>
      <c r="AB1034" s="62"/>
      <c r="AC1034" s="62"/>
    </row>
    <row r="1035" spans="1:29">
      <c r="A1035" s="65" t="str">
        <f>IFERROR(VLOOKUP('Informe Kelly'!A1028,Base!A:B,2,FALSE),"")</f>
        <v>16.691.386-1</v>
      </c>
      <c r="B1035" s="65" t="str">
        <f>IFERROR(VLOOKUP('Informe Kelly'!A1028,Base!A:G,7,FALSE),"")</f>
        <v xml:space="preserve">SANDOVAL ALTAMIRANO LORENZO </v>
      </c>
      <c r="C1035" s="69" t="str">
        <f>IF(G1035=$C$4,IF('Informe Kelly'!H1028='Control informe Kelly'!$A$2,TEXT(((LEFT('Informe Kelly'!E1028,2)*1)+1),"dd")&amp;"."&amp;MID('Informe Kelly'!E1028,4,2)&amp;"."&amp;RIGHT('Informe Kelly'!E1028,4),'Informe Kelly'!E1028),'Informe Kelly'!E1028)</f>
        <v>12.04.2011</v>
      </c>
      <c r="D1035" s="69" t="str">
        <f>IF('Informe Kelly'!E1028="","",'Informe Kelly'!E1028)</f>
        <v>12.04.2011</v>
      </c>
      <c r="E1035" s="72">
        <f t="shared" si="33"/>
        <v>526</v>
      </c>
      <c r="F1035" s="72" t="str">
        <f>IFERROR(HLOOKUP(C1035,Ingreso!$Q$8:$AD$9,2,FALSE),"v")</f>
        <v>Martes</v>
      </c>
      <c r="G1035" s="65" t="str">
        <f>IFERROR(VLOOKUP(A1035,Ingreso!K:P,6,FALSE),"no esta ingresado")</f>
        <v>Turno A</v>
      </c>
      <c r="H1035" s="65" t="str">
        <f>IFERROR(IF('Informe Kelly'!H1028=$A$2,'Informe Kelly'!F1028,""),0)</f>
        <v/>
      </c>
      <c r="I1035" s="65">
        <f>IFERROR(IF('Informe Kelly'!H1028=$A$3,'Informe Kelly'!F1028,""),0)</f>
        <v>0.63239583333333338</v>
      </c>
      <c r="J1035" s="65" t="str">
        <f>IF(IFERROR(IF(E1035=E1034,0,(HLOOKUP(D1035,Ingreso!$AN$10:$AT$260,VLOOKUP(A1035,Ingreso!$AL$11:$AM$260,2,FALSE)))/24),0)=0,"",IFERROR(IF(E1035=E1034,0,(HLOOKUP(D1035,Ingreso!$AN$10:$AT$260,VLOOKUP(A1035,Ingreso!$AL$11:$AM$260,2,FALSE)))/24),0))</f>
        <v/>
      </c>
      <c r="K1035" s="65" t="str">
        <f>IF(IFERROR(IF(E1035=E1034,0,(HLOOKUP(C1035,Ingreso!$AW$10:$BC$260,VLOOKUP(A1035,Ingreso!$AL$11:$AM$260,2,FALSE)))/24),0)=0,"",IFERROR(IF(E1035=E1034,0,(HLOOKUP(C1035,Ingreso!$AW$10:$BC$260,VLOOKUP(A1035,Ingreso!$AL$11:$AM$260,2,FALSE)))/24),0))</f>
        <v/>
      </c>
      <c r="L1035" s="63">
        <f t="shared" si="32"/>
        <v>0.3125</v>
      </c>
      <c r="M1035" s="63" t="str">
        <f>IF(IFERROR(IF(C1035=C1033,0,IF(E1035=E1034,0,IF(C1035=$R$2,HLOOKUP($R$2,Ingreso!$AW$10:$BC$260,VLOOKUP(A1035,Ingreso!AL:AM,2,FALSE),FALSE)/24,""))),"")=0,"",IFERROR(IF(C1035=C1033,0,IF(E1035=E1034,0,IF(C1035=$R$2,HLOOKUP($R$2,Ingreso!$AW$10:$BC$260,VLOOKUP(A1035,Ingreso!AL:AM,2,FALSE),FALSE)/24,""))),""))</f>
        <v/>
      </c>
      <c r="N1035" s="95" t="str">
        <f>IF(IFERROR(IF(C1035=C1033,0,IF(E1035=E1034,0,IF(C1035=$R$3,HLOOKUP($R$3,Ingreso!$AW$10:$BC$260,VLOOKUP(A1035,Ingreso!AL:AM,2,FALSE),FALSE)/24,""))),"")=0,"",IFERROR(IF(C1035=C1033,0,IF(E1035=E1034,0,IF(C1035=$R$3,HLOOKUP($R$3,Ingreso!$AW$10:$BC$260,VLOOKUP(A1035,Ingreso!AL:AM,2,FALSE),FALSE)/24,""))),""))</f>
        <v/>
      </c>
      <c r="O1035" s="95" t="str">
        <f>IF(IFERROR(IF(C1035=C1033,0,IF(E1035=E1034,0,IF(C1035=$R$4,HLOOKUP($R$4,Ingreso!$AW$10:$BC$260,VLOOKUP(A1035,Ingreso!AL:AM,2,FALSE),FALSE)/24,""))),"")=0,"",IFERROR(IF(C1035=C1033,0,IF(E1035=E1034,0,IF(C1035=$R$4,HLOOKUP($R$4,Ingreso!$AW$10:$BC$260,VLOOKUP(A1035,Ingreso!AL:AM,2,FALSE),FALSE)/24,""))),""))</f>
        <v/>
      </c>
      <c r="P1035" s="90"/>
      <c r="V1035"/>
      <c r="W1035" s="62"/>
      <c r="X1035" s="62"/>
      <c r="Y1035" s="62"/>
      <c r="Z1035" s="62"/>
      <c r="AA1035" s="62"/>
      <c r="AB1035" s="62"/>
      <c r="AC1035" s="62"/>
    </row>
    <row r="1036" spans="1:29">
      <c r="A1036" s="65" t="str">
        <f>IFERROR(VLOOKUP('Informe Kelly'!A1029,Base!A:B,2,FALSE),"")</f>
        <v>16.691.386-1</v>
      </c>
      <c r="B1036" s="65" t="str">
        <f>IFERROR(VLOOKUP('Informe Kelly'!A1029,Base!A:G,7,FALSE),"")</f>
        <v xml:space="preserve">SANDOVAL ALTAMIRANO LORENZO </v>
      </c>
      <c r="C1036" s="69" t="str">
        <f>IF(G1036=$C$4,IF('Informe Kelly'!H1029='Control informe Kelly'!$A$2,TEXT(((LEFT('Informe Kelly'!E1029,2)*1)+1),"dd")&amp;"."&amp;MID('Informe Kelly'!E1029,4,2)&amp;"."&amp;RIGHT('Informe Kelly'!E1029,4),'Informe Kelly'!E1029),'Informe Kelly'!E1029)</f>
        <v>12.04.2011</v>
      </c>
      <c r="D1036" s="69" t="str">
        <f>IF('Informe Kelly'!E1029="","",'Informe Kelly'!E1029)</f>
        <v>12.04.2011</v>
      </c>
      <c r="E1036" s="72">
        <f t="shared" si="33"/>
        <v>526</v>
      </c>
      <c r="F1036" s="72" t="str">
        <f>IFERROR(HLOOKUP(C1036,Ingreso!$Q$8:$AD$9,2,FALSE),"v")</f>
        <v>Martes</v>
      </c>
      <c r="G1036" s="65" t="str">
        <f>IFERROR(VLOOKUP(A1036,Ingreso!K:P,6,FALSE),"no esta ingresado")</f>
        <v>Turno A</v>
      </c>
      <c r="H1036" s="65">
        <f>IFERROR(IF('Informe Kelly'!H1029=$A$2,'Informe Kelly'!F1029,""),0)</f>
        <v>0.29084490740740737</v>
      </c>
      <c r="I1036" s="65" t="str">
        <f>IFERROR(IF('Informe Kelly'!H1029=$A$3,'Informe Kelly'!F1029,""),0)</f>
        <v/>
      </c>
      <c r="J1036" s="65" t="str">
        <f>IF(IFERROR(IF(E1036=E1035,0,(HLOOKUP(D1036,Ingreso!$AN$10:$AT$260,VLOOKUP(A1036,Ingreso!$AL$11:$AM$260,2,FALSE)))/24),0)=0,"",IFERROR(IF(E1036=E1035,0,(HLOOKUP(D1036,Ingreso!$AN$10:$AT$260,VLOOKUP(A1036,Ingreso!$AL$11:$AM$260,2,FALSE)))/24),0))</f>
        <v/>
      </c>
      <c r="K1036" s="65" t="str">
        <f>IF(IFERROR(IF(E1036=E1035,0,(HLOOKUP(C1036,Ingreso!$AW$10:$BC$260,VLOOKUP(A1036,Ingreso!$AL$11:$AM$260,2,FALSE)))/24),0)=0,"",IFERROR(IF(E1036=E1035,0,(HLOOKUP(C1036,Ingreso!$AW$10:$BC$260,VLOOKUP(A1036,Ingreso!$AL$11:$AM$260,2,FALSE)))/24),0))</f>
        <v/>
      </c>
      <c r="L1036" s="63">
        <f t="shared" si="32"/>
        <v>0</v>
      </c>
      <c r="M1036" s="63" t="str">
        <f>IF(IFERROR(IF(C1036=C1034,0,IF(E1036=E1035,0,IF(C1036=$R$2,HLOOKUP($R$2,Ingreso!$AW$10:$BC$260,VLOOKUP(A1036,Ingreso!AL:AM,2,FALSE),FALSE)/24,""))),"")=0,"",IFERROR(IF(C1036=C1034,0,IF(E1036=E1035,0,IF(C1036=$R$2,HLOOKUP($R$2,Ingreso!$AW$10:$BC$260,VLOOKUP(A1036,Ingreso!AL:AM,2,FALSE),FALSE)/24,""))),""))</f>
        <v/>
      </c>
      <c r="N1036" s="95" t="str">
        <f>IF(IFERROR(IF(C1036=C1034,0,IF(E1036=E1035,0,IF(C1036=$R$3,HLOOKUP($R$3,Ingreso!$AW$10:$BC$260,VLOOKUP(A1036,Ingreso!AL:AM,2,FALSE),FALSE)/24,""))),"")=0,"",IFERROR(IF(C1036=C1034,0,IF(E1036=E1035,0,IF(C1036=$R$3,HLOOKUP($R$3,Ingreso!$AW$10:$BC$260,VLOOKUP(A1036,Ingreso!AL:AM,2,FALSE),FALSE)/24,""))),""))</f>
        <v/>
      </c>
      <c r="O1036" s="95" t="str">
        <f>IF(IFERROR(IF(C1036=C1034,0,IF(E1036=E1035,0,IF(C1036=$R$4,HLOOKUP($R$4,Ingreso!$AW$10:$BC$260,VLOOKUP(A1036,Ingreso!AL:AM,2,FALSE),FALSE)/24,""))),"")=0,"",IFERROR(IF(C1036=C1034,0,IF(E1036=E1035,0,IF(C1036=$R$4,HLOOKUP($R$4,Ingreso!$AW$10:$BC$260,VLOOKUP(A1036,Ingreso!AL:AM,2,FALSE),FALSE)/24,""))),""))</f>
        <v/>
      </c>
      <c r="P1036" s="90"/>
      <c r="V1036"/>
      <c r="W1036" s="62"/>
      <c r="X1036" s="62"/>
      <c r="Y1036" s="62"/>
      <c r="Z1036" s="62"/>
      <c r="AA1036" s="62"/>
      <c r="AB1036" s="62"/>
      <c r="AC1036" s="62"/>
    </row>
    <row r="1037" spans="1:29">
      <c r="A1037" s="65" t="str">
        <f>IFERROR(VLOOKUP('Informe Kelly'!A1030,Base!A:B,2,FALSE),"")</f>
        <v>16.691.386-1</v>
      </c>
      <c r="B1037" s="65" t="str">
        <f>IFERROR(VLOOKUP('Informe Kelly'!A1030,Base!A:G,7,FALSE),"")</f>
        <v xml:space="preserve">SANDOVAL ALTAMIRANO LORENZO </v>
      </c>
      <c r="C1037" s="69" t="str">
        <f>IF(G1037=$C$4,IF('Informe Kelly'!H1030='Control informe Kelly'!$A$2,TEXT(((LEFT('Informe Kelly'!E1030,2)*1)+1),"dd")&amp;"."&amp;MID('Informe Kelly'!E1030,4,2)&amp;"."&amp;RIGHT('Informe Kelly'!E1030,4),'Informe Kelly'!E1030),'Informe Kelly'!E1030)</f>
        <v>13.04.2011</v>
      </c>
      <c r="D1037" s="69" t="str">
        <f>IF('Informe Kelly'!E1030="","",'Informe Kelly'!E1030)</f>
        <v>13.04.2011</v>
      </c>
      <c r="E1037" s="72">
        <f t="shared" si="33"/>
        <v>527</v>
      </c>
      <c r="F1037" s="72" t="str">
        <f>IFERROR(HLOOKUP(C1037,Ingreso!$Q$8:$AD$9,2,FALSE),"v")</f>
        <v>Miércoles</v>
      </c>
      <c r="G1037" s="65" t="str">
        <f>IFERROR(VLOOKUP(A1037,Ingreso!K:P,6,FALSE),"no esta ingresado")</f>
        <v>Turno A</v>
      </c>
      <c r="H1037" s="65" t="str">
        <f>IFERROR(IF('Informe Kelly'!H1030=$A$2,'Informe Kelly'!F1030,""),0)</f>
        <v/>
      </c>
      <c r="I1037" s="65">
        <f>IFERROR(IF('Informe Kelly'!H1030=$A$3,'Informe Kelly'!F1030,""),0)</f>
        <v>0.63270833333333332</v>
      </c>
      <c r="J1037" s="65" t="str">
        <f>IF(IFERROR(IF(E1037=E1036,0,(HLOOKUP(D1037,Ingreso!$AN$10:$AT$260,VLOOKUP(A1037,Ingreso!$AL$11:$AM$260,2,FALSE)))/24),0)=0,"",IFERROR(IF(E1037=E1036,0,(HLOOKUP(D1037,Ingreso!$AN$10:$AT$260,VLOOKUP(A1037,Ingreso!$AL$11:$AM$260,2,FALSE)))/24),0))</f>
        <v/>
      </c>
      <c r="K1037" s="65" t="str">
        <f>IF(IFERROR(IF(E1037=E1036,0,(HLOOKUP(C1037,Ingreso!$AW$10:$BC$260,VLOOKUP(A1037,Ingreso!$AL$11:$AM$260,2,FALSE)))/24),0)=0,"",IFERROR(IF(E1037=E1036,0,(HLOOKUP(C1037,Ingreso!$AW$10:$BC$260,VLOOKUP(A1037,Ingreso!$AL$11:$AM$260,2,FALSE)))/24),0))</f>
        <v/>
      </c>
      <c r="L1037" s="63">
        <f t="shared" si="32"/>
        <v>0.3125</v>
      </c>
      <c r="M1037" s="63" t="str">
        <f>IF(IFERROR(IF(C1037=C1035,0,IF(E1037=E1036,0,IF(C1037=$R$2,HLOOKUP($R$2,Ingreso!$AW$10:$BC$260,VLOOKUP(A1037,Ingreso!AL:AM,2,FALSE),FALSE)/24,""))),"")=0,"",IFERROR(IF(C1037=C1035,0,IF(E1037=E1036,0,IF(C1037=$R$2,HLOOKUP($R$2,Ingreso!$AW$10:$BC$260,VLOOKUP(A1037,Ingreso!AL:AM,2,FALSE),FALSE)/24,""))),""))</f>
        <v/>
      </c>
      <c r="N1037" s="95" t="str">
        <f>IF(IFERROR(IF(C1037=C1035,0,IF(E1037=E1036,0,IF(C1037=$R$3,HLOOKUP($R$3,Ingreso!$AW$10:$BC$260,VLOOKUP(A1037,Ingreso!AL:AM,2,FALSE),FALSE)/24,""))),"")=0,"",IFERROR(IF(C1037=C1035,0,IF(E1037=E1036,0,IF(C1037=$R$3,HLOOKUP($R$3,Ingreso!$AW$10:$BC$260,VLOOKUP(A1037,Ingreso!AL:AM,2,FALSE),FALSE)/24,""))),""))</f>
        <v/>
      </c>
      <c r="O1037" s="95" t="str">
        <f>IF(IFERROR(IF(C1037=C1035,0,IF(E1037=E1036,0,IF(C1037=$R$4,HLOOKUP($R$4,Ingreso!$AW$10:$BC$260,VLOOKUP(A1037,Ingreso!AL:AM,2,FALSE),FALSE)/24,""))),"")=0,"",IFERROR(IF(C1037=C1035,0,IF(E1037=E1036,0,IF(C1037=$R$4,HLOOKUP($R$4,Ingreso!$AW$10:$BC$260,VLOOKUP(A1037,Ingreso!AL:AM,2,FALSE),FALSE)/24,""))),""))</f>
        <v/>
      </c>
      <c r="P1037" s="90"/>
      <c r="V1037"/>
      <c r="W1037" s="62"/>
      <c r="X1037" s="62"/>
      <c r="Y1037" s="62"/>
      <c r="Z1037" s="62"/>
      <c r="AA1037" s="62"/>
      <c r="AB1037" s="62"/>
      <c r="AC1037" s="62"/>
    </row>
    <row r="1038" spans="1:29">
      <c r="A1038" s="65" t="str">
        <f>IFERROR(VLOOKUP('Informe Kelly'!A1031,Base!A:B,2,FALSE),"")</f>
        <v>16.691.386-1</v>
      </c>
      <c r="B1038" s="65" t="str">
        <f>IFERROR(VLOOKUP('Informe Kelly'!A1031,Base!A:G,7,FALSE),"")</f>
        <v xml:space="preserve">SANDOVAL ALTAMIRANO LORENZO </v>
      </c>
      <c r="C1038" s="69" t="str">
        <f>IF(G1038=$C$4,IF('Informe Kelly'!H1031='Control informe Kelly'!$A$2,TEXT(((LEFT('Informe Kelly'!E1031,2)*1)+1),"dd")&amp;"."&amp;MID('Informe Kelly'!E1031,4,2)&amp;"."&amp;RIGHT('Informe Kelly'!E1031,4),'Informe Kelly'!E1031),'Informe Kelly'!E1031)</f>
        <v>13.04.2011</v>
      </c>
      <c r="D1038" s="69" t="str">
        <f>IF('Informe Kelly'!E1031="","",'Informe Kelly'!E1031)</f>
        <v>13.04.2011</v>
      </c>
      <c r="E1038" s="72">
        <f t="shared" si="33"/>
        <v>527</v>
      </c>
      <c r="F1038" s="72" t="str">
        <f>IFERROR(HLOOKUP(C1038,Ingreso!$Q$8:$AD$9,2,FALSE),"v")</f>
        <v>Miércoles</v>
      </c>
      <c r="G1038" s="65" t="str">
        <f>IFERROR(VLOOKUP(A1038,Ingreso!K:P,6,FALSE),"no esta ingresado")</f>
        <v>Turno A</v>
      </c>
      <c r="H1038" s="65">
        <f>IFERROR(IF('Informe Kelly'!H1031=$A$2,'Informe Kelly'!F1031,""),0)</f>
        <v>0.28917824074074078</v>
      </c>
      <c r="I1038" s="65" t="str">
        <f>IFERROR(IF('Informe Kelly'!H1031=$A$3,'Informe Kelly'!F1031,""),0)</f>
        <v/>
      </c>
      <c r="J1038" s="65" t="str">
        <f>IF(IFERROR(IF(E1038=E1037,0,(HLOOKUP(D1038,Ingreso!$AN$10:$AT$260,VLOOKUP(A1038,Ingreso!$AL$11:$AM$260,2,FALSE)))/24),0)=0,"",IFERROR(IF(E1038=E1037,0,(HLOOKUP(D1038,Ingreso!$AN$10:$AT$260,VLOOKUP(A1038,Ingreso!$AL$11:$AM$260,2,FALSE)))/24),0))</f>
        <v/>
      </c>
      <c r="K1038" s="65" t="str">
        <f>IF(IFERROR(IF(E1038=E1037,0,(HLOOKUP(C1038,Ingreso!$AW$10:$BC$260,VLOOKUP(A1038,Ingreso!$AL$11:$AM$260,2,FALSE)))/24),0)=0,"",IFERROR(IF(E1038=E1037,0,(HLOOKUP(C1038,Ingreso!$AW$10:$BC$260,VLOOKUP(A1038,Ingreso!$AL$11:$AM$260,2,FALSE)))/24),0))</f>
        <v/>
      </c>
      <c r="L1038" s="63">
        <f t="shared" si="32"/>
        <v>0</v>
      </c>
      <c r="M1038" s="63" t="str">
        <f>IF(IFERROR(IF(C1038=C1036,0,IF(E1038=E1037,0,IF(C1038=$R$2,HLOOKUP($R$2,Ingreso!$AW$10:$BC$260,VLOOKUP(A1038,Ingreso!AL:AM,2,FALSE),FALSE)/24,""))),"")=0,"",IFERROR(IF(C1038=C1036,0,IF(E1038=E1037,0,IF(C1038=$R$2,HLOOKUP($R$2,Ingreso!$AW$10:$BC$260,VLOOKUP(A1038,Ingreso!AL:AM,2,FALSE),FALSE)/24,""))),""))</f>
        <v/>
      </c>
      <c r="N1038" s="95" t="str">
        <f>IF(IFERROR(IF(C1038=C1036,0,IF(E1038=E1037,0,IF(C1038=$R$3,HLOOKUP($R$3,Ingreso!$AW$10:$BC$260,VLOOKUP(A1038,Ingreso!AL:AM,2,FALSE),FALSE)/24,""))),"")=0,"",IFERROR(IF(C1038=C1036,0,IF(E1038=E1037,0,IF(C1038=$R$3,HLOOKUP($R$3,Ingreso!$AW$10:$BC$260,VLOOKUP(A1038,Ingreso!AL:AM,2,FALSE),FALSE)/24,""))),""))</f>
        <v/>
      </c>
      <c r="O1038" s="95" t="str">
        <f>IF(IFERROR(IF(C1038=C1036,0,IF(E1038=E1037,0,IF(C1038=$R$4,HLOOKUP($R$4,Ingreso!$AW$10:$BC$260,VLOOKUP(A1038,Ingreso!AL:AM,2,FALSE),FALSE)/24,""))),"")=0,"",IFERROR(IF(C1038=C1036,0,IF(E1038=E1037,0,IF(C1038=$R$4,HLOOKUP($R$4,Ingreso!$AW$10:$BC$260,VLOOKUP(A1038,Ingreso!AL:AM,2,FALSE),FALSE)/24,""))),""))</f>
        <v/>
      </c>
      <c r="P1038" s="90"/>
      <c r="V1038"/>
      <c r="W1038" s="62"/>
      <c r="X1038" s="62"/>
      <c r="Y1038" s="62"/>
      <c r="Z1038" s="62"/>
      <c r="AA1038" s="62"/>
      <c r="AB1038" s="62"/>
      <c r="AC1038" s="62"/>
    </row>
    <row r="1039" spans="1:29">
      <c r="A1039" s="65" t="str">
        <f>IFERROR(VLOOKUP('Informe Kelly'!A1032,Base!A:B,2,FALSE),"")</f>
        <v>16.691.386-1</v>
      </c>
      <c r="B1039" s="65" t="str">
        <f>IFERROR(VLOOKUP('Informe Kelly'!A1032,Base!A:G,7,FALSE),"")</f>
        <v xml:space="preserve">SANDOVAL ALTAMIRANO LORENZO </v>
      </c>
      <c r="C1039" s="69" t="str">
        <f>IF(G1039=$C$4,IF('Informe Kelly'!H1032='Control informe Kelly'!$A$2,TEXT(((LEFT('Informe Kelly'!E1032,2)*1)+1),"dd")&amp;"."&amp;MID('Informe Kelly'!E1032,4,2)&amp;"."&amp;RIGHT('Informe Kelly'!E1032,4),'Informe Kelly'!E1032),'Informe Kelly'!E1032)</f>
        <v>14.04.2011</v>
      </c>
      <c r="D1039" s="69" t="str">
        <f>IF('Informe Kelly'!E1032="","",'Informe Kelly'!E1032)</f>
        <v>14.04.2011</v>
      </c>
      <c r="E1039" s="72">
        <f t="shared" si="33"/>
        <v>528</v>
      </c>
      <c r="F1039" s="72" t="str">
        <f>IFERROR(HLOOKUP(C1039,Ingreso!$Q$8:$AD$9,2,FALSE),"v")</f>
        <v>Jueves</v>
      </c>
      <c r="G1039" s="65" t="str">
        <f>IFERROR(VLOOKUP(A1039,Ingreso!K:P,6,FALSE),"no esta ingresado")</f>
        <v>Turno A</v>
      </c>
      <c r="H1039" s="65" t="str">
        <f>IFERROR(IF('Informe Kelly'!H1032=$A$2,'Informe Kelly'!F1032,""),0)</f>
        <v/>
      </c>
      <c r="I1039" s="65">
        <f>IFERROR(IF('Informe Kelly'!H1032=$A$3,'Informe Kelly'!F1032,""),0)</f>
        <v>0.63214120370370364</v>
      </c>
      <c r="J1039" s="65" t="str">
        <f>IF(IFERROR(IF(E1039=E1038,0,(HLOOKUP(D1039,Ingreso!$AN$10:$AT$260,VLOOKUP(A1039,Ingreso!$AL$11:$AM$260,2,FALSE)))/24),0)=0,"",IFERROR(IF(E1039=E1038,0,(HLOOKUP(D1039,Ingreso!$AN$10:$AT$260,VLOOKUP(A1039,Ingreso!$AL$11:$AM$260,2,FALSE)))/24),0))</f>
        <v/>
      </c>
      <c r="K1039" s="65" t="str">
        <f>IF(IFERROR(IF(E1039=E1038,0,(HLOOKUP(C1039,Ingreso!$AW$10:$BC$260,VLOOKUP(A1039,Ingreso!$AL$11:$AM$260,2,FALSE)))/24),0)=0,"",IFERROR(IF(E1039=E1038,0,(HLOOKUP(C1039,Ingreso!$AW$10:$BC$260,VLOOKUP(A1039,Ingreso!$AL$11:$AM$260,2,FALSE)))/24),0))</f>
        <v/>
      </c>
      <c r="L1039" s="63">
        <f t="shared" si="32"/>
        <v>0.3125</v>
      </c>
      <c r="M1039" s="63" t="str">
        <f>IF(IFERROR(IF(C1039=C1037,0,IF(E1039=E1038,0,IF(C1039=$R$2,HLOOKUP($R$2,Ingreso!$AW$10:$BC$260,VLOOKUP(A1039,Ingreso!AL:AM,2,FALSE),FALSE)/24,""))),"")=0,"",IFERROR(IF(C1039=C1037,0,IF(E1039=E1038,0,IF(C1039=$R$2,HLOOKUP($R$2,Ingreso!$AW$10:$BC$260,VLOOKUP(A1039,Ingreso!AL:AM,2,FALSE),FALSE)/24,""))),""))</f>
        <v/>
      </c>
      <c r="N1039" s="95" t="str">
        <f>IF(IFERROR(IF(C1039=C1037,0,IF(E1039=E1038,0,IF(C1039=$R$3,HLOOKUP($R$3,Ingreso!$AW$10:$BC$260,VLOOKUP(A1039,Ingreso!AL:AM,2,FALSE),FALSE)/24,""))),"")=0,"",IFERROR(IF(C1039=C1037,0,IF(E1039=E1038,0,IF(C1039=$R$3,HLOOKUP($R$3,Ingreso!$AW$10:$BC$260,VLOOKUP(A1039,Ingreso!AL:AM,2,FALSE),FALSE)/24,""))),""))</f>
        <v/>
      </c>
      <c r="O1039" s="95" t="str">
        <f>IF(IFERROR(IF(C1039=C1037,0,IF(E1039=E1038,0,IF(C1039=$R$4,HLOOKUP($R$4,Ingreso!$AW$10:$BC$260,VLOOKUP(A1039,Ingreso!AL:AM,2,FALSE),FALSE)/24,""))),"")=0,"",IFERROR(IF(C1039=C1037,0,IF(E1039=E1038,0,IF(C1039=$R$4,HLOOKUP($R$4,Ingreso!$AW$10:$BC$260,VLOOKUP(A1039,Ingreso!AL:AM,2,FALSE),FALSE)/24,""))),""))</f>
        <v/>
      </c>
      <c r="P1039" s="90"/>
      <c r="V1039"/>
      <c r="W1039" s="62"/>
      <c r="X1039" s="62"/>
      <c r="Y1039" s="62"/>
      <c r="Z1039" s="62"/>
      <c r="AA1039" s="62"/>
      <c r="AB1039" s="62"/>
      <c r="AC1039" s="62"/>
    </row>
    <row r="1040" spans="1:29">
      <c r="A1040" s="65" t="str">
        <f>IFERROR(VLOOKUP('Informe Kelly'!A1033,Base!A:B,2,FALSE),"")</f>
        <v>16.691.386-1</v>
      </c>
      <c r="B1040" s="65" t="str">
        <f>IFERROR(VLOOKUP('Informe Kelly'!A1033,Base!A:G,7,FALSE),"")</f>
        <v xml:space="preserve">SANDOVAL ALTAMIRANO LORENZO </v>
      </c>
      <c r="C1040" s="69" t="str">
        <f>IF(G1040=$C$4,IF('Informe Kelly'!H1033='Control informe Kelly'!$A$2,TEXT(((LEFT('Informe Kelly'!E1033,2)*1)+1),"dd")&amp;"."&amp;MID('Informe Kelly'!E1033,4,2)&amp;"."&amp;RIGHT('Informe Kelly'!E1033,4),'Informe Kelly'!E1033),'Informe Kelly'!E1033)</f>
        <v>14.04.2011</v>
      </c>
      <c r="D1040" s="69" t="str">
        <f>IF('Informe Kelly'!E1033="","",'Informe Kelly'!E1033)</f>
        <v>14.04.2011</v>
      </c>
      <c r="E1040" s="72">
        <f t="shared" si="33"/>
        <v>528</v>
      </c>
      <c r="F1040" s="72" t="str">
        <f>IFERROR(HLOOKUP(C1040,Ingreso!$Q$8:$AD$9,2,FALSE),"v")</f>
        <v>Jueves</v>
      </c>
      <c r="G1040" s="65" t="str">
        <f>IFERROR(VLOOKUP(A1040,Ingreso!K:P,6,FALSE),"no esta ingresado")</f>
        <v>Turno A</v>
      </c>
      <c r="H1040" s="65">
        <f>IFERROR(IF('Informe Kelly'!H1033=$A$2,'Informe Kelly'!F1033,""),0)</f>
        <v>0.299375</v>
      </c>
      <c r="I1040" s="65" t="str">
        <f>IFERROR(IF('Informe Kelly'!H1033=$A$3,'Informe Kelly'!F1033,""),0)</f>
        <v/>
      </c>
      <c r="J1040" s="65" t="str">
        <f>IF(IFERROR(IF(E1040=E1039,0,(HLOOKUP(D1040,Ingreso!$AN$10:$AT$260,VLOOKUP(A1040,Ingreso!$AL$11:$AM$260,2,FALSE)))/24),0)=0,"",IFERROR(IF(E1040=E1039,0,(HLOOKUP(D1040,Ingreso!$AN$10:$AT$260,VLOOKUP(A1040,Ingreso!$AL$11:$AM$260,2,FALSE)))/24),0))</f>
        <v/>
      </c>
      <c r="K1040" s="65" t="str">
        <f>IF(IFERROR(IF(E1040=E1039,0,(HLOOKUP(C1040,Ingreso!$AW$10:$BC$260,VLOOKUP(A1040,Ingreso!$AL$11:$AM$260,2,FALSE)))/24),0)=0,"",IFERROR(IF(E1040=E1039,0,(HLOOKUP(C1040,Ingreso!$AW$10:$BC$260,VLOOKUP(A1040,Ingreso!$AL$11:$AM$260,2,FALSE)))/24),0))</f>
        <v/>
      </c>
      <c r="L1040" s="63">
        <f t="shared" si="32"/>
        <v>0</v>
      </c>
      <c r="M1040" s="63" t="str">
        <f>IF(IFERROR(IF(C1040=C1038,0,IF(E1040=E1039,0,IF(C1040=$R$2,HLOOKUP($R$2,Ingreso!$AW$10:$BC$260,VLOOKUP(A1040,Ingreso!AL:AM,2,FALSE),FALSE)/24,""))),"")=0,"",IFERROR(IF(C1040=C1038,0,IF(E1040=E1039,0,IF(C1040=$R$2,HLOOKUP($R$2,Ingreso!$AW$10:$BC$260,VLOOKUP(A1040,Ingreso!AL:AM,2,FALSE),FALSE)/24,""))),""))</f>
        <v/>
      </c>
      <c r="N1040" s="95" t="str">
        <f>IF(IFERROR(IF(C1040=C1038,0,IF(E1040=E1039,0,IF(C1040=$R$3,HLOOKUP($R$3,Ingreso!$AW$10:$BC$260,VLOOKUP(A1040,Ingreso!AL:AM,2,FALSE),FALSE)/24,""))),"")=0,"",IFERROR(IF(C1040=C1038,0,IF(E1040=E1039,0,IF(C1040=$R$3,HLOOKUP($R$3,Ingreso!$AW$10:$BC$260,VLOOKUP(A1040,Ingreso!AL:AM,2,FALSE),FALSE)/24,""))),""))</f>
        <v/>
      </c>
      <c r="O1040" s="95" t="str">
        <f>IF(IFERROR(IF(C1040=C1038,0,IF(E1040=E1039,0,IF(C1040=$R$4,HLOOKUP($R$4,Ingreso!$AW$10:$BC$260,VLOOKUP(A1040,Ingreso!AL:AM,2,FALSE),FALSE)/24,""))),"")=0,"",IFERROR(IF(C1040=C1038,0,IF(E1040=E1039,0,IF(C1040=$R$4,HLOOKUP($R$4,Ingreso!$AW$10:$BC$260,VLOOKUP(A1040,Ingreso!AL:AM,2,FALSE),FALSE)/24,""))),""))</f>
        <v/>
      </c>
      <c r="P1040" s="90"/>
      <c r="V1040"/>
      <c r="W1040" s="62"/>
      <c r="X1040" s="62"/>
      <c r="Y1040" s="62"/>
      <c r="Z1040" s="62"/>
      <c r="AA1040" s="62"/>
      <c r="AB1040" s="62"/>
      <c r="AC1040" s="62"/>
    </row>
    <row r="1041" spans="1:29">
      <c r="A1041" s="65" t="str">
        <f>IFERROR(VLOOKUP('Informe Kelly'!A1034,Base!A:B,2,FALSE),"")</f>
        <v>16.691.386-1</v>
      </c>
      <c r="B1041" s="65" t="str">
        <f>IFERROR(VLOOKUP('Informe Kelly'!A1034,Base!A:G,7,FALSE),"")</f>
        <v xml:space="preserve">SANDOVAL ALTAMIRANO LORENZO </v>
      </c>
      <c r="C1041" s="69" t="str">
        <f>IF(G1041=$C$4,IF('Informe Kelly'!H1034='Control informe Kelly'!$A$2,TEXT(((LEFT('Informe Kelly'!E1034,2)*1)+1),"dd")&amp;"."&amp;MID('Informe Kelly'!E1034,4,2)&amp;"."&amp;RIGHT('Informe Kelly'!E1034,4),'Informe Kelly'!E1034),'Informe Kelly'!E1034)</f>
        <v>15.04.2011</v>
      </c>
      <c r="D1041" s="69" t="str">
        <f>IF('Informe Kelly'!E1034="","",'Informe Kelly'!E1034)</f>
        <v>15.04.2011</v>
      </c>
      <c r="E1041" s="72">
        <f t="shared" si="33"/>
        <v>529</v>
      </c>
      <c r="F1041" s="72" t="str">
        <f>IFERROR(HLOOKUP(C1041,Ingreso!$Q$8:$AD$9,2,FALSE),"v")</f>
        <v>Viernes</v>
      </c>
      <c r="G1041" s="65" t="str">
        <f>IFERROR(VLOOKUP(A1041,Ingreso!K:P,6,FALSE),"no esta ingresado")</f>
        <v>Turno A</v>
      </c>
      <c r="H1041" s="65" t="str">
        <f>IFERROR(IF('Informe Kelly'!H1034=$A$2,'Informe Kelly'!F1034,""),0)</f>
        <v/>
      </c>
      <c r="I1041" s="65">
        <f>IFERROR(IF('Informe Kelly'!H1034=$A$3,'Informe Kelly'!F1034,""),0)</f>
        <v>0.63254629629629633</v>
      </c>
      <c r="J1041" s="65" t="str">
        <f>IF(IFERROR(IF(E1041=E1040,0,(HLOOKUP(D1041,Ingreso!$AN$10:$AT$260,VLOOKUP(A1041,Ingreso!$AL$11:$AM$260,2,FALSE)))/24),0)=0,"",IFERROR(IF(E1041=E1040,0,(HLOOKUP(D1041,Ingreso!$AN$10:$AT$260,VLOOKUP(A1041,Ingreso!$AL$11:$AM$260,2,FALSE)))/24),0))</f>
        <v/>
      </c>
      <c r="K1041" s="65" t="str">
        <f>IF(IFERROR(IF(E1041=E1040,0,(HLOOKUP(C1041,Ingreso!$AW$10:$BC$260,VLOOKUP(A1041,Ingreso!$AL$11:$AM$260,2,FALSE)))/24),0)=0,"",IFERROR(IF(E1041=E1040,0,(HLOOKUP(C1041,Ingreso!$AW$10:$BC$260,VLOOKUP(A1041,Ingreso!$AL$11:$AM$260,2,FALSE)))/24),0))</f>
        <v/>
      </c>
      <c r="L1041" s="63">
        <f t="shared" si="32"/>
        <v>0.3125</v>
      </c>
      <c r="M1041" s="63" t="str">
        <f>IF(IFERROR(IF(C1041=C1039,0,IF(E1041=E1040,0,IF(C1041=$R$2,HLOOKUP($R$2,Ingreso!$AW$10:$BC$260,VLOOKUP(A1041,Ingreso!AL:AM,2,FALSE),FALSE)/24,""))),"")=0,"",IFERROR(IF(C1041=C1039,0,IF(E1041=E1040,0,IF(C1041=$R$2,HLOOKUP($R$2,Ingreso!$AW$10:$BC$260,VLOOKUP(A1041,Ingreso!AL:AM,2,FALSE),FALSE)/24,""))),""))</f>
        <v/>
      </c>
      <c r="N1041" s="95" t="str">
        <f>IF(IFERROR(IF(C1041=C1039,0,IF(E1041=E1040,0,IF(C1041=$R$3,HLOOKUP($R$3,Ingreso!$AW$10:$BC$260,VLOOKUP(A1041,Ingreso!AL:AM,2,FALSE),FALSE)/24,""))),"")=0,"",IFERROR(IF(C1041=C1039,0,IF(E1041=E1040,0,IF(C1041=$R$3,HLOOKUP($R$3,Ingreso!$AW$10:$BC$260,VLOOKUP(A1041,Ingreso!AL:AM,2,FALSE),FALSE)/24,""))),""))</f>
        <v/>
      </c>
      <c r="O1041" s="95" t="str">
        <f>IF(IFERROR(IF(C1041=C1039,0,IF(E1041=E1040,0,IF(C1041=$R$4,HLOOKUP($R$4,Ingreso!$AW$10:$BC$260,VLOOKUP(A1041,Ingreso!AL:AM,2,FALSE),FALSE)/24,""))),"")=0,"",IFERROR(IF(C1041=C1039,0,IF(E1041=E1040,0,IF(C1041=$R$4,HLOOKUP($R$4,Ingreso!$AW$10:$BC$260,VLOOKUP(A1041,Ingreso!AL:AM,2,FALSE),FALSE)/24,""))),""))</f>
        <v/>
      </c>
      <c r="P1041" s="90"/>
      <c r="V1041"/>
      <c r="W1041" s="62"/>
      <c r="X1041" s="62"/>
      <c r="Y1041" s="62"/>
      <c r="Z1041" s="62"/>
      <c r="AA1041" s="62"/>
      <c r="AB1041" s="62"/>
      <c r="AC1041" s="62"/>
    </row>
    <row r="1042" spans="1:29">
      <c r="A1042" s="65" t="str">
        <f>IFERROR(VLOOKUP('Informe Kelly'!A1035,Base!A:B,2,FALSE),"")</f>
        <v>16.691.386-1</v>
      </c>
      <c r="B1042" s="65" t="str">
        <f>IFERROR(VLOOKUP('Informe Kelly'!A1035,Base!A:G,7,FALSE),"")</f>
        <v xml:space="preserve">SANDOVAL ALTAMIRANO LORENZO </v>
      </c>
      <c r="C1042" s="69" t="str">
        <f>IF(G1042=$C$4,IF('Informe Kelly'!H1035='Control informe Kelly'!$A$2,TEXT(((LEFT('Informe Kelly'!E1035,2)*1)+1),"dd")&amp;"."&amp;MID('Informe Kelly'!E1035,4,2)&amp;"."&amp;RIGHT('Informe Kelly'!E1035,4),'Informe Kelly'!E1035),'Informe Kelly'!E1035)</f>
        <v>15.04.2011</v>
      </c>
      <c r="D1042" s="69" t="str">
        <f>IF('Informe Kelly'!E1035="","",'Informe Kelly'!E1035)</f>
        <v>15.04.2011</v>
      </c>
      <c r="E1042" s="72">
        <f t="shared" si="33"/>
        <v>529</v>
      </c>
      <c r="F1042" s="72" t="str">
        <f>IFERROR(HLOOKUP(C1042,Ingreso!$Q$8:$AD$9,2,FALSE),"v")</f>
        <v>Viernes</v>
      </c>
      <c r="G1042" s="65" t="str">
        <f>IFERROR(VLOOKUP(A1042,Ingreso!K:P,6,FALSE),"no esta ingresado")</f>
        <v>Turno A</v>
      </c>
      <c r="H1042" s="65">
        <f>IFERROR(IF('Informe Kelly'!H1035=$A$2,'Informe Kelly'!F1035,""),0)</f>
        <v>0.29365740740740742</v>
      </c>
      <c r="I1042" s="65" t="str">
        <f>IFERROR(IF('Informe Kelly'!H1035=$A$3,'Informe Kelly'!F1035,""),0)</f>
        <v/>
      </c>
      <c r="J1042" s="65" t="str">
        <f>IF(IFERROR(IF(E1042=E1041,0,(HLOOKUP(D1042,Ingreso!$AN$10:$AT$260,VLOOKUP(A1042,Ingreso!$AL$11:$AM$260,2,FALSE)))/24),0)=0,"",IFERROR(IF(E1042=E1041,0,(HLOOKUP(D1042,Ingreso!$AN$10:$AT$260,VLOOKUP(A1042,Ingreso!$AL$11:$AM$260,2,FALSE)))/24),0))</f>
        <v/>
      </c>
      <c r="K1042" s="65" t="str">
        <f>IF(IFERROR(IF(E1042=E1041,0,(HLOOKUP(C1042,Ingreso!$AW$10:$BC$260,VLOOKUP(A1042,Ingreso!$AL$11:$AM$260,2,FALSE)))/24),0)=0,"",IFERROR(IF(E1042=E1041,0,(HLOOKUP(C1042,Ingreso!$AW$10:$BC$260,VLOOKUP(A1042,Ingreso!$AL$11:$AM$260,2,FALSE)))/24),0))</f>
        <v/>
      </c>
      <c r="L1042" s="63">
        <f t="shared" si="32"/>
        <v>0</v>
      </c>
      <c r="M1042" s="63" t="str">
        <f>IF(IFERROR(IF(C1042=C1040,0,IF(E1042=E1041,0,IF(C1042=$R$2,HLOOKUP($R$2,Ingreso!$AW$10:$BC$260,VLOOKUP(A1042,Ingreso!AL:AM,2,FALSE),FALSE)/24,""))),"")=0,"",IFERROR(IF(C1042=C1040,0,IF(E1042=E1041,0,IF(C1042=$R$2,HLOOKUP($R$2,Ingreso!$AW$10:$BC$260,VLOOKUP(A1042,Ingreso!AL:AM,2,FALSE),FALSE)/24,""))),""))</f>
        <v/>
      </c>
      <c r="N1042" s="95" t="str">
        <f>IF(IFERROR(IF(C1042=C1040,0,IF(E1042=E1041,0,IF(C1042=$R$3,HLOOKUP($R$3,Ingreso!$AW$10:$BC$260,VLOOKUP(A1042,Ingreso!AL:AM,2,FALSE),FALSE)/24,""))),"")=0,"",IFERROR(IF(C1042=C1040,0,IF(E1042=E1041,0,IF(C1042=$R$3,HLOOKUP($R$3,Ingreso!$AW$10:$BC$260,VLOOKUP(A1042,Ingreso!AL:AM,2,FALSE),FALSE)/24,""))),""))</f>
        <v/>
      </c>
      <c r="O1042" s="95" t="str">
        <f>IF(IFERROR(IF(C1042=C1040,0,IF(E1042=E1041,0,IF(C1042=$R$4,HLOOKUP($R$4,Ingreso!$AW$10:$BC$260,VLOOKUP(A1042,Ingreso!AL:AM,2,FALSE),FALSE)/24,""))),"")=0,"",IFERROR(IF(C1042=C1040,0,IF(E1042=E1041,0,IF(C1042=$R$4,HLOOKUP($R$4,Ingreso!$AW$10:$BC$260,VLOOKUP(A1042,Ingreso!AL:AM,2,FALSE),FALSE)/24,""))),""))</f>
        <v/>
      </c>
      <c r="P1042" s="90"/>
      <c r="V1042"/>
      <c r="W1042" s="62"/>
      <c r="X1042" s="62"/>
      <c r="Y1042" s="62"/>
      <c r="Z1042" s="62"/>
      <c r="AA1042" s="62"/>
      <c r="AB1042" s="62"/>
      <c r="AC1042" s="62"/>
    </row>
    <row r="1043" spans="1:29">
      <c r="A1043" s="65" t="str">
        <f>IFERROR(VLOOKUP('Informe Kelly'!A1036,Base!A:B,2,FALSE),"")</f>
        <v>16.691.386-1</v>
      </c>
      <c r="B1043" s="65" t="str">
        <f>IFERROR(VLOOKUP('Informe Kelly'!A1036,Base!A:G,7,FALSE),"")</f>
        <v xml:space="preserve">SANDOVAL ALTAMIRANO LORENZO </v>
      </c>
      <c r="C1043" s="69" t="str">
        <f>IF(G1043=$C$4,IF('Informe Kelly'!H1036='Control informe Kelly'!$A$2,TEXT(((LEFT('Informe Kelly'!E1036,2)*1)+1),"dd")&amp;"."&amp;MID('Informe Kelly'!E1036,4,2)&amp;"."&amp;RIGHT('Informe Kelly'!E1036,4),'Informe Kelly'!E1036),'Informe Kelly'!E1036)</f>
        <v>17.04.2011</v>
      </c>
      <c r="D1043" s="69" t="str">
        <f>IF('Informe Kelly'!E1036="","",'Informe Kelly'!E1036)</f>
        <v>17.04.2011</v>
      </c>
      <c r="E1043" s="72">
        <f t="shared" si="33"/>
        <v>530</v>
      </c>
      <c r="F1043" s="72" t="str">
        <f>IFERROR(HLOOKUP(C1043,Ingreso!$Q$8:$AD$9,2,FALSE),"v")</f>
        <v>Domingo</v>
      </c>
      <c r="G1043" s="65" t="str">
        <f>IFERROR(VLOOKUP(A1043,Ingreso!K:P,6,FALSE),"no esta ingresado")</f>
        <v>Turno A</v>
      </c>
      <c r="H1043" s="65">
        <f>IFERROR(IF('Informe Kelly'!H1036=$A$2,'Informe Kelly'!F1036,""),0)</f>
        <v>0.99840277777777775</v>
      </c>
      <c r="I1043" s="65" t="str">
        <f>IFERROR(IF('Informe Kelly'!H1036=$A$3,'Informe Kelly'!F1036,""),0)</f>
        <v/>
      </c>
      <c r="J1043" s="65" t="str">
        <f>IF(IFERROR(IF(E1043=E1042,0,(HLOOKUP(D1043,Ingreso!$AN$10:$AT$260,VLOOKUP(A1043,Ingreso!$AL$11:$AM$260,2,FALSE)))/24),0)=0,"",IFERROR(IF(E1043=E1042,0,(HLOOKUP(D1043,Ingreso!$AN$10:$AT$260,VLOOKUP(A1043,Ingreso!$AL$11:$AM$260,2,FALSE)))/24),0))</f>
        <v/>
      </c>
      <c r="K1043" s="65" t="str">
        <f>IF(IFERROR(IF(E1043=E1042,0,(HLOOKUP(C1043,Ingreso!$AW$10:$BC$260,VLOOKUP(A1043,Ingreso!$AL$11:$AM$260,2,FALSE)))/24),0)=0,"",IFERROR(IF(E1043=E1042,0,(HLOOKUP(C1043,Ingreso!$AW$10:$BC$260,VLOOKUP(A1043,Ingreso!$AL$11:$AM$260,2,FALSE)))/24),0))</f>
        <v/>
      </c>
      <c r="L1043" s="63">
        <f t="shared" si="32"/>
        <v>0.3125</v>
      </c>
      <c r="M1043" s="63" t="str">
        <f>IF(IFERROR(IF(C1043=C1041,0,IF(E1043=E1042,0,IF(C1043=$R$2,HLOOKUP($R$2,Ingreso!$AW$10:$BC$260,VLOOKUP(A1043,Ingreso!AL:AM,2,FALSE),FALSE)/24,""))),"")=0,"",IFERROR(IF(C1043=C1041,0,IF(E1043=E1042,0,IF(C1043=$R$2,HLOOKUP($R$2,Ingreso!$AW$10:$BC$260,VLOOKUP(A1043,Ingreso!AL:AM,2,FALSE),FALSE)/24,""))),""))</f>
        <v/>
      </c>
      <c r="N1043" s="95" t="str">
        <f>IF(IFERROR(IF(C1043=C1041,0,IF(E1043=E1042,0,IF(C1043=$R$3,HLOOKUP($R$3,Ingreso!$AW$10:$BC$260,VLOOKUP(A1043,Ingreso!AL:AM,2,FALSE),FALSE)/24,""))),"")=0,"",IFERROR(IF(C1043=C1041,0,IF(E1043=E1042,0,IF(C1043=$R$3,HLOOKUP($R$3,Ingreso!$AW$10:$BC$260,VLOOKUP(A1043,Ingreso!AL:AM,2,FALSE),FALSE)/24,""))),""))</f>
        <v/>
      </c>
      <c r="O1043" s="95" t="str">
        <f>IF(IFERROR(IF(C1043=C1041,0,IF(E1043=E1042,0,IF(C1043=$R$4,HLOOKUP($R$4,Ingreso!$AW$10:$BC$260,VLOOKUP(A1043,Ingreso!AL:AM,2,FALSE),FALSE)/24,""))),"")=0,"",IFERROR(IF(C1043=C1041,0,IF(E1043=E1042,0,IF(C1043=$R$4,HLOOKUP($R$4,Ingreso!$AW$10:$BC$260,VLOOKUP(A1043,Ingreso!AL:AM,2,FALSE),FALSE)/24,""))),""))</f>
        <v/>
      </c>
      <c r="P1043" s="90"/>
      <c r="V1043"/>
      <c r="W1043" s="62"/>
      <c r="X1043" s="62"/>
      <c r="Y1043" s="62"/>
      <c r="Z1043" s="62"/>
      <c r="AA1043" s="62"/>
      <c r="AB1043" s="62"/>
      <c r="AC1043" s="62"/>
    </row>
    <row r="1044" spans="1:29">
      <c r="A1044" s="65" t="str">
        <f>IFERROR(VLOOKUP('Informe Kelly'!A1037,Base!A:B,2,FALSE),"")</f>
        <v>16.697.450-K</v>
      </c>
      <c r="B1044" s="65" t="str">
        <f>IFERROR(VLOOKUP('Informe Kelly'!A1037,Base!A:G,7,FALSE),"")</f>
        <v>REYES ESPINOZA NATALIA BELEN</v>
      </c>
      <c r="C1044" s="69" t="str">
        <f>IF(G1044=$C$4,IF('Informe Kelly'!H1037='Control informe Kelly'!$A$2,TEXT(((LEFT('Informe Kelly'!E1037,2)*1)+1),"dd")&amp;"."&amp;MID('Informe Kelly'!E1037,4,2)&amp;"."&amp;RIGHT('Informe Kelly'!E1037,4),'Informe Kelly'!E1037),'Informe Kelly'!E1037)</f>
        <v>11.04.2011</v>
      </c>
      <c r="D1044" s="69" t="str">
        <f>IF('Informe Kelly'!E1037="","",'Informe Kelly'!E1037)</f>
        <v>11.04.2011</v>
      </c>
      <c r="E1044" s="72">
        <f t="shared" si="33"/>
        <v>531</v>
      </c>
      <c r="F1044" s="72" t="str">
        <f>IFERROR(HLOOKUP(C1044,Ingreso!$Q$8:$AD$9,2,FALSE),"v")</f>
        <v>Lunes</v>
      </c>
      <c r="G1044" s="65" t="str">
        <f>IFERROR(VLOOKUP(A1044,Ingreso!K:P,6,FALSE),"no esta ingresado")</f>
        <v>Turno B</v>
      </c>
      <c r="H1044" s="65" t="str">
        <f>IFERROR(IF('Informe Kelly'!H1037=$A$2,'Informe Kelly'!F1037,""),0)</f>
        <v/>
      </c>
      <c r="I1044" s="65">
        <f>IFERROR(IF('Informe Kelly'!H1037=$A$3,'Informe Kelly'!F1037,""),0)</f>
        <v>0.94037037037037041</v>
      </c>
      <c r="J1044" s="65" t="str">
        <f>IF(IFERROR(IF(E1044=E1043,0,(HLOOKUP(D1044,Ingreso!$AN$10:$AT$260,VLOOKUP(A1044,Ingreso!$AL$11:$AM$260,2,FALSE)))/24),0)=0,"",IFERROR(IF(E1044=E1043,0,(HLOOKUP(D1044,Ingreso!$AN$10:$AT$260,VLOOKUP(A1044,Ingreso!$AL$11:$AM$260,2,FALSE)))/24),0))</f>
        <v/>
      </c>
      <c r="K1044" s="65" t="str">
        <f>IF(IFERROR(IF(E1044=E1043,0,(HLOOKUP(C1044,Ingreso!$AW$10:$BC$260,VLOOKUP(A1044,Ingreso!$AL$11:$AM$260,2,FALSE)))/24),0)=0,"",IFERROR(IF(E1044=E1043,0,(HLOOKUP(C1044,Ingreso!$AW$10:$BC$260,VLOOKUP(A1044,Ingreso!$AL$11:$AM$260,2,FALSE)))/24),0))</f>
        <v/>
      </c>
      <c r="L1044" s="63">
        <f t="shared" si="32"/>
        <v>0.3125</v>
      </c>
      <c r="M1044" s="63" t="str">
        <f>IF(IFERROR(IF(C1044=C1042,0,IF(E1044=E1043,0,IF(C1044=$R$2,HLOOKUP($R$2,Ingreso!$AW$10:$BC$260,VLOOKUP(A1044,Ingreso!AL:AM,2,FALSE),FALSE)/24,""))),"")=0,"",IFERROR(IF(C1044=C1042,0,IF(E1044=E1043,0,IF(C1044=$R$2,HLOOKUP($R$2,Ingreso!$AW$10:$BC$260,VLOOKUP(A1044,Ingreso!AL:AM,2,FALSE),FALSE)/24,""))),""))</f>
        <v/>
      </c>
      <c r="N1044" s="95" t="str">
        <f>IF(IFERROR(IF(C1044=C1042,0,IF(E1044=E1043,0,IF(C1044=$R$3,HLOOKUP($R$3,Ingreso!$AW$10:$BC$260,VLOOKUP(A1044,Ingreso!AL:AM,2,FALSE),FALSE)/24,""))),"")=0,"",IFERROR(IF(C1044=C1042,0,IF(E1044=E1043,0,IF(C1044=$R$3,HLOOKUP($R$3,Ingreso!$AW$10:$BC$260,VLOOKUP(A1044,Ingreso!AL:AM,2,FALSE),FALSE)/24,""))),""))</f>
        <v/>
      </c>
      <c r="O1044" s="95" t="str">
        <f>IF(IFERROR(IF(C1044=C1042,0,IF(E1044=E1043,0,IF(C1044=$R$4,HLOOKUP($R$4,Ingreso!$AW$10:$BC$260,VLOOKUP(A1044,Ingreso!AL:AM,2,FALSE),FALSE)/24,""))),"")=0,"",IFERROR(IF(C1044=C1042,0,IF(E1044=E1043,0,IF(C1044=$R$4,HLOOKUP($R$4,Ingreso!$AW$10:$BC$260,VLOOKUP(A1044,Ingreso!AL:AM,2,FALSE),FALSE)/24,""))),""))</f>
        <v/>
      </c>
      <c r="P1044" s="90"/>
      <c r="V1044"/>
      <c r="W1044" s="62"/>
      <c r="X1044" s="62"/>
      <c r="Y1044" s="62"/>
      <c r="Z1044" s="62"/>
      <c r="AA1044" s="62"/>
      <c r="AB1044" s="62"/>
      <c r="AC1044" s="62"/>
    </row>
    <row r="1045" spans="1:29">
      <c r="A1045" s="65" t="str">
        <f>IFERROR(VLOOKUP('Informe Kelly'!A1038,Base!A:B,2,FALSE),"")</f>
        <v>16.697.450-K</v>
      </c>
      <c r="B1045" s="65" t="str">
        <f>IFERROR(VLOOKUP('Informe Kelly'!A1038,Base!A:G,7,FALSE),"")</f>
        <v>REYES ESPINOZA NATALIA BELEN</v>
      </c>
      <c r="C1045" s="69" t="str">
        <f>IF(G1045=$C$4,IF('Informe Kelly'!H1038='Control informe Kelly'!$A$2,TEXT(((LEFT('Informe Kelly'!E1038,2)*1)+1),"dd")&amp;"."&amp;MID('Informe Kelly'!E1038,4,2)&amp;"."&amp;RIGHT('Informe Kelly'!E1038,4),'Informe Kelly'!E1038),'Informe Kelly'!E1038)</f>
        <v>11.04.2011</v>
      </c>
      <c r="D1045" s="69" t="str">
        <f>IF('Informe Kelly'!E1038="","",'Informe Kelly'!E1038)</f>
        <v>11.04.2011</v>
      </c>
      <c r="E1045" s="72">
        <f t="shared" si="33"/>
        <v>531</v>
      </c>
      <c r="F1045" s="72" t="str">
        <f>IFERROR(HLOOKUP(C1045,Ingreso!$Q$8:$AD$9,2,FALSE),"v")</f>
        <v>Lunes</v>
      </c>
      <c r="G1045" s="65" t="str">
        <f>IFERROR(VLOOKUP(A1045,Ingreso!K:P,6,FALSE),"no esta ingresado")</f>
        <v>Turno B</v>
      </c>
      <c r="H1045" s="65">
        <f>IFERROR(IF('Informe Kelly'!H1038=$A$2,'Informe Kelly'!F1038,""),0)</f>
        <v>0.62024305555555559</v>
      </c>
      <c r="I1045" s="65" t="str">
        <f>IFERROR(IF('Informe Kelly'!H1038=$A$3,'Informe Kelly'!F1038,""),0)</f>
        <v/>
      </c>
      <c r="J1045" s="65" t="str">
        <f>IF(IFERROR(IF(E1045=E1044,0,(HLOOKUP(D1045,Ingreso!$AN$10:$AT$260,VLOOKUP(A1045,Ingreso!$AL$11:$AM$260,2,FALSE)))/24),0)=0,"",IFERROR(IF(E1045=E1044,0,(HLOOKUP(D1045,Ingreso!$AN$10:$AT$260,VLOOKUP(A1045,Ingreso!$AL$11:$AM$260,2,FALSE)))/24),0))</f>
        <v/>
      </c>
      <c r="K1045" s="65" t="str">
        <f>IF(IFERROR(IF(E1045=E1044,0,(HLOOKUP(C1045,Ingreso!$AW$10:$BC$260,VLOOKUP(A1045,Ingreso!$AL$11:$AM$260,2,FALSE)))/24),0)=0,"",IFERROR(IF(E1045=E1044,0,(HLOOKUP(C1045,Ingreso!$AW$10:$BC$260,VLOOKUP(A1045,Ingreso!$AL$11:$AM$260,2,FALSE)))/24),0))</f>
        <v/>
      </c>
      <c r="L1045" s="63">
        <f t="shared" si="32"/>
        <v>0</v>
      </c>
      <c r="M1045" s="63" t="str">
        <f>IF(IFERROR(IF(C1045=C1043,0,IF(E1045=E1044,0,IF(C1045=$R$2,HLOOKUP($R$2,Ingreso!$AW$10:$BC$260,VLOOKUP(A1045,Ingreso!AL:AM,2,FALSE),FALSE)/24,""))),"")=0,"",IFERROR(IF(C1045=C1043,0,IF(E1045=E1044,0,IF(C1045=$R$2,HLOOKUP($R$2,Ingreso!$AW$10:$BC$260,VLOOKUP(A1045,Ingreso!AL:AM,2,FALSE),FALSE)/24,""))),""))</f>
        <v/>
      </c>
      <c r="N1045" s="95" t="str">
        <f>IF(IFERROR(IF(C1045=C1043,0,IF(E1045=E1044,0,IF(C1045=$R$3,HLOOKUP($R$3,Ingreso!$AW$10:$BC$260,VLOOKUP(A1045,Ingreso!AL:AM,2,FALSE),FALSE)/24,""))),"")=0,"",IFERROR(IF(C1045=C1043,0,IF(E1045=E1044,0,IF(C1045=$R$3,HLOOKUP($R$3,Ingreso!$AW$10:$BC$260,VLOOKUP(A1045,Ingreso!AL:AM,2,FALSE),FALSE)/24,""))),""))</f>
        <v/>
      </c>
      <c r="O1045" s="95" t="str">
        <f>IF(IFERROR(IF(C1045=C1043,0,IF(E1045=E1044,0,IF(C1045=$R$4,HLOOKUP($R$4,Ingreso!$AW$10:$BC$260,VLOOKUP(A1045,Ingreso!AL:AM,2,FALSE),FALSE)/24,""))),"")=0,"",IFERROR(IF(C1045=C1043,0,IF(E1045=E1044,0,IF(C1045=$R$4,HLOOKUP($R$4,Ingreso!$AW$10:$BC$260,VLOOKUP(A1045,Ingreso!AL:AM,2,FALSE),FALSE)/24,""))),""))</f>
        <v/>
      </c>
      <c r="P1045" s="90"/>
      <c r="V1045"/>
      <c r="W1045" s="62"/>
      <c r="X1045" s="62"/>
      <c r="Y1045" s="62"/>
      <c r="Z1045" s="62"/>
      <c r="AA1045" s="62"/>
      <c r="AB1045" s="62"/>
      <c r="AC1045" s="62"/>
    </row>
    <row r="1046" spans="1:29">
      <c r="A1046" s="65" t="str">
        <f>IFERROR(VLOOKUP('Informe Kelly'!A1039,Base!A:B,2,FALSE),"")</f>
        <v>16.697.450-K</v>
      </c>
      <c r="B1046" s="65" t="str">
        <f>IFERROR(VLOOKUP('Informe Kelly'!A1039,Base!A:G,7,FALSE),"")</f>
        <v>REYES ESPINOZA NATALIA BELEN</v>
      </c>
      <c r="C1046" s="69" t="str">
        <f>IF(G1046=$C$4,IF('Informe Kelly'!H1039='Control informe Kelly'!$A$2,TEXT(((LEFT('Informe Kelly'!E1039,2)*1)+1),"dd")&amp;"."&amp;MID('Informe Kelly'!E1039,4,2)&amp;"."&amp;RIGHT('Informe Kelly'!E1039,4),'Informe Kelly'!E1039),'Informe Kelly'!E1039)</f>
        <v>12.04.2011</v>
      </c>
      <c r="D1046" s="69" t="str">
        <f>IF('Informe Kelly'!E1039="","",'Informe Kelly'!E1039)</f>
        <v>12.04.2011</v>
      </c>
      <c r="E1046" s="72">
        <f t="shared" si="33"/>
        <v>532</v>
      </c>
      <c r="F1046" s="72" t="str">
        <f>IFERROR(HLOOKUP(C1046,Ingreso!$Q$8:$AD$9,2,FALSE),"v")</f>
        <v>Martes</v>
      </c>
      <c r="G1046" s="65" t="str">
        <f>IFERROR(VLOOKUP(A1046,Ingreso!K:P,6,FALSE),"no esta ingresado")</f>
        <v>Turno B</v>
      </c>
      <c r="H1046" s="65" t="str">
        <f>IFERROR(IF('Informe Kelly'!H1039=$A$2,'Informe Kelly'!F1039,""),0)</f>
        <v/>
      </c>
      <c r="I1046" s="65">
        <f>IFERROR(IF('Informe Kelly'!H1039=$A$3,'Informe Kelly'!F1039,""),0)</f>
        <v>0.94675925925925919</v>
      </c>
      <c r="J1046" s="65" t="str">
        <f>IF(IFERROR(IF(E1046=E1045,0,(HLOOKUP(D1046,Ingreso!$AN$10:$AT$260,VLOOKUP(A1046,Ingreso!$AL$11:$AM$260,2,FALSE)))/24),0)=0,"",IFERROR(IF(E1046=E1045,0,(HLOOKUP(D1046,Ingreso!$AN$10:$AT$260,VLOOKUP(A1046,Ingreso!$AL$11:$AM$260,2,FALSE)))/24),0))</f>
        <v/>
      </c>
      <c r="K1046" s="65" t="str">
        <f>IF(IFERROR(IF(E1046=E1045,0,(HLOOKUP(C1046,Ingreso!$AW$10:$BC$260,VLOOKUP(A1046,Ingreso!$AL$11:$AM$260,2,FALSE)))/24),0)=0,"",IFERROR(IF(E1046=E1045,0,(HLOOKUP(C1046,Ingreso!$AW$10:$BC$260,VLOOKUP(A1046,Ingreso!$AL$11:$AM$260,2,FALSE)))/24),0))</f>
        <v/>
      </c>
      <c r="L1046" s="63">
        <f t="shared" si="32"/>
        <v>0.3125</v>
      </c>
      <c r="M1046" s="63" t="str">
        <f>IF(IFERROR(IF(C1046=C1044,0,IF(E1046=E1045,0,IF(C1046=$R$2,HLOOKUP($R$2,Ingreso!$AW$10:$BC$260,VLOOKUP(A1046,Ingreso!AL:AM,2,FALSE),FALSE)/24,""))),"")=0,"",IFERROR(IF(C1046=C1044,0,IF(E1046=E1045,0,IF(C1046=$R$2,HLOOKUP($R$2,Ingreso!$AW$10:$BC$260,VLOOKUP(A1046,Ingreso!AL:AM,2,FALSE),FALSE)/24,""))),""))</f>
        <v/>
      </c>
      <c r="N1046" s="95" t="str">
        <f>IF(IFERROR(IF(C1046=C1044,0,IF(E1046=E1045,0,IF(C1046=$R$3,HLOOKUP($R$3,Ingreso!$AW$10:$BC$260,VLOOKUP(A1046,Ingreso!AL:AM,2,FALSE),FALSE)/24,""))),"")=0,"",IFERROR(IF(C1046=C1044,0,IF(E1046=E1045,0,IF(C1046=$R$3,HLOOKUP($R$3,Ingreso!$AW$10:$BC$260,VLOOKUP(A1046,Ingreso!AL:AM,2,FALSE),FALSE)/24,""))),""))</f>
        <v/>
      </c>
      <c r="O1046" s="95" t="str">
        <f>IF(IFERROR(IF(C1046=C1044,0,IF(E1046=E1045,0,IF(C1046=$R$4,HLOOKUP($R$4,Ingreso!$AW$10:$BC$260,VLOOKUP(A1046,Ingreso!AL:AM,2,FALSE),FALSE)/24,""))),"")=0,"",IFERROR(IF(C1046=C1044,0,IF(E1046=E1045,0,IF(C1046=$R$4,HLOOKUP($R$4,Ingreso!$AW$10:$BC$260,VLOOKUP(A1046,Ingreso!AL:AM,2,FALSE),FALSE)/24,""))),""))</f>
        <v/>
      </c>
      <c r="P1046" s="90"/>
      <c r="V1046"/>
      <c r="W1046" s="62"/>
      <c r="X1046" s="62"/>
      <c r="Y1046" s="62"/>
      <c r="Z1046" s="62"/>
      <c r="AA1046" s="62"/>
      <c r="AB1046" s="62"/>
      <c r="AC1046" s="62"/>
    </row>
    <row r="1047" spans="1:29">
      <c r="A1047" s="65" t="str">
        <f>IFERROR(VLOOKUP('Informe Kelly'!A1040,Base!A:B,2,FALSE),"")</f>
        <v>16.697.450-K</v>
      </c>
      <c r="B1047" s="65" t="str">
        <f>IFERROR(VLOOKUP('Informe Kelly'!A1040,Base!A:G,7,FALSE),"")</f>
        <v>REYES ESPINOZA NATALIA BELEN</v>
      </c>
      <c r="C1047" s="69" t="str">
        <f>IF(G1047=$C$4,IF('Informe Kelly'!H1040='Control informe Kelly'!$A$2,TEXT(((LEFT('Informe Kelly'!E1040,2)*1)+1),"dd")&amp;"."&amp;MID('Informe Kelly'!E1040,4,2)&amp;"."&amp;RIGHT('Informe Kelly'!E1040,4),'Informe Kelly'!E1040),'Informe Kelly'!E1040)</f>
        <v>12.04.2011</v>
      </c>
      <c r="D1047" s="69" t="str">
        <f>IF('Informe Kelly'!E1040="","",'Informe Kelly'!E1040)</f>
        <v>12.04.2011</v>
      </c>
      <c r="E1047" s="72">
        <f t="shared" si="33"/>
        <v>532</v>
      </c>
      <c r="F1047" s="72" t="str">
        <f>IFERROR(HLOOKUP(C1047,Ingreso!$Q$8:$AD$9,2,FALSE),"v")</f>
        <v>Martes</v>
      </c>
      <c r="G1047" s="65" t="str">
        <f>IFERROR(VLOOKUP(A1047,Ingreso!K:P,6,FALSE),"no esta ingresado")</f>
        <v>Turno B</v>
      </c>
      <c r="H1047" s="65">
        <f>IFERROR(IF('Informe Kelly'!H1040=$A$2,'Informe Kelly'!F1040,""),0)</f>
        <v>0.61870370370370364</v>
      </c>
      <c r="I1047" s="65" t="str">
        <f>IFERROR(IF('Informe Kelly'!H1040=$A$3,'Informe Kelly'!F1040,""),0)</f>
        <v/>
      </c>
      <c r="J1047" s="65" t="str">
        <f>IF(IFERROR(IF(E1047=E1046,0,(HLOOKUP(D1047,Ingreso!$AN$10:$AT$260,VLOOKUP(A1047,Ingreso!$AL$11:$AM$260,2,FALSE)))/24),0)=0,"",IFERROR(IF(E1047=E1046,0,(HLOOKUP(D1047,Ingreso!$AN$10:$AT$260,VLOOKUP(A1047,Ingreso!$AL$11:$AM$260,2,FALSE)))/24),0))</f>
        <v/>
      </c>
      <c r="K1047" s="65" t="str">
        <f>IF(IFERROR(IF(E1047=E1046,0,(HLOOKUP(C1047,Ingreso!$AW$10:$BC$260,VLOOKUP(A1047,Ingreso!$AL$11:$AM$260,2,FALSE)))/24),0)=0,"",IFERROR(IF(E1047=E1046,0,(HLOOKUP(C1047,Ingreso!$AW$10:$BC$260,VLOOKUP(A1047,Ingreso!$AL$11:$AM$260,2,FALSE)))/24),0))</f>
        <v/>
      </c>
      <c r="L1047" s="63">
        <f t="shared" si="32"/>
        <v>0</v>
      </c>
      <c r="M1047" s="63" t="str">
        <f>IF(IFERROR(IF(C1047=C1045,0,IF(E1047=E1046,0,IF(C1047=$R$2,HLOOKUP($R$2,Ingreso!$AW$10:$BC$260,VLOOKUP(A1047,Ingreso!AL:AM,2,FALSE),FALSE)/24,""))),"")=0,"",IFERROR(IF(C1047=C1045,0,IF(E1047=E1046,0,IF(C1047=$R$2,HLOOKUP($R$2,Ingreso!$AW$10:$BC$260,VLOOKUP(A1047,Ingreso!AL:AM,2,FALSE),FALSE)/24,""))),""))</f>
        <v/>
      </c>
      <c r="N1047" s="95" t="str">
        <f>IF(IFERROR(IF(C1047=C1045,0,IF(E1047=E1046,0,IF(C1047=$R$3,HLOOKUP($R$3,Ingreso!$AW$10:$BC$260,VLOOKUP(A1047,Ingreso!AL:AM,2,FALSE),FALSE)/24,""))),"")=0,"",IFERROR(IF(C1047=C1045,0,IF(E1047=E1046,0,IF(C1047=$R$3,HLOOKUP($R$3,Ingreso!$AW$10:$BC$260,VLOOKUP(A1047,Ingreso!AL:AM,2,FALSE),FALSE)/24,""))),""))</f>
        <v/>
      </c>
      <c r="O1047" s="95" t="str">
        <f>IF(IFERROR(IF(C1047=C1045,0,IF(E1047=E1046,0,IF(C1047=$R$4,HLOOKUP($R$4,Ingreso!$AW$10:$BC$260,VLOOKUP(A1047,Ingreso!AL:AM,2,FALSE),FALSE)/24,""))),"")=0,"",IFERROR(IF(C1047=C1045,0,IF(E1047=E1046,0,IF(C1047=$R$4,HLOOKUP($R$4,Ingreso!$AW$10:$BC$260,VLOOKUP(A1047,Ingreso!AL:AM,2,FALSE),FALSE)/24,""))),""))</f>
        <v/>
      </c>
      <c r="P1047" s="90"/>
      <c r="V1047"/>
      <c r="W1047" s="62"/>
      <c r="X1047" s="62"/>
      <c r="Y1047" s="62"/>
      <c r="Z1047" s="62"/>
      <c r="AA1047" s="62"/>
      <c r="AB1047" s="62"/>
      <c r="AC1047" s="62"/>
    </row>
    <row r="1048" spans="1:29">
      <c r="A1048" s="65" t="str">
        <f>IFERROR(VLOOKUP('Informe Kelly'!A1041,Base!A:B,2,FALSE),"")</f>
        <v>16.697.450-K</v>
      </c>
      <c r="B1048" s="65" t="str">
        <f>IFERROR(VLOOKUP('Informe Kelly'!A1041,Base!A:G,7,FALSE),"")</f>
        <v>REYES ESPINOZA NATALIA BELEN</v>
      </c>
      <c r="C1048" s="69" t="str">
        <f>IF(G1048=$C$4,IF('Informe Kelly'!H1041='Control informe Kelly'!$A$2,TEXT(((LEFT('Informe Kelly'!E1041,2)*1)+1),"dd")&amp;"."&amp;MID('Informe Kelly'!E1041,4,2)&amp;"."&amp;RIGHT('Informe Kelly'!E1041,4),'Informe Kelly'!E1041),'Informe Kelly'!E1041)</f>
        <v>13.04.2011</v>
      </c>
      <c r="D1048" s="69" t="str">
        <f>IF('Informe Kelly'!E1041="","",'Informe Kelly'!E1041)</f>
        <v>13.04.2011</v>
      </c>
      <c r="E1048" s="72">
        <f t="shared" si="33"/>
        <v>533</v>
      </c>
      <c r="F1048" s="72" t="str">
        <f>IFERROR(HLOOKUP(C1048,Ingreso!$Q$8:$AD$9,2,FALSE),"v")</f>
        <v>Miércoles</v>
      </c>
      <c r="G1048" s="65" t="str">
        <f>IFERROR(VLOOKUP(A1048,Ingreso!K:P,6,FALSE),"no esta ingresado")</f>
        <v>Turno B</v>
      </c>
      <c r="H1048" s="65" t="str">
        <f>IFERROR(IF('Informe Kelly'!H1041=$A$2,'Informe Kelly'!F1041,""),0)</f>
        <v/>
      </c>
      <c r="I1048" s="65">
        <f>IFERROR(IF('Informe Kelly'!H1041=$A$3,'Informe Kelly'!F1041,""),0)</f>
        <v>0.94405092592592599</v>
      </c>
      <c r="J1048" s="65" t="str">
        <f>IF(IFERROR(IF(E1048=E1047,0,(HLOOKUP(D1048,Ingreso!$AN$10:$AT$260,VLOOKUP(A1048,Ingreso!$AL$11:$AM$260,2,FALSE)))/24),0)=0,"",IFERROR(IF(E1048=E1047,0,(HLOOKUP(D1048,Ingreso!$AN$10:$AT$260,VLOOKUP(A1048,Ingreso!$AL$11:$AM$260,2,FALSE)))/24),0))</f>
        <v/>
      </c>
      <c r="K1048" s="65" t="str">
        <f>IF(IFERROR(IF(E1048=E1047,0,(HLOOKUP(C1048,Ingreso!$AW$10:$BC$260,VLOOKUP(A1048,Ingreso!$AL$11:$AM$260,2,FALSE)))/24),0)=0,"",IFERROR(IF(E1048=E1047,0,(HLOOKUP(C1048,Ingreso!$AW$10:$BC$260,VLOOKUP(A1048,Ingreso!$AL$11:$AM$260,2,FALSE)))/24),0))</f>
        <v/>
      </c>
      <c r="L1048" s="63">
        <f t="shared" si="32"/>
        <v>0.3125</v>
      </c>
      <c r="M1048" s="63" t="str">
        <f>IF(IFERROR(IF(C1048=C1046,0,IF(E1048=E1047,0,IF(C1048=$R$2,HLOOKUP($R$2,Ingreso!$AW$10:$BC$260,VLOOKUP(A1048,Ingreso!AL:AM,2,FALSE),FALSE)/24,""))),"")=0,"",IFERROR(IF(C1048=C1046,0,IF(E1048=E1047,0,IF(C1048=$R$2,HLOOKUP($R$2,Ingreso!$AW$10:$BC$260,VLOOKUP(A1048,Ingreso!AL:AM,2,FALSE),FALSE)/24,""))),""))</f>
        <v/>
      </c>
      <c r="N1048" s="95" t="str">
        <f>IF(IFERROR(IF(C1048=C1046,0,IF(E1048=E1047,0,IF(C1048=$R$3,HLOOKUP($R$3,Ingreso!$AW$10:$BC$260,VLOOKUP(A1048,Ingreso!AL:AM,2,FALSE),FALSE)/24,""))),"")=0,"",IFERROR(IF(C1048=C1046,0,IF(E1048=E1047,0,IF(C1048=$R$3,HLOOKUP($R$3,Ingreso!$AW$10:$BC$260,VLOOKUP(A1048,Ingreso!AL:AM,2,FALSE),FALSE)/24,""))),""))</f>
        <v/>
      </c>
      <c r="O1048" s="95" t="str">
        <f>IF(IFERROR(IF(C1048=C1046,0,IF(E1048=E1047,0,IF(C1048=$R$4,HLOOKUP($R$4,Ingreso!$AW$10:$BC$260,VLOOKUP(A1048,Ingreso!AL:AM,2,FALSE),FALSE)/24,""))),"")=0,"",IFERROR(IF(C1048=C1046,0,IF(E1048=E1047,0,IF(C1048=$R$4,HLOOKUP($R$4,Ingreso!$AW$10:$BC$260,VLOOKUP(A1048,Ingreso!AL:AM,2,FALSE),FALSE)/24,""))),""))</f>
        <v/>
      </c>
      <c r="P1048" s="90"/>
      <c r="V1048"/>
      <c r="W1048" s="62"/>
      <c r="X1048" s="62"/>
      <c r="Y1048" s="62"/>
      <c r="Z1048" s="62"/>
      <c r="AA1048" s="62"/>
      <c r="AB1048" s="62"/>
      <c r="AC1048" s="62"/>
    </row>
    <row r="1049" spans="1:29">
      <c r="A1049" s="65" t="str">
        <f>IFERROR(VLOOKUP('Informe Kelly'!A1042,Base!A:B,2,FALSE),"")</f>
        <v>16.697.450-K</v>
      </c>
      <c r="B1049" s="65" t="str">
        <f>IFERROR(VLOOKUP('Informe Kelly'!A1042,Base!A:G,7,FALSE),"")</f>
        <v>REYES ESPINOZA NATALIA BELEN</v>
      </c>
      <c r="C1049" s="69" t="str">
        <f>IF(G1049=$C$4,IF('Informe Kelly'!H1042='Control informe Kelly'!$A$2,TEXT(((LEFT('Informe Kelly'!E1042,2)*1)+1),"dd")&amp;"."&amp;MID('Informe Kelly'!E1042,4,2)&amp;"."&amp;RIGHT('Informe Kelly'!E1042,4),'Informe Kelly'!E1042),'Informe Kelly'!E1042)</f>
        <v>13.04.2011</v>
      </c>
      <c r="D1049" s="69" t="str">
        <f>IF('Informe Kelly'!E1042="","",'Informe Kelly'!E1042)</f>
        <v>13.04.2011</v>
      </c>
      <c r="E1049" s="72">
        <f t="shared" si="33"/>
        <v>533</v>
      </c>
      <c r="F1049" s="72" t="str">
        <f>IFERROR(HLOOKUP(C1049,Ingreso!$Q$8:$AD$9,2,FALSE),"v")</f>
        <v>Miércoles</v>
      </c>
      <c r="G1049" s="65" t="str">
        <f>IFERROR(VLOOKUP(A1049,Ingreso!K:P,6,FALSE),"no esta ingresado")</f>
        <v>Turno B</v>
      </c>
      <c r="H1049" s="65">
        <f>IFERROR(IF('Informe Kelly'!H1042=$A$2,'Informe Kelly'!F1042,""),0)</f>
        <v>0.6165046296296296</v>
      </c>
      <c r="I1049" s="65" t="str">
        <f>IFERROR(IF('Informe Kelly'!H1042=$A$3,'Informe Kelly'!F1042,""),0)</f>
        <v/>
      </c>
      <c r="J1049" s="65" t="str">
        <f>IF(IFERROR(IF(E1049=E1048,0,(HLOOKUP(D1049,Ingreso!$AN$10:$AT$260,VLOOKUP(A1049,Ingreso!$AL$11:$AM$260,2,FALSE)))/24),0)=0,"",IFERROR(IF(E1049=E1048,0,(HLOOKUP(D1049,Ingreso!$AN$10:$AT$260,VLOOKUP(A1049,Ingreso!$AL$11:$AM$260,2,FALSE)))/24),0))</f>
        <v/>
      </c>
      <c r="K1049" s="65" t="str">
        <f>IF(IFERROR(IF(E1049=E1048,0,(HLOOKUP(C1049,Ingreso!$AW$10:$BC$260,VLOOKUP(A1049,Ingreso!$AL$11:$AM$260,2,FALSE)))/24),0)=0,"",IFERROR(IF(E1049=E1048,0,(HLOOKUP(C1049,Ingreso!$AW$10:$BC$260,VLOOKUP(A1049,Ingreso!$AL$11:$AM$260,2,FALSE)))/24),0))</f>
        <v/>
      </c>
      <c r="L1049" s="63">
        <f t="shared" si="32"/>
        <v>0</v>
      </c>
      <c r="M1049" s="63" t="str">
        <f>IF(IFERROR(IF(C1049=C1047,0,IF(E1049=E1048,0,IF(C1049=$R$2,HLOOKUP($R$2,Ingreso!$AW$10:$BC$260,VLOOKUP(A1049,Ingreso!AL:AM,2,FALSE),FALSE)/24,""))),"")=0,"",IFERROR(IF(C1049=C1047,0,IF(E1049=E1048,0,IF(C1049=$R$2,HLOOKUP($R$2,Ingreso!$AW$10:$BC$260,VLOOKUP(A1049,Ingreso!AL:AM,2,FALSE),FALSE)/24,""))),""))</f>
        <v/>
      </c>
      <c r="N1049" s="95" t="str">
        <f>IF(IFERROR(IF(C1049=C1047,0,IF(E1049=E1048,0,IF(C1049=$R$3,HLOOKUP($R$3,Ingreso!$AW$10:$BC$260,VLOOKUP(A1049,Ingreso!AL:AM,2,FALSE),FALSE)/24,""))),"")=0,"",IFERROR(IF(C1049=C1047,0,IF(E1049=E1048,0,IF(C1049=$R$3,HLOOKUP($R$3,Ingreso!$AW$10:$BC$260,VLOOKUP(A1049,Ingreso!AL:AM,2,FALSE),FALSE)/24,""))),""))</f>
        <v/>
      </c>
      <c r="O1049" s="95" t="str">
        <f>IF(IFERROR(IF(C1049=C1047,0,IF(E1049=E1048,0,IF(C1049=$R$4,HLOOKUP($R$4,Ingreso!$AW$10:$BC$260,VLOOKUP(A1049,Ingreso!AL:AM,2,FALSE),FALSE)/24,""))),"")=0,"",IFERROR(IF(C1049=C1047,0,IF(E1049=E1048,0,IF(C1049=$R$4,HLOOKUP($R$4,Ingreso!$AW$10:$BC$260,VLOOKUP(A1049,Ingreso!AL:AM,2,FALSE),FALSE)/24,""))),""))</f>
        <v/>
      </c>
      <c r="P1049" s="90"/>
      <c r="V1049"/>
      <c r="W1049" s="62"/>
      <c r="X1049" s="62"/>
      <c r="Y1049" s="62"/>
      <c r="Z1049" s="62"/>
      <c r="AA1049" s="62"/>
      <c r="AB1049" s="62"/>
      <c r="AC1049" s="62"/>
    </row>
    <row r="1050" spans="1:29">
      <c r="A1050" s="65" t="str">
        <f>IFERROR(VLOOKUP('Informe Kelly'!A1043,Base!A:B,2,FALSE),"")</f>
        <v>16.697.450-K</v>
      </c>
      <c r="B1050" s="65" t="str">
        <f>IFERROR(VLOOKUP('Informe Kelly'!A1043,Base!A:G,7,FALSE),"")</f>
        <v>REYES ESPINOZA NATALIA BELEN</v>
      </c>
      <c r="C1050" s="69" t="str">
        <f>IF(G1050=$C$4,IF('Informe Kelly'!H1043='Control informe Kelly'!$A$2,TEXT(((LEFT('Informe Kelly'!E1043,2)*1)+1),"dd")&amp;"."&amp;MID('Informe Kelly'!E1043,4,2)&amp;"."&amp;RIGHT('Informe Kelly'!E1043,4),'Informe Kelly'!E1043),'Informe Kelly'!E1043)</f>
        <v>14.04.2011</v>
      </c>
      <c r="D1050" s="69" t="str">
        <f>IF('Informe Kelly'!E1043="","",'Informe Kelly'!E1043)</f>
        <v>14.04.2011</v>
      </c>
      <c r="E1050" s="72">
        <f t="shared" si="33"/>
        <v>534</v>
      </c>
      <c r="F1050" s="72" t="str">
        <f>IFERROR(HLOOKUP(C1050,Ingreso!$Q$8:$AD$9,2,FALSE),"v")</f>
        <v>Jueves</v>
      </c>
      <c r="G1050" s="65" t="str">
        <f>IFERROR(VLOOKUP(A1050,Ingreso!K:P,6,FALSE),"no esta ingresado")</f>
        <v>Turno B</v>
      </c>
      <c r="H1050" s="65" t="str">
        <f>IFERROR(IF('Informe Kelly'!H1043=$A$2,'Informe Kelly'!F1043,""),0)</f>
        <v/>
      </c>
      <c r="I1050" s="65">
        <f>IFERROR(IF('Informe Kelly'!H1043=$A$3,'Informe Kelly'!F1043,""),0)</f>
        <v>0.94763888888888881</v>
      </c>
      <c r="J1050" s="65" t="str">
        <f>IF(IFERROR(IF(E1050=E1049,0,(HLOOKUP(D1050,Ingreso!$AN$10:$AT$260,VLOOKUP(A1050,Ingreso!$AL$11:$AM$260,2,FALSE)))/24),0)=0,"",IFERROR(IF(E1050=E1049,0,(HLOOKUP(D1050,Ingreso!$AN$10:$AT$260,VLOOKUP(A1050,Ingreso!$AL$11:$AM$260,2,FALSE)))/24),0))</f>
        <v/>
      </c>
      <c r="K1050" s="65" t="str">
        <f>IF(IFERROR(IF(E1050=E1049,0,(HLOOKUP(C1050,Ingreso!$AW$10:$BC$260,VLOOKUP(A1050,Ingreso!$AL$11:$AM$260,2,FALSE)))/24),0)=0,"",IFERROR(IF(E1050=E1049,0,(HLOOKUP(C1050,Ingreso!$AW$10:$BC$260,VLOOKUP(A1050,Ingreso!$AL$11:$AM$260,2,FALSE)))/24),0))</f>
        <v/>
      </c>
      <c r="L1050" s="63">
        <f t="shared" si="32"/>
        <v>0.3125</v>
      </c>
      <c r="M1050" s="63" t="str">
        <f>IF(IFERROR(IF(C1050=C1048,0,IF(E1050=E1049,0,IF(C1050=$R$2,HLOOKUP($R$2,Ingreso!$AW$10:$BC$260,VLOOKUP(A1050,Ingreso!AL:AM,2,FALSE),FALSE)/24,""))),"")=0,"",IFERROR(IF(C1050=C1048,0,IF(E1050=E1049,0,IF(C1050=$R$2,HLOOKUP($R$2,Ingreso!$AW$10:$BC$260,VLOOKUP(A1050,Ingreso!AL:AM,2,FALSE),FALSE)/24,""))),""))</f>
        <v/>
      </c>
      <c r="N1050" s="95" t="str">
        <f>IF(IFERROR(IF(C1050=C1048,0,IF(E1050=E1049,0,IF(C1050=$R$3,HLOOKUP($R$3,Ingreso!$AW$10:$BC$260,VLOOKUP(A1050,Ingreso!AL:AM,2,FALSE),FALSE)/24,""))),"")=0,"",IFERROR(IF(C1050=C1048,0,IF(E1050=E1049,0,IF(C1050=$R$3,HLOOKUP($R$3,Ingreso!$AW$10:$BC$260,VLOOKUP(A1050,Ingreso!AL:AM,2,FALSE),FALSE)/24,""))),""))</f>
        <v/>
      </c>
      <c r="O1050" s="95" t="str">
        <f>IF(IFERROR(IF(C1050=C1048,0,IF(E1050=E1049,0,IF(C1050=$R$4,HLOOKUP($R$4,Ingreso!$AW$10:$BC$260,VLOOKUP(A1050,Ingreso!AL:AM,2,FALSE),FALSE)/24,""))),"")=0,"",IFERROR(IF(C1050=C1048,0,IF(E1050=E1049,0,IF(C1050=$R$4,HLOOKUP($R$4,Ingreso!$AW$10:$BC$260,VLOOKUP(A1050,Ingreso!AL:AM,2,FALSE),FALSE)/24,""))),""))</f>
        <v/>
      </c>
      <c r="P1050" s="90"/>
      <c r="V1050"/>
      <c r="W1050" s="62"/>
      <c r="X1050" s="62"/>
      <c r="Y1050" s="62"/>
      <c r="Z1050" s="62"/>
      <c r="AA1050" s="62"/>
      <c r="AB1050" s="62"/>
      <c r="AC1050" s="62"/>
    </row>
    <row r="1051" spans="1:29">
      <c r="A1051" s="65" t="str">
        <f>IFERROR(VLOOKUP('Informe Kelly'!A1044,Base!A:B,2,FALSE),"")</f>
        <v>16.697.450-K</v>
      </c>
      <c r="B1051" s="65" t="str">
        <f>IFERROR(VLOOKUP('Informe Kelly'!A1044,Base!A:G,7,FALSE),"")</f>
        <v>REYES ESPINOZA NATALIA BELEN</v>
      </c>
      <c r="C1051" s="69" t="str">
        <f>IF(G1051=$C$4,IF('Informe Kelly'!H1044='Control informe Kelly'!$A$2,TEXT(((LEFT('Informe Kelly'!E1044,2)*1)+1),"dd")&amp;"."&amp;MID('Informe Kelly'!E1044,4,2)&amp;"."&amp;RIGHT('Informe Kelly'!E1044,4),'Informe Kelly'!E1044),'Informe Kelly'!E1044)</f>
        <v>14.04.2011</v>
      </c>
      <c r="D1051" s="69" t="str">
        <f>IF('Informe Kelly'!E1044="","",'Informe Kelly'!E1044)</f>
        <v>14.04.2011</v>
      </c>
      <c r="E1051" s="72">
        <f t="shared" si="33"/>
        <v>534</v>
      </c>
      <c r="F1051" s="72" t="str">
        <f>IFERROR(HLOOKUP(C1051,Ingreso!$Q$8:$AD$9,2,FALSE),"v")</f>
        <v>Jueves</v>
      </c>
      <c r="G1051" s="65" t="str">
        <f>IFERROR(VLOOKUP(A1051,Ingreso!K:P,6,FALSE),"no esta ingresado")</f>
        <v>Turno B</v>
      </c>
      <c r="H1051" s="65">
        <f>IFERROR(IF('Informe Kelly'!H1044=$A$2,'Informe Kelly'!F1044,""),0)</f>
        <v>0.62523148148148155</v>
      </c>
      <c r="I1051" s="65" t="str">
        <f>IFERROR(IF('Informe Kelly'!H1044=$A$3,'Informe Kelly'!F1044,""),0)</f>
        <v/>
      </c>
      <c r="J1051" s="65" t="str">
        <f>IF(IFERROR(IF(E1051=E1050,0,(HLOOKUP(D1051,Ingreso!$AN$10:$AT$260,VLOOKUP(A1051,Ingreso!$AL$11:$AM$260,2,FALSE)))/24),0)=0,"",IFERROR(IF(E1051=E1050,0,(HLOOKUP(D1051,Ingreso!$AN$10:$AT$260,VLOOKUP(A1051,Ingreso!$AL$11:$AM$260,2,FALSE)))/24),0))</f>
        <v/>
      </c>
      <c r="K1051" s="65" t="str">
        <f>IF(IFERROR(IF(E1051=E1050,0,(HLOOKUP(C1051,Ingreso!$AW$10:$BC$260,VLOOKUP(A1051,Ingreso!$AL$11:$AM$260,2,FALSE)))/24),0)=0,"",IFERROR(IF(E1051=E1050,0,(HLOOKUP(C1051,Ingreso!$AW$10:$BC$260,VLOOKUP(A1051,Ingreso!$AL$11:$AM$260,2,FALSE)))/24),0))</f>
        <v/>
      </c>
      <c r="L1051" s="63">
        <f t="shared" si="32"/>
        <v>0</v>
      </c>
      <c r="M1051" s="63" t="str">
        <f>IF(IFERROR(IF(C1051=C1049,0,IF(E1051=E1050,0,IF(C1051=$R$2,HLOOKUP($R$2,Ingreso!$AW$10:$BC$260,VLOOKUP(A1051,Ingreso!AL:AM,2,FALSE),FALSE)/24,""))),"")=0,"",IFERROR(IF(C1051=C1049,0,IF(E1051=E1050,0,IF(C1051=$R$2,HLOOKUP($R$2,Ingreso!$AW$10:$BC$260,VLOOKUP(A1051,Ingreso!AL:AM,2,FALSE),FALSE)/24,""))),""))</f>
        <v/>
      </c>
      <c r="N1051" s="95" t="str">
        <f>IF(IFERROR(IF(C1051=C1049,0,IF(E1051=E1050,0,IF(C1051=$R$3,HLOOKUP($R$3,Ingreso!$AW$10:$BC$260,VLOOKUP(A1051,Ingreso!AL:AM,2,FALSE),FALSE)/24,""))),"")=0,"",IFERROR(IF(C1051=C1049,0,IF(E1051=E1050,0,IF(C1051=$R$3,HLOOKUP($R$3,Ingreso!$AW$10:$BC$260,VLOOKUP(A1051,Ingreso!AL:AM,2,FALSE),FALSE)/24,""))),""))</f>
        <v/>
      </c>
      <c r="O1051" s="95" t="str">
        <f>IF(IFERROR(IF(C1051=C1049,0,IF(E1051=E1050,0,IF(C1051=$R$4,HLOOKUP($R$4,Ingreso!$AW$10:$BC$260,VLOOKUP(A1051,Ingreso!AL:AM,2,FALSE),FALSE)/24,""))),"")=0,"",IFERROR(IF(C1051=C1049,0,IF(E1051=E1050,0,IF(C1051=$R$4,HLOOKUP($R$4,Ingreso!$AW$10:$BC$260,VLOOKUP(A1051,Ingreso!AL:AM,2,FALSE),FALSE)/24,""))),""))</f>
        <v/>
      </c>
      <c r="P1051" s="90"/>
      <c r="V1051"/>
      <c r="W1051" s="62"/>
      <c r="X1051" s="62"/>
      <c r="Y1051" s="62"/>
      <c r="Z1051" s="62"/>
      <c r="AA1051" s="62"/>
      <c r="AB1051" s="62"/>
      <c r="AC1051" s="62"/>
    </row>
    <row r="1052" spans="1:29">
      <c r="A1052" s="65" t="str">
        <f>IFERROR(VLOOKUP('Informe Kelly'!A1045,Base!A:B,2,FALSE),"")</f>
        <v>16.697.450-K</v>
      </c>
      <c r="B1052" s="65" t="str">
        <f>IFERROR(VLOOKUP('Informe Kelly'!A1045,Base!A:G,7,FALSE),"")</f>
        <v>REYES ESPINOZA NATALIA BELEN</v>
      </c>
      <c r="C1052" s="69" t="str">
        <f>IF(G1052=$C$4,IF('Informe Kelly'!H1045='Control informe Kelly'!$A$2,TEXT(((LEFT('Informe Kelly'!E1045,2)*1)+1),"dd")&amp;"."&amp;MID('Informe Kelly'!E1045,4,2)&amp;"."&amp;RIGHT('Informe Kelly'!E1045,4),'Informe Kelly'!E1045),'Informe Kelly'!E1045)</f>
        <v>15.04.2011</v>
      </c>
      <c r="D1052" s="69" t="str">
        <f>IF('Informe Kelly'!E1045="","",'Informe Kelly'!E1045)</f>
        <v>15.04.2011</v>
      </c>
      <c r="E1052" s="72">
        <f t="shared" si="33"/>
        <v>535</v>
      </c>
      <c r="F1052" s="72" t="str">
        <f>IFERROR(HLOOKUP(C1052,Ingreso!$Q$8:$AD$9,2,FALSE),"v")</f>
        <v>Viernes</v>
      </c>
      <c r="G1052" s="65" t="str">
        <f>IFERROR(VLOOKUP(A1052,Ingreso!K:P,6,FALSE),"no esta ingresado")</f>
        <v>Turno B</v>
      </c>
      <c r="H1052" s="65" t="str">
        <f>IFERROR(IF('Informe Kelly'!H1045=$A$2,'Informe Kelly'!F1045,""),0)</f>
        <v/>
      </c>
      <c r="I1052" s="65">
        <f>IFERROR(IF('Informe Kelly'!H1045=$A$3,'Informe Kelly'!F1045,""),0)</f>
        <v>0.94552083333333325</v>
      </c>
      <c r="J1052" s="65" t="str">
        <f>IF(IFERROR(IF(E1052=E1051,0,(HLOOKUP(D1052,Ingreso!$AN$10:$AT$260,VLOOKUP(A1052,Ingreso!$AL$11:$AM$260,2,FALSE)))/24),0)=0,"",IFERROR(IF(E1052=E1051,0,(HLOOKUP(D1052,Ingreso!$AN$10:$AT$260,VLOOKUP(A1052,Ingreso!$AL$11:$AM$260,2,FALSE)))/24),0))</f>
        <v/>
      </c>
      <c r="K1052" s="65" t="str">
        <f>IF(IFERROR(IF(E1052=E1051,0,(HLOOKUP(C1052,Ingreso!$AW$10:$BC$260,VLOOKUP(A1052,Ingreso!$AL$11:$AM$260,2,FALSE)))/24),0)=0,"",IFERROR(IF(E1052=E1051,0,(HLOOKUP(C1052,Ingreso!$AW$10:$BC$260,VLOOKUP(A1052,Ingreso!$AL$11:$AM$260,2,FALSE)))/24),0))</f>
        <v/>
      </c>
      <c r="L1052" s="63">
        <f t="shared" si="32"/>
        <v>0.3125</v>
      </c>
      <c r="M1052" s="63" t="str">
        <f>IF(IFERROR(IF(C1052=C1050,0,IF(E1052=E1051,0,IF(C1052=$R$2,HLOOKUP($R$2,Ingreso!$AW$10:$BC$260,VLOOKUP(A1052,Ingreso!AL:AM,2,FALSE),FALSE)/24,""))),"")=0,"",IFERROR(IF(C1052=C1050,0,IF(E1052=E1051,0,IF(C1052=$R$2,HLOOKUP($R$2,Ingreso!$AW$10:$BC$260,VLOOKUP(A1052,Ingreso!AL:AM,2,FALSE),FALSE)/24,""))),""))</f>
        <v/>
      </c>
      <c r="N1052" s="95" t="str">
        <f>IF(IFERROR(IF(C1052=C1050,0,IF(E1052=E1051,0,IF(C1052=$R$3,HLOOKUP($R$3,Ingreso!$AW$10:$BC$260,VLOOKUP(A1052,Ingreso!AL:AM,2,FALSE),FALSE)/24,""))),"")=0,"",IFERROR(IF(C1052=C1050,0,IF(E1052=E1051,0,IF(C1052=$R$3,HLOOKUP($R$3,Ingreso!$AW$10:$BC$260,VLOOKUP(A1052,Ingreso!AL:AM,2,FALSE),FALSE)/24,""))),""))</f>
        <v/>
      </c>
      <c r="O1052" s="95" t="str">
        <f>IF(IFERROR(IF(C1052=C1050,0,IF(E1052=E1051,0,IF(C1052=$R$4,HLOOKUP($R$4,Ingreso!$AW$10:$BC$260,VLOOKUP(A1052,Ingreso!AL:AM,2,FALSE),FALSE)/24,""))),"")=0,"",IFERROR(IF(C1052=C1050,0,IF(E1052=E1051,0,IF(C1052=$R$4,HLOOKUP($R$4,Ingreso!$AW$10:$BC$260,VLOOKUP(A1052,Ingreso!AL:AM,2,FALSE),FALSE)/24,""))),""))</f>
        <v/>
      </c>
      <c r="P1052" s="90"/>
      <c r="V1052"/>
      <c r="W1052" s="62"/>
      <c r="X1052" s="62"/>
      <c r="Y1052" s="62"/>
      <c r="Z1052" s="62"/>
      <c r="AA1052" s="62"/>
      <c r="AB1052" s="62"/>
      <c r="AC1052" s="62"/>
    </row>
    <row r="1053" spans="1:29">
      <c r="A1053" s="65" t="str">
        <f>IFERROR(VLOOKUP('Informe Kelly'!A1046,Base!A:B,2,FALSE),"")</f>
        <v>16.697.450-K</v>
      </c>
      <c r="B1053" s="65" t="str">
        <f>IFERROR(VLOOKUP('Informe Kelly'!A1046,Base!A:G,7,FALSE),"")</f>
        <v>REYES ESPINOZA NATALIA BELEN</v>
      </c>
      <c r="C1053" s="69" t="str">
        <f>IF(G1053=$C$4,IF('Informe Kelly'!H1046='Control informe Kelly'!$A$2,TEXT(((LEFT('Informe Kelly'!E1046,2)*1)+1),"dd")&amp;"."&amp;MID('Informe Kelly'!E1046,4,2)&amp;"."&amp;RIGHT('Informe Kelly'!E1046,4),'Informe Kelly'!E1046),'Informe Kelly'!E1046)</f>
        <v>15.04.2011</v>
      </c>
      <c r="D1053" s="69" t="str">
        <f>IF('Informe Kelly'!E1046="","",'Informe Kelly'!E1046)</f>
        <v>15.04.2011</v>
      </c>
      <c r="E1053" s="72">
        <f t="shared" si="33"/>
        <v>535</v>
      </c>
      <c r="F1053" s="72" t="str">
        <f>IFERROR(HLOOKUP(C1053,Ingreso!$Q$8:$AD$9,2,FALSE),"v")</f>
        <v>Viernes</v>
      </c>
      <c r="G1053" s="65" t="str">
        <f>IFERROR(VLOOKUP(A1053,Ingreso!K:P,6,FALSE),"no esta ingresado")</f>
        <v>Turno B</v>
      </c>
      <c r="H1053" s="65">
        <f>IFERROR(IF('Informe Kelly'!H1046=$A$2,'Informe Kelly'!F1046,""),0)</f>
        <v>0.62320601851851853</v>
      </c>
      <c r="I1053" s="65" t="str">
        <f>IFERROR(IF('Informe Kelly'!H1046=$A$3,'Informe Kelly'!F1046,""),0)</f>
        <v/>
      </c>
      <c r="J1053" s="65" t="str">
        <f>IF(IFERROR(IF(E1053=E1052,0,(HLOOKUP(D1053,Ingreso!$AN$10:$AT$260,VLOOKUP(A1053,Ingreso!$AL$11:$AM$260,2,FALSE)))/24),0)=0,"",IFERROR(IF(E1053=E1052,0,(HLOOKUP(D1053,Ingreso!$AN$10:$AT$260,VLOOKUP(A1053,Ingreso!$AL$11:$AM$260,2,FALSE)))/24),0))</f>
        <v/>
      </c>
      <c r="K1053" s="65" t="str">
        <f>IF(IFERROR(IF(E1053=E1052,0,(HLOOKUP(C1053,Ingreso!$AW$10:$BC$260,VLOOKUP(A1053,Ingreso!$AL$11:$AM$260,2,FALSE)))/24),0)=0,"",IFERROR(IF(E1053=E1052,0,(HLOOKUP(C1053,Ingreso!$AW$10:$BC$260,VLOOKUP(A1053,Ingreso!$AL$11:$AM$260,2,FALSE)))/24),0))</f>
        <v/>
      </c>
      <c r="L1053" s="63">
        <f t="shared" si="32"/>
        <v>0</v>
      </c>
      <c r="M1053" s="63" t="str">
        <f>IF(IFERROR(IF(C1053=C1051,0,IF(E1053=E1052,0,IF(C1053=$R$2,HLOOKUP($R$2,Ingreso!$AW$10:$BC$260,VLOOKUP(A1053,Ingreso!AL:AM,2,FALSE),FALSE)/24,""))),"")=0,"",IFERROR(IF(C1053=C1051,0,IF(E1053=E1052,0,IF(C1053=$R$2,HLOOKUP($R$2,Ingreso!$AW$10:$BC$260,VLOOKUP(A1053,Ingreso!AL:AM,2,FALSE),FALSE)/24,""))),""))</f>
        <v/>
      </c>
      <c r="N1053" s="95" t="str">
        <f>IF(IFERROR(IF(C1053=C1051,0,IF(E1053=E1052,0,IF(C1053=$R$3,HLOOKUP($R$3,Ingreso!$AW$10:$BC$260,VLOOKUP(A1053,Ingreso!AL:AM,2,FALSE),FALSE)/24,""))),"")=0,"",IFERROR(IF(C1053=C1051,0,IF(E1053=E1052,0,IF(C1053=$R$3,HLOOKUP($R$3,Ingreso!$AW$10:$BC$260,VLOOKUP(A1053,Ingreso!AL:AM,2,FALSE),FALSE)/24,""))),""))</f>
        <v/>
      </c>
      <c r="O1053" s="95" t="str">
        <f>IF(IFERROR(IF(C1053=C1051,0,IF(E1053=E1052,0,IF(C1053=$R$4,HLOOKUP($R$4,Ingreso!$AW$10:$BC$260,VLOOKUP(A1053,Ingreso!AL:AM,2,FALSE),FALSE)/24,""))),"")=0,"",IFERROR(IF(C1053=C1051,0,IF(E1053=E1052,0,IF(C1053=$R$4,HLOOKUP($R$4,Ingreso!$AW$10:$BC$260,VLOOKUP(A1053,Ingreso!AL:AM,2,FALSE),FALSE)/24,""))),""))</f>
        <v/>
      </c>
      <c r="P1053" s="90"/>
      <c r="V1053"/>
      <c r="W1053" s="62"/>
      <c r="X1053" s="62"/>
      <c r="Y1053" s="62"/>
      <c r="Z1053" s="62"/>
      <c r="AA1053" s="62"/>
      <c r="AB1053" s="62"/>
      <c r="AC1053" s="62"/>
    </row>
    <row r="1054" spans="1:29">
      <c r="A1054" s="65" t="str">
        <f>IFERROR(VLOOKUP('Informe Kelly'!A1047,Base!A:B,2,FALSE),"")</f>
        <v>16.697.450-K</v>
      </c>
      <c r="B1054" s="65" t="str">
        <f>IFERROR(VLOOKUP('Informe Kelly'!A1047,Base!A:G,7,FALSE),"")</f>
        <v>REYES ESPINOZA NATALIA BELEN</v>
      </c>
      <c r="C1054" s="69" t="str">
        <f>IF(G1054=$C$4,IF('Informe Kelly'!H1047='Control informe Kelly'!$A$2,TEXT(((LEFT('Informe Kelly'!E1047,2)*1)+1),"dd")&amp;"."&amp;MID('Informe Kelly'!E1047,4,2)&amp;"."&amp;RIGHT('Informe Kelly'!E1047,4),'Informe Kelly'!E1047),'Informe Kelly'!E1047)</f>
        <v>16.04.2011</v>
      </c>
      <c r="D1054" s="69" t="str">
        <f>IF('Informe Kelly'!E1047="","",'Informe Kelly'!E1047)</f>
        <v>16.04.2011</v>
      </c>
      <c r="E1054" s="72">
        <f t="shared" si="33"/>
        <v>536</v>
      </c>
      <c r="F1054" s="72" t="str">
        <f>IFERROR(HLOOKUP(C1054,Ingreso!$Q$8:$AD$9,2,FALSE),"v")</f>
        <v>Sábado</v>
      </c>
      <c r="G1054" s="65" t="str">
        <f>IFERROR(VLOOKUP(A1054,Ingreso!K:P,6,FALSE),"no esta ingresado")</f>
        <v>Turno B</v>
      </c>
      <c r="H1054" s="65" t="str">
        <f>IFERROR(IF('Informe Kelly'!H1047=$A$2,'Informe Kelly'!F1047,""),0)</f>
        <v/>
      </c>
      <c r="I1054" s="65">
        <f>IFERROR(IF('Informe Kelly'!H1047=$A$3,'Informe Kelly'!F1047,""),0)</f>
        <v>0.9223958333333333</v>
      </c>
      <c r="J1054" s="65" t="str">
        <f>IF(IFERROR(IF(E1054=E1053,0,(HLOOKUP(D1054,Ingreso!$AN$10:$AT$260,VLOOKUP(A1054,Ingreso!$AL$11:$AM$260,2,FALSE)))/24),0)=0,"",IFERROR(IF(E1054=E1053,0,(HLOOKUP(D1054,Ingreso!$AN$10:$AT$260,VLOOKUP(A1054,Ingreso!$AL$11:$AM$260,2,FALSE)))/24),0))</f>
        <v/>
      </c>
      <c r="K1054" s="65" t="str">
        <f>IF(IFERROR(IF(E1054=E1053,0,(HLOOKUP(C1054,Ingreso!$AW$10:$BC$260,VLOOKUP(A1054,Ingreso!$AL$11:$AM$260,2,FALSE)))/24),0)=0,"",IFERROR(IF(E1054=E1053,0,(HLOOKUP(C1054,Ingreso!$AW$10:$BC$260,VLOOKUP(A1054,Ingreso!$AL$11:$AM$260,2,FALSE)))/24),0))</f>
        <v/>
      </c>
      <c r="L1054" s="63">
        <f t="shared" si="32"/>
        <v>0.3125</v>
      </c>
      <c r="M1054" s="63" t="str">
        <f>IF(IFERROR(IF(C1054=C1052,0,IF(E1054=E1053,0,IF(C1054=$R$2,HLOOKUP($R$2,Ingreso!$AW$10:$BC$260,VLOOKUP(A1054,Ingreso!AL:AM,2,FALSE),FALSE)/24,""))),"")=0,"",IFERROR(IF(C1054=C1052,0,IF(E1054=E1053,0,IF(C1054=$R$2,HLOOKUP($R$2,Ingreso!$AW$10:$BC$260,VLOOKUP(A1054,Ingreso!AL:AM,2,FALSE),FALSE)/24,""))),""))</f>
        <v/>
      </c>
      <c r="N1054" s="95" t="str">
        <f>IF(IFERROR(IF(C1054=C1052,0,IF(E1054=E1053,0,IF(C1054=$R$3,HLOOKUP($R$3,Ingreso!$AW$10:$BC$260,VLOOKUP(A1054,Ingreso!AL:AM,2,FALSE),FALSE)/24,""))),"")=0,"",IFERROR(IF(C1054=C1052,0,IF(E1054=E1053,0,IF(C1054=$R$3,HLOOKUP($R$3,Ingreso!$AW$10:$BC$260,VLOOKUP(A1054,Ingreso!AL:AM,2,FALSE),FALSE)/24,""))),""))</f>
        <v/>
      </c>
      <c r="O1054" s="95" t="str">
        <f>IF(IFERROR(IF(C1054=C1052,0,IF(E1054=E1053,0,IF(C1054=$R$4,HLOOKUP($R$4,Ingreso!$AW$10:$BC$260,VLOOKUP(A1054,Ingreso!AL:AM,2,FALSE),FALSE)/24,""))),"")=0,"",IFERROR(IF(C1054=C1052,0,IF(E1054=E1053,0,IF(C1054=$R$4,HLOOKUP($R$4,Ingreso!$AW$10:$BC$260,VLOOKUP(A1054,Ingreso!AL:AM,2,FALSE),FALSE)/24,""))),""))</f>
        <v/>
      </c>
      <c r="P1054" s="90"/>
      <c r="V1054"/>
      <c r="W1054" s="62"/>
      <c r="X1054" s="62"/>
      <c r="Y1054" s="62"/>
      <c r="Z1054" s="62"/>
      <c r="AA1054" s="62"/>
      <c r="AB1054" s="62"/>
      <c r="AC1054" s="62"/>
    </row>
    <row r="1055" spans="1:29">
      <c r="A1055" s="65" t="str">
        <f>IFERROR(VLOOKUP('Informe Kelly'!A1048,Base!A:B,2,FALSE),"")</f>
        <v>16.697.450-K</v>
      </c>
      <c r="B1055" s="65" t="str">
        <f>IFERROR(VLOOKUP('Informe Kelly'!A1048,Base!A:G,7,FALSE),"")</f>
        <v>REYES ESPINOZA NATALIA BELEN</v>
      </c>
      <c r="C1055" s="69" t="str">
        <f>IF(G1055=$C$4,IF('Informe Kelly'!H1048='Control informe Kelly'!$A$2,TEXT(((LEFT('Informe Kelly'!E1048,2)*1)+1),"dd")&amp;"."&amp;MID('Informe Kelly'!E1048,4,2)&amp;"."&amp;RIGHT('Informe Kelly'!E1048,4),'Informe Kelly'!E1048),'Informe Kelly'!E1048)</f>
        <v>16.04.2011</v>
      </c>
      <c r="D1055" s="69" t="str">
        <f>IF('Informe Kelly'!E1048="","",'Informe Kelly'!E1048)</f>
        <v>16.04.2011</v>
      </c>
      <c r="E1055" s="72">
        <f t="shared" si="33"/>
        <v>536</v>
      </c>
      <c r="F1055" s="72" t="str">
        <f>IFERROR(HLOOKUP(C1055,Ingreso!$Q$8:$AD$9,2,FALSE),"v")</f>
        <v>Sábado</v>
      </c>
      <c r="G1055" s="65" t="str">
        <f>IFERROR(VLOOKUP(A1055,Ingreso!K:P,6,FALSE),"no esta ingresado")</f>
        <v>Turno B</v>
      </c>
      <c r="H1055" s="65">
        <f>IFERROR(IF('Informe Kelly'!H1048=$A$2,'Informe Kelly'!F1048,""),0)</f>
        <v>0.62219907407407404</v>
      </c>
      <c r="I1055" s="65" t="str">
        <f>IFERROR(IF('Informe Kelly'!H1048=$A$3,'Informe Kelly'!F1048,""),0)</f>
        <v/>
      </c>
      <c r="J1055" s="65" t="str">
        <f>IF(IFERROR(IF(E1055=E1054,0,(HLOOKUP(D1055,Ingreso!$AN$10:$AT$260,VLOOKUP(A1055,Ingreso!$AL$11:$AM$260,2,FALSE)))/24),0)=0,"",IFERROR(IF(E1055=E1054,0,(HLOOKUP(D1055,Ingreso!$AN$10:$AT$260,VLOOKUP(A1055,Ingreso!$AL$11:$AM$260,2,FALSE)))/24),0))</f>
        <v/>
      </c>
      <c r="K1055" s="65" t="str">
        <f>IF(IFERROR(IF(E1055=E1054,0,(HLOOKUP(C1055,Ingreso!$AW$10:$BC$260,VLOOKUP(A1055,Ingreso!$AL$11:$AM$260,2,FALSE)))/24),0)=0,"",IFERROR(IF(E1055=E1054,0,(HLOOKUP(C1055,Ingreso!$AW$10:$BC$260,VLOOKUP(A1055,Ingreso!$AL$11:$AM$260,2,FALSE)))/24),0))</f>
        <v/>
      </c>
      <c r="L1055" s="63">
        <f t="shared" si="32"/>
        <v>0</v>
      </c>
      <c r="M1055" s="63" t="str">
        <f>IF(IFERROR(IF(C1055=C1053,0,IF(E1055=E1054,0,IF(C1055=$R$2,HLOOKUP($R$2,Ingreso!$AW$10:$BC$260,VLOOKUP(A1055,Ingreso!AL:AM,2,FALSE),FALSE)/24,""))),"")=0,"",IFERROR(IF(C1055=C1053,0,IF(E1055=E1054,0,IF(C1055=$R$2,HLOOKUP($R$2,Ingreso!$AW$10:$BC$260,VLOOKUP(A1055,Ingreso!AL:AM,2,FALSE),FALSE)/24,""))),""))</f>
        <v/>
      </c>
      <c r="N1055" s="95" t="str">
        <f>IF(IFERROR(IF(C1055=C1053,0,IF(E1055=E1054,0,IF(C1055=$R$3,HLOOKUP($R$3,Ingreso!$AW$10:$BC$260,VLOOKUP(A1055,Ingreso!AL:AM,2,FALSE),FALSE)/24,""))),"")=0,"",IFERROR(IF(C1055=C1053,0,IF(E1055=E1054,0,IF(C1055=$R$3,HLOOKUP($R$3,Ingreso!$AW$10:$BC$260,VLOOKUP(A1055,Ingreso!AL:AM,2,FALSE),FALSE)/24,""))),""))</f>
        <v/>
      </c>
      <c r="O1055" s="95" t="str">
        <f>IF(IFERROR(IF(C1055=C1053,0,IF(E1055=E1054,0,IF(C1055=$R$4,HLOOKUP($R$4,Ingreso!$AW$10:$BC$260,VLOOKUP(A1055,Ingreso!AL:AM,2,FALSE),FALSE)/24,""))),"")=0,"",IFERROR(IF(C1055=C1053,0,IF(E1055=E1054,0,IF(C1055=$R$4,HLOOKUP($R$4,Ingreso!$AW$10:$BC$260,VLOOKUP(A1055,Ingreso!AL:AM,2,FALSE),FALSE)/24,""))),""))</f>
        <v/>
      </c>
      <c r="P1055" s="90"/>
      <c r="V1055"/>
      <c r="W1055" s="62"/>
      <c r="X1055" s="62"/>
      <c r="Y1055" s="62"/>
      <c r="Z1055" s="62"/>
      <c r="AA1055" s="62"/>
      <c r="AB1055" s="62"/>
      <c r="AC1055" s="62"/>
    </row>
    <row r="1056" spans="1:29">
      <c r="A1056" s="65" t="str">
        <f>IFERROR(VLOOKUP('Informe Kelly'!A1049,Base!A:B,2,FALSE),"")</f>
        <v>17.002.272-6</v>
      </c>
      <c r="B1056" s="65" t="str">
        <f>IFERROR(VLOOKUP('Informe Kelly'!A1049,Base!A:G,7,FALSE),"")</f>
        <v>GARCES MUÑOZ JUAN DIEGO ALEXIS</v>
      </c>
      <c r="C1056" s="69" t="str">
        <f>IF(G1056=$C$4,IF('Informe Kelly'!H1049='Control informe Kelly'!$A$2,TEXT(((LEFT('Informe Kelly'!E1049,2)*1)+1),"dd")&amp;"."&amp;MID('Informe Kelly'!E1049,4,2)&amp;"."&amp;RIGHT('Informe Kelly'!E1049,4),'Informe Kelly'!E1049),'Informe Kelly'!E1049)</f>
        <v>12.04.2011</v>
      </c>
      <c r="D1056" s="69" t="str">
        <f>IF('Informe Kelly'!E1049="","",'Informe Kelly'!E1049)</f>
        <v>11.04.2011</v>
      </c>
      <c r="E1056" s="72">
        <f t="shared" si="33"/>
        <v>537</v>
      </c>
      <c r="F1056" s="72" t="str">
        <f>IFERROR(HLOOKUP(C1056,Ingreso!$Q$8:$AD$9,2,FALSE),"v")</f>
        <v>Martes</v>
      </c>
      <c r="G1056" s="65" t="str">
        <f>IFERROR(VLOOKUP(A1056,Ingreso!K:P,6,FALSE),"no esta ingresado")</f>
        <v>Turno C</v>
      </c>
      <c r="H1056" s="65">
        <f>IFERROR(IF('Informe Kelly'!H1049=$A$2,'Informe Kelly'!F1049,""),0)</f>
        <v>0.9387847222222222</v>
      </c>
      <c r="I1056" s="65" t="str">
        <f>IFERROR(IF('Informe Kelly'!H1049=$A$3,'Informe Kelly'!F1049,""),0)</f>
        <v/>
      </c>
      <c r="J1056" s="65" t="str">
        <f>IF(IFERROR(IF(E1056=E1055,0,(HLOOKUP(D1056,Ingreso!$AN$10:$AT$260,VLOOKUP(A1056,Ingreso!$AL$11:$AM$260,2,FALSE)))/24),0)=0,"",IFERROR(IF(E1056=E1055,0,(HLOOKUP(D1056,Ingreso!$AN$10:$AT$260,VLOOKUP(A1056,Ingreso!$AL$11:$AM$260,2,FALSE)))/24),0))</f>
        <v/>
      </c>
      <c r="K1056" s="65" t="str">
        <f>IF(IFERROR(IF(E1056=E1055,0,(HLOOKUP(C1056,Ingreso!$AW$10:$BC$260,VLOOKUP(A1056,Ingreso!$AL$11:$AM$260,2,FALSE)))/24),0)=0,"",IFERROR(IF(E1056=E1055,0,(HLOOKUP(C1056,Ingreso!$AW$10:$BC$260,VLOOKUP(A1056,Ingreso!$AL$11:$AM$260,2,FALSE)))/24),0))</f>
        <v/>
      </c>
      <c r="L1056" s="63">
        <f t="shared" si="32"/>
        <v>0.375</v>
      </c>
      <c r="M1056" s="63" t="str">
        <f>IF(IFERROR(IF(C1056=C1054,0,IF(E1056=E1055,0,IF(C1056=$R$2,HLOOKUP($R$2,Ingreso!$AW$10:$BC$260,VLOOKUP(A1056,Ingreso!AL:AM,2,FALSE),FALSE)/24,""))),"")=0,"",IFERROR(IF(C1056=C1054,0,IF(E1056=E1055,0,IF(C1056=$R$2,HLOOKUP($R$2,Ingreso!$AW$10:$BC$260,VLOOKUP(A1056,Ingreso!AL:AM,2,FALSE),FALSE)/24,""))),""))</f>
        <v/>
      </c>
      <c r="N1056" s="95" t="str">
        <f>IF(IFERROR(IF(C1056=C1054,0,IF(E1056=E1055,0,IF(C1056=$R$3,HLOOKUP($R$3,Ingreso!$AW$10:$BC$260,VLOOKUP(A1056,Ingreso!AL:AM,2,FALSE),FALSE)/24,""))),"")=0,"",IFERROR(IF(C1056=C1054,0,IF(E1056=E1055,0,IF(C1056=$R$3,HLOOKUP($R$3,Ingreso!$AW$10:$BC$260,VLOOKUP(A1056,Ingreso!AL:AM,2,FALSE),FALSE)/24,""))),""))</f>
        <v/>
      </c>
      <c r="O1056" s="95" t="str">
        <f>IF(IFERROR(IF(C1056=C1054,0,IF(E1056=E1055,0,IF(C1056=$R$4,HLOOKUP($R$4,Ingreso!$AW$10:$BC$260,VLOOKUP(A1056,Ingreso!AL:AM,2,FALSE),FALSE)/24,""))),"")=0,"",IFERROR(IF(C1056=C1054,0,IF(E1056=E1055,0,IF(C1056=$R$4,HLOOKUP($R$4,Ingreso!$AW$10:$BC$260,VLOOKUP(A1056,Ingreso!AL:AM,2,FALSE),FALSE)/24,""))),""))</f>
        <v/>
      </c>
      <c r="P1056" s="90"/>
      <c r="V1056"/>
      <c r="W1056" s="62"/>
      <c r="X1056" s="62"/>
      <c r="Y1056" s="62"/>
      <c r="Z1056" s="62"/>
      <c r="AA1056" s="62"/>
      <c r="AB1056" s="62"/>
      <c r="AC1056" s="62"/>
    </row>
    <row r="1057" spans="1:29">
      <c r="A1057" s="65" t="str">
        <f>IFERROR(VLOOKUP('Informe Kelly'!A1050,Base!A:B,2,FALSE),"")</f>
        <v>17.002.272-6</v>
      </c>
      <c r="B1057" s="65" t="str">
        <f>IFERROR(VLOOKUP('Informe Kelly'!A1050,Base!A:G,7,FALSE),"")</f>
        <v>GARCES MUÑOZ JUAN DIEGO ALEXIS</v>
      </c>
      <c r="C1057" s="69" t="str">
        <f>IF(G1057=$C$4,IF('Informe Kelly'!H1050='Control informe Kelly'!$A$2,TEXT(((LEFT('Informe Kelly'!E1050,2)*1)+1),"dd")&amp;"."&amp;MID('Informe Kelly'!E1050,4,2)&amp;"."&amp;RIGHT('Informe Kelly'!E1050,4),'Informe Kelly'!E1050),'Informe Kelly'!E1050)</f>
        <v>12.04.2011</v>
      </c>
      <c r="D1057" s="69" t="str">
        <f>IF('Informe Kelly'!E1050="","",'Informe Kelly'!E1050)</f>
        <v>12.04.2011</v>
      </c>
      <c r="E1057" s="72">
        <f t="shared" si="33"/>
        <v>537</v>
      </c>
      <c r="F1057" s="72" t="str">
        <f>IFERROR(HLOOKUP(C1057,Ingreso!$Q$8:$AD$9,2,FALSE),"v")</f>
        <v>Martes</v>
      </c>
      <c r="G1057" s="65" t="str">
        <f>IFERROR(VLOOKUP(A1057,Ingreso!K:P,6,FALSE),"no esta ingresado")</f>
        <v>Turno C</v>
      </c>
      <c r="H1057" s="65" t="str">
        <f>IFERROR(IF('Informe Kelly'!H1050=$A$2,'Informe Kelly'!F1050,""),0)</f>
        <v/>
      </c>
      <c r="I1057" s="65">
        <f>IFERROR(IF('Informe Kelly'!H1050=$A$3,'Informe Kelly'!F1050,""),0)</f>
        <v>0.3208449074074074</v>
      </c>
      <c r="J1057" s="65" t="str">
        <f>IF(IFERROR(IF(E1057=E1056,0,(HLOOKUP(D1057,Ingreso!$AN$10:$AT$260,VLOOKUP(A1057,Ingreso!$AL$11:$AM$260,2,FALSE)))/24),0)=0,"",IFERROR(IF(E1057=E1056,0,(HLOOKUP(D1057,Ingreso!$AN$10:$AT$260,VLOOKUP(A1057,Ingreso!$AL$11:$AM$260,2,FALSE)))/24),0))</f>
        <v/>
      </c>
      <c r="K1057" s="65" t="str">
        <f>IF(IFERROR(IF(E1057=E1056,0,(HLOOKUP(C1057,Ingreso!$AW$10:$BC$260,VLOOKUP(A1057,Ingreso!$AL$11:$AM$260,2,FALSE)))/24),0)=0,"",IFERROR(IF(E1057=E1056,0,(HLOOKUP(C1057,Ingreso!$AW$10:$BC$260,VLOOKUP(A1057,Ingreso!$AL$11:$AM$260,2,FALSE)))/24),0))</f>
        <v/>
      </c>
      <c r="L1057" s="63">
        <f t="shared" si="32"/>
        <v>0</v>
      </c>
      <c r="M1057" s="63" t="str">
        <f>IF(IFERROR(IF(C1057=C1055,0,IF(E1057=E1056,0,IF(C1057=$R$2,HLOOKUP($R$2,Ingreso!$AW$10:$BC$260,VLOOKUP(A1057,Ingreso!AL:AM,2,FALSE),FALSE)/24,""))),"")=0,"",IFERROR(IF(C1057=C1055,0,IF(E1057=E1056,0,IF(C1057=$R$2,HLOOKUP($R$2,Ingreso!$AW$10:$BC$260,VLOOKUP(A1057,Ingreso!AL:AM,2,FALSE),FALSE)/24,""))),""))</f>
        <v/>
      </c>
      <c r="N1057" s="95" t="str">
        <f>IF(IFERROR(IF(C1057=C1055,0,IF(E1057=E1056,0,IF(C1057=$R$3,HLOOKUP($R$3,Ingreso!$AW$10:$BC$260,VLOOKUP(A1057,Ingreso!AL:AM,2,FALSE),FALSE)/24,""))),"")=0,"",IFERROR(IF(C1057=C1055,0,IF(E1057=E1056,0,IF(C1057=$R$3,HLOOKUP($R$3,Ingreso!$AW$10:$BC$260,VLOOKUP(A1057,Ingreso!AL:AM,2,FALSE),FALSE)/24,""))),""))</f>
        <v/>
      </c>
      <c r="O1057" s="95" t="str">
        <f>IF(IFERROR(IF(C1057=C1055,0,IF(E1057=E1056,0,IF(C1057=$R$4,HLOOKUP($R$4,Ingreso!$AW$10:$BC$260,VLOOKUP(A1057,Ingreso!AL:AM,2,FALSE),FALSE)/24,""))),"")=0,"",IFERROR(IF(C1057=C1055,0,IF(E1057=E1056,0,IF(C1057=$R$4,HLOOKUP($R$4,Ingreso!$AW$10:$BC$260,VLOOKUP(A1057,Ingreso!AL:AM,2,FALSE),FALSE)/24,""))),""))</f>
        <v/>
      </c>
      <c r="P1057" s="90"/>
      <c r="V1057"/>
      <c r="W1057" s="62"/>
      <c r="X1057" s="62"/>
      <c r="Y1057" s="62"/>
      <c r="Z1057" s="62"/>
      <c r="AA1057" s="62"/>
      <c r="AB1057" s="62"/>
      <c r="AC1057" s="62"/>
    </row>
    <row r="1058" spans="1:29">
      <c r="A1058" s="65" t="str">
        <f>IFERROR(VLOOKUP('Informe Kelly'!A1051,Base!A:B,2,FALSE),"")</f>
        <v>17.002.272-6</v>
      </c>
      <c r="B1058" s="65" t="str">
        <f>IFERROR(VLOOKUP('Informe Kelly'!A1051,Base!A:G,7,FALSE),"")</f>
        <v>GARCES MUÑOZ JUAN DIEGO ALEXIS</v>
      </c>
      <c r="C1058" s="69" t="str">
        <f>IF(G1058=$C$4,IF('Informe Kelly'!H1051='Control informe Kelly'!$A$2,TEXT(((LEFT('Informe Kelly'!E1051,2)*1)+1),"dd")&amp;"."&amp;MID('Informe Kelly'!E1051,4,2)&amp;"."&amp;RIGHT('Informe Kelly'!E1051,4),'Informe Kelly'!E1051),'Informe Kelly'!E1051)</f>
        <v>13.04.2011</v>
      </c>
      <c r="D1058" s="69" t="str">
        <f>IF('Informe Kelly'!E1051="","",'Informe Kelly'!E1051)</f>
        <v>12.04.2011</v>
      </c>
      <c r="E1058" s="72">
        <f t="shared" si="33"/>
        <v>538</v>
      </c>
      <c r="F1058" s="72" t="str">
        <f>IFERROR(HLOOKUP(C1058,Ingreso!$Q$8:$AD$9,2,FALSE),"v")</f>
        <v>Miércoles</v>
      </c>
      <c r="G1058" s="65" t="str">
        <f>IFERROR(VLOOKUP(A1058,Ingreso!K:P,6,FALSE),"no esta ingresado")</f>
        <v>Turno C</v>
      </c>
      <c r="H1058" s="65">
        <f>IFERROR(IF('Informe Kelly'!H1051=$A$2,'Informe Kelly'!F1051,""),0)</f>
        <v>0.93059027777777781</v>
      </c>
      <c r="I1058" s="65" t="str">
        <f>IFERROR(IF('Informe Kelly'!H1051=$A$3,'Informe Kelly'!F1051,""),0)</f>
        <v/>
      </c>
      <c r="J1058" s="65" t="str">
        <f>IF(IFERROR(IF(E1058=E1057,0,(HLOOKUP(D1058,Ingreso!$AN$10:$AT$260,VLOOKUP(A1058,Ingreso!$AL$11:$AM$260,2,FALSE)))/24),0)=0,"",IFERROR(IF(E1058=E1057,0,(HLOOKUP(D1058,Ingreso!$AN$10:$AT$260,VLOOKUP(A1058,Ingreso!$AL$11:$AM$260,2,FALSE)))/24),0))</f>
        <v/>
      </c>
      <c r="K1058" s="65" t="str">
        <f>IF(IFERROR(IF(E1058=E1057,0,(HLOOKUP(C1058,Ingreso!$AW$10:$BC$260,VLOOKUP(A1058,Ingreso!$AL$11:$AM$260,2,FALSE)))/24),0)=0,"",IFERROR(IF(E1058=E1057,0,(HLOOKUP(C1058,Ingreso!$AW$10:$BC$260,VLOOKUP(A1058,Ingreso!$AL$11:$AM$260,2,FALSE)))/24),0))</f>
        <v/>
      </c>
      <c r="L1058" s="63">
        <f t="shared" si="32"/>
        <v>0.375</v>
      </c>
      <c r="M1058" s="63" t="str">
        <f>IF(IFERROR(IF(C1058=C1056,0,IF(E1058=E1057,0,IF(C1058=$R$2,HLOOKUP($R$2,Ingreso!$AW$10:$BC$260,VLOOKUP(A1058,Ingreso!AL:AM,2,FALSE),FALSE)/24,""))),"")=0,"",IFERROR(IF(C1058=C1056,0,IF(E1058=E1057,0,IF(C1058=$R$2,HLOOKUP($R$2,Ingreso!$AW$10:$BC$260,VLOOKUP(A1058,Ingreso!AL:AM,2,FALSE),FALSE)/24,""))),""))</f>
        <v/>
      </c>
      <c r="N1058" s="95" t="str">
        <f>IF(IFERROR(IF(C1058=C1056,0,IF(E1058=E1057,0,IF(C1058=$R$3,HLOOKUP($R$3,Ingreso!$AW$10:$BC$260,VLOOKUP(A1058,Ingreso!AL:AM,2,FALSE),FALSE)/24,""))),"")=0,"",IFERROR(IF(C1058=C1056,0,IF(E1058=E1057,0,IF(C1058=$R$3,HLOOKUP($R$3,Ingreso!$AW$10:$BC$260,VLOOKUP(A1058,Ingreso!AL:AM,2,FALSE),FALSE)/24,""))),""))</f>
        <v/>
      </c>
      <c r="O1058" s="95" t="str">
        <f>IF(IFERROR(IF(C1058=C1056,0,IF(E1058=E1057,0,IF(C1058=$R$4,HLOOKUP($R$4,Ingreso!$AW$10:$BC$260,VLOOKUP(A1058,Ingreso!AL:AM,2,FALSE),FALSE)/24,""))),"")=0,"",IFERROR(IF(C1058=C1056,0,IF(E1058=E1057,0,IF(C1058=$R$4,HLOOKUP($R$4,Ingreso!$AW$10:$BC$260,VLOOKUP(A1058,Ingreso!AL:AM,2,FALSE),FALSE)/24,""))),""))</f>
        <v/>
      </c>
      <c r="P1058" s="90"/>
      <c r="V1058"/>
      <c r="W1058" s="62"/>
      <c r="X1058" s="62"/>
      <c r="Y1058" s="62"/>
      <c r="Z1058" s="62"/>
      <c r="AA1058" s="62"/>
      <c r="AB1058" s="62"/>
      <c r="AC1058" s="62"/>
    </row>
    <row r="1059" spans="1:29">
      <c r="A1059" s="65" t="str">
        <f>IFERROR(VLOOKUP('Informe Kelly'!A1052,Base!A:B,2,FALSE),"")</f>
        <v>17.002.272-6</v>
      </c>
      <c r="B1059" s="65" t="str">
        <f>IFERROR(VLOOKUP('Informe Kelly'!A1052,Base!A:G,7,FALSE),"")</f>
        <v>GARCES MUÑOZ JUAN DIEGO ALEXIS</v>
      </c>
      <c r="C1059" s="69" t="str">
        <f>IF(G1059=$C$4,IF('Informe Kelly'!H1052='Control informe Kelly'!$A$2,TEXT(((LEFT('Informe Kelly'!E1052,2)*1)+1),"dd")&amp;"."&amp;MID('Informe Kelly'!E1052,4,2)&amp;"."&amp;RIGHT('Informe Kelly'!E1052,4),'Informe Kelly'!E1052),'Informe Kelly'!E1052)</f>
        <v>13.04.2011</v>
      </c>
      <c r="D1059" s="69" t="str">
        <f>IF('Informe Kelly'!E1052="","",'Informe Kelly'!E1052)</f>
        <v>13.04.2011</v>
      </c>
      <c r="E1059" s="72">
        <f t="shared" si="33"/>
        <v>538</v>
      </c>
      <c r="F1059" s="72" t="str">
        <f>IFERROR(HLOOKUP(C1059,Ingreso!$Q$8:$AD$9,2,FALSE),"v")</f>
        <v>Miércoles</v>
      </c>
      <c r="G1059" s="65" t="str">
        <f>IFERROR(VLOOKUP(A1059,Ingreso!K:P,6,FALSE),"no esta ingresado")</f>
        <v>Turno C</v>
      </c>
      <c r="H1059" s="65" t="str">
        <f>IFERROR(IF('Informe Kelly'!H1052=$A$2,'Informe Kelly'!F1052,""),0)</f>
        <v/>
      </c>
      <c r="I1059" s="65">
        <f>IFERROR(IF('Informe Kelly'!H1052=$A$3,'Informe Kelly'!F1052,""),0)</f>
        <v>0.32973379629629629</v>
      </c>
      <c r="J1059" s="65" t="str">
        <f>IF(IFERROR(IF(E1059=E1058,0,(HLOOKUP(D1059,Ingreso!$AN$10:$AT$260,VLOOKUP(A1059,Ingreso!$AL$11:$AM$260,2,FALSE)))/24),0)=0,"",IFERROR(IF(E1059=E1058,0,(HLOOKUP(D1059,Ingreso!$AN$10:$AT$260,VLOOKUP(A1059,Ingreso!$AL$11:$AM$260,2,FALSE)))/24),0))</f>
        <v/>
      </c>
      <c r="K1059" s="65" t="str">
        <f>IF(IFERROR(IF(E1059=E1058,0,(HLOOKUP(C1059,Ingreso!$AW$10:$BC$260,VLOOKUP(A1059,Ingreso!$AL$11:$AM$260,2,FALSE)))/24),0)=0,"",IFERROR(IF(E1059=E1058,0,(HLOOKUP(C1059,Ingreso!$AW$10:$BC$260,VLOOKUP(A1059,Ingreso!$AL$11:$AM$260,2,FALSE)))/24),0))</f>
        <v/>
      </c>
      <c r="L1059" s="63">
        <f t="shared" si="32"/>
        <v>0</v>
      </c>
      <c r="M1059" s="63" t="str">
        <f>IF(IFERROR(IF(C1059=C1057,0,IF(E1059=E1058,0,IF(C1059=$R$2,HLOOKUP($R$2,Ingreso!$AW$10:$BC$260,VLOOKUP(A1059,Ingreso!AL:AM,2,FALSE),FALSE)/24,""))),"")=0,"",IFERROR(IF(C1059=C1057,0,IF(E1059=E1058,0,IF(C1059=$R$2,HLOOKUP($R$2,Ingreso!$AW$10:$BC$260,VLOOKUP(A1059,Ingreso!AL:AM,2,FALSE),FALSE)/24,""))),""))</f>
        <v/>
      </c>
      <c r="N1059" s="95" t="str">
        <f>IF(IFERROR(IF(C1059=C1057,0,IF(E1059=E1058,0,IF(C1059=$R$3,HLOOKUP($R$3,Ingreso!$AW$10:$BC$260,VLOOKUP(A1059,Ingreso!AL:AM,2,FALSE),FALSE)/24,""))),"")=0,"",IFERROR(IF(C1059=C1057,0,IF(E1059=E1058,0,IF(C1059=$R$3,HLOOKUP($R$3,Ingreso!$AW$10:$BC$260,VLOOKUP(A1059,Ingreso!AL:AM,2,FALSE),FALSE)/24,""))),""))</f>
        <v/>
      </c>
      <c r="O1059" s="95" t="str">
        <f>IF(IFERROR(IF(C1059=C1057,0,IF(E1059=E1058,0,IF(C1059=$R$4,HLOOKUP($R$4,Ingreso!$AW$10:$BC$260,VLOOKUP(A1059,Ingreso!AL:AM,2,FALSE),FALSE)/24,""))),"")=0,"",IFERROR(IF(C1059=C1057,0,IF(E1059=E1058,0,IF(C1059=$R$4,HLOOKUP($R$4,Ingreso!$AW$10:$BC$260,VLOOKUP(A1059,Ingreso!AL:AM,2,FALSE),FALSE)/24,""))),""))</f>
        <v/>
      </c>
      <c r="P1059" s="90"/>
      <c r="V1059"/>
      <c r="W1059" s="62"/>
      <c r="X1059" s="62"/>
      <c r="Y1059" s="62"/>
      <c r="Z1059" s="62"/>
      <c r="AA1059" s="62"/>
      <c r="AB1059" s="62"/>
      <c r="AC1059" s="62"/>
    </row>
    <row r="1060" spans="1:29">
      <c r="A1060" s="65" t="str">
        <f>IFERROR(VLOOKUP('Informe Kelly'!A1053,Base!A:B,2,FALSE),"")</f>
        <v>17.002.272-6</v>
      </c>
      <c r="B1060" s="65" t="str">
        <f>IFERROR(VLOOKUP('Informe Kelly'!A1053,Base!A:G,7,FALSE),"")</f>
        <v>GARCES MUÑOZ JUAN DIEGO ALEXIS</v>
      </c>
      <c r="C1060" s="69" t="str">
        <f>IF(G1060=$C$4,IF('Informe Kelly'!H1053='Control informe Kelly'!$A$2,TEXT(((LEFT('Informe Kelly'!E1053,2)*1)+1),"dd")&amp;"."&amp;MID('Informe Kelly'!E1053,4,2)&amp;"."&amp;RIGHT('Informe Kelly'!E1053,4),'Informe Kelly'!E1053),'Informe Kelly'!E1053)</f>
        <v>14.04.2011</v>
      </c>
      <c r="D1060" s="69" t="str">
        <f>IF('Informe Kelly'!E1053="","",'Informe Kelly'!E1053)</f>
        <v>13.04.2011</v>
      </c>
      <c r="E1060" s="72">
        <f t="shared" si="33"/>
        <v>539</v>
      </c>
      <c r="F1060" s="72" t="str">
        <f>IFERROR(HLOOKUP(C1060,Ingreso!$Q$8:$AD$9,2,FALSE),"v")</f>
        <v>Jueves</v>
      </c>
      <c r="G1060" s="65" t="str">
        <f>IFERROR(VLOOKUP(A1060,Ingreso!K:P,6,FALSE),"no esta ingresado")</f>
        <v>Turno C</v>
      </c>
      <c r="H1060" s="65">
        <f>IFERROR(IF('Informe Kelly'!H1053=$A$2,'Informe Kelly'!F1053,""),0)</f>
        <v>0.92776620370370377</v>
      </c>
      <c r="I1060" s="65" t="str">
        <f>IFERROR(IF('Informe Kelly'!H1053=$A$3,'Informe Kelly'!F1053,""),0)</f>
        <v/>
      </c>
      <c r="J1060" s="65" t="str">
        <f>IF(IFERROR(IF(E1060=E1059,0,(HLOOKUP(D1060,Ingreso!$AN$10:$AT$260,VLOOKUP(A1060,Ingreso!$AL$11:$AM$260,2,FALSE)))/24),0)=0,"",IFERROR(IF(E1060=E1059,0,(HLOOKUP(D1060,Ingreso!$AN$10:$AT$260,VLOOKUP(A1060,Ingreso!$AL$11:$AM$260,2,FALSE)))/24),0))</f>
        <v/>
      </c>
      <c r="K1060" s="65" t="str">
        <f>IF(IFERROR(IF(E1060=E1059,0,(HLOOKUP(C1060,Ingreso!$AW$10:$BC$260,VLOOKUP(A1060,Ingreso!$AL$11:$AM$260,2,FALSE)))/24),0)=0,"",IFERROR(IF(E1060=E1059,0,(HLOOKUP(C1060,Ingreso!$AW$10:$BC$260,VLOOKUP(A1060,Ingreso!$AL$11:$AM$260,2,FALSE)))/24),0))</f>
        <v/>
      </c>
      <c r="L1060" s="63">
        <f t="shared" si="32"/>
        <v>0.375</v>
      </c>
      <c r="M1060" s="63" t="str">
        <f>IF(IFERROR(IF(C1060=C1058,0,IF(E1060=E1059,0,IF(C1060=$R$2,HLOOKUP($R$2,Ingreso!$AW$10:$BC$260,VLOOKUP(A1060,Ingreso!AL:AM,2,FALSE),FALSE)/24,""))),"")=0,"",IFERROR(IF(C1060=C1058,0,IF(E1060=E1059,0,IF(C1060=$R$2,HLOOKUP($R$2,Ingreso!$AW$10:$BC$260,VLOOKUP(A1060,Ingreso!AL:AM,2,FALSE),FALSE)/24,""))),""))</f>
        <v/>
      </c>
      <c r="N1060" s="95" t="str">
        <f>IF(IFERROR(IF(C1060=C1058,0,IF(E1060=E1059,0,IF(C1060=$R$3,HLOOKUP($R$3,Ingreso!$AW$10:$BC$260,VLOOKUP(A1060,Ingreso!AL:AM,2,FALSE),FALSE)/24,""))),"")=0,"",IFERROR(IF(C1060=C1058,0,IF(E1060=E1059,0,IF(C1060=$R$3,HLOOKUP($R$3,Ingreso!$AW$10:$BC$260,VLOOKUP(A1060,Ingreso!AL:AM,2,FALSE),FALSE)/24,""))),""))</f>
        <v/>
      </c>
      <c r="O1060" s="95" t="str">
        <f>IF(IFERROR(IF(C1060=C1058,0,IF(E1060=E1059,0,IF(C1060=$R$4,HLOOKUP($R$4,Ingreso!$AW$10:$BC$260,VLOOKUP(A1060,Ingreso!AL:AM,2,FALSE),FALSE)/24,""))),"")=0,"",IFERROR(IF(C1060=C1058,0,IF(E1060=E1059,0,IF(C1060=$R$4,HLOOKUP($R$4,Ingreso!$AW$10:$BC$260,VLOOKUP(A1060,Ingreso!AL:AM,2,FALSE),FALSE)/24,""))),""))</f>
        <v/>
      </c>
      <c r="P1060" s="90"/>
      <c r="V1060"/>
      <c r="W1060" s="62"/>
      <c r="X1060" s="62"/>
      <c r="Y1060" s="62"/>
      <c r="Z1060" s="62"/>
      <c r="AA1060" s="62"/>
      <c r="AB1060" s="62"/>
      <c r="AC1060" s="62"/>
    </row>
    <row r="1061" spans="1:29">
      <c r="A1061" s="65" t="str">
        <f>IFERROR(VLOOKUP('Informe Kelly'!A1054,Base!A:B,2,FALSE),"")</f>
        <v>17.002.272-6</v>
      </c>
      <c r="B1061" s="65" t="str">
        <f>IFERROR(VLOOKUP('Informe Kelly'!A1054,Base!A:G,7,FALSE),"")</f>
        <v>GARCES MUÑOZ JUAN DIEGO ALEXIS</v>
      </c>
      <c r="C1061" s="69" t="str">
        <f>IF(G1061=$C$4,IF('Informe Kelly'!H1054='Control informe Kelly'!$A$2,TEXT(((LEFT('Informe Kelly'!E1054,2)*1)+1),"dd")&amp;"."&amp;MID('Informe Kelly'!E1054,4,2)&amp;"."&amp;RIGHT('Informe Kelly'!E1054,4),'Informe Kelly'!E1054),'Informe Kelly'!E1054)</f>
        <v>14.04.2011</v>
      </c>
      <c r="D1061" s="69" t="str">
        <f>IF('Informe Kelly'!E1054="","",'Informe Kelly'!E1054)</f>
        <v>14.04.2011</v>
      </c>
      <c r="E1061" s="72">
        <f t="shared" si="33"/>
        <v>539</v>
      </c>
      <c r="F1061" s="72" t="str">
        <f>IFERROR(HLOOKUP(C1061,Ingreso!$Q$8:$AD$9,2,FALSE),"v")</f>
        <v>Jueves</v>
      </c>
      <c r="G1061" s="65" t="str">
        <f>IFERROR(VLOOKUP(A1061,Ingreso!K:P,6,FALSE),"no esta ingresado")</f>
        <v>Turno C</v>
      </c>
      <c r="H1061" s="65" t="str">
        <f>IFERROR(IF('Informe Kelly'!H1054=$A$2,'Informe Kelly'!F1054,""),0)</f>
        <v/>
      </c>
      <c r="I1061" s="65">
        <f>IFERROR(IF('Informe Kelly'!H1054=$A$3,'Informe Kelly'!F1054,""),0)</f>
        <v>0.32793981481481482</v>
      </c>
      <c r="J1061" s="65" t="str">
        <f>IF(IFERROR(IF(E1061=E1060,0,(HLOOKUP(D1061,Ingreso!$AN$10:$AT$260,VLOOKUP(A1061,Ingreso!$AL$11:$AM$260,2,FALSE)))/24),0)=0,"",IFERROR(IF(E1061=E1060,0,(HLOOKUP(D1061,Ingreso!$AN$10:$AT$260,VLOOKUP(A1061,Ingreso!$AL$11:$AM$260,2,FALSE)))/24),0))</f>
        <v/>
      </c>
      <c r="K1061" s="65" t="str">
        <f>IF(IFERROR(IF(E1061=E1060,0,(HLOOKUP(C1061,Ingreso!$AW$10:$BC$260,VLOOKUP(A1061,Ingreso!$AL$11:$AM$260,2,FALSE)))/24),0)=0,"",IFERROR(IF(E1061=E1060,0,(HLOOKUP(C1061,Ingreso!$AW$10:$BC$260,VLOOKUP(A1061,Ingreso!$AL$11:$AM$260,2,FALSE)))/24),0))</f>
        <v/>
      </c>
      <c r="L1061" s="63">
        <f t="shared" si="32"/>
        <v>0</v>
      </c>
      <c r="M1061" s="63" t="str">
        <f>IF(IFERROR(IF(C1061=C1059,0,IF(E1061=E1060,0,IF(C1061=$R$2,HLOOKUP($R$2,Ingreso!$AW$10:$BC$260,VLOOKUP(A1061,Ingreso!AL:AM,2,FALSE),FALSE)/24,""))),"")=0,"",IFERROR(IF(C1061=C1059,0,IF(E1061=E1060,0,IF(C1061=$R$2,HLOOKUP($R$2,Ingreso!$AW$10:$BC$260,VLOOKUP(A1061,Ingreso!AL:AM,2,FALSE),FALSE)/24,""))),""))</f>
        <v/>
      </c>
      <c r="N1061" s="95" t="str">
        <f>IF(IFERROR(IF(C1061=C1059,0,IF(E1061=E1060,0,IF(C1061=$R$3,HLOOKUP($R$3,Ingreso!$AW$10:$BC$260,VLOOKUP(A1061,Ingreso!AL:AM,2,FALSE),FALSE)/24,""))),"")=0,"",IFERROR(IF(C1061=C1059,0,IF(E1061=E1060,0,IF(C1061=$R$3,HLOOKUP($R$3,Ingreso!$AW$10:$BC$260,VLOOKUP(A1061,Ingreso!AL:AM,2,FALSE),FALSE)/24,""))),""))</f>
        <v/>
      </c>
      <c r="O1061" s="95" t="str">
        <f>IF(IFERROR(IF(C1061=C1059,0,IF(E1061=E1060,0,IF(C1061=$R$4,HLOOKUP($R$4,Ingreso!$AW$10:$BC$260,VLOOKUP(A1061,Ingreso!AL:AM,2,FALSE),FALSE)/24,""))),"")=0,"",IFERROR(IF(C1061=C1059,0,IF(E1061=E1060,0,IF(C1061=$R$4,HLOOKUP($R$4,Ingreso!$AW$10:$BC$260,VLOOKUP(A1061,Ingreso!AL:AM,2,FALSE),FALSE)/24,""))),""))</f>
        <v/>
      </c>
      <c r="P1061" s="90"/>
      <c r="V1061"/>
      <c r="W1061" s="62"/>
      <c r="X1061" s="62"/>
      <c r="Y1061" s="62"/>
      <c r="Z1061" s="62"/>
      <c r="AA1061" s="62"/>
      <c r="AB1061" s="62"/>
      <c r="AC1061" s="62"/>
    </row>
    <row r="1062" spans="1:29">
      <c r="A1062" s="65" t="str">
        <f>IFERROR(VLOOKUP('Informe Kelly'!A1055,Base!A:B,2,FALSE),"")</f>
        <v>17.002.272-6</v>
      </c>
      <c r="B1062" s="65" t="str">
        <f>IFERROR(VLOOKUP('Informe Kelly'!A1055,Base!A:G,7,FALSE),"")</f>
        <v>GARCES MUÑOZ JUAN DIEGO ALEXIS</v>
      </c>
      <c r="C1062" s="69" t="str">
        <f>IF(G1062=$C$4,IF('Informe Kelly'!H1055='Control informe Kelly'!$A$2,TEXT(((LEFT('Informe Kelly'!E1055,2)*1)+1),"dd")&amp;"."&amp;MID('Informe Kelly'!E1055,4,2)&amp;"."&amp;RIGHT('Informe Kelly'!E1055,4),'Informe Kelly'!E1055),'Informe Kelly'!E1055)</f>
        <v>15.04.2011</v>
      </c>
      <c r="D1062" s="69" t="str">
        <f>IF('Informe Kelly'!E1055="","",'Informe Kelly'!E1055)</f>
        <v>14.04.2011</v>
      </c>
      <c r="E1062" s="72">
        <f t="shared" si="33"/>
        <v>540</v>
      </c>
      <c r="F1062" s="72" t="str">
        <f>IFERROR(HLOOKUP(C1062,Ingreso!$Q$8:$AD$9,2,FALSE),"v")</f>
        <v>Viernes</v>
      </c>
      <c r="G1062" s="65" t="str">
        <f>IFERROR(VLOOKUP(A1062,Ingreso!K:P,6,FALSE),"no esta ingresado")</f>
        <v>Turno C</v>
      </c>
      <c r="H1062" s="65">
        <f>IFERROR(IF('Informe Kelly'!H1055=$A$2,'Informe Kelly'!F1055,""),0)</f>
        <v>0.9293865740740741</v>
      </c>
      <c r="I1062" s="65" t="str">
        <f>IFERROR(IF('Informe Kelly'!H1055=$A$3,'Informe Kelly'!F1055,""),0)</f>
        <v/>
      </c>
      <c r="J1062" s="65" t="str">
        <f>IF(IFERROR(IF(E1062=E1061,0,(HLOOKUP(D1062,Ingreso!$AN$10:$AT$260,VLOOKUP(A1062,Ingreso!$AL$11:$AM$260,2,FALSE)))/24),0)=0,"",IFERROR(IF(E1062=E1061,0,(HLOOKUP(D1062,Ingreso!$AN$10:$AT$260,VLOOKUP(A1062,Ingreso!$AL$11:$AM$260,2,FALSE)))/24),0))</f>
        <v/>
      </c>
      <c r="K1062" s="65" t="str">
        <f>IF(IFERROR(IF(E1062=E1061,0,(HLOOKUP(C1062,Ingreso!$AW$10:$BC$260,VLOOKUP(A1062,Ingreso!$AL$11:$AM$260,2,FALSE)))/24),0)=0,"",IFERROR(IF(E1062=E1061,0,(HLOOKUP(C1062,Ingreso!$AW$10:$BC$260,VLOOKUP(A1062,Ingreso!$AL$11:$AM$260,2,FALSE)))/24),0))</f>
        <v/>
      </c>
      <c r="L1062" s="63">
        <f t="shared" si="32"/>
        <v>0.375</v>
      </c>
      <c r="M1062" s="63" t="str">
        <f>IF(IFERROR(IF(C1062=C1060,0,IF(E1062=E1061,0,IF(C1062=$R$2,HLOOKUP($R$2,Ingreso!$AW$10:$BC$260,VLOOKUP(A1062,Ingreso!AL:AM,2,FALSE),FALSE)/24,""))),"")=0,"",IFERROR(IF(C1062=C1060,0,IF(E1062=E1061,0,IF(C1062=$R$2,HLOOKUP($R$2,Ingreso!$AW$10:$BC$260,VLOOKUP(A1062,Ingreso!AL:AM,2,FALSE),FALSE)/24,""))),""))</f>
        <v/>
      </c>
      <c r="N1062" s="95" t="str">
        <f>IF(IFERROR(IF(C1062=C1060,0,IF(E1062=E1061,0,IF(C1062=$R$3,HLOOKUP($R$3,Ingreso!$AW$10:$BC$260,VLOOKUP(A1062,Ingreso!AL:AM,2,FALSE),FALSE)/24,""))),"")=0,"",IFERROR(IF(C1062=C1060,0,IF(E1062=E1061,0,IF(C1062=$R$3,HLOOKUP($R$3,Ingreso!$AW$10:$BC$260,VLOOKUP(A1062,Ingreso!AL:AM,2,FALSE),FALSE)/24,""))),""))</f>
        <v/>
      </c>
      <c r="O1062" s="95" t="str">
        <f>IF(IFERROR(IF(C1062=C1060,0,IF(E1062=E1061,0,IF(C1062=$R$4,HLOOKUP($R$4,Ingreso!$AW$10:$BC$260,VLOOKUP(A1062,Ingreso!AL:AM,2,FALSE),FALSE)/24,""))),"")=0,"",IFERROR(IF(C1062=C1060,0,IF(E1062=E1061,0,IF(C1062=$R$4,HLOOKUP($R$4,Ingreso!$AW$10:$BC$260,VLOOKUP(A1062,Ingreso!AL:AM,2,FALSE),FALSE)/24,""))),""))</f>
        <v/>
      </c>
      <c r="P1062" s="90"/>
      <c r="V1062"/>
      <c r="W1062" s="62"/>
      <c r="X1062" s="62"/>
      <c r="Y1062" s="62"/>
      <c r="Z1062" s="62"/>
      <c r="AA1062" s="62"/>
      <c r="AB1062" s="62"/>
      <c r="AC1062" s="62"/>
    </row>
    <row r="1063" spans="1:29">
      <c r="A1063" s="65" t="str">
        <f>IFERROR(VLOOKUP('Informe Kelly'!A1056,Base!A:B,2,FALSE),"")</f>
        <v>17.002.272-6</v>
      </c>
      <c r="B1063" s="65" t="str">
        <f>IFERROR(VLOOKUP('Informe Kelly'!A1056,Base!A:G,7,FALSE),"")</f>
        <v>GARCES MUÑOZ JUAN DIEGO ALEXIS</v>
      </c>
      <c r="C1063" s="69" t="str">
        <f>IF(G1063=$C$4,IF('Informe Kelly'!H1056='Control informe Kelly'!$A$2,TEXT(((LEFT('Informe Kelly'!E1056,2)*1)+1),"dd")&amp;"."&amp;MID('Informe Kelly'!E1056,4,2)&amp;"."&amp;RIGHT('Informe Kelly'!E1056,4),'Informe Kelly'!E1056),'Informe Kelly'!E1056)</f>
        <v>15.04.2011</v>
      </c>
      <c r="D1063" s="69" t="str">
        <f>IF('Informe Kelly'!E1056="","",'Informe Kelly'!E1056)</f>
        <v>15.04.2011</v>
      </c>
      <c r="E1063" s="72">
        <f t="shared" si="33"/>
        <v>540</v>
      </c>
      <c r="F1063" s="72" t="str">
        <f>IFERROR(HLOOKUP(C1063,Ingreso!$Q$8:$AD$9,2,FALSE),"v")</f>
        <v>Viernes</v>
      </c>
      <c r="G1063" s="65" t="str">
        <f>IFERROR(VLOOKUP(A1063,Ingreso!K:P,6,FALSE),"no esta ingresado")</f>
        <v>Turno C</v>
      </c>
      <c r="H1063" s="65" t="str">
        <f>IFERROR(IF('Informe Kelly'!H1056=$A$2,'Informe Kelly'!F1056,""),0)</f>
        <v/>
      </c>
      <c r="I1063" s="65">
        <f>IFERROR(IF('Informe Kelly'!H1056=$A$3,'Informe Kelly'!F1056,""),0)</f>
        <v>0.32817129629629632</v>
      </c>
      <c r="J1063" s="65" t="str">
        <f>IF(IFERROR(IF(E1063=E1062,0,(HLOOKUP(D1063,Ingreso!$AN$10:$AT$260,VLOOKUP(A1063,Ingreso!$AL$11:$AM$260,2,FALSE)))/24),0)=0,"",IFERROR(IF(E1063=E1062,0,(HLOOKUP(D1063,Ingreso!$AN$10:$AT$260,VLOOKUP(A1063,Ingreso!$AL$11:$AM$260,2,FALSE)))/24),0))</f>
        <v/>
      </c>
      <c r="K1063" s="65" t="str">
        <f>IF(IFERROR(IF(E1063=E1062,0,(HLOOKUP(C1063,Ingreso!$AW$10:$BC$260,VLOOKUP(A1063,Ingreso!$AL$11:$AM$260,2,FALSE)))/24),0)=0,"",IFERROR(IF(E1063=E1062,0,(HLOOKUP(C1063,Ingreso!$AW$10:$BC$260,VLOOKUP(A1063,Ingreso!$AL$11:$AM$260,2,FALSE)))/24),0))</f>
        <v/>
      </c>
      <c r="L1063" s="63">
        <f t="shared" si="32"/>
        <v>0</v>
      </c>
      <c r="M1063" s="63" t="str">
        <f>IF(IFERROR(IF(C1063=C1061,0,IF(E1063=E1062,0,IF(C1063=$R$2,HLOOKUP($R$2,Ingreso!$AW$10:$BC$260,VLOOKUP(A1063,Ingreso!AL:AM,2,FALSE),FALSE)/24,""))),"")=0,"",IFERROR(IF(C1063=C1061,0,IF(E1063=E1062,0,IF(C1063=$R$2,HLOOKUP($R$2,Ingreso!$AW$10:$BC$260,VLOOKUP(A1063,Ingreso!AL:AM,2,FALSE),FALSE)/24,""))),""))</f>
        <v/>
      </c>
      <c r="N1063" s="95" t="str">
        <f>IF(IFERROR(IF(C1063=C1061,0,IF(E1063=E1062,0,IF(C1063=$R$3,HLOOKUP($R$3,Ingreso!$AW$10:$BC$260,VLOOKUP(A1063,Ingreso!AL:AM,2,FALSE),FALSE)/24,""))),"")=0,"",IFERROR(IF(C1063=C1061,0,IF(E1063=E1062,0,IF(C1063=$R$3,HLOOKUP($R$3,Ingreso!$AW$10:$BC$260,VLOOKUP(A1063,Ingreso!AL:AM,2,FALSE),FALSE)/24,""))),""))</f>
        <v/>
      </c>
      <c r="O1063" s="95" t="str">
        <f>IF(IFERROR(IF(C1063=C1061,0,IF(E1063=E1062,0,IF(C1063=$R$4,HLOOKUP($R$4,Ingreso!$AW$10:$BC$260,VLOOKUP(A1063,Ingreso!AL:AM,2,FALSE),FALSE)/24,""))),"")=0,"",IFERROR(IF(C1063=C1061,0,IF(E1063=E1062,0,IF(C1063=$R$4,HLOOKUP($R$4,Ingreso!$AW$10:$BC$260,VLOOKUP(A1063,Ingreso!AL:AM,2,FALSE),FALSE)/24,""))),""))</f>
        <v/>
      </c>
      <c r="P1063" s="90"/>
      <c r="V1063"/>
      <c r="W1063" s="62"/>
      <c r="X1063" s="62"/>
      <c r="Y1063" s="62"/>
      <c r="Z1063" s="62"/>
      <c r="AA1063" s="62"/>
      <c r="AB1063" s="62"/>
      <c r="AC1063" s="62"/>
    </row>
    <row r="1064" spans="1:29">
      <c r="A1064" s="65" t="str">
        <f>IFERROR(VLOOKUP('Informe Kelly'!A1057,Base!A:B,2,FALSE),"")</f>
        <v>17.002.272-6</v>
      </c>
      <c r="B1064" s="65" t="str">
        <f>IFERROR(VLOOKUP('Informe Kelly'!A1057,Base!A:G,7,FALSE),"")</f>
        <v>GARCES MUÑOZ JUAN DIEGO ALEXIS</v>
      </c>
      <c r="C1064" s="69" t="str">
        <f>IF(G1064=$C$4,IF('Informe Kelly'!H1057='Control informe Kelly'!$A$2,TEXT(((LEFT('Informe Kelly'!E1057,2)*1)+1),"dd")&amp;"."&amp;MID('Informe Kelly'!E1057,4,2)&amp;"."&amp;RIGHT('Informe Kelly'!E1057,4),'Informe Kelly'!E1057),'Informe Kelly'!E1057)</f>
        <v>16.04.2011</v>
      </c>
      <c r="D1064" s="69" t="str">
        <f>IF('Informe Kelly'!E1057="","",'Informe Kelly'!E1057)</f>
        <v>15.04.2011</v>
      </c>
      <c r="E1064" s="72">
        <f t="shared" si="33"/>
        <v>541</v>
      </c>
      <c r="F1064" s="72" t="str">
        <f>IFERROR(HLOOKUP(C1064,Ingreso!$Q$8:$AD$9,2,FALSE),"v")</f>
        <v>Sábado</v>
      </c>
      <c r="G1064" s="65" t="str">
        <f>IFERROR(VLOOKUP(A1064,Ingreso!K:P,6,FALSE),"no esta ingresado")</f>
        <v>Turno C</v>
      </c>
      <c r="H1064" s="65">
        <f>IFERROR(IF('Informe Kelly'!H1057=$A$2,'Informe Kelly'!F1057,""),0)</f>
        <v>0.92643518518518519</v>
      </c>
      <c r="I1064" s="65" t="str">
        <f>IFERROR(IF('Informe Kelly'!H1057=$A$3,'Informe Kelly'!F1057,""),0)</f>
        <v/>
      </c>
      <c r="J1064" s="65" t="str">
        <f>IF(IFERROR(IF(E1064=E1063,0,(HLOOKUP(D1064,Ingreso!$AN$10:$AT$260,VLOOKUP(A1064,Ingreso!$AL$11:$AM$260,2,FALSE)))/24),0)=0,"",IFERROR(IF(E1064=E1063,0,(HLOOKUP(D1064,Ingreso!$AN$10:$AT$260,VLOOKUP(A1064,Ingreso!$AL$11:$AM$260,2,FALSE)))/24),0))</f>
        <v/>
      </c>
      <c r="K1064" s="65" t="str">
        <f>IF(IFERROR(IF(E1064=E1063,0,(HLOOKUP(C1064,Ingreso!$AW$10:$BC$260,VLOOKUP(A1064,Ingreso!$AL$11:$AM$260,2,FALSE)))/24),0)=0,"",IFERROR(IF(E1064=E1063,0,(HLOOKUP(C1064,Ingreso!$AW$10:$BC$260,VLOOKUP(A1064,Ingreso!$AL$11:$AM$260,2,FALSE)))/24),0))</f>
        <v/>
      </c>
      <c r="L1064" s="63">
        <f t="shared" si="32"/>
        <v>0.375</v>
      </c>
      <c r="M1064" s="63" t="str">
        <f>IF(IFERROR(IF(C1064=C1062,0,IF(E1064=E1063,0,IF(C1064=$R$2,HLOOKUP($R$2,Ingreso!$AW$10:$BC$260,VLOOKUP(A1064,Ingreso!AL:AM,2,FALSE),FALSE)/24,""))),"")=0,"",IFERROR(IF(C1064=C1062,0,IF(E1064=E1063,0,IF(C1064=$R$2,HLOOKUP($R$2,Ingreso!$AW$10:$BC$260,VLOOKUP(A1064,Ingreso!AL:AM,2,FALSE),FALSE)/24,""))),""))</f>
        <v/>
      </c>
      <c r="N1064" s="95" t="str">
        <f>IF(IFERROR(IF(C1064=C1062,0,IF(E1064=E1063,0,IF(C1064=$R$3,HLOOKUP($R$3,Ingreso!$AW$10:$BC$260,VLOOKUP(A1064,Ingreso!AL:AM,2,FALSE),FALSE)/24,""))),"")=0,"",IFERROR(IF(C1064=C1062,0,IF(E1064=E1063,0,IF(C1064=$R$3,HLOOKUP($R$3,Ingreso!$AW$10:$BC$260,VLOOKUP(A1064,Ingreso!AL:AM,2,FALSE),FALSE)/24,""))),""))</f>
        <v/>
      </c>
      <c r="O1064" s="95" t="str">
        <f>IF(IFERROR(IF(C1064=C1062,0,IF(E1064=E1063,0,IF(C1064=$R$4,HLOOKUP($R$4,Ingreso!$AW$10:$BC$260,VLOOKUP(A1064,Ingreso!AL:AM,2,FALSE),FALSE)/24,""))),"")=0,"",IFERROR(IF(C1064=C1062,0,IF(E1064=E1063,0,IF(C1064=$R$4,HLOOKUP($R$4,Ingreso!$AW$10:$BC$260,VLOOKUP(A1064,Ingreso!AL:AM,2,FALSE),FALSE)/24,""))),""))</f>
        <v/>
      </c>
      <c r="P1064" s="90"/>
      <c r="V1064"/>
      <c r="W1064" s="62"/>
      <c r="X1064" s="62"/>
      <c r="Y1064" s="62"/>
      <c r="Z1064" s="62"/>
      <c r="AA1064" s="62"/>
      <c r="AB1064" s="62"/>
      <c r="AC1064" s="62"/>
    </row>
    <row r="1065" spans="1:29">
      <c r="A1065" s="65" t="str">
        <f>IFERROR(VLOOKUP('Informe Kelly'!A1058,Base!A:B,2,FALSE),"")</f>
        <v>17.002.272-6</v>
      </c>
      <c r="B1065" s="65" t="str">
        <f>IFERROR(VLOOKUP('Informe Kelly'!A1058,Base!A:G,7,FALSE),"")</f>
        <v>GARCES MUÑOZ JUAN DIEGO ALEXIS</v>
      </c>
      <c r="C1065" s="69" t="str">
        <f>IF(G1065=$C$4,IF('Informe Kelly'!H1058='Control informe Kelly'!$A$2,TEXT(((LEFT('Informe Kelly'!E1058,2)*1)+1),"dd")&amp;"."&amp;MID('Informe Kelly'!E1058,4,2)&amp;"."&amp;RIGHT('Informe Kelly'!E1058,4),'Informe Kelly'!E1058),'Informe Kelly'!E1058)</f>
        <v>16.04.2011</v>
      </c>
      <c r="D1065" s="69" t="str">
        <f>IF('Informe Kelly'!E1058="","",'Informe Kelly'!E1058)</f>
        <v>16.04.2011</v>
      </c>
      <c r="E1065" s="72">
        <f t="shared" si="33"/>
        <v>541</v>
      </c>
      <c r="F1065" s="72" t="str">
        <f>IFERROR(HLOOKUP(C1065,Ingreso!$Q$8:$AD$9,2,FALSE),"v")</f>
        <v>Sábado</v>
      </c>
      <c r="G1065" s="65" t="str">
        <f>IFERROR(VLOOKUP(A1065,Ingreso!K:P,6,FALSE),"no esta ingresado")</f>
        <v>Turno C</v>
      </c>
      <c r="H1065" s="65" t="str">
        <f>IFERROR(IF('Informe Kelly'!H1058=$A$2,'Informe Kelly'!F1058,""),0)</f>
        <v/>
      </c>
      <c r="I1065" s="65">
        <f>IFERROR(IF('Informe Kelly'!H1058=$A$3,'Informe Kelly'!F1058,""),0)</f>
        <v>0.32981481481481484</v>
      </c>
      <c r="J1065" s="65" t="str">
        <f>IF(IFERROR(IF(E1065=E1064,0,(HLOOKUP(D1065,Ingreso!$AN$10:$AT$260,VLOOKUP(A1065,Ingreso!$AL$11:$AM$260,2,FALSE)))/24),0)=0,"",IFERROR(IF(E1065=E1064,0,(HLOOKUP(D1065,Ingreso!$AN$10:$AT$260,VLOOKUP(A1065,Ingreso!$AL$11:$AM$260,2,FALSE)))/24),0))</f>
        <v/>
      </c>
      <c r="K1065" s="65" t="str">
        <f>IF(IFERROR(IF(E1065=E1064,0,(HLOOKUP(C1065,Ingreso!$AW$10:$BC$260,VLOOKUP(A1065,Ingreso!$AL$11:$AM$260,2,FALSE)))/24),0)=0,"",IFERROR(IF(E1065=E1064,0,(HLOOKUP(C1065,Ingreso!$AW$10:$BC$260,VLOOKUP(A1065,Ingreso!$AL$11:$AM$260,2,FALSE)))/24),0))</f>
        <v/>
      </c>
      <c r="L1065" s="63">
        <f t="shared" si="32"/>
        <v>0</v>
      </c>
      <c r="M1065" s="63" t="str">
        <f>IF(IFERROR(IF(C1065=C1063,0,IF(E1065=E1064,0,IF(C1065=$R$2,HLOOKUP($R$2,Ingreso!$AW$10:$BC$260,VLOOKUP(A1065,Ingreso!AL:AM,2,FALSE),FALSE)/24,""))),"")=0,"",IFERROR(IF(C1065=C1063,0,IF(E1065=E1064,0,IF(C1065=$R$2,HLOOKUP($R$2,Ingreso!$AW$10:$BC$260,VLOOKUP(A1065,Ingreso!AL:AM,2,FALSE),FALSE)/24,""))),""))</f>
        <v/>
      </c>
      <c r="N1065" s="95" t="str">
        <f>IF(IFERROR(IF(C1065=C1063,0,IF(E1065=E1064,0,IF(C1065=$R$3,HLOOKUP($R$3,Ingreso!$AW$10:$BC$260,VLOOKUP(A1065,Ingreso!AL:AM,2,FALSE),FALSE)/24,""))),"")=0,"",IFERROR(IF(C1065=C1063,0,IF(E1065=E1064,0,IF(C1065=$R$3,HLOOKUP($R$3,Ingreso!$AW$10:$BC$260,VLOOKUP(A1065,Ingreso!AL:AM,2,FALSE),FALSE)/24,""))),""))</f>
        <v/>
      </c>
      <c r="O1065" s="95" t="str">
        <f>IF(IFERROR(IF(C1065=C1063,0,IF(E1065=E1064,0,IF(C1065=$R$4,HLOOKUP($R$4,Ingreso!$AW$10:$BC$260,VLOOKUP(A1065,Ingreso!AL:AM,2,FALSE),FALSE)/24,""))),"")=0,"",IFERROR(IF(C1065=C1063,0,IF(E1065=E1064,0,IF(C1065=$R$4,HLOOKUP($R$4,Ingreso!$AW$10:$BC$260,VLOOKUP(A1065,Ingreso!AL:AM,2,FALSE),FALSE)/24,""))),""))</f>
        <v/>
      </c>
      <c r="P1065" s="90"/>
      <c r="V1065"/>
      <c r="W1065" s="62"/>
      <c r="X1065" s="62"/>
      <c r="Y1065" s="62"/>
      <c r="Z1065" s="62"/>
      <c r="AA1065" s="62"/>
      <c r="AB1065" s="62"/>
      <c r="AC1065" s="62"/>
    </row>
    <row r="1066" spans="1:29">
      <c r="A1066" s="65" t="str">
        <f>IFERROR(VLOOKUP('Informe Kelly'!A1059,Base!A:B,2,FALSE),"")</f>
        <v>17.065.312-2</v>
      </c>
      <c r="B1066" s="65" t="str">
        <f>IFERROR(VLOOKUP('Informe Kelly'!A1059,Base!A:G,7,FALSE),"")</f>
        <v>GALVEZ CERNA ARIEL ALFREDO</v>
      </c>
      <c r="C1066" s="69" t="str">
        <f>IF(G1066=$C$4,IF('Informe Kelly'!H1059='Control informe Kelly'!$A$2,TEXT(((LEFT('Informe Kelly'!E1059,2)*1)+1),"dd")&amp;"."&amp;MID('Informe Kelly'!E1059,4,2)&amp;"."&amp;RIGHT('Informe Kelly'!E1059,4),'Informe Kelly'!E1059),'Informe Kelly'!E1059)</f>
        <v>11.04.2011</v>
      </c>
      <c r="D1066" s="69" t="str">
        <f>IF('Informe Kelly'!E1059="","",'Informe Kelly'!E1059)</f>
        <v>11.04.2011</v>
      </c>
      <c r="E1066" s="72">
        <f t="shared" si="33"/>
        <v>542</v>
      </c>
      <c r="F1066" s="72" t="str">
        <f>IFERROR(HLOOKUP(C1066,Ingreso!$Q$8:$AD$9,2,FALSE),"v")</f>
        <v>Lunes</v>
      </c>
      <c r="G1066" s="65" t="str">
        <f>IFERROR(VLOOKUP(A1066,Ingreso!K:P,6,FALSE),"no esta ingresado")</f>
        <v>Turno A</v>
      </c>
      <c r="H1066" s="65" t="str">
        <f>IFERROR(IF('Informe Kelly'!H1059=$A$2,'Informe Kelly'!F1059,""),0)</f>
        <v/>
      </c>
      <c r="I1066" s="65">
        <f>IFERROR(IF('Informe Kelly'!H1059=$A$3,'Informe Kelly'!F1059,""),0)</f>
        <v>0.62557870370370372</v>
      </c>
      <c r="J1066" s="65" t="str">
        <f>IF(IFERROR(IF(E1066=E1065,0,(HLOOKUP(D1066,Ingreso!$AN$10:$AT$260,VLOOKUP(A1066,Ingreso!$AL$11:$AM$260,2,FALSE)))/24),0)=0,"",IFERROR(IF(E1066=E1065,0,(HLOOKUP(D1066,Ingreso!$AN$10:$AT$260,VLOOKUP(A1066,Ingreso!$AL$11:$AM$260,2,FALSE)))/24),0))</f>
        <v/>
      </c>
      <c r="K1066" s="65" t="str">
        <f>IF(IFERROR(IF(E1066=E1065,0,(HLOOKUP(C1066,Ingreso!$AW$10:$BC$260,VLOOKUP(A1066,Ingreso!$AL$11:$AM$260,2,FALSE)))/24),0)=0,"",IFERROR(IF(E1066=E1065,0,(HLOOKUP(C1066,Ingreso!$AW$10:$BC$260,VLOOKUP(A1066,Ingreso!$AL$11:$AM$260,2,FALSE)))/24),0))</f>
        <v/>
      </c>
      <c r="L1066" s="63">
        <f t="shared" si="32"/>
        <v>0.3125</v>
      </c>
      <c r="M1066" s="63" t="str">
        <f>IF(IFERROR(IF(C1066=C1064,0,IF(E1066=E1065,0,IF(C1066=$R$2,HLOOKUP($R$2,Ingreso!$AW$10:$BC$260,VLOOKUP(A1066,Ingreso!AL:AM,2,FALSE),FALSE)/24,""))),"")=0,"",IFERROR(IF(C1066=C1064,0,IF(E1066=E1065,0,IF(C1066=$R$2,HLOOKUP($R$2,Ingreso!$AW$10:$BC$260,VLOOKUP(A1066,Ingreso!AL:AM,2,FALSE),FALSE)/24,""))),""))</f>
        <v/>
      </c>
      <c r="N1066" s="95" t="str">
        <f>IF(IFERROR(IF(C1066=C1064,0,IF(E1066=E1065,0,IF(C1066=$R$3,HLOOKUP($R$3,Ingreso!$AW$10:$BC$260,VLOOKUP(A1066,Ingreso!AL:AM,2,FALSE),FALSE)/24,""))),"")=0,"",IFERROR(IF(C1066=C1064,0,IF(E1066=E1065,0,IF(C1066=$R$3,HLOOKUP($R$3,Ingreso!$AW$10:$BC$260,VLOOKUP(A1066,Ingreso!AL:AM,2,FALSE),FALSE)/24,""))),""))</f>
        <v/>
      </c>
      <c r="O1066" s="95" t="str">
        <f>IF(IFERROR(IF(C1066=C1064,0,IF(E1066=E1065,0,IF(C1066=$R$4,HLOOKUP($R$4,Ingreso!$AW$10:$BC$260,VLOOKUP(A1066,Ingreso!AL:AM,2,FALSE),FALSE)/24,""))),"")=0,"",IFERROR(IF(C1066=C1064,0,IF(E1066=E1065,0,IF(C1066=$R$4,HLOOKUP($R$4,Ingreso!$AW$10:$BC$260,VLOOKUP(A1066,Ingreso!AL:AM,2,FALSE),FALSE)/24,""))),""))</f>
        <v/>
      </c>
      <c r="P1066" s="90"/>
      <c r="V1066"/>
      <c r="W1066" s="62"/>
      <c r="X1066" s="62"/>
      <c r="Y1066" s="62"/>
      <c r="Z1066" s="62"/>
      <c r="AA1066" s="62"/>
      <c r="AB1066" s="62"/>
      <c r="AC1066" s="62"/>
    </row>
    <row r="1067" spans="1:29">
      <c r="A1067" s="65" t="str">
        <f>IFERROR(VLOOKUP('Informe Kelly'!A1060,Base!A:B,2,FALSE),"")</f>
        <v>17.065.312-2</v>
      </c>
      <c r="B1067" s="65" t="str">
        <f>IFERROR(VLOOKUP('Informe Kelly'!A1060,Base!A:G,7,FALSE),"")</f>
        <v>GALVEZ CERNA ARIEL ALFREDO</v>
      </c>
      <c r="C1067" s="69" t="str">
        <f>IF(G1067=$C$4,IF('Informe Kelly'!H1060='Control informe Kelly'!$A$2,TEXT(((LEFT('Informe Kelly'!E1060,2)*1)+1),"dd")&amp;"."&amp;MID('Informe Kelly'!E1060,4,2)&amp;"."&amp;RIGHT('Informe Kelly'!E1060,4),'Informe Kelly'!E1060),'Informe Kelly'!E1060)</f>
        <v>11.04.2011</v>
      </c>
      <c r="D1067" s="69" t="str">
        <f>IF('Informe Kelly'!E1060="","",'Informe Kelly'!E1060)</f>
        <v>11.04.2011</v>
      </c>
      <c r="E1067" s="72">
        <f t="shared" si="33"/>
        <v>542</v>
      </c>
      <c r="F1067" s="72" t="str">
        <f>IFERROR(HLOOKUP(C1067,Ingreso!$Q$8:$AD$9,2,FALSE),"v")</f>
        <v>Lunes</v>
      </c>
      <c r="G1067" s="65" t="str">
        <f>IFERROR(VLOOKUP(A1067,Ingreso!K:P,6,FALSE),"no esta ingresado")</f>
        <v>Turno A</v>
      </c>
      <c r="H1067" s="65">
        <f>IFERROR(IF('Informe Kelly'!H1060=$A$2,'Informe Kelly'!F1060,""),0)</f>
        <v>0.32563657407407409</v>
      </c>
      <c r="I1067" s="65" t="str">
        <f>IFERROR(IF('Informe Kelly'!H1060=$A$3,'Informe Kelly'!F1060,""),0)</f>
        <v/>
      </c>
      <c r="J1067" s="65" t="str">
        <f>IF(IFERROR(IF(E1067=E1066,0,(HLOOKUP(D1067,Ingreso!$AN$10:$AT$260,VLOOKUP(A1067,Ingreso!$AL$11:$AM$260,2,FALSE)))/24),0)=0,"",IFERROR(IF(E1067=E1066,0,(HLOOKUP(D1067,Ingreso!$AN$10:$AT$260,VLOOKUP(A1067,Ingreso!$AL$11:$AM$260,2,FALSE)))/24),0))</f>
        <v/>
      </c>
      <c r="K1067" s="65" t="str">
        <f>IF(IFERROR(IF(E1067=E1066,0,(HLOOKUP(C1067,Ingreso!$AW$10:$BC$260,VLOOKUP(A1067,Ingreso!$AL$11:$AM$260,2,FALSE)))/24),0)=0,"",IFERROR(IF(E1067=E1066,0,(HLOOKUP(C1067,Ingreso!$AW$10:$BC$260,VLOOKUP(A1067,Ingreso!$AL$11:$AM$260,2,FALSE)))/24),0))</f>
        <v/>
      </c>
      <c r="L1067" s="63">
        <f t="shared" si="32"/>
        <v>0</v>
      </c>
      <c r="M1067" s="63" t="str">
        <f>IF(IFERROR(IF(C1067=C1065,0,IF(E1067=E1066,0,IF(C1067=$R$2,HLOOKUP($R$2,Ingreso!$AW$10:$BC$260,VLOOKUP(A1067,Ingreso!AL:AM,2,FALSE),FALSE)/24,""))),"")=0,"",IFERROR(IF(C1067=C1065,0,IF(E1067=E1066,0,IF(C1067=$R$2,HLOOKUP($R$2,Ingreso!$AW$10:$BC$260,VLOOKUP(A1067,Ingreso!AL:AM,2,FALSE),FALSE)/24,""))),""))</f>
        <v/>
      </c>
      <c r="N1067" s="95" t="str">
        <f>IF(IFERROR(IF(C1067=C1065,0,IF(E1067=E1066,0,IF(C1067=$R$3,HLOOKUP($R$3,Ingreso!$AW$10:$BC$260,VLOOKUP(A1067,Ingreso!AL:AM,2,FALSE),FALSE)/24,""))),"")=0,"",IFERROR(IF(C1067=C1065,0,IF(E1067=E1066,0,IF(C1067=$R$3,HLOOKUP($R$3,Ingreso!$AW$10:$BC$260,VLOOKUP(A1067,Ingreso!AL:AM,2,FALSE),FALSE)/24,""))),""))</f>
        <v/>
      </c>
      <c r="O1067" s="95" t="str">
        <f>IF(IFERROR(IF(C1067=C1065,0,IF(E1067=E1066,0,IF(C1067=$R$4,HLOOKUP($R$4,Ingreso!$AW$10:$BC$260,VLOOKUP(A1067,Ingreso!AL:AM,2,FALSE),FALSE)/24,""))),"")=0,"",IFERROR(IF(C1067=C1065,0,IF(E1067=E1066,0,IF(C1067=$R$4,HLOOKUP($R$4,Ingreso!$AW$10:$BC$260,VLOOKUP(A1067,Ingreso!AL:AM,2,FALSE),FALSE)/24,""))),""))</f>
        <v/>
      </c>
      <c r="P1067" s="90"/>
      <c r="V1067"/>
      <c r="W1067" s="62"/>
      <c r="X1067" s="62"/>
      <c r="Y1067" s="62"/>
      <c r="Z1067" s="62"/>
      <c r="AA1067" s="62"/>
      <c r="AB1067" s="62"/>
      <c r="AC1067" s="62"/>
    </row>
    <row r="1068" spans="1:29">
      <c r="A1068" s="65" t="str">
        <f>IFERROR(VLOOKUP('Informe Kelly'!A1061,Base!A:B,2,FALSE),"")</f>
        <v>17.065.312-2</v>
      </c>
      <c r="B1068" s="65" t="str">
        <f>IFERROR(VLOOKUP('Informe Kelly'!A1061,Base!A:G,7,FALSE),"")</f>
        <v>GALVEZ CERNA ARIEL ALFREDO</v>
      </c>
      <c r="C1068" s="69" t="str">
        <f>IF(G1068=$C$4,IF('Informe Kelly'!H1061='Control informe Kelly'!$A$2,TEXT(((LEFT('Informe Kelly'!E1061,2)*1)+1),"dd")&amp;"."&amp;MID('Informe Kelly'!E1061,4,2)&amp;"."&amp;RIGHT('Informe Kelly'!E1061,4),'Informe Kelly'!E1061),'Informe Kelly'!E1061)</f>
        <v>12.04.2011</v>
      </c>
      <c r="D1068" s="69" t="str">
        <f>IF('Informe Kelly'!E1061="","",'Informe Kelly'!E1061)</f>
        <v>12.04.2011</v>
      </c>
      <c r="E1068" s="72">
        <f t="shared" si="33"/>
        <v>543</v>
      </c>
      <c r="F1068" s="72" t="str">
        <f>IFERROR(HLOOKUP(C1068,Ingreso!$Q$8:$AD$9,2,FALSE),"v")</f>
        <v>Martes</v>
      </c>
      <c r="G1068" s="65" t="str">
        <f>IFERROR(VLOOKUP(A1068,Ingreso!K:P,6,FALSE),"no esta ingresado")</f>
        <v>Turno A</v>
      </c>
      <c r="H1068" s="65" t="str">
        <f>IFERROR(IF('Informe Kelly'!H1061=$A$2,'Informe Kelly'!F1061,""),0)</f>
        <v/>
      </c>
      <c r="I1068" s="65">
        <f>IFERROR(IF('Informe Kelly'!H1061=$A$3,'Informe Kelly'!F1061,""),0)</f>
        <v>0.62969907407407411</v>
      </c>
      <c r="J1068" s="65" t="str">
        <f>IF(IFERROR(IF(E1068=E1067,0,(HLOOKUP(D1068,Ingreso!$AN$10:$AT$260,VLOOKUP(A1068,Ingreso!$AL$11:$AM$260,2,FALSE)))/24),0)=0,"",IFERROR(IF(E1068=E1067,0,(HLOOKUP(D1068,Ingreso!$AN$10:$AT$260,VLOOKUP(A1068,Ingreso!$AL$11:$AM$260,2,FALSE)))/24),0))</f>
        <v/>
      </c>
      <c r="K1068" s="65" t="str">
        <f>IF(IFERROR(IF(E1068=E1067,0,(HLOOKUP(C1068,Ingreso!$AW$10:$BC$260,VLOOKUP(A1068,Ingreso!$AL$11:$AM$260,2,FALSE)))/24),0)=0,"",IFERROR(IF(E1068=E1067,0,(HLOOKUP(C1068,Ingreso!$AW$10:$BC$260,VLOOKUP(A1068,Ingreso!$AL$11:$AM$260,2,FALSE)))/24),0))</f>
        <v/>
      </c>
      <c r="L1068" s="63">
        <f t="shared" si="32"/>
        <v>0.3125</v>
      </c>
      <c r="M1068" s="63" t="str">
        <f>IF(IFERROR(IF(C1068=C1066,0,IF(E1068=E1067,0,IF(C1068=$R$2,HLOOKUP($R$2,Ingreso!$AW$10:$BC$260,VLOOKUP(A1068,Ingreso!AL:AM,2,FALSE),FALSE)/24,""))),"")=0,"",IFERROR(IF(C1068=C1066,0,IF(E1068=E1067,0,IF(C1068=$R$2,HLOOKUP($R$2,Ingreso!$AW$10:$BC$260,VLOOKUP(A1068,Ingreso!AL:AM,2,FALSE),FALSE)/24,""))),""))</f>
        <v/>
      </c>
      <c r="N1068" s="95" t="str">
        <f>IF(IFERROR(IF(C1068=C1066,0,IF(E1068=E1067,0,IF(C1068=$R$3,HLOOKUP($R$3,Ingreso!$AW$10:$BC$260,VLOOKUP(A1068,Ingreso!AL:AM,2,FALSE),FALSE)/24,""))),"")=0,"",IFERROR(IF(C1068=C1066,0,IF(E1068=E1067,0,IF(C1068=$R$3,HLOOKUP($R$3,Ingreso!$AW$10:$BC$260,VLOOKUP(A1068,Ingreso!AL:AM,2,FALSE),FALSE)/24,""))),""))</f>
        <v/>
      </c>
      <c r="O1068" s="95" t="str">
        <f>IF(IFERROR(IF(C1068=C1066,0,IF(E1068=E1067,0,IF(C1068=$R$4,HLOOKUP($R$4,Ingreso!$AW$10:$BC$260,VLOOKUP(A1068,Ingreso!AL:AM,2,FALSE),FALSE)/24,""))),"")=0,"",IFERROR(IF(C1068=C1066,0,IF(E1068=E1067,0,IF(C1068=$R$4,HLOOKUP($R$4,Ingreso!$AW$10:$BC$260,VLOOKUP(A1068,Ingreso!AL:AM,2,FALSE),FALSE)/24,""))),""))</f>
        <v/>
      </c>
      <c r="P1068" s="90"/>
      <c r="V1068"/>
      <c r="W1068" s="62"/>
      <c r="X1068" s="62"/>
      <c r="Y1068" s="62"/>
      <c r="Z1068" s="62"/>
      <c r="AA1068" s="62"/>
      <c r="AB1068" s="62"/>
      <c r="AC1068" s="62"/>
    </row>
    <row r="1069" spans="1:29">
      <c r="A1069" s="65" t="str">
        <f>IFERROR(VLOOKUP('Informe Kelly'!A1062,Base!A:B,2,FALSE),"")</f>
        <v>17.065.312-2</v>
      </c>
      <c r="B1069" s="65" t="str">
        <f>IFERROR(VLOOKUP('Informe Kelly'!A1062,Base!A:G,7,FALSE),"")</f>
        <v>GALVEZ CERNA ARIEL ALFREDO</v>
      </c>
      <c r="C1069" s="69" t="str">
        <f>IF(G1069=$C$4,IF('Informe Kelly'!H1062='Control informe Kelly'!$A$2,TEXT(((LEFT('Informe Kelly'!E1062,2)*1)+1),"dd")&amp;"."&amp;MID('Informe Kelly'!E1062,4,2)&amp;"."&amp;RIGHT('Informe Kelly'!E1062,4),'Informe Kelly'!E1062),'Informe Kelly'!E1062)</f>
        <v>12.04.2011</v>
      </c>
      <c r="D1069" s="69" t="str">
        <f>IF('Informe Kelly'!E1062="","",'Informe Kelly'!E1062)</f>
        <v>12.04.2011</v>
      </c>
      <c r="E1069" s="72">
        <f t="shared" si="33"/>
        <v>543</v>
      </c>
      <c r="F1069" s="72" t="str">
        <f>IFERROR(HLOOKUP(C1069,Ingreso!$Q$8:$AD$9,2,FALSE),"v")</f>
        <v>Martes</v>
      </c>
      <c r="G1069" s="65" t="str">
        <f>IFERROR(VLOOKUP(A1069,Ingreso!K:P,6,FALSE),"no esta ingresado")</f>
        <v>Turno A</v>
      </c>
      <c r="H1069" s="65">
        <f>IFERROR(IF('Informe Kelly'!H1062=$A$2,'Informe Kelly'!F1062,""),0)</f>
        <v>0.55927083333333327</v>
      </c>
      <c r="I1069" s="65" t="str">
        <f>IFERROR(IF('Informe Kelly'!H1062=$A$3,'Informe Kelly'!F1062,""),0)</f>
        <v/>
      </c>
      <c r="J1069" s="65" t="str">
        <f>IF(IFERROR(IF(E1069=E1068,0,(HLOOKUP(D1069,Ingreso!$AN$10:$AT$260,VLOOKUP(A1069,Ingreso!$AL$11:$AM$260,2,FALSE)))/24),0)=0,"",IFERROR(IF(E1069=E1068,0,(HLOOKUP(D1069,Ingreso!$AN$10:$AT$260,VLOOKUP(A1069,Ingreso!$AL$11:$AM$260,2,FALSE)))/24),0))</f>
        <v/>
      </c>
      <c r="K1069" s="65" t="str">
        <f>IF(IFERROR(IF(E1069=E1068,0,(HLOOKUP(C1069,Ingreso!$AW$10:$BC$260,VLOOKUP(A1069,Ingreso!$AL$11:$AM$260,2,FALSE)))/24),0)=0,"",IFERROR(IF(E1069=E1068,0,(HLOOKUP(C1069,Ingreso!$AW$10:$BC$260,VLOOKUP(A1069,Ingreso!$AL$11:$AM$260,2,FALSE)))/24),0))</f>
        <v/>
      </c>
      <c r="L1069" s="63">
        <f t="shared" si="32"/>
        <v>0</v>
      </c>
      <c r="M1069" s="63" t="str">
        <f>IF(IFERROR(IF(C1069=C1067,0,IF(E1069=E1068,0,IF(C1069=$R$2,HLOOKUP($R$2,Ingreso!$AW$10:$BC$260,VLOOKUP(A1069,Ingreso!AL:AM,2,FALSE),FALSE)/24,""))),"")=0,"",IFERROR(IF(C1069=C1067,0,IF(E1069=E1068,0,IF(C1069=$R$2,HLOOKUP($R$2,Ingreso!$AW$10:$BC$260,VLOOKUP(A1069,Ingreso!AL:AM,2,FALSE),FALSE)/24,""))),""))</f>
        <v/>
      </c>
      <c r="N1069" s="95" t="str">
        <f>IF(IFERROR(IF(C1069=C1067,0,IF(E1069=E1068,0,IF(C1069=$R$3,HLOOKUP($R$3,Ingreso!$AW$10:$BC$260,VLOOKUP(A1069,Ingreso!AL:AM,2,FALSE),FALSE)/24,""))),"")=0,"",IFERROR(IF(C1069=C1067,0,IF(E1069=E1068,0,IF(C1069=$R$3,HLOOKUP($R$3,Ingreso!$AW$10:$BC$260,VLOOKUP(A1069,Ingreso!AL:AM,2,FALSE),FALSE)/24,""))),""))</f>
        <v/>
      </c>
      <c r="O1069" s="95" t="str">
        <f>IF(IFERROR(IF(C1069=C1067,0,IF(E1069=E1068,0,IF(C1069=$R$4,HLOOKUP($R$4,Ingreso!$AW$10:$BC$260,VLOOKUP(A1069,Ingreso!AL:AM,2,FALSE),FALSE)/24,""))),"")=0,"",IFERROR(IF(C1069=C1067,0,IF(E1069=E1068,0,IF(C1069=$R$4,HLOOKUP($R$4,Ingreso!$AW$10:$BC$260,VLOOKUP(A1069,Ingreso!AL:AM,2,FALSE),FALSE)/24,""))),""))</f>
        <v/>
      </c>
      <c r="P1069" s="90"/>
      <c r="V1069"/>
      <c r="W1069" s="62"/>
      <c r="X1069" s="62"/>
      <c r="Y1069" s="62"/>
      <c r="Z1069" s="62"/>
      <c r="AA1069" s="62"/>
      <c r="AB1069" s="62"/>
      <c r="AC1069" s="62"/>
    </row>
    <row r="1070" spans="1:29">
      <c r="A1070" s="65" t="str">
        <f>IFERROR(VLOOKUP('Informe Kelly'!A1063,Base!A:B,2,FALSE),"")</f>
        <v>17.065.312-2</v>
      </c>
      <c r="B1070" s="65" t="str">
        <f>IFERROR(VLOOKUP('Informe Kelly'!A1063,Base!A:G,7,FALSE),"")</f>
        <v>GALVEZ CERNA ARIEL ALFREDO</v>
      </c>
      <c r="C1070" s="69" t="str">
        <f>IF(G1070=$C$4,IF('Informe Kelly'!H1063='Control informe Kelly'!$A$2,TEXT(((LEFT('Informe Kelly'!E1063,2)*1)+1),"dd")&amp;"."&amp;MID('Informe Kelly'!E1063,4,2)&amp;"."&amp;RIGHT('Informe Kelly'!E1063,4),'Informe Kelly'!E1063),'Informe Kelly'!E1063)</f>
        <v>13.04.2011</v>
      </c>
      <c r="D1070" s="69" t="str">
        <f>IF('Informe Kelly'!E1063="","",'Informe Kelly'!E1063)</f>
        <v>13.04.2011</v>
      </c>
      <c r="E1070" s="72">
        <f t="shared" si="33"/>
        <v>544</v>
      </c>
      <c r="F1070" s="72" t="str">
        <f>IFERROR(HLOOKUP(C1070,Ingreso!$Q$8:$AD$9,2,FALSE),"v")</f>
        <v>Miércoles</v>
      </c>
      <c r="G1070" s="65" t="str">
        <f>IFERROR(VLOOKUP(A1070,Ingreso!K:P,6,FALSE),"no esta ingresado")</f>
        <v>Turno A</v>
      </c>
      <c r="H1070" s="65" t="str">
        <f>IFERROR(IF('Informe Kelly'!H1063=$A$2,'Informe Kelly'!F1063,""),0)</f>
        <v/>
      </c>
      <c r="I1070" s="65">
        <f>IFERROR(IF('Informe Kelly'!H1063=$A$3,'Informe Kelly'!F1063,""),0)</f>
        <v>0.64563657407407404</v>
      </c>
      <c r="J1070" s="65" t="str">
        <f>IF(IFERROR(IF(E1070=E1069,0,(HLOOKUP(D1070,Ingreso!$AN$10:$AT$260,VLOOKUP(A1070,Ingreso!$AL$11:$AM$260,2,FALSE)))/24),0)=0,"",IFERROR(IF(E1070=E1069,0,(HLOOKUP(D1070,Ingreso!$AN$10:$AT$260,VLOOKUP(A1070,Ingreso!$AL$11:$AM$260,2,FALSE)))/24),0))</f>
        <v/>
      </c>
      <c r="K1070" s="65" t="str">
        <f>IF(IFERROR(IF(E1070=E1069,0,(HLOOKUP(C1070,Ingreso!$AW$10:$BC$260,VLOOKUP(A1070,Ingreso!$AL$11:$AM$260,2,FALSE)))/24),0)=0,"",IFERROR(IF(E1070=E1069,0,(HLOOKUP(C1070,Ingreso!$AW$10:$BC$260,VLOOKUP(A1070,Ingreso!$AL$11:$AM$260,2,FALSE)))/24),0))</f>
        <v/>
      </c>
      <c r="L1070" s="63">
        <f t="shared" si="32"/>
        <v>0.3125</v>
      </c>
      <c r="M1070" s="63" t="str">
        <f>IF(IFERROR(IF(C1070=C1068,0,IF(E1070=E1069,0,IF(C1070=$R$2,HLOOKUP($R$2,Ingreso!$AW$10:$BC$260,VLOOKUP(A1070,Ingreso!AL:AM,2,FALSE),FALSE)/24,""))),"")=0,"",IFERROR(IF(C1070=C1068,0,IF(E1070=E1069,0,IF(C1070=$R$2,HLOOKUP($R$2,Ingreso!$AW$10:$BC$260,VLOOKUP(A1070,Ingreso!AL:AM,2,FALSE),FALSE)/24,""))),""))</f>
        <v/>
      </c>
      <c r="N1070" s="95" t="str">
        <f>IF(IFERROR(IF(C1070=C1068,0,IF(E1070=E1069,0,IF(C1070=$R$3,HLOOKUP($R$3,Ingreso!$AW$10:$BC$260,VLOOKUP(A1070,Ingreso!AL:AM,2,FALSE),FALSE)/24,""))),"")=0,"",IFERROR(IF(C1070=C1068,0,IF(E1070=E1069,0,IF(C1070=$R$3,HLOOKUP($R$3,Ingreso!$AW$10:$BC$260,VLOOKUP(A1070,Ingreso!AL:AM,2,FALSE),FALSE)/24,""))),""))</f>
        <v/>
      </c>
      <c r="O1070" s="95" t="str">
        <f>IF(IFERROR(IF(C1070=C1068,0,IF(E1070=E1069,0,IF(C1070=$R$4,HLOOKUP($R$4,Ingreso!$AW$10:$BC$260,VLOOKUP(A1070,Ingreso!AL:AM,2,FALSE),FALSE)/24,""))),"")=0,"",IFERROR(IF(C1070=C1068,0,IF(E1070=E1069,0,IF(C1070=$R$4,HLOOKUP($R$4,Ingreso!$AW$10:$BC$260,VLOOKUP(A1070,Ingreso!AL:AM,2,FALSE),FALSE)/24,""))),""))</f>
        <v/>
      </c>
      <c r="P1070" s="90"/>
      <c r="V1070"/>
      <c r="W1070" s="62"/>
      <c r="X1070" s="62"/>
      <c r="Y1070" s="62"/>
      <c r="Z1070" s="62"/>
      <c r="AA1070" s="62"/>
      <c r="AB1070" s="62"/>
      <c r="AC1070" s="62"/>
    </row>
    <row r="1071" spans="1:29">
      <c r="A1071" s="65" t="str">
        <f>IFERROR(VLOOKUP('Informe Kelly'!A1064,Base!A:B,2,FALSE),"")</f>
        <v>17.065.312-2</v>
      </c>
      <c r="B1071" s="65" t="str">
        <f>IFERROR(VLOOKUP('Informe Kelly'!A1064,Base!A:G,7,FALSE),"")</f>
        <v>GALVEZ CERNA ARIEL ALFREDO</v>
      </c>
      <c r="C1071" s="69" t="str">
        <f>IF(G1071=$C$4,IF('Informe Kelly'!H1064='Control informe Kelly'!$A$2,TEXT(((LEFT('Informe Kelly'!E1064,2)*1)+1),"dd")&amp;"."&amp;MID('Informe Kelly'!E1064,4,2)&amp;"."&amp;RIGHT('Informe Kelly'!E1064,4),'Informe Kelly'!E1064),'Informe Kelly'!E1064)</f>
        <v>13.04.2011</v>
      </c>
      <c r="D1071" s="69" t="str">
        <f>IF('Informe Kelly'!E1064="","",'Informe Kelly'!E1064)</f>
        <v>13.04.2011</v>
      </c>
      <c r="E1071" s="72">
        <f t="shared" si="33"/>
        <v>544</v>
      </c>
      <c r="F1071" s="72" t="str">
        <f>IFERROR(HLOOKUP(C1071,Ingreso!$Q$8:$AD$9,2,FALSE),"v")</f>
        <v>Miércoles</v>
      </c>
      <c r="G1071" s="65" t="str">
        <f>IFERROR(VLOOKUP(A1071,Ingreso!K:P,6,FALSE),"no esta ingresado")</f>
        <v>Turno A</v>
      </c>
      <c r="H1071" s="65">
        <f>IFERROR(IF('Informe Kelly'!H1064=$A$2,'Informe Kelly'!F1064,""),0)</f>
        <v>0.33030092592592591</v>
      </c>
      <c r="I1071" s="65" t="str">
        <f>IFERROR(IF('Informe Kelly'!H1064=$A$3,'Informe Kelly'!F1064,""),0)</f>
        <v/>
      </c>
      <c r="J1071" s="65" t="str">
        <f>IF(IFERROR(IF(E1071=E1070,0,(HLOOKUP(D1071,Ingreso!$AN$10:$AT$260,VLOOKUP(A1071,Ingreso!$AL$11:$AM$260,2,FALSE)))/24),0)=0,"",IFERROR(IF(E1071=E1070,0,(HLOOKUP(D1071,Ingreso!$AN$10:$AT$260,VLOOKUP(A1071,Ingreso!$AL$11:$AM$260,2,FALSE)))/24),0))</f>
        <v/>
      </c>
      <c r="K1071" s="65" t="str">
        <f>IF(IFERROR(IF(E1071=E1070,0,(HLOOKUP(C1071,Ingreso!$AW$10:$BC$260,VLOOKUP(A1071,Ingreso!$AL$11:$AM$260,2,FALSE)))/24),0)=0,"",IFERROR(IF(E1071=E1070,0,(HLOOKUP(C1071,Ingreso!$AW$10:$BC$260,VLOOKUP(A1071,Ingreso!$AL$11:$AM$260,2,FALSE)))/24),0))</f>
        <v/>
      </c>
      <c r="L1071" s="63">
        <f t="shared" si="32"/>
        <v>0</v>
      </c>
      <c r="M1071" s="63" t="str">
        <f>IF(IFERROR(IF(C1071=C1069,0,IF(E1071=E1070,0,IF(C1071=$R$2,HLOOKUP($R$2,Ingreso!$AW$10:$BC$260,VLOOKUP(A1071,Ingreso!AL:AM,2,FALSE),FALSE)/24,""))),"")=0,"",IFERROR(IF(C1071=C1069,0,IF(E1071=E1070,0,IF(C1071=$R$2,HLOOKUP($R$2,Ingreso!$AW$10:$BC$260,VLOOKUP(A1071,Ingreso!AL:AM,2,FALSE),FALSE)/24,""))),""))</f>
        <v/>
      </c>
      <c r="N1071" s="95" t="str">
        <f>IF(IFERROR(IF(C1071=C1069,0,IF(E1071=E1070,0,IF(C1071=$R$3,HLOOKUP($R$3,Ingreso!$AW$10:$BC$260,VLOOKUP(A1071,Ingreso!AL:AM,2,FALSE),FALSE)/24,""))),"")=0,"",IFERROR(IF(C1071=C1069,0,IF(E1071=E1070,0,IF(C1071=$R$3,HLOOKUP($R$3,Ingreso!$AW$10:$BC$260,VLOOKUP(A1071,Ingreso!AL:AM,2,FALSE),FALSE)/24,""))),""))</f>
        <v/>
      </c>
      <c r="O1071" s="95" t="str">
        <f>IF(IFERROR(IF(C1071=C1069,0,IF(E1071=E1070,0,IF(C1071=$R$4,HLOOKUP($R$4,Ingreso!$AW$10:$BC$260,VLOOKUP(A1071,Ingreso!AL:AM,2,FALSE),FALSE)/24,""))),"")=0,"",IFERROR(IF(C1071=C1069,0,IF(E1071=E1070,0,IF(C1071=$R$4,HLOOKUP($R$4,Ingreso!$AW$10:$BC$260,VLOOKUP(A1071,Ingreso!AL:AM,2,FALSE),FALSE)/24,""))),""))</f>
        <v/>
      </c>
      <c r="P1071" s="90"/>
      <c r="V1071"/>
      <c r="W1071" s="62"/>
      <c r="X1071" s="62"/>
      <c r="Y1071" s="62"/>
      <c r="Z1071" s="62"/>
      <c r="AA1071" s="62"/>
      <c r="AB1071" s="62"/>
      <c r="AC1071" s="62"/>
    </row>
    <row r="1072" spans="1:29">
      <c r="A1072" s="65" t="str">
        <f>IFERROR(VLOOKUP('Informe Kelly'!A1065,Base!A:B,2,FALSE),"")</f>
        <v>17.065.312-2</v>
      </c>
      <c r="B1072" s="65" t="str">
        <f>IFERROR(VLOOKUP('Informe Kelly'!A1065,Base!A:G,7,FALSE),"")</f>
        <v>GALVEZ CERNA ARIEL ALFREDO</v>
      </c>
      <c r="C1072" s="69" t="str">
        <f>IF(G1072=$C$4,IF('Informe Kelly'!H1065='Control informe Kelly'!$A$2,TEXT(((LEFT('Informe Kelly'!E1065,2)*1)+1),"dd")&amp;"."&amp;MID('Informe Kelly'!E1065,4,2)&amp;"."&amp;RIGHT('Informe Kelly'!E1065,4),'Informe Kelly'!E1065),'Informe Kelly'!E1065)</f>
        <v>14.04.2011</v>
      </c>
      <c r="D1072" s="69" t="str">
        <f>IF('Informe Kelly'!E1065="","",'Informe Kelly'!E1065)</f>
        <v>14.04.2011</v>
      </c>
      <c r="E1072" s="72">
        <f t="shared" si="33"/>
        <v>545</v>
      </c>
      <c r="F1072" s="72" t="str">
        <f>IFERROR(HLOOKUP(C1072,Ingreso!$Q$8:$AD$9,2,FALSE),"v")</f>
        <v>Jueves</v>
      </c>
      <c r="G1072" s="65" t="str">
        <f>IFERROR(VLOOKUP(A1072,Ingreso!K:P,6,FALSE),"no esta ingresado")</f>
        <v>Turno A</v>
      </c>
      <c r="H1072" s="65" t="str">
        <f>IFERROR(IF('Informe Kelly'!H1065=$A$2,'Informe Kelly'!F1065,""),0)</f>
        <v/>
      </c>
      <c r="I1072" s="65">
        <f>IFERROR(IF('Informe Kelly'!H1065=$A$3,'Informe Kelly'!F1065,""),0)</f>
        <v>0.62827546296296299</v>
      </c>
      <c r="J1072" s="65" t="str">
        <f>IF(IFERROR(IF(E1072=E1071,0,(HLOOKUP(D1072,Ingreso!$AN$10:$AT$260,VLOOKUP(A1072,Ingreso!$AL$11:$AM$260,2,FALSE)))/24),0)=0,"",IFERROR(IF(E1072=E1071,0,(HLOOKUP(D1072,Ingreso!$AN$10:$AT$260,VLOOKUP(A1072,Ingreso!$AL$11:$AM$260,2,FALSE)))/24),0))</f>
        <v/>
      </c>
      <c r="K1072" s="65" t="str">
        <f>IF(IFERROR(IF(E1072=E1071,0,(HLOOKUP(C1072,Ingreso!$AW$10:$BC$260,VLOOKUP(A1072,Ingreso!$AL$11:$AM$260,2,FALSE)))/24),0)=0,"",IFERROR(IF(E1072=E1071,0,(HLOOKUP(C1072,Ingreso!$AW$10:$BC$260,VLOOKUP(A1072,Ingreso!$AL$11:$AM$260,2,FALSE)))/24),0))</f>
        <v/>
      </c>
      <c r="L1072" s="63">
        <f t="shared" si="32"/>
        <v>0.3125</v>
      </c>
      <c r="M1072" s="63" t="str">
        <f>IF(IFERROR(IF(C1072=C1070,0,IF(E1072=E1071,0,IF(C1072=$R$2,HLOOKUP($R$2,Ingreso!$AW$10:$BC$260,VLOOKUP(A1072,Ingreso!AL:AM,2,FALSE),FALSE)/24,""))),"")=0,"",IFERROR(IF(C1072=C1070,0,IF(E1072=E1071,0,IF(C1072=$R$2,HLOOKUP($R$2,Ingreso!$AW$10:$BC$260,VLOOKUP(A1072,Ingreso!AL:AM,2,FALSE),FALSE)/24,""))),""))</f>
        <v/>
      </c>
      <c r="N1072" s="95" t="str">
        <f>IF(IFERROR(IF(C1072=C1070,0,IF(E1072=E1071,0,IF(C1072=$R$3,HLOOKUP($R$3,Ingreso!$AW$10:$BC$260,VLOOKUP(A1072,Ingreso!AL:AM,2,FALSE),FALSE)/24,""))),"")=0,"",IFERROR(IF(C1072=C1070,0,IF(E1072=E1071,0,IF(C1072=$R$3,HLOOKUP($R$3,Ingreso!$AW$10:$BC$260,VLOOKUP(A1072,Ingreso!AL:AM,2,FALSE),FALSE)/24,""))),""))</f>
        <v/>
      </c>
      <c r="O1072" s="95" t="str">
        <f>IF(IFERROR(IF(C1072=C1070,0,IF(E1072=E1071,0,IF(C1072=$R$4,HLOOKUP($R$4,Ingreso!$AW$10:$BC$260,VLOOKUP(A1072,Ingreso!AL:AM,2,FALSE),FALSE)/24,""))),"")=0,"",IFERROR(IF(C1072=C1070,0,IF(E1072=E1071,0,IF(C1072=$R$4,HLOOKUP($R$4,Ingreso!$AW$10:$BC$260,VLOOKUP(A1072,Ingreso!AL:AM,2,FALSE),FALSE)/24,""))),""))</f>
        <v/>
      </c>
      <c r="P1072" s="90"/>
      <c r="V1072"/>
      <c r="W1072" s="62"/>
      <c r="X1072" s="62"/>
      <c r="Y1072" s="62"/>
      <c r="Z1072" s="62"/>
      <c r="AA1072" s="62"/>
      <c r="AB1072" s="62"/>
      <c r="AC1072" s="62"/>
    </row>
    <row r="1073" spans="1:29">
      <c r="A1073" s="65" t="str">
        <f>IFERROR(VLOOKUP('Informe Kelly'!A1066,Base!A:B,2,FALSE),"")</f>
        <v>17.065.312-2</v>
      </c>
      <c r="B1073" s="65" t="str">
        <f>IFERROR(VLOOKUP('Informe Kelly'!A1066,Base!A:G,7,FALSE),"")</f>
        <v>GALVEZ CERNA ARIEL ALFREDO</v>
      </c>
      <c r="C1073" s="69" t="str">
        <f>IF(G1073=$C$4,IF('Informe Kelly'!H1066='Control informe Kelly'!$A$2,TEXT(((LEFT('Informe Kelly'!E1066,2)*1)+1),"dd")&amp;"."&amp;MID('Informe Kelly'!E1066,4,2)&amp;"."&amp;RIGHT('Informe Kelly'!E1066,4),'Informe Kelly'!E1066),'Informe Kelly'!E1066)</f>
        <v>14.04.2011</v>
      </c>
      <c r="D1073" s="69" t="str">
        <f>IF('Informe Kelly'!E1066="","",'Informe Kelly'!E1066)</f>
        <v>14.04.2011</v>
      </c>
      <c r="E1073" s="72">
        <f t="shared" si="33"/>
        <v>545</v>
      </c>
      <c r="F1073" s="72" t="str">
        <f>IFERROR(HLOOKUP(C1073,Ingreso!$Q$8:$AD$9,2,FALSE),"v")</f>
        <v>Jueves</v>
      </c>
      <c r="G1073" s="65" t="str">
        <f>IFERROR(VLOOKUP(A1073,Ingreso!K:P,6,FALSE),"no esta ingresado")</f>
        <v>Turno A</v>
      </c>
      <c r="H1073" s="65">
        <f>IFERROR(IF('Informe Kelly'!H1066=$A$2,'Informe Kelly'!F1066,""),0)</f>
        <v>0.32474537037037038</v>
      </c>
      <c r="I1073" s="65" t="str">
        <f>IFERROR(IF('Informe Kelly'!H1066=$A$3,'Informe Kelly'!F1066,""),0)</f>
        <v/>
      </c>
      <c r="J1073" s="65" t="str">
        <f>IF(IFERROR(IF(E1073=E1072,0,(HLOOKUP(D1073,Ingreso!$AN$10:$AT$260,VLOOKUP(A1073,Ingreso!$AL$11:$AM$260,2,FALSE)))/24),0)=0,"",IFERROR(IF(E1073=E1072,0,(HLOOKUP(D1073,Ingreso!$AN$10:$AT$260,VLOOKUP(A1073,Ingreso!$AL$11:$AM$260,2,FALSE)))/24),0))</f>
        <v/>
      </c>
      <c r="K1073" s="65" t="str">
        <f>IF(IFERROR(IF(E1073=E1072,0,(HLOOKUP(C1073,Ingreso!$AW$10:$BC$260,VLOOKUP(A1073,Ingreso!$AL$11:$AM$260,2,FALSE)))/24),0)=0,"",IFERROR(IF(E1073=E1072,0,(HLOOKUP(C1073,Ingreso!$AW$10:$BC$260,VLOOKUP(A1073,Ingreso!$AL$11:$AM$260,2,FALSE)))/24),0))</f>
        <v/>
      </c>
      <c r="L1073" s="63">
        <f t="shared" si="32"/>
        <v>0</v>
      </c>
      <c r="M1073" s="63" t="str">
        <f>IF(IFERROR(IF(C1073=C1071,0,IF(E1073=E1072,0,IF(C1073=$R$2,HLOOKUP($R$2,Ingreso!$AW$10:$BC$260,VLOOKUP(A1073,Ingreso!AL:AM,2,FALSE),FALSE)/24,""))),"")=0,"",IFERROR(IF(C1073=C1071,0,IF(E1073=E1072,0,IF(C1073=$R$2,HLOOKUP($R$2,Ingreso!$AW$10:$BC$260,VLOOKUP(A1073,Ingreso!AL:AM,2,FALSE),FALSE)/24,""))),""))</f>
        <v/>
      </c>
      <c r="N1073" s="95" t="str">
        <f>IF(IFERROR(IF(C1073=C1071,0,IF(E1073=E1072,0,IF(C1073=$R$3,HLOOKUP($R$3,Ingreso!$AW$10:$BC$260,VLOOKUP(A1073,Ingreso!AL:AM,2,FALSE),FALSE)/24,""))),"")=0,"",IFERROR(IF(C1073=C1071,0,IF(E1073=E1072,0,IF(C1073=$R$3,HLOOKUP($R$3,Ingreso!$AW$10:$BC$260,VLOOKUP(A1073,Ingreso!AL:AM,2,FALSE),FALSE)/24,""))),""))</f>
        <v/>
      </c>
      <c r="O1073" s="95" t="str">
        <f>IF(IFERROR(IF(C1073=C1071,0,IF(E1073=E1072,0,IF(C1073=$R$4,HLOOKUP($R$4,Ingreso!$AW$10:$BC$260,VLOOKUP(A1073,Ingreso!AL:AM,2,FALSE),FALSE)/24,""))),"")=0,"",IFERROR(IF(C1073=C1071,0,IF(E1073=E1072,0,IF(C1073=$R$4,HLOOKUP($R$4,Ingreso!$AW$10:$BC$260,VLOOKUP(A1073,Ingreso!AL:AM,2,FALSE),FALSE)/24,""))),""))</f>
        <v/>
      </c>
      <c r="P1073" s="90"/>
      <c r="V1073"/>
      <c r="W1073" s="62"/>
      <c r="X1073" s="62"/>
      <c r="Y1073" s="62"/>
      <c r="Z1073" s="62"/>
      <c r="AA1073" s="62"/>
      <c r="AB1073" s="62"/>
      <c r="AC1073" s="62"/>
    </row>
    <row r="1074" spans="1:29">
      <c r="A1074" s="65" t="str">
        <f>IFERROR(VLOOKUP('Informe Kelly'!A1067,Base!A:B,2,FALSE),"")</f>
        <v>17.065.312-2</v>
      </c>
      <c r="B1074" s="65" t="str">
        <f>IFERROR(VLOOKUP('Informe Kelly'!A1067,Base!A:G,7,FALSE),"")</f>
        <v>GALVEZ CERNA ARIEL ALFREDO</v>
      </c>
      <c r="C1074" s="69" t="str">
        <f>IF(G1074=$C$4,IF('Informe Kelly'!H1067='Control informe Kelly'!$A$2,TEXT(((LEFT('Informe Kelly'!E1067,2)*1)+1),"dd")&amp;"."&amp;MID('Informe Kelly'!E1067,4,2)&amp;"."&amp;RIGHT('Informe Kelly'!E1067,4),'Informe Kelly'!E1067),'Informe Kelly'!E1067)</f>
        <v>15.04.2011</v>
      </c>
      <c r="D1074" s="69" t="str">
        <f>IF('Informe Kelly'!E1067="","",'Informe Kelly'!E1067)</f>
        <v>15.04.2011</v>
      </c>
      <c r="E1074" s="72">
        <f t="shared" si="33"/>
        <v>546</v>
      </c>
      <c r="F1074" s="72" t="str">
        <f>IFERROR(HLOOKUP(C1074,Ingreso!$Q$8:$AD$9,2,FALSE),"v")</f>
        <v>Viernes</v>
      </c>
      <c r="G1074" s="65" t="str">
        <f>IFERROR(VLOOKUP(A1074,Ingreso!K:P,6,FALSE),"no esta ingresado")</f>
        <v>Turno A</v>
      </c>
      <c r="H1074" s="65" t="str">
        <f>IFERROR(IF('Informe Kelly'!H1067=$A$2,'Informe Kelly'!F1067,""),0)</f>
        <v/>
      </c>
      <c r="I1074" s="65">
        <f>IFERROR(IF('Informe Kelly'!H1067=$A$3,'Informe Kelly'!F1067,""),0)</f>
        <v>0.6407870370370371</v>
      </c>
      <c r="J1074" s="65" t="str">
        <f>IF(IFERROR(IF(E1074=E1073,0,(HLOOKUP(D1074,Ingreso!$AN$10:$AT$260,VLOOKUP(A1074,Ingreso!$AL$11:$AM$260,2,FALSE)))/24),0)=0,"",IFERROR(IF(E1074=E1073,0,(HLOOKUP(D1074,Ingreso!$AN$10:$AT$260,VLOOKUP(A1074,Ingreso!$AL$11:$AM$260,2,FALSE)))/24),0))</f>
        <v/>
      </c>
      <c r="K1074" s="65" t="str">
        <f>IF(IFERROR(IF(E1074=E1073,0,(HLOOKUP(C1074,Ingreso!$AW$10:$BC$260,VLOOKUP(A1074,Ingreso!$AL$11:$AM$260,2,FALSE)))/24),0)=0,"",IFERROR(IF(E1074=E1073,0,(HLOOKUP(C1074,Ingreso!$AW$10:$BC$260,VLOOKUP(A1074,Ingreso!$AL$11:$AM$260,2,FALSE)))/24),0))</f>
        <v/>
      </c>
      <c r="L1074" s="63">
        <f t="shared" si="32"/>
        <v>0.3125</v>
      </c>
      <c r="M1074" s="63" t="str">
        <f>IF(IFERROR(IF(C1074=C1072,0,IF(E1074=E1073,0,IF(C1074=$R$2,HLOOKUP($R$2,Ingreso!$AW$10:$BC$260,VLOOKUP(A1074,Ingreso!AL:AM,2,FALSE),FALSE)/24,""))),"")=0,"",IFERROR(IF(C1074=C1072,0,IF(E1074=E1073,0,IF(C1074=$R$2,HLOOKUP($R$2,Ingreso!$AW$10:$BC$260,VLOOKUP(A1074,Ingreso!AL:AM,2,FALSE),FALSE)/24,""))),""))</f>
        <v/>
      </c>
      <c r="N1074" s="95" t="str">
        <f>IF(IFERROR(IF(C1074=C1072,0,IF(E1074=E1073,0,IF(C1074=$R$3,HLOOKUP($R$3,Ingreso!$AW$10:$BC$260,VLOOKUP(A1074,Ingreso!AL:AM,2,FALSE),FALSE)/24,""))),"")=0,"",IFERROR(IF(C1074=C1072,0,IF(E1074=E1073,0,IF(C1074=$R$3,HLOOKUP($R$3,Ingreso!$AW$10:$BC$260,VLOOKUP(A1074,Ingreso!AL:AM,2,FALSE),FALSE)/24,""))),""))</f>
        <v/>
      </c>
      <c r="O1074" s="95" t="str">
        <f>IF(IFERROR(IF(C1074=C1072,0,IF(E1074=E1073,0,IF(C1074=$R$4,HLOOKUP($R$4,Ingreso!$AW$10:$BC$260,VLOOKUP(A1074,Ingreso!AL:AM,2,FALSE),FALSE)/24,""))),"")=0,"",IFERROR(IF(C1074=C1072,0,IF(E1074=E1073,0,IF(C1074=$R$4,HLOOKUP($R$4,Ingreso!$AW$10:$BC$260,VLOOKUP(A1074,Ingreso!AL:AM,2,FALSE),FALSE)/24,""))),""))</f>
        <v/>
      </c>
      <c r="P1074" s="90"/>
      <c r="V1074"/>
      <c r="W1074" s="62"/>
      <c r="X1074" s="62"/>
      <c r="Y1074" s="62"/>
      <c r="Z1074" s="62"/>
      <c r="AA1074" s="62"/>
      <c r="AB1074" s="62"/>
      <c r="AC1074" s="62"/>
    </row>
    <row r="1075" spans="1:29">
      <c r="A1075" s="65" t="str">
        <f>IFERROR(VLOOKUP('Informe Kelly'!A1068,Base!A:B,2,FALSE),"")</f>
        <v>17.065.312-2</v>
      </c>
      <c r="B1075" s="65" t="str">
        <f>IFERROR(VLOOKUP('Informe Kelly'!A1068,Base!A:G,7,FALSE),"")</f>
        <v>GALVEZ CERNA ARIEL ALFREDO</v>
      </c>
      <c r="C1075" s="69" t="str">
        <f>IF(G1075=$C$4,IF('Informe Kelly'!H1068='Control informe Kelly'!$A$2,TEXT(((LEFT('Informe Kelly'!E1068,2)*1)+1),"dd")&amp;"."&amp;MID('Informe Kelly'!E1068,4,2)&amp;"."&amp;RIGHT('Informe Kelly'!E1068,4),'Informe Kelly'!E1068),'Informe Kelly'!E1068)</f>
        <v>15.04.2011</v>
      </c>
      <c r="D1075" s="69" t="str">
        <f>IF('Informe Kelly'!E1068="","",'Informe Kelly'!E1068)</f>
        <v>15.04.2011</v>
      </c>
      <c r="E1075" s="72">
        <f t="shared" si="33"/>
        <v>546</v>
      </c>
      <c r="F1075" s="72" t="str">
        <f>IFERROR(HLOOKUP(C1075,Ingreso!$Q$8:$AD$9,2,FALSE),"v")</f>
        <v>Viernes</v>
      </c>
      <c r="G1075" s="65" t="str">
        <f>IFERROR(VLOOKUP(A1075,Ingreso!K:P,6,FALSE),"no esta ingresado")</f>
        <v>Turno A</v>
      </c>
      <c r="H1075" s="65">
        <f>IFERROR(IF('Informe Kelly'!H1068=$A$2,'Informe Kelly'!F1068,""),0)</f>
        <v>0.33680555555555558</v>
      </c>
      <c r="I1075" s="65" t="str">
        <f>IFERROR(IF('Informe Kelly'!H1068=$A$3,'Informe Kelly'!F1068,""),0)</f>
        <v/>
      </c>
      <c r="J1075" s="65" t="str">
        <f>IF(IFERROR(IF(E1075=E1074,0,(HLOOKUP(D1075,Ingreso!$AN$10:$AT$260,VLOOKUP(A1075,Ingreso!$AL$11:$AM$260,2,FALSE)))/24),0)=0,"",IFERROR(IF(E1075=E1074,0,(HLOOKUP(D1075,Ingreso!$AN$10:$AT$260,VLOOKUP(A1075,Ingreso!$AL$11:$AM$260,2,FALSE)))/24),0))</f>
        <v/>
      </c>
      <c r="K1075" s="65" t="str">
        <f>IF(IFERROR(IF(E1075=E1074,0,(HLOOKUP(C1075,Ingreso!$AW$10:$BC$260,VLOOKUP(A1075,Ingreso!$AL$11:$AM$260,2,FALSE)))/24),0)=0,"",IFERROR(IF(E1075=E1074,0,(HLOOKUP(C1075,Ingreso!$AW$10:$BC$260,VLOOKUP(A1075,Ingreso!$AL$11:$AM$260,2,FALSE)))/24),0))</f>
        <v/>
      </c>
      <c r="L1075" s="63">
        <f t="shared" si="32"/>
        <v>0</v>
      </c>
      <c r="M1075" s="63" t="str">
        <f>IF(IFERROR(IF(C1075=C1073,0,IF(E1075=E1074,0,IF(C1075=$R$2,HLOOKUP($R$2,Ingreso!$AW$10:$BC$260,VLOOKUP(A1075,Ingreso!AL:AM,2,FALSE),FALSE)/24,""))),"")=0,"",IFERROR(IF(C1075=C1073,0,IF(E1075=E1074,0,IF(C1075=$R$2,HLOOKUP($R$2,Ingreso!$AW$10:$BC$260,VLOOKUP(A1075,Ingreso!AL:AM,2,FALSE),FALSE)/24,""))),""))</f>
        <v/>
      </c>
      <c r="N1075" s="95" t="str">
        <f>IF(IFERROR(IF(C1075=C1073,0,IF(E1075=E1074,0,IF(C1075=$R$3,HLOOKUP($R$3,Ingreso!$AW$10:$BC$260,VLOOKUP(A1075,Ingreso!AL:AM,2,FALSE),FALSE)/24,""))),"")=0,"",IFERROR(IF(C1075=C1073,0,IF(E1075=E1074,0,IF(C1075=$R$3,HLOOKUP($R$3,Ingreso!$AW$10:$BC$260,VLOOKUP(A1075,Ingreso!AL:AM,2,FALSE),FALSE)/24,""))),""))</f>
        <v/>
      </c>
      <c r="O1075" s="95" t="str">
        <f>IF(IFERROR(IF(C1075=C1073,0,IF(E1075=E1074,0,IF(C1075=$R$4,HLOOKUP($R$4,Ingreso!$AW$10:$BC$260,VLOOKUP(A1075,Ingreso!AL:AM,2,FALSE),FALSE)/24,""))),"")=0,"",IFERROR(IF(C1075=C1073,0,IF(E1075=E1074,0,IF(C1075=$R$4,HLOOKUP($R$4,Ingreso!$AW$10:$BC$260,VLOOKUP(A1075,Ingreso!AL:AM,2,FALSE),FALSE)/24,""))),""))</f>
        <v/>
      </c>
      <c r="P1075" s="90"/>
      <c r="V1075"/>
      <c r="W1075" s="62"/>
      <c r="X1075" s="62"/>
      <c r="Y1075" s="62"/>
      <c r="Z1075" s="62"/>
      <c r="AA1075" s="62"/>
      <c r="AB1075" s="62"/>
      <c r="AC1075" s="62"/>
    </row>
    <row r="1076" spans="1:29">
      <c r="A1076" s="65" t="str">
        <f>IFERROR(VLOOKUP('Informe Kelly'!A1069,Base!A:B,2,FALSE),"")</f>
        <v>17.065.312-2</v>
      </c>
      <c r="B1076" s="65" t="str">
        <f>IFERROR(VLOOKUP('Informe Kelly'!A1069,Base!A:G,7,FALSE),"")</f>
        <v>GALVEZ CERNA ARIEL ALFREDO</v>
      </c>
      <c r="C1076" s="69" t="str">
        <f>IF(G1076=$C$4,IF('Informe Kelly'!H1069='Control informe Kelly'!$A$2,TEXT(((LEFT('Informe Kelly'!E1069,2)*1)+1),"dd")&amp;"."&amp;MID('Informe Kelly'!E1069,4,2)&amp;"."&amp;RIGHT('Informe Kelly'!E1069,4),'Informe Kelly'!E1069),'Informe Kelly'!E1069)</f>
        <v>16.04.2011</v>
      </c>
      <c r="D1076" s="69" t="str">
        <f>IF('Informe Kelly'!E1069="","",'Informe Kelly'!E1069)</f>
        <v>16.04.2011</v>
      </c>
      <c r="E1076" s="72">
        <f t="shared" si="33"/>
        <v>547</v>
      </c>
      <c r="F1076" s="72" t="str">
        <f>IFERROR(HLOOKUP(C1076,Ingreso!$Q$8:$AD$9,2,FALSE),"v")</f>
        <v>Sábado</v>
      </c>
      <c r="G1076" s="65" t="str">
        <f>IFERROR(VLOOKUP(A1076,Ingreso!K:P,6,FALSE),"no esta ingresado")</f>
        <v>Turno A</v>
      </c>
      <c r="H1076" s="65" t="str">
        <f>IFERROR(IF('Informe Kelly'!H1069=$A$2,'Informe Kelly'!F1069,""),0)</f>
        <v/>
      </c>
      <c r="I1076" s="65">
        <f>IFERROR(IF('Informe Kelly'!H1069=$A$3,'Informe Kelly'!F1069,""),0)</f>
        <v>0.91767361111111112</v>
      </c>
      <c r="J1076" s="65" t="str">
        <f>IF(IFERROR(IF(E1076=E1075,0,(HLOOKUP(D1076,Ingreso!$AN$10:$AT$260,VLOOKUP(A1076,Ingreso!$AL$11:$AM$260,2,FALSE)))/24),0)=0,"",IFERROR(IF(E1076=E1075,0,(HLOOKUP(D1076,Ingreso!$AN$10:$AT$260,VLOOKUP(A1076,Ingreso!$AL$11:$AM$260,2,FALSE)))/24),0))</f>
        <v/>
      </c>
      <c r="K1076" s="65" t="str">
        <f>IF(IFERROR(IF(E1076=E1075,0,(HLOOKUP(C1076,Ingreso!$AW$10:$BC$260,VLOOKUP(A1076,Ingreso!$AL$11:$AM$260,2,FALSE)))/24),0)=0,"",IFERROR(IF(E1076=E1075,0,(HLOOKUP(C1076,Ingreso!$AW$10:$BC$260,VLOOKUP(A1076,Ingreso!$AL$11:$AM$260,2,FALSE)))/24),0))</f>
        <v/>
      </c>
      <c r="L1076" s="63">
        <f t="shared" si="32"/>
        <v>0.3125</v>
      </c>
      <c r="M1076" s="63" t="str">
        <f>IF(IFERROR(IF(C1076=C1074,0,IF(E1076=E1075,0,IF(C1076=$R$2,HLOOKUP($R$2,Ingreso!$AW$10:$BC$260,VLOOKUP(A1076,Ingreso!AL:AM,2,FALSE),FALSE)/24,""))),"")=0,"",IFERROR(IF(C1076=C1074,0,IF(E1076=E1075,0,IF(C1076=$R$2,HLOOKUP($R$2,Ingreso!$AW$10:$BC$260,VLOOKUP(A1076,Ingreso!AL:AM,2,FALSE),FALSE)/24,""))),""))</f>
        <v/>
      </c>
      <c r="N1076" s="95" t="str">
        <f>IF(IFERROR(IF(C1076=C1074,0,IF(E1076=E1075,0,IF(C1076=$R$3,HLOOKUP($R$3,Ingreso!$AW$10:$BC$260,VLOOKUP(A1076,Ingreso!AL:AM,2,FALSE),FALSE)/24,""))),"")=0,"",IFERROR(IF(C1076=C1074,0,IF(E1076=E1075,0,IF(C1076=$R$3,HLOOKUP($R$3,Ingreso!$AW$10:$BC$260,VLOOKUP(A1076,Ingreso!AL:AM,2,FALSE),FALSE)/24,""))),""))</f>
        <v/>
      </c>
      <c r="O1076" s="95" t="str">
        <f>IF(IFERROR(IF(C1076=C1074,0,IF(E1076=E1075,0,IF(C1076=$R$4,HLOOKUP($R$4,Ingreso!$AW$10:$BC$260,VLOOKUP(A1076,Ingreso!AL:AM,2,FALSE),FALSE)/24,""))),"")=0,"",IFERROR(IF(C1076=C1074,0,IF(E1076=E1075,0,IF(C1076=$R$4,HLOOKUP($R$4,Ingreso!$AW$10:$BC$260,VLOOKUP(A1076,Ingreso!AL:AM,2,FALSE),FALSE)/24,""))),""))</f>
        <v/>
      </c>
      <c r="P1076" s="90"/>
      <c r="V1076"/>
      <c r="W1076" s="62"/>
      <c r="X1076" s="62"/>
      <c r="Y1076" s="62"/>
      <c r="Z1076" s="62"/>
      <c r="AA1076" s="62"/>
      <c r="AB1076" s="62"/>
      <c r="AC1076" s="62"/>
    </row>
    <row r="1077" spans="1:29">
      <c r="A1077" s="65" t="str">
        <f>IFERROR(VLOOKUP('Informe Kelly'!A1070,Base!A:B,2,FALSE),"")</f>
        <v>17.065.312-2</v>
      </c>
      <c r="B1077" s="65" t="str">
        <f>IFERROR(VLOOKUP('Informe Kelly'!A1070,Base!A:G,7,FALSE),"")</f>
        <v>GALVEZ CERNA ARIEL ALFREDO</v>
      </c>
      <c r="C1077" s="69" t="str">
        <f>IF(G1077=$C$4,IF('Informe Kelly'!H1070='Control informe Kelly'!$A$2,TEXT(((LEFT('Informe Kelly'!E1070,2)*1)+1),"dd")&amp;"."&amp;MID('Informe Kelly'!E1070,4,2)&amp;"."&amp;RIGHT('Informe Kelly'!E1070,4),'Informe Kelly'!E1070),'Informe Kelly'!E1070)</f>
        <v>16.04.2011</v>
      </c>
      <c r="D1077" s="69" t="str">
        <f>IF('Informe Kelly'!E1070="","",'Informe Kelly'!E1070)</f>
        <v>16.04.2011</v>
      </c>
      <c r="E1077" s="72">
        <f t="shared" si="33"/>
        <v>547</v>
      </c>
      <c r="F1077" s="72" t="str">
        <f>IFERROR(HLOOKUP(C1077,Ingreso!$Q$8:$AD$9,2,FALSE),"v")</f>
        <v>Sábado</v>
      </c>
      <c r="G1077" s="65" t="str">
        <f>IFERROR(VLOOKUP(A1077,Ingreso!K:P,6,FALSE),"no esta ingresado")</f>
        <v>Turno A</v>
      </c>
      <c r="H1077" s="65">
        <f>IFERROR(IF('Informe Kelly'!H1070=$A$2,'Informe Kelly'!F1070,""),0)</f>
        <v>0.63384259259259257</v>
      </c>
      <c r="I1077" s="65" t="str">
        <f>IFERROR(IF('Informe Kelly'!H1070=$A$3,'Informe Kelly'!F1070,""),0)</f>
        <v/>
      </c>
      <c r="J1077" s="65" t="str">
        <f>IF(IFERROR(IF(E1077=E1076,0,(HLOOKUP(D1077,Ingreso!$AN$10:$AT$260,VLOOKUP(A1077,Ingreso!$AL$11:$AM$260,2,FALSE)))/24),0)=0,"",IFERROR(IF(E1077=E1076,0,(HLOOKUP(D1077,Ingreso!$AN$10:$AT$260,VLOOKUP(A1077,Ingreso!$AL$11:$AM$260,2,FALSE)))/24),0))</f>
        <v/>
      </c>
      <c r="K1077" s="65" t="str">
        <f>IF(IFERROR(IF(E1077=E1076,0,(HLOOKUP(C1077,Ingreso!$AW$10:$BC$260,VLOOKUP(A1077,Ingreso!$AL$11:$AM$260,2,FALSE)))/24),0)=0,"",IFERROR(IF(E1077=E1076,0,(HLOOKUP(C1077,Ingreso!$AW$10:$BC$260,VLOOKUP(A1077,Ingreso!$AL$11:$AM$260,2,FALSE)))/24),0))</f>
        <v/>
      </c>
      <c r="L1077" s="63">
        <f t="shared" si="32"/>
        <v>0</v>
      </c>
      <c r="M1077" s="63" t="str">
        <f>IF(IFERROR(IF(C1077=C1075,0,IF(E1077=E1076,0,IF(C1077=$R$2,HLOOKUP($R$2,Ingreso!$AW$10:$BC$260,VLOOKUP(A1077,Ingreso!AL:AM,2,FALSE),FALSE)/24,""))),"")=0,"",IFERROR(IF(C1077=C1075,0,IF(E1077=E1076,0,IF(C1077=$R$2,HLOOKUP($R$2,Ingreso!$AW$10:$BC$260,VLOOKUP(A1077,Ingreso!AL:AM,2,FALSE),FALSE)/24,""))),""))</f>
        <v/>
      </c>
      <c r="N1077" s="95" t="str">
        <f>IF(IFERROR(IF(C1077=C1075,0,IF(E1077=E1076,0,IF(C1077=$R$3,HLOOKUP($R$3,Ingreso!$AW$10:$BC$260,VLOOKUP(A1077,Ingreso!AL:AM,2,FALSE),FALSE)/24,""))),"")=0,"",IFERROR(IF(C1077=C1075,0,IF(E1077=E1076,0,IF(C1077=$R$3,HLOOKUP($R$3,Ingreso!$AW$10:$BC$260,VLOOKUP(A1077,Ingreso!AL:AM,2,FALSE),FALSE)/24,""))),""))</f>
        <v/>
      </c>
      <c r="O1077" s="95" t="str">
        <f>IF(IFERROR(IF(C1077=C1075,0,IF(E1077=E1076,0,IF(C1077=$R$4,HLOOKUP($R$4,Ingreso!$AW$10:$BC$260,VLOOKUP(A1077,Ingreso!AL:AM,2,FALSE),FALSE)/24,""))),"")=0,"",IFERROR(IF(C1077=C1075,0,IF(E1077=E1076,0,IF(C1077=$R$4,HLOOKUP($R$4,Ingreso!$AW$10:$BC$260,VLOOKUP(A1077,Ingreso!AL:AM,2,FALSE),FALSE)/24,""))),""))</f>
        <v/>
      </c>
      <c r="P1077" s="90"/>
      <c r="V1077"/>
      <c r="W1077" s="62"/>
      <c r="X1077" s="62"/>
      <c r="Y1077" s="62"/>
      <c r="Z1077" s="62"/>
      <c r="AA1077" s="62"/>
      <c r="AB1077" s="62"/>
      <c r="AC1077" s="62"/>
    </row>
    <row r="1078" spans="1:29">
      <c r="A1078" s="65" t="str">
        <f>IFERROR(VLOOKUP('Informe Kelly'!A1071,Base!A:B,2,FALSE),"")</f>
        <v>17.245.009-1</v>
      </c>
      <c r="B1078" s="65" t="str">
        <f>IFERROR(VLOOKUP('Informe Kelly'!A1071,Base!A:G,7,FALSE),"")</f>
        <v>ROJAS SALAMANCA RODRIGO ALEJANDRO</v>
      </c>
      <c r="C1078" s="69" t="str">
        <f>IF(G1078=$C$4,IF('Informe Kelly'!H1071='Control informe Kelly'!$A$2,TEXT(((LEFT('Informe Kelly'!E1071,2)*1)+1),"dd")&amp;"."&amp;MID('Informe Kelly'!E1071,4,2)&amp;"."&amp;RIGHT('Informe Kelly'!E1071,4),'Informe Kelly'!E1071),'Informe Kelly'!E1071)</f>
        <v>11.04.2011</v>
      </c>
      <c r="D1078" s="69" t="str">
        <f>IF('Informe Kelly'!E1071="","",'Informe Kelly'!E1071)</f>
        <v>11.04.2011</v>
      </c>
      <c r="E1078" s="72">
        <f t="shared" si="33"/>
        <v>548</v>
      </c>
      <c r="F1078" s="72" t="str">
        <f>IFERROR(HLOOKUP(C1078,Ingreso!$Q$8:$AD$9,2,FALSE),"v")</f>
        <v>Lunes</v>
      </c>
      <c r="G1078" s="65" t="str">
        <f>IFERROR(VLOOKUP(A1078,Ingreso!K:P,6,FALSE),"no esta ingresado")</f>
        <v>Admin</v>
      </c>
      <c r="H1078" s="65" t="str">
        <f>IFERROR(IF('Informe Kelly'!H1071=$A$2,'Informe Kelly'!F1071,""),0)</f>
        <v/>
      </c>
      <c r="I1078" s="65">
        <f>IFERROR(IF('Informe Kelly'!H1071=$A$3,'Informe Kelly'!F1071,""),0)</f>
        <v>0.73329861111111105</v>
      </c>
      <c r="J1078" s="65" t="str">
        <f>IF(IFERROR(IF(E1078=E1077,0,(HLOOKUP(D1078,Ingreso!$AN$10:$AT$260,VLOOKUP(A1078,Ingreso!$AL$11:$AM$260,2,FALSE)))/24),0)=0,"",IFERROR(IF(E1078=E1077,0,(HLOOKUP(D1078,Ingreso!$AN$10:$AT$260,VLOOKUP(A1078,Ingreso!$AL$11:$AM$260,2,FALSE)))/24),0))</f>
        <v/>
      </c>
      <c r="K1078" s="65" t="str">
        <f>IF(IFERROR(IF(E1078=E1077,0,(HLOOKUP(C1078,Ingreso!$AW$10:$BC$260,VLOOKUP(A1078,Ingreso!$AL$11:$AM$260,2,FALSE)))/24),0)=0,"",IFERROR(IF(E1078=E1077,0,(HLOOKUP(C1078,Ingreso!$AW$10:$BC$260,VLOOKUP(A1078,Ingreso!$AL$11:$AM$260,2,FALSE)))/24),0))</f>
        <v/>
      </c>
      <c r="L1078" s="63">
        <f t="shared" si="32"/>
        <v>0.41666666666666669</v>
      </c>
      <c r="M1078" s="63" t="str">
        <f>IF(IFERROR(IF(C1078=C1076,0,IF(E1078=E1077,0,IF(C1078=$R$2,HLOOKUP($R$2,Ingreso!$AW$10:$BC$260,VLOOKUP(A1078,Ingreso!AL:AM,2,FALSE),FALSE)/24,""))),"")=0,"",IFERROR(IF(C1078=C1076,0,IF(E1078=E1077,0,IF(C1078=$R$2,HLOOKUP($R$2,Ingreso!$AW$10:$BC$260,VLOOKUP(A1078,Ingreso!AL:AM,2,FALSE),FALSE)/24,""))),""))</f>
        <v/>
      </c>
      <c r="N1078" s="95" t="str">
        <f>IF(IFERROR(IF(C1078=C1076,0,IF(E1078=E1077,0,IF(C1078=$R$3,HLOOKUP($R$3,Ingreso!$AW$10:$BC$260,VLOOKUP(A1078,Ingreso!AL:AM,2,FALSE),FALSE)/24,""))),"")=0,"",IFERROR(IF(C1078=C1076,0,IF(E1078=E1077,0,IF(C1078=$R$3,HLOOKUP($R$3,Ingreso!$AW$10:$BC$260,VLOOKUP(A1078,Ingreso!AL:AM,2,FALSE),FALSE)/24,""))),""))</f>
        <v/>
      </c>
      <c r="O1078" s="95" t="str">
        <f>IF(IFERROR(IF(C1078=C1076,0,IF(E1078=E1077,0,IF(C1078=$R$4,HLOOKUP($R$4,Ingreso!$AW$10:$BC$260,VLOOKUP(A1078,Ingreso!AL:AM,2,FALSE),FALSE)/24,""))),"")=0,"",IFERROR(IF(C1078=C1076,0,IF(E1078=E1077,0,IF(C1078=$R$4,HLOOKUP($R$4,Ingreso!$AW$10:$BC$260,VLOOKUP(A1078,Ingreso!AL:AM,2,FALSE),FALSE)/24,""))),""))</f>
        <v/>
      </c>
      <c r="P1078" s="90"/>
      <c r="V1078"/>
      <c r="W1078" s="62"/>
      <c r="X1078" s="62"/>
      <c r="Y1078" s="62"/>
      <c r="Z1078" s="62"/>
      <c r="AA1078" s="62"/>
      <c r="AB1078" s="62"/>
      <c r="AC1078" s="62"/>
    </row>
    <row r="1079" spans="1:29">
      <c r="A1079" s="65" t="str">
        <f>IFERROR(VLOOKUP('Informe Kelly'!A1072,Base!A:B,2,FALSE),"")</f>
        <v>17.245.009-1</v>
      </c>
      <c r="B1079" s="65" t="str">
        <f>IFERROR(VLOOKUP('Informe Kelly'!A1072,Base!A:G,7,FALSE),"")</f>
        <v>ROJAS SALAMANCA RODRIGO ALEJANDRO</v>
      </c>
      <c r="C1079" s="69" t="str">
        <f>IF(G1079=$C$4,IF('Informe Kelly'!H1072='Control informe Kelly'!$A$2,TEXT(((LEFT('Informe Kelly'!E1072,2)*1)+1),"dd")&amp;"."&amp;MID('Informe Kelly'!E1072,4,2)&amp;"."&amp;RIGHT('Informe Kelly'!E1072,4),'Informe Kelly'!E1072),'Informe Kelly'!E1072)</f>
        <v>11.04.2011</v>
      </c>
      <c r="D1079" s="69" t="str">
        <f>IF('Informe Kelly'!E1072="","",'Informe Kelly'!E1072)</f>
        <v>11.04.2011</v>
      </c>
      <c r="E1079" s="72">
        <f t="shared" si="33"/>
        <v>548</v>
      </c>
      <c r="F1079" s="72" t="str">
        <f>IFERROR(HLOOKUP(C1079,Ingreso!$Q$8:$AD$9,2,FALSE),"v")</f>
        <v>Lunes</v>
      </c>
      <c r="G1079" s="65" t="str">
        <f>IFERROR(VLOOKUP(A1079,Ingreso!K:P,6,FALSE),"no esta ingresado")</f>
        <v>Admin</v>
      </c>
      <c r="H1079" s="65">
        <f>IFERROR(IF('Informe Kelly'!H1072=$A$2,'Informe Kelly'!F1072,""),0)</f>
        <v>0.32055555555555554</v>
      </c>
      <c r="I1079" s="65" t="str">
        <f>IFERROR(IF('Informe Kelly'!H1072=$A$3,'Informe Kelly'!F1072,""),0)</f>
        <v/>
      </c>
      <c r="J1079" s="65" t="str">
        <f>IF(IFERROR(IF(E1079=E1078,0,(HLOOKUP(D1079,Ingreso!$AN$10:$AT$260,VLOOKUP(A1079,Ingreso!$AL$11:$AM$260,2,FALSE)))/24),0)=0,"",IFERROR(IF(E1079=E1078,0,(HLOOKUP(D1079,Ingreso!$AN$10:$AT$260,VLOOKUP(A1079,Ingreso!$AL$11:$AM$260,2,FALSE)))/24),0))</f>
        <v/>
      </c>
      <c r="K1079" s="65" t="str">
        <f>IF(IFERROR(IF(E1079=E1078,0,(HLOOKUP(C1079,Ingreso!$AW$10:$BC$260,VLOOKUP(A1079,Ingreso!$AL$11:$AM$260,2,FALSE)))/24),0)=0,"",IFERROR(IF(E1079=E1078,0,(HLOOKUP(C1079,Ingreso!$AW$10:$BC$260,VLOOKUP(A1079,Ingreso!$AL$11:$AM$260,2,FALSE)))/24),0))</f>
        <v/>
      </c>
      <c r="L1079" s="63">
        <f t="shared" si="32"/>
        <v>0</v>
      </c>
      <c r="M1079" s="63" t="str">
        <f>IF(IFERROR(IF(C1079=C1077,0,IF(E1079=E1078,0,IF(C1079=$R$2,HLOOKUP($R$2,Ingreso!$AW$10:$BC$260,VLOOKUP(A1079,Ingreso!AL:AM,2,FALSE),FALSE)/24,""))),"")=0,"",IFERROR(IF(C1079=C1077,0,IF(E1079=E1078,0,IF(C1079=$R$2,HLOOKUP($R$2,Ingreso!$AW$10:$BC$260,VLOOKUP(A1079,Ingreso!AL:AM,2,FALSE),FALSE)/24,""))),""))</f>
        <v/>
      </c>
      <c r="N1079" s="95" t="str">
        <f>IF(IFERROR(IF(C1079=C1077,0,IF(E1079=E1078,0,IF(C1079=$R$3,HLOOKUP($R$3,Ingreso!$AW$10:$BC$260,VLOOKUP(A1079,Ingreso!AL:AM,2,FALSE),FALSE)/24,""))),"")=0,"",IFERROR(IF(C1079=C1077,0,IF(E1079=E1078,0,IF(C1079=$R$3,HLOOKUP($R$3,Ingreso!$AW$10:$BC$260,VLOOKUP(A1079,Ingreso!AL:AM,2,FALSE),FALSE)/24,""))),""))</f>
        <v/>
      </c>
      <c r="O1079" s="95" t="str">
        <f>IF(IFERROR(IF(C1079=C1077,0,IF(E1079=E1078,0,IF(C1079=$R$4,HLOOKUP($R$4,Ingreso!$AW$10:$BC$260,VLOOKUP(A1079,Ingreso!AL:AM,2,FALSE),FALSE)/24,""))),"")=0,"",IFERROR(IF(C1079=C1077,0,IF(E1079=E1078,0,IF(C1079=$R$4,HLOOKUP($R$4,Ingreso!$AW$10:$BC$260,VLOOKUP(A1079,Ingreso!AL:AM,2,FALSE),FALSE)/24,""))),""))</f>
        <v/>
      </c>
      <c r="P1079" s="90"/>
      <c r="V1079"/>
      <c r="W1079" s="62"/>
      <c r="X1079" s="62"/>
      <c r="Y1079" s="62"/>
      <c r="Z1079" s="62"/>
      <c r="AA1079" s="62"/>
      <c r="AB1079" s="62"/>
      <c r="AC1079" s="62"/>
    </row>
    <row r="1080" spans="1:29">
      <c r="A1080" s="65" t="str">
        <f>IFERROR(VLOOKUP('Informe Kelly'!A1073,Base!A:B,2,FALSE),"")</f>
        <v>17.245.009-1</v>
      </c>
      <c r="B1080" s="65" t="str">
        <f>IFERROR(VLOOKUP('Informe Kelly'!A1073,Base!A:G,7,FALSE),"")</f>
        <v>ROJAS SALAMANCA RODRIGO ALEJANDRO</v>
      </c>
      <c r="C1080" s="69" t="str">
        <f>IF(G1080=$C$4,IF('Informe Kelly'!H1073='Control informe Kelly'!$A$2,TEXT(((LEFT('Informe Kelly'!E1073,2)*1)+1),"dd")&amp;"."&amp;MID('Informe Kelly'!E1073,4,2)&amp;"."&amp;RIGHT('Informe Kelly'!E1073,4),'Informe Kelly'!E1073),'Informe Kelly'!E1073)</f>
        <v>12.04.2011</v>
      </c>
      <c r="D1080" s="69" t="str">
        <f>IF('Informe Kelly'!E1073="","",'Informe Kelly'!E1073)</f>
        <v>12.04.2011</v>
      </c>
      <c r="E1080" s="72">
        <f t="shared" si="33"/>
        <v>549</v>
      </c>
      <c r="F1080" s="72" t="str">
        <f>IFERROR(HLOOKUP(C1080,Ingreso!$Q$8:$AD$9,2,FALSE),"v")</f>
        <v>Martes</v>
      </c>
      <c r="G1080" s="65" t="str">
        <f>IFERROR(VLOOKUP(A1080,Ingreso!K:P,6,FALSE),"no esta ingresado")</f>
        <v>Admin</v>
      </c>
      <c r="H1080" s="65" t="str">
        <f>IFERROR(IF('Informe Kelly'!H1073=$A$2,'Informe Kelly'!F1073,""),0)</f>
        <v/>
      </c>
      <c r="I1080" s="65">
        <f>IFERROR(IF('Informe Kelly'!H1073=$A$3,'Informe Kelly'!F1073,""),0)</f>
        <v>0.73111111111111116</v>
      </c>
      <c r="J1080" s="65" t="str">
        <f>IF(IFERROR(IF(E1080=E1079,0,(HLOOKUP(D1080,Ingreso!$AN$10:$AT$260,VLOOKUP(A1080,Ingreso!$AL$11:$AM$260,2,FALSE)))/24),0)=0,"",IFERROR(IF(E1080=E1079,0,(HLOOKUP(D1080,Ingreso!$AN$10:$AT$260,VLOOKUP(A1080,Ingreso!$AL$11:$AM$260,2,FALSE)))/24),0))</f>
        <v/>
      </c>
      <c r="K1080" s="65" t="str">
        <f>IF(IFERROR(IF(E1080=E1079,0,(HLOOKUP(C1080,Ingreso!$AW$10:$BC$260,VLOOKUP(A1080,Ingreso!$AL$11:$AM$260,2,FALSE)))/24),0)=0,"",IFERROR(IF(E1080=E1079,0,(HLOOKUP(C1080,Ingreso!$AW$10:$BC$260,VLOOKUP(A1080,Ingreso!$AL$11:$AM$260,2,FALSE)))/24),0))</f>
        <v/>
      </c>
      <c r="L1080" s="63">
        <f t="shared" si="32"/>
        <v>0.41666666666666669</v>
      </c>
      <c r="M1080" s="63" t="str">
        <f>IF(IFERROR(IF(C1080=C1078,0,IF(E1080=E1079,0,IF(C1080=$R$2,HLOOKUP($R$2,Ingreso!$AW$10:$BC$260,VLOOKUP(A1080,Ingreso!AL:AM,2,FALSE),FALSE)/24,""))),"")=0,"",IFERROR(IF(C1080=C1078,0,IF(E1080=E1079,0,IF(C1080=$R$2,HLOOKUP($R$2,Ingreso!$AW$10:$BC$260,VLOOKUP(A1080,Ingreso!AL:AM,2,FALSE),FALSE)/24,""))),""))</f>
        <v/>
      </c>
      <c r="N1080" s="95" t="str">
        <f>IF(IFERROR(IF(C1080=C1078,0,IF(E1080=E1079,0,IF(C1080=$R$3,HLOOKUP($R$3,Ingreso!$AW$10:$BC$260,VLOOKUP(A1080,Ingreso!AL:AM,2,FALSE),FALSE)/24,""))),"")=0,"",IFERROR(IF(C1080=C1078,0,IF(E1080=E1079,0,IF(C1080=$R$3,HLOOKUP($R$3,Ingreso!$AW$10:$BC$260,VLOOKUP(A1080,Ingreso!AL:AM,2,FALSE),FALSE)/24,""))),""))</f>
        <v/>
      </c>
      <c r="O1080" s="95" t="str">
        <f>IF(IFERROR(IF(C1080=C1078,0,IF(E1080=E1079,0,IF(C1080=$R$4,HLOOKUP($R$4,Ingreso!$AW$10:$BC$260,VLOOKUP(A1080,Ingreso!AL:AM,2,FALSE),FALSE)/24,""))),"")=0,"",IFERROR(IF(C1080=C1078,0,IF(E1080=E1079,0,IF(C1080=$R$4,HLOOKUP($R$4,Ingreso!$AW$10:$BC$260,VLOOKUP(A1080,Ingreso!AL:AM,2,FALSE),FALSE)/24,""))),""))</f>
        <v/>
      </c>
      <c r="P1080" s="90"/>
      <c r="V1080"/>
      <c r="W1080" s="62"/>
      <c r="X1080" s="62"/>
      <c r="Y1080" s="62"/>
      <c r="Z1080" s="62"/>
      <c r="AA1080" s="62"/>
      <c r="AB1080" s="62"/>
      <c r="AC1080" s="62"/>
    </row>
    <row r="1081" spans="1:29">
      <c r="A1081" s="65" t="str">
        <f>IFERROR(VLOOKUP('Informe Kelly'!A1074,Base!A:B,2,FALSE),"")</f>
        <v>17.245.009-1</v>
      </c>
      <c r="B1081" s="65" t="str">
        <f>IFERROR(VLOOKUP('Informe Kelly'!A1074,Base!A:G,7,FALSE),"")</f>
        <v>ROJAS SALAMANCA RODRIGO ALEJANDRO</v>
      </c>
      <c r="C1081" s="69" t="str">
        <f>IF(G1081=$C$4,IF('Informe Kelly'!H1074='Control informe Kelly'!$A$2,TEXT(((LEFT('Informe Kelly'!E1074,2)*1)+1),"dd")&amp;"."&amp;MID('Informe Kelly'!E1074,4,2)&amp;"."&amp;RIGHT('Informe Kelly'!E1074,4),'Informe Kelly'!E1074),'Informe Kelly'!E1074)</f>
        <v>12.04.2011</v>
      </c>
      <c r="D1081" s="69" t="str">
        <f>IF('Informe Kelly'!E1074="","",'Informe Kelly'!E1074)</f>
        <v>12.04.2011</v>
      </c>
      <c r="E1081" s="72">
        <f t="shared" si="33"/>
        <v>549</v>
      </c>
      <c r="F1081" s="72" t="str">
        <f>IFERROR(HLOOKUP(C1081,Ingreso!$Q$8:$AD$9,2,FALSE),"v")</f>
        <v>Martes</v>
      </c>
      <c r="G1081" s="65" t="str">
        <f>IFERROR(VLOOKUP(A1081,Ingreso!K:P,6,FALSE),"no esta ingresado")</f>
        <v>Admin</v>
      </c>
      <c r="H1081" s="65">
        <f>IFERROR(IF('Informe Kelly'!H1074=$A$2,'Informe Kelly'!F1074,""),0)</f>
        <v>0.32245370370370369</v>
      </c>
      <c r="I1081" s="65" t="str">
        <f>IFERROR(IF('Informe Kelly'!H1074=$A$3,'Informe Kelly'!F1074,""),0)</f>
        <v/>
      </c>
      <c r="J1081" s="65" t="str">
        <f>IF(IFERROR(IF(E1081=E1080,0,(HLOOKUP(D1081,Ingreso!$AN$10:$AT$260,VLOOKUP(A1081,Ingreso!$AL$11:$AM$260,2,FALSE)))/24),0)=0,"",IFERROR(IF(E1081=E1080,0,(HLOOKUP(D1081,Ingreso!$AN$10:$AT$260,VLOOKUP(A1081,Ingreso!$AL$11:$AM$260,2,FALSE)))/24),0))</f>
        <v/>
      </c>
      <c r="K1081" s="65" t="str">
        <f>IF(IFERROR(IF(E1081=E1080,0,(HLOOKUP(C1081,Ingreso!$AW$10:$BC$260,VLOOKUP(A1081,Ingreso!$AL$11:$AM$260,2,FALSE)))/24),0)=0,"",IFERROR(IF(E1081=E1080,0,(HLOOKUP(C1081,Ingreso!$AW$10:$BC$260,VLOOKUP(A1081,Ingreso!$AL$11:$AM$260,2,FALSE)))/24),0))</f>
        <v/>
      </c>
      <c r="L1081" s="63">
        <f t="shared" si="32"/>
        <v>0</v>
      </c>
      <c r="M1081" s="63" t="str">
        <f>IF(IFERROR(IF(C1081=C1079,0,IF(E1081=E1080,0,IF(C1081=$R$2,HLOOKUP($R$2,Ingreso!$AW$10:$BC$260,VLOOKUP(A1081,Ingreso!AL:AM,2,FALSE),FALSE)/24,""))),"")=0,"",IFERROR(IF(C1081=C1079,0,IF(E1081=E1080,0,IF(C1081=$R$2,HLOOKUP($R$2,Ingreso!$AW$10:$BC$260,VLOOKUP(A1081,Ingreso!AL:AM,2,FALSE),FALSE)/24,""))),""))</f>
        <v/>
      </c>
      <c r="N1081" s="95" t="str">
        <f>IF(IFERROR(IF(C1081=C1079,0,IF(E1081=E1080,0,IF(C1081=$R$3,HLOOKUP($R$3,Ingreso!$AW$10:$BC$260,VLOOKUP(A1081,Ingreso!AL:AM,2,FALSE),FALSE)/24,""))),"")=0,"",IFERROR(IF(C1081=C1079,0,IF(E1081=E1080,0,IF(C1081=$R$3,HLOOKUP($R$3,Ingreso!$AW$10:$BC$260,VLOOKUP(A1081,Ingreso!AL:AM,2,FALSE),FALSE)/24,""))),""))</f>
        <v/>
      </c>
      <c r="O1081" s="95" t="str">
        <f>IF(IFERROR(IF(C1081=C1079,0,IF(E1081=E1080,0,IF(C1081=$R$4,HLOOKUP($R$4,Ingreso!$AW$10:$BC$260,VLOOKUP(A1081,Ingreso!AL:AM,2,FALSE),FALSE)/24,""))),"")=0,"",IFERROR(IF(C1081=C1079,0,IF(E1081=E1080,0,IF(C1081=$R$4,HLOOKUP($R$4,Ingreso!$AW$10:$BC$260,VLOOKUP(A1081,Ingreso!AL:AM,2,FALSE),FALSE)/24,""))),""))</f>
        <v/>
      </c>
      <c r="P1081" s="90"/>
      <c r="V1081"/>
      <c r="W1081" s="62"/>
      <c r="X1081" s="62"/>
      <c r="Y1081" s="62"/>
      <c r="Z1081" s="62"/>
      <c r="AA1081" s="62"/>
      <c r="AB1081" s="62"/>
      <c r="AC1081" s="62"/>
    </row>
    <row r="1082" spans="1:29">
      <c r="A1082" s="65" t="str">
        <f>IFERROR(VLOOKUP('Informe Kelly'!A1075,Base!A:B,2,FALSE),"")</f>
        <v>17.245.009-1</v>
      </c>
      <c r="B1082" s="65" t="str">
        <f>IFERROR(VLOOKUP('Informe Kelly'!A1075,Base!A:G,7,FALSE),"")</f>
        <v>ROJAS SALAMANCA RODRIGO ALEJANDRO</v>
      </c>
      <c r="C1082" s="69" t="str">
        <f>IF(G1082=$C$4,IF('Informe Kelly'!H1075='Control informe Kelly'!$A$2,TEXT(((LEFT('Informe Kelly'!E1075,2)*1)+1),"dd")&amp;"."&amp;MID('Informe Kelly'!E1075,4,2)&amp;"."&amp;RIGHT('Informe Kelly'!E1075,4),'Informe Kelly'!E1075),'Informe Kelly'!E1075)</f>
        <v>13.04.2011</v>
      </c>
      <c r="D1082" s="69" t="str">
        <f>IF('Informe Kelly'!E1075="","",'Informe Kelly'!E1075)</f>
        <v>13.04.2011</v>
      </c>
      <c r="E1082" s="72">
        <f t="shared" si="33"/>
        <v>550</v>
      </c>
      <c r="F1082" s="72" t="str">
        <f>IFERROR(HLOOKUP(C1082,Ingreso!$Q$8:$AD$9,2,FALSE),"v")</f>
        <v>Miércoles</v>
      </c>
      <c r="G1082" s="65" t="str">
        <f>IFERROR(VLOOKUP(A1082,Ingreso!K:P,6,FALSE),"no esta ingresado")</f>
        <v>Admin</v>
      </c>
      <c r="H1082" s="65" t="str">
        <f>IFERROR(IF('Informe Kelly'!H1075=$A$2,'Informe Kelly'!F1075,""),0)</f>
        <v/>
      </c>
      <c r="I1082" s="65">
        <f>IFERROR(IF('Informe Kelly'!H1075=$A$3,'Informe Kelly'!F1075,""),0)</f>
        <v>0.45249999999999996</v>
      </c>
      <c r="J1082" s="65" t="str">
        <f>IF(IFERROR(IF(E1082=E1081,0,(HLOOKUP(D1082,Ingreso!$AN$10:$AT$260,VLOOKUP(A1082,Ingreso!$AL$11:$AM$260,2,FALSE)))/24),0)=0,"",IFERROR(IF(E1082=E1081,0,(HLOOKUP(D1082,Ingreso!$AN$10:$AT$260,VLOOKUP(A1082,Ingreso!$AL$11:$AM$260,2,FALSE)))/24),0))</f>
        <v/>
      </c>
      <c r="K1082" s="65" t="str">
        <f>IF(IFERROR(IF(E1082=E1081,0,(HLOOKUP(C1082,Ingreso!$AW$10:$BC$260,VLOOKUP(A1082,Ingreso!$AL$11:$AM$260,2,FALSE)))/24),0)=0,"",IFERROR(IF(E1082=E1081,0,(HLOOKUP(C1082,Ingreso!$AW$10:$BC$260,VLOOKUP(A1082,Ingreso!$AL$11:$AM$260,2,FALSE)))/24),0))</f>
        <v/>
      </c>
      <c r="L1082" s="63">
        <f t="shared" si="32"/>
        <v>0.41666666666666669</v>
      </c>
      <c r="M1082" s="63" t="str">
        <f>IF(IFERROR(IF(C1082=C1080,0,IF(E1082=E1081,0,IF(C1082=$R$2,HLOOKUP($R$2,Ingreso!$AW$10:$BC$260,VLOOKUP(A1082,Ingreso!AL:AM,2,FALSE),FALSE)/24,""))),"")=0,"",IFERROR(IF(C1082=C1080,0,IF(E1082=E1081,0,IF(C1082=$R$2,HLOOKUP($R$2,Ingreso!$AW$10:$BC$260,VLOOKUP(A1082,Ingreso!AL:AM,2,FALSE),FALSE)/24,""))),""))</f>
        <v/>
      </c>
      <c r="N1082" s="95" t="str">
        <f>IF(IFERROR(IF(C1082=C1080,0,IF(E1082=E1081,0,IF(C1082=$R$3,HLOOKUP($R$3,Ingreso!$AW$10:$BC$260,VLOOKUP(A1082,Ingreso!AL:AM,2,FALSE),FALSE)/24,""))),"")=0,"",IFERROR(IF(C1082=C1080,0,IF(E1082=E1081,0,IF(C1082=$R$3,HLOOKUP($R$3,Ingreso!$AW$10:$BC$260,VLOOKUP(A1082,Ingreso!AL:AM,2,FALSE),FALSE)/24,""))),""))</f>
        <v/>
      </c>
      <c r="O1082" s="95" t="str">
        <f>IF(IFERROR(IF(C1082=C1080,0,IF(E1082=E1081,0,IF(C1082=$R$4,HLOOKUP($R$4,Ingreso!$AW$10:$BC$260,VLOOKUP(A1082,Ingreso!AL:AM,2,FALSE),FALSE)/24,""))),"")=0,"",IFERROR(IF(C1082=C1080,0,IF(E1082=E1081,0,IF(C1082=$R$4,HLOOKUP($R$4,Ingreso!$AW$10:$BC$260,VLOOKUP(A1082,Ingreso!AL:AM,2,FALSE),FALSE)/24,""))),""))</f>
        <v/>
      </c>
      <c r="P1082" s="90"/>
      <c r="V1082"/>
      <c r="W1082" s="62"/>
      <c r="X1082" s="62"/>
      <c r="Y1082" s="62"/>
      <c r="Z1082" s="62"/>
      <c r="AA1082" s="62"/>
      <c r="AB1082" s="62"/>
      <c r="AC1082" s="62"/>
    </row>
    <row r="1083" spans="1:29">
      <c r="A1083" s="65" t="str">
        <f>IFERROR(VLOOKUP('Informe Kelly'!A1076,Base!A:B,2,FALSE),"")</f>
        <v>17.245.009-1</v>
      </c>
      <c r="B1083" s="65" t="str">
        <f>IFERROR(VLOOKUP('Informe Kelly'!A1076,Base!A:G,7,FALSE),"")</f>
        <v>ROJAS SALAMANCA RODRIGO ALEJANDRO</v>
      </c>
      <c r="C1083" s="69" t="str">
        <f>IF(G1083=$C$4,IF('Informe Kelly'!H1076='Control informe Kelly'!$A$2,TEXT(((LEFT('Informe Kelly'!E1076,2)*1)+1),"dd")&amp;"."&amp;MID('Informe Kelly'!E1076,4,2)&amp;"."&amp;RIGHT('Informe Kelly'!E1076,4),'Informe Kelly'!E1076),'Informe Kelly'!E1076)</f>
        <v>13.04.2011</v>
      </c>
      <c r="D1083" s="69" t="str">
        <f>IF('Informe Kelly'!E1076="","",'Informe Kelly'!E1076)</f>
        <v>13.04.2011</v>
      </c>
      <c r="E1083" s="72">
        <f t="shared" si="33"/>
        <v>550</v>
      </c>
      <c r="F1083" s="72" t="str">
        <f>IFERROR(HLOOKUP(C1083,Ingreso!$Q$8:$AD$9,2,FALSE),"v")</f>
        <v>Miércoles</v>
      </c>
      <c r="G1083" s="65" t="str">
        <f>IFERROR(VLOOKUP(A1083,Ingreso!K:P,6,FALSE),"no esta ingresado")</f>
        <v>Admin</v>
      </c>
      <c r="H1083" s="65">
        <f>IFERROR(IF('Informe Kelly'!H1076=$A$2,'Informe Kelly'!F1076,""),0)</f>
        <v>0.30034722222222221</v>
      </c>
      <c r="I1083" s="65" t="str">
        <f>IFERROR(IF('Informe Kelly'!H1076=$A$3,'Informe Kelly'!F1076,""),0)</f>
        <v/>
      </c>
      <c r="J1083" s="65" t="str">
        <f>IF(IFERROR(IF(E1083=E1082,0,(HLOOKUP(D1083,Ingreso!$AN$10:$AT$260,VLOOKUP(A1083,Ingreso!$AL$11:$AM$260,2,FALSE)))/24),0)=0,"",IFERROR(IF(E1083=E1082,0,(HLOOKUP(D1083,Ingreso!$AN$10:$AT$260,VLOOKUP(A1083,Ingreso!$AL$11:$AM$260,2,FALSE)))/24),0))</f>
        <v/>
      </c>
      <c r="K1083" s="65" t="str">
        <f>IF(IFERROR(IF(E1083=E1082,0,(HLOOKUP(C1083,Ingreso!$AW$10:$BC$260,VLOOKUP(A1083,Ingreso!$AL$11:$AM$260,2,FALSE)))/24),0)=0,"",IFERROR(IF(E1083=E1082,0,(HLOOKUP(C1083,Ingreso!$AW$10:$BC$260,VLOOKUP(A1083,Ingreso!$AL$11:$AM$260,2,FALSE)))/24),0))</f>
        <v/>
      </c>
      <c r="L1083" s="63">
        <f t="shared" si="32"/>
        <v>0</v>
      </c>
      <c r="M1083" s="63" t="str">
        <f>IF(IFERROR(IF(C1083=C1081,0,IF(E1083=E1082,0,IF(C1083=$R$2,HLOOKUP($R$2,Ingreso!$AW$10:$BC$260,VLOOKUP(A1083,Ingreso!AL:AM,2,FALSE),FALSE)/24,""))),"")=0,"",IFERROR(IF(C1083=C1081,0,IF(E1083=E1082,0,IF(C1083=$R$2,HLOOKUP($R$2,Ingreso!$AW$10:$BC$260,VLOOKUP(A1083,Ingreso!AL:AM,2,FALSE),FALSE)/24,""))),""))</f>
        <v/>
      </c>
      <c r="N1083" s="95" t="str">
        <f>IF(IFERROR(IF(C1083=C1081,0,IF(E1083=E1082,0,IF(C1083=$R$3,HLOOKUP($R$3,Ingreso!$AW$10:$BC$260,VLOOKUP(A1083,Ingreso!AL:AM,2,FALSE),FALSE)/24,""))),"")=0,"",IFERROR(IF(C1083=C1081,0,IF(E1083=E1082,0,IF(C1083=$R$3,HLOOKUP($R$3,Ingreso!$AW$10:$BC$260,VLOOKUP(A1083,Ingreso!AL:AM,2,FALSE),FALSE)/24,""))),""))</f>
        <v/>
      </c>
      <c r="O1083" s="95" t="str">
        <f>IF(IFERROR(IF(C1083=C1081,0,IF(E1083=E1082,0,IF(C1083=$R$4,HLOOKUP($R$4,Ingreso!$AW$10:$BC$260,VLOOKUP(A1083,Ingreso!AL:AM,2,FALSE),FALSE)/24,""))),"")=0,"",IFERROR(IF(C1083=C1081,0,IF(E1083=E1082,0,IF(C1083=$R$4,HLOOKUP($R$4,Ingreso!$AW$10:$BC$260,VLOOKUP(A1083,Ingreso!AL:AM,2,FALSE),FALSE)/24,""))),""))</f>
        <v/>
      </c>
      <c r="P1083" s="90"/>
      <c r="V1083"/>
      <c r="W1083" s="62"/>
      <c r="X1083" s="62"/>
      <c r="Y1083" s="62"/>
      <c r="Z1083" s="62"/>
      <c r="AA1083" s="62"/>
      <c r="AB1083" s="62"/>
      <c r="AC1083" s="62"/>
    </row>
    <row r="1084" spans="1:29">
      <c r="A1084" s="65" t="str">
        <f>IFERROR(VLOOKUP('Informe Kelly'!A1077,Base!A:B,2,FALSE),"")</f>
        <v>17.245.009-1</v>
      </c>
      <c r="B1084" s="65" t="str">
        <f>IFERROR(VLOOKUP('Informe Kelly'!A1077,Base!A:G,7,FALSE),"")</f>
        <v>ROJAS SALAMANCA RODRIGO ALEJANDRO</v>
      </c>
      <c r="C1084" s="69" t="str">
        <f>IF(G1084=$C$4,IF('Informe Kelly'!H1077='Control informe Kelly'!$A$2,TEXT(((LEFT('Informe Kelly'!E1077,2)*1)+1),"dd")&amp;"."&amp;MID('Informe Kelly'!E1077,4,2)&amp;"."&amp;RIGHT('Informe Kelly'!E1077,4),'Informe Kelly'!E1077),'Informe Kelly'!E1077)</f>
        <v>14.04.2011</v>
      </c>
      <c r="D1084" s="69" t="str">
        <f>IF('Informe Kelly'!E1077="","",'Informe Kelly'!E1077)</f>
        <v>14.04.2011</v>
      </c>
      <c r="E1084" s="72">
        <f t="shared" si="33"/>
        <v>551</v>
      </c>
      <c r="F1084" s="72" t="str">
        <f>IFERROR(HLOOKUP(C1084,Ingreso!$Q$8:$AD$9,2,FALSE),"v")</f>
        <v>Jueves</v>
      </c>
      <c r="G1084" s="65" t="str">
        <f>IFERROR(VLOOKUP(A1084,Ingreso!K:P,6,FALSE),"no esta ingresado")</f>
        <v>Admin</v>
      </c>
      <c r="H1084" s="65" t="str">
        <f>IFERROR(IF('Informe Kelly'!H1077=$A$2,'Informe Kelly'!F1077,""),0)</f>
        <v/>
      </c>
      <c r="I1084" s="65">
        <f>IFERROR(IF('Informe Kelly'!H1077=$A$3,'Informe Kelly'!F1077,""),0)</f>
        <v>0.73560185185185178</v>
      </c>
      <c r="J1084" s="65" t="str">
        <f>IF(IFERROR(IF(E1084=E1083,0,(HLOOKUP(D1084,Ingreso!$AN$10:$AT$260,VLOOKUP(A1084,Ingreso!$AL$11:$AM$260,2,FALSE)))/24),0)=0,"",IFERROR(IF(E1084=E1083,0,(HLOOKUP(D1084,Ingreso!$AN$10:$AT$260,VLOOKUP(A1084,Ingreso!$AL$11:$AM$260,2,FALSE)))/24),0))</f>
        <v/>
      </c>
      <c r="K1084" s="65" t="str">
        <f>IF(IFERROR(IF(E1084=E1083,0,(HLOOKUP(C1084,Ingreso!$AW$10:$BC$260,VLOOKUP(A1084,Ingreso!$AL$11:$AM$260,2,FALSE)))/24),0)=0,"",IFERROR(IF(E1084=E1083,0,(HLOOKUP(C1084,Ingreso!$AW$10:$BC$260,VLOOKUP(A1084,Ingreso!$AL$11:$AM$260,2,FALSE)))/24),0))</f>
        <v/>
      </c>
      <c r="L1084" s="63">
        <f t="shared" si="32"/>
        <v>0.41666666666666669</v>
      </c>
      <c r="M1084" s="63" t="str">
        <f>IF(IFERROR(IF(C1084=C1082,0,IF(E1084=E1083,0,IF(C1084=$R$2,HLOOKUP($R$2,Ingreso!$AW$10:$BC$260,VLOOKUP(A1084,Ingreso!AL:AM,2,FALSE),FALSE)/24,""))),"")=0,"",IFERROR(IF(C1084=C1082,0,IF(E1084=E1083,0,IF(C1084=$R$2,HLOOKUP($R$2,Ingreso!$AW$10:$BC$260,VLOOKUP(A1084,Ingreso!AL:AM,2,FALSE),FALSE)/24,""))),""))</f>
        <v/>
      </c>
      <c r="N1084" s="95" t="str">
        <f>IF(IFERROR(IF(C1084=C1082,0,IF(E1084=E1083,0,IF(C1084=$R$3,HLOOKUP($R$3,Ingreso!$AW$10:$BC$260,VLOOKUP(A1084,Ingreso!AL:AM,2,FALSE),FALSE)/24,""))),"")=0,"",IFERROR(IF(C1084=C1082,0,IF(E1084=E1083,0,IF(C1084=$R$3,HLOOKUP($R$3,Ingreso!$AW$10:$BC$260,VLOOKUP(A1084,Ingreso!AL:AM,2,FALSE),FALSE)/24,""))),""))</f>
        <v/>
      </c>
      <c r="O1084" s="95" t="str">
        <f>IF(IFERROR(IF(C1084=C1082,0,IF(E1084=E1083,0,IF(C1084=$R$4,HLOOKUP($R$4,Ingreso!$AW$10:$BC$260,VLOOKUP(A1084,Ingreso!AL:AM,2,FALSE),FALSE)/24,""))),"")=0,"",IFERROR(IF(C1084=C1082,0,IF(E1084=E1083,0,IF(C1084=$R$4,HLOOKUP($R$4,Ingreso!$AW$10:$BC$260,VLOOKUP(A1084,Ingreso!AL:AM,2,FALSE),FALSE)/24,""))),""))</f>
        <v/>
      </c>
      <c r="P1084" s="90"/>
      <c r="V1084"/>
      <c r="W1084" s="62"/>
      <c r="X1084" s="62"/>
      <c r="Y1084" s="62"/>
      <c r="Z1084" s="62"/>
      <c r="AA1084" s="62"/>
      <c r="AB1084" s="62"/>
      <c r="AC1084" s="62"/>
    </row>
    <row r="1085" spans="1:29">
      <c r="A1085" s="65" t="str">
        <f>IFERROR(VLOOKUP('Informe Kelly'!A1078,Base!A:B,2,FALSE),"")</f>
        <v>17.245.009-1</v>
      </c>
      <c r="B1085" s="65" t="str">
        <f>IFERROR(VLOOKUP('Informe Kelly'!A1078,Base!A:G,7,FALSE),"")</f>
        <v>ROJAS SALAMANCA RODRIGO ALEJANDRO</v>
      </c>
      <c r="C1085" s="69" t="str">
        <f>IF(G1085=$C$4,IF('Informe Kelly'!H1078='Control informe Kelly'!$A$2,TEXT(((LEFT('Informe Kelly'!E1078,2)*1)+1),"dd")&amp;"."&amp;MID('Informe Kelly'!E1078,4,2)&amp;"."&amp;RIGHT('Informe Kelly'!E1078,4),'Informe Kelly'!E1078),'Informe Kelly'!E1078)</f>
        <v>14.04.2011</v>
      </c>
      <c r="D1085" s="69" t="str">
        <f>IF('Informe Kelly'!E1078="","",'Informe Kelly'!E1078)</f>
        <v>14.04.2011</v>
      </c>
      <c r="E1085" s="72">
        <f t="shared" si="33"/>
        <v>551</v>
      </c>
      <c r="F1085" s="72" t="str">
        <f>IFERROR(HLOOKUP(C1085,Ingreso!$Q$8:$AD$9,2,FALSE),"v")</f>
        <v>Jueves</v>
      </c>
      <c r="G1085" s="65" t="str">
        <f>IFERROR(VLOOKUP(A1085,Ingreso!K:P,6,FALSE),"no esta ingresado")</f>
        <v>Admin</v>
      </c>
      <c r="H1085" s="65">
        <f>IFERROR(IF('Informe Kelly'!H1078=$A$2,'Informe Kelly'!F1078,""),0)</f>
        <v>0.29866898148148147</v>
      </c>
      <c r="I1085" s="65" t="str">
        <f>IFERROR(IF('Informe Kelly'!H1078=$A$3,'Informe Kelly'!F1078,""),0)</f>
        <v/>
      </c>
      <c r="J1085" s="65" t="str">
        <f>IF(IFERROR(IF(E1085=E1084,0,(HLOOKUP(D1085,Ingreso!$AN$10:$AT$260,VLOOKUP(A1085,Ingreso!$AL$11:$AM$260,2,FALSE)))/24),0)=0,"",IFERROR(IF(E1085=E1084,0,(HLOOKUP(D1085,Ingreso!$AN$10:$AT$260,VLOOKUP(A1085,Ingreso!$AL$11:$AM$260,2,FALSE)))/24),0))</f>
        <v/>
      </c>
      <c r="K1085" s="65" t="str">
        <f>IF(IFERROR(IF(E1085=E1084,0,(HLOOKUP(C1085,Ingreso!$AW$10:$BC$260,VLOOKUP(A1085,Ingreso!$AL$11:$AM$260,2,FALSE)))/24),0)=0,"",IFERROR(IF(E1085=E1084,0,(HLOOKUP(C1085,Ingreso!$AW$10:$BC$260,VLOOKUP(A1085,Ingreso!$AL$11:$AM$260,2,FALSE)))/24),0))</f>
        <v/>
      </c>
      <c r="L1085" s="63">
        <f t="shared" si="32"/>
        <v>0</v>
      </c>
      <c r="M1085" s="63" t="str">
        <f>IF(IFERROR(IF(C1085=C1083,0,IF(E1085=E1084,0,IF(C1085=$R$2,HLOOKUP($R$2,Ingreso!$AW$10:$BC$260,VLOOKUP(A1085,Ingreso!AL:AM,2,FALSE),FALSE)/24,""))),"")=0,"",IFERROR(IF(C1085=C1083,0,IF(E1085=E1084,0,IF(C1085=$R$2,HLOOKUP($R$2,Ingreso!$AW$10:$BC$260,VLOOKUP(A1085,Ingreso!AL:AM,2,FALSE),FALSE)/24,""))),""))</f>
        <v/>
      </c>
      <c r="N1085" s="95" t="str">
        <f>IF(IFERROR(IF(C1085=C1083,0,IF(E1085=E1084,0,IF(C1085=$R$3,HLOOKUP($R$3,Ingreso!$AW$10:$BC$260,VLOOKUP(A1085,Ingreso!AL:AM,2,FALSE),FALSE)/24,""))),"")=0,"",IFERROR(IF(C1085=C1083,0,IF(E1085=E1084,0,IF(C1085=$R$3,HLOOKUP($R$3,Ingreso!$AW$10:$BC$260,VLOOKUP(A1085,Ingreso!AL:AM,2,FALSE),FALSE)/24,""))),""))</f>
        <v/>
      </c>
      <c r="O1085" s="95" t="str">
        <f>IF(IFERROR(IF(C1085=C1083,0,IF(E1085=E1084,0,IF(C1085=$R$4,HLOOKUP($R$4,Ingreso!$AW$10:$BC$260,VLOOKUP(A1085,Ingreso!AL:AM,2,FALSE),FALSE)/24,""))),"")=0,"",IFERROR(IF(C1085=C1083,0,IF(E1085=E1084,0,IF(C1085=$R$4,HLOOKUP($R$4,Ingreso!$AW$10:$BC$260,VLOOKUP(A1085,Ingreso!AL:AM,2,FALSE),FALSE)/24,""))),""))</f>
        <v/>
      </c>
      <c r="P1085" s="90"/>
      <c r="V1085"/>
      <c r="W1085" s="62"/>
      <c r="X1085" s="62"/>
      <c r="Y1085" s="62"/>
      <c r="Z1085" s="62"/>
      <c r="AA1085" s="62"/>
      <c r="AB1085" s="62"/>
      <c r="AC1085" s="62"/>
    </row>
    <row r="1086" spans="1:29">
      <c r="A1086" s="65" t="str">
        <f>IFERROR(VLOOKUP('Informe Kelly'!A1079,Base!A:B,2,FALSE),"")</f>
        <v>17.245.009-1</v>
      </c>
      <c r="B1086" s="65" t="str">
        <f>IFERROR(VLOOKUP('Informe Kelly'!A1079,Base!A:G,7,FALSE),"")</f>
        <v>ROJAS SALAMANCA RODRIGO ALEJANDRO</v>
      </c>
      <c r="C1086" s="69" t="str">
        <f>IF(G1086=$C$4,IF('Informe Kelly'!H1079='Control informe Kelly'!$A$2,TEXT(((LEFT('Informe Kelly'!E1079,2)*1)+1),"dd")&amp;"."&amp;MID('Informe Kelly'!E1079,4,2)&amp;"."&amp;RIGHT('Informe Kelly'!E1079,4),'Informe Kelly'!E1079),'Informe Kelly'!E1079)</f>
        <v>15.04.2011</v>
      </c>
      <c r="D1086" s="69" t="str">
        <f>IF('Informe Kelly'!E1079="","",'Informe Kelly'!E1079)</f>
        <v>15.04.2011</v>
      </c>
      <c r="E1086" s="72">
        <f t="shared" si="33"/>
        <v>552</v>
      </c>
      <c r="F1086" s="72" t="str">
        <f>IFERROR(HLOOKUP(C1086,Ingreso!$Q$8:$AD$9,2,FALSE),"v")</f>
        <v>Viernes</v>
      </c>
      <c r="G1086" s="65" t="str">
        <f>IFERROR(VLOOKUP(A1086,Ingreso!K:P,6,FALSE),"no esta ingresado")</f>
        <v>Admin</v>
      </c>
      <c r="H1086" s="65" t="str">
        <f>IFERROR(IF('Informe Kelly'!H1079=$A$2,'Informe Kelly'!F1079,""),0)</f>
        <v/>
      </c>
      <c r="I1086" s="65">
        <f>IFERROR(IF('Informe Kelly'!H1079=$A$3,'Informe Kelly'!F1079,""),0)</f>
        <v>0.73589120370370376</v>
      </c>
      <c r="J1086" s="65" t="str">
        <f>IF(IFERROR(IF(E1086=E1085,0,(HLOOKUP(D1086,Ingreso!$AN$10:$AT$260,VLOOKUP(A1086,Ingreso!$AL$11:$AM$260,2,FALSE)))/24),0)=0,"",IFERROR(IF(E1086=E1085,0,(HLOOKUP(D1086,Ingreso!$AN$10:$AT$260,VLOOKUP(A1086,Ingreso!$AL$11:$AM$260,2,FALSE)))/24),0))</f>
        <v/>
      </c>
      <c r="K1086" s="65" t="str">
        <f>IF(IFERROR(IF(E1086=E1085,0,(HLOOKUP(C1086,Ingreso!$AW$10:$BC$260,VLOOKUP(A1086,Ingreso!$AL$11:$AM$260,2,FALSE)))/24),0)=0,"",IFERROR(IF(E1086=E1085,0,(HLOOKUP(C1086,Ingreso!$AW$10:$BC$260,VLOOKUP(A1086,Ingreso!$AL$11:$AM$260,2,FALSE)))/24),0))</f>
        <v/>
      </c>
      <c r="L1086" s="63">
        <f t="shared" si="32"/>
        <v>0.41666666666666669</v>
      </c>
      <c r="M1086" s="63" t="str">
        <f>IF(IFERROR(IF(C1086=C1084,0,IF(E1086=E1085,0,IF(C1086=$R$2,HLOOKUP($R$2,Ingreso!$AW$10:$BC$260,VLOOKUP(A1086,Ingreso!AL:AM,2,FALSE),FALSE)/24,""))),"")=0,"",IFERROR(IF(C1086=C1084,0,IF(E1086=E1085,0,IF(C1086=$R$2,HLOOKUP($R$2,Ingreso!$AW$10:$BC$260,VLOOKUP(A1086,Ingreso!AL:AM,2,FALSE),FALSE)/24,""))),""))</f>
        <v/>
      </c>
      <c r="N1086" s="95" t="str">
        <f>IF(IFERROR(IF(C1086=C1084,0,IF(E1086=E1085,0,IF(C1086=$R$3,HLOOKUP($R$3,Ingreso!$AW$10:$BC$260,VLOOKUP(A1086,Ingreso!AL:AM,2,FALSE),FALSE)/24,""))),"")=0,"",IFERROR(IF(C1086=C1084,0,IF(E1086=E1085,0,IF(C1086=$R$3,HLOOKUP($R$3,Ingreso!$AW$10:$BC$260,VLOOKUP(A1086,Ingreso!AL:AM,2,FALSE),FALSE)/24,""))),""))</f>
        <v/>
      </c>
      <c r="O1086" s="95" t="str">
        <f>IF(IFERROR(IF(C1086=C1084,0,IF(E1086=E1085,0,IF(C1086=$R$4,HLOOKUP($R$4,Ingreso!$AW$10:$BC$260,VLOOKUP(A1086,Ingreso!AL:AM,2,FALSE),FALSE)/24,""))),"")=0,"",IFERROR(IF(C1086=C1084,0,IF(E1086=E1085,0,IF(C1086=$R$4,HLOOKUP($R$4,Ingreso!$AW$10:$BC$260,VLOOKUP(A1086,Ingreso!AL:AM,2,FALSE),FALSE)/24,""))),""))</f>
        <v/>
      </c>
      <c r="P1086" s="90"/>
      <c r="V1086"/>
      <c r="W1086" s="62"/>
      <c r="X1086" s="62"/>
      <c r="Y1086" s="62"/>
      <c r="Z1086" s="62"/>
      <c r="AA1086" s="62"/>
      <c r="AB1086" s="62"/>
      <c r="AC1086" s="62"/>
    </row>
    <row r="1087" spans="1:29">
      <c r="A1087" s="65" t="str">
        <f>IFERROR(VLOOKUP('Informe Kelly'!A1080,Base!A:B,2,FALSE),"")</f>
        <v>17.245.009-1</v>
      </c>
      <c r="B1087" s="65" t="str">
        <f>IFERROR(VLOOKUP('Informe Kelly'!A1080,Base!A:G,7,FALSE),"")</f>
        <v>ROJAS SALAMANCA RODRIGO ALEJANDRO</v>
      </c>
      <c r="C1087" s="69" t="str">
        <f>IF(G1087=$C$4,IF('Informe Kelly'!H1080='Control informe Kelly'!$A$2,TEXT(((LEFT('Informe Kelly'!E1080,2)*1)+1),"dd")&amp;"."&amp;MID('Informe Kelly'!E1080,4,2)&amp;"."&amp;RIGHT('Informe Kelly'!E1080,4),'Informe Kelly'!E1080),'Informe Kelly'!E1080)</f>
        <v>15.04.2011</v>
      </c>
      <c r="D1087" s="69" t="str">
        <f>IF('Informe Kelly'!E1080="","",'Informe Kelly'!E1080)</f>
        <v>15.04.2011</v>
      </c>
      <c r="E1087" s="72">
        <f t="shared" si="33"/>
        <v>552</v>
      </c>
      <c r="F1087" s="72" t="str">
        <f>IFERROR(HLOOKUP(C1087,Ingreso!$Q$8:$AD$9,2,FALSE),"v")</f>
        <v>Viernes</v>
      </c>
      <c r="G1087" s="65" t="str">
        <f>IFERROR(VLOOKUP(A1087,Ingreso!K:P,6,FALSE),"no esta ingresado")</f>
        <v>Admin</v>
      </c>
      <c r="H1087" s="65">
        <f>IFERROR(IF('Informe Kelly'!H1080=$A$2,'Informe Kelly'!F1080,""),0)</f>
        <v>0.29704861111111108</v>
      </c>
      <c r="I1087" s="65" t="str">
        <f>IFERROR(IF('Informe Kelly'!H1080=$A$3,'Informe Kelly'!F1080,""),0)</f>
        <v/>
      </c>
      <c r="J1087" s="65" t="str">
        <f>IF(IFERROR(IF(E1087=E1086,0,(HLOOKUP(D1087,Ingreso!$AN$10:$AT$260,VLOOKUP(A1087,Ingreso!$AL$11:$AM$260,2,FALSE)))/24),0)=0,"",IFERROR(IF(E1087=E1086,0,(HLOOKUP(D1087,Ingreso!$AN$10:$AT$260,VLOOKUP(A1087,Ingreso!$AL$11:$AM$260,2,FALSE)))/24),0))</f>
        <v/>
      </c>
      <c r="K1087" s="65" t="str">
        <f>IF(IFERROR(IF(E1087=E1086,0,(HLOOKUP(C1087,Ingreso!$AW$10:$BC$260,VLOOKUP(A1087,Ingreso!$AL$11:$AM$260,2,FALSE)))/24),0)=0,"",IFERROR(IF(E1087=E1086,0,(HLOOKUP(C1087,Ingreso!$AW$10:$BC$260,VLOOKUP(A1087,Ingreso!$AL$11:$AM$260,2,FALSE)))/24),0))</f>
        <v/>
      </c>
      <c r="L1087" s="63">
        <f t="shared" si="32"/>
        <v>0</v>
      </c>
      <c r="M1087" s="63" t="str">
        <f>IF(IFERROR(IF(C1087=C1085,0,IF(E1087=E1086,0,IF(C1087=$R$2,HLOOKUP($R$2,Ingreso!$AW$10:$BC$260,VLOOKUP(A1087,Ingreso!AL:AM,2,FALSE),FALSE)/24,""))),"")=0,"",IFERROR(IF(C1087=C1085,0,IF(E1087=E1086,0,IF(C1087=$R$2,HLOOKUP($R$2,Ingreso!$AW$10:$BC$260,VLOOKUP(A1087,Ingreso!AL:AM,2,FALSE),FALSE)/24,""))),""))</f>
        <v/>
      </c>
      <c r="N1087" s="95" t="str">
        <f>IF(IFERROR(IF(C1087=C1085,0,IF(E1087=E1086,0,IF(C1087=$R$3,HLOOKUP($R$3,Ingreso!$AW$10:$BC$260,VLOOKUP(A1087,Ingreso!AL:AM,2,FALSE),FALSE)/24,""))),"")=0,"",IFERROR(IF(C1087=C1085,0,IF(E1087=E1086,0,IF(C1087=$R$3,HLOOKUP($R$3,Ingreso!$AW$10:$BC$260,VLOOKUP(A1087,Ingreso!AL:AM,2,FALSE),FALSE)/24,""))),""))</f>
        <v/>
      </c>
      <c r="O1087" s="95" t="str">
        <f>IF(IFERROR(IF(C1087=C1085,0,IF(E1087=E1086,0,IF(C1087=$R$4,HLOOKUP($R$4,Ingreso!$AW$10:$BC$260,VLOOKUP(A1087,Ingreso!AL:AM,2,FALSE),FALSE)/24,""))),"")=0,"",IFERROR(IF(C1087=C1085,0,IF(E1087=E1086,0,IF(C1087=$R$4,HLOOKUP($R$4,Ingreso!$AW$10:$BC$260,VLOOKUP(A1087,Ingreso!AL:AM,2,FALSE),FALSE)/24,""))),""))</f>
        <v/>
      </c>
      <c r="P1087" s="90"/>
      <c r="V1087"/>
      <c r="W1087" s="62"/>
      <c r="X1087" s="62"/>
      <c r="Y1087" s="62"/>
      <c r="Z1087" s="62"/>
      <c r="AA1087" s="62"/>
      <c r="AB1087" s="62"/>
      <c r="AC1087" s="62"/>
    </row>
    <row r="1088" spans="1:29">
      <c r="A1088" s="65" t="str">
        <f>IFERROR(VLOOKUP('Informe Kelly'!A1081,Base!A:B,2,FALSE),"")</f>
        <v>17.542.884-4</v>
      </c>
      <c r="B1088" s="65" t="str">
        <f>IFERROR(VLOOKUP('Informe Kelly'!A1081,Base!A:G,7,FALSE),"")</f>
        <v>CASTILLO  AHUMADA FRANCISCO</v>
      </c>
      <c r="C1088" s="69" t="str">
        <f>IF(G1088=$C$4,IF('Informe Kelly'!H1081='Control informe Kelly'!$A$2,TEXT(((LEFT('Informe Kelly'!E1081,2)*1)+1),"dd")&amp;"."&amp;MID('Informe Kelly'!E1081,4,2)&amp;"."&amp;RIGHT('Informe Kelly'!E1081,4),'Informe Kelly'!E1081),'Informe Kelly'!E1081)</f>
        <v>11.04.2011</v>
      </c>
      <c r="D1088" s="69" t="str">
        <f>IF('Informe Kelly'!E1081="","",'Informe Kelly'!E1081)</f>
        <v>11.04.2011</v>
      </c>
      <c r="E1088" s="72">
        <f t="shared" si="33"/>
        <v>553</v>
      </c>
      <c r="F1088" s="72" t="str">
        <f>IFERROR(HLOOKUP(C1088,Ingreso!$Q$8:$AD$9,2,FALSE),"v")</f>
        <v>Lunes</v>
      </c>
      <c r="G1088" s="65" t="str">
        <f>IFERROR(VLOOKUP(A1088,Ingreso!K:P,6,FALSE),"no esta ingresado")</f>
        <v>Turno C</v>
      </c>
      <c r="H1088" s="65" t="str">
        <f>IFERROR(IF('Informe Kelly'!H1081=$A$2,'Informe Kelly'!F1081,""),0)</f>
        <v/>
      </c>
      <c r="I1088" s="65">
        <f>IFERROR(IF('Informe Kelly'!H1081=$A$3,'Informe Kelly'!F1081,""),0)</f>
        <v>0.33907407407407408</v>
      </c>
      <c r="J1088" s="65" t="str">
        <f>IF(IFERROR(IF(E1088=E1087,0,(HLOOKUP(D1088,Ingreso!$AN$10:$AT$260,VLOOKUP(A1088,Ingreso!$AL$11:$AM$260,2,FALSE)))/24),0)=0,"",IFERROR(IF(E1088=E1087,0,(HLOOKUP(D1088,Ingreso!$AN$10:$AT$260,VLOOKUP(A1088,Ingreso!$AL$11:$AM$260,2,FALSE)))/24),0))</f>
        <v/>
      </c>
      <c r="K1088" s="65">
        <f>IF(IFERROR(IF(E1088=E1087,0,(HLOOKUP(C1088,Ingreso!$AW$10:$BC$260,VLOOKUP(A1088,Ingreso!$AL$11:$AM$260,2,FALSE)))/24),0)=0,"",IFERROR(IF(E1088=E1087,0,(HLOOKUP(C1088,Ingreso!$AW$10:$BC$260,VLOOKUP(A1088,Ingreso!$AL$11:$AM$260,2,FALSE)))/24),0))</f>
        <v>0.3125</v>
      </c>
      <c r="L1088" s="63">
        <f t="shared" si="32"/>
        <v>0.375</v>
      </c>
      <c r="M1088" s="63">
        <f>IF(IFERROR(IF(C1088=C1086,0,IF(E1088=E1087,0,IF(C1088=$R$2,HLOOKUP($R$2,Ingreso!$AW$10:$BC$260,VLOOKUP(A1088,Ingreso!AL:AM,2,FALSE),FALSE)/24,""))),"")=0,"",IFERROR(IF(C1088=C1086,0,IF(E1088=E1087,0,IF(C1088=$R$2,HLOOKUP($R$2,Ingreso!$AW$10:$BC$260,VLOOKUP(A1088,Ingreso!AL:AM,2,FALSE),FALSE)/24,""))),""))</f>
        <v>0.3125</v>
      </c>
      <c r="N1088" s="95" t="str">
        <f>IF(IFERROR(IF(C1088=C1086,0,IF(E1088=E1087,0,IF(C1088=$R$3,HLOOKUP($R$3,Ingreso!$AW$10:$BC$260,VLOOKUP(A1088,Ingreso!AL:AM,2,FALSE),FALSE)/24,""))),"")=0,"",IFERROR(IF(C1088=C1086,0,IF(E1088=E1087,0,IF(C1088=$R$3,HLOOKUP($R$3,Ingreso!$AW$10:$BC$260,VLOOKUP(A1088,Ingreso!AL:AM,2,FALSE),FALSE)/24,""))),""))</f>
        <v/>
      </c>
      <c r="O1088" s="95" t="str">
        <f>IF(IFERROR(IF(C1088=C1086,0,IF(E1088=E1087,0,IF(C1088=$R$4,HLOOKUP($R$4,Ingreso!$AW$10:$BC$260,VLOOKUP(A1088,Ingreso!AL:AM,2,FALSE),FALSE)/24,""))),"")=0,"",IFERROR(IF(C1088=C1086,0,IF(E1088=E1087,0,IF(C1088=$R$4,HLOOKUP($R$4,Ingreso!$AW$10:$BC$260,VLOOKUP(A1088,Ingreso!AL:AM,2,FALSE),FALSE)/24,""))),""))</f>
        <v/>
      </c>
      <c r="P1088" s="90"/>
      <c r="V1088"/>
      <c r="W1088" s="62"/>
      <c r="X1088" s="62"/>
      <c r="Y1088" s="62"/>
      <c r="Z1088" s="62"/>
      <c r="AA1088" s="62"/>
      <c r="AB1088" s="62"/>
      <c r="AC1088" s="62"/>
    </row>
    <row r="1089" spans="1:29">
      <c r="A1089" s="65" t="str">
        <f>IFERROR(VLOOKUP('Informe Kelly'!A1082,Base!A:B,2,FALSE),"")</f>
        <v>17.542.884-4</v>
      </c>
      <c r="B1089" s="65" t="str">
        <f>IFERROR(VLOOKUP('Informe Kelly'!A1082,Base!A:G,7,FALSE),"")</f>
        <v>CASTILLO  AHUMADA FRANCISCO</v>
      </c>
      <c r="C1089" s="69" t="str">
        <f>IF(G1089=$C$4,IF('Informe Kelly'!H1082='Control informe Kelly'!$A$2,TEXT(((LEFT('Informe Kelly'!E1082,2)*1)+1),"dd")&amp;"."&amp;MID('Informe Kelly'!E1082,4,2)&amp;"."&amp;RIGHT('Informe Kelly'!E1082,4),'Informe Kelly'!E1082),'Informe Kelly'!E1082)</f>
        <v>12.04.2011</v>
      </c>
      <c r="D1089" s="69" t="str">
        <f>IF('Informe Kelly'!E1082="","",'Informe Kelly'!E1082)</f>
        <v>11.04.2011</v>
      </c>
      <c r="E1089" s="72">
        <f t="shared" si="33"/>
        <v>554</v>
      </c>
      <c r="F1089" s="72" t="str">
        <f>IFERROR(HLOOKUP(C1089,Ingreso!$Q$8:$AD$9,2,FALSE),"v")</f>
        <v>Martes</v>
      </c>
      <c r="G1089" s="65" t="str">
        <f>IFERROR(VLOOKUP(A1089,Ingreso!K:P,6,FALSE),"no esta ingresado")</f>
        <v>Turno C</v>
      </c>
      <c r="H1089" s="65">
        <f>IFERROR(IF('Informe Kelly'!H1082=$A$2,'Informe Kelly'!F1082,""),0)</f>
        <v>1.0601851851851854E-2</v>
      </c>
      <c r="I1089" s="65" t="str">
        <f>IFERROR(IF('Informe Kelly'!H1082=$A$3,'Informe Kelly'!F1082,""),0)</f>
        <v/>
      </c>
      <c r="J1089" s="65" t="str">
        <f>IF(IFERROR(IF(E1089=E1088,0,(HLOOKUP(D1089,Ingreso!$AN$10:$AT$260,VLOOKUP(A1089,Ingreso!$AL$11:$AM$260,2,FALSE)))/24),0)=0,"",IFERROR(IF(E1089=E1088,0,(HLOOKUP(D1089,Ingreso!$AN$10:$AT$260,VLOOKUP(A1089,Ingreso!$AL$11:$AM$260,2,FALSE)))/24),0))</f>
        <v/>
      </c>
      <c r="K1089" s="65" t="str">
        <f>IF(IFERROR(IF(E1089=E1088,0,(HLOOKUP(C1089,Ingreso!$AW$10:$BC$260,VLOOKUP(A1089,Ingreso!$AL$11:$AM$260,2,FALSE)))/24),0)=0,"",IFERROR(IF(E1089=E1088,0,(HLOOKUP(C1089,Ingreso!$AW$10:$BC$260,VLOOKUP(A1089,Ingreso!$AL$11:$AM$260,2,FALSE)))/24),0))</f>
        <v/>
      </c>
      <c r="L1089" s="63">
        <f t="shared" si="32"/>
        <v>0.375</v>
      </c>
      <c r="M1089" s="63" t="str">
        <f>IF(IFERROR(IF(C1089=C1087,0,IF(E1089=E1088,0,IF(C1089=$R$2,HLOOKUP($R$2,Ingreso!$AW$10:$BC$260,VLOOKUP(A1089,Ingreso!AL:AM,2,FALSE),FALSE)/24,""))),"")=0,"",IFERROR(IF(C1089=C1087,0,IF(E1089=E1088,0,IF(C1089=$R$2,HLOOKUP($R$2,Ingreso!$AW$10:$BC$260,VLOOKUP(A1089,Ingreso!AL:AM,2,FALSE),FALSE)/24,""))),""))</f>
        <v/>
      </c>
      <c r="N1089" s="95" t="str">
        <f>IF(IFERROR(IF(C1089=C1087,0,IF(E1089=E1088,0,IF(C1089=$R$3,HLOOKUP($R$3,Ingreso!$AW$10:$BC$260,VLOOKUP(A1089,Ingreso!AL:AM,2,FALSE),FALSE)/24,""))),"")=0,"",IFERROR(IF(C1089=C1087,0,IF(E1089=E1088,0,IF(C1089=$R$3,HLOOKUP($R$3,Ingreso!$AW$10:$BC$260,VLOOKUP(A1089,Ingreso!AL:AM,2,FALSE),FALSE)/24,""))),""))</f>
        <v/>
      </c>
      <c r="O1089" s="95" t="str">
        <f>IF(IFERROR(IF(C1089=C1087,0,IF(E1089=E1088,0,IF(C1089=$R$4,HLOOKUP($R$4,Ingreso!$AW$10:$BC$260,VLOOKUP(A1089,Ingreso!AL:AM,2,FALSE),FALSE)/24,""))),"")=0,"",IFERROR(IF(C1089=C1087,0,IF(E1089=E1088,0,IF(C1089=$R$4,HLOOKUP($R$4,Ingreso!$AW$10:$BC$260,VLOOKUP(A1089,Ingreso!AL:AM,2,FALSE),FALSE)/24,""))),""))</f>
        <v/>
      </c>
      <c r="P1089" s="90"/>
      <c r="V1089"/>
      <c r="W1089" s="62"/>
      <c r="X1089" s="62"/>
      <c r="Y1089" s="62"/>
      <c r="Z1089" s="62"/>
      <c r="AA1089" s="62"/>
      <c r="AB1089" s="62"/>
      <c r="AC1089" s="62"/>
    </row>
    <row r="1090" spans="1:29">
      <c r="A1090" s="65" t="str">
        <f>IFERROR(VLOOKUP('Informe Kelly'!A1083,Base!A:B,2,FALSE),"")</f>
        <v>17.542.884-4</v>
      </c>
      <c r="B1090" s="65" t="str">
        <f>IFERROR(VLOOKUP('Informe Kelly'!A1083,Base!A:G,7,FALSE),"")</f>
        <v>CASTILLO  AHUMADA FRANCISCO</v>
      </c>
      <c r="C1090" s="69" t="str">
        <f>IF(G1090=$C$4,IF('Informe Kelly'!H1083='Control informe Kelly'!$A$2,TEXT(((LEFT('Informe Kelly'!E1083,2)*1)+1),"dd")&amp;"."&amp;MID('Informe Kelly'!E1083,4,2)&amp;"."&amp;RIGHT('Informe Kelly'!E1083,4),'Informe Kelly'!E1083),'Informe Kelly'!E1083)</f>
        <v>12.04.2011</v>
      </c>
      <c r="D1090" s="69" t="str">
        <f>IF('Informe Kelly'!E1083="","",'Informe Kelly'!E1083)</f>
        <v>11.04.2011</v>
      </c>
      <c r="E1090" s="72">
        <f t="shared" si="33"/>
        <v>554</v>
      </c>
      <c r="F1090" s="72" t="str">
        <f>IFERROR(HLOOKUP(C1090,Ingreso!$Q$8:$AD$9,2,FALSE),"v")</f>
        <v>Martes</v>
      </c>
      <c r="G1090" s="65" t="str">
        <f>IFERROR(VLOOKUP(A1090,Ingreso!K:P,6,FALSE),"no esta ingresado")</f>
        <v>Turno C</v>
      </c>
      <c r="H1090" s="65">
        <f>IFERROR(IF('Informe Kelly'!H1083=$A$2,'Informe Kelly'!F1083,""),0)</f>
        <v>0.92001157407407408</v>
      </c>
      <c r="I1090" s="65" t="str">
        <f>IFERROR(IF('Informe Kelly'!H1083=$A$3,'Informe Kelly'!F1083,""),0)</f>
        <v/>
      </c>
      <c r="J1090" s="65" t="str">
        <f>IF(IFERROR(IF(E1090=E1089,0,(HLOOKUP(D1090,Ingreso!$AN$10:$AT$260,VLOOKUP(A1090,Ingreso!$AL$11:$AM$260,2,FALSE)))/24),0)=0,"",IFERROR(IF(E1090=E1089,0,(HLOOKUP(D1090,Ingreso!$AN$10:$AT$260,VLOOKUP(A1090,Ingreso!$AL$11:$AM$260,2,FALSE)))/24),0))</f>
        <v/>
      </c>
      <c r="K1090" s="65" t="str">
        <f>IF(IFERROR(IF(E1090=E1089,0,(HLOOKUP(C1090,Ingreso!$AW$10:$BC$260,VLOOKUP(A1090,Ingreso!$AL$11:$AM$260,2,FALSE)))/24),0)=0,"",IFERROR(IF(E1090=E1089,0,(HLOOKUP(C1090,Ingreso!$AW$10:$BC$260,VLOOKUP(A1090,Ingreso!$AL$11:$AM$260,2,FALSE)))/24),0))</f>
        <v/>
      </c>
      <c r="L1090" s="63">
        <f t="shared" si="32"/>
        <v>0</v>
      </c>
      <c r="M1090" s="63" t="str">
        <f>IF(IFERROR(IF(C1090=C1088,0,IF(E1090=E1089,0,IF(C1090=$R$2,HLOOKUP($R$2,Ingreso!$AW$10:$BC$260,VLOOKUP(A1090,Ingreso!AL:AM,2,FALSE),FALSE)/24,""))),"")=0,"",IFERROR(IF(C1090=C1088,0,IF(E1090=E1089,0,IF(C1090=$R$2,HLOOKUP($R$2,Ingreso!$AW$10:$BC$260,VLOOKUP(A1090,Ingreso!AL:AM,2,FALSE),FALSE)/24,""))),""))</f>
        <v/>
      </c>
      <c r="N1090" s="95" t="str">
        <f>IF(IFERROR(IF(C1090=C1088,0,IF(E1090=E1089,0,IF(C1090=$R$3,HLOOKUP($R$3,Ingreso!$AW$10:$BC$260,VLOOKUP(A1090,Ingreso!AL:AM,2,FALSE),FALSE)/24,""))),"")=0,"",IFERROR(IF(C1090=C1088,0,IF(E1090=E1089,0,IF(C1090=$R$3,HLOOKUP($R$3,Ingreso!$AW$10:$BC$260,VLOOKUP(A1090,Ingreso!AL:AM,2,FALSE),FALSE)/24,""))),""))</f>
        <v/>
      </c>
      <c r="O1090" s="95" t="str">
        <f>IF(IFERROR(IF(C1090=C1088,0,IF(E1090=E1089,0,IF(C1090=$R$4,HLOOKUP($R$4,Ingreso!$AW$10:$BC$260,VLOOKUP(A1090,Ingreso!AL:AM,2,FALSE),FALSE)/24,""))),"")=0,"",IFERROR(IF(C1090=C1088,0,IF(E1090=E1089,0,IF(C1090=$R$4,HLOOKUP($R$4,Ingreso!$AW$10:$BC$260,VLOOKUP(A1090,Ingreso!AL:AM,2,FALSE),FALSE)/24,""))),""))</f>
        <v/>
      </c>
      <c r="P1090" s="90"/>
      <c r="V1090"/>
      <c r="W1090" s="62"/>
      <c r="X1090" s="62"/>
      <c r="Y1090" s="62"/>
      <c r="Z1090" s="62"/>
      <c r="AA1090" s="62"/>
      <c r="AB1090" s="62"/>
      <c r="AC1090" s="62"/>
    </row>
    <row r="1091" spans="1:29">
      <c r="A1091" s="65" t="str">
        <f>IFERROR(VLOOKUP('Informe Kelly'!A1084,Base!A:B,2,FALSE),"")</f>
        <v>17.542.884-4</v>
      </c>
      <c r="B1091" s="65" t="str">
        <f>IFERROR(VLOOKUP('Informe Kelly'!A1084,Base!A:G,7,FALSE),"")</f>
        <v>CASTILLO  AHUMADA FRANCISCO</v>
      </c>
      <c r="C1091" s="69" t="str">
        <f>IF(G1091=$C$4,IF('Informe Kelly'!H1084='Control informe Kelly'!$A$2,TEXT(((LEFT('Informe Kelly'!E1084,2)*1)+1),"dd")&amp;"."&amp;MID('Informe Kelly'!E1084,4,2)&amp;"."&amp;RIGHT('Informe Kelly'!E1084,4),'Informe Kelly'!E1084),'Informe Kelly'!E1084)</f>
        <v>12.04.2011</v>
      </c>
      <c r="D1091" s="69" t="str">
        <f>IF('Informe Kelly'!E1084="","",'Informe Kelly'!E1084)</f>
        <v>12.04.2011</v>
      </c>
      <c r="E1091" s="72">
        <f t="shared" si="33"/>
        <v>555</v>
      </c>
      <c r="F1091" s="72" t="str">
        <f>IFERROR(HLOOKUP(C1091,Ingreso!$Q$8:$AD$9,2,FALSE),"v")</f>
        <v>Martes</v>
      </c>
      <c r="G1091" s="65" t="str">
        <f>IFERROR(VLOOKUP(A1091,Ingreso!K:P,6,FALSE),"no esta ingresado")</f>
        <v>Turno C</v>
      </c>
      <c r="H1091" s="65" t="str">
        <f>IFERROR(IF('Informe Kelly'!H1084=$A$2,'Informe Kelly'!F1084,""),0)</f>
        <v/>
      </c>
      <c r="I1091" s="65">
        <f>IFERROR(IF('Informe Kelly'!H1084=$A$3,'Informe Kelly'!F1084,""),0)</f>
        <v>0.3263078703703704</v>
      </c>
      <c r="J1091" s="65" t="str">
        <f>IF(IFERROR(IF(E1091=E1090,0,(HLOOKUP(D1091,Ingreso!$AN$10:$AT$260,VLOOKUP(A1091,Ingreso!$AL$11:$AM$260,2,FALSE)))/24),0)=0,"",IFERROR(IF(E1091=E1090,0,(HLOOKUP(D1091,Ingreso!$AN$10:$AT$260,VLOOKUP(A1091,Ingreso!$AL$11:$AM$260,2,FALSE)))/24),0))</f>
        <v/>
      </c>
      <c r="K1091" s="65" t="str">
        <f>IF(IFERROR(IF(E1091=E1090,0,(HLOOKUP(C1091,Ingreso!$AW$10:$BC$260,VLOOKUP(A1091,Ingreso!$AL$11:$AM$260,2,FALSE)))/24),0)=0,"",IFERROR(IF(E1091=E1090,0,(HLOOKUP(C1091,Ingreso!$AW$10:$BC$260,VLOOKUP(A1091,Ingreso!$AL$11:$AM$260,2,FALSE)))/24),0))</f>
        <v/>
      </c>
      <c r="L1091" s="63">
        <f t="shared" si="32"/>
        <v>0</v>
      </c>
      <c r="M1091" s="63" t="str">
        <f>IF(IFERROR(IF(C1091=C1089,0,IF(E1091=E1090,0,IF(C1091=$R$2,HLOOKUP($R$2,Ingreso!$AW$10:$BC$260,VLOOKUP(A1091,Ingreso!AL:AM,2,FALSE),FALSE)/24,""))),"")=0,"",IFERROR(IF(C1091=C1089,0,IF(E1091=E1090,0,IF(C1091=$R$2,HLOOKUP($R$2,Ingreso!$AW$10:$BC$260,VLOOKUP(A1091,Ingreso!AL:AM,2,FALSE),FALSE)/24,""))),""))</f>
        <v/>
      </c>
      <c r="N1091" s="95" t="str">
        <f>IF(IFERROR(IF(C1091=C1089,0,IF(E1091=E1090,0,IF(C1091=$R$3,HLOOKUP($R$3,Ingreso!$AW$10:$BC$260,VLOOKUP(A1091,Ingreso!AL:AM,2,FALSE),FALSE)/24,""))),"")=0,"",IFERROR(IF(C1091=C1089,0,IF(E1091=E1090,0,IF(C1091=$R$3,HLOOKUP($R$3,Ingreso!$AW$10:$BC$260,VLOOKUP(A1091,Ingreso!AL:AM,2,FALSE),FALSE)/24,""))),""))</f>
        <v/>
      </c>
      <c r="O1091" s="95" t="str">
        <f>IF(IFERROR(IF(C1091=C1089,0,IF(E1091=E1090,0,IF(C1091=$R$4,HLOOKUP($R$4,Ingreso!$AW$10:$BC$260,VLOOKUP(A1091,Ingreso!AL:AM,2,FALSE),FALSE)/24,""))),"")=0,"",IFERROR(IF(C1091=C1089,0,IF(E1091=E1090,0,IF(C1091=$R$4,HLOOKUP($R$4,Ingreso!$AW$10:$BC$260,VLOOKUP(A1091,Ingreso!AL:AM,2,FALSE),FALSE)/24,""))),""))</f>
        <v/>
      </c>
      <c r="P1091" s="90"/>
      <c r="V1091"/>
      <c r="W1091" s="62"/>
      <c r="X1091" s="62"/>
      <c r="Y1091" s="62"/>
      <c r="Z1091" s="62"/>
      <c r="AA1091" s="62"/>
      <c r="AB1091" s="62"/>
      <c r="AC1091" s="62"/>
    </row>
    <row r="1092" spans="1:29">
      <c r="A1092" s="65" t="str">
        <f>IFERROR(VLOOKUP('Informe Kelly'!A1085,Base!A:B,2,FALSE),"")</f>
        <v>17.542.884-4</v>
      </c>
      <c r="B1092" s="65" t="str">
        <f>IFERROR(VLOOKUP('Informe Kelly'!A1085,Base!A:G,7,FALSE),"")</f>
        <v>CASTILLO  AHUMADA FRANCISCO</v>
      </c>
      <c r="C1092" s="69" t="str">
        <f>IF(G1092=$C$4,IF('Informe Kelly'!H1085='Control informe Kelly'!$A$2,TEXT(((LEFT('Informe Kelly'!E1085,2)*1)+1),"dd")&amp;"."&amp;MID('Informe Kelly'!E1085,4,2)&amp;"."&amp;RIGHT('Informe Kelly'!E1085,4),'Informe Kelly'!E1085),'Informe Kelly'!E1085)</f>
        <v>13.04.2011</v>
      </c>
      <c r="D1092" s="69" t="str">
        <f>IF('Informe Kelly'!E1085="","",'Informe Kelly'!E1085)</f>
        <v>12.04.2011</v>
      </c>
      <c r="E1092" s="72">
        <f t="shared" si="33"/>
        <v>556</v>
      </c>
      <c r="F1092" s="72" t="str">
        <f>IFERROR(HLOOKUP(C1092,Ingreso!$Q$8:$AD$9,2,FALSE),"v")</f>
        <v>Miércoles</v>
      </c>
      <c r="G1092" s="65" t="str">
        <f>IFERROR(VLOOKUP(A1092,Ingreso!K:P,6,FALSE),"no esta ingresado")</f>
        <v>Turno C</v>
      </c>
      <c r="H1092" s="65">
        <f>IFERROR(IF('Informe Kelly'!H1085=$A$2,'Informe Kelly'!F1085,""),0)</f>
        <v>0.91952546296296289</v>
      </c>
      <c r="I1092" s="65" t="str">
        <f>IFERROR(IF('Informe Kelly'!H1085=$A$3,'Informe Kelly'!F1085,""),0)</f>
        <v/>
      </c>
      <c r="J1092" s="65" t="str">
        <f>IF(IFERROR(IF(E1092=E1091,0,(HLOOKUP(D1092,Ingreso!$AN$10:$AT$260,VLOOKUP(A1092,Ingreso!$AL$11:$AM$260,2,FALSE)))/24),0)=0,"",IFERROR(IF(E1092=E1091,0,(HLOOKUP(D1092,Ingreso!$AN$10:$AT$260,VLOOKUP(A1092,Ingreso!$AL$11:$AM$260,2,FALSE)))/24),0))</f>
        <v/>
      </c>
      <c r="K1092" s="65" t="str">
        <f>IF(IFERROR(IF(E1092=E1091,0,(HLOOKUP(C1092,Ingreso!$AW$10:$BC$260,VLOOKUP(A1092,Ingreso!$AL$11:$AM$260,2,FALSE)))/24),0)=0,"",IFERROR(IF(E1092=E1091,0,(HLOOKUP(C1092,Ingreso!$AW$10:$BC$260,VLOOKUP(A1092,Ingreso!$AL$11:$AM$260,2,FALSE)))/24),0))</f>
        <v/>
      </c>
      <c r="L1092" s="63">
        <f t="shared" si="32"/>
        <v>0.375</v>
      </c>
      <c r="M1092" s="63" t="str">
        <f>IF(IFERROR(IF(C1092=C1090,0,IF(E1092=E1091,0,IF(C1092=$R$2,HLOOKUP($R$2,Ingreso!$AW$10:$BC$260,VLOOKUP(A1092,Ingreso!AL:AM,2,FALSE),FALSE)/24,""))),"")=0,"",IFERROR(IF(C1092=C1090,0,IF(E1092=E1091,0,IF(C1092=$R$2,HLOOKUP($R$2,Ingreso!$AW$10:$BC$260,VLOOKUP(A1092,Ingreso!AL:AM,2,FALSE),FALSE)/24,""))),""))</f>
        <v/>
      </c>
      <c r="N1092" s="95" t="str">
        <f>IF(IFERROR(IF(C1092=C1090,0,IF(E1092=E1091,0,IF(C1092=$R$3,HLOOKUP($R$3,Ingreso!$AW$10:$BC$260,VLOOKUP(A1092,Ingreso!AL:AM,2,FALSE),FALSE)/24,""))),"")=0,"",IFERROR(IF(C1092=C1090,0,IF(E1092=E1091,0,IF(C1092=$R$3,HLOOKUP($R$3,Ingreso!$AW$10:$BC$260,VLOOKUP(A1092,Ingreso!AL:AM,2,FALSE),FALSE)/24,""))),""))</f>
        <v/>
      </c>
      <c r="O1092" s="95" t="str">
        <f>IF(IFERROR(IF(C1092=C1090,0,IF(E1092=E1091,0,IF(C1092=$R$4,HLOOKUP($R$4,Ingreso!$AW$10:$BC$260,VLOOKUP(A1092,Ingreso!AL:AM,2,FALSE),FALSE)/24,""))),"")=0,"",IFERROR(IF(C1092=C1090,0,IF(E1092=E1091,0,IF(C1092=$R$4,HLOOKUP($R$4,Ingreso!$AW$10:$BC$260,VLOOKUP(A1092,Ingreso!AL:AM,2,FALSE),FALSE)/24,""))),""))</f>
        <v/>
      </c>
      <c r="P1092" s="90"/>
      <c r="V1092"/>
      <c r="W1092" s="62"/>
      <c r="X1092" s="62"/>
      <c r="Y1092" s="62"/>
      <c r="Z1092" s="62"/>
      <c r="AA1092" s="62"/>
      <c r="AB1092" s="62"/>
      <c r="AC1092" s="62"/>
    </row>
    <row r="1093" spans="1:29">
      <c r="A1093" s="65" t="str">
        <f>IFERROR(VLOOKUP('Informe Kelly'!A1086,Base!A:B,2,FALSE),"")</f>
        <v>17.542.884-4</v>
      </c>
      <c r="B1093" s="65" t="str">
        <f>IFERROR(VLOOKUP('Informe Kelly'!A1086,Base!A:G,7,FALSE),"")</f>
        <v>CASTILLO  AHUMADA FRANCISCO</v>
      </c>
      <c r="C1093" s="69" t="str">
        <f>IF(G1093=$C$4,IF('Informe Kelly'!H1086='Control informe Kelly'!$A$2,TEXT(((LEFT('Informe Kelly'!E1086,2)*1)+1),"dd")&amp;"."&amp;MID('Informe Kelly'!E1086,4,2)&amp;"."&amp;RIGHT('Informe Kelly'!E1086,4),'Informe Kelly'!E1086),'Informe Kelly'!E1086)</f>
        <v>13.04.2011</v>
      </c>
      <c r="D1093" s="69" t="str">
        <f>IF('Informe Kelly'!E1086="","",'Informe Kelly'!E1086)</f>
        <v>13.04.2011</v>
      </c>
      <c r="E1093" s="72">
        <f t="shared" si="33"/>
        <v>556</v>
      </c>
      <c r="F1093" s="72" t="str">
        <f>IFERROR(HLOOKUP(C1093,Ingreso!$Q$8:$AD$9,2,FALSE),"v")</f>
        <v>Miércoles</v>
      </c>
      <c r="G1093" s="65" t="str">
        <f>IFERROR(VLOOKUP(A1093,Ingreso!K:P,6,FALSE),"no esta ingresado")</f>
        <v>Turno C</v>
      </c>
      <c r="H1093" s="65" t="str">
        <f>IFERROR(IF('Informe Kelly'!H1086=$A$2,'Informe Kelly'!F1086,""),0)</f>
        <v/>
      </c>
      <c r="I1093" s="65">
        <f>IFERROR(IF('Informe Kelly'!H1086=$A$3,'Informe Kelly'!F1086,""),0)</f>
        <v>0.32657407407407407</v>
      </c>
      <c r="J1093" s="65" t="str">
        <f>IF(IFERROR(IF(E1093=E1092,0,(HLOOKUP(D1093,Ingreso!$AN$10:$AT$260,VLOOKUP(A1093,Ingreso!$AL$11:$AM$260,2,FALSE)))/24),0)=0,"",IFERROR(IF(E1093=E1092,0,(HLOOKUP(D1093,Ingreso!$AN$10:$AT$260,VLOOKUP(A1093,Ingreso!$AL$11:$AM$260,2,FALSE)))/24),0))</f>
        <v/>
      </c>
      <c r="K1093" s="65" t="str">
        <f>IF(IFERROR(IF(E1093=E1092,0,(HLOOKUP(C1093,Ingreso!$AW$10:$BC$260,VLOOKUP(A1093,Ingreso!$AL$11:$AM$260,2,FALSE)))/24),0)=0,"",IFERROR(IF(E1093=E1092,0,(HLOOKUP(C1093,Ingreso!$AW$10:$BC$260,VLOOKUP(A1093,Ingreso!$AL$11:$AM$260,2,FALSE)))/24),0))</f>
        <v/>
      </c>
      <c r="L1093" s="63">
        <f t="shared" si="32"/>
        <v>0</v>
      </c>
      <c r="M1093" s="63" t="str">
        <f>IF(IFERROR(IF(C1093=C1091,0,IF(E1093=E1092,0,IF(C1093=$R$2,HLOOKUP($R$2,Ingreso!$AW$10:$BC$260,VLOOKUP(A1093,Ingreso!AL:AM,2,FALSE),FALSE)/24,""))),"")=0,"",IFERROR(IF(C1093=C1091,0,IF(E1093=E1092,0,IF(C1093=$R$2,HLOOKUP($R$2,Ingreso!$AW$10:$BC$260,VLOOKUP(A1093,Ingreso!AL:AM,2,FALSE),FALSE)/24,""))),""))</f>
        <v/>
      </c>
      <c r="N1093" s="95" t="str">
        <f>IF(IFERROR(IF(C1093=C1091,0,IF(E1093=E1092,0,IF(C1093=$R$3,HLOOKUP($R$3,Ingreso!$AW$10:$BC$260,VLOOKUP(A1093,Ingreso!AL:AM,2,FALSE),FALSE)/24,""))),"")=0,"",IFERROR(IF(C1093=C1091,0,IF(E1093=E1092,0,IF(C1093=$R$3,HLOOKUP($R$3,Ingreso!$AW$10:$BC$260,VLOOKUP(A1093,Ingreso!AL:AM,2,FALSE),FALSE)/24,""))),""))</f>
        <v/>
      </c>
      <c r="O1093" s="95" t="str">
        <f>IF(IFERROR(IF(C1093=C1091,0,IF(E1093=E1092,0,IF(C1093=$R$4,HLOOKUP($R$4,Ingreso!$AW$10:$BC$260,VLOOKUP(A1093,Ingreso!AL:AM,2,FALSE),FALSE)/24,""))),"")=0,"",IFERROR(IF(C1093=C1091,0,IF(E1093=E1092,0,IF(C1093=$R$4,HLOOKUP($R$4,Ingreso!$AW$10:$BC$260,VLOOKUP(A1093,Ingreso!AL:AM,2,FALSE),FALSE)/24,""))),""))</f>
        <v/>
      </c>
      <c r="P1093" s="90"/>
      <c r="V1093"/>
      <c r="W1093" s="62"/>
      <c r="X1093" s="62"/>
      <c r="Y1093" s="62"/>
      <c r="Z1093" s="62"/>
      <c r="AA1093" s="62"/>
      <c r="AB1093" s="62"/>
      <c r="AC1093" s="62"/>
    </row>
    <row r="1094" spans="1:29">
      <c r="A1094" s="65" t="str">
        <f>IFERROR(VLOOKUP('Informe Kelly'!A1087,Base!A:B,2,FALSE),"")</f>
        <v>17.542.884-4</v>
      </c>
      <c r="B1094" s="65" t="str">
        <f>IFERROR(VLOOKUP('Informe Kelly'!A1087,Base!A:G,7,FALSE),"")</f>
        <v>CASTILLO  AHUMADA FRANCISCO</v>
      </c>
      <c r="C1094" s="69" t="str">
        <f>IF(G1094=$C$4,IF('Informe Kelly'!H1087='Control informe Kelly'!$A$2,TEXT(((LEFT('Informe Kelly'!E1087,2)*1)+1),"dd")&amp;"."&amp;MID('Informe Kelly'!E1087,4,2)&amp;"."&amp;RIGHT('Informe Kelly'!E1087,4),'Informe Kelly'!E1087),'Informe Kelly'!E1087)</f>
        <v>14.04.2011</v>
      </c>
      <c r="D1094" s="69" t="str">
        <f>IF('Informe Kelly'!E1087="","",'Informe Kelly'!E1087)</f>
        <v>13.04.2011</v>
      </c>
      <c r="E1094" s="72">
        <f t="shared" si="33"/>
        <v>557</v>
      </c>
      <c r="F1094" s="72" t="str">
        <f>IFERROR(HLOOKUP(C1094,Ingreso!$Q$8:$AD$9,2,FALSE),"v")</f>
        <v>Jueves</v>
      </c>
      <c r="G1094" s="65" t="str">
        <f>IFERROR(VLOOKUP(A1094,Ingreso!K:P,6,FALSE),"no esta ingresado")</f>
        <v>Turno C</v>
      </c>
      <c r="H1094" s="65">
        <f>IFERROR(IF('Informe Kelly'!H1087=$A$2,'Informe Kelly'!F1087,""),0)</f>
        <v>0.91900462962962959</v>
      </c>
      <c r="I1094" s="65" t="str">
        <f>IFERROR(IF('Informe Kelly'!H1087=$A$3,'Informe Kelly'!F1087,""),0)</f>
        <v/>
      </c>
      <c r="J1094" s="65" t="str">
        <f>IF(IFERROR(IF(E1094=E1093,0,(HLOOKUP(D1094,Ingreso!$AN$10:$AT$260,VLOOKUP(A1094,Ingreso!$AL$11:$AM$260,2,FALSE)))/24),0)=0,"",IFERROR(IF(E1094=E1093,0,(HLOOKUP(D1094,Ingreso!$AN$10:$AT$260,VLOOKUP(A1094,Ingreso!$AL$11:$AM$260,2,FALSE)))/24),0))</f>
        <v/>
      </c>
      <c r="K1094" s="65" t="str">
        <f>IF(IFERROR(IF(E1094=E1093,0,(HLOOKUP(C1094,Ingreso!$AW$10:$BC$260,VLOOKUP(A1094,Ingreso!$AL$11:$AM$260,2,FALSE)))/24),0)=0,"",IFERROR(IF(E1094=E1093,0,(HLOOKUP(C1094,Ingreso!$AW$10:$BC$260,VLOOKUP(A1094,Ingreso!$AL$11:$AM$260,2,FALSE)))/24),0))</f>
        <v/>
      </c>
      <c r="L1094" s="63">
        <f t="shared" si="32"/>
        <v>0.375</v>
      </c>
      <c r="M1094" s="63" t="str">
        <f>IF(IFERROR(IF(C1094=C1092,0,IF(E1094=E1093,0,IF(C1094=$R$2,HLOOKUP($R$2,Ingreso!$AW$10:$BC$260,VLOOKUP(A1094,Ingreso!AL:AM,2,FALSE),FALSE)/24,""))),"")=0,"",IFERROR(IF(C1094=C1092,0,IF(E1094=E1093,0,IF(C1094=$R$2,HLOOKUP($R$2,Ingreso!$AW$10:$BC$260,VLOOKUP(A1094,Ingreso!AL:AM,2,FALSE),FALSE)/24,""))),""))</f>
        <v/>
      </c>
      <c r="N1094" s="95" t="str">
        <f>IF(IFERROR(IF(C1094=C1092,0,IF(E1094=E1093,0,IF(C1094=$R$3,HLOOKUP($R$3,Ingreso!$AW$10:$BC$260,VLOOKUP(A1094,Ingreso!AL:AM,2,FALSE),FALSE)/24,""))),"")=0,"",IFERROR(IF(C1094=C1092,0,IF(E1094=E1093,0,IF(C1094=$R$3,HLOOKUP($R$3,Ingreso!$AW$10:$BC$260,VLOOKUP(A1094,Ingreso!AL:AM,2,FALSE),FALSE)/24,""))),""))</f>
        <v/>
      </c>
      <c r="O1094" s="95" t="str">
        <f>IF(IFERROR(IF(C1094=C1092,0,IF(E1094=E1093,0,IF(C1094=$R$4,HLOOKUP($R$4,Ingreso!$AW$10:$BC$260,VLOOKUP(A1094,Ingreso!AL:AM,2,FALSE),FALSE)/24,""))),"")=0,"",IFERROR(IF(C1094=C1092,0,IF(E1094=E1093,0,IF(C1094=$R$4,HLOOKUP($R$4,Ingreso!$AW$10:$BC$260,VLOOKUP(A1094,Ingreso!AL:AM,2,FALSE),FALSE)/24,""))),""))</f>
        <v/>
      </c>
      <c r="P1094" s="90"/>
      <c r="V1094"/>
      <c r="W1094" s="62"/>
      <c r="X1094" s="62"/>
      <c r="Y1094" s="62"/>
      <c r="Z1094" s="62"/>
      <c r="AA1094" s="62"/>
      <c r="AB1094" s="62"/>
      <c r="AC1094" s="62"/>
    </row>
    <row r="1095" spans="1:29">
      <c r="A1095" s="65" t="str">
        <f>IFERROR(VLOOKUP('Informe Kelly'!A1088,Base!A:B,2,FALSE),"")</f>
        <v>17.542.884-4</v>
      </c>
      <c r="B1095" s="65" t="str">
        <f>IFERROR(VLOOKUP('Informe Kelly'!A1088,Base!A:G,7,FALSE),"")</f>
        <v>CASTILLO  AHUMADA FRANCISCO</v>
      </c>
      <c r="C1095" s="69" t="str">
        <f>IF(G1095=$C$4,IF('Informe Kelly'!H1088='Control informe Kelly'!$A$2,TEXT(((LEFT('Informe Kelly'!E1088,2)*1)+1),"dd")&amp;"."&amp;MID('Informe Kelly'!E1088,4,2)&amp;"."&amp;RIGHT('Informe Kelly'!E1088,4),'Informe Kelly'!E1088),'Informe Kelly'!E1088)</f>
        <v>14.04.2011</v>
      </c>
      <c r="D1095" s="69" t="str">
        <f>IF('Informe Kelly'!E1088="","",'Informe Kelly'!E1088)</f>
        <v>14.04.2011</v>
      </c>
      <c r="E1095" s="72">
        <f t="shared" si="33"/>
        <v>557</v>
      </c>
      <c r="F1095" s="72" t="str">
        <f>IFERROR(HLOOKUP(C1095,Ingreso!$Q$8:$AD$9,2,FALSE),"v")</f>
        <v>Jueves</v>
      </c>
      <c r="G1095" s="65" t="str">
        <f>IFERROR(VLOOKUP(A1095,Ingreso!K:P,6,FALSE),"no esta ingresado")</f>
        <v>Turno C</v>
      </c>
      <c r="H1095" s="65" t="str">
        <f>IFERROR(IF('Informe Kelly'!H1088=$A$2,'Informe Kelly'!F1088,""),0)</f>
        <v/>
      </c>
      <c r="I1095" s="65">
        <f>IFERROR(IF('Informe Kelly'!H1088=$A$3,'Informe Kelly'!F1088,""),0)</f>
        <v>0.32709490740740738</v>
      </c>
      <c r="J1095" s="65" t="str">
        <f>IF(IFERROR(IF(E1095=E1094,0,(HLOOKUP(D1095,Ingreso!$AN$10:$AT$260,VLOOKUP(A1095,Ingreso!$AL$11:$AM$260,2,FALSE)))/24),0)=0,"",IFERROR(IF(E1095=E1094,0,(HLOOKUP(D1095,Ingreso!$AN$10:$AT$260,VLOOKUP(A1095,Ingreso!$AL$11:$AM$260,2,FALSE)))/24),0))</f>
        <v/>
      </c>
      <c r="K1095" s="65" t="str">
        <f>IF(IFERROR(IF(E1095=E1094,0,(HLOOKUP(C1095,Ingreso!$AW$10:$BC$260,VLOOKUP(A1095,Ingreso!$AL$11:$AM$260,2,FALSE)))/24),0)=0,"",IFERROR(IF(E1095=E1094,0,(HLOOKUP(C1095,Ingreso!$AW$10:$BC$260,VLOOKUP(A1095,Ingreso!$AL$11:$AM$260,2,FALSE)))/24),0))</f>
        <v/>
      </c>
      <c r="L1095" s="63">
        <f t="shared" si="32"/>
        <v>0</v>
      </c>
      <c r="M1095" s="63" t="str">
        <f>IF(IFERROR(IF(C1095=C1093,0,IF(E1095=E1094,0,IF(C1095=$R$2,HLOOKUP($R$2,Ingreso!$AW$10:$BC$260,VLOOKUP(A1095,Ingreso!AL:AM,2,FALSE),FALSE)/24,""))),"")=0,"",IFERROR(IF(C1095=C1093,0,IF(E1095=E1094,0,IF(C1095=$R$2,HLOOKUP($R$2,Ingreso!$AW$10:$BC$260,VLOOKUP(A1095,Ingreso!AL:AM,2,FALSE),FALSE)/24,""))),""))</f>
        <v/>
      </c>
      <c r="N1095" s="95" t="str">
        <f>IF(IFERROR(IF(C1095=C1093,0,IF(E1095=E1094,0,IF(C1095=$R$3,HLOOKUP($R$3,Ingreso!$AW$10:$BC$260,VLOOKUP(A1095,Ingreso!AL:AM,2,FALSE),FALSE)/24,""))),"")=0,"",IFERROR(IF(C1095=C1093,0,IF(E1095=E1094,0,IF(C1095=$R$3,HLOOKUP($R$3,Ingreso!$AW$10:$BC$260,VLOOKUP(A1095,Ingreso!AL:AM,2,FALSE),FALSE)/24,""))),""))</f>
        <v/>
      </c>
      <c r="O1095" s="95" t="str">
        <f>IF(IFERROR(IF(C1095=C1093,0,IF(E1095=E1094,0,IF(C1095=$R$4,HLOOKUP($R$4,Ingreso!$AW$10:$BC$260,VLOOKUP(A1095,Ingreso!AL:AM,2,FALSE),FALSE)/24,""))),"")=0,"",IFERROR(IF(C1095=C1093,0,IF(E1095=E1094,0,IF(C1095=$R$4,HLOOKUP($R$4,Ingreso!$AW$10:$BC$260,VLOOKUP(A1095,Ingreso!AL:AM,2,FALSE),FALSE)/24,""))),""))</f>
        <v/>
      </c>
      <c r="P1095" s="90"/>
      <c r="V1095"/>
      <c r="W1095" s="62"/>
      <c r="X1095" s="62"/>
      <c r="Y1095" s="62"/>
      <c r="Z1095" s="62"/>
      <c r="AA1095" s="62"/>
      <c r="AB1095" s="62"/>
      <c r="AC1095" s="62"/>
    </row>
    <row r="1096" spans="1:29">
      <c r="A1096" s="65" t="str">
        <f>IFERROR(VLOOKUP('Informe Kelly'!A1089,Base!A:B,2,FALSE),"")</f>
        <v>17.542.884-4</v>
      </c>
      <c r="B1096" s="65" t="str">
        <f>IFERROR(VLOOKUP('Informe Kelly'!A1089,Base!A:G,7,FALSE),"")</f>
        <v>CASTILLO  AHUMADA FRANCISCO</v>
      </c>
      <c r="C1096" s="69" t="str">
        <f>IF(G1096=$C$4,IF('Informe Kelly'!H1089='Control informe Kelly'!$A$2,TEXT(((LEFT('Informe Kelly'!E1089,2)*1)+1),"dd")&amp;"."&amp;MID('Informe Kelly'!E1089,4,2)&amp;"."&amp;RIGHT('Informe Kelly'!E1089,4),'Informe Kelly'!E1089),'Informe Kelly'!E1089)</f>
        <v>15.04.2011</v>
      </c>
      <c r="D1096" s="69" t="str">
        <f>IF('Informe Kelly'!E1089="","",'Informe Kelly'!E1089)</f>
        <v>14.04.2011</v>
      </c>
      <c r="E1096" s="72">
        <f t="shared" si="33"/>
        <v>558</v>
      </c>
      <c r="F1096" s="72" t="str">
        <f>IFERROR(HLOOKUP(C1096,Ingreso!$Q$8:$AD$9,2,FALSE),"v")</f>
        <v>Viernes</v>
      </c>
      <c r="G1096" s="65" t="str">
        <f>IFERROR(VLOOKUP(A1096,Ingreso!K:P,6,FALSE),"no esta ingresado")</f>
        <v>Turno C</v>
      </c>
      <c r="H1096" s="65">
        <f>IFERROR(IF('Informe Kelly'!H1089=$A$2,'Informe Kelly'!F1089,""),0)</f>
        <v>0.92143518518518519</v>
      </c>
      <c r="I1096" s="65" t="str">
        <f>IFERROR(IF('Informe Kelly'!H1089=$A$3,'Informe Kelly'!F1089,""),0)</f>
        <v/>
      </c>
      <c r="J1096" s="65" t="str">
        <f>IF(IFERROR(IF(E1096=E1095,0,(HLOOKUP(D1096,Ingreso!$AN$10:$AT$260,VLOOKUP(A1096,Ingreso!$AL$11:$AM$260,2,FALSE)))/24),0)=0,"",IFERROR(IF(E1096=E1095,0,(HLOOKUP(D1096,Ingreso!$AN$10:$AT$260,VLOOKUP(A1096,Ingreso!$AL$11:$AM$260,2,FALSE)))/24),0))</f>
        <v/>
      </c>
      <c r="K1096" s="65" t="str">
        <f>IF(IFERROR(IF(E1096=E1095,0,(HLOOKUP(C1096,Ingreso!$AW$10:$BC$260,VLOOKUP(A1096,Ingreso!$AL$11:$AM$260,2,FALSE)))/24),0)=0,"",IFERROR(IF(E1096=E1095,0,(HLOOKUP(C1096,Ingreso!$AW$10:$BC$260,VLOOKUP(A1096,Ingreso!$AL$11:$AM$260,2,FALSE)))/24),0))</f>
        <v/>
      </c>
      <c r="L1096" s="63">
        <f t="shared" si="32"/>
        <v>0.375</v>
      </c>
      <c r="M1096" s="63" t="str">
        <f>IF(IFERROR(IF(C1096=C1094,0,IF(E1096=E1095,0,IF(C1096=$R$2,HLOOKUP($R$2,Ingreso!$AW$10:$BC$260,VLOOKUP(A1096,Ingreso!AL:AM,2,FALSE),FALSE)/24,""))),"")=0,"",IFERROR(IF(C1096=C1094,0,IF(E1096=E1095,0,IF(C1096=$R$2,HLOOKUP($R$2,Ingreso!$AW$10:$BC$260,VLOOKUP(A1096,Ingreso!AL:AM,2,FALSE),FALSE)/24,""))),""))</f>
        <v/>
      </c>
      <c r="N1096" s="95" t="str">
        <f>IF(IFERROR(IF(C1096=C1094,0,IF(E1096=E1095,0,IF(C1096=$R$3,HLOOKUP($R$3,Ingreso!$AW$10:$BC$260,VLOOKUP(A1096,Ingreso!AL:AM,2,FALSE),FALSE)/24,""))),"")=0,"",IFERROR(IF(C1096=C1094,0,IF(E1096=E1095,0,IF(C1096=$R$3,HLOOKUP($R$3,Ingreso!$AW$10:$BC$260,VLOOKUP(A1096,Ingreso!AL:AM,2,FALSE),FALSE)/24,""))),""))</f>
        <v/>
      </c>
      <c r="O1096" s="95" t="str">
        <f>IF(IFERROR(IF(C1096=C1094,0,IF(E1096=E1095,0,IF(C1096=$R$4,HLOOKUP($R$4,Ingreso!$AW$10:$BC$260,VLOOKUP(A1096,Ingreso!AL:AM,2,FALSE),FALSE)/24,""))),"")=0,"",IFERROR(IF(C1096=C1094,0,IF(E1096=E1095,0,IF(C1096=$R$4,HLOOKUP($R$4,Ingreso!$AW$10:$BC$260,VLOOKUP(A1096,Ingreso!AL:AM,2,FALSE),FALSE)/24,""))),""))</f>
        <v/>
      </c>
      <c r="P1096" s="90"/>
      <c r="V1096"/>
      <c r="W1096" s="62"/>
      <c r="X1096" s="62"/>
      <c r="Y1096" s="62"/>
      <c r="Z1096" s="62"/>
      <c r="AA1096" s="62"/>
      <c r="AB1096" s="62"/>
      <c r="AC1096" s="62"/>
    </row>
    <row r="1097" spans="1:29">
      <c r="A1097" s="65" t="str">
        <f>IFERROR(VLOOKUP('Informe Kelly'!A1090,Base!A:B,2,FALSE),"")</f>
        <v>17.542.884-4</v>
      </c>
      <c r="B1097" s="65" t="str">
        <f>IFERROR(VLOOKUP('Informe Kelly'!A1090,Base!A:G,7,FALSE),"")</f>
        <v>CASTILLO  AHUMADA FRANCISCO</v>
      </c>
      <c r="C1097" s="69" t="str">
        <f>IF(G1097=$C$4,IF('Informe Kelly'!H1090='Control informe Kelly'!$A$2,TEXT(((LEFT('Informe Kelly'!E1090,2)*1)+1),"dd")&amp;"."&amp;MID('Informe Kelly'!E1090,4,2)&amp;"."&amp;RIGHT('Informe Kelly'!E1090,4),'Informe Kelly'!E1090),'Informe Kelly'!E1090)</f>
        <v>15.04.2011</v>
      </c>
      <c r="D1097" s="69" t="str">
        <f>IF('Informe Kelly'!E1090="","",'Informe Kelly'!E1090)</f>
        <v>15.04.2011</v>
      </c>
      <c r="E1097" s="72">
        <f t="shared" si="33"/>
        <v>558</v>
      </c>
      <c r="F1097" s="72" t="str">
        <f>IFERROR(HLOOKUP(C1097,Ingreso!$Q$8:$AD$9,2,FALSE),"v")</f>
        <v>Viernes</v>
      </c>
      <c r="G1097" s="65" t="str">
        <f>IFERROR(VLOOKUP(A1097,Ingreso!K:P,6,FALSE),"no esta ingresado")</f>
        <v>Turno C</v>
      </c>
      <c r="H1097" s="65" t="str">
        <f>IFERROR(IF('Informe Kelly'!H1090=$A$2,'Informe Kelly'!F1090,""),0)</f>
        <v/>
      </c>
      <c r="I1097" s="65">
        <f>IFERROR(IF('Informe Kelly'!H1090=$A$3,'Informe Kelly'!F1090,""),0)</f>
        <v>0.32796296296296296</v>
      </c>
      <c r="J1097" s="65" t="str">
        <f>IF(IFERROR(IF(E1097=E1096,0,(HLOOKUP(D1097,Ingreso!$AN$10:$AT$260,VLOOKUP(A1097,Ingreso!$AL$11:$AM$260,2,FALSE)))/24),0)=0,"",IFERROR(IF(E1097=E1096,0,(HLOOKUP(D1097,Ingreso!$AN$10:$AT$260,VLOOKUP(A1097,Ingreso!$AL$11:$AM$260,2,FALSE)))/24),0))</f>
        <v/>
      </c>
      <c r="K1097" s="65" t="str">
        <f>IF(IFERROR(IF(E1097=E1096,0,(HLOOKUP(C1097,Ingreso!$AW$10:$BC$260,VLOOKUP(A1097,Ingreso!$AL$11:$AM$260,2,FALSE)))/24),0)=0,"",IFERROR(IF(E1097=E1096,0,(HLOOKUP(C1097,Ingreso!$AW$10:$BC$260,VLOOKUP(A1097,Ingreso!$AL$11:$AM$260,2,FALSE)))/24),0))</f>
        <v/>
      </c>
      <c r="L1097" s="63">
        <f t="shared" ref="L1097:L1160" si="34">IFERROR(IF(C1097=C1095,0,IF(E1097=E1096,0,(VLOOKUP(G1097,$C$2:$D$5,2,FALSE)))),"")</f>
        <v>0</v>
      </c>
      <c r="M1097" s="63" t="str">
        <f>IF(IFERROR(IF(C1097=C1095,0,IF(E1097=E1096,0,IF(C1097=$R$2,HLOOKUP($R$2,Ingreso!$AW$10:$BC$260,VLOOKUP(A1097,Ingreso!AL:AM,2,FALSE),FALSE)/24,""))),"")=0,"",IFERROR(IF(C1097=C1095,0,IF(E1097=E1096,0,IF(C1097=$R$2,HLOOKUP($R$2,Ingreso!$AW$10:$BC$260,VLOOKUP(A1097,Ingreso!AL:AM,2,FALSE),FALSE)/24,""))),""))</f>
        <v/>
      </c>
      <c r="N1097" s="95" t="str">
        <f>IF(IFERROR(IF(C1097=C1095,0,IF(E1097=E1096,0,IF(C1097=$R$3,HLOOKUP($R$3,Ingreso!$AW$10:$BC$260,VLOOKUP(A1097,Ingreso!AL:AM,2,FALSE),FALSE)/24,""))),"")=0,"",IFERROR(IF(C1097=C1095,0,IF(E1097=E1096,0,IF(C1097=$R$3,HLOOKUP($R$3,Ingreso!$AW$10:$BC$260,VLOOKUP(A1097,Ingreso!AL:AM,2,FALSE),FALSE)/24,""))),""))</f>
        <v/>
      </c>
      <c r="O1097" s="95" t="str">
        <f>IF(IFERROR(IF(C1097=C1095,0,IF(E1097=E1096,0,IF(C1097=$R$4,HLOOKUP($R$4,Ingreso!$AW$10:$BC$260,VLOOKUP(A1097,Ingreso!AL:AM,2,FALSE),FALSE)/24,""))),"")=0,"",IFERROR(IF(C1097=C1095,0,IF(E1097=E1096,0,IF(C1097=$R$4,HLOOKUP($R$4,Ingreso!$AW$10:$BC$260,VLOOKUP(A1097,Ingreso!AL:AM,2,FALSE),FALSE)/24,""))),""))</f>
        <v/>
      </c>
      <c r="P1097" s="90"/>
      <c r="V1097"/>
      <c r="W1097" s="62"/>
      <c r="X1097" s="62"/>
      <c r="Y1097" s="62"/>
      <c r="Z1097" s="62"/>
      <c r="AA1097" s="62"/>
      <c r="AB1097" s="62"/>
      <c r="AC1097" s="62"/>
    </row>
    <row r="1098" spans="1:29">
      <c r="A1098" s="65" t="str">
        <f>IFERROR(VLOOKUP('Informe Kelly'!A1091,Base!A:B,2,FALSE),"")</f>
        <v>17.542.884-4</v>
      </c>
      <c r="B1098" s="65" t="str">
        <f>IFERROR(VLOOKUP('Informe Kelly'!A1091,Base!A:G,7,FALSE),"")</f>
        <v>CASTILLO  AHUMADA FRANCISCO</v>
      </c>
      <c r="C1098" s="69" t="str">
        <f>IF(G1098=$C$4,IF('Informe Kelly'!H1091='Control informe Kelly'!$A$2,TEXT(((LEFT('Informe Kelly'!E1091,2)*1)+1),"dd")&amp;"."&amp;MID('Informe Kelly'!E1091,4,2)&amp;"."&amp;RIGHT('Informe Kelly'!E1091,4),'Informe Kelly'!E1091),'Informe Kelly'!E1091)</f>
        <v>16.04.2011</v>
      </c>
      <c r="D1098" s="69" t="str">
        <f>IF('Informe Kelly'!E1091="","",'Informe Kelly'!E1091)</f>
        <v>15.04.2011</v>
      </c>
      <c r="E1098" s="72">
        <f t="shared" ref="E1098:E1161" si="35">IF(C1097=C1098,IF(C1098=C1095,E1097,IF(C1098=C1096,E1097+1,E1097)),E1097+1)</f>
        <v>559</v>
      </c>
      <c r="F1098" s="72" t="str">
        <f>IFERROR(HLOOKUP(C1098,Ingreso!$Q$8:$AD$9,2,FALSE),"v")</f>
        <v>Sábado</v>
      </c>
      <c r="G1098" s="65" t="str">
        <f>IFERROR(VLOOKUP(A1098,Ingreso!K:P,6,FALSE),"no esta ingresado")</f>
        <v>Turno C</v>
      </c>
      <c r="H1098" s="65">
        <f>IFERROR(IF('Informe Kelly'!H1091=$A$2,'Informe Kelly'!F1091,""),0)</f>
        <v>0.92655092592592592</v>
      </c>
      <c r="I1098" s="65" t="str">
        <f>IFERROR(IF('Informe Kelly'!H1091=$A$3,'Informe Kelly'!F1091,""),0)</f>
        <v/>
      </c>
      <c r="J1098" s="65" t="str">
        <f>IF(IFERROR(IF(E1098=E1097,0,(HLOOKUP(D1098,Ingreso!$AN$10:$AT$260,VLOOKUP(A1098,Ingreso!$AL$11:$AM$260,2,FALSE)))/24),0)=0,"",IFERROR(IF(E1098=E1097,0,(HLOOKUP(D1098,Ingreso!$AN$10:$AT$260,VLOOKUP(A1098,Ingreso!$AL$11:$AM$260,2,FALSE)))/24),0))</f>
        <v/>
      </c>
      <c r="K1098" s="65" t="str">
        <f>IF(IFERROR(IF(E1098=E1097,0,(HLOOKUP(C1098,Ingreso!$AW$10:$BC$260,VLOOKUP(A1098,Ingreso!$AL$11:$AM$260,2,FALSE)))/24),0)=0,"",IFERROR(IF(E1098=E1097,0,(HLOOKUP(C1098,Ingreso!$AW$10:$BC$260,VLOOKUP(A1098,Ingreso!$AL$11:$AM$260,2,FALSE)))/24),0))</f>
        <v/>
      </c>
      <c r="L1098" s="63">
        <f t="shared" si="34"/>
        <v>0.375</v>
      </c>
      <c r="M1098" s="63" t="str">
        <f>IF(IFERROR(IF(C1098=C1096,0,IF(E1098=E1097,0,IF(C1098=$R$2,HLOOKUP($R$2,Ingreso!$AW$10:$BC$260,VLOOKUP(A1098,Ingreso!AL:AM,2,FALSE),FALSE)/24,""))),"")=0,"",IFERROR(IF(C1098=C1096,0,IF(E1098=E1097,0,IF(C1098=$R$2,HLOOKUP($R$2,Ingreso!$AW$10:$BC$260,VLOOKUP(A1098,Ingreso!AL:AM,2,FALSE),FALSE)/24,""))),""))</f>
        <v/>
      </c>
      <c r="N1098" s="95" t="str">
        <f>IF(IFERROR(IF(C1098=C1096,0,IF(E1098=E1097,0,IF(C1098=$R$3,HLOOKUP($R$3,Ingreso!$AW$10:$BC$260,VLOOKUP(A1098,Ingreso!AL:AM,2,FALSE),FALSE)/24,""))),"")=0,"",IFERROR(IF(C1098=C1096,0,IF(E1098=E1097,0,IF(C1098=$R$3,HLOOKUP($R$3,Ingreso!$AW$10:$BC$260,VLOOKUP(A1098,Ingreso!AL:AM,2,FALSE),FALSE)/24,""))),""))</f>
        <v/>
      </c>
      <c r="O1098" s="95" t="str">
        <f>IF(IFERROR(IF(C1098=C1096,0,IF(E1098=E1097,0,IF(C1098=$R$4,HLOOKUP($R$4,Ingreso!$AW$10:$BC$260,VLOOKUP(A1098,Ingreso!AL:AM,2,FALSE),FALSE)/24,""))),"")=0,"",IFERROR(IF(C1098=C1096,0,IF(E1098=E1097,0,IF(C1098=$R$4,HLOOKUP($R$4,Ingreso!$AW$10:$BC$260,VLOOKUP(A1098,Ingreso!AL:AM,2,FALSE),FALSE)/24,""))),""))</f>
        <v/>
      </c>
      <c r="P1098" s="90"/>
      <c r="V1098"/>
      <c r="W1098" s="62"/>
      <c r="X1098" s="62"/>
      <c r="Y1098" s="62"/>
      <c r="Z1098" s="62"/>
      <c r="AA1098" s="62"/>
      <c r="AB1098" s="62"/>
      <c r="AC1098" s="62"/>
    </row>
    <row r="1099" spans="1:29">
      <c r="A1099" s="65" t="str">
        <f>IFERROR(VLOOKUP('Informe Kelly'!A1092,Base!A:B,2,FALSE),"")</f>
        <v>17.542.884-4</v>
      </c>
      <c r="B1099" s="65" t="str">
        <f>IFERROR(VLOOKUP('Informe Kelly'!A1092,Base!A:G,7,FALSE),"")</f>
        <v>CASTILLO  AHUMADA FRANCISCO</v>
      </c>
      <c r="C1099" s="69" t="str">
        <f>IF(G1099=$C$4,IF('Informe Kelly'!H1092='Control informe Kelly'!$A$2,TEXT(((LEFT('Informe Kelly'!E1092,2)*1)+1),"dd")&amp;"."&amp;MID('Informe Kelly'!E1092,4,2)&amp;"."&amp;RIGHT('Informe Kelly'!E1092,4),'Informe Kelly'!E1092),'Informe Kelly'!E1092)</f>
        <v>16.04.2011</v>
      </c>
      <c r="D1099" s="69" t="str">
        <f>IF('Informe Kelly'!E1092="","",'Informe Kelly'!E1092)</f>
        <v>16.04.2011</v>
      </c>
      <c r="E1099" s="72">
        <f t="shared" si="35"/>
        <v>559</v>
      </c>
      <c r="F1099" s="72" t="str">
        <f>IFERROR(HLOOKUP(C1099,Ingreso!$Q$8:$AD$9,2,FALSE),"v")</f>
        <v>Sábado</v>
      </c>
      <c r="G1099" s="65" t="str">
        <f>IFERROR(VLOOKUP(A1099,Ingreso!K:P,6,FALSE),"no esta ingresado")</f>
        <v>Turno C</v>
      </c>
      <c r="H1099" s="65" t="str">
        <f>IFERROR(IF('Informe Kelly'!H1092=$A$2,'Informe Kelly'!F1092,""),0)</f>
        <v/>
      </c>
      <c r="I1099" s="65">
        <f>IFERROR(IF('Informe Kelly'!H1092=$A$3,'Informe Kelly'!F1092,""),0)</f>
        <v>0.32710648148148147</v>
      </c>
      <c r="J1099" s="65" t="str">
        <f>IF(IFERROR(IF(E1099=E1098,0,(HLOOKUP(D1099,Ingreso!$AN$10:$AT$260,VLOOKUP(A1099,Ingreso!$AL$11:$AM$260,2,FALSE)))/24),0)=0,"",IFERROR(IF(E1099=E1098,0,(HLOOKUP(D1099,Ingreso!$AN$10:$AT$260,VLOOKUP(A1099,Ingreso!$AL$11:$AM$260,2,FALSE)))/24),0))</f>
        <v/>
      </c>
      <c r="K1099" s="65" t="str">
        <f>IF(IFERROR(IF(E1099=E1098,0,(HLOOKUP(C1099,Ingreso!$AW$10:$BC$260,VLOOKUP(A1099,Ingreso!$AL$11:$AM$260,2,FALSE)))/24),0)=0,"",IFERROR(IF(E1099=E1098,0,(HLOOKUP(C1099,Ingreso!$AW$10:$BC$260,VLOOKUP(A1099,Ingreso!$AL$11:$AM$260,2,FALSE)))/24),0))</f>
        <v/>
      </c>
      <c r="L1099" s="63">
        <f t="shared" si="34"/>
        <v>0</v>
      </c>
      <c r="M1099" s="63" t="str">
        <f>IF(IFERROR(IF(C1099=C1097,0,IF(E1099=E1098,0,IF(C1099=$R$2,HLOOKUP($R$2,Ingreso!$AW$10:$BC$260,VLOOKUP(A1099,Ingreso!AL:AM,2,FALSE),FALSE)/24,""))),"")=0,"",IFERROR(IF(C1099=C1097,0,IF(E1099=E1098,0,IF(C1099=$R$2,HLOOKUP($R$2,Ingreso!$AW$10:$BC$260,VLOOKUP(A1099,Ingreso!AL:AM,2,FALSE),FALSE)/24,""))),""))</f>
        <v/>
      </c>
      <c r="N1099" s="95" t="str">
        <f>IF(IFERROR(IF(C1099=C1097,0,IF(E1099=E1098,0,IF(C1099=$R$3,HLOOKUP($R$3,Ingreso!$AW$10:$BC$260,VLOOKUP(A1099,Ingreso!AL:AM,2,FALSE),FALSE)/24,""))),"")=0,"",IFERROR(IF(C1099=C1097,0,IF(E1099=E1098,0,IF(C1099=$R$3,HLOOKUP($R$3,Ingreso!$AW$10:$BC$260,VLOOKUP(A1099,Ingreso!AL:AM,2,FALSE),FALSE)/24,""))),""))</f>
        <v/>
      </c>
      <c r="O1099" s="95" t="str">
        <f>IF(IFERROR(IF(C1099=C1097,0,IF(E1099=E1098,0,IF(C1099=$R$4,HLOOKUP($R$4,Ingreso!$AW$10:$BC$260,VLOOKUP(A1099,Ingreso!AL:AM,2,FALSE),FALSE)/24,""))),"")=0,"",IFERROR(IF(C1099=C1097,0,IF(E1099=E1098,0,IF(C1099=$R$4,HLOOKUP($R$4,Ingreso!$AW$10:$BC$260,VLOOKUP(A1099,Ingreso!AL:AM,2,FALSE),FALSE)/24,""))),""))</f>
        <v/>
      </c>
      <c r="P1099" s="90"/>
      <c r="V1099"/>
      <c r="W1099" s="62"/>
      <c r="X1099" s="62"/>
      <c r="Y1099" s="62"/>
      <c r="Z1099" s="62"/>
      <c r="AA1099" s="62"/>
      <c r="AB1099" s="62"/>
      <c r="AC1099" s="62"/>
    </row>
    <row r="1100" spans="1:29">
      <c r="A1100" s="65" t="str">
        <f>IFERROR(VLOOKUP('Informe Kelly'!A1093,Base!A:B,2,FALSE),"")</f>
        <v>17.609.782-5</v>
      </c>
      <c r="B1100" s="65" t="str">
        <f>IFERROR(VLOOKUP('Informe Kelly'!A1093,Base!A:G,7,FALSE),"")</f>
        <v>ALVAREZ REYES CRISTIAN DANIEL</v>
      </c>
      <c r="C1100" s="69" t="str">
        <f>IF(G1100=$C$4,IF('Informe Kelly'!H1093='Control informe Kelly'!$A$2,TEXT(((LEFT('Informe Kelly'!E1093,2)*1)+1),"dd")&amp;"."&amp;MID('Informe Kelly'!E1093,4,2)&amp;"."&amp;RIGHT('Informe Kelly'!E1093,4),'Informe Kelly'!E1093),'Informe Kelly'!E1093)</f>
        <v>12.04.2011</v>
      </c>
      <c r="D1100" s="69" t="str">
        <f>IF('Informe Kelly'!E1093="","",'Informe Kelly'!E1093)</f>
        <v>12.04.2011</v>
      </c>
      <c r="E1100" s="72">
        <f t="shared" si="35"/>
        <v>560</v>
      </c>
      <c r="F1100" s="72" t="str">
        <f>IFERROR(HLOOKUP(C1100,Ingreso!$Q$8:$AD$9,2,FALSE),"v")</f>
        <v>Martes</v>
      </c>
      <c r="G1100" s="65" t="str">
        <f>IFERROR(VLOOKUP(A1100,Ingreso!K:P,6,FALSE),"no esta ingresado")</f>
        <v>Admin</v>
      </c>
      <c r="H1100" s="65" t="str">
        <f>IFERROR(IF('Informe Kelly'!H1093=$A$2,'Informe Kelly'!F1093,""),0)</f>
        <v/>
      </c>
      <c r="I1100" s="65">
        <f>IFERROR(IF('Informe Kelly'!H1093=$A$3,'Informe Kelly'!F1093,""),0)</f>
        <v>0.72886574074074073</v>
      </c>
      <c r="J1100" s="65" t="str">
        <f>IF(IFERROR(IF(E1100=E1099,0,(HLOOKUP(D1100,Ingreso!$AN$10:$AT$260,VLOOKUP(A1100,Ingreso!$AL$11:$AM$260,2,FALSE)))/24),0)=0,"",IFERROR(IF(E1100=E1099,0,(HLOOKUP(D1100,Ingreso!$AN$10:$AT$260,VLOOKUP(A1100,Ingreso!$AL$11:$AM$260,2,FALSE)))/24),0))</f>
        <v/>
      </c>
      <c r="K1100" s="65" t="str">
        <f>IF(IFERROR(IF(E1100=E1099,0,(HLOOKUP(C1100,Ingreso!$AW$10:$BC$260,VLOOKUP(A1100,Ingreso!$AL$11:$AM$260,2,FALSE)))/24),0)=0,"",IFERROR(IF(E1100=E1099,0,(HLOOKUP(C1100,Ingreso!$AW$10:$BC$260,VLOOKUP(A1100,Ingreso!$AL$11:$AM$260,2,FALSE)))/24),0))</f>
        <v/>
      </c>
      <c r="L1100" s="63">
        <f t="shared" si="34"/>
        <v>0.41666666666666669</v>
      </c>
      <c r="M1100" s="63" t="str">
        <f>IF(IFERROR(IF(C1100=C1098,0,IF(E1100=E1099,0,IF(C1100=$R$2,HLOOKUP($R$2,Ingreso!$AW$10:$BC$260,VLOOKUP(A1100,Ingreso!AL:AM,2,FALSE),FALSE)/24,""))),"")=0,"",IFERROR(IF(C1100=C1098,0,IF(E1100=E1099,0,IF(C1100=$R$2,HLOOKUP($R$2,Ingreso!$AW$10:$BC$260,VLOOKUP(A1100,Ingreso!AL:AM,2,FALSE),FALSE)/24,""))),""))</f>
        <v/>
      </c>
      <c r="N1100" s="95" t="str">
        <f>IF(IFERROR(IF(C1100=C1098,0,IF(E1100=E1099,0,IF(C1100=$R$3,HLOOKUP($R$3,Ingreso!$AW$10:$BC$260,VLOOKUP(A1100,Ingreso!AL:AM,2,FALSE),FALSE)/24,""))),"")=0,"",IFERROR(IF(C1100=C1098,0,IF(E1100=E1099,0,IF(C1100=$R$3,HLOOKUP($R$3,Ingreso!$AW$10:$BC$260,VLOOKUP(A1100,Ingreso!AL:AM,2,FALSE),FALSE)/24,""))),""))</f>
        <v/>
      </c>
      <c r="O1100" s="95" t="str">
        <f>IF(IFERROR(IF(C1100=C1098,0,IF(E1100=E1099,0,IF(C1100=$R$4,HLOOKUP($R$4,Ingreso!$AW$10:$BC$260,VLOOKUP(A1100,Ingreso!AL:AM,2,FALSE),FALSE)/24,""))),"")=0,"",IFERROR(IF(C1100=C1098,0,IF(E1100=E1099,0,IF(C1100=$R$4,HLOOKUP($R$4,Ingreso!$AW$10:$BC$260,VLOOKUP(A1100,Ingreso!AL:AM,2,FALSE),FALSE)/24,""))),""))</f>
        <v/>
      </c>
      <c r="P1100" s="90"/>
      <c r="V1100"/>
      <c r="W1100" s="62"/>
      <c r="X1100" s="62"/>
      <c r="Y1100" s="62"/>
      <c r="Z1100" s="62"/>
      <c r="AA1100" s="62"/>
      <c r="AB1100" s="62"/>
      <c r="AC1100" s="62"/>
    </row>
    <row r="1101" spans="1:29">
      <c r="A1101" s="65" t="str">
        <f>IFERROR(VLOOKUP('Informe Kelly'!A1094,Base!A:B,2,FALSE),"")</f>
        <v>17.609.782-5</v>
      </c>
      <c r="B1101" s="65" t="str">
        <f>IFERROR(VLOOKUP('Informe Kelly'!A1094,Base!A:G,7,FALSE),"")</f>
        <v>ALVAREZ REYES CRISTIAN DANIEL</v>
      </c>
      <c r="C1101" s="69" t="str">
        <f>IF(G1101=$C$4,IF('Informe Kelly'!H1094='Control informe Kelly'!$A$2,TEXT(((LEFT('Informe Kelly'!E1094,2)*1)+1),"dd")&amp;"."&amp;MID('Informe Kelly'!E1094,4,2)&amp;"."&amp;RIGHT('Informe Kelly'!E1094,4),'Informe Kelly'!E1094),'Informe Kelly'!E1094)</f>
        <v>12.04.2011</v>
      </c>
      <c r="D1101" s="69" t="str">
        <f>IF('Informe Kelly'!E1094="","",'Informe Kelly'!E1094)</f>
        <v>12.04.2011</v>
      </c>
      <c r="E1101" s="72">
        <f t="shared" si="35"/>
        <v>560</v>
      </c>
      <c r="F1101" s="72" t="str">
        <f>IFERROR(HLOOKUP(C1101,Ingreso!$Q$8:$AD$9,2,FALSE),"v")</f>
        <v>Martes</v>
      </c>
      <c r="G1101" s="65" t="str">
        <f>IFERROR(VLOOKUP(A1101,Ingreso!K:P,6,FALSE),"no esta ingresado")</f>
        <v>Admin</v>
      </c>
      <c r="H1101" s="65">
        <f>IFERROR(IF('Informe Kelly'!H1094=$A$2,'Informe Kelly'!F1094,""),0)</f>
        <v>0.32047453703703704</v>
      </c>
      <c r="I1101" s="65" t="str">
        <f>IFERROR(IF('Informe Kelly'!H1094=$A$3,'Informe Kelly'!F1094,""),0)</f>
        <v/>
      </c>
      <c r="J1101" s="65" t="str">
        <f>IF(IFERROR(IF(E1101=E1100,0,(HLOOKUP(D1101,Ingreso!$AN$10:$AT$260,VLOOKUP(A1101,Ingreso!$AL$11:$AM$260,2,FALSE)))/24),0)=0,"",IFERROR(IF(E1101=E1100,0,(HLOOKUP(D1101,Ingreso!$AN$10:$AT$260,VLOOKUP(A1101,Ingreso!$AL$11:$AM$260,2,FALSE)))/24),0))</f>
        <v/>
      </c>
      <c r="K1101" s="65" t="str">
        <f>IF(IFERROR(IF(E1101=E1100,0,(HLOOKUP(C1101,Ingreso!$AW$10:$BC$260,VLOOKUP(A1101,Ingreso!$AL$11:$AM$260,2,FALSE)))/24),0)=0,"",IFERROR(IF(E1101=E1100,0,(HLOOKUP(C1101,Ingreso!$AW$10:$BC$260,VLOOKUP(A1101,Ingreso!$AL$11:$AM$260,2,FALSE)))/24),0))</f>
        <v/>
      </c>
      <c r="L1101" s="63">
        <f t="shared" si="34"/>
        <v>0</v>
      </c>
      <c r="M1101" s="63" t="str">
        <f>IF(IFERROR(IF(C1101=C1099,0,IF(E1101=E1100,0,IF(C1101=$R$2,HLOOKUP($R$2,Ingreso!$AW$10:$BC$260,VLOOKUP(A1101,Ingreso!AL:AM,2,FALSE),FALSE)/24,""))),"")=0,"",IFERROR(IF(C1101=C1099,0,IF(E1101=E1100,0,IF(C1101=$R$2,HLOOKUP($R$2,Ingreso!$AW$10:$BC$260,VLOOKUP(A1101,Ingreso!AL:AM,2,FALSE),FALSE)/24,""))),""))</f>
        <v/>
      </c>
      <c r="N1101" s="95" t="str">
        <f>IF(IFERROR(IF(C1101=C1099,0,IF(E1101=E1100,0,IF(C1101=$R$3,HLOOKUP($R$3,Ingreso!$AW$10:$BC$260,VLOOKUP(A1101,Ingreso!AL:AM,2,FALSE),FALSE)/24,""))),"")=0,"",IFERROR(IF(C1101=C1099,0,IF(E1101=E1100,0,IF(C1101=$R$3,HLOOKUP($R$3,Ingreso!$AW$10:$BC$260,VLOOKUP(A1101,Ingreso!AL:AM,2,FALSE),FALSE)/24,""))),""))</f>
        <v/>
      </c>
      <c r="O1101" s="95" t="str">
        <f>IF(IFERROR(IF(C1101=C1099,0,IF(E1101=E1100,0,IF(C1101=$R$4,HLOOKUP($R$4,Ingreso!$AW$10:$BC$260,VLOOKUP(A1101,Ingreso!AL:AM,2,FALSE),FALSE)/24,""))),"")=0,"",IFERROR(IF(C1101=C1099,0,IF(E1101=E1100,0,IF(C1101=$R$4,HLOOKUP($R$4,Ingreso!$AW$10:$BC$260,VLOOKUP(A1101,Ingreso!AL:AM,2,FALSE),FALSE)/24,""))),""))</f>
        <v/>
      </c>
      <c r="P1101" s="90"/>
      <c r="V1101"/>
      <c r="W1101" s="62"/>
      <c r="X1101" s="62"/>
      <c r="Y1101" s="62"/>
      <c r="Z1101" s="62"/>
      <c r="AA1101" s="62"/>
      <c r="AB1101" s="62"/>
      <c r="AC1101" s="62"/>
    </row>
    <row r="1102" spans="1:29">
      <c r="A1102" s="65" t="str">
        <f>IFERROR(VLOOKUP('Informe Kelly'!A1095,Base!A:B,2,FALSE),"")</f>
        <v>17.609.782-5</v>
      </c>
      <c r="B1102" s="65" t="str">
        <f>IFERROR(VLOOKUP('Informe Kelly'!A1095,Base!A:G,7,FALSE),"")</f>
        <v>ALVAREZ REYES CRISTIAN DANIEL</v>
      </c>
      <c r="C1102" s="69" t="str">
        <f>IF(G1102=$C$4,IF('Informe Kelly'!H1095='Control informe Kelly'!$A$2,TEXT(((LEFT('Informe Kelly'!E1095,2)*1)+1),"dd")&amp;"."&amp;MID('Informe Kelly'!E1095,4,2)&amp;"."&amp;RIGHT('Informe Kelly'!E1095,4),'Informe Kelly'!E1095),'Informe Kelly'!E1095)</f>
        <v>13.04.2011</v>
      </c>
      <c r="D1102" s="69" t="str">
        <f>IF('Informe Kelly'!E1095="","",'Informe Kelly'!E1095)</f>
        <v>13.04.2011</v>
      </c>
      <c r="E1102" s="72">
        <f t="shared" si="35"/>
        <v>561</v>
      </c>
      <c r="F1102" s="72" t="str">
        <f>IFERROR(HLOOKUP(C1102,Ingreso!$Q$8:$AD$9,2,FALSE),"v")</f>
        <v>Miércoles</v>
      </c>
      <c r="G1102" s="65" t="str">
        <f>IFERROR(VLOOKUP(A1102,Ingreso!K:P,6,FALSE),"no esta ingresado")</f>
        <v>Admin</v>
      </c>
      <c r="H1102" s="65" t="str">
        <f>IFERROR(IF('Informe Kelly'!H1095=$A$2,'Informe Kelly'!F1095,""),0)</f>
        <v/>
      </c>
      <c r="I1102" s="65">
        <f>IFERROR(IF('Informe Kelly'!H1095=$A$3,'Informe Kelly'!F1095,""),0)</f>
        <v>0.73424768518518524</v>
      </c>
      <c r="J1102" s="65">
        <f>IF(IFERROR(IF(E1102=E1101,0,(HLOOKUP(D1102,Ingreso!$AN$10:$AT$260,VLOOKUP(A1102,Ingreso!$AL$11:$AM$260,2,FALSE)))/24),0)=0,"",IFERROR(IF(E1102=E1101,0,(HLOOKUP(D1102,Ingreso!$AN$10:$AT$260,VLOOKUP(A1102,Ingreso!$AL$11:$AM$260,2,FALSE)))/24),0))</f>
        <v>8.3333333333333329E-2</v>
      </c>
      <c r="K1102" s="65" t="str">
        <f>IF(IFERROR(IF(E1102=E1101,0,(HLOOKUP(C1102,Ingreso!$AW$10:$BC$260,VLOOKUP(A1102,Ingreso!$AL$11:$AM$260,2,FALSE)))/24),0)=0,"",IFERROR(IF(E1102=E1101,0,(HLOOKUP(C1102,Ingreso!$AW$10:$BC$260,VLOOKUP(A1102,Ingreso!$AL$11:$AM$260,2,FALSE)))/24),0))</f>
        <v/>
      </c>
      <c r="L1102" s="63">
        <f t="shared" si="34"/>
        <v>0.41666666666666669</v>
      </c>
      <c r="M1102" s="63" t="str">
        <f>IF(IFERROR(IF(C1102=C1100,0,IF(E1102=E1101,0,IF(C1102=$R$2,HLOOKUP($R$2,Ingreso!$AW$10:$BC$260,VLOOKUP(A1102,Ingreso!AL:AM,2,FALSE),FALSE)/24,""))),"")=0,"",IFERROR(IF(C1102=C1100,0,IF(E1102=E1101,0,IF(C1102=$R$2,HLOOKUP($R$2,Ingreso!$AW$10:$BC$260,VLOOKUP(A1102,Ingreso!AL:AM,2,FALSE),FALSE)/24,""))),""))</f>
        <v/>
      </c>
      <c r="N1102" s="95" t="str">
        <f>IF(IFERROR(IF(C1102=C1100,0,IF(E1102=E1101,0,IF(C1102=$R$3,HLOOKUP($R$3,Ingreso!$AW$10:$BC$260,VLOOKUP(A1102,Ingreso!AL:AM,2,FALSE),FALSE)/24,""))),"")=0,"",IFERROR(IF(C1102=C1100,0,IF(E1102=E1101,0,IF(C1102=$R$3,HLOOKUP($R$3,Ingreso!$AW$10:$BC$260,VLOOKUP(A1102,Ingreso!AL:AM,2,FALSE),FALSE)/24,""))),""))</f>
        <v/>
      </c>
      <c r="O1102" s="95" t="str">
        <f>IF(IFERROR(IF(C1102=C1100,0,IF(E1102=E1101,0,IF(C1102=$R$4,HLOOKUP($R$4,Ingreso!$AW$10:$BC$260,VLOOKUP(A1102,Ingreso!AL:AM,2,FALSE),FALSE)/24,""))),"")=0,"",IFERROR(IF(C1102=C1100,0,IF(E1102=E1101,0,IF(C1102=$R$4,HLOOKUP($R$4,Ingreso!$AW$10:$BC$260,VLOOKUP(A1102,Ingreso!AL:AM,2,FALSE),FALSE)/24,""))),""))</f>
        <v/>
      </c>
      <c r="P1102" s="90"/>
      <c r="V1102"/>
      <c r="W1102" s="62"/>
      <c r="X1102" s="62"/>
      <c r="Y1102" s="62"/>
      <c r="Z1102" s="62"/>
      <c r="AA1102" s="62"/>
      <c r="AB1102" s="62"/>
      <c r="AC1102" s="62"/>
    </row>
    <row r="1103" spans="1:29">
      <c r="A1103" s="65" t="str">
        <f>IFERROR(VLOOKUP('Informe Kelly'!A1096,Base!A:B,2,FALSE),"")</f>
        <v>17.609.782-5</v>
      </c>
      <c r="B1103" s="65" t="str">
        <f>IFERROR(VLOOKUP('Informe Kelly'!A1096,Base!A:G,7,FALSE),"")</f>
        <v>ALVAREZ REYES CRISTIAN DANIEL</v>
      </c>
      <c r="C1103" s="69" t="str">
        <f>IF(G1103=$C$4,IF('Informe Kelly'!H1096='Control informe Kelly'!$A$2,TEXT(((LEFT('Informe Kelly'!E1096,2)*1)+1),"dd")&amp;"."&amp;MID('Informe Kelly'!E1096,4,2)&amp;"."&amp;RIGHT('Informe Kelly'!E1096,4),'Informe Kelly'!E1096),'Informe Kelly'!E1096)</f>
        <v>13.04.2011</v>
      </c>
      <c r="D1103" s="69" t="str">
        <f>IF('Informe Kelly'!E1096="","",'Informe Kelly'!E1096)</f>
        <v>13.04.2011</v>
      </c>
      <c r="E1103" s="72">
        <f t="shared" si="35"/>
        <v>561</v>
      </c>
      <c r="F1103" s="72" t="str">
        <f>IFERROR(HLOOKUP(C1103,Ingreso!$Q$8:$AD$9,2,FALSE),"v")</f>
        <v>Miércoles</v>
      </c>
      <c r="G1103" s="65" t="str">
        <f>IFERROR(VLOOKUP(A1103,Ingreso!K:P,6,FALSE),"no esta ingresado")</f>
        <v>Admin</v>
      </c>
      <c r="H1103" s="65">
        <f>IFERROR(IF('Informe Kelly'!H1096=$A$2,'Informe Kelly'!F1096,""),0)</f>
        <v>0.3221296296296296</v>
      </c>
      <c r="I1103" s="65" t="str">
        <f>IFERROR(IF('Informe Kelly'!H1096=$A$3,'Informe Kelly'!F1096,""),0)</f>
        <v/>
      </c>
      <c r="J1103" s="65" t="str">
        <f>IF(IFERROR(IF(E1103=E1102,0,(HLOOKUP(D1103,Ingreso!$AN$10:$AT$260,VLOOKUP(A1103,Ingreso!$AL$11:$AM$260,2,FALSE)))/24),0)=0,"",IFERROR(IF(E1103=E1102,0,(HLOOKUP(D1103,Ingreso!$AN$10:$AT$260,VLOOKUP(A1103,Ingreso!$AL$11:$AM$260,2,FALSE)))/24),0))</f>
        <v/>
      </c>
      <c r="K1103" s="65" t="str">
        <f>IF(IFERROR(IF(E1103=E1102,0,(HLOOKUP(C1103,Ingreso!$AW$10:$BC$260,VLOOKUP(A1103,Ingreso!$AL$11:$AM$260,2,FALSE)))/24),0)=0,"",IFERROR(IF(E1103=E1102,0,(HLOOKUP(C1103,Ingreso!$AW$10:$BC$260,VLOOKUP(A1103,Ingreso!$AL$11:$AM$260,2,FALSE)))/24),0))</f>
        <v/>
      </c>
      <c r="L1103" s="63">
        <f t="shared" si="34"/>
        <v>0</v>
      </c>
      <c r="M1103" s="63" t="str">
        <f>IF(IFERROR(IF(C1103=C1101,0,IF(E1103=E1102,0,IF(C1103=$R$2,HLOOKUP($R$2,Ingreso!$AW$10:$BC$260,VLOOKUP(A1103,Ingreso!AL:AM,2,FALSE),FALSE)/24,""))),"")=0,"",IFERROR(IF(C1103=C1101,0,IF(E1103=E1102,0,IF(C1103=$R$2,HLOOKUP($R$2,Ingreso!$AW$10:$BC$260,VLOOKUP(A1103,Ingreso!AL:AM,2,FALSE),FALSE)/24,""))),""))</f>
        <v/>
      </c>
      <c r="N1103" s="95" t="str">
        <f>IF(IFERROR(IF(C1103=C1101,0,IF(E1103=E1102,0,IF(C1103=$R$3,HLOOKUP($R$3,Ingreso!$AW$10:$BC$260,VLOOKUP(A1103,Ingreso!AL:AM,2,FALSE),FALSE)/24,""))),"")=0,"",IFERROR(IF(C1103=C1101,0,IF(E1103=E1102,0,IF(C1103=$R$3,HLOOKUP($R$3,Ingreso!$AW$10:$BC$260,VLOOKUP(A1103,Ingreso!AL:AM,2,FALSE),FALSE)/24,""))),""))</f>
        <v/>
      </c>
      <c r="O1103" s="95" t="str">
        <f>IF(IFERROR(IF(C1103=C1101,0,IF(E1103=E1102,0,IF(C1103=$R$4,HLOOKUP($R$4,Ingreso!$AW$10:$BC$260,VLOOKUP(A1103,Ingreso!AL:AM,2,FALSE),FALSE)/24,""))),"")=0,"",IFERROR(IF(C1103=C1101,0,IF(E1103=E1102,0,IF(C1103=$R$4,HLOOKUP($R$4,Ingreso!$AW$10:$BC$260,VLOOKUP(A1103,Ingreso!AL:AM,2,FALSE),FALSE)/24,""))),""))</f>
        <v/>
      </c>
      <c r="P1103" s="90"/>
      <c r="V1103"/>
      <c r="W1103" s="62"/>
      <c r="X1103" s="62"/>
      <c r="Y1103" s="62"/>
      <c r="Z1103" s="62"/>
      <c r="AA1103" s="62"/>
      <c r="AB1103" s="62"/>
      <c r="AC1103" s="62"/>
    </row>
    <row r="1104" spans="1:29">
      <c r="A1104" s="65" t="str">
        <f>IFERROR(VLOOKUP('Informe Kelly'!A1097,Base!A:B,2,FALSE),"")</f>
        <v>17.609.782-5</v>
      </c>
      <c r="B1104" s="65" t="str">
        <f>IFERROR(VLOOKUP('Informe Kelly'!A1097,Base!A:G,7,FALSE),"")</f>
        <v>ALVAREZ REYES CRISTIAN DANIEL</v>
      </c>
      <c r="C1104" s="69" t="str">
        <f>IF(G1104=$C$4,IF('Informe Kelly'!H1097='Control informe Kelly'!$A$2,TEXT(((LEFT('Informe Kelly'!E1097,2)*1)+1),"dd")&amp;"."&amp;MID('Informe Kelly'!E1097,4,2)&amp;"."&amp;RIGHT('Informe Kelly'!E1097,4),'Informe Kelly'!E1097),'Informe Kelly'!E1097)</f>
        <v>14.04.2011</v>
      </c>
      <c r="D1104" s="69" t="str">
        <f>IF('Informe Kelly'!E1097="","",'Informe Kelly'!E1097)</f>
        <v>14.04.2011</v>
      </c>
      <c r="E1104" s="72">
        <f t="shared" si="35"/>
        <v>562</v>
      </c>
      <c r="F1104" s="72" t="str">
        <f>IFERROR(HLOOKUP(C1104,Ingreso!$Q$8:$AD$9,2,FALSE),"v")</f>
        <v>Jueves</v>
      </c>
      <c r="G1104" s="65" t="str">
        <f>IFERROR(VLOOKUP(A1104,Ingreso!K:P,6,FALSE),"no esta ingresado")</f>
        <v>Admin</v>
      </c>
      <c r="H1104" s="65" t="str">
        <f>IFERROR(IF('Informe Kelly'!H1097=$A$2,'Informe Kelly'!F1097,""),0)</f>
        <v/>
      </c>
      <c r="I1104" s="65">
        <f>IFERROR(IF('Informe Kelly'!H1097=$A$3,'Informe Kelly'!F1097,""),0)</f>
        <v>0.80555555555555547</v>
      </c>
      <c r="J1104" s="65" t="str">
        <f>IF(IFERROR(IF(E1104=E1103,0,(HLOOKUP(D1104,Ingreso!$AN$10:$AT$260,VLOOKUP(A1104,Ingreso!$AL$11:$AM$260,2,FALSE)))/24),0)=0,"",IFERROR(IF(E1104=E1103,0,(HLOOKUP(D1104,Ingreso!$AN$10:$AT$260,VLOOKUP(A1104,Ingreso!$AL$11:$AM$260,2,FALSE)))/24),0))</f>
        <v/>
      </c>
      <c r="K1104" s="65" t="str">
        <f>IF(IFERROR(IF(E1104=E1103,0,(HLOOKUP(C1104,Ingreso!$AW$10:$BC$260,VLOOKUP(A1104,Ingreso!$AL$11:$AM$260,2,FALSE)))/24),0)=0,"",IFERROR(IF(E1104=E1103,0,(HLOOKUP(C1104,Ingreso!$AW$10:$BC$260,VLOOKUP(A1104,Ingreso!$AL$11:$AM$260,2,FALSE)))/24),0))</f>
        <v/>
      </c>
      <c r="L1104" s="63">
        <f t="shared" si="34"/>
        <v>0.41666666666666669</v>
      </c>
      <c r="M1104" s="63" t="str">
        <f>IF(IFERROR(IF(C1104=C1102,0,IF(E1104=E1103,0,IF(C1104=$R$2,HLOOKUP($R$2,Ingreso!$AW$10:$BC$260,VLOOKUP(A1104,Ingreso!AL:AM,2,FALSE),FALSE)/24,""))),"")=0,"",IFERROR(IF(C1104=C1102,0,IF(E1104=E1103,0,IF(C1104=$R$2,HLOOKUP($R$2,Ingreso!$AW$10:$BC$260,VLOOKUP(A1104,Ingreso!AL:AM,2,FALSE),FALSE)/24,""))),""))</f>
        <v/>
      </c>
      <c r="N1104" s="95" t="str">
        <f>IF(IFERROR(IF(C1104=C1102,0,IF(E1104=E1103,0,IF(C1104=$R$3,HLOOKUP($R$3,Ingreso!$AW$10:$BC$260,VLOOKUP(A1104,Ingreso!AL:AM,2,FALSE),FALSE)/24,""))),"")=0,"",IFERROR(IF(C1104=C1102,0,IF(E1104=E1103,0,IF(C1104=$R$3,HLOOKUP($R$3,Ingreso!$AW$10:$BC$260,VLOOKUP(A1104,Ingreso!AL:AM,2,FALSE),FALSE)/24,""))),""))</f>
        <v/>
      </c>
      <c r="O1104" s="95" t="str">
        <f>IF(IFERROR(IF(C1104=C1102,0,IF(E1104=E1103,0,IF(C1104=$R$4,HLOOKUP($R$4,Ingreso!$AW$10:$BC$260,VLOOKUP(A1104,Ingreso!AL:AM,2,FALSE),FALSE)/24,""))),"")=0,"",IFERROR(IF(C1104=C1102,0,IF(E1104=E1103,0,IF(C1104=$R$4,HLOOKUP($R$4,Ingreso!$AW$10:$BC$260,VLOOKUP(A1104,Ingreso!AL:AM,2,FALSE),FALSE)/24,""))),""))</f>
        <v/>
      </c>
      <c r="P1104" s="90"/>
      <c r="V1104"/>
      <c r="W1104" s="62"/>
      <c r="X1104" s="62"/>
      <c r="Y1104" s="62"/>
      <c r="Z1104" s="62"/>
      <c r="AA1104" s="62"/>
      <c r="AB1104" s="62"/>
      <c r="AC1104" s="62"/>
    </row>
    <row r="1105" spans="1:29">
      <c r="A1105" s="65" t="str">
        <f>IFERROR(VLOOKUP('Informe Kelly'!A1098,Base!A:B,2,FALSE),"")</f>
        <v>17.609.782-5</v>
      </c>
      <c r="B1105" s="65" t="str">
        <f>IFERROR(VLOOKUP('Informe Kelly'!A1098,Base!A:G,7,FALSE),"")</f>
        <v>ALVAREZ REYES CRISTIAN DANIEL</v>
      </c>
      <c r="C1105" s="69" t="str">
        <f>IF(G1105=$C$4,IF('Informe Kelly'!H1098='Control informe Kelly'!$A$2,TEXT(((LEFT('Informe Kelly'!E1098,2)*1)+1),"dd")&amp;"."&amp;MID('Informe Kelly'!E1098,4,2)&amp;"."&amp;RIGHT('Informe Kelly'!E1098,4),'Informe Kelly'!E1098),'Informe Kelly'!E1098)</f>
        <v>14.04.2011</v>
      </c>
      <c r="D1105" s="69" t="str">
        <f>IF('Informe Kelly'!E1098="","",'Informe Kelly'!E1098)</f>
        <v>14.04.2011</v>
      </c>
      <c r="E1105" s="72">
        <f t="shared" si="35"/>
        <v>562</v>
      </c>
      <c r="F1105" s="72" t="str">
        <f>IFERROR(HLOOKUP(C1105,Ingreso!$Q$8:$AD$9,2,FALSE),"v")</f>
        <v>Jueves</v>
      </c>
      <c r="G1105" s="65" t="str">
        <f>IFERROR(VLOOKUP(A1105,Ingreso!K:P,6,FALSE),"no esta ingresado")</f>
        <v>Admin</v>
      </c>
      <c r="H1105" s="65">
        <f>IFERROR(IF('Informe Kelly'!H1098=$A$2,'Informe Kelly'!F1098,""),0)</f>
        <v>0.32364583333333335</v>
      </c>
      <c r="I1105" s="65" t="str">
        <f>IFERROR(IF('Informe Kelly'!H1098=$A$3,'Informe Kelly'!F1098,""),0)</f>
        <v/>
      </c>
      <c r="J1105" s="65" t="str">
        <f>IF(IFERROR(IF(E1105=E1104,0,(HLOOKUP(D1105,Ingreso!$AN$10:$AT$260,VLOOKUP(A1105,Ingreso!$AL$11:$AM$260,2,FALSE)))/24),0)=0,"",IFERROR(IF(E1105=E1104,0,(HLOOKUP(D1105,Ingreso!$AN$10:$AT$260,VLOOKUP(A1105,Ingreso!$AL$11:$AM$260,2,FALSE)))/24),0))</f>
        <v/>
      </c>
      <c r="K1105" s="65" t="str">
        <f>IF(IFERROR(IF(E1105=E1104,0,(HLOOKUP(C1105,Ingreso!$AW$10:$BC$260,VLOOKUP(A1105,Ingreso!$AL$11:$AM$260,2,FALSE)))/24),0)=0,"",IFERROR(IF(E1105=E1104,0,(HLOOKUP(C1105,Ingreso!$AW$10:$BC$260,VLOOKUP(A1105,Ingreso!$AL$11:$AM$260,2,FALSE)))/24),0))</f>
        <v/>
      </c>
      <c r="L1105" s="63">
        <f t="shared" si="34"/>
        <v>0</v>
      </c>
      <c r="M1105" s="63" t="str">
        <f>IF(IFERROR(IF(C1105=C1103,0,IF(E1105=E1104,0,IF(C1105=$R$2,HLOOKUP($R$2,Ingreso!$AW$10:$BC$260,VLOOKUP(A1105,Ingreso!AL:AM,2,FALSE),FALSE)/24,""))),"")=0,"",IFERROR(IF(C1105=C1103,0,IF(E1105=E1104,0,IF(C1105=$R$2,HLOOKUP($R$2,Ingreso!$AW$10:$BC$260,VLOOKUP(A1105,Ingreso!AL:AM,2,FALSE),FALSE)/24,""))),""))</f>
        <v/>
      </c>
      <c r="N1105" s="95" t="str">
        <f>IF(IFERROR(IF(C1105=C1103,0,IF(E1105=E1104,0,IF(C1105=$R$3,HLOOKUP($R$3,Ingreso!$AW$10:$BC$260,VLOOKUP(A1105,Ingreso!AL:AM,2,FALSE),FALSE)/24,""))),"")=0,"",IFERROR(IF(C1105=C1103,0,IF(E1105=E1104,0,IF(C1105=$R$3,HLOOKUP($R$3,Ingreso!$AW$10:$BC$260,VLOOKUP(A1105,Ingreso!AL:AM,2,FALSE),FALSE)/24,""))),""))</f>
        <v/>
      </c>
      <c r="O1105" s="95" t="str">
        <f>IF(IFERROR(IF(C1105=C1103,0,IF(E1105=E1104,0,IF(C1105=$R$4,HLOOKUP($R$4,Ingreso!$AW$10:$BC$260,VLOOKUP(A1105,Ingreso!AL:AM,2,FALSE),FALSE)/24,""))),"")=0,"",IFERROR(IF(C1105=C1103,0,IF(E1105=E1104,0,IF(C1105=$R$4,HLOOKUP($R$4,Ingreso!$AW$10:$BC$260,VLOOKUP(A1105,Ingreso!AL:AM,2,FALSE),FALSE)/24,""))),""))</f>
        <v/>
      </c>
      <c r="P1105" s="90"/>
      <c r="V1105"/>
      <c r="W1105" s="62"/>
      <c r="X1105" s="62"/>
      <c r="Y1105" s="62"/>
      <c r="Z1105" s="62"/>
      <c r="AA1105" s="62"/>
      <c r="AB1105" s="62"/>
      <c r="AC1105" s="62"/>
    </row>
    <row r="1106" spans="1:29">
      <c r="A1106" s="65" t="str">
        <f>IFERROR(VLOOKUP('Informe Kelly'!A1099,Base!A:B,2,FALSE),"")</f>
        <v>17.609.782-5</v>
      </c>
      <c r="B1106" s="65" t="str">
        <f>IFERROR(VLOOKUP('Informe Kelly'!A1099,Base!A:G,7,FALSE),"")</f>
        <v>ALVAREZ REYES CRISTIAN DANIEL</v>
      </c>
      <c r="C1106" s="69" t="str">
        <f>IF(G1106=$C$4,IF('Informe Kelly'!H1099='Control informe Kelly'!$A$2,TEXT(((LEFT('Informe Kelly'!E1099,2)*1)+1),"dd")&amp;"."&amp;MID('Informe Kelly'!E1099,4,2)&amp;"."&amp;RIGHT('Informe Kelly'!E1099,4),'Informe Kelly'!E1099),'Informe Kelly'!E1099)</f>
        <v>15.04.2011</v>
      </c>
      <c r="D1106" s="69" t="str">
        <f>IF('Informe Kelly'!E1099="","",'Informe Kelly'!E1099)</f>
        <v>15.04.2011</v>
      </c>
      <c r="E1106" s="72">
        <f t="shared" si="35"/>
        <v>563</v>
      </c>
      <c r="F1106" s="72" t="str">
        <f>IFERROR(HLOOKUP(C1106,Ingreso!$Q$8:$AD$9,2,FALSE),"v")</f>
        <v>Viernes</v>
      </c>
      <c r="G1106" s="65" t="str">
        <f>IFERROR(VLOOKUP(A1106,Ingreso!K:P,6,FALSE),"no esta ingresado")</f>
        <v>Admin</v>
      </c>
      <c r="H1106" s="65" t="str">
        <f>IFERROR(IF('Informe Kelly'!H1099=$A$2,'Informe Kelly'!F1099,""),0)</f>
        <v/>
      </c>
      <c r="I1106" s="65">
        <f>IFERROR(IF('Informe Kelly'!H1099=$A$3,'Informe Kelly'!F1099,""),0)</f>
        <v>0.73304398148148142</v>
      </c>
      <c r="J1106" s="65" t="str">
        <f>IF(IFERROR(IF(E1106=E1105,0,(HLOOKUP(D1106,Ingreso!$AN$10:$AT$260,VLOOKUP(A1106,Ingreso!$AL$11:$AM$260,2,FALSE)))/24),0)=0,"",IFERROR(IF(E1106=E1105,0,(HLOOKUP(D1106,Ingreso!$AN$10:$AT$260,VLOOKUP(A1106,Ingreso!$AL$11:$AM$260,2,FALSE)))/24),0))</f>
        <v/>
      </c>
      <c r="K1106" s="65" t="str">
        <f>IF(IFERROR(IF(E1106=E1105,0,(HLOOKUP(C1106,Ingreso!$AW$10:$BC$260,VLOOKUP(A1106,Ingreso!$AL$11:$AM$260,2,FALSE)))/24),0)=0,"",IFERROR(IF(E1106=E1105,0,(HLOOKUP(C1106,Ingreso!$AW$10:$BC$260,VLOOKUP(A1106,Ingreso!$AL$11:$AM$260,2,FALSE)))/24),0))</f>
        <v/>
      </c>
      <c r="L1106" s="63">
        <f t="shared" si="34"/>
        <v>0.41666666666666669</v>
      </c>
      <c r="M1106" s="63" t="str">
        <f>IF(IFERROR(IF(C1106=C1104,0,IF(E1106=E1105,0,IF(C1106=$R$2,HLOOKUP($R$2,Ingreso!$AW$10:$BC$260,VLOOKUP(A1106,Ingreso!AL:AM,2,FALSE),FALSE)/24,""))),"")=0,"",IFERROR(IF(C1106=C1104,0,IF(E1106=E1105,0,IF(C1106=$R$2,HLOOKUP($R$2,Ingreso!$AW$10:$BC$260,VLOOKUP(A1106,Ingreso!AL:AM,2,FALSE),FALSE)/24,""))),""))</f>
        <v/>
      </c>
      <c r="N1106" s="95" t="str">
        <f>IF(IFERROR(IF(C1106=C1104,0,IF(E1106=E1105,0,IF(C1106=$R$3,HLOOKUP($R$3,Ingreso!$AW$10:$BC$260,VLOOKUP(A1106,Ingreso!AL:AM,2,FALSE),FALSE)/24,""))),"")=0,"",IFERROR(IF(C1106=C1104,0,IF(E1106=E1105,0,IF(C1106=$R$3,HLOOKUP($R$3,Ingreso!$AW$10:$BC$260,VLOOKUP(A1106,Ingreso!AL:AM,2,FALSE),FALSE)/24,""))),""))</f>
        <v/>
      </c>
      <c r="O1106" s="95" t="str">
        <f>IF(IFERROR(IF(C1106=C1104,0,IF(E1106=E1105,0,IF(C1106=$R$4,HLOOKUP($R$4,Ingreso!$AW$10:$BC$260,VLOOKUP(A1106,Ingreso!AL:AM,2,FALSE),FALSE)/24,""))),"")=0,"",IFERROR(IF(C1106=C1104,0,IF(E1106=E1105,0,IF(C1106=$R$4,HLOOKUP($R$4,Ingreso!$AW$10:$BC$260,VLOOKUP(A1106,Ingreso!AL:AM,2,FALSE),FALSE)/24,""))),""))</f>
        <v/>
      </c>
      <c r="P1106" s="90"/>
      <c r="V1106"/>
      <c r="W1106" s="62"/>
      <c r="X1106" s="62"/>
      <c r="Y1106" s="62"/>
      <c r="Z1106" s="62"/>
      <c r="AA1106" s="62"/>
      <c r="AB1106" s="62"/>
      <c r="AC1106" s="62"/>
    </row>
    <row r="1107" spans="1:29">
      <c r="A1107" s="65" t="str">
        <f>IFERROR(VLOOKUP('Informe Kelly'!A1100,Base!A:B,2,FALSE),"")</f>
        <v>17.609.782-5</v>
      </c>
      <c r="B1107" s="65" t="str">
        <f>IFERROR(VLOOKUP('Informe Kelly'!A1100,Base!A:G,7,FALSE),"")</f>
        <v>ALVAREZ REYES CRISTIAN DANIEL</v>
      </c>
      <c r="C1107" s="69" t="str">
        <f>IF(G1107=$C$4,IF('Informe Kelly'!H1100='Control informe Kelly'!$A$2,TEXT(((LEFT('Informe Kelly'!E1100,2)*1)+1),"dd")&amp;"."&amp;MID('Informe Kelly'!E1100,4,2)&amp;"."&amp;RIGHT('Informe Kelly'!E1100,4),'Informe Kelly'!E1100),'Informe Kelly'!E1100)</f>
        <v>15.04.2011</v>
      </c>
      <c r="D1107" s="69" t="str">
        <f>IF('Informe Kelly'!E1100="","",'Informe Kelly'!E1100)</f>
        <v>15.04.2011</v>
      </c>
      <c r="E1107" s="72">
        <f t="shared" si="35"/>
        <v>563</v>
      </c>
      <c r="F1107" s="72" t="str">
        <f>IFERROR(HLOOKUP(C1107,Ingreso!$Q$8:$AD$9,2,FALSE),"v")</f>
        <v>Viernes</v>
      </c>
      <c r="G1107" s="65" t="str">
        <f>IFERROR(VLOOKUP(A1107,Ingreso!K:P,6,FALSE),"no esta ingresado")</f>
        <v>Admin</v>
      </c>
      <c r="H1107" s="65">
        <f>IFERROR(IF('Informe Kelly'!H1100=$A$2,'Informe Kelly'!F1100,""),0)</f>
        <v>0.31962962962962965</v>
      </c>
      <c r="I1107" s="65" t="str">
        <f>IFERROR(IF('Informe Kelly'!H1100=$A$3,'Informe Kelly'!F1100,""),0)</f>
        <v/>
      </c>
      <c r="J1107" s="65" t="str">
        <f>IF(IFERROR(IF(E1107=E1106,0,(HLOOKUP(D1107,Ingreso!$AN$10:$AT$260,VLOOKUP(A1107,Ingreso!$AL$11:$AM$260,2,FALSE)))/24),0)=0,"",IFERROR(IF(E1107=E1106,0,(HLOOKUP(D1107,Ingreso!$AN$10:$AT$260,VLOOKUP(A1107,Ingreso!$AL$11:$AM$260,2,FALSE)))/24),0))</f>
        <v/>
      </c>
      <c r="K1107" s="65" t="str">
        <f>IF(IFERROR(IF(E1107=E1106,0,(HLOOKUP(C1107,Ingreso!$AW$10:$BC$260,VLOOKUP(A1107,Ingreso!$AL$11:$AM$260,2,FALSE)))/24),0)=0,"",IFERROR(IF(E1107=E1106,0,(HLOOKUP(C1107,Ingreso!$AW$10:$BC$260,VLOOKUP(A1107,Ingreso!$AL$11:$AM$260,2,FALSE)))/24),0))</f>
        <v/>
      </c>
      <c r="L1107" s="63">
        <f t="shared" si="34"/>
        <v>0</v>
      </c>
      <c r="M1107" s="63" t="str">
        <f>IF(IFERROR(IF(C1107=C1105,0,IF(E1107=E1106,0,IF(C1107=$R$2,HLOOKUP($R$2,Ingreso!$AW$10:$BC$260,VLOOKUP(A1107,Ingreso!AL:AM,2,FALSE),FALSE)/24,""))),"")=0,"",IFERROR(IF(C1107=C1105,0,IF(E1107=E1106,0,IF(C1107=$R$2,HLOOKUP($R$2,Ingreso!$AW$10:$BC$260,VLOOKUP(A1107,Ingreso!AL:AM,2,FALSE),FALSE)/24,""))),""))</f>
        <v/>
      </c>
      <c r="N1107" s="95" t="str">
        <f>IF(IFERROR(IF(C1107=C1105,0,IF(E1107=E1106,0,IF(C1107=$R$3,HLOOKUP($R$3,Ingreso!$AW$10:$BC$260,VLOOKUP(A1107,Ingreso!AL:AM,2,FALSE),FALSE)/24,""))),"")=0,"",IFERROR(IF(C1107=C1105,0,IF(E1107=E1106,0,IF(C1107=$R$3,HLOOKUP($R$3,Ingreso!$AW$10:$BC$260,VLOOKUP(A1107,Ingreso!AL:AM,2,FALSE),FALSE)/24,""))),""))</f>
        <v/>
      </c>
      <c r="O1107" s="95" t="str">
        <f>IF(IFERROR(IF(C1107=C1105,0,IF(E1107=E1106,0,IF(C1107=$R$4,HLOOKUP($R$4,Ingreso!$AW$10:$BC$260,VLOOKUP(A1107,Ingreso!AL:AM,2,FALSE),FALSE)/24,""))),"")=0,"",IFERROR(IF(C1107=C1105,0,IF(E1107=E1106,0,IF(C1107=$R$4,HLOOKUP($R$4,Ingreso!$AW$10:$BC$260,VLOOKUP(A1107,Ingreso!AL:AM,2,FALSE),FALSE)/24,""))),""))</f>
        <v/>
      </c>
      <c r="P1107" s="90"/>
      <c r="V1107"/>
      <c r="W1107" s="62"/>
      <c r="X1107" s="62"/>
      <c r="Y1107" s="62"/>
      <c r="Z1107" s="62"/>
      <c r="AA1107" s="62"/>
      <c r="AB1107" s="62"/>
      <c r="AC1107" s="62"/>
    </row>
    <row r="1108" spans="1:29">
      <c r="A1108" s="65" t="str">
        <f>IFERROR(VLOOKUP('Informe Kelly'!A1101,Base!A:B,2,FALSE),"")</f>
        <v>17.929.108-8</v>
      </c>
      <c r="B1108" s="65" t="str">
        <f>IFERROR(VLOOKUP('Informe Kelly'!A1101,Base!A:G,7,FALSE),"")</f>
        <v>DONOSO SANTIBAÑEZ CRISTIAN ALFREDO</v>
      </c>
      <c r="C1108" s="69" t="str">
        <f>IF(G1108=$C$4,IF('Informe Kelly'!H1101='Control informe Kelly'!$A$2,TEXT(((LEFT('Informe Kelly'!E1101,2)*1)+1),"dd")&amp;"."&amp;MID('Informe Kelly'!E1101,4,2)&amp;"."&amp;RIGHT('Informe Kelly'!E1101,4),'Informe Kelly'!E1101),'Informe Kelly'!E1101)</f>
        <v>11.04.2011</v>
      </c>
      <c r="D1108" s="69" t="str">
        <f>IF('Informe Kelly'!E1101="","",'Informe Kelly'!E1101)</f>
        <v>11.04.2011</v>
      </c>
      <c r="E1108" s="72">
        <f t="shared" si="35"/>
        <v>564</v>
      </c>
      <c r="F1108" s="72" t="str">
        <f>IFERROR(HLOOKUP(C1108,Ingreso!$Q$8:$AD$9,2,FALSE),"v")</f>
        <v>Lunes</v>
      </c>
      <c r="G1108" s="65" t="str">
        <f>IFERROR(VLOOKUP(A1108,Ingreso!K:P,6,FALSE),"no esta ingresado")</f>
        <v>no esta ingresado</v>
      </c>
      <c r="H1108" s="65">
        <f>IFERROR(IF('Informe Kelly'!H1101=$A$2,'Informe Kelly'!F1101,""),0)</f>
        <v>0.92137731481481477</v>
      </c>
      <c r="I1108" s="65" t="str">
        <f>IFERROR(IF('Informe Kelly'!H1101=$A$3,'Informe Kelly'!F1101,""),0)</f>
        <v/>
      </c>
      <c r="J1108" s="65" t="str">
        <f>IF(IFERROR(IF(E1108=E1107,0,(HLOOKUP(D1108,Ingreso!$AN$10:$AT$260,VLOOKUP(A1108,Ingreso!$AL$11:$AM$260,2,FALSE)))/24),0)=0,"",IFERROR(IF(E1108=E1107,0,(HLOOKUP(D1108,Ingreso!$AN$10:$AT$260,VLOOKUP(A1108,Ingreso!$AL$11:$AM$260,2,FALSE)))/24),0))</f>
        <v/>
      </c>
      <c r="K1108" s="65" t="str">
        <f>IF(IFERROR(IF(E1108=E1107,0,(HLOOKUP(C1108,Ingreso!$AW$10:$BC$260,VLOOKUP(A1108,Ingreso!$AL$11:$AM$260,2,FALSE)))/24),0)=0,"",IFERROR(IF(E1108=E1107,0,(HLOOKUP(C1108,Ingreso!$AW$10:$BC$260,VLOOKUP(A1108,Ingreso!$AL$11:$AM$260,2,FALSE)))/24),0))</f>
        <v/>
      </c>
      <c r="L1108" s="63" t="str">
        <f t="shared" si="34"/>
        <v/>
      </c>
      <c r="M1108" s="63" t="str">
        <f>IF(IFERROR(IF(C1108=C1106,0,IF(E1108=E1107,0,IF(C1108=$R$2,HLOOKUP($R$2,Ingreso!$AW$10:$BC$260,VLOOKUP(A1108,Ingreso!AL:AM,2,FALSE),FALSE)/24,""))),"")=0,"",IFERROR(IF(C1108=C1106,0,IF(E1108=E1107,0,IF(C1108=$R$2,HLOOKUP($R$2,Ingreso!$AW$10:$BC$260,VLOOKUP(A1108,Ingreso!AL:AM,2,FALSE),FALSE)/24,""))),""))</f>
        <v/>
      </c>
      <c r="N1108" s="95" t="str">
        <f>IF(IFERROR(IF(C1108=C1106,0,IF(E1108=E1107,0,IF(C1108=$R$3,HLOOKUP($R$3,Ingreso!$AW$10:$BC$260,VLOOKUP(A1108,Ingreso!AL:AM,2,FALSE),FALSE)/24,""))),"")=0,"",IFERROR(IF(C1108=C1106,0,IF(E1108=E1107,0,IF(C1108=$R$3,HLOOKUP($R$3,Ingreso!$AW$10:$BC$260,VLOOKUP(A1108,Ingreso!AL:AM,2,FALSE),FALSE)/24,""))),""))</f>
        <v/>
      </c>
      <c r="O1108" s="95" t="str">
        <f>IF(IFERROR(IF(C1108=C1106,0,IF(E1108=E1107,0,IF(C1108=$R$4,HLOOKUP($R$4,Ingreso!$AW$10:$BC$260,VLOOKUP(A1108,Ingreso!AL:AM,2,FALSE),FALSE)/24,""))),"")=0,"",IFERROR(IF(C1108=C1106,0,IF(E1108=E1107,0,IF(C1108=$R$4,HLOOKUP($R$4,Ingreso!$AW$10:$BC$260,VLOOKUP(A1108,Ingreso!AL:AM,2,FALSE),FALSE)/24,""))),""))</f>
        <v/>
      </c>
      <c r="P1108" s="90"/>
      <c r="V1108"/>
      <c r="W1108" s="62"/>
      <c r="X1108" s="62"/>
      <c r="Y1108" s="62"/>
      <c r="Z1108" s="62"/>
      <c r="AA1108" s="62"/>
      <c r="AB1108" s="62"/>
      <c r="AC1108" s="62"/>
    </row>
    <row r="1109" spans="1:29">
      <c r="A1109" s="65" t="str">
        <f>IFERROR(VLOOKUP('Informe Kelly'!A1102,Base!A:B,2,FALSE),"")</f>
        <v>17.929.108-8</v>
      </c>
      <c r="B1109" s="65" t="str">
        <f>IFERROR(VLOOKUP('Informe Kelly'!A1102,Base!A:G,7,FALSE),"")</f>
        <v>DONOSO SANTIBAÑEZ CRISTIAN ALFREDO</v>
      </c>
      <c r="C1109" s="69" t="str">
        <f>IF(G1109=$C$4,IF('Informe Kelly'!H1102='Control informe Kelly'!$A$2,TEXT(((LEFT('Informe Kelly'!E1102,2)*1)+1),"dd")&amp;"."&amp;MID('Informe Kelly'!E1102,4,2)&amp;"."&amp;RIGHT('Informe Kelly'!E1102,4),'Informe Kelly'!E1102),'Informe Kelly'!E1102)</f>
        <v>12.04.2011</v>
      </c>
      <c r="D1109" s="69" t="str">
        <f>IF('Informe Kelly'!E1102="","",'Informe Kelly'!E1102)</f>
        <v>12.04.2011</v>
      </c>
      <c r="E1109" s="72">
        <f t="shared" si="35"/>
        <v>565</v>
      </c>
      <c r="F1109" s="72" t="str">
        <f>IFERROR(HLOOKUP(C1109,Ingreso!$Q$8:$AD$9,2,FALSE),"v")</f>
        <v>Martes</v>
      </c>
      <c r="G1109" s="65" t="str">
        <f>IFERROR(VLOOKUP(A1109,Ingreso!K:P,6,FALSE),"no esta ingresado")</f>
        <v>no esta ingresado</v>
      </c>
      <c r="H1109" s="65" t="str">
        <f>IFERROR(IF('Informe Kelly'!H1102=$A$2,'Informe Kelly'!F1102,""),0)</f>
        <v/>
      </c>
      <c r="I1109" s="65">
        <f>IFERROR(IF('Informe Kelly'!H1102=$A$3,'Informe Kelly'!F1102,""),0)</f>
        <v>0.32702546296296298</v>
      </c>
      <c r="J1109" s="65" t="str">
        <f>IF(IFERROR(IF(E1109=E1108,0,(HLOOKUP(D1109,Ingreso!$AN$10:$AT$260,VLOOKUP(A1109,Ingreso!$AL$11:$AM$260,2,FALSE)))/24),0)=0,"",IFERROR(IF(E1109=E1108,0,(HLOOKUP(D1109,Ingreso!$AN$10:$AT$260,VLOOKUP(A1109,Ingreso!$AL$11:$AM$260,2,FALSE)))/24),0))</f>
        <v/>
      </c>
      <c r="K1109" s="65" t="str">
        <f>IF(IFERROR(IF(E1109=E1108,0,(HLOOKUP(C1109,Ingreso!$AW$10:$BC$260,VLOOKUP(A1109,Ingreso!$AL$11:$AM$260,2,FALSE)))/24),0)=0,"",IFERROR(IF(E1109=E1108,0,(HLOOKUP(C1109,Ingreso!$AW$10:$BC$260,VLOOKUP(A1109,Ingreso!$AL$11:$AM$260,2,FALSE)))/24),0))</f>
        <v/>
      </c>
      <c r="L1109" s="63" t="str">
        <f t="shared" si="34"/>
        <v/>
      </c>
      <c r="M1109" s="63" t="str">
        <f>IF(IFERROR(IF(C1109=C1107,0,IF(E1109=E1108,0,IF(C1109=$R$2,HLOOKUP($R$2,Ingreso!$AW$10:$BC$260,VLOOKUP(A1109,Ingreso!AL:AM,2,FALSE),FALSE)/24,""))),"")=0,"",IFERROR(IF(C1109=C1107,0,IF(E1109=E1108,0,IF(C1109=$R$2,HLOOKUP($R$2,Ingreso!$AW$10:$BC$260,VLOOKUP(A1109,Ingreso!AL:AM,2,FALSE),FALSE)/24,""))),""))</f>
        <v/>
      </c>
      <c r="N1109" s="95" t="str">
        <f>IF(IFERROR(IF(C1109=C1107,0,IF(E1109=E1108,0,IF(C1109=$R$3,HLOOKUP($R$3,Ingreso!$AW$10:$BC$260,VLOOKUP(A1109,Ingreso!AL:AM,2,FALSE),FALSE)/24,""))),"")=0,"",IFERROR(IF(C1109=C1107,0,IF(E1109=E1108,0,IF(C1109=$R$3,HLOOKUP($R$3,Ingreso!$AW$10:$BC$260,VLOOKUP(A1109,Ingreso!AL:AM,2,FALSE),FALSE)/24,""))),""))</f>
        <v/>
      </c>
      <c r="O1109" s="95" t="str">
        <f>IF(IFERROR(IF(C1109=C1107,0,IF(E1109=E1108,0,IF(C1109=$R$4,HLOOKUP($R$4,Ingreso!$AW$10:$BC$260,VLOOKUP(A1109,Ingreso!AL:AM,2,FALSE),FALSE)/24,""))),"")=0,"",IFERROR(IF(C1109=C1107,0,IF(E1109=E1108,0,IF(C1109=$R$4,HLOOKUP($R$4,Ingreso!$AW$10:$BC$260,VLOOKUP(A1109,Ingreso!AL:AM,2,FALSE),FALSE)/24,""))),""))</f>
        <v/>
      </c>
      <c r="P1109" s="90"/>
      <c r="V1109"/>
      <c r="W1109" s="62"/>
      <c r="X1109" s="62"/>
      <c r="Y1109" s="62"/>
      <c r="Z1109" s="62"/>
      <c r="AA1109" s="62"/>
      <c r="AB1109" s="62"/>
      <c r="AC1109" s="62"/>
    </row>
    <row r="1110" spans="1:29">
      <c r="A1110" s="65" t="str">
        <f>IFERROR(VLOOKUP('Informe Kelly'!A1103,Base!A:B,2,FALSE),"")</f>
        <v>17.929.108-8</v>
      </c>
      <c r="B1110" s="65" t="str">
        <f>IFERROR(VLOOKUP('Informe Kelly'!A1103,Base!A:G,7,FALSE),"")</f>
        <v>DONOSO SANTIBAÑEZ CRISTIAN ALFREDO</v>
      </c>
      <c r="C1110" s="69" t="str">
        <f>IF(G1110=$C$4,IF('Informe Kelly'!H1103='Control informe Kelly'!$A$2,TEXT(((LEFT('Informe Kelly'!E1103,2)*1)+1),"dd")&amp;"."&amp;MID('Informe Kelly'!E1103,4,2)&amp;"."&amp;RIGHT('Informe Kelly'!E1103,4),'Informe Kelly'!E1103),'Informe Kelly'!E1103)</f>
        <v>12.04.2011</v>
      </c>
      <c r="D1110" s="69" t="str">
        <f>IF('Informe Kelly'!E1103="","",'Informe Kelly'!E1103)</f>
        <v>12.04.2011</v>
      </c>
      <c r="E1110" s="72">
        <f t="shared" si="35"/>
        <v>565</v>
      </c>
      <c r="F1110" s="72" t="str">
        <f>IFERROR(HLOOKUP(C1110,Ingreso!$Q$8:$AD$9,2,FALSE),"v")</f>
        <v>Martes</v>
      </c>
      <c r="G1110" s="65" t="str">
        <f>IFERROR(VLOOKUP(A1110,Ingreso!K:P,6,FALSE),"no esta ingresado")</f>
        <v>no esta ingresado</v>
      </c>
      <c r="H1110" s="65">
        <f>IFERROR(IF('Informe Kelly'!H1103=$A$2,'Informe Kelly'!F1103,""),0)</f>
        <v>0.91957175925925927</v>
      </c>
      <c r="I1110" s="65" t="str">
        <f>IFERROR(IF('Informe Kelly'!H1103=$A$3,'Informe Kelly'!F1103,""),0)</f>
        <v/>
      </c>
      <c r="J1110" s="65" t="str">
        <f>IF(IFERROR(IF(E1110=E1109,0,(HLOOKUP(D1110,Ingreso!$AN$10:$AT$260,VLOOKUP(A1110,Ingreso!$AL$11:$AM$260,2,FALSE)))/24),0)=0,"",IFERROR(IF(E1110=E1109,0,(HLOOKUP(D1110,Ingreso!$AN$10:$AT$260,VLOOKUP(A1110,Ingreso!$AL$11:$AM$260,2,FALSE)))/24),0))</f>
        <v/>
      </c>
      <c r="K1110" s="65" t="str">
        <f>IF(IFERROR(IF(E1110=E1109,0,(HLOOKUP(C1110,Ingreso!$AW$10:$BC$260,VLOOKUP(A1110,Ingreso!$AL$11:$AM$260,2,FALSE)))/24),0)=0,"",IFERROR(IF(E1110=E1109,0,(HLOOKUP(C1110,Ingreso!$AW$10:$BC$260,VLOOKUP(A1110,Ingreso!$AL$11:$AM$260,2,FALSE)))/24),0))</f>
        <v/>
      </c>
      <c r="L1110" s="63">
        <f t="shared" si="34"/>
        <v>0</v>
      </c>
      <c r="M1110" s="63" t="str">
        <f>IF(IFERROR(IF(C1110=C1108,0,IF(E1110=E1109,0,IF(C1110=$R$2,HLOOKUP($R$2,Ingreso!$AW$10:$BC$260,VLOOKUP(A1110,Ingreso!AL:AM,2,FALSE),FALSE)/24,""))),"")=0,"",IFERROR(IF(C1110=C1108,0,IF(E1110=E1109,0,IF(C1110=$R$2,HLOOKUP($R$2,Ingreso!$AW$10:$BC$260,VLOOKUP(A1110,Ingreso!AL:AM,2,FALSE),FALSE)/24,""))),""))</f>
        <v/>
      </c>
      <c r="N1110" s="95" t="str">
        <f>IF(IFERROR(IF(C1110=C1108,0,IF(E1110=E1109,0,IF(C1110=$R$3,HLOOKUP($R$3,Ingreso!$AW$10:$BC$260,VLOOKUP(A1110,Ingreso!AL:AM,2,FALSE),FALSE)/24,""))),"")=0,"",IFERROR(IF(C1110=C1108,0,IF(E1110=E1109,0,IF(C1110=$R$3,HLOOKUP($R$3,Ingreso!$AW$10:$BC$260,VLOOKUP(A1110,Ingreso!AL:AM,2,FALSE),FALSE)/24,""))),""))</f>
        <v/>
      </c>
      <c r="O1110" s="95" t="str">
        <f>IF(IFERROR(IF(C1110=C1108,0,IF(E1110=E1109,0,IF(C1110=$R$4,HLOOKUP($R$4,Ingreso!$AW$10:$BC$260,VLOOKUP(A1110,Ingreso!AL:AM,2,FALSE),FALSE)/24,""))),"")=0,"",IFERROR(IF(C1110=C1108,0,IF(E1110=E1109,0,IF(C1110=$R$4,HLOOKUP($R$4,Ingreso!$AW$10:$BC$260,VLOOKUP(A1110,Ingreso!AL:AM,2,FALSE),FALSE)/24,""))),""))</f>
        <v/>
      </c>
      <c r="P1110" s="90"/>
      <c r="V1110"/>
      <c r="W1110" s="62"/>
      <c r="X1110" s="62"/>
      <c r="Y1110" s="62"/>
      <c r="Z1110" s="62"/>
      <c r="AA1110" s="62"/>
      <c r="AB1110" s="62"/>
      <c r="AC1110" s="62"/>
    </row>
    <row r="1111" spans="1:29">
      <c r="A1111" s="65" t="str">
        <f>IFERROR(VLOOKUP('Informe Kelly'!A1104,Base!A:B,2,FALSE),"")</f>
        <v>17.929.108-8</v>
      </c>
      <c r="B1111" s="65" t="str">
        <f>IFERROR(VLOOKUP('Informe Kelly'!A1104,Base!A:G,7,FALSE),"")</f>
        <v>DONOSO SANTIBAÑEZ CRISTIAN ALFREDO</v>
      </c>
      <c r="C1111" s="69" t="str">
        <f>IF(G1111=$C$4,IF('Informe Kelly'!H1104='Control informe Kelly'!$A$2,TEXT(((LEFT('Informe Kelly'!E1104,2)*1)+1),"dd")&amp;"."&amp;MID('Informe Kelly'!E1104,4,2)&amp;"."&amp;RIGHT('Informe Kelly'!E1104,4),'Informe Kelly'!E1104),'Informe Kelly'!E1104)</f>
        <v>13.04.2011</v>
      </c>
      <c r="D1111" s="69" t="str">
        <f>IF('Informe Kelly'!E1104="","",'Informe Kelly'!E1104)</f>
        <v>13.04.2011</v>
      </c>
      <c r="E1111" s="72">
        <f t="shared" si="35"/>
        <v>566</v>
      </c>
      <c r="F1111" s="72" t="str">
        <f>IFERROR(HLOOKUP(C1111,Ingreso!$Q$8:$AD$9,2,FALSE),"v")</f>
        <v>Miércoles</v>
      </c>
      <c r="G1111" s="65" t="str">
        <f>IFERROR(VLOOKUP(A1111,Ingreso!K:P,6,FALSE),"no esta ingresado")</f>
        <v>no esta ingresado</v>
      </c>
      <c r="H1111" s="65" t="str">
        <f>IFERROR(IF('Informe Kelly'!H1104=$A$2,'Informe Kelly'!F1104,""),0)</f>
        <v/>
      </c>
      <c r="I1111" s="65">
        <f>IFERROR(IF('Informe Kelly'!H1104=$A$3,'Informe Kelly'!F1104,""),0)</f>
        <v>0.32750000000000001</v>
      </c>
      <c r="J1111" s="65" t="str">
        <f>IF(IFERROR(IF(E1111=E1110,0,(HLOOKUP(D1111,Ingreso!$AN$10:$AT$260,VLOOKUP(A1111,Ingreso!$AL$11:$AM$260,2,FALSE)))/24),0)=0,"",IFERROR(IF(E1111=E1110,0,(HLOOKUP(D1111,Ingreso!$AN$10:$AT$260,VLOOKUP(A1111,Ingreso!$AL$11:$AM$260,2,FALSE)))/24),0))</f>
        <v/>
      </c>
      <c r="K1111" s="65" t="str">
        <f>IF(IFERROR(IF(E1111=E1110,0,(HLOOKUP(C1111,Ingreso!$AW$10:$BC$260,VLOOKUP(A1111,Ingreso!$AL$11:$AM$260,2,FALSE)))/24),0)=0,"",IFERROR(IF(E1111=E1110,0,(HLOOKUP(C1111,Ingreso!$AW$10:$BC$260,VLOOKUP(A1111,Ingreso!$AL$11:$AM$260,2,FALSE)))/24),0))</f>
        <v/>
      </c>
      <c r="L1111" s="63" t="str">
        <f t="shared" si="34"/>
        <v/>
      </c>
      <c r="M1111" s="63" t="str">
        <f>IF(IFERROR(IF(C1111=C1109,0,IF(E1111=E1110,0,IF(C1111=$R$2,HLOOKUP($R$2,Ingreso!$AW$10:$BC$260,VLOOKUP(A1111,Ingreso!AL:AM,2,FALSE),FALSE)/24,""))),"")=0,"",IFERROR(IF(C1111=C1109,0,IF(E1111=E1110,0,IF(C1111=$R$2,HLOOKUP($R$2,Ingreso!$AW$10:$BC$260,VLOOKUP(A1111,Ingreso!AL:AM,2,FALSE),FALSE)/24,""))),""))</f>
        <v/>
      </c>
      <c r="N1111" s="95" t="str">
        <f>IF(IFERROR(IF(C1111=C1109,0,IF(E1111=E1110,0,IF(C1111=$R$3,HLOOKUP($R$3,Ingreso!$AW$10:$BC$260,VLOOKUP(A1111,Ingreso!AL:AM,2,FALSE),FALSE)/24,""))),"")=0,"",IFERROR(IF(C1111=C1109,0,IF(E1111=E1110,0,IF(C1111=$R$3,HLOOKUP($R$3,Ingreso!$AW$10:$BC$260,VLOOKUP(A1111,Ingreso!AL:AM,2,FALSE),FALSE)/24,""))),""))</f>
        <v/>
      </c>
      <c r="O1111" s="95" t="str">
        <f>IF(IFERROR(IF(C1111=C1109,0,IF(E1111=E1110,0,IF(C1111=$R$4,HLOOKUP($R$4,Ingreso!$AW$10:$BC$260,VLOOKUP(A1111,Ingreso!AL:AM,2,FALSE),FALSE)/24,""))),"")=0,"",IFERROR(IF(C1111=C1109,0,IF(E1111=E1110,0,IF(C1111=$R$4,HLOOKUP($R$4,Ingreso!$AW$10:$BC$260,VLOOKUP(A1111,Ingreso!AL:AM,2,FALSE),FALSE)/24,""))),""))</f>
        <v/>
      </c>
      <c r="P1111" s="90"/>
      <c r="V1111"/>
      <c r="W1111" s="62"/>
      <c r="X1111" s="62"/>
      <c r="Y1111" s="62"/>
      <c r="Z1111" s="62"/>
      <c r="AA1111" s="62"/>
      <c r="AB1111" s="62"/>
      <c r="AC1111" s="62"/>
    </row>
    <row r="1112" spans="1:29">
      <c r="A1112" s="65" t="str">
        <f>IFERROR(VLOOKUP('Informe Kelly'!A1105,Base!A:B,2,FALSE),"")</f>
        <v>17.929.108-8</v>
      </c>
      <c r="B1112" s="65" t="str">
        <f>IFERROR(VLOOKUP('Informe Kelly'!A1105,Base!A:G,7,FALSE),"")</f>
        <v>DONOSO SANTIBAÑEZ CRISTIAN ALFREDO</v>
      </c>
      <c r="C1112" s="69" t="str">
        <f>IF(G1112=$C$4,IF('Informe Kelly'!H1105='Control informe Kelly'!$A$2,TEXT(((LEFT('Informe Kelly'!E1105,2)*1)+1),"dd")&amp;"."&amp;MID('Informe Kelly'!E1105,4,2)&amp;"."&amp;RIGHT('Informe Kelly'!E1105,4),'Informe Kelly'!E1105),'Informe Kelly'!E1105)</f>
        <v>13.04.2011</v>
      </c>
      <c r="D1112" s="69" t="str">
        <f>IF('Informe Kelly'!E1105="","",'Informe Kelly'!E1105)</f>
        <v>13.04.2011</v>
      </c>
      <c r="E1112" s="72">
        <f t="shared" si="35"/>
        <v>566</v>
      </c>
      <c r="F1112" s="72" t="str">
        <f>IFERROR(HLOOKUP(C1112,Ingreso!$Q$8:$AD$9,2,FALSE),"v")</f>
        <v>Miércoles</v>
      </c>
      <c r="G1112" s="65" t="str">
        <f>IFERROR(VLOOKUP(A1112,Ingreso!K:P,6,FALSE),"no esta ingresado")</f>
        <v>no esta ingresado</v>
      </c>
      <c r="H1112" s="65">
        <f>IFERROR(IF('Informe Kelly'!H1105=$A$2,'Informe Kelly'!F1105,""),0)</f>
        <v>0.92143518518518519</v>
      </c>
      <c r="I1112" s="65" t="str">
        <f>IFERROR(IF('Informe Kelly'!H1105=$A$3,'Informe Kelly'!F1105,""),0)</f>
        <v/>
      </c>
      <c r="J1112" s="65" t="str">
        <f>IF(IFERROR(IF(E1112=E1111,0,(HLOOKUP(D1112,Ingreso!$AN$10:$AT$260,VLOOKUP(A1112,Ingreso!$AL$11:$AM$260,2,FALSE)))/24),0)=0,"",IFERROR(IF(E1112=E1111,0,(HLOOKUP(D1112,Ingreso!$AN$10:$AT$260,VLOOKUP(A1112,Ingreso!$AL$11:$AM$260,2,FALSE)))/24),0))</f>
        <v/>
      </c>
      <c r="K1112" s="65" t="str">
        <f>IF(IFERROR(IF(E1112=E1111,0,(HLOOKUP(C1112,Ingreso!$AW$10:$BC$260,VLOOKUP(A1112,Ingreso!$AL$11:$AM$260,2,FALSE)))/24),0)=0,"",IFERROR(IF(E1112=E1111,0,(HLOOKUP(C1112,Ingreso!$AW$10:$BC$260,VLOOKUP(A1112,Ingreso!$AL$11:$AM$260,2,FALSE)))/24),0))</f>
        <v/>
      </c>
      <c r="L1112" s="63">
        <f t="shared" si="34"/>
        <v>0</v>
      </c>
      <c r="M1112" s="63" t="str">
        <f>IF(IFERROR(IF(C1112=C1110,0,IF(E1112=E1111,0,IF(C1112=$R$2,HLOOKUP($R$2,Ingreso!$AW$10:$BC$260,VLOOKUP(A1112,Ingreso!AL:AM,2,FALSE),FALSE)/24,""))),"")=0,"",IFERROR(IF(C1112=C1110,0,IF(E1112=E1111,0,IF(C1112=$R$2,HLOOKUP($R$2,Ingreso!$AW$10:$BC$260,VLOOKUP(A1112,Ingreso!AL:AM,2,FALSE),FALSE)/24,""))),""))</f>
        <v/>
      </c>
      <c r="N1112" s="95" t="str">
        <f>IF(IFERROR(IF(C1112=C1110,0,IF(E1112=E1111,0,IF(C1112=$R$3,HLOOKUP($R$3,Ingreso!$AW$10:$BC$260,VLOOKUP(A1112,Ingreso!AL:AM,2,FALSE),FALSE)/24,""))),"")=0,"",IFERROR(IF(C1112=C1110,0,IF(E1112=E1111,0,IF(C1112=$R$3,HLOOKUP($R$3,Ingreso!$AW$10:$BC$260,VLOOKUP(A1112,Ingreso!AL:AM,2,FALSE),FALSE)/24,""))),""))</f>
        <v/>
      </c>
      <c r="O1112" s="95" t="str">
        <f>IF(IFERROR(IF(C1112=C1110,0,IF(E1112=E1111,0,IF(C1112=$R$4,HLOOKUP($R$4,Ingreso!$AW$10:$BC$260,VLOOKUP(A1112,Ingreso!AL:AM,2,FALSE),FALSE)/24,""))),"")=0,"",IFERROR(IF(C1112=C1110,0,IF(E1112=E1111,0,IF(C1112=$R$4,HLOOKUP($R$4,Ingreso!$AW$10:$BC$260,VLOOKUP(A1112,Ingreso!AL:AM,2,FALSE),FALSE)/24,""))),""))</f>
        <v/>
      </c>
      <c r="P1112" s="90"/>
      <c r="V1112"/>
      <c r="W1112" s="62"/>
      <c r="X1112" s="62"/>
      <c r="Y1112" s="62"/>
      <c r="Z1112" s="62"/>
      <c r="AA1112" s="62"/>
      <c r="AB1112" s="62"/>
      <c r="AC1112" s="62"/>
    </row>
    <row r="1113" spans="1:29">
      <c r="A1113" s="65" t="str">
        <f>IFERROR(VLOOKUP('Informe Kelly'!A1106,Base!A:B,2,FALSE),"")</f>
        <v>17.929.108-8</v>
      </c>
      <c r="B1113" s="65" t="str">
        <f>IFERROR(VLOOKUP('Informe Kelly'!A1106,Base!A:G,7,FALSE),"")</f>
        <v>DONOSO SANTIBAÑEZ CRISTIAN ALFREDO</v>
      </c>
      <c r="C1113" s="69" t="str">
        <f>IF(G1113=$C$4,IF('Informe Kelly'!H1106='Control informe Kelly'!$A$2,TEXT(((LEFT('Informe Kelly'!E1106,2)*1)+1),"dd")&amp;"."&amp;MID('Informe Kelly'!E1106,4,2)&amp;"."&amp;RIGHT('Informe Kelly'!E1106,4),'Informe Kelly'!E1106),'Informe Kelly'!E1106)</f>
        <v>14.04.2011</v>
      </c>
      <c r="D1113" s="69" t="str">
        <f>IF('Informe Kelly'!E1106="","",'Informe Kelly'!E1106)</f>
        <v>14.04.2011</v>
      </c>
      <c r="E1113" s="72">
        <f t="shared" si="35"/>
        <v>567</v>
      </c>
      <c r="F1113" s="72" t="str">
        <f>IFERROR(HLOOKUP(C1113,Ingreso!$Q$8:$AD$9,2,FALSE),"v")</f>
        <v>Jueves</v>
      </c>
      <c r="G1113" s="65" t="str">
        <f>IFERROR(VLOOKUP(A1113,Ingreso!K:P,6,FALSE),"no esta ingresado")</f>
        <v>no esta ingresado</v>
      </c>
      <c r="H1113" s="65" t="str">
        <f>IFERROR(IF('Informe Kelly'!H1106=$A$2,'Informe Kelly'!F1106,""),0)</f>
        <v/>
      </c>
      <c r="I1113" s="65">
        <f>IFERROR(IF('Informe Kelly'!H1106=$A$3,'Informe Kelly'!F1106,""),0)</f>
        <v>0.33026620370370369</v>
      </c>
      <c r="J1113" s="65" t="str">
        <f>IF(IFERROR(IF(E1113=E1112,0,(HLOOKUP(D1113,Ingreso!$AN$10:$AT$260,VLOOKUP(A1113,Ingreso!$AL$11:$AM$260,2,FALSE)))/24),0)=0,"",IFERROR(IF(E1113=E1112,0,(HLOOKUP(D1113,Ingreso!$AN$10:$AT$260,VLOOKUP(A1113,Ingreso!$AL$11:$AM$260,2,FALSE)))/24),0))</f>
        <v/>
      </c>
      <c r="K1113" s="65" t="str">
        <f>IF(IFERROR(IF(E1113=E1112,0,(HLOOKUP(C1113,Ingreso!$AW$10:$BC$260,VLOOKUP(A1113,Ingreso!$AL$11:$AM$260,2,FALSE)))/24),0)=0,"",IFERROR(IF(E1113=E1112,0,(HLOOKUP(C1113,Ingreso!$AW$10:$BC$260,VLOOKUP(A1113,Ingreso!$AL$11:$AM$260,2,FALSE)))/24),0))</f>
        <v/>
      </c>
      <c r="L1113" s="63" t="str">
        <f t="shared" si="34"/>
        <v/>
      </c>
      <c r="M1113" s="63" t="str">
        <f>IF(IFERROR(IF(C1113=C1111,0,IF(E1113=E1112,0,IF(C1113=$R$2,HLOOKUP($R$2,Ingreso!$AW$10:$BC$260,VLOOKUP(A1113,Ingreso!AL:AM,2,FALSE),FALSE)/24,""))),"")=0,"",IFERROR(IF(C1113=C1111,0,IF(E1113=E1112,0,IF(C1113=$R$2,HLOOKUP($R$2,Ingreso!$AW$10:$BC$260,VLOOKUP(A1113,Ingreso!AL:AM,2,FALSE),FALSE)/24,""))),""))</f>
        <v/>
      </c>
      <c r="N1113" s="95" t="str">
        <f>IF(IFERROR(IF(C1113=C1111,0,IF(E1113=E1112,0,IF(C1113=$R$3,HLOOKUP($R$3,Ingreso!$AW$10:$BC$260,VLOOKUP(A1113,Ingreso!AL:AM,2,FALSE),FALSE)/24,""))),"")=0,"",IFERROR(IF(C1113=C1111,0,IF(E1113=E1112,0,IF(C1113=$R$3,HLOOKUP($R$3,Ingreso!$AW$10:$BC$260,VLOOKUP(A1113,Ingreso!AL:AM,2,FALSE),FALSE)/24,""))),""))</f>
        <v/>
      </c>
      <c r="O1113" s="95" t="str">
        <f>IF(IFERROR(IF(C1113=C1111,0,IF(E1113=E1112,0,IF(C1113=$R$4,HLOOKUP($R$4,Ingreso!$AW$10:$BC$260,VLOOKUP(A1113,Ingreso!AL:AM,2,FALSE),FALSE)/24,""))),"")=0,"",IFERROR(IF(C1113=C1111,0,IF(E1113=E1112,0,IF(C1113=$R$4,HLOOKUP($R$4,Ingreso!$AW$10:$BC$260,VLOOKUP(A1113,Ingreso!AL:AM,2,FALSE),FALSE)/24,""))),""))</f>
        <v/>
      </c>
      <c r="P1113" s="90"/>
      <c r="V1113"/>
      <c r="W1113" s="62"/>
      <c r="X1113" s="62"/>
      <c r="Y1113" s="62"/>
      <c r="Z1113" s="62"/>
      <c r="AA1113" s="62"/>
      <c r="AB1113" s="62"/>
      <c r="AC1113" s="62"/>
    </row>
    <row r="1114" spans="1:29">
      <c r="A1114" s="65" t="str">
        <f>IFERROR(VLOOKUP('Informe Kelly'!A1107,Base!A:B,2,FALSE),"")</f>
        <v>17.929.108-8</v>
      </c>
      <c r="B1114" s="65" t="str">
        <f>IFERROR(VLOOKUP('Informe Kelly'!A1107,Base!A:G,7,FALSE),"")</f>
        <v>DONOSO SANTIBAÑEZ CRISTIAN ALFREDO</v>
      </c>
      <c r="C1114" s="69" t="str">
        <f>IF(G1114=$C$4,IF('Informe Kelly'!H1107='Control informe Kelly'!$A$2,TEXT(((LEFT('Informe Kelly'!E1107,2)*1)+1),"dd")&amp;"."&amp;MID('Informe Kelly'!E1107,4,2)&amp;"."&amp;RIGHT('Informe Kelly'!E1107,4),'Informe Kelly'!E1107),'Informe Kelly'!E1107)</f>
        <v>14.04.2011</v>
      </c>
      <c r="D1114" s="69" t="str">
        <f>IF('Informe Kelly'!E1107="","",'Informe Kelly'!E1107)</f>
        <v>14.04.2011</v>
      </c>
      <c r="E1114" s="72">
        <f t="shared" si="35"/>
        <v>567</v>
      </c>
      <c r="F1114" s="72" t="str">
        <f>IFERROR(HLOOKUP(C1114,Ingreso!$Q$8:$AD$9,2,FALSE),"v")</f>
        <v>Jueves</v>
      </c>
      <c r="G1114" s="65" t="str">
        <f>IFERROR(VLOOKUP(A1114,Ingreso!K:P,6,FALSE),"no esta ingresado")</f>
        <v>no esta ingresado</v>
      </c>
      <c r="H1114" s="65">
        <f>IFERROR(IF('Informe Kelly'!H1107=$A$2,'Informe Kelly'!F1107,""),0)</f>
        <v>0.92087962962962966</v>
      </c>
      <c r="I1114" s="65" t="str">
        <f>IFERROR(IF('Informe Kelly'!H1107=$A$3,'Informe Kelly'!F1107,""),0)</f>
        <v/>
      </c>
      <c r="J1114" s="65" t="str">
        <f>IF(IFERROR(IF(E1114=E1113,0,(HLOOKUP(D1114,Ingreso!$AN$10:$AT$260,VLOOKUP(A1114,Ingreso!$AL$11:$AM$260,2,FALSE)))/24),0)=0,"",IFERROR(IF(E1114=E1113,0,(HLOOKUP(D1114,Ingreso!$AN$10:$AT$260,VLOOKUP(A1114,Ingreso!$AL$11:$AM$260,2,FALSE)))/24),0))</f>
        <v/>
      </c>
      <c r="K1114" s="65" t="str">
        <f>IF(IFERROR(IF(E1114=E1113,0,(HLOOKUP(C1114,Ingreso!$AW$10:$BC$260,VLOOKUP(A1114,Ingreso!$AL$11:$AM$260,2,FALSE)))/24),0)=0,"",IFERROR(IF(E1114=E1113,0,(HLOOKUP(C1114,Ingreso!$AW$10:$BC$260,VLOOKUP(A1114,Ingreso!$AL$11:$AM$260,2,FALSE)))/24),0))</f>
        <v/>
      </c>
      <c r="L1114" s="63">
        <f t="shared" si="34"/>
        <v>0</v>
      </c>
      <c r="M1114" s="63" t="str">
        <f>IF(IFERROR(IF(C1114=C1112,0,IF(E1114=E1113,0,IF(C1114=$R$2,HLOOKUP($R$2,Ingreso!$AW$10:$BC$260,VLOOKUP(A1114,Ingreso!AL:AM,2,FALSE),FALSE)/24,""))),"")=0,"",IFERROR(IF(C1114=C1112,0,IF(E1114=E1113,0,IF(C1114=$R$2,HLOOKUP($R$2,Ingreso!$AW$10:$BC$260,VLOOKUP(A1114,Ingreso!AL:AM,2,FALSE),FALSE)/24,""))),""))</f>
        <v/>
      </c>
      <c r="N1114" s="95" t="str">
        <f>IF(IFERROR(IF(C1114=C1112,0,IF(E1114=E1113,0,IF(C1114=$R$3,HLOOKUP($R$3,Ingreso!$AW$10:$BC$260,VLOOKUP(A1114,Ingreso!AL:AM,2,FALSE),FALSE)/24,""))),"")=0,"",IFERROR(IF(C1114=C1112,0,IF(E1114=E1113,0,IF(C1114=$R$3,HLOOKUP($R$3,Ingreso!$AW$10:$BC$260,VLOOKUP(A1114,Ingreso!AL:AM,2,FALSE),FALSE)/24,""))),""))</f>
        <v/>
      </c>
      <c r="O1114" s="95" t="str">
        <f>IF(IFERROR(IF(C1114=C1112,0,IF(E1114=E1113,0,IF(C1114=$R$4,HLOOKUP($R$4,Ingreso!$AW$10:$BC$260,VLOOKUP(A1114,Ingreso!AL:AM,2,FALSE),FALSE)/24,""))),"")=0,"",IFERROR(IF(C1114=C1112,0,IF(E1114=E1113,0,IF(C1114=$R$4,HLOOKUP($R$4,Ingreso!$AW$10:$BC$260,VLOOKUP(A1114,Ingreso!AL:AM,2,FALSE),FALSE)/24,""))),""))</f>
        <v/>
      </c>
      <c r="P1114" s="90"/>
      <c r="V1114"/>
      <c r="W1114" s="62"/>
      <c r="X1114" s="62"/>
      <c r="Y1114" s="62"/>
      <c r="Z1114" s="62"/>
      <c r="AA1114" s="62"/>
      <c r="AB1114" s="62"/>
      <c r="AC1114" s="62"/>
    </row>
    <row r="1115" spans="1:29">
      <c r="A1115" s="65" t="str">
        <f>IFERROR(VLOOKUP('Informe Kelly'!A1108,Base!A:B,2,FALSE),"")</f>
        <v>17.929.108-8</v>
      </c>
      <c r="B1115" s="65" t="str">
        <f>IFERROR(VLOOKUP('Informe Kelly'!A1108,Base!A:G,7,FALSE),"")</f>
        <v>DONOSO SANTIBAÑEZ CRISTIAN ALFREDO</v>
      </c>
      <c r="C1115" s="69" t="str">
        <f>IF(G1115=$C$4,IF('Informe Kelly'!H1108='Control informe Kelly'!$A$2,TEXT(((LEFT('Informe Kelly'!E1108,2)*1)+1),"dd")&amp;"."&amp;MID('Informe Kelly'!E1108,4,2)&amp;"."&amp;RIGHT('Informe Kelly'!E1108,4),'Informe Kelly'!E1108),'Informe Kelly'!E1108)</f>
        <v>15.04.2011</v>
      </c>
      <c r="D1115" s="69" t="str">
        <f>IF('Informe Kelly'!E1108="","",'Informe Kelly'!E1108)</f>
        <v>15.04.2011</v>
      </c>
      <c r="E1115" s="72">
        <f t="shared" si="35"/>
        <v>568</v>
      </c>
      <c r="F1115" s="72" t="str">
        <f>IFERROR(HLOOKUP(C1115,Ingreso!$Q$8:$AD$9,2,FALSE),"v")</f>
        <v>Viernes</v>
      </c>
      <c r="G1115" s="65" t="str">
        <f>IFERROR(VLOOKUP(A1115,Ingreso!K:P,6,FALSE),"no esta ingresado")</f>
        <v>no esta ingresado</v>
      </c>
      <c r="H1115" s="65" t="str">
        <f>IFERROR(IF('Informe Kelly'!H1108=$A$2,'Informe Kelly'!F1108,""),0)</f>
        <v/>
      </c>
      <c r="I1115" s="65">
        <f>IFERROR(IF('Informe Kelly'!H1108=$A$3,'Informe Kelly'!F1108,""),0)</f>
        <v>0.3283449074074074</v>
      </c>
      <c r="J1115" s="65" t="str">
        <f>IF(IFERROR(IF(E1115=E1114,0,(HLOOKUP(D1115,Ingreso!$AN$10:$AT$260,VLOOKUP(A1115,Ingreso!$AL$11:$AM$260,2,FALSE)))/24),0)=0,"",IFERROR(IF(E1115=E1114,0,(HLOOKUP(D1115,Ingreso!$AN$10:$AT$260,VLOOKUP(A1115,Ingreso!$AL$11:$AM$260,2,FALSE)))/24),0))</f>
        <v/>
      </c>
      <c r="K1115" s="65" t="str">
        <f>IF(IFERROR(IF(E1115=E1114,0,(HLOOKUP(C1115,Ingreso!$AW$10:$BC$260,VLOOKUP(A1115,Ingreso!$AL$11:$AM$260,2,FALSE)))/24),0)=0,"",IFERROR(IF(E1115=E1114,0,(HLOOKUP(C1115,Ingreso!$AW$10:$BC$260,VLOOKUP(A1115,Ingreso!$AL$11:$AM$260,2,FALSE)))/24),0))</f>
        <v/>
      </c>
      <c r="L1115" s="63" t="str">
        <f t="shared" si="34"/>
        <v/>
      </c>
      <c r="M1115" s="63" t="str">
        <f>IF(IFERROR(IF(C1115=C1113,0,IF(E1115=E1114,0,IF(C1115=$R$2,HLOOKUP($R$2,Ingreso!$AW$10:$BC$260,VLOOKUP(A1115,Ingreso!AL:AM,2,FALSE),FALSE)/24,""))),"")=0,"",IFERROR(IF(C1115=C1113,0,IF(E1115=E1114,0,IF(C1115=$R$2,HLOOKUP($R$2,Ingreso!$AW$10:$BC$260,VLOOKUP(A1115,Ingreso!AL:AM,2,FALSE),FALSE)/24,""))),""))</f>
        <v/>
      </c>
      <c r="N1115" s="95" t="str">
        <f>IF(IFERROR(IF(C1115=C1113,0,IF(E1115=E1114,0,IF(C1115=$R$3,HLOOKUP($R$3,Ingreso!$AW$10:$BC$260,VLOOKUP(A1115,Ingreso!AL:AM,2,FALSE),FALSE)/24,""))),"")=0,"",IFERROR(IF(C1115=C1113,0,IF(E1115=E1114,0,IF(C1115=$R$3,HLOOKUP($R$3,Ingreso!$AW$10:$BC$260,VLOOKUP(A1115,Ingreso!AL:AM,2,FALSE),FALSE)/24,""))),""))</f>
        <v/>
      </c>
      <c r="O1115" s="95" t="str">
        <f>IF(IFERROR(IF(C1115=C1113,0,IF(E1115=E1114,0,IF(C1115=$R$4,HLOOKUP($R$4,Ingreso!$AW$10:$BC$260,VLOOKUP(A1115,Ingreso!AL:AM,2,FALSE),FALSE)/24,""))),"")=0,"",IFERROR(IF(C1115=C1113,0,IF(E1115=E1114,0,IF(C1115=$R$4,HLOOKUP($R$4,Ingreso!$AW$10:$BC$260,VLOOKUP(A1115,Ingreso!AL:AM,2,FALSE),FALSE)/24,""))),""))</f>
        <v/>
      </c>
      <c r="P1115" s="90"/>
      <c r="V1115"/>
      <c r="W1115" s="62"/>
      <c r="X1115" s="62"/>
      <c r="Y1115" s="62"/>
      <c r="Z1115" s="62"/>
      <c r="AA1115" s="62"/>
      <c r="AB1115" s="62"/>
      <c r="AC1115" s="62"/>
    </row>
    <row r="1116" spans="1:29">
      <c r="A1116" s="65" t="str">
        <f>IFERROR(VLOOKUP('Informe Kelly'!A1109,Base!A:B,2,FALSE),"")</f>
        <v>20.342.651-8</v>
      </c>
      <c r="B1116" s="65" t="str">
        <f>IFERROR(VLOOKUP('Informe Kelly'!A1109,Base!A:G,7,FALSE),"")</f>
        <v>PEREZ SALAZAR CARLOS PATRICIO</v>
      </c>
      <c r="C1116" s="69" t="str">
        <f>IF(G1116=$C$4,IF('Informe Kelly'!H1109='Control informe Kelly'!$A$2,TEXT(((LEFT('Informe Kelly'!E1109,2)*1)+1),"dd")&amp;"."&amp;MID('Informe Kelly'!E1109,4,2)&amp;"."&amp;RIGHT('Informe Kelly'!E1109,4),'Informe Kelly'!E1109),'Informe Kelly'!E1109)</f>
        <v>11.04.2011</v>
      </c>
      <c r="D1116" s="69" t="str">
        <f>IF('Informe Kelly'!E1109="","",'Informe Kelly'!E1109)</f>
        <v>11.04.2011</v>
      </c>
      <c r="E1116" s="72">
        <f t="shared" si="35"/>
        <v>569</v>
      </c>
      <c r="F1116" s="72" t="str">
        <f>IFERROR(HLOOKUP(C1116,Ingreso!$Q$8:$AD$9,2,FALSE),"v")</f>
        <v>Lunes</v>
      </c>
      <c r="G1116" s="65" t="str">
        <f>IFERROR(VLOOKUP(A1116,Ingreso!K:P,6,FALSE),"no esta ingresado")</f>
        <v>no esta ingresado</v>
      </c>
      <c r="H1116" s="65" t="str">
        <f>IFERROR(IF('Informe Kelly'!H1109=$A$2,'Informe Kelly'!F1109,""),0)</f>
        <v/>
      </c>
      <c r="I1116" s="65">
        <f>IFERROR(IF('Informe Kelly'!H1109=$A$3,'Informe Kelly'!F1109,""),0)</f>
        <v>0.93942129629629623</v>
      </c>
      <c r="J1116" s="65" t="str">
        <f>IF(IFERROR(IF(E1116=E1115,0,(HLOOKUP(D1116,Ingreso!$AN$10:$AT$260,VLOOKUP(A1116,Ingreso!$AL$11:$AM$260,2,FALSE)))/24),0)=0,"",IFERROR(IF(E1116=E1115,0,(HLOOKUP(D1116,Ingreso!$AN$10:$AT$260,VLOOKUP(A1116,Ingreso!$AL$11:$AM$260,2,FALSE)))/24),0))</f>
        <v/>
      </c>
      <c r="K1116" s="65" t="str">
        <f>IF(IFERROR(IF(E1116=E1115,0,(HLOOKUP(C1116,Ingreso!$AW$10:$BC$260,VLOOKUP(A1116,Ingreso!$AL$11:$AM$260,2,FALSE)))/24),0)=0,"",IFERROR(IF(E1116=E1115,0,(HLOOKUP(C1116,Ingreso!$AW$10:$BC$260,VLOOKUP(A1116,Ingreso!$AL$11:$AM$260,2,FALSE)))/24),0))</f>
        <v/>
      </c>
      <c r="L1116" s="63" t="str">
        <f t="shared" si="34"/>
        <v/>
      </c>
      <c r="M1116" s="63" t="str">
        <f>IF(IFERROR(IF(C1116=C1114,0,IF(E1116=E1115,0,IF(C1116=$R$2,HLOOKUP($R$2,Ingreso!$AW$10:$BC$260,VLOOKUP(A1116,Ingreso!AL:AM,2,FALSE),FALSE)/24,""))),"")=0,"",IFERROR(IF(C1116=C1114,0,IF(E1116=E1115,0,IF(C1116=$R$2,HLOOKUP($R$2,Ingreso!$AW$10:$BC$260,VLOOKUP(A1116,Ingreso!AL:AM,2,FALSE),FALSE)/24,""))),""))</f>
        <v/>
      </c>
      <c r="N1116" s="95" t="str">
        <f>IF(IFERROR(IF(C1116=C1114,0,IF(E1116=E1115,0,IF(C1116=$R$3,HLOOKUP($R$3,Ingreso!$AW$10:$BC$260,VLOOKUP(A1116,Ingreso!AL:AM,2,FALSE),FALSE)/24,""))),"")=0,"",IFERROR(IF(C1116=C1114,0,IF(E1116=E1115,0,IF(C1116=$R$3,HLOOKUP($R$3,Ingreso!$AW$10:$BC$260,VLOOKUP(A1116,Ingreso!AL:AM,2,FALSE),FALSE)/24,""))),""))</f>
        <v/>
      </c>
      <c r="O1116" s="95" t="str">
        <f>IF(IFERROR(IF(C1116=C1114,0,IF(E1116=E1115,0,IF(C1116=$R$4,HLOOKUP($R$4,Ingreso!$AW$10:$BC$260,VLOOKUP(A1116,Ingreso!AL:AM,2,FALSE),FALSE)/24,""))),"")=0,"",IFERROR(IF(C1116=C1114,0,IF(E1116=E1115,0,IF(C1116=$R$4,HLOOKUP($R$4,Ingreso!$AW$10:$BC$260,VLOOKUP(A1116,Ingreso!AL:AM,2,FALSE),FALSE)/24,""))),""))</f>
        <v/>
      </c>
      <c r="P1116" s="90"/>
      <c r="V1116"/>
      <c r="W1116" s="62"/>
      <c r="X1116" s="62"/>
      <c r="Y1116" s="62"/>
      <c r="Z1116" s="62"/>
      <c r="AA1116" s="62"/>
      <c r="AB1116" s="62"/>
      <c r="AC1116" s="62"/>
    </row>
    <row r="1117" spans="1:29">
      <c r="A1117" s="65" t="str">
        <f>IFERROR(VLOOKUP('Informe Kelly'!A1110,Base!A:B,2,FALSE),"")</f>
        <v>20.342.651-8</v>
      </c>
      <c r="B1117" s="65" t="str">
        <f>IFERROR(VLOOKUP('Informe Kelly'!A1110,Base!A:G,7,FALSE),"")</f>
        <v>PEREZ SALAZAR CARLOS PATRICIO</v>
      </c>
      <c r="C1117" s="69" t="str">
        <f>IF(G1117=$C$4,IF('Informe Kelly'!H1110='Control informe Kelly'!$A$2,TEXT(((LEFT('Informe Kelly'!E1110,2)*1)+1),"dd")&amp;"."&amp;MID('Informe Kelly'!E1110,4,2)&amp;"."&amp;RIGHT('Informe Kelly'!E1110,4),'Informe Kelly'!E1110),'Informe Kelly'!E1110)</f>
        <v>11.04.2011</v>
      </c>
      <c r="D1117" s="69" t="str">
        <f>IF('Informe Kelly'!E1110="","",'Informe Kelly'!E1110)</f>
        <v>11.04.2011</v>
      </c>
      <c r="E1117" s="72">
        <f t="shared" si="35"/>
        <v>569</v>
      </c>
      <c r="F1117" s="72" t="str">
        <f>IFERROR(HLOOKUP(C1117,Ingreso!$Q$8:$AD$9,2,FALSE),"v")</f>
        <v>Lunes</v>
      </c>
      <c r="G1117" s="65" t="str">
        <f>IFERROR(VLOOKUP(A1117,Ingreso!K:P,6,FALSE),"no esta ingresado")</f>
        <v>no esta ingresado</v>
      </c>
      <c r="H1117" s="65">
        <f>IFERROR(IF('Informe Kelly'!H1110=$A$2,'Informe Kelly'!F1110,""),0)</f>
        <v>0.62251157407407409</v>
      </c>
      <c r="I1117" s="65" t="str">
        <f>IFERROR(IF('Informe Kelly'!H1110=$A$3,'Informe Kelly'!F1110,""),0)</f>
        <v/>
      </c>
      <c r="J1117" s="65" t="str">
        <f>IF(IFERROR(IF(E1117=E1116,0,(HLOOKUP(D1117,Ingreso!$AN$10:$AT$260,VLOOKUP(A1117,Ingreso!$AL$11:$AM$260,2,FALSE)))/24),0)=0,"",IFERROR(IF(E1117=E1116,0,(HLOOKUP(D1117,Ingreso!$AN$10:$AT$260,VLOOKUP(A1117,Ingreso!$AL$11:$AM$260,2,FALSE)))/24),0))</f>
        <v/>
      </c>
      <c r="K1117" s="65" t="str">
        <f>IF(IFERROR(IF(E1117=E1116,0,(HLOOKUP(C1117,Ingreso!$AW$10:$BC$260,VLOOKUP(A1117,Ingreso!$AL$11:$AM$260,2,FALSE)))/24),0)=0,"",IFERROR(IF(E1117=E1116,0,(HLOOKUP(C1117,Ingreso!$AW$10:$BC$260,VLOOKUP(A1117,Ingreso!$AL$11:$AM$260,2,FALSE)))/24),0))</f>
        <v/>
      </c>
      <c r="L1117" s="63">
        <f t="shared" si="34"/>
        <v>0</v>
      </c>
      <c r="M1117" s="63" t="str">
        <f>IF(IFERROR(IF(C1117=C1115,0,IF(E1117=E1116,0,IF(C1117=$R$2,HLOOKUP($R$2,Ingreso!$AW$10:$BC$260,VLOOKUP(A1117,Ingreso!AL:AM,2,FALSE),FALSE)/24,""))),"")=0,"",IFERROR(IF(C1117=C1115,0,IF(E1117=E1116,0,IF(C1117=$R$2,HLOOKUP($R$2,Ingreso!$AW$10:$BC$260,VLOOKUP(A1117,Ingreso!AL:AM,2,FALSE),FALSE)/24,""))),""))</f>
        <v/>
      </c>
      <c r="N1117" s="95" t="str">
        <f>IF(IFERROR(IF(C1117=C1115,0,IF(E1117=E1116,0,IF(C1117=$R$3,HLOOKUP($R$3,Ingreso!$AW$10:$BC$260,VLOOKUP(A1117,Ingreso!AL:AM,2,FALSE),FALSE)/24,""))),"")=0,"",IFERROR(IF(C1117=C1115,0,IF(E1117=E1116,0,IF(C1117=$R$3,HLOOKUP($R$3,Ingreso!$AW$10:$BC$260,VLOOKUP(A1117,Ingreso!AL:AM,2,FALSE),FALSE)/24,""))),""))</f>
        <v/>
      </c>
      <c r="O1117" s="95" t="str">
        <f>IF(IFERROR(IF(C1117=C1115,0,IF(E1117=E1116,0,IF(C1117=$R$4,HLOOKUP($R$4,Ingreso!$AW$10:$BC$260,VLOOKUP(A1117,Ingreso!AL:AM,2,FALSE),FALSE)/24,""))),"")=0,"",IFERROR(IF(C1117=C1115,0,IF(E1117=E1116,0,IF(C1117=$R$4,HLOOKUP($R$4,Ingreso!$AW$10:$BC$260,VLOOKUP(A1117,Ingreso!AL:AM,2,FALSE),FALSE)/24,""))),""))</f>
        <v/>
      </c>
      <c r="P1117" s="90"/>
      <c r="V1117"/>
      <c r="W1117" s="62"/>
      <c r="X1117" s="62"/>
      <c r="Y1117" s="62"/>
      <c r="Z1117" s="62"/>
      <c r="AA1117" s="62"/>
      <c r="AB1117" s="62"/>
      <c r="AC1117" s="62"/>
    </row>
    <row r="1118" spans="1:29">
      <c r="A1118" s="65" t="str">
        <f>IFERROR(VLOOKUP('Informe Kelly'!A1111,Base!A:B,2,FALSE),"")</f>
        <v>20.342.651-8</v>
      </c>
      <c r="B1118" s="65" t="str">
        <f>IFERROR(VLOOKUP('Informe Kelly'!A1111,Base!A:G,7,FALSE),"")</f>
        <v>PEREZ SALAZAR CARLOS PATRICIO</v>
      </c>
      <c r="C1118" s="69" t="str">
        <f>IF(G1118=$C$4,IF('Informe Kelly'!H1111='Control informe Kelly'!$A$2,TEXT(((LEFT('Informe Kelly'!E1111,2)*1)+1),"dd")&amp;"."&amp;MID('Informe Kelly'!E1111,4,2)&amp;"."&amp;RIGHT('Informe Kelly'!E1111,4),'Informe Kelly'!E1111),'Informe Kelly'!E1111)</f>
        <v>12.04.2011</v>
      </c>
      <c r="D1118" s="69" t="str">
        <f>IF('Informe Kelly'!E1111="","",'Informe Kelly'!E1111)</f>
        <v>12.04.2011</v>
      </c>
      <c r="E1118" s="72">
        <f t="shared" si="35"/>
        <v>570</v>
      </c>
      <c r="F1118" s="72" t="str">
        <f>IFERROR(HLOOKUP(C1118,Ingreso!$Q$8:$AD$9,2,FALSE),"v")</f>
        <v>Martes</v>
      </c>
      <c r="G1118" s="65" t="str">
        <f>IFERROR(VLOOKUP(A1118,Ingreso!K:P,6,FALSE),"no esta ingresado")</f>
        <v>no esta ingresado</v>
      </c>
      <c r="H1118" s="65" t="str">
        <f>IFERROR(IF('Informe Kelly'!H1111=$A$2,'Informe Kelly'!F1111,""),0)</f>
        <v/>
      </c>
      <c r="I1118" s="65">
        <f>IFERROR(IF('Informe Kelly'!H1111=$A$3,'Informe Kelly'!F1111,""),0)</f>
        <v>0.93902777777777768</v>
      </c>
      <c r="J1118" s="65" t="str">
        <f>IF(IFERROR(IF(E1118=E1117,0,(HLOOKUP(D1118,Ingreso!$AN$10:$AT$260,VLOOKUP(A1118,Ingreso!$AL$11:$AM$260,2,FALSE)))/24),0)=0,"",IFERROR(IF(E1118=E1117,0,(HLOOKUP(D1118,Ingreso!$AN$10:$AT$260,VLOOKUP(A1118,Ingreso!$AL$11:$AM$260,2,FALSE)))/24),0))</f>
        <v/>
      </c>
      <c r="K1118" s="65" t="str">
        <f>IF(IFERROR(IF(E1118=E1117,0,(HLOOKUP(C1118,Ingreso!$AW$10:$BC$260,VLOOKUP(A1118,Ingreso!$AL$11:$AM$260,2,FALSE)))/24),0)=0,"",IFERROR(IF(E1118=E1117,0,(HLOOKUP(C1118,Ingreso!$AW$10:$BC$260,VLOOKUP(A1118,Ingreso!$AL$11:$AM$260,2,FALSE)))/24),0))</f>
        <v/>
      </c>
      <c r="L1118" s="63" t="str">
        <f t="shared" si="34"/>
        <v/>
      </c>
      <c r="M1118" s="63" t="str">
        <f>IF(IFERROR(IF(C1118=C1116,0,IF(E1118=E1117,0,IF(C1118=$R$2,HLOOKUP($R$2,Ingreso!$AW$10:$BC$260,VLOOKUP(A1118,Ingreso!AL:AM,2,FALSE),FALSE)/24,""))),"")=0,"",IFERROR(IF(C1118=C1116,0,IF(E1118=E1117,0,IF(C1118=$R$2,HLOOKUP($R$2,Ingreso!$AW$10:$BC$260,VLOOKUP(A1118,Ingreso!AL:AM,2,FALSE),FALSE)/24,""))),""))</f>
        <v/>
      </c>
      <c r="N1118" s="95" t="str">
        <f>IF(IFERROR(IF(C1118=C1116,0,IF(E1118=E1117,0,IF(C1118=$R$3,HLOOKUP($R$3,Ingreso!$AW$10:$BC$260,VLOOKUP(A1118,Ingreso!AL:AM,2,FALSE),FALSE)/24,""))),"")=0,"",IFERROR(IF(C1118=C1116,0,IF(E1118=E1117,0,IF(C1118=$R$3,HLOOKUP($R$3,Ingreso!$AW$10:$BC$260,VLOOKUP(A1118,Ingreso!AL:AM,2,FALSE),FALSE)/24,""))),""))</f>
        <v/>
      </c>
      <c r="O1118" s="95" t="str">
        <f>IF(IFERROR(IF(C1118=C1116,0,IF(E1118=E1117,0,IF(C1118=$R$4,HLOOKUP($R$4,Ingreso!$AW$10:$BC$260,VLOOKUP(A1118,Ingreso!AL:AM,2,FALSE),FALSE)/24,""))),"")=0,"",IFERROR(IF(C1118=C1116,0,IF(E1118=E1117,0,IF(C1118=$R$4,HLOOKUP($R$4,Ingreso!$AW$10:$BC$260,VLOOKUP(A1118,Ingreso!AL:AM,2,FALSE),FALSE)/24,""))),""))</f>
        <v/>
      </c>
      <c r="P1118" s="90"/>
      <c r="V1118"/>
      <c r="W1118" s="62"/>
      <c r="X1118" s="62"/>
      <c r="Y1118" s="62"/>
      <c r="Z1118" s="62"/>
      <c r="AA1118" s="62"/>
      <c r="AB1118" s="62"/>
      <c r="AC1118" s="62"/>
    </row>
    <row r="1119" spans="1:29">
      <c r="A1119" s="65" t="str">
        <f>IFERROR(VLOOKUP('Informe Kelly'!A1112,Base!A:B,2,FALSE),"")</f>
        <v>20.342.651-8</v>
      </c>
      <c r="B1119" s="65" t="str">
        <f>IFERROR(VLOOKUP('Informe Kelly'!A1112,Base!A:G,7,FALSE),"")</f>
        <v>PEREZ SALAZAR CARLOS PATRICIO</v>
      </c>
      <c r="C1119" s="69" t="str">
        <f>IF(G1119=$C$4,IF('Informe Kelly'!H1112='Control informe Kelly'!$A$2,TEXT(((LEFT('Informe Kelly'!E1112,2)*1)+1),"dd")&amp;"."&amp;MID('Informe Kelly'!E1112,4,2)&amp;"."&amp;RIGHT('Informe Kelly'!E1112,4),'Informe Kelly'!E1112),'Informe Kelly'!E1112)</f>
        <v>12.04.2011</v>
      </c>
      <c r="D1119" s="69" t="str">
        <f>IF('Informe Kelly'!E1112="","",'Informe Kelly'!E1112)</f>
        <v>12.04.2011</v>
      </c>
      <c r="E1119" s="72">
        <f t="shared" si="35"/>
        <v>570</v>
      </c>
      <c r="F1119" s="72" t="str">
        <f>IFERROR(HLOOKUP(C1119,Ingreso!$Q$8:$AD$9,2,FALSE),"v")</f>
        <v>Martes</v>
      </c>
      <c r="G1119" s="65" t="str">
        <f>IFERROR(VLOOKUP(A1119,Ingreso!K:P,6,FALSE),"no esta ingresado")</f>
        <v>no esta ingresado</v>
      </c>
      <c r="H1119" s="65">
        <f>IFERROR(IF('Informe Kelly'!H1112=$A$2,'Informe Kelly'!F1112,""),0)</f>
        <v>0.60795138888888889</v>
      </c>
      <c r="I1119" s="65" t="str">
        <f>IFERROR(IF('Informe Kelly'!H1112=$A$3,'Informe Kelly'!F1112,""),0)</f>
        <v/>
      </c>
      <c r="J1119" s="65" t="str">
        <f>IF(IFERROR(IF(E1119=E1118,0,(HLOOKUP(D1119,Ingreso!$AN$10:$AT$260,VLOOKUP(A1119,Ingreso!$AL$11:$AM$260,2,FALSE)))/24),0)=0,"",IFERROR(IF(E1119=E1118,0,(HLOOKUP(D1119,Ingreso!$AN$10:$AT$260,VLOOKUP(A1119,Ingreso!$AL$11:$AM$260,2,FALSE)))/24),0))</f>
        <v/>
      </c>
      <c r="K1119" s="65" t="str">
        <f>IF(IFERROR(IF(E1119=E1118,0,(HLOOKUP(C1119,Ingreso!$AW$10:$BC$260,VLOOKUP(A1119,Ingreso!$AL$11:$AM$260,2,FALSE)))/24),0)=0,"",IFERROR(IF(E1119=E1118,0,(HLOOKUP(C1119,Ingreso!$AW$10:$BC$260,VLOOKUP(A1119,Ingreso!$AL$11:$AM$260,2,FALSE)))/24),0))</f>
        <v/>
      </c>
      <c r="L1119" s="63">
        <f t="shared" si="34"/>
        <v>0</v>
      </c>
      <c r="M1119" s="63" t="str">
        <f>IF(IFERROR(IF(C1119=C1117,0,IF(E1119=E1118,0,IF(C1119=$R$2,HLOOKUP($R$2,Ingreso!$AW$10:$BC$260,VLOOKUP(A1119,Ingreso!AL:AM,2,FALSE),FALSE)/24,""))),"")=0,"",IFERROR(IF(C1119=C1117,0,IF(E1119=E1118,0,IF(C1119=$R$2,HLOOKUP($R$2,Ingreso!$AW$10:$BC$260,VLOOKUP(A1119,Ingreso!AL:AM,2,FALSE),FALSE)/24,""))),""))</f>
        <v/>
      </c>
      <c r="N1119" s="95" t="str">
        <f>IF(IFERROR(IF(C1119=C1117,0,IF(E1119=E1118,0,IF(C1119=$R$3,HLOOKUP($R$3,Ingreso!$AW$10:$BC$260,VLOOKUP(A1119,Ingreso!AL:AM,2,FALSE),FALSE)/24,""))),"")=0,"",IFERROR(IF(C1119=C1117,0,IF(E1119=E1118,0,IF(C1119=$R$3,HLOOKUP($R$3,Ingreso!$AW$10:$BC$260,VLOOKUP(A1119,Ingreso!AL:AM,2,FALSE),FALSE)/24,""))),""))</f>
        <v/>
      </c>
      <c r="O1119" s="95" t="str">
        <f>IF(IFERROR(IF(C1119=C1117,0,IF(E1119=E1118,0,IF(C1119=$R$4,HLOOKUP($R$4,Ingreso!$AW$10:$BC$260,VLOOKUP(A1119,Ingreso!AL:AM,2,FALSE),FALSE)/24,""))),"")=0,"",IFERROR(IF(C1119=C1117,0,IF(E1119=E1118,0,IF(C1119=$R$4,HLOOKUP($R$4,Ingreso!$AW$10:$BC$260,VLOOKUP(A1119,Ingreso!AL:AM,2,FALSE),FALSE)/24,""))),""))</f>
        <v/>
      </c>
      <c r="P1119" s="90"/>
      <c r="V1119"/>
      <c r="W1119" s="62"/>
      <c r="X1119" s="62"/>
      <c r="Y1119" s="62"/>
      <c r="Z1119" s="62"/>
      <c r="AA1119" s="62"/>
      <c r="AB1119" s="62"/>
      <c r="AC1119" s="62"/>
    </row>
    <row r="1120" spans="1:29">
      <c r="A1120" s="65" t="str">
        <f>IFERROR(VLOOKUP('Informe Kelly'!A1113,Base!A:B,2,FALSE),"")</f>
        <v>20.342.651-8</v>
      </c>
      <c r="B1120" s="65" t="str">
        <f>IFERROR(VLOOKUP('Informe Kelly'!A1113,Base!A:G,7,FALSE),"")</f>
        <v>PEREZ SALAZAR CARLOS PATRICIO</v>
      </c>
      <c r="C1120" s="69" t="str">
        <f>IF(G1120=$C$4,IF('Informe Kelly'!H1113='Control informe Kelly'!$A$2,TEXT(((LEFT('Informe Kelly'!E1113,2)*1)+1),"dd")&amp;"."&amp;MID('Informe Kelly'!E1113,4,2)&amp;"."&amp;RIGHT('Informe Kelly'!E1113,4),'Informe Kelly'!E1113),'Informe Kelly'!E1113)</f>
        <v>13.04.2011</v>
      </c>
      <c r="D1120" s="69" t="str">
        <f>IF('Informe Kelly'!E1113="","",'Informe Kelly'!E1113)</f>
        <v>13.04.2011</v>
      </c>
      <c r="E1120" s="72">
        <f t="shared" si="35"/>
        <v>571</v>
      </c>
      <c r="F1120" s="72" t="str">
        <f>IFERROR(HLOOKUP(C1120,Ingreso!$Q$8:$AD$9,2,FALSE),"v")</f>
        <v>Miércoles</v>
      </c>
      <c r="G1120" s="65" t="str">
        <f>IFERROR(VLOOKUP(A1120,Ingreso!K:P,6,FALSE),"no esta ingresado")</f>
        <v>no esta ingresado</v>
      </c>
      <c r="H1120" s="65" t="str">
        <f>IFERROR(IF('Informe Kelly'!H1113=$A$2,'Informe Kelly'!F1113,""),0)</f>
        <v/>
      </c>
      <c r="I1120" s="65">
        <f>IFERROR(IF('Informe Kelly'!H1113=$A$3,'Informe Kelly'!F1113,""),0)</f>
        <v>0.93774305555555559</v>
      </c>
      <c r="J1120" s="65" t="str">
        <f>IF(IFERROR(IF(E1120=E1119,0,(HLOOKUP(D1120,Ingreso!$AN$10:$AT$260,VLOOKUP(A1120,Ingreso!$AL$11:$AM$260,2,FALSE)))/24),0)=0,"",IFERROR(IF(E1120=E1119,0,(HLOOKUP(D1120,Ingreso!$AN$10:$AT$260,VLOOKUP(A1120,Ingreso!$AL$11:$AM$260,2,FALSE)))/24),0))</f>
        <v/>
      </c>
      <c r="K1120" s="65" t="str">
        <f>IF(IFERROR(IF(E1120=E1119,0,(HLOOKUP(C1120,Ingreso!$AW$10:$BC$260,VLOOKUP(A1120,Ingreso!$AL$11:$AM$260,2,FALSE)))/24),0)=0,"",IFERROR(IF(E1120=E1119,0,(HLOOKUP(C1120,Ingreso!$AW$10:$BC$260,VLOOKUP(A1120,Ingreso!$AL$11:$AM$260,2,FALSE)))/24),0))</f>
        <v/>
      </c>
      <c r="L1120" s="63" t="str">
        <f t="shared" si="34"/>
        <v/>
      </c>
      <c r="M1120" s="63" t="str">
        <f>IF(IFERROR(IF(C1120=C1118,0,IF(E1120=E1119,0,IF(C1120=$R$2,HLOOKUP($R$2,Ingreso!$AW$10:$BC$260,VLOOKUP(A1120,Ingreso!AL:AM,2,FALSE),FALSE)/24,""))),"")=0,"",IFERROR(IF(C1120=C1118,0,IF(E1120=E1119,0,IF(C1120=$R$2,HLOOKUP($R$2,Ingreso!$AW$10:$BC$260,VLOOKUP(A1120,Ingreso!AL:AM,2,FALSE),FALSE)/24,""))),""))</f>
        <v/>
      </c>
      <c r="N1120" s="95" t="str">
        <f>IF(IFERROR(IF(C1120=C1118,0,IF(E1120=E1119,0,IF(C1120=$R$3,HLOOKUP($R$3,Ingreso!$AW$10:$BC$260,VLOOKUP(A1120,Ingreso!AL:AM,2,FALSE),FALSE)/24,""))),"")=0,"",IFERROR(IF(C1120=C1118,0,IF(E1120=E1119,0,IF(C1120=$R$3,HLOOKUP($R$3,Ingreso!$AW$10:$BC$260,VLOOKUP(A1120,Ingreso!AL:AM,2,FALSE),FALSE)/24,""))),""))</f>
        <v/>
      </c>
      <c r="O1120" s="95" t="str">
        <f>IF(IFERROR(IF(C1120=C1118,0,IF(E1120=E1119,0,IF(C1120=$R$4,HLOOKUP($R$4,Ingreso!$AW$10:$BC$260,VLOOKUP(A1120,Ingreso!AL:AM,2,FALSE),FALSE)/24,""))),"")=0,"",IFERROR(IF(C1120=C1118,0,IF(E1120=E1119,0,IF(C1120=$R$4,HLOOKUP($R$4,Ingreso!$AW$10:$BC$260,VLOOKUP(A1120,Ingreso!AL:AM,2,FALSE),FALSE)/24,""))),""))</f>
        <v/>
      </c>
      <c r="P1120" s="90"/>
      <c r="V1120"/>
      <c r="W1120" s="62"/>
      <c r="X1120" s="62"/>
      <c r="Y1120" s="62"/>
      <c r="Z1120" s="62"/>
      <c r="AA1120" s="62"/>
      <c r="AB1120" s="62"/>
      <c r="AC1120" s="62"/>
    </row>
    <row r="1121" spans="1:29">
      <c r="A1121" s="65" t="str">
        <f>IFERROR(VLOOKUP('Informe Kelly'!A1114,Base!A:B,2,FALSE),"")</f>
        <v>20.342.651-8</v>
      </c>
      <c r="B1121" s="65" t="str">
        <f>IFERROR(VLOOKUP('Informe Kelly'!A1114,Base!A:G,7,FALSE),"")</f>
        <v>PEREZ SALAZAR CARLOS PATRICIO</v>
      </c>
      <c r="C1121" s="69" t="str">
        <f>IF(G1121=$C$4,IF('Informe Kelly'!H1114='Control informe Kelly'!$A$2,TEXT(((LEFT('Informe Kelly'!E1114,2)*1)+1),"dd")&amp;"."&amp;MID('Informe Kelly'!E1114,4,2)&amp;"."&amp;RIGHT('Informe Kelly'!E1114,4),'Informe Kelly'!E1114),'Informe Kelly'!E1114)</f>
        <v>13.04.2011</v>
      </c>
      <c r="D1121" s="69" t="str">
        <f>IF('Informe Kelly'!E1114="","",'Informe Kelly'!E1114)</f>
        <v>13.04.2011</v>
      </c>
      <c r="E1121" s="72">
        <f t="shared" si="35"/>
        <v>571</v>
      </c>
      <c r="F1121" s="72" t="str">
        <f>IFERROR(HLOOKUP(C1121,Ingreso!$Q$8:$AD$9,2,FALSE),"v")</f>
        <v>Miércoles</v>
      </c>
      <c r="G1121" s="65" t="str">
        <f>IFERROR(VLOOKUP(A1121,Ingreso!K:P,6,FALSE),"no esta ingresado")</f>
        <v>no esta ingresado</v>
      </c>
      <c r="H1121" s="65">
        <f>IFERROR(IF('Informe Kelly'!H1114=$A$2,'Informe Kelly'!F1114,""),0)</f>
        <v>0.6074074074074074</v>
      </c>
      <c r="I1121" s="65" t="str">
        <f>IFERROR(IF('Informe Kelly'!H1114=$A$3,'Informe Kelly'!F1114,""),0)</f>
        <v/>
      </c>
      <c r="J1121" s="65" t="str">
        <f>IF(IFERROR(IF(E1121=E1120,0,(HLOOKUP(D1121,Ingreso!$AN$10:$AT$260,VLOOKUP(A1121,Ingreso!$AL$11:$AM$260,2,FALSE)))/24),0)=0,"",IFERROR(IF(E1121=E1120,0,(HLOOKUP(D1121,Ingreso!$AN$10:$AT$260,VLOOKUP(A1121,Ingreso!$AL$11:$AM$260,2,FALSE)))/24),0))</f>
        <v/>
      </c>
      <c r="K1121" s="65" t="str">
        <f>IF(IFERROR(IF(E1121=E1120,0,(HLOOKUP(C1121,Ingreso!$AW$10:$BC$260,VLOOKUP(A1121,Ingreso!$AL$11:$AM$260,2,FALSE)))/24),0)=0,"",IFERROR(IF(E1121=E1120,0,(HLOOKUP(C1121,Ingreso!$AW$10:$BC$260,VLOOKUP(A1121,Ingreso!$AL$11:$AM$260,2,FALSE)))/24),0))</f>
        <v/>
      </c>
      <c r="L1121" s="63">
        <f t="shared" si="34"/>
        <v>0</v>
      </c>
      <c r="M1121" s="63" t="str">
        <f>IF(IFERROR(IF(C1121=C1119,0,IF(E1121=E1120,0,IF(C1121=$R$2,HLOOKUP($R$2,Ingreso!$AW$10:$BC$260,VLOOKUP(A1121,Ingreso!AL:AM,2,FALSE),FALSE)/24,""))),"")=0,"",IFERROR(IF(C1121=C1119,0,IF(E1121=E1120,0,IF(C1121=$R$2,HLOOKUP($R$2,Ingreso!$AW$10:$BC$260,VLOOKUP(A1121,Ingreso!AL:AM,2,FALSE),FALSE)/24,""))),""))</f>
        <v/>
      </c>
      <c r="N1121" s="95" t="str">
        <f>IF(IFERROR(IF(C1121=C1119,0,IF(E1121=E1120,0,IF(C1121=$R$3,HLOOKUP($R$3,Ingreso!$AW$10:$BC$260,VLOOKUP(A1121,Ingreso!AL:AM,2,FALSE),FALSE)/24,""))),"")=0,"",IFERROR(IF(C1121=C1119,0,IF(E1121=E1120,0,IF(C1121=$R$3,HLOOKUP($R$3,Ingreso!$AW$10:$BC$260,VLOOKUP(A1121,Ingreso!AL:AM,2,FALSE),FALSE)/24,""))),""))</f>
        <v/>
      </c>
      <c r="O1121" s="95" t="str">
        <f>IF(IFERROR(IF(C1121=C1119,0,IF(E1121=E1120,0,IF(C1121=$R$4,HLOOKUP($R$4,Ingreso!$AW$10:$BC$260,VLOOKUP(A1121,Ingreso!AL:AM,2,FALSE),FALSE)/24,""))),"")=0,"",IFERROR(IF(C1121=C1119,0,IF(E1121=E1120,0,IF(C1121=$R$4,HLOOKUP($R$4,Ingreso!$AW$10:$BC$260,VLOOKUP(A1121,Ingreso!AL:AM,2,FALSE),FALSE)/24,""))),""))</f>
        <v/>
      </c>
      <c r="P1121" s="90"/>
      <c r="V1121"/>
      <c r="W1121" s="62"/>
      <c r="X1121" s="62"/>
      <c r="Y1121" s="62"/>
      <c r="Z1121" s="62"/>
      <c r="AA1121" s="62"/>
      <c r="AB1121" s="62"/>
      <c r="AC1121" s="62"/>
    </row>
    <row r="1122" spans="1:29">
      <c r="A1122" s="65" t="str">
        <f>IFERROR(VLOOKUP('Informe Kelly'!A1115,Base!A:B,2,FALSE),"")</f>
        <v>20.342.651-8</v>
      </c>
      <c r="B1122" s="65" t="str">
        <f>IFERROR(VLOOKUP('Informe Kelly'!A1115,Base!A:G,7,FALSE),"")</f>
        <v>PEREZ SALAZAR CARLOS PATRICIO</v>
      </c>
      <c r="C1122" s="69" t="str">
        <f>IF(G1122=$C$4,IF('Informe Kelly'!H1115='Control informe Kelly'!$A$2,TEXT(((LEFT('Informe Kelly'!E1115,2)*1)+1),"dd")&amp;"."&amp;MID('Informe Kelly'!E1115,4,2)&amp;"."&amp;RIGHT('Informe Kelly'!E1115,4),'Informe Kelly'!E1115),'Informe Kelly'!E1115)</f>
        <v>14.04.2011</v>
      </c>
      <c r="D1122" s="69" t="str">
        <f>IF('Informe Kelly'!E1115="","",'Informe Kelly'!E1115)</f>
        <v>14.04.2011</v>
      </c>
      <c r="E1122" s="72">
        <f t="shared" si="35"/>
        <v>572</v>
      </c>
      <c r="F1122" s="72" t="str">
        <f>IFERROR(HLOOKUP(C1122,Ingreso!$Q$8:$AD$9,2,FALSE),"v")</f>
        <v>Jueves</v>
      </c>
      <c r="G1122" s="65" t="str">
        <f>IFERROR(VLOOKUP(A1122,Ingreso!K:P,6,FALSE),"no esta ingresado")</f>
        <v>no esta ingresado</v>
      </c>
      <c r="H1122" s="65" t="str">
        <f>IFERROR(IF('Informe Kelly'!H1115=$A$2,'Informe Kelly'!F1115,""),0)</f>
        <v/>
      </c>
      <c r="I1122" s="65">
        <f>IFERROR(IF('Informe Kelly'!H1115=$A$3,'Informe Kelly'!F1115,""),0)</f>
        <v>0.93885416666666666</v>
      </c>
      <c r="J1122" s="65" t="str">
        <f>IF(IFERROR(IF(E1122=E1121,0,(HLOOKUP(D1122,Ingreso!$AN$10:$AT$260,VLOOKUP(A1122,Ingreso!$AL$11:$AM$260,2,FALSE)))/24),0)=0,"",IFERROR(IF(E1122=E1121,0,(HLOOKUP(D1122,Ingreso!$AN$10:$AT$260,VLOOKUP(A1122,Ingreso!$AL$11:$AM$260,2,FALSE)))/24),0))</f>
        <v/>
      </c>
      <c r="K1122" s="65" t="str">
        <f>IF(IFERROR(IF(E1122=E1121,0,(HLOOKUP(C1122,Ingreso!$AW$10:$BC$260,VLOOKUP(A1122,Ingreso!$AL$11:$AM$260,2,FALSE)))/24),0)=0,"",IFERROR(IF(E1122=E1121,0,(HLOOKUP(C1122,Ingreso!$AW$10:$BC$260,VLOOKUP(A1122,Ingreso!$AL$11:$AM$260,2,FALSE)))/24),0))</f>
        <v/>
      </c>
      <c r="L1122" s="63" t="str">
        <f t="shared" si="34"/>
        <v/>
      </c>
      <c r="M1122" s="63" t="str">
        <f>IF(IFERROR(IF(C1122=C1120,0,IF(E1122=E1121,0,IF(C1122=$R$2,HLOOKUP($R$2,Ingreso!$AW$10:$BC$260,VLOOKUP(A1122,Ingreso!AL:AM,2,FALSE),FALSE)/24,""))),"")=0,"",IFERROR(IF(C1122=C1120,0,IF(E1122=E1121,0,IF(C1122=$R$2,HLOOKUP($R$2,Ingreso!$AW$10:$BC$260,VLOOKUP(A1122,Ingreso!AL:AM,2,FALSE),FALSE)/24,""))),""))</f>
        <v/>
      </c>
      <c r="N1122" s="95" t="str">
        <f>IF(IFERROR(IF(C1122=C1120,0,IF(E1122=E1121,0,IF(C1122=$R$3,HLOOKUP($R$3,Ingreso!$AW$10:$BC$260,VLOOKUP(A1122,Ingreso!AL:AM,2,FALSE),FALSE)/24,""))),"")=0,"",IFERROR(IF(C1122=C1120,0,IF(E1122=E1121,0,IF(C1122=$R$3,HLOOKUP($R$3,Ingreso!$AW$10:$BC$260,VLOOKUP(A1122,Ingreso!AL:AM,2,FALSE),FALSE)/24,""))),""))</f>
        <v/>
      </c>
      <c r="O1122" s="95" t="str">
        <f>IF(IFERROR(IF(C1122=C1120,0,IF(E1122=E1121,0,IF(C1122=$R$4,HLOOKUP($R$4,Ingreso!$AW$10:$BC$260,VLOOKUP(A1122,Ingreso!AL:AM,2,FALSE),FALSE)/24,""))),"")=0,"",IFERROR(IF(C1122=C1120,0,IF(E1122=E1121,0,IF(C1122=$R$4,HLOOKUP($R$4,Ingreso!$AW$10:$BC$260,VLOOKUP(A1122,Ingreso!AL:AM,2,FALSE),FALSE)/24,""))),""))</f>
        <v/>
      </c>
      <c r="P1122" s="90"/>
      <c r="V1122"/>
      <c r="W1122" s="62"/>
      <c r="X1122" s="62"/>
      <c r="Y1122" s="62"/>
      <c r="Z1122" s="62"/>
      <c r="AA1122" s="62"/>
      <c r="AB1122" s="62"/>
      <c r="AC1122" s="62"/>
    </row>
    <row r="1123" spans="1:29">
      <c r="A1123" s="65" t="str">
        <f>IFERROR(VLOOKUP('Informe Kelly'!A1116,Base!A:B,2,FALSE),"")</f>
        <v>20.342.651-8</v>
      </c>
      <c r="B1123" s="65" t="str">
        <f>IFERROR(VLOOKUP('Informe Kelly'!A1116,Base!A:G,7,FALSE),"")</f>
        <v>PEREZ SALAZAR CARLOS PATRICIO</v>
      </c>
      <c r="C1123" s="69" t="str">
        <f>IF(G1123=$C$4,IF('Informe Kelly'!H1116='Control informe Kelly'!$A$2,TEXT(((LEFT('Informe Kelly'!E1116,2)*1)+1),"dd")&amp;"."&amp;MID('Informe Kelly'!E1116,4,2)&amp;"."&amp;RIGHT('Informe Kelly'!E1116,4),'Informe Kelly'!E1116),'Informe Kelly'!E1116)</f>
        <v>14.04.2011</v>
      </c>
      <c r="D1123" s="69" t="str">
        <f>IF('Informe Kelly'!E1116="","",'Informe Kelly'!E1116)</f>
        <v>14.04.2011</v>
      </c>
      <c r="E1123" s="72">
        <f t="shared" si="35"/>
        <v>572</v>
      </c>
      <c r="F1123" s="72" t="str">
        <f>IFERROR(HLOOKUP(C1123,Ingreso!$Q$8:$AD$9,2,FALSE),"v")</f>
        <v>Jueves</v>
      </c>
      <c r="G1123" s="65" t="str">
        <f>IFERROR(VLOOKUP(A1123,Ingreso!K:P,6,FALSE),"no esta ingresado")</f>
        <v>no esta ingresado</v>
      </c>
      <c r="H1123" s="65">
        <f>IFERROR(IF('Informe Kelly'!H1116=$A$2,'Informe Kelly'!F1116,""),0)</f>
        <v>0.61946759259259265</v>
      </c>
      <c r="I1123" s="65" t="str">
        <f>IFERROR(IF('Informe Kelly'!H1116=$A$3,'Informe Kelly'!F1116,""),0)</f>
        <v/>
      </c>
      <c r="J1123" s="65" t="str">
        <f>IF(IFERROR(IF(E1123=E1122,0,(HLOOKUP(D1123,Ingreso!$AN$10:$AT$260,VLOOKUP(A1123,Ingreso!$AL$11:$AM$260,2,FALSE)))/24),0)=0,"",IFERROR(IF(E1123=E1122,0,(HLOOKUP(D1123,Ingreso!$AN$10:$AT$260,VLOOKUP(A1123,Ingreso!$AL$11:$AM$260,2,FALSE)))/24),0))</f>
        <v/>
      </c>
      <c r="K1123" s="65" t="str">
        <f>IF(IFERROR(IF(E1123=E1122,0,(HLOOKUP(C1123,Ingreso!$AW$10:$BC$260,VLOOKUP(A1123,Ingreso!$AL$11:$AM$260,2,FALSE)))/24),0)=0,"",IFERROR(IF(E1123=E1122,0,(HLOOKUP(C1123,Ingreso!$AW$10:$BC$260,VLOOKUP(A1123,Ingreso!$AL$11:$AM$260,2,FALSE)))/24),0))</f>
        <v/>
      </c>
      <c r="L1123" s="63">
        <f t="shared" si="34"/>
        <v>0</v>
      </c>
      <c r="M1123" s="63" t="str">
        <f>IF(IFERROR(IF(C1123=C1121,0,IF(E1123=E1122,0,IF(C1123=$R$2,HLOOKUP($R$2,Ingreso!$AW$10:$BC$260,VLOOKUP(A1123,Ingreso!AL:AM,2,FALSE),FALSE)/24,""))),"")=0,"",IFERROR(IF(C1123=C1121,0,IF(E1123=E1122,0,IF(C1123=$R$2,HLOOKUP($R$2,Ingreso!$AW$10:$BC$260,VLOOKUP(A1123,Ingreso!AL:AM,2,FALSE),FALSE)/24,""))),""))</f>
        <v/>
      </c>
      <c r="N1123" s="95" t="str">
        <f>IF(IFERROR(IF(C1123=C1121,0,IF(E1123=E1122,0,IF(C1123=$R$3,HLOOKUP($R$3,Ingreso!$AW$10:$BC$260,VLOOKUP(A1123,Ingreso!AL:AM,2,FALSE),FALSE)/24,""))),"")=0,"",IFERROR(IF(C1123=C1121,0,IF(E1123=E1122,0,IF(C1123=$R$3,HLOOKUP($R$3,Ingreso!$AW$10:$BC$260,VLOOKUP(A1123,Ingreso!AL:AM,2,FALSE),FALSE)/24,""))),""))</f>
        <v/>
      </c>
      <c r="O1123" s="95" t="str">
        <f>IF(IFERROR(IF(C1123=C1121,0,IF(E1123=E1122,0,IF(C1123=$R$4,HLOOKUP($R$4,Ingreso!$AW$10:$BC$260,VLOOKUP(A1123,Ingreso!AL:AM,2,FALSE),FALSE)/24,""))),"")=0,"",IFERROR(IF(C1123=C1121,0,IF(E1123=E1122,0,IF(C1123=$R$4,HLOOKUP($R$4,Ingreso!$AW$10:$BC$260,VLOOKUP(A1123,Ingreso!AL:AM,2,FALSE),FALSE)/24,""))),""))</f>
        <v/>
      </c>
      <c r="P1123" s="90"/>
      <c r="V1123"/>
      <c r="W1123" s="62"/>
      <c r="X1123" s="62"/>
      <c r="Y1123" s="62"/>
      <c r="Z1123" s="62"/>
      <c r="AA1123" s="62"/>
      <c r="AB1123" s="62"/>
      <c r="AC1123" s="62"/>
    </row>
    <row r="1124" spans="1:29">
      <c r="A1124" s="65" t="str">
        <f>IFERROR(VLOOKUP('Informe Kelly'!A1117,Base!A:B,2,FALSE),"")</f>
        <v>20.342.651-8</v>
      </c>
      <c r="B1124" s="65" t="str">
        <f>IFERROR(VLOOKUP('Informe Kelly'!A1117,Base!A:G,7,FALSE),"")</f>
        <v>PEREZ SALAZAR CARLOS PATRICIO</v>
      </c>
      <c r="C1124" s="69" t="str">
        <f>IF(G1124=$C$4,IF('Informe Kelly'!H1117='Control informe Kelly'!$A$2,TEXT(((LEFT('Informe Kelly'!E1117,2)*1)+1),"dd")&amp;"."&amp;MID('Informe Kelly'!E1117,4,2)&amp;"."&amp;RIGHT('Informe Kelly'!E1117,4),'Informe Kelly'!E1117),'Informe Kelly'!E1117)</f>
        <v>15.04.2011</v>
      </c>
      <c r="D1124" s="69" t="str">
        <f>IF('Informe Kelly'!E1117="","",'Informe Kelly'!E1117)</f>
        <v>15.04.2011</v>
      </c>
      <c r="E1124" s="72">
        <f t="shared" si="35"/>
        <v>573</v>
      </c>
      <c r="F1124" s="72" t="str">
        <f>IFERROR(HLOOKUP(C1124,Ingreso!$Q$8:$AD$9,2,FALSE),"v")</f>
        <v>Viernes</v>
      </c>
      <c r="G1124" s="65" t="str">
        <f>IFERROR(VLOOKUP(A1124,Ingreso!K:P,6,FALSE),"no esta ingresado")</f>
        <v>no esta ingresado</v>
      </c>
      <c r="H1124" s="65" t="str">
        <f>IFERROR(IF('Informe Kelly'!H1117=$A$2,'Informe Kelly'!F1117,""),0)</f>
        <v/>
      </c>
      <c r="I1124" s="65">
        <f>IFERROR(IF('Informe Kelly'!H1117=$A$3,'Informe Kelly'!F1117,""),0)</f>
        <v>0.937962962962963</v>
      </c>
      <c r="J1124" s="65" t="str">
        <f>IF(IFERROR(IF(E1124=E1123,0,(HLOOKUP(D1124,Ingreso!$AN$10:$AT$260,VLOOKUP(A1124,Ingreso!$AL$11:$AM$260,2,FALSE)))/24),0)=0,"",IFERROR(IF(E1124=E1123,0,(HLOOKUP(D1124,Ingreso!$AN$10:$AT$260,VLOOKUP(A1124,Ingreso!$AL$11:$AM$260,2,FALSE)))/24),0))</f>
        <v/>
      </c>
      <c r="K1124" s="65" t="str">
        <f>IF(IFERROR(IF(E1124=E1123,0,(HLOOKUP(C1124,Ingreso!$AW$10:$BC$260,VLOOKUP(A1124,Ingreso!$AL$11:$AM$260,2,FALSE)))/24),0)=0,"",IFERROR(IF(E1124=E1123,0,(HLOOKUP(C1124,Ingreso!$AW$10:$BC$260,VLOOKUP(A1124,Ingreso!$AL$11:$AM$260,2,FALSE)))/24),0))</f>
        <v/>
      </c>
      <c r="L1124" s="63" t="str">
        <f t="shared" si="34"/>
        <v/>
      </c>
      <c r="M1124" s="63" t="str">
        <f>IF(IFERROR(IF(C1124=C1122,0,IF(E1124=E1123,0,IF(C1124=$R$2,HLOOKUP($R$2,Ingreso!$AW$10:$BC$260,VLOOKUP(A1124,Ingreso!AL:AM,2,FALSE),FALSE)/24,""))),"")=0,"",IFERROR(IF(C1124=C1122,0,IF(E1124=E1123,0,IF(C1124=$R$2,HLOOKUP($R$2,Ingreso!$AW$10:$BC$260,VLOOKUP(A1124,Ingreso!AL:AM,2,FALSE),FALSE)/24,""))),""))</f>
        <v/>
      </c>
      <c r="N1124" s="95" t="str">
        <f>IF(IFERROR(IF(C1124=C1122,0,IF(E1124=E1123,0,IF(C1124=$R$3,HLOOKUP($R$3,Ingreso!$AW$10:$BC$260,VLOOKUP(A1124,Ingreso!AL:AM,2,FALSE),FALSE)/24,""))),"")=0,"",IFERROR(IF(C1124=C1122,0,IF(E1124=E1123,0,IF(C1124=$R$3,HLOOKUP($R$3,Ingreso!$AW$10:$BC$260,VLOOKUP(A1124,Ingreso!AL:AM,2,FALSE),FALSE)/24,""))),""))</f>
        <v/>
      </c>
      <c r="O1124" s="95" t="str">
        <f>IF(IFERROR(IF(C1124=C1122,0,IF(E1124=E1123,0,IF(C1124=$R$4,HLOOKUP($R$4,Ingreso!$AW$10:$BC$260,VLOOKUP(A1124,Ingreso!AL:AM,2,FALSE),FALSE)/24,""))),"")=0,"",IFERROR(IF(C1124=C1122,0,IF(E1124=E1123,0,IF(C1124=$R$4,HLOOKUP($R$4,Ingreso!$AW$10:$BC$260,VLOOKUP(A1124,Ingreso!AL:AM,2,FALSE),FALSE)/24,""))),""))</f>
        <v/>
      </c>
      <c r="P1124" s="90"/>
      <c r="V1124"/>
      <c r="W1124" s="62"/>
      <c r="X1124" s="62"/>
      <c r="Y1124" s="62"/>
      <c r="Z1124" s="62"/>
      <c r="AA1124" s="62"/>
      <c r="AB1124" s="62"/>
      <c r="AC1124" s="62"/>
    </row>
    <row r="1125" spans="1:29">
      <c r="A1125" s="65" t="str">
        <f>IFERROR(VLOOKUP('Informe Kelly'!A1118,Base!A:B,2,FALSE),"")</f>
        <v>20.342.651-8</v>
      </c>
      <c r="B1125" s="65" t="str">
        <f>IFERROR(VLOOKUP('Informe Kelly'!A1118,Base!A:G,7,FALSE),"")</f>
        <v>PEREZ SALAZAR CARLOS PATRICIO</v>
      </c>
      <c r="C1125" s="69" t="str">
        <f>IF(G1125=$C$4,IF('Informe Kelly'!H1118='Control informe Kelly'!$A$2,TEXT(((LEFT('Informe Kelly'!E1118,2)*1)+1),"dd")&amp;"."&amp;MID('Informe Kelly'!E1118,4,2)&amp;"."&amp;RIGHT('Informe Kelly'!E1118,4),'Informe Kelly'!E1118),'Informe Kelly'!E1118)</f>
        <v>15.04.2011</v>
      </c>
      <c r="D1125" s="69" t="str">
        <f>IF('Informe Kelly'!E1118="","",'Informe Kelly'!E1118)</f>
        <v>15.04.2011</v>
      </c>
      <c r="E1125" s="72">
        <f t="shared" si="35"/>
        <v>573</v>
      </c>
      <c r="F1125" s="72" t="str">
        <f>IFERROR(HLOOKUP(C1125,Ingreso!$Q$8:$AD$9,2,FALSE),"v")</f>
        <v>Viernes</v>
      </c>
      <c r="G1125" s="65" t="str">
        <f>IFERROR(VLOOKUP(A1125,Ingreso!K:P,6,FALSE),"no esta ingresado")</f>
        <v>no esta ingresado</v>
      </c>
      <c r="H1125" s="65">
        <f>IFERROR(IF('Informe Kelly'!H1118=$A$2,'Informe Kelly'!F1118,""),0)</f>
        <v>0.6083101851851852</v>
      </c>
      <c r="I1125" s="65" t="str">
        <f>IFERROR(IF('Informe Kelly'!H1118=$A$3,'Informe Kelly'!F1118,""),0)</f>
        <v/>
      </c>
      <c r="J1125" s="65" t="str">
        <f>IF(IFERROR(IF(E1125=E1124,0,(HLOOKUP(D1125,Ingreso!$AN$10:$AT$260,VLOOKUP(A1125,Ingreso!$AL$11:$AM$260,2,FALSE)))/24),0)=0,"",IFERROR(IF(E1125=E1124,0,(HLOOKUP(D1125,Ingreso!$AN$10:$AT$260,VLOOKUP(A1125,Ingreso!$AL$11:$AM$260,2,FALSE)))/24),0))</f>
        <v/>
      </c>
      <c r="K1125" s="65" t="str">
        <f>IF(IFERROR(IF(E1125=E1124,0,(HLOOKUP(C1125,Ingreso!$AW$10:$BC$260,VLOOKUP(A1125,Ingreso!$AL$11:$AM$260,2,FALSE)))/24),0)=0,"",IFERROR(IF(E1125=E1124,0,(HLOOKUP(C1125,Ingreso!$AW$10:$BC$260,VLOOKUP(A1125,Ingreso!$AL$11:$AM$260,2,FALSE)))/24),0))</f>
        <v/>
      </c>
      <c r="L1125" s="63">
        <f t="shared" si="34"/>
        <v>0</v>
      </c>
      <c r="M1125" s="63" t="str">
        <f>IF(IFERROR(IF(C1125=C1123,0,IF(E1125=E1124,0,IF(C1125=$R$2,HLOOKUP($R$2,Ingreso!$AW$10:$BC$260,VLOOKUP(A1125,Ingreso!AL:AM,2,FALSE),FALSE)/24,""))),"")=0,"",IFERROR(IF(C1125=C1123,0,IF(E1125=E1124,0,IF(C1125=$R$2,HLOOKUP($R$2,Ingreso!$AW$10:$BC$260,VLOOKUP(A1125,Ingreso!AL:AM,2,FALSE),FALSE)/24,""))),""))</f>
        <v/>
      </c>
      <c r="N1125" s="95" t="str">
        <f>IF(IFERROR(IF(C1125=C1123,0,IF(E1125=E1124,0,IF(C1125=$R$3,HLOOKUP($R$3,Ingreso!$AW$10:$BC$260,VLOOKUP(A1125,Ingreso!AL:AM,2,FALSE),FALSE)/24,""))),"")=0,"",IFERROR(IF(C1125=C1123,0,IF(E1125=E1124,0,IF(C1125=$R$3,HLOOKUP($R$3,Ingreso!$AW$10:$BC$260,VLOOKUP(A1125,Ingreso!AL:AM,2,FALSE),FALSE)/24,""))),""))</f>
        <v/>
      </c>
      <c r="O1125" s="95" t="str">
        <f>IF(IFERROR(IF(C1125=C1123,0,IF(E1125=E1124,0,IF(C1125=$R$4,HLOOKUP($R$4,Ingreso!$AW$10:$BC$260,VLOOKUP(A1125,Ingreso!AL:AM,2,FALSE),FALSE)/24,""))),"")=0,"",IFERROR(IF(C1125=C1123,0,IF(E1125=E1124,0,IF(C1125=$R$4,HLOOKUP($R$4,Ingreso!$AW$10:$BC$260,VLOOKUP(A1125,Ingreso!AL:AM,2,FALSE),FALSE)/24,""))),""))</f>
        <v/>
      </c>
      <c r="P1125" s="90"/>
      <c r="V1125"/>
      <c r="W1125" s="62"/>
      <c r="X1125" s="62"/>
      <c r="Y1125" s="62"/>
      <c r="Z1125" s="62"/>
      <c r="AA1125" s="62"/>
      <c r="AB1125" s="62"/>
      <c r="AC1125" s="62"/>
    </row>
    <row r="1126" spans="1:29">
      <c r="A1126" s="65" t="str">
        <f>IFERROR(VLOOKUP('Informe Kelly'!A1119,Base!A:B,2,FALSE),"")</f>
        <v>20.342.651-8</v>
      </c>
      <c r="B1126" s="65" t="str">
        <f>IFERROR(VLOOKUP('Informe Kelly'!A1119,Base!A:G,7,FALSE),"")</f>
        <v>PEREZ SALAZAR CARLOS PATRICIO</v>
      </c>
      <c r="C1126" s="69" t="str">
        <f>IF(G1126=$C$4,IF('Informe Kelly'!H1119='Control informe Kelly'!$A$2,TEXT(((LEFT('Informe Kelly'!E1119,2)*1)+1),"dd")&amp;"."&amp;MID('Informe Kelly'!E1119,4,2)&amp;"."&amp;RIGHT('Informe Kelly'!E1119,4),'Informe Kelly'!E1119),'Informe Kelly'!E1119)</f>
        <v>16.04.2011</v>
      </c>
      <c r="D1126" s="69" t="str">
        <f>IF('Informe Kelly'!E1119="","",'Informe Kelly'!E1119)</f>
        <v>16.04.2011</v>
      </c>
      <c r="E1126" s="72">
        <f t="shared" si="35"/>
        <v>574</v>
      </c>
      <c r="F1126" s="72" t="str">
        <f>IFERROR(HLOOKUP(C1126,Ingreso!$Q$8:$AD$9,2,FALSE),"v")</f>
        <v>Sábado</v>
      </c>
      <c r="G1126" s="65" t="str">
        <f>IFERROR(VLOOKUP(A1126,Ingreso!K:P,6,FALSE),"no esta ingresado")</f>
        <v>no esta ingresado</v>
      </c>
      <c r="H1126" s="65" t="str">
        <f>IFERROR(IF('Informe Kelly'!H1119=$A$2,'Informe Kelly'!F1119,""),0)</f>
        <v/>
      </c>
      <c r="I1126" s="65">
        <f>IFERROR(IF('Informe Kelly'!H1119=$A$3,'Informe Kelly'!F1119,""),0)</f>
        <v>0.93831018518518527</v>
      </c>
      <c r="J1126" s="65" t="str">
        <f>IF(IFERROR(IF(E1126=E1125,0,(HLOOKUP(D1126,Ingreso!$AN$10:$AT$260,VLOOKUP(A1126,Ingreso!$AL$11:$AM$260,2,FALSE)))/24),0)=0,"",IFERROR(IF(E1126=E1125,0,(HLOOKUP(D1126,Ingreso!$AN$10:$AT$260,VLOOKUP(A1126,Ingreso!$AL$11:$AM$260,2,FALSE)))/24),0))</f>
        <v/>
      </c>
      <c r="K1126" s="65" t="str">
        <f>IF(IFERROR(IF(E1126=E1125,0,(HLOOKUP(C1126,Ingreso!$AW$10:$BC$260,VLOOKUP(A1126,Ingreso!$AL$11:$AM$260,2,FALSE)))/24),0)=0,"",IFERROR(IF(E1126=E1125,0,(HLOOKUP(C1126,Ingreso!$AW$10:$BC$260,VLOOKUP(A1126,Ingreso!$AL$11:$AM$260,2,FALSE)))/24),0))</f>
        <v/>
      </c>
      <c r="L1126" s="63" t="str">
        <f t="shared" si="34"/>
        <v/>
      </c>
      <c r="M1126" s="63" t="str">
        <f>IF(IFERROR(IF(C1126=C1124,0,IF(E1126=E1125,0,IF(C1126=$R$2,HLOOKUP($R$2,Ingreso!$AW$10:$BC$260,VLOOKUP(A1126,Ingreso!AL:AM,2,FALSE),FALSE)/24,""))),"")=0,"",IFERROR(IF(C1126=C1124,0,IF(E1126=E1125,0,IF(C1126=$R$2,HLOOKUP($R$2,Ingreso!$AW$10:$BC$260,VLOOKUP(A1126,Ingreso!AL:AM,2,FALSE),FALSE)/24,""))),""))</f>
        <v/>
      </c>
      <c r="N1126" s="95" t="str">
        <f>IF(IFERROR(IF(C1126=C1124,0,IF(E1126=E1125,0,IF(C1126=$R$3,HLOOKUP($R$3,Ingreso!$AW$10:$BC$260,VLOOKUP(A1126,Ingreso!AL:AM,2,FALSE),FALSE)/24,""))),"")=0,"",IFERROR(IF(C1126=C1124,0,IF(E1126=E1125,0,IF(C1126=$R$3,HLOOKUP($R$3,Ingreso!$AW$10:$BC$260,VLOOKUP(A1126,Ingreso!AL:AM,2,FALSE),FALSE)/24,""))),""))</f>
        <v/>
      </c>
      <c r="O1126" s="95" t="str">
        <f>IF(IFERROR(IF(C1126=C1124,0,IF(E1126=E1125,0,IF(C1126=$R$4,HLOOKUP($R$4,Ingreso!$AW$10:$BC$260,VLOOKUP(A1126,Ingreso!AL:AM,2,FALSE),FALSE)/24,""))),"")=0,"",IFERROR(IF(C1126=C1124,0,IF(E1126=E1125,0,IF(C1126=$R$4,HLOOKUP($R$4,Ingreso!$AW$10:$BC$260,VLOOKUP(A1126,Ingreso!AL:AM,2,FALSE),FALSE)/24,""))),""))</f>
        <v/>
      </c>
      <c r="P1126" s="90"/>
      <c r="V1126"/>
      <c r="W1126" s="62"/>
      <c r="X1126" s="62"/>
      <c r="Y1126" s="62"/>
      <c r="Z1126" s="62"/>
      <c r="AA1126" s="62"/>
      <c r="AB1126" s="62"/>
      <c r="AC1126" s="62"/>
    </row>
    <row r="1127" spans="1:29">
      <c r="A1127" s="65" t="str">
        <f>IFERROR(VLOOKUP('Informe Kelly'!A1120,Base!A:B,2,FALSE),"")</f>
        <v>20.342.651-8</v>
      </c>
      <c r="B1127" s="65" t="str">
        <f>IFERROR(VLOOKUP('Informe Kelly'!A1120,Base!A:G,7,FALSE),"")</f>
        <v>PEREZ SALAZAR CARLOS PATRICIO</v>
      </c>
      <c r="C1127" s="69" t="str">
        <f>IF(G1127=$C$4,IF('Informe Kelly'!H1120='Control informe Kelly'!$A$2,TEXT(((LEFT('Informe Kelly'!E1120,2)*1)+1),"dd")&amp;"."&amp;MID('Informe Kelly'!E1120,4,2)&amp;"."&amp;RIGHT('Informe Kelly'!E1120,4),'Informe Kelly'!E1120),'Informe Kelly'!E1120)</f>
        <v>16.04.2011</v>
      </c>
      <c r="D1127" s="69" t="str">
        <f>IF('Informe Kelly'!E1120="","",'Informe Kelly'!E1120)</f>
        <v>16.04.2011</v>
      </c>
      <c r="E1127" s="72">
        <f t="shared" si="35"/>
        <v>574</v>
      </c>
      <c r="F1127" s="72" t="str">
        <f>IFERROR(HLOOKUP(C1127,Ingreso!$Q$8:$AD$9,2,FALSE),"v")</f>
        <v>Sábado</v>
      </c>
      <c r="G1127" s="65" t="str">
        <f>IFERROR(VLOOKUP(A1127,Ingreso!K:P,6,FALSE),"no esta ingresado")</f>
        <v>no esta ingresado</v>
      </c>
      <c r="H1127" s="65">
        <f>IFERROR(IF('Informe Kelly'!H1120=$A$2,'Informe Kelly'!F1120,""),0)</f>
        <v>0.61995370370370373</v>
      </c>
      <c r="I1127" s="65" t="str">
        <f>IFERROR(IF('Informe Kelly'!H1120=$A$3,'Informe Kelly'!F1120,""),0)</f>
        <v/>
      </c>
      <c r="J1127" s="65" t="str">
        <f>IF(IFERROR(IF(E1127=E1126,0,(HLOOKUP(D1127,Ingreso!$AN$10:$AT$260,VLOOKUP(A1127,Ingreso!$AL$11:$AM$260,2,FALSE)))/24),0)=0,"",IFERROR(IF(E1127=E1126,0,(HLOOKUP(D1127,Ingreso!$AN$10:$AT$260,VLOOKUP(A1127,Ingreso!$AL$11:$AM$260,2,FALSE)))/24),0))</f>
        <v/>
      </c>
      <c r="K1127" s="65" t="str">
        <f>IF(IFERROR(IF(E1127=E1126,0,(HLOOKUP(C1127,Ingreso!$AW$10:$BC$260,VLOOKUP(A1127,Ingreso!$AL$11:$AM$260,2,FALSE)))/24),0)=0,"",IFERROR(IF(E1127=E1126,0,(HLOOKUP(C1127,Ingreso!$AW$10:$BC$260,VLOOKUP(A1127,Ingreso!$AL$11:$AM$260,2,FALSE)))/24),0))</f>
        <v/>
      </c>
      <c r="L1127" s="63">
        <f t="shared" si="34"/>
        <v>0</v>
      </c>
      <c r="M1127" s="63" t="str">
        <f>IF(IFERROR(IF(C1127=C1125,0,IF(E1127=E1126,0,IF(C1127=$R$2,HLOOKUP($R$2,Ingreso!$AW$10:$BC$260,VLOOKUP(A1127,Ingreso!AL:AM,2,FALSE),FALSE)/24,""))),"")=0,"",IFERROR(IF(C1127=C1125,0,IF(E1127=E1126,0,IF(C1127=$R$2,HLOOKUP($R$2,Ingreso!$AW$10:$BC$260,VLOOKUP(A1127,Ingreso!AL:AM,2,FALSE),FALSE)/24,""))),""))</f>
        <v/>
      </c>
      <c r="N1127" s="95" t="str">
        <f>IF(IFERROR(IF(C1127=C1125,0,IF(E1127=E1126,0,IF(C1127=$R$3,HLOOKUP($R$3,Ingreso!$AW$10:$BC$260,VLOOKUP(A1127,Ingreso!AL:AM,2,FALSE),FALSE)/24,""))),"")=0,"",IFERROR(IF(C1127=C1125,0,IF(E1127=E1126,0,IF(C1127=$R$3,HLOOKUP($R$3,Ingreso!$AW$10:$BC$260,VLOOKUP(A1127,Ingreso!AL:AM,2,FALSE),FALSE)/24,""))),""))</f>
        <v/>
      </c>
      <c r="O1127" s="95" t="str">
        <f>IF(IFERROR(IF(C1127=C1125,0,IF(E1127=E1126,0,IF(C1127=$R$4,HLOOKUP($R$4,Ingreso!$AW$10:$BC$260,VLOOKUP(A1127,Ingreso!AL:AM,2,FALSE),FALSE)/24,""))),"")=0,"",IFERROR(IF(C1127=C1125,0,IF(E1127=E1126,0,IF(C1127=$R$4,HLOOKUP($R$4,Ingreso!$AW$10:$BC$260,VLOOKUP(A1127,Ingreso!AL:AM,2,FALSE),FALSE)/24,""))),""))</f>
        <v/>
      </c>
      <c r="P1127" s="90"/>
      <c r="V1127"/>
      <c r="W1127" s="62"/>
      <c r="X1127" s="62"/>
      <c r="Y1127" s="62"/>
      <c r="Z1127" s="62"/>
      <c r="AA1127" s="62"/>
      <c r="AB1127" s="62"/>
      <c r="AC1127" s="62"/>
    </row>
    <row r="1128" spans="1:29">
      <c r="A1128" s="65" t="str">
        <f>IFERROR(VLOOKUP('Informe Kelly'!A1121,Base!A:B,2,FALSE),"")</f>
        <v>22.637.242-3</v>
      </c>
      <c r="B1128" s="65" t="str">
        <f>IFERROR(VLOOKUP('Informe Kelly'!A1121,Base!A:G,7,FALSE),"")</f>
        <v>ALVAREZ CONTRERAS MARISOL</v>
      </c>
      <c r="C1128" s="69" t="str">
        <f>IF(G1128=$C$4,IF('Informe Kelly'!H1121='Control informe Kelly'!$A$2,TEXT(((LEFT('Informe Kelly'!E1121,2)*1)+1),"dd")&amp;"."&amp;MID('Informe Kelly'!E1121,4,2)&amp;"."&amp;RIGHT('Informe Kelly'!E1121,4),'Informe Kelly'!E1121),'Informe Kelly'!E1121)</f>
        <v>11.04.2011</v>
      </c>
      <c r="D1128" s="69" t="str">
        <f>IF('Informe Kelly'!E1121="","",'Informe Kelly'!E1121)</f>
        <v>11.04.2011</v>
      </c>
      <c r="E1128" s="72">
        <f t="shared" si="35"/>
        <v>575</v>
      </c>
      <c r="F1128" s="72" t="str">
        <f>IFERROR(HLOOKUP(C1128,Ingreso!$Q$8:$AD$9,2,FALSE),"v")</f>
        <v>Lunes</v>
      </c>
      <c r="G1128" s="65" t="str">
        <f>IFERROR(VLOOKUP(A1128,Ingreso!K:P,6,FALSE),"no esta ingresado")</f>
        <v>no esta ingresado</v>
      </c>
      <c r="H1128" s="65" t="str">
        <f>IFERROR(IF('Informe Kelly'!H1121=$A$2,'Informe Kelly'!F1121,""),0)</f>
        <v/>
      </c>
      <c r="I1128" s="65">
        <f>IFERROR(IF('Informe Kelly'!H1121=$A$3,'Informe Kelly'!F1121,""),0)</f>
        <v>0.77098379629629632</v>
      </c>
      <c r="J1128" s="65" t="str">
        <f>IF(IFERROR(IF(E1128=E1127,0,(HLOOKUP(D1128,Ingreso!$AN$10:$AT$260,VLOOKUP(A1128,Ingreso!$AL$11:$AM$260,2,FALSE)))/24),0)=0,"",IFERROR(IF(E1128=E1127,0,(HLOOKUP(D1128,Ingreso!$AN$10:$AT$260,VLOOKUP(A1128,Ingreso!$AL$11:$AM$260,2,FALSE)))/24),0))</f>
        <v/>
      </c>
      <c r="K1128" s="65" t="str">
        <f>IF(IFERROR(IF(E1128=E1127,0,(HLOOKUP(C1128,Ingreso!$AW$10:$BC$260,VLOOKUP(A1128,Ingreso!$AL$11:$AM$260,2,FALSE)))/24),0)=0,"",IFERROR(IF(E1128=E1127,0,(HLOOKUP(C1128,Ingreso!$AW$10:$BC$260,VLOOKUP(A1128,Ingreso!$AL$11:$AM$260,2,FALSE)))/24),0))</f>
        <v/>
      </c>
      <c r="L1128" s="63" t="str">
        <f t="shared" si="34"/>
        <v/>
      </c>
      <c r="M1128" s="63" t="str">
        <f>IF(IFERROR(IF(C1128=C1126,0,IF(E1128=E1127,0,IF(C1128=$R$2,HLOOKUP($R$2,Ingreso!$AW$10:$BC$260,VLOOKUP(A1128,Ingreso!AL:AM,2,FALSE),FALSE)/24,""))),"")=0,"",IFERROR(IF(C1128=C1126,0,IF(E1128=E1127,0,IF(C1128=$R$2,HLOOKUP($R$2,Ingreso!$AW$10:$BC$260,VLOOKUP(A1128,Ingreso!AL:AM,2,FALSE),FALSE)/24,""))),""))</f>
        <v/>
      </c>
      <c r="N1128" s="95" t="str">
        <f>IF(IFERROR(IF(C1128=C1126,0,IF(E1128=E1127,0,IF(C1128=$R$3,HLOOKUP($R$3,Ingreso!$AW$10:$BC$260,VLOOKUP(A1128,Ingreso!AL:AM,2,FALSE),FALSE)/24,""))),"")=0,"",IFERROR(IF(C1128=C1126,0,IF(E1128=E1127,0,IF(C1128=$R$3,HLOOKUP($R$3,Ingreso!$AW$10:$BC$260,VLOOKUP(A1128,Ingreso!AL:AM,2,FALSE),FALSE)/24,""))),""))</f>
        <v/>
      </c>
      <c r="O1128" s="95" t="str">
        <f>IF(IFERROR(IF(C1128=C1126,0,IF(E1128=E1127,0,IF(C1128=$R$4,HLOOKUP($R$4,Ingreso!$AW$10:$BC$260,VLOOKUP(A1128,Ingreso!AL:AM,2,FALSE),FALSE)/24,""))),"")=0,"",IFERROR(IF(C1128=C1126,0,IF(E1128=E1127,0,IF(C1128=$R$4,HLOOKUP($R$4,Ingreso!$AW$10:$BC$260,VLOOKUP(A1128,Ingreso!AL:AM,2,FALSE),FALSE)/24,""))),""))</f>
        <v/>
      </c>
      <c r="P1128" s="90"/>
      <c r="V1128"/>
      <c r="W1128" s="62"/>
      <c r="X1128" s="62"/>
      <c r="Y1128" s="62"/>
      <c r="Z1128" s="62"/>
      <c r="AA1128" s="62"/>
      <c r="AB1128" s="62"/>
      <c r="AC1128" s="62"/>
    </row>
    <row r="1129" spans="1:29">
      <c r="A1129" s="65" t="str">
        <f>IFERROR(VLOOKUP('Informe Kelly'!A1122,Base!A:B,2,FALSE),"")</f>
        <v>22.637.242-3</v>
      </c>
      <c r="B1129" s="65" t="str">
        <f>IFERROR(VLOOKUP('Informe Kelly'!A1122,Base!A:G,7,FALSE),"")</f>
        <v>ALVAREZ CONTRERAS MARISOL</v>
      </c>
      <c r="C1129" s="69" t="str">
        <f>IF(G1129=$C$4,IF('Informe Kelly'!H1122='Control informe Kelly'!$A$2,TEXT(((LEFT('Informe Kelly'!E1122,2)*1)+1),"dd")&amp;"."&amp;MID('Informe Kelly'!E1122,4,2)&amp;"."&amp;RIGHT('Informe Kelly'!E1122,4),'Informe Kelly'!E1122),'Informe Kelly'!E1122)</f>
        <v>11.04.2011</v>
      </c>
      <c r="D1129" s="69" t="str">
        <f>IF('Informe Kelly'!E1122="","",'Informe Kelly'!E1122)</f>
        <v>11.04.2011</v>
      </c>
      <c r="E1129" s="72">
        <f t="shared" si="35"/>
        <v>575</v>
      </c>
      <c r="F1129" s="72" t="str">
        <f>IFERROR(HLOOKUP(C1129,Ingreso!$Q$8:$AD$9,2,FALSE),"v")</f>
        <v>Lunes</v>
      </c>
      <c r="G1129" s="65" t="str">
        <f>IFERROR(VLOOKUP(A1129,Ingreso!K:P,6,FALSE),"no esta ingresado")</f>
        <v>no esta ingresado</v>
      </c>
      <c r="H1129" s="65">
        <f>IFERROR(IF('Informe Kelly'!H1122=$A$2,'Informe Kelly'!F1122,""),0)</f>
        <v>0.34650462962962963</v>
      </c>
      <c r="I1129" s="65" t="str">
        <f>IFERROR(IF('Informe Kelly'!H1122=$A$3,'Informe Kelly'!F1122,""),0)</f>
        <v/>
      </c>
      <c r="J1129" s="65" t="str">
        <f>IF(IFERROR(IF(E1129=E1128,0,(HLOOKUP(D1129,Ingreso!$AN$10:$AT$260,VLOOKUP(A1129,Ingreso!$AL$11:$AM$260,2,FALSE)))/24),0)=0,"",IFERROR(IF(E1129=E1128,0,(HLOOKUP(D1129,Ingreso!$AN$10:$AT$260,VLOOKUP(A1129,Ingreso!$AL$11:$AM$260,2,FALSE)))/24),0))</f>
        <v/>
      </c>
      <c r="K1129" s="65" t="str">
        <f>IF(IFERROR(IF(E1129=E1128,0,(HLOOKUP(C1129,Ingreso!$AW$10:$BC$260,VLOOKUP(A1129,Ingreso!$AL$11:$AM$260,2,FALSE)))/24),0)=0,"",IFERROR(IF(E1129=E1128,0,(HLOOKUP(C1129,Ingreso!$AW$10:$BC$260,VLOOKUP(A1129,Ingreso!$AL$11:$AM$260,2,FALSE)))/24),0))</f>
        <v/>
      </c>
      <c r="L1129" s="63">
        <f t="shared" si="34"/>
        <v>0</v>
      </c>
      <c r="M1129" s="63" t="str">
        <f>IF(IFERROR(IF(C1129=C1127,0,IF(E1129=E1128,0,IF(C1129=$R$2,HLOOKUP($R$2,Ingreso!$AW$10:$BC$260,VLOOKUP(A1129,Ingreso!AL:AM,2,FALSE),FALSE)/24,""))),"")=0,"",IFERROR(IF(C1129=C1127,0,IF(E1129=E1128,0,IF(C1129=$R$2,HLOOKUP($R$2,Ingreso!$AW$10:$BC$260,VLOOKUP(A1129,Ingreso!AL:AM,2,FALSE),FALSE)/24,""))),""))</f>
        <v/>
      </c>
      <c r="N1129" s="95" t="str">
        <f>IF(IFERROR(IF(C1129=C1127,0,IF(E1129=E1128,0,IF(C1129=$R$3,HLOOKUP($R$3,Ingreso!$AW$10:$BC$260,VLOOKUP(A1129,Ingreso!AL:AM,2,FALSE),FALSE)/24,""))),"")=0,"",IFERROR(IF(C1129=C1127,0,IF(E1129=E1128,0,IF(C1129=$R$3,HLOOKUP($R$3,Ingreso!$AW$10:$BC$260,VLOOKUP(A1129,Ingreso!AL:AM,2,FALSE),FALSE)/24,""))),""))</f>
        <v/>
      </c>
      <c r="O1129" s="95" t="str">
        <f>IF(IFERROR(IF(C1129=C1127,0,IF(E1129=E1128,0,IF(C1129=$R$4,HLOOKUP($R$4,Ingreso!$AW$10:$BC$260,VLOOKUP(A1129,Ingreso!AL:AM,2,FALSE),FALSE)/24,""))),"")=0,"",IFERROR(IF(C1129=C1127,0,IF(E1129=E1128,0,IF(C1129=$R$4,HLOOKUP($R$4,Ingreso!$AW$10:$BC$260,VLOOKUP(A1129,Ingreso!AL:AM,2,FALSE),FALSE)/24,""))),""))</f>
        <v/>
      </c>
      <c r="P1129" s="90"/>
      <c r="V1129"/>
      <c r="W1129" s="62"/>
      <c r="X1129" s="62"/>
      <c r="Y1129" s="62"/>
      <c r="Z1129" s="62"/>
      <c r="AA1129" s="62"/>
      <c r="AB1129" s="62"/>
      <c r="AC1129" s="62"/>
    </row>
    <row r="1130" spans="1:29">
      <c r="A1130" s="65" t="str">
        <f>IFERROR(VLOOKUP('Informe Kelly'!A1123,Base!A:B,2,FALSE),"")</f>
        <v>22.637.242-3</v>
      </c>
      <c r="B1130" s="65" t="str">
        <f>IFERROR(VLOOKUP('Informe Kelly'!A1123,Base!A:G,7,FALSE),"")</f>
        <v>ALVAREZ CONTRERAS MARISOL</v>
      </c>
      <c r="C1130" s="69" t="str">
        <f>IF(G1130=$C$4,IF('Informe Kelly'!H1123='Control informe Kelly'!$A$2,TEXT(((LEFT('Informe Kelly'!E1123,2)*1)+1),"dd")&amp;"."&amp;MID('Informe Kelly'!E1123,4,2)&amp;"."&amp;RIGHT('Informe Kelly'!E1123,4),'Informe Kelly'!E1123),'Informe Kelly'!E1123)</f>
        <v>12.04.2011</v>
      </c>
      <c r="D1130" s="69" t="str">
        <f>IF('Informe Kelly'!E1123="","",'Informe Kelly'!E1123)</f>
        <v>12.04.2011</v>
      </c>
      <c r="E1130" s="72">
        <f t="shared" si="35"/>
        <v>576</v>
      </c>
      <c r="F1130" s="72" t="str">
        <f>IFERROR(HLOOKUP(C1130,Ingreso!$Q$8:$AD$9,2,FALSE),"v")</f>
        <v>Martes</v>
      </c>
      <c r="G1130" s="65" t="str">
        <f>IFERROR(VLOOKUP(A1130,Ingreso!K:P,6,FALSE),"no esta ingresado")</f>
        <v>no esta ingresado</v>
      </c>
      <c r="H1130" s="65" t="str">
        <f>IFERROR(IF('Informe Kelly'!H1123=$A$2,'Informe Kelly'!F1123,""),0)</f>
        <v/>
      </c>
      <c r="I1130" s="65">
        <f>IFERROR(IF('Informe Kelly'!H1123=$A$3,'Informe Kelly'!F1123,""),0)</f>
        <v>0.77341435185185192</v>
      </c>
      <c r="J1130" s="65" t="str">
        <f>IF(IFERROR(IF(E1130=E1129,0,(HLOOKUP(D1130,Ingreso!$AN$10:$AT$260,VLOOKUP(A1130,Ingreso!$AL$11:$AM$260,2,FALSE)))/24),0)=0,"",IFERROR(IF(E1130=E1129,0,(HLOOKUP(D1130,Ingreso!$AN$10:$AT$260,VLOOKUP(A1130,Ingreso!$AL$11:$AM$260,2,FALSE)))/24),0))</f>
        <v/>
      </c>
      <c r="K1130" s="65" t="str">
        <f>IF(IFERROR(IF(E1130=E1129,0,(HLOOKUP(C1130,Ingreso!$AW$10:$BC$260,VLOOKUP(A1130,Ingreso!$AL$11:$AM$260,2,FALSE)))/24),0)=0,"",IFERROR(IF(E1130=E1129,0,(HLOOKUP(C1130,Ingreso!$AW$10:$BC$260,VLOOKUP(A1130,Ingreso!$AL$11:$AM$260,2,FALSE)))/24),0))</f>
        <v/>
      </c>
      <c r="L1130" s="63" t="str">
        <f t="shared" si="34"/>
        <v/>
      </c>
      <c r="M1130" s="63" t="str">
        <f>IF(IFERROR(IF(C1130=C1128,0,IF(E1130=E1129,0,IF(C1130=$R$2,HLOOKUP($R$2,Ingreso!$AW$10:$BC$260,VLOOKUP(A1130,Ingreso!AL:AM,2,FALSE),FALSE)/24,""))),"")=0,"",IFERROR(IF(C1130=C1128,0,IF(E1130=E1129,0,IF(C1130=$R$2,HLOOKUP($R$2,Ingreso!$AW$10:$BC$260,VLOOKUP(A1130,Ingreso!AL:AM,2,FALSE),FALSE)/24,""))),""))</f>
        <v/>
      </c>
      <c r="N1130" s="95" t="str">
        <f>IF(IFERROR(IF(C1130=C1128,0,IF(E1130=E1129,0,IF(C1130=$R$3,HLOOKUP($R$3,Ingreso!$AW$10:$BC$260,VLOOKUP(A1130,Ingreso!AL:AM,2,FALSE),FALSE)/24,""))),"")=0,"",IFERROR(IF(C1130=C1128,0,IF(E1130=E1129,0,IF(C1130=$R$3,HLOOKUP($R$3,Ingreso!$AW$10:$BC$260,VLOOKUP(A1130,Ingreso!AL:AM,2,FALSE),FALSE)/24,""))),""))</f>
        <v/>
      </c>
      <c r="O1130" s="95" t="str">
        <f>IF(IFERROR(IF(C1130=C1128,0,IF(E1130=E1129,0,IF(C1130=$R$4,HLOOKUP($R$4,Ingreso!$AW$10:$BC$260,VLOOKUP(A1130,Ingreso!AL:AM,2,FALSE),FALSE)/24,""))),"")=0,"",IFERROR(IF(C1130=C1128,0,IF(E1130=E1129,0,IF(C1130=$R$4,HLOOKUP($R$4,Ingreso!$AW$10:$BC$260,VLOOKUP(A1130,Ingreso!AL:AM,2,FALSE),FALSE)/24,""))),""))</f>
        <v/>
      </c>
      <c r="P1130" s="90"/>
      <c r="V1130"/>
      <c r="W1130" s="62"/>
      <c r="X1130" s="62"/>
      <c r="Y1130" s="62"/>
      <c r="Z1130" s="62"/>
      <c r="AA1130" s="62"/>
      <c r="AB1130" s="62"/>
      <c r="AC1130" s="62"/>
    </row>
    <row r="1131" spans="1:29">
      <c r="A1131" s="65" t="str">
        <f>IFERROR(VLOOKUP('Informe Kelly'!A1124,Base!A:B,2,FALSE),"")</f>
        <v>22.637.242-3</v>
      </c>
      <c r="B1131" s="65" t="str">
        <f>IFERROR(VLOOKUP('Informe Kelly'!A1124,Base!A:G,7,FALSE),"")</f>
        <v>ALVAREZ CONTRERAS MARISOL</v>
      </c>
      <c r="C1131" s="69" t="str">
        <f>IF(G1131=$C$4,IF('Informe Kelly'!H1124='Control informe Kelly'!$A$2,TEXT(((LEFT('Informe Kelly'!E1124,2)*1)+1),"dd")&amp;"."&amp;MID('Informe Kelly'!E1124,4,2)&amp;"."&amp;RIGHT('Informe Kelly'!E1124,4),'Informe Kelly'!E1124),'Informe Kelly'!E1124)</f>
        <v>12.04.2011</v>
      </c>
      <c r="D1131" s="69" t="str">
        <f>IF('Informe Kelly'!E1124="","",'Informe Kelly'!E1124)</f>
        <v>12.04.2011</v>
      </c>
      <c r="E1131" s="72">
        <f t="shared" si="35"/>
        <v>576</v>
      </c>
      <c r="F1131" s="72" t="str">
        <f>IFERROR(HLOOKUP(C1131,Ingreso!$Q$8:$AD$9,2,FALSE),"v")</f>
        <v>Martes</v>
      </c>
      <c r="G1131" s="65" t="str">
        <f>IFERROR(VLOOKUP(A1131,Ingreso!K:P,6,FALSE),"no esta ingresado")</f>
        <v>no esta ingresado</v>
      </c>
      <c r="H1131" s="65">
        <f>IFERROR(IF('Informe Kelly'!H1124=$A$2,'Informe Kelly'!F1124,""),0)</f>
        <v>0.3404282407407408</v>
      </c>
      <c r="I1131" s="65" t="str">
        <f>IFERROR(IF('Informe Kelly'!H1124=$A$3,'Informe Kelly'!F1124,""),0)</f>
        <v/>
      </c>
      <c r="J1131" s="65" t="str">
        <f>IF(IFERROR(IF(E1131=E1130,0,(HLOOKUP(D1131,Ingreso!$AN$10:$AT$260,VLOOKUP(A1131,Ingreso!$AL$11:$AM$260,2,FALSE)))/24),0)=0,"",IFERROR(IF(E1131=E1130,0,(HLOOKUP(D1131,Ingreso!$AN$10:$AT$260,VLOOKUP(A1131,Ingreso!$AL$11:$AM$260,2,FALSE)))/24),0))</f>
        <v/>
      </c>
      <c r="K1131" s="65" t="str">
        <f>IF(IFERROR(IF(E1131=E1130,0,(HLOOKUP(C1131,Ingreso!$AW$10:$BC$260,VLOOKUP(A1131,Ingreso!$AL$11:$AM$260,2,FALSE)))/24),0)=0,"",IFERROR(IF(E1131=E1130,0,(HLOOKUP(C1131,Ingreso!$AW$10:$BC$260,VLOOKUP(A1131,Ingreso!$AL$11:$AM$260,2,FALSE)))/24),0))</f>
        <v/>
      </c>
      <c r="L1131" s="63">
        <f t="shared" si="34"/>
        <v>0</v>
      </c>
      <c r="M1131" s="63" t="str">
        <f>IF(IFERROR(IF(C1131=C1129,0,IF(E1131=E1130,0,IF(C1131=$R$2,HLOOKUP($R$2,Ingreso!$AW$10:$BC$260,VLOOKUP(A1131,Ingreso!AL:AM,2,FALSE),FALSE)/24,""))),"")=0,"",IFERROR(IF(C1131=C1129,0,IF(E1131=E1130,0,IF(C1131=$R$2,HLOOKUP($R$2,Ingreso!$AW$10:$BC$260,VLOOKUP(A1131,Ingreso!AL:AM,2,FALSE),FALSE)/24,""))),""))</f>
        <v/>
      </c>
      <c r="N1131" s="95" t="str">
        <f>IF(IFERROR(IF(C1131=C1129,0,IF(E1131=E1130,0,IF(C1131=$R$3,HLOOKUP($R$3,Ingreso!$AW$10:$BC$260,VLOOKUP(A1131,Ingreso!AL:AM,2,FALSE),FALSE)/24,""))),"")=0,"",IFERROR(IF(C1131=C1129,0,IF(E1131=E1130,0,IF(C1131=$R$3,HLOOKUP($R$3,Ingreso!$AW$10:$BC$260,VLOOKUP(A1131,Ingreso!AL:AM,2,FALSE),FALSE)/24,""))),""))</f>
        <v/>
      </c>
      <c r="O1131" s="95" t="str">
        <f>IF(IFERROR(IF(C1131=C1129,0,IF(E1131=E1130,0,IF(C1131=$R$4,HLOOKUP($R$4,Ingreso!$AW$10:$BC$260,VLOOKUP(A1131,Ingreso!AL:AM,2,FALSE),FALSE)/24,""))),"")=0,"",IFERROR(IF(C1131=C1129,0,IF(E1131=E1130,0,IF(C1131=$R$4,HLOOKUP($R$4,Ingreso!$AW$10:$BC$260,VLOOKUP(A1131,Ingreso!AL:AM,2,FALSE),FALSE)/24,""))),""))</f>
        <v/>
      </c>
      <c r="P1131" s="90"/>
      <c r="V1131"/>
      <c r="W1131" s="62"/>
      <c r="X1131" s="62"/>
      <c r="Y1131" s="62"/>
      <c r="Z1131" s="62"/>
      <c r="AA1131" s="62"/>
      <c r="AB1131" s="62"/>
      <c r="AC1131" s="62"/>
    </row>
    <row r="1132" spans="1:29">
      <c r="A1132" s="65" t="str">
        <f>IFERROR(VLOOKUP('Informe Kelly'!A1125,Base!A:B,2,FALSE),"")</f>
        <v>22.637.242-3</v>
      </c>
      <c r="B1132" s="65" t="str">
        <f>IFERROR(VLOOKUP('Informe Kelly'!A1125,Base!A:G,7,FALSE),"")</f>
        <v>ALVAREZ CONTRERAS MARISOL</v>
      </c>
      <c r="C1132" s="69" t="str">
        <f>IF(G1132=$C$4,IF('Informe Kelly'!H1125='Control informe Kelly'!$A$2,TEXT(((LEFT('Informe Kelly'!E1125,2)*1)+1),"dd")&amp;"."&amp;MID('Informe Kelly'!E1125,4,2)&amp;"."&amp;RIGHT('Informe Kelly'!E1125,4),'Informe Kelly'!E1125),'Informe Kelly'!E1125)</f>
        <v>13.04.2011</v>
      </c>
      <c r="D1132" s="69" t="str">
        <f>IF('Informe Kelly'!E1125="","",'Informe Kelly'!E1125)</f>
        <v>13.04.2011</v>
      </c>
      <c r="E1132" s="72">
        <f t="shared" si="35"/>
        <v>577</v>
      </c>
      <c r="F1132" s="72" t="str">
        <f>IFERROR(HLOOKUP(C1132,Ingreso!$Q$8:$AD$9,2,FALSE),"v")</f>
        <v>Miércoles</v>
      </c>
      <c r="G1132" s="65" t="str">
        <f>IFERROR(VLOOKUP(A1132,Ingreso!K:P,6,FALSE),"no esta ingresado")</f>
        <v>no esta ingresado</v>
      </c>
      <c r="H1132" s="65" t="str">
        <f>IFERROR(IF('Informe Kelly'!H1125=$A$2,'Informe Kelly'!F1125,""),0)</f>
        <v/>
      </c>
      <c r="I1132" s="65">
        <f>IFERROR(IF('Informe Kelly'!H1125=$A$3,'Informe Kelly'!F1125,""),0)</f>
        <v>0.77650462962962974</v>
      </c>
      <c r="J1132" s="65" t="str">
        <f>IF(IFERROR(IF(E1132=E1131,0,(HLOOKUP(D1132,Ingreso!$AN$10:$AT$260,VLOOKUP(A1132,Ingreso!$AL$11:$AM$260,2,FALSE)))/24),0)=0,"",IFERROR(IF(E1132=E1131,0,(HLOOKUP(D1132,Ingreso!$AN$10:$AT$260,VLOOKUP(A1132,Ingreso!$AL$11:$AM$260,2,FALSE)))/24),0))</f>
        <v/>
      </c>
      <c r="K1132" s="65" t="str">
        <f>IF(IFERROR(IF(E1132=E1131,0,(HLOOKUP(C1132,Ingreso!$AW$10:$BC$260,VLOOKUP(A1132,Ingreso!$AL$11:$AM$260,2,FALSE)))/24),0)=0,"",IFERROR(IF(E1132=E1131,0,(HLOOKUP(C1132,Ingreso!$AW$10:$BC$260,VLOOKUP(A1132,Ingreso!$AL$11:$AM$260,2,FALSE)))/24),0))</f>
        <v/>
      </c>
      <c r="L1132" s="63" t="str">
        <f t="shared" si="34"/>
        <v/>
      </c>
      <c r="M1132" s="63" t="str">
        <f>IF(IFERROR(IF(C1132=C1130,0,IF(E1132=E1131,0,IF(C1132=$R$2,HLOOKUP($R$2,Ingreso!$AW$10:$BC$260,VLOOKUP(A1132,Ingreso!AL:AM,2,FALSE),FALSE)/24,""))),"")=0,"",IFERROR(IF(C1132=C1130,0,IF(E1132=E1131,0,IF(C1132=$R$2,HLOOKUP($R$2,Ingreso!$AW$10:$BC$260,VLOOKUP(A1132,Ingreso!AL:AM,2,FALSE),FALSE)/24,""))),""))</f>
        <v/>
      </c>
      <c r="N1132" s="95" t="str">
        <f>IF(IFERROR(IF(C1132=C1130,0,IF(E1132=E1131,0,IF(C1132=$R$3,HLOOKUP($R$3,Ingreso!$AW$10:$BC$260,VLOOKUP(A1132,Ingreso!AL:AM,2,FALSE),FALSE)/24,""))),"")=0,"",IFERROR(IF(C1132=C1130,0,IF(E1132=E1131,0,IF(C1132=$R$3,HLOOKUP($R$3,Ingreso!$AW$10:$BC$260,VLOOKUP(A1132,Ingreso!AL:AM,2,FALSE),FALSE)/24,""))),""))</f>
        <v/>
      </c>
      <c r="O1132" s="95" t="str">
        <f>IF(IFERROR(IF(C1132=C1130,0,IF(E1132=E1131,0,IF(C1132=$R$4,HLOOKUP($R$4,Ingreso!$AW$10:$BC$260,VLOOKUP(A1132,Ingreso!AL:AM,2,FALSE),FALSE)/24,""))),"")=0,"",IFERROR(IF(C1132=C1130,0,IF(E1132=E1131,0,IF(C1132=$R$4,HLOOKUP($R$4,Ingreso!$AW$10:$BC$260,VLOOKUP(A1132,Ingreso!AL:AM,2,FALSE),FALSE)/24,""))),""))</f>
        <v/>
      </c>
      <c r="P1132" s="90"/>
      <c r="V1132"/>
      <c r="W1132" s="62"/>
      <c r="X1132" s="62"/>
      <c r="Y1132" s="62"/>
      <c r="Z1132" s="62"/>
      <c r="AA1132" s="62"/>
      <c r="AB1132" s="62"/>
      <c r="AC1132" s="62"/>
    </row>
    <row r="1133" spans="1:29">
      <c r="A1133" s="65" t="str">
        <f>IFERROR(VLOOKUP('Informe Kelly'!A1126,Base!A:B,2,FALSE),"")</f>
        <v>22.637.242-3</v>
      </c>
      <c r="B1133" s="65" t="str">
        <f>IFERROR(VLOOKUP('Informe Kelly'!A1126,Base!A:G,7,FALSE),"")</f>
        <v>ALVAREZ CONTRERAS MARISOL</v>
      </c>
      <c r="C1133" s="69" t="str">
        <f>IF(G1133=$C$4,IF('Informe Kelly'!H1126='Control informe Kelly'!$A$2,TEXT(((LEFT('Informe Kelly'!E1126,2)*1)+1),"dd")&amp;"."&amp;MID('Informe Kelly'!E1126,4,2)&amp;"."&amp;RIGHT('Informe Kelly'!E1126,4),'Informe Kelly'!E1126),'Informe Kelly'!E1126)</f>
        <v>13.04.2011</v>
      </c>
      <c r="D1133" s="69" t="str">
        <f>IF('Informe Kelly'!E1126="","",'Informe Kelly'!E1126)</f>
        <v>13.04.2011</v>
      </c>
      <c r="E1133" s="72">
        <f t="shared" si="35"/>
        <v>577</v>
      </c>
      <c r="F1133" s="72" t="str">
        <f>IFERROR(HLOOKUP(C1133,Ingreso!$Q$8:$AD$9,2,FALSE),"v")</f>
        <v>Miércoles</v>
      </c>
      <c r="G1133" s="65" t="str">
        <f>IFERROR(VLOOKUP(A1133,Ingreso!K:P,6,FALSE),"no esta ingresado")</f>
        <v>no esta ingresado</v>
      </c>
      <c r="H1133" s="65">
        <f>IFERROR(IF('Informe Kelly'!H1126=$A$2,'Informe Kelly'!F1126,""),0)</f>
        <v>0.34056712962962959</v>
      </c>
      <c r="I1133" s="65" t="str">
        <f>IFERROR(IF('Informe Kelly'!H1126=$A$3,'Informe Kelly'!F1126,""),0)</f>
        <v/>
      </c>
      <c r="J1133" s="65" t="str">
        <f>IF(IFERROR(IF(E1133=E1132,0,(HLOOKUP(D1133,Ingreso!$AN$10:$AT$260,VLOOKUP(A1133,Ingreso!$AL$11:$AM$260,2,FALSE)))/24),0)=0,"",IFERROR(IF(E1133=E1132,0,(HLOOKUP(D1133,Ingreso!$AN$10:$AT$260,VLOOKUP(A1133,Ingreso!$AL$11:$AM$260,2,FALSE)))/24),0))</f>
        <v/>
      </c>
      <c r="K1133" s="65" t="str">
        <f>IF(IFERROR(IF(E1133=E1132,0,(HLOOKUP(C1133,Ingreso!$AW$10:$BC$260,VLOOKUP(A1133,Ingreso!$AL$11:$AM$260,2,FALSE)))/24),0)=0,"",IFERROR(IF(E1133=E1132,0,(HLOOKUP(C1133,Ingreso!$AW$10:$BC$260,VLOOKUP(A1133,Ingreso!$AL$11:$AM$260,2,FALSE)))/24),0))</f>
        <v/>
      </c>
      <c r="L1133" s="63">
        <f t="shared" si="34"/>
        <v>0</v>
      </c>
      <c r="M1133" s="63" t="str">
        <f>IF(IFERROR(IF(C1133=C1131,0,IF(E1133=E1132,0,IF(C1133=$R$2,HLOOKUP($R$2,Ingreso!$AW$10:$BC$260,VLOOKUP(A1133,Ingreso!AL:AM,2,FALSE),FALSE)/24,""))),"")=0,"",IFERROR(IF(C1133=C1131,0,IF(E1133=E1132,0,IF(C1133=$R$2,HLOOKUP($R$2,Ingreso!$AW$10:$BC$260,VLOOKUP(A1133,Ingreso!AL:AM,2,FALSE),FALSE)/24,""))),""))</f>
        <v/>
      </c>
      <c r="N1133" s="95" t="str">
        <f>IF(IFERROR(IF(C1133=C1131,0,IF(E1133=E1132,0,IF(C1133=$R$3,HLOOKUP($R$3,Ingreso!$AW$10:$BC$260,VLOOKUP(A1133,Ingreso!AL:AM,2,FALSE),FALSE)/24,""))),"")=0,"",IFERROR(IF(C1133=C1131,0,IF(E1133=E1132,0,IF(C1133=$R$3,HLOOKUP($R$3,Ingreso!$AW$10:$BC$260,VLOOKUP(A1133,Ingreso!AL:AM,2,FALSE),FALSE)/24,""))),""))</f>
        <v/>
      </c>
      <c r="O1133" s="95" t="str">
        <f>IF(IFERROR(IF(C1133=C1131,0,IF(E1133=E1132,0,IF(C1133=$R$4,HLOOKUP($R$4,Ingreso!$AW$10:$BC$260,VLOOKUP(A1133,Ingreso!AL:AM,2,FALSE),FALSE)/24,""))),"")=0,"",IFERROR(IF(C1133=C1131,0,IF(E1133=E1132,0,IF(C1133=$R$4,HLOOKUP($R$4,Ingreso!$AW$10:$BC$260,VLOOKUP(A1133,Ingreso!AL:AM,2,FALSE),FALSE)/24,""))),""))</f>
        <v/>
      </c>
      <c r="P1133" s="90"/>
      <c r="V1133"/>
      <c r="W1133" s="62"/>
      <c r="X1133" s="62"/>
      <c r="Y1133" s="62"/>
      <c r="Z1133" s="62"/>
      <c r="AA1133" s="62"/>
      <c r="AB1133" s="62"/>
      <c r="AC1133" s="62"/>
    </row>
    <row r="1134" spans="1:29">
      <c r="A1134" s="65" t="str">
        <f>IFERROR(VLOOKUP('Informe Kelly'!A1127,Base!A:B,2,FALSE),"")</f>
        <v>22.637.242-3</v>
      </c>
      <c r="B1134" s="65" t="str">
        <f>IFERROR(VLOOKUP('Informe Kelly'!A1127,Base!A:G,7,FALSE),"")</f>
        <v>ALVAREZ CONTRERAS MARISOL</v>
      </c>
      <c r="C1134" s="69" t="str">
        <f>IF(G1134=$C$4,IF('Informe Kelly'!H1127='Control informe Kelly'!$A$2,TEXT(((LEFT('Informe Kelly'!E1127,2)*1)+1),"dd")&amp;"."&amp;MID('Informe Kelly'!E1127,4,2)&amp;"."&amp;RIGHT('Informe Kelly'!E1127,4),'Informe Kelly'!E1127),'Informe Kelly'!E1127)</f>
        <v>14.04.2011</v>
      </c>
      <c r="D1134" s="69" t="str">
        <f>IF('Informe Kelly'!E1127="","",'Informe Kelly'!E1127)</f>
        <v>14.04.2011</v>
      </c>
      <c r="E1134" s="72">
        <f t="shared" si="35"/>
        <v>578</v>
      </c>
      <c r="F1134" s="72" t="str">
        <f>IFERROR(HLOOKUP(C1134,Ingreso!$Q$8:$AD$9,2,FALSE),"v")</f>
        <v>Jueves</v>
      </c>
      <c r="G1134" s="65" t="str">
        <f>IFERROR(VLOOKUP(A1134,Ingreso!K:P,6,FALSE),"no esta ingresado")</f>
        <v>no esta ingresado</v>
      </c>
      <c r="H1134" s="65" t="str">
        <f>IFERROR(IF('Informe Kelly'!H1127=$A$2,'Informe Kelly'!F1127,""),0)</f>
        <v/>
      </c>
      <c r="I1134" s="65">
        <f>IFERROR(IF('Informe Kelly'!H1127=$A$3,'Informe Kelly'!F1127,""),0)</f>
        <v>0.77280092592592586</v>
      </c>
      <c r="J1134" s="65" t="str">
        <f>IF(IFERROR(IF(E1134=E1133,0,(HLOOKUP(D1134,Ingreso!$AN$10:$AT$260,VLOOKUP(A1134,Ingreso!$AL$11:$AM$260,2,FALSE)))/24),0)=0,"",IFERROR(IF(E1134=E1133,0,(HLOOKUP(D1134,Ingreso!$AN$10:$AT$260,VLOOKUP(A1134,Ingreso!$AL$11:$AM$260,2,FALSE)))/24),0))</f>
        <v/>
      </c>
      <c r="K1134" s="65" t="str">
        <f>IF(IFERROR(IF(E1134=E1133,0,(HLOOKUP(C1134,Ingreso!$AW$10:$BC$260,VLOOKUP(A1134,Ingreso!$AL$11:$AM$260,2,FALSE)))/24),0)=0,"",IFERROR(IF(E1134=E1133,0,(HLOOKUP(C1134,Ingreso!$AW$10:$BC$260,VLOOKUP(A1134,Ingreso!$AL$11:$AM$260,2,FALSE)))/24),0))</f>
        <v/>
      </c>
      <c r="L1134" s="63" t="str">
        <f t="shared" si="34"/>
        <v/>
      </c>
      <c r="M1134" s="63" t="str">
        <f>IF(IFERROR(IF(C1134=C1132,0,IF(E1134=E1133,0,IF(C1134=$R$2,HLOOKUP($R$2,Ingreso!$AW$10:$BC$260,VLOOKUP(A1134,Ingreso!AL:AM,2,FALSE),FALSE)/24,""))),"")=0,"",IFERROR(IF(C1134=C1132,0,IF(E1134=E1133,0,IF(C1134=$R$2,HLOOKUP($R$2,Ingreso!$AW$10:$BC$260,VLOOKUP(A1134,Ingreso!AL:AM,2,FALSE),FALSE)/24,""))),""))</f>
        <v/>
      </c>
      <c r="N1134" s="95" t="str">
        <f>IF(IFERROR(IF(C1134=C1132,0,IF(E1134=E1133,0,IF(C1134=$R$3,HLOOKUP($R$3,Ingreso!$AW$10:$BC$260,VLOOKUP(A1134,Ingreso!AL:AM,2,FALSE),FALSE)/24,""))),"")=0,"",IFERROR(IF(C1134=C1132,0,IF(E1134=E1133,0,IF(C1134=$R$3,HLOOKUP($R$3,Ingreso!$AW$10:$BC$260,VLOOKUP(A1134,Ingreso!AL:AM,2,FALSE),FALSE)/24,""))),""))</f>
        <v/>
      </c>
      <c r="O1134" s="95" t="str">
        <f>IF(IFERROR(IF(C1134=C1132,0,IF(E1134=E1133,0,IF(C1134=$R$4,HLOOKUP($R$4,Ingreso!$AW$10:$BC$260,VLOOKUP(A1134,Ingreso!AL:AM,2,FALSE),FALSE)/24,""))),"")=0,"",IFERROR(IF(C1134=C1132,0,IF(E1134=E1133,0,IF(C1134=$R$4,HLOOKUP($R$4,Ingreso!$AW$10:$BC$260,VLOOKUP(A1134,Ingreso!AL:AM,2,FALSE),FALSE)/24,""))),""))</f>
        <v/>
      </c>
      <c r="P1134" s="90"/>
      <c r="V1134"/>
      <c r="W1134" s="62"/>
      <c r="X1134" s="62"/>
      <c r="Y1134" s="62"/>
      <c r="Z1134" s="62"/>
      <c r="AA1134" s="62"/>
      <c r="AB1134" s="62"/>
      <c r="AC1134" s="62"/>
    </row>
    <row r="1135" spans="1:29">
      <c r="A1135" s="65" t="str">
        <f>IFERROR(VLOOKUP('Informe Kelly'!A1128,Base!A:B,2,FALSE),"")</f>
        <v>22.637.242-3</v>
      </c>
      <c r="B1135" s="65" t="str">
        <f>IFERROR(VLOOKUP('Informe Kelly'!A1128,Base!A:G,7,FALSE),"")</f>
        <v>ALVAREZ CONTRERAS MARISOL</v>
      </c>
      <c r="C1135" s="69" t="str">
        <f>IF(G1135=$C$4,IF('Informe Kelly'!H1128='Control informe Kelly'!$A$2,TEXT(((LEFT('Informe Kelly'!E1128,2)*1)+1),"dd")&amp;"."&amp;MID('Informe Kelly'!E1128,4,2)&amp;"."&amp;RIGHT('Informe Kelly'!E1128,4),'Informe Kelly'!E1128),'Informe Kelly'!E1128)</f>
        <v>14.04.2011</v>
      </c>
      <c r="D1135" s="69" t="str">
        <f>IF('Informe Kelly'!E1128="","",'Informe Kelly'!E1128)</f>
        <v>14.04.2011</v>
      </c>
      <c r="E1135" s="72">
        <f t="shared" si="35"/>
        <v>578</v>
      </c>
      <c r="F1135" s="72" t="str">
        <f>IFERROR(HLOOKUP(C1135,Ingreso!$Q$8:$AD$9,2,FALSE),"v")</f>
        <v>Jueves</v>
      </c>
      <c r="G1135" s="65" t="str">
        <f>IFERROR(VLOOKUP(A1135,Ingreso!K:P,6,FALSE),"no esta ingresado")</f>
        <v>no esta ingresado</v>
      </c>
      <c r="H1135" s="65">
        <f>IFERROR(IF('Informe Kelly'!H1128=$A$2,'Informe Kelly'!F1128,""),0)</f>
        <v>0.34</v>
      </c>
      <c r="I1135" s="65" t="str">
        <f>IFERROR(IF('Informe Kelly'!H1128=$A$3,'Informe Kelly'!F1128,""),0)</f>
        <v/>
      </c>
      <c r="J1135" s="65" t="str">
        <f>IF(IFERROR(IF(E1135=E1134,0,(HLOOKUP(D1135,Ingreso!$AN$10:$AT$260,VLOOKUP(A1135,Ingreso!$AL$11:$AM$260,2,FALSE)))/24),0)=0,"",IFERROR(IF(E1135=E1134,0,(HLOOKUP(D1135,Ingreso!$AN$10:$AT$260,VLOOKUP(A1135,Ingreso!$AL$11:$AM$260,2,FALSE)))/24),0))</f>
        <v/>
      </c>
      <c r="K1135" s="65" t="str">
        <f>IF(IFERROR(IF(E1135=E1134,0,(HLOOKUP(C1135,Ingreso!$AW$10:$BC$260,VLOOKUP(A1135,Ingreso!$AL$11:$AM$260,2,FALSE)))/24),0)=0,"",IFERROR(IF(E1135=E1134,0,(HLOOKUP(C1135,Ingreso!$AW$10:$BC$260,VLOOKUP(A1135,Ingreso!$AL$11:$AM$260,2,FALSE)))/24),0))</f>
        <v/>
      </c>
      <c r="L1135" s="63">
        <f t="shared" si="34"/>
        <v>0</v>
      </c>
      <c r="M1135" s="63" t="str">
        <f>IF(IFERROR(IF(C1135=C1133,0,IF(E1135=E1134,0,IF(C1135=$R$2,HLOOKUP($R$2,Ingreso!$AW$10:$BC$260,VLOOKUP(A1135,Ingreso!AL:AM,2,FALSE),FALSE)/24,""))),"")=0,"",IFERROR(IF(C1135=C1133,0,IF(E1135=E1134,0,IF(C1135=$R$2,HLOOKUP($R$2,Ingreso!$AW$10:$BC$260,VLOOKUP(A1135,Ingreso!AL:AM,2,FALSE),FALSE)/24,""))),""))</f>
        <v/>
      </c>
      <c r="N1135" s="95" t="str">
        <f>IF(IFERROR(IF(C1135=C1133,0,IF(E1135=E1134,0,IF(C1135=$R$3,HLOOKUP($R$3,Ingreso!$AW$10:$BC$260,VLOOKUP(A1135,Ingreso!AL:AM,2,FALSE),FALSE)/24,""))),"")=0,"",IFERROR(IF(C1135=C1133,0,IF(E1135=E1134,0,IF(C1135=$R$3,HLOOKUP($R$3,Ingreso!$AW$10:$BC$260,VLOOKUP(A1135,Ingreso!AL:AM,2,FALSE),FALSE)/24,""))),""))</f>
        <v/>
      </c>
      <c r="O1135" s="95" t="str">
        <f>IF(IFERROR(IF(C1135=C1133,0,IF(E1135=E1134,0,IF(C1135=$R$4,HLOOKUP($R$4,Ingreso!$AW$10:$BC$260,VLOOKUP(A1135,Ingreso!AL:AM,2,FALSE),FALSE)/24,""))),"")=0,"",IFERROR(IF(C1135=C1133,0,IF(E1135=E1134,0,IF(C1135=$R$4,HLOOKUP($R$4,Ingreso!$AW$10:$BC$260,VLOOKUP(A1135,Ingreso!AL:AM,2,FALSE),FALSE)/24,""))),""))</f>
        <v/>
      </c>
      <c r="P1135" s="90"/>
      <c r="V1135"/>
      <c r="W1135" s="62"/>
      <c r="X1135" s="62"/>
      <c r="Y1135" s="62"/>
      <c r="Z1135" s="62"/>
      <c r="AA1135" s="62"/>
      <c r="AB1135" s="62"/>
      <c r="AC1135" s="62"/>
    </row>
    <row r="1136" spans="1:29">
      <c r="A1136" s="65" t="str">
        <f>IFERROR(VLOOKUP('Informe Kelly'!A1129,Base!A:B,2,FALSE),"")</f>
        <v>22.637.242-3</v>
      </c>
      <c r="B1136" s="65" t="str">
        <f>IFERROR(VLOOKUP('Informe Kelly'!A1129,Base!A:G,7,FALSE),"")</f>
        <v>ALVAREZ CONTRERAS MARISOL</v>
      </c>
      <c r="C1136" s="69" t="str">
        <f>IF(G1136=$C$4,IF('Informe Kelly'!H1129='Control informe Kelly'!$A$2,TEXT(((LEFT('Informe Kelly'!E1129,2)*1)+1),"dd")&amp;"."&amp;MID('Informe Kelly'!E1129,4,2)&amp;"."&amp;RIGHT('Informe Kelly'!E1129,4),'Informe Kelly'!E1129),'Informe Kelly'!E1129)</f>
        <v>15.04.2011</v>
      </c>
      <c r="D1136" s="69" t="str">
        <f>IF('Informe Kelly'!E1129="","",'Informe Kelly'!E1129)</f>
        <v>15.04.2011</v>
      </c>
      <c r="E1136" s="72">
        <f t="shared" si="35"/>
        <v>579</v>
      </c>
      <c r="F1136" s="72" t="str">
        <f>IFERROR(HLOOKUP(C1136,Ingreso!$Q$8:$AD$9,2,FALSE),"v")</f>
        <v>Viernes</v>
      </c>
      <c r="G1136" s="65" t="str">
        <f>IFERROR(VLOOKUP(A1136,Ingreso!K:P,6,FALSE),"no esta ingresado")</f>
        <v>no esta ingresado</v>
      </c>
      <c r="H1136" s="65" t="str">
        <f>IFERROR(IF('Informe Kelly'!H1129=$A$2,'Informe Kelly'!F1129,""),0)</f>
        <v/>
      </c>
      <c r="I1136" s="65">
        <f>IFERROR(IF('Informe Kelly'!H1129=$A$3,'Informe Kelly'!F1129,""),0)</f>
        <v>0.71967592592592589</v>
      </c>
      <c r="J1136" s="65" t="str">
        <f>IF(IFERROR(IF(E1136=E1135,0,(HLOOKUP(D1136,Ingreso!$AN$10:$AT$260,VLOOKUP(A1136,Ingreso!$AL$11:$AM$260,2,FALSE)))/24),0)=0,"",IFERROR(IF(E1136=E1135,0,(HLOOKUP(D1136,Ingreso!$AN$10:$AT$260,VLOOKUP(A1136,Ingreso!$AL$11:$AM$260,2,FALSE)))/24),0))</f>
        <v/>
      </c>
      <c r="K1136" s="65" t="str">
        <f>IF(IFERROR(IF(E1136=E1135,0,(HLOOKUP(C1136,Ingreso!$AW$10:$BC$260,VLOOKUP(A1136,Ingreso!$AL$11:$AM$260,2,FALSE)))/24),0)=0,"",IFERROR(IF(E1136=E1135,0,(HLOOKUP(C1136,Ingreso!$AW$10:$BC$260,VLOOKUP(A1136,Ingreso!$AL$11:$AM$260,2,FALSE)))/24),0))</f>
        <v/>
      </c>
      <c r="L1136" s="63" t="str">
        <f t="shared" si="34"/>
        <v/>
      </c>
      <c r="M1136" s="63" t="str">
        <f>IF(IFERROR(IF(C1136=C1134,0,IF(E1136=E1135,0,IF(C1136=$R$2,HLOOKUP($R$2,Ingreso!$AW$10:$BC$260,VLOOKUP(A1136,Ingreso!AL:AM,2,FALSE),FALSE)/24,""))),"")=0,"",IFERROR(IF(C1136=C1134,0,IF(E1136=E1135,0,IF(C1136=$R$2,HLOOKUP($R$2,Ingreso!$AW$10:$BC$260,VLOOKUP(A1136,Ingreso!AL:AM,2,FALSE),FALSE)/24,""))),""))</f>
        <v/>
      </c>
      <c r="N1136" s="95" t="str">
        <f>IF(IFERROR(IF(C1136=C1134,0,IF(E1136=E1135,0,IF(C1136=$R$3,HLOOKUP($R$3,Ingreso!$AW$10:$BC$260,VLOOKUP(A1136,Ingreso!AL:AM,2,FALSE),FALSE)/24,""))),"")=0,"",IFERROR(IF(C1136=C1134,0,IF(E1136=E1135,0,IF(C1136=$R$3,HLOOKUP($R$3,Ingreso!$AW$10:$BC$260,VLOOKUP(A1136,Ingreso!AL:AM,2,FALSE),FALSE)/24,""))),""))</f>
        <v/>
      </c>
      <c r="O1136" s="95" t="str">
        <f>IF(IFERROR(IF(C1136=C1134,0,IF(E1136=E1135,0,IF(C1136=$R$4,HLOOKUP($R$4,Ingreso!$AW$10:$BC$260,VLOOKUP(A1136,Ingreso!AL:AM,2,FALSE),FALSE)/24,""))),"")=0,"",IFERROR(IF(C1136=C1134,0,IF(E1136=E1135,0,IF(C1136=$R$4,HLOOKUP($R$4,Ingreso!$AW$10:$BC$260,VLOOKUP(A1136,Ingreso!AL:AM,2,FALSE),FALSE)/24,""))),""))</f>
        <v/>
      </c>
      <c r="P1136" s="90"/>
      <c r="V1136"/>
      <c r="W1136" s="62"/>
      <c r="X1136" s="62"/>
      <c r="Y1136" s="62"/>
      <c r="Z1136" s="62"/>
      <c r="AA1136" s="62"/>
      <c r="AB1136" s="62"/>
      <c r="AC1136" s="62"/>
    </row>
    <row r="1137" spans="1:29">
      <c r="A1137" s="65" t="str">
        <f>IFERROR(VLOOKUP('Informe Kelly'!A1130,Base!A:B,2,FALSE),"")</f>
        <v>22.637.242-3</v>
      </c>
      <c r="B1137" s="65" t="str">
        <f>IFERROR(VLOOKUP('Informe Kelly'!A1130,Base!A:G,7,FALSE),"")</f>
        <v>ALVAREZ CONTRERAS MARISOL</v>
      </c>
      <c r="C1137" s="69" t="str">
        <f>IF(G1137=$C$4,IF('Informe Kelly'!H1130='Control informe Kelly'!$A$2,TEXT(((LEFT('Informe Kelly'!E1130,2)*1)+1),"dd")&amp;"."&amp;MID('Informe Kelly'!E1130,4,2)&amp;"."&amp;RIGHT('Informe Kelly'!E1130,4),'Informe Kelly'!E1130),'Informe Kelly'!E1130)</f>
        <v>15.04.2011</v>
      </c>
      <c r="D1137" s="69" t="str">
        <f>IF('Informe Kelly'!E1130="","",'Informe Kelly'!E1130)</f>
        <v>15.04.2011</v>
      </c>
      <c r="E1137" s="72">
        <f t="shared" si="35"/>
        <v>579</v>
      </c>
      <c r="F1137" s="72" t="str">
        <f>IFERROR(HLOOKUP(C1137,Ingreso!$Q$8:$AD$9,2,FALSE),"v")</f>
        <v>Viernes</v>
      </c>
      <c r="G1137" s="65" t="str">
        <f>IFERROR(VLOOKUP(A1137,Ingreso!K:P,6,FALSE),"no esta ingresado")</f>
        <v>no esta ingresado</v>
      </c>
      <c r="H1137" s="65">
        <f>IFERROR(IF('Informe Kelly'!H1130=$A$2,'Informe Kelly'!F1130,""),0)</f>
        <v>0.34229166666666666</v>
      </c>
      <c r="I1137" s="65" t="str">
        <f>IFERROR(IF('Informe Kelly'!H1130=$A$3,'Informe Kelly'!F1130,""),0)</f>
        <v/>
      </c>
      <c r="J1137" s="65" t="str">
        <f>IF(IFERROR(IF(E1137=E1136,0,(HLOOKUP(D1137,Ingreso!$AN$10:$AT$260,VLOOKUP(A1137,Ingreso!$AL$11:$AM$260,2,FALSE)))/24),0)=0,"",IFERROR(IF(E1137=E1136,0,(HLOOKUP(D1137,Ingreso!$AN$10:$AT$260,VLOOKUP(A1137,Ingreso!$AL$11:$AM$260,2,FALSE)))/24),0))</f>
        <v/>
      </c>
      <c r="K1137" s="65" t="str">
        <f>IF(IFERROR(IF(E1137=E1136,0,(HLOOKUP(C1137,Ingreso!$AW$10:$BC$260,VLOOKUP(A1137,Ingreso!$AL$11:$AM$260,2,FALSE)))/24),0)=0,"",IFERROR(IF(E1137=E1136,0,(HLOOKUP(C1137,Ingreso!$AW$10:$BC$260,VLOOKUP(A1137,Ingreso!$AL$11:$AM$260,2,FALSE)))/24),0))</f>
        <v/>
      </c>
      <c r="L1137" s="63">
        <f t="shared" si="34"/>
        <v>0</v>
      </c>
      <c r="M1137" s="63" t="str">
        <f>IF(IFERROR(IF(C1137=C1135,0,IF(E1137=E1136,0,IF(C1137=$R$2,HLOOKUP($R$2,Ingreso!$AW$10:$BC$260,VLOOKUP(A1137,Ingreso!AL:AM,2,FALSE),FALSE)/24,""))),"")=0,"",IFERROR(IF(C1137=C1135,0,IF(E1137=E1136,0,IF(C1137=$R$2,HLOOKUP($R$2,Ingreso!$AW$10:$BC$260,VLOOKUP(A1137,Ingreso!AL:AM,2,FALSE),FALSE)/24,""))),""))</f>
        <v/>
      </c>
      <c r="N1137" s="95" t="str">
        <f>IF(IFERROR(IF(C1137=C1135,0,IF(E1137=E1136,0,IF(C1137=$R$3,HLOOKUP($R$3,Ingreso!$AW$10:$BC$260,VLOOKUP(A1137,Ingreso!AL:AM,2,FALSE),FALSE)/24,""))),"")=0,"",IFERROR(IF(C1137=C1135,0,IF(E1137=E1136,0,IF(C1137=$R$3,HLOOKUP($R$3,Ingreso!$AW$10:$BC$260,VLOOKUP(A1137,Ingreso!AL:AM,2,FALSE),FALSE)/24,""))),""))</f>
        <v/>
      </c>
      <c r="O1137" s="95" t="str">
        <f>IF(IFERROR(IF(C1137=C1135,0,IF(E1137=E1136,0,IF(C1137=$R$4,HLOOKUP($R$4,Ingreso!$AW$10:$BC$260,VLOOKUP(A1137,Ingreso!AL:AM,2,FALSE),FALSE)/24,""))),"")=0,"",IFERROR(IF(C1137=C1135,0,IF(E1137=E1136,0,IF(C1137=$R$4,HLOOKUP($R$4,Ingreso!$AW$10:$BC$260,VLOOKUP(A1137,Ingreso!AL:AM,2,FALSE),FALSE)/24,""))),""))</f>
        <v/>
      </c>
      <c r="P1137" s="90"/>
      <c r="V1137"/>
      <c r="W1137" s="62"/>
      <c r="X1137" s="62"/>
      <c r="Y1137" s="62"/>
      <c r="Z1137" s="62"/>
      <c r="AA1137" s="62"/>
      <c r="AB1137" s="62"/>
      <c r="AC1137" s="62"/>
    </row>
    <row r="1138" spans="1:29">
      <c r="A1138" s="65" t="str">
        <f>IFERROR(VLOOKUP('Informe Kelly'!A1131,Base!A:B,2,FALSE),"")</f>
        <v/>
      </c>
      <c r="B1138" s="65" t="str">
        <f>IFERROR(VLOOKUP('Informe Kelly'!A1131,Base!A:G,7,FALSE),"")</f>
        <v/>
      </c>
      <c r="C1138" s="69">
        <f>IF(G1138=$C$4,IF('Informe Kelly'!H1131='Control informe Kelly'!$A$2,TEXT(((LEFT('Informe Kelly'!E1131,2)*1)+1),"dd")&amp;"."&amp;MID('Informe Kelly'!E1131,4,2)&amp;"."&amp;RIGHT('Informe Kelly'!E1131,4),'Informe Kelly'!E1131),'Informe Kelly'!E1131)</f>
        <v>0</v>
      </c>
      <c r="D1138" s="69" t="str">
        <f>IF('Informe Kelly'!E1131="","",'Informe Kelly'!E1131)</f>
        <v/>
      </c>
      <c r="E1138" s="72">
        <f t="shared" si="35"/>
        <v>580</v>
      </c>
      <c r="F1138" s="72" t="str">
        <f>IFERROR(HLOOKUP(C1138,Ingreso!$Q$8:$AD$9,2,FALSE),"v")</f>
        <v>v</v>
      </c>
      <c r="G1138" s="65" t="str">
        <f>IFERROR(VLOOKUP(A1138,Ingreso!K:P,6,FALSE),"no esta ingresado")</f>
        <v>no esta ingresado</v>
      </c>
      <c r="H1138" s="65" t="str">
        <f>IFERROR(IF('Informe Kelly'!H1131=$A$2,'Informe Kelly'!F1131,""),0)</f>
        <v/>
      </c>
      <c r="I1138" s="65" t="str">
        <f>IFERROR(IF('Informe Kelly'!H1131=$A$3,'Informe Kelly'!F1131,""),0)</f>
        <v/>
      </c>
      <c r="J1138" s="65" t="str">
        <f>IF(IFERROR(IF(E1138=E1137,0,(HLOOKUP(D1138,Ingreso!$AN$10:$AT$260,VLOOKUP(A1138,Ingreso!$AL$11:$AM$260,2,FALSE)))/24),0)=0,"",IFERROR(IF(E1138=E1137,0,(HLOOKUP(D1138,Ingreso!$AN$10:$AT$260,VLOOKUP(A1138,Ingreso!$AL$11:$AM$260,2,FALSE)))/24),0))</f>
        <v/>
      </c>
      <c r="K1138" s="65" t="str">
        <f>IF(IFERROR(IF(E1138=E1137,0,(HLOOKUP(C1138,Ingreso!$AW$10:$BC$260,VLOOKUP(A1138,Ingreso!$AL$11:$AM$260,2,FALSE)))/24),0)=0,"",IFERROR(IF(E1138=E1137,0,(HLOOKUP(C1138,Ingreso!$AW$10:$BC$260,VLOOKUP(A1138,Ingreso!$AL$11:$AM$260,2,FALSE)))/24),0))</f>
        <v/>
      </c>
      <c r="L1138" s="63" t="str">
        <f t="shared" si="34"/>
        <v/>
      </c>
      <c r="M1138" s="63" t="str">
        <f>IF(IFERROR(IF(C1138=C1136,0,IF(E1138=E1137,0,IF(C1138=$R$2,HLOOKUP($R$2,Ingreso!$AW$10:$BC$260,VLOOKUP(A1138,Ingreso!AL:AM,2,FALSE),FALSE)/24,""))),"")=0,"",IFERROR(IF(C1138=C1136,0,IF(E1138=E1137,0,IF(C1138=$R$2,HLOOKUP($R$2,Ingreso!$AW$10:$BC$260,VLOOKUP(A1138,Ingreso!AL:AM,2,FALSE),FALSE)/24,""))),""))</f>
        <v/>
      </c>
      <c r="N1138" s="95" t="str">
        <f>IF(IFERROR(IF(C1138=C1136,0,IF(E1138=E1137,0,IF(C1138=$R$3,HLOOKUP($R$3,Ingreso!$AW$10:$BC$260,VLOOKUP(A1138,Ingreso!AL:AM,2,FALSE),FALSE)/24,""))),"")=0,"",IFERROR(IF(C1138=C1136,0,IF(E1138=E1137,0,IF(C1138=$R$3,HLOOKUP($R$3,Ingreso!$AW$10:$BC$260,VLOOKUP(A1138,Ingreso!AL:AM,2,FALSE),FALSE)/24,""))),""))</f>
        <v/>
      </c>
      <c r="O1138" s="95" t="str">
        <f>IF(IFERROR(IF(C1138=C1136,0,IF(E1138=E1137,0,IF(C1138=$R$4,HLOOKUP($R$4,Ingreso!$AW$10:$BC$260,VLOOKUP(A1138,Ingreso!AL:AM,2,FALSE),FALSE)/24,""))),"")=0,"",IFERROR(IF(C1138=C1136,0,IF(E1138=E1137,0,IF(C1138=$R$4,HLOOKUP($R$4,Ingreso!$AW$10:$BC$260,VLOOKUP(A1138,Ingreso!AL:AM,2,FALSE),FALSE)/24,""))),""))</f>
        <v/>
      </c>
      <c r="P1138" s="90"/>
      <c r="V1138"/>
      <c r="W1138" s="62"/>
      <c r="X1138" s="62"/>
      <c r="Y1138" s="62"/>
      <c r="Z1138" s="62"/>
      <c r="AA1138" s="62"/>
      <c r="AB1138" s="62"/>
      <c r="AC1138" s="62"/>
    </row>
    <row r="1139" spans="1:29">
      <c r="A1139" s="65" t="str">
        <f>IFERROR(VLOOKUP('Informe Kelly'!A1132,Base!A:B,2,FALSE),"")</f>
        <v/>
      </c>
      <c r="B1139" s="65" t="str">
        <f>IFERROR(VLOOKUP('Informe Kelly'!A1132,Base!A:G,7,FALSE),"")</f>
        <v/>
      </c>
      <c r="C1139" s="69">
        <f>IF(G1139=$C$4,IF('Informe Kelly'!H1132='Control informe Kelly'!$A$2,TEXT(((LEFT('Informe Kelly'!E1132,2)*1)+1),"dd")&amp;"."&amp;MID('Informe Kelly'!E1132,4,2)&amp;"."&amp;RIGHT('Informe Kelly'!E1132,4),'Informe Kelly'!E1132),'Informe Kelly'!E1132)</f>
        <v>0</v>
      </c>
      <c r="D1139" s="69" t="str">
        <f>IF('Informe Kelly'!E1132="","",'Informe Kelly'!E1132)</f>
        <v/>
      </c>
      <c r="E1139" s="72">
        <f t="shared" si="35"/>
        <v>580</v>
      </c>
      <c r="F1139" s="72" t="str">
        <f>IFERROR(HLOOKUP(C1139,Ingreso!$Q$8:$AD$9,2,FALSE),"v")</f>
        <v>v</v>
      </c>
      <c r="G1139" s="65" t="str">
        <f>IFERROR(VLOOKUP(A1139,Ingreso!K:P,6,FALSE),"no esta ingresado")</f>
        <v>no esta ingresado</v>
      </c>
      <c r="H1139" s="65" t="str">
        <f>IFERROR(IF('Informe Kelly'!H1132=$A$2,'Informe Kelly'!F1132,""),0)</f>
        <v/>
      </c>
      <c r="I1139" s="65" t="str">
        <f>IFERROR(IF('Informe Kelly'!H1132=$A$3,'Informe Kelly'!F1132,""),0)</f>
        <v/>
      </c>
      <c r="J1139" s="65" t="str">
        <f>IF(IFERROR(IF(E1139=E1138,0,(HLOOKUP(D1139,Ingreso!$AN$10:$AT$260,VLOOKUP(A1139,Ingreso!$AL$11:$AM$260,2,FALSE)))/24),0)=0,"",IFERROR(IF(E1139=E1138,0,(HLOOKUP(D1139,Ingreso!$AN$10:$AT$260,VLOOKUP(A1139,Ingreso!$AL$11:$AM$260,2,FALSE)))/24),0))</f>
        <v/>
      </c>
      <c r="K1139" s="65" t="str">
        <f>IF(IFERROR(IF(E1139=E1138,0,(HLOOKUP(C1139,Ingreso!$AW$10:$BC$260,VLOOKUP(A1139,Ingreso!$AL$11:$AM$260,2,FALSE)))/24),0)=0,"",IFERROR(IF(E1139=E1138,0,(HLOOKUP(C1139,Ingreso!$AW$10:$BC$260,VLOOKUP(A1139,Ingreso!$AL$11:$AM$260,2,FALSE)))/24),0))</f>
        <v/>
      </c>
      <c r="L1139" s="63">
        <f t="shared" si="34"/>
        <v>0</v>
      </c>
      <c r="M1139" s="63" t="str">
        <f>IF(IFERROR(IF(C1139=C1137,0,IF(E1139=E1138,0,IF(C1139=$R$2,HLOOKUP($R$2,Ingreso!$AW$10:$BC$260,VLOOKUP(A1139,Ingreso!AL:AM,2,FALSE),FALSE)/24,""))),"")=0,"",IFERROR(IF(C1139=C1137,0,IF(E1139=E1138,0,IF(C1139=$R$2,HLOOKUP($R$2,Ingreso!$AW$10:$BC$260,VLOOKUP(A1139,Ingreso!AL:AM,2,FALSE),FALSE)/24,""))),""))</f>
        <v/>
      </c>
      <c r="N1139" s="95" t="str">
        <f>IF(IFERROR(IF(C1139=C1137,0,IF(E1139=E1138,0,IF(C1139=$R$3,HLOOKUP($R$3,Ingreso!$AW$10:$BC$260,VLOOKUP(A1139,Ingreso!AL:AM,2,FALSE),FALSE)/24,""))),"")=0,"",IFERROR(IF(C1139=C1137,0,IF(E1139=E1138,0,IF(C1139=$R$3,HLOOKUP($R$3,Ingreso!$AW$10:$BC$260,VLOOKUP(A1139,Ingreso!AL:AM,2,FALSE),FALSE)/24,""))),""))</f>
        <v/>
      </c>
      <c r="O1139" s="95" t="str">
        <f>IF(IFERROR(IF(C1139=C1137,0,IF(E1139=E1138,0,IF(C1139=$R$4,HLOOKUP($R$4,Ingreso!$AW$10:$BC$260,VLOOKUP(A1139,Ingreso!AL:AM,2,FALSE),FALSE)/24,""))),"")=0,"",IFERROR(IF(C1139=C1137,0,IF(E1139=E1138,0,IF(C1139=$R$4,HLOOKUP($R$4,Ingreso!$AW$10:$BC$260,VLOOKUP(A1139,Ingreso!AL:AM,2,FALSE),FALSE)/24,""))),""))</f>
        <v/>
      </c>
      <c r="P1139" s="90"/>
      <c r="V1139"/>
      <c r="W1139" s="62"/>
      <c r="X1139" s="62"/>
      <c r="Y1139" s="62"/>
      <c r="Z1139" s="62"/>
      <c r="AA1139" s="62"/>
      <c r="AB1139" s="62"/>
      <c r="AC1139" s="62"/>
    </row>
    <row r="1140" spans="1:29">
      <c r="A1140" s="65" t="str">
        <f>IFERROR(VLOOKUP('Informe Kelly'!A1133,Base!A:B,2,FALSE),"")</f>
        <v/>
      </c>
      <c r="B1140" s="65" t="str">
        <f>IFERROR(VLOOKUP('Informe Kelly'!A1133,Base!A:G,7,FALSE),"")</f>
        <v/>
      </c>
      <c r="C1140" s="69">
        <f>IF(G1140=$C$4,IF('Informe Kelly'!H1133='Control informe Kelly'!$A$2,TEXT(((LEFT('Informe Kelly'!E1133,2)*1)+1),"dd")&amp;"."&amp;MID('Informe Kelly'!E1133,4,2)&amp;"."&amp;RIGHT('Informe Kelly'!E1133,4),'Informe Kelly'!E1133),'Informe Kelly'!E1133)</f>
        <v>0</v>
      </c>
      <c r="D1140" s="69" t="str">
        <f>IF('Informe Kelly'!E1133="","",'Informe Kelly'!E1133)</f>
        <v/>
      </c>
      <c r="E1140" s="72">
        <f t="shared" si="35"/>
        <v>581</v>
      </c>
      <c r="F1140" s="72" t="str">
        <f>IFERROR(HLOOKUP(C1140,Ingreso!$Q$8:$AD$9,2,FALSE),"v")</f>
        <v>v</v>
      </c>
      <c r="G1140" s="65" t="str">
        <f>IFERROR(VLOOKUP(A1140,Ingreso!K:P,6,FALSE),"no esta ingresado")</f>
        <v>no esta ingresado</v>
      </c>
      <c r="H1140" s="65" t="str">
        <f>IFERROR(IF('Informe Kelly'!H1133=$A$2,'Informe Kelly'!F1133,""),0)</f>
        <v/>
      </c>
      <c r="I1140" s="65" t="str">
        <f>IFERROR(IF('Informe Kelly'!H1133=$A$3,'Informe Kelly'!F1133,""),0)</f>
        <v/>
      </c>
      <c r="J1140" s="65" t="str">
        <f>IF(IFERROR(IF(E1140=E1139,0,(HLOOKUP(D1140,Ingreso!$AN$10:$AT$260,VLOOKUP(A1140,Ingreso!$AL$11:$AM$260,2,FALSE)))/24),0)=0,"",IFERROR(IF(E1140=E1139,0,(HLOOKUP(D1140,Ingreso!$AN$10:$AT$260,VLOOKUP(A1140,Ingreso!$AL$11:$AM$260,2,FALSE)))/24),0))</f>
        <v/>
      </c>
      <c r="K1140" s="65" t="str">
        <f>IF(IFERROR(IF(E1140=E1139,0,(HLOOKUP(C1140,Ingreso!$AW$10:$BC$260,VLOOKUP(A1140,Ingreso!$AL$11:$AM$260,2,FALSE)))/24),0)=0,"",IFERROR(IF(E1140=E1139,0,(HLOOKUP(C1140,Ingreso!$AW$10:$BC$260,VLOOKUP(A1140,Ingreso!$AL$11:$AM$260,2,FALSE)))/24),0))</f>
        <v/>
      </c>
      <c r="L1140" s="63">
        <f t="shared" si="34"/>
        <v>0</v>
      </c>
      <c r="M1140" s="63" t="str">
        <f>IF(IFERROR(IF(C1140=C1138,0,IF(E1140=E1139,0,IF(C1140=$R$2,HLOOKUP($R$2,Ingreso!$AW$10:$BC$260,VLOOKUP(A1140,Ingreso!AL:AM,2,FALSE),FALSE)/24,""))),"")=0,"",IFERROR(IF(C1140=C1138,0,IF(E1140=E1139,0,IF(C1140=$R$2,HLOOKUP($R$2,Ingreso!$AW$10:$BC$260,VLOOKUP(A1140,Ingreso!AL:AM,2,FALSE),FALSE)/24,""))),""))</f>
        <v/>
      </c>
      <c r="N1140" s="95" t="str">
        <f>IF(IFERROR(IF(C1140=C1138,0,IF(E1140=E1139,0,IF(C1140=$R$3,HLOOKUP($R$3,Ingreso!$AW$10:$BC$260,VLOOKUP(A1140,Ingreso!AL:AM,2,FALSE),FALSE)/24,""))),"")=0,"",IFERROR(IF(C1140=C1138,0,IF(E1140=E1139,0,IF(C1140=$R$3,HLOOKUP($R$3,Ingreso!$AW$10:$BC$260,VLOOKUP(A1140,Ingreso!AL:AM,2,FALSE),FALSE)/24,""))),""))</f>
        <v/>
      </c>
      <c r="O1140" s="95" t="str">
        <f>IF(IFERROR(IF(C1140=C1138,0,IF(E1140=E1139,0,IF(C1140=$R$4,HLOOKUP($R$4,Ingreso!$AW$10:$BC$260,VLOOKUP(A1140,Ingreso!AL:AM,2,FALSE),FALSE)/24,""))),"")=0,"",IFERROR(IF(C1140=C1138,0,IF(E1140=E1139,0,IF(C1140=$R$4,HLOOKUP($R$4,Ingreso!$AW$10:$BC$260,VLOOKUP(A1140,Ingreso!AL:AM,2,FALSE),FALSE)/24,""))),""))</f>
        <v/>
      </c>
      <c r="P1140" s="90"/>
      <c r="V1140"/>
      <c r="W1140" s="62"/>
      <c r="X1140" s="62"/>
      <c r="Y1140" s="62"/>
      <c r="Z1140" s="62"/>
      <c r="AA1140" s="62"/>
      <c r="AB1140" s="62"/>
      <c r="AC1140" s="62"/>
    </row>
    <row r="1141" spans="1:29">
      <c r="A1141" s="65" t="str">
        <f>IFERROR(VLOOKUP('Informe Kelly'!A1134,Base!A:B,2,FALSE),"")</f>
        <v/>
      </c>
      <c r="B1141" s="65" t="str">
        <f>IFERROR(VLOOKUP('Informe Kelly'!A1134,Base!A:G,7,FALSE),"")</f>
        <v/>
      </c>
      <c r="C1141" s="69">
        <f>IF(G1141=$C$4,IF('Informe Kelly'!H1134='Control informe Kelly'!$A$2,TEXT(((LEFT('Informe Kelly'!E1134,2)*1)+1),"dd")&amp;"."&amp;MID('Informe Kelly'!E1134,4,2)&amp;"."&amp;RIGHT('Informe Kelly'!E1134,4),'Informe Kelly'!E1134),'Informe Kelly'!E1134)</f>
        <v>0</v>
      </c>
      <c r="D1141" s="69" t="str">
        <f>IF('Informe Kelly'!E1134="","",'Informe Kelly'!E1134)</f>
        <v/>
      </c>
      <c r="E1141" s="72">
        <f t="shared" si="35"/>
        <v>581</v>
      </c>
      <c r="F1141" s="72" t="str">
        <f>IFERROR(HLOOKUP(C1141,Ingreso!$Q$8:$AD$9,2,FALSE),"v")</f>
        <v>v</v>
      </c>
      <c r="G1141" s="65" t="str">
        <f>IFERROR(VLOOKUP(A1141,Ingreso!K:P,6,FALSE),"no esta ingresado")</f>
        <v>no esta ingresado</v>
      </c>
      <c r="H1141" s="65" t="str">
        <f>IFERROR(IF('Informe Kelly'!H1134=$A$2,'Informe Kelly'!F1134,""),0)</f>
        <v/>
      </c>
      <c r="I1141" s="65" t="str">
        <f>IFERROR(IF('Informe Kelly'!H1134=$A$3,'Informe Kelly'!F1134,""),0)</f>
        <v/>
      </c>
      <c r="J1141" s="65" t="str">
        <f>IF(IFERROR(IF(E1141=E1140,0,(HLOOKUP(D1141,Ingreso!$AN$10:$AT$260,VLOOKUP(A1141,Ingreso!$AL$11:$AM$260,2,FALSE)))/24),0)=0,"",IFERROR(IF(E1141=E1140,0,(HLOOKUP(D1141,Ingreso!$AN$10:$AT$260,VLOOKUP(A1141,Ingreso!$AL$11:$AM$260,2,FALSE)))/24),0))</f>
        <v/>
      </c>
      <c r="K1141" s="65" t="str">
        <f>IF(IFERROR(IF(E1141=E1140,0,(HLOOKUP(C1141,Ingreso!$AW$10:$BC$260,VLOOKUP(A1141,Ingreso!$AL$11:$AM$260,2,FALSE)))/24),0)=0,"",IFERROR(IF(E1141=E1140,0,(HLOOKUP(C1141,Ingreso!$AW$10:$BC$260,VLOOKUP(A1141,Ingreso!$AL$11:$AM$260,2,FALSE)))/24),0))</f>
        <v/>
      </c>
      <c r="L1141" s="63">
        <f t="shared" si="34"/>
        <v>0</v>
      </c>
      <c r="M1141" s="63" t="str">
        <f>IF(IFERROR(IF(C1141=C1139,0,IF(E1141=E1140,0,IF(C1141=$R$2,HLOOKUP($R$2,Ingreso!$AW$10:$BC$260,VLOOKUP(A1141,Ingreso!AL:AM,2,FALSE),FALSE)/24,""))),"")=0,"",IFERROR(IF(C1141=C1139,0,IF(E1141=E1140,0,IF(C1141=$R$2,HLOOKUP($R$2,Ingreso!$AW$10:$BC$260,VLOOKUP(A1141,Ingreso!AL:AM,2,FALSE),FALSE)/24,""))),""))</f>
        <v/>
      </c>
      <c r="N1141" s="95" t="str">
        <f>IF(IFERROR(IF(C1141=C1139,0,IF(E1141=E1140,0,IF(C1141=$R$3,HLOOKUP($R$3,Ingreso!$AW$10:$BC$260,VLOOKUP(A1141,Ingreso!AL:AM,2,FALSE),FALSE)/24,""))),"")=0,"",IFERROR(IF(C1141=C1139,0,IF(E1141=E1140,0,IF(C1141=$R$3,HLOOKUP($R$3,Ingreso!$AW$10:$BC$260,VLOOKUP(A1141,Ingreso!AL:AM,2,FALSE),FALSE)/24,""))),""))</f>
        <v/>
      </c>
      <c r="O1141" s="95" t="str">
        <f>IF(IFERROR(IF(C1141=C1139,0,IF(E1141=E1140,0,IF(C1141=$R$4,HLOOKUP($R$4,Ingreso!$AW$10:$BC$260,VLOOKUP(A1141,Ingreso!AL:AM,2,FALSE),FALSE)/24,""))),"")=0,"",IFERROR(IF(C1141=C1139,0,IF(E1141=E1140,0,IF(C1141=$R$4,HLOOKUP($R$4,Ingreso!$AW$10:$BC$260,VLOOKUP(A1141,Ingreso!AL:AM,2,FALSE),FALSE)/24,""))),""))</f>
        <v/>
      </c>
      <c r="P1141" s="90"/>
      <c r="V1141"/>
      <c r="W1141" s="62"/>
      <c r="X1141" s="62"/>
      <c r="Y1141" s="62"/>
      <c r="Z1141" s="62"/>
      <c r="AA1141" s="62"/>
      <c r="AB1141" s="62"/>
      <c r="AC1141" s="62"/>
    </row>
    <row r="1142" spans="1:29">
      <c r="A1142" s="65" t="str">
        <f>IFERROR(VLOOKUP('Informe Kelly'!A1135,Base!A:B,2,FALSE),"")</f>
        <v/>
      </c>
      <c r="B1142" s="65" t="str">
        <f>IFERROR(VLOOKUP('Informe Kelly'!A1135,Base!A:G,7,FALSE),"")</f>
        <v/>
      </c>
      <c r="C1142" s="69">
        <f>IF(G1142=$C$4,IF('Informe Kelly'!H1135='Control informe Kelly'!$A$2,TEXT(((LEFT('Informe Kelly'!E1135,2)*1)+1),"dd")&amp;"."&amp;MID('Informe Kelly'!E1135,4,2)&amp;"."&amp;RIGHT('Informe Kelly'!E1135,4),'Informe Kelly'!E1135),'Informe Kelly'!E1135)</f>
        <v>0</v>
      </c>
      <c r="D1142" s="69" t="str">
        <f>IF('Informe Kelly'!E1135="","",'Informe Kelly'!E1135)</f>
        <v/>
      </c>
      <c r="E1142" s="72">
        <f t="shared" si="35"/>
        <v>581</v>
      </c>
      <c r="F1142" s="72" t="str">
        <f>IFERROR(HLOOKUP(C1142,Ingreso!$Q$8:$AD$9,2,FALSE),"v")</f>
        <v>v</v>
      </c>
      <c r="G1142" s="65" t="str">
        <f>IFERROR(VLOOKUP(A1142,Ingreso!K:P,6,FALSE),"no esta ingresado")</f>
        <v>no esta ingresado</v>
      </c>
      <c r="H1142" s="65" t="str">
        <f>IFERROR(IF('Informe Kelly'!H1135=$A$2,'Informe Kelly'!F1135,""),0)</f>
        <v/>
      </c>
      <c r="I1142" s="65" t="str">
        <f>IFERROR(IF('Informe Kelly'!H1135=$A$3,'Informe Kelly'!F1135,""),0)</f>
        <v/>
      </c>
      <c r="J1142" s="65" t="str">
        <f>IF(IFERROR(IF(E1142=E1141,0,(HLOOKUP(D1142,Ingreso!$AN$10:$AT$260,VLOOKUP(A1142,Ingreso!$AL$11:$AM$260,2,FALSE)))/24),0)=0,"",IFERROR(IF(E1142=E1141,0,(HLOOKUP(D1142,Ingreso!$AN$10:$AT$260,VLOOKUP(A1142,Ingreso!$AL$11:$AM$260,2,FALSE)))/24),0))</f>
        <v/>
      </c>
      <c r="K1142" s="65" t="str">
        <f>IF(IFERROR(IF(E1142=E1141,0,(HLOOKUP(C1142,Ingreso!$AW$10:$BC$260,VLOOKUP(A1142,Ingreso!$AL$11:$AM$260,2,FALSE)))/24),0)=0,"",IFERROR(IF(E1142=E1141,0,(HLOOKUP(C1142,Ingreso!$AW$10:$BC$260,VLOOKUP(A1142,Ingreso!$AL$11:$AM$260,2,FALSE)))/24),0))</f>
        <v/>
      </c>
      <c r="L1142" s="63">
        <f t="shared" si="34"/>
        <v>0</v>
      </c>
      <c r="M1142" s="63" t="str">
        <f>IF(IFERROR(IF(C1142=C1140,0,IF(E1142=E1141,0,IF(C1142=$R$2,HLOOKUP($R$2,Ingreso!$AW$10:$BC$260,VLOOKUP(A1142,Ingreso!AL:AM,2,FALSE),FALSE)/24,""))),"")=0,"",IFERROR(IF(C1142=C1140,0,IF(E1142=E1141,0,IF(C1142=$R$2,HLOOKUP($R$2,Ingreso!$AW$10:$BC$260,VLOOKUP(A1142,Ingreso!AL:AM,2,FALSE),FALSE)/24,""))),""))</f>
        <v/>
      </c>
      <c r="N1142" s="95" t="str">
        <f>IF(IFERROR(IF(C1142=C1140,0,IF(E1142=E1141,0,IF(C1142=$R$3,HLOOKUP($R$3,Ingreso!$AW$10:$BC$260,VLOOKUP(A1142,Ingreso!AL:AM,2,FALSE),FALSE)/24,""))),"")=0,"",IFERROR(IF(C1142=C1140,0,IF(E1142=E1141,0,IF(C1142=$R$3,HLOOKUP($R$3,Ingreso!$AW$10:$BC$260,VLOOKUP(A1142,Ingreso!AL:AM,2,FALSE),FALSE)/24,""))),""))</f>
        <v/>
      </c>
      <c r="O1142" s="95" t="str">
        <f>IF(IFERROR(IF(C1142=C1140,0,IF(E1142=E1141,0,IF(C1142=$R$4,HLOOKUP($R$4,Ingreso!$AW$10:$BC$260,VLOOKUP(A1142,Ingreso!AL:AM,2,FALSE),FALSE)/24,""))),"")=0,"",IFERROR(IF(C1142=C1140,0,IF(E1142=E1141,0,IF(C1142=$R$4,HLOOKUP($R$4,Ingreso!$AW$10:$BC$260,VLOOKUP(A1142,Ingreso!AL:AM,2,FALSE),FALSE)/24,""))),""))</f>
        <v/>
      </c>
      <c r="P1142" s="90"/>
      <c r="V1142"/>
      <c r="W1142" s="62"/>
      <c r="X1142" s="62"/>
      <c r="Y1142" s="62"/>
      <c r="Z1142" s="62"/>
      <c r="AA1142" s="62"/>
      <c r="AB1142" s="62"/>
      <c r="AC1142" s="62"/>
    </row>
    <row r="1143" spans="1:29">
      <c r="A1143" s="65" t="str">
        <f>IFERROR(VLOOKUP('Informe Kelly'!A1136,Base!A:B,2,FALSE),"")</f>
        <v/>
      </c>
      <c r="B1143" s="65" t="str">
        <f>IFERROR(VLOOKUP('Informe Kelly'!A1136,Base!A:G,7,FALSE),"")</f>
        <v/>
      </c>
      <c r="C1143" s="69">
        <f>IF(G1143=$C$4,IF('Informe Kelly'!H1136='Control informe Kelly'!$A$2,TEXT(((LEFT('Informe Kelly'!E1136,2)*1)+1),"dd")&amp;"."&amp;MID('Informe Kelly'!E1136,4,2)&amp;"."&amp;RIGHT('Informe Kelly'!E1136,4),'Informe Kelly'!E1136),'Informe Kelly'!E1136)</f>
        <v>0</v>
      </c>
      <c r="D1143" s="69" t="str">
        <f>IF('Informe Kelly'!E1136="","",'Informe Kelly'!E1136)</f>
        <v/>
      </c>
      <c r="E1143" s="72">
        <f t="shared" si="35"/>
        <v>581</v>
      </c>
      <c r="F1143" s="72" t="str">
        <f>IFERROR(HLOOKUP(C1143,Ingreso!$Q$8:$AD$9,2,FALSE),"v")</f>
        <v>v</v>
      </c>
      <c r="G1143" s="65" t="str">
        <f>IFERROR(VLOOKUP(A1143,Ingreso!K:P,6,FALSE),"no esta ingresado")</f>
        <v>no esta ingresado</v>
      </c>
      <c r="H1143" s="65" t="str">
        <f>IFERROR(IF('Informe Kelly'!H1136=$A$2,'Informe Kelly'!F1136,""),0)</f>
        <v/>
      </c>
      <c r="I1143" s="65" t="str">
        <f>IFERROR(IF('Informe Kelly'!H1136=$A$3,'Informe Kelly'!F1136,""),0)</f>
        <v/>
      </c>
      <c r="J1143" s="65" t="str">
        <f>IF(IFERROR(IF(E1143=E1142,0,(HLOOKUP(D1143,Ingreso!$AN$10:$AT$260,VLOOKUP(A1143,Ingreso!$AL$11:$AM$260,2,FALSE)))/24),0)=0,"",IFERROR(IF(E1143=E1142,0,(HLOOKUP(D1143,Ingreso!$AN$10:$AT$260,VLOOKUP(A1143,Ingreso!$AL$11:$AM$260,2,FALSE)))/24),0))</f>
        <v/>
      </c>
      <c r="K1143" s="65" t="str">
        <f>IF(IFERROR(IF(E1143=E1142,0,(HLOOKUP(C1143,Ingreso!$AW$10:$BC$260,VLOOKUP(A1143,Ingreso!$AL$11:$AM$260,2,FALSE)))/24),0)=0,"",IFERROR(IF(E1143=E1142,0,(HLOOKUP(C1143,Ingreso!$AW$10:$BC$260,VLOOKUP(A1143,Ingreso!$AL$11:$AM$260,2,FALSE)))/24),0))</f>
        <v/>
      </c>
      <c r="L1143" s="63">
        <f t="shared" si="34"/>
        <v>0</v>
      </c>
      <c r="M1143" s="63" t="str">
        <f>IF(IFERROR(IF(C1143=C1141,0,IF(E1143=E1142,0,IF(C1143=$R$2,HLOOKUP($R$2,Ingreso!$AW$10:$BC$260,VLOOKUP(A1143,Ingreso!AL:AM,2,FALSE),FALSE)/24,""))),"")=0,"",IFERROR(IF(C1143=C1141,0,IF(E1143=E1142,0,IF(C1143=$R$2,HLOOKUP($R$2,Ingreso!$AW$10:$BC$260,VLOOKUP(A1143,Ingreso!AL:AM,2,FALSE),FALSE)/24,""))),""))</f>
        <v/>
      </c>
      <c r="N1143" s="95" t="str">
        <f>IF(IFERROR(IF(C1143=C1141,0,IF(E1143=E1142,0,IF(C1143=$R$3,HLOOKUP($R$3,Ingreso!$AW$10:$BC$260,VLOOKUP(A1143,Ingreso!AL:AM,2,FALSE),FALSE)/24,""))),"")=0,"",IFERROR(IF(C1143=C1141,0,IF(E1143=E1142,0,IF(C1143=$R$3,HLOOKUP($R$3,Ingreso!$AW$10:$BC$260,VLOOKUP(A1143,Ingreso!AL:AM,2,FALSE),FALSE)/24,""))),""))</f>
        <v/>
      </c>
      <c r="O1143" s="95" t="str">
        <f>IF(IFERROR(IF(C1143=C1141,0,IF(E1143=E1142,0,IF(C1143=$R$4,HLOOKUP($R$4,Ingreso!$AW$10:$BC$260,VLOOKUP(A1143,Ingreso!AL:AM,2,FALSE),FALSE)/24,""))),"")=0,"",IFERROR(IF(C1143=C1141,0,IF(E1143=E1142,0,IF(C1143=$R$4,HLOOKUP($R$4,Ingreso!$AW$10:$BC$260,VLOOKUP(A1143,Ingreso!AL:AM,2,FALSE),FALSE)/24,""))),""))</f>
        <v/>
      </c>
      <c r="P1143" s="90"/>
      <c r="V1143"/>
      <c r="W1143" s="62"/>
      <c r="X1143" s="62"/>
      <c r="Y1143" s="62"/>
      <c r="Z1143" s="62"/>
      <c r="AA1143" s="62"/>
      <c r="AB1143" s="62"/>
      <c r="AC1143" s="62"/>
    </row>
    <row r="1144" spans="1:29">
      <c r="A1144" s="65" t="str">
        <f>IFERROR(VLOOKUP('Informe Kelly'!A1137,Base!A:B,2,FALSE),"")</f>
        <v/>
      </c>
      <c r="B1144" s="65" t="str">
        <f>IFERROR(VLOOKUP('Informe Kelly'!A1137,Base!A:G,7,FALSE),"")</f>
        <v/>
      </c>
      <c r="C1144" s="69">
        <f>IF(G1144=$C$4,IF('Informe Kelly'!H1137='Control informe Kelly'!$A$2,TEXT(((LEFT('Informe Kelly'!E1137,2)*1)+1),"dd")&amp;"."&amp;MID('Informe Kelly'!E1137,4,2)&amp;"."&amp;RIGHT('Informe Kelly'!E1137,4),'Informe Kelly'!E1137),'Informe Kelly'!E1137)</f>
        <v>0</v>
      </c>
      <c r="D1144" s="69" t="str">
        <f>IF('Informe Kelly'!E1137="","",'Informe Kelly'!E1137)</f>
        <v/>
      </c>
      <c r="E1144" s="72">
        <f t="shared" si="35"/>
        <v>581</v>
      </c>
      <c r="F1144" s="72" t="str">
        <f>IFERROR(HLOOKUP(C1144,Ingreso!$Q$8:$AD$9,2,FALSE),"v")</f>
        <v>v</v>
      </c>
      <c r="G1144" s="65" t="str">
        <f>IFERROR(VLOOKUP(A1144,Ingreso!K:P,6,FALSE),"no esta ingresado")</f>
        <v>no esta ingresado</v>
      </c>
      <c r="H1144" s="65" t="str">
        <f>IFERROR(IF('Informe Kelly'!H1137=$A$2,'Informe Kelly'!F1137,""),0)</f>
        <v/>
      </c>
      <c r="I1144" s="65" t="str">
        <f>IFERROR(IF('Informe Kelly'!H1137=$A$3,'Informe Kelly'!F1137,""),0)</f>
        <v/>
      </c>
      <c r="J1144" s="65" t="str">
        <f>IF(IFERROR(IF(E1144=E1143,0,(HLOOKUP(D1144,Ingreso!$AN$10:$AT$260,VLOOKUP(A1144,Ingreso!$AL$11:$AM$260,2,FALSE)))/24),0)=0,"",IFERROR(IF(E1144=E1143,0,(HLOOKUP(D1144,Ingreso!$AN$10:$AT$260,VLOOKUP(A1144,Ingreso!$AL$11:$AM$260,2,FALSE)))/24),0))</f>
        <v/>
      </c>
      <c r="K1144" s="65" t="str">
        <f>IF(IFERROR(IF(E1144=E1143,0,(HLOOKUP(C1144,Ingreso!$AW$10:$BC$260,VLOOKUP(A1144,Ingreso!$AL$11:$AM$260,2,FALSE)))/24),0)=0,"",IFERROR(IF(E1144=E1143,0,(HLOOKUP(C1144,Ingreso!$AW$10:$BC$260,VLOOKUP(A1144,Ingreso!$AL$11:$AM$260,2,FALSE)))/24),0))</f>
        <v/>
      </c>
      <c r="L1144" s="63">
        <f t="shared" si="34"/>
        <v>0</v>
      </c>
      <c r="M1144" s="63" t="str">
        <f>IF(IFERROR(IF(C1144=C1142,0,IF(E1144=E1143,0,IF(C1144=$R$2,HLOOKUP($R$2,Ingreso!$AW$10:$BC$260,VLOOKUP(A1144,Ingreso!AL:AM,2,FALSE),FALSE)/24,""))),"")=0,"",IFERROR(IF(C1144=C1142,0,IF(E1144=E1143,0,IF(C1144=$R$2,HLOOKUP($R$2,Ingreso!$AW$10:$BC$260,VLOOKUP(A1144,Ingreso!AL:AM,2,FALSE),FALSE)/24,""))),""))</f>
        <v/>
      </c>
      <c r="N1144" s="95" t="str">
        <f>IF(IFERROR(IF(C1144=C1142,0,IF(E1144=E1143,0,IF(C1144=$R$3,HLOOKUP($R$3,Ingreso!$AW$10:$BC$260,VLOOKUP(A1144,Ingreso!AL:AM,2,FALSE),FALSE)/24,""))),"")=0,"",IFERROR(IF(C1144=C1142,0,IF(E1144=E1143,0,IF(C1144=$R$3,HLOOKUP($R$3,Ingreso!$AW$10:$BC$260,VLOOKUP(A1144,Ingreso!AL:AM,2,FALSE),FALSE)/24,""))),""))</f>
        <v/>
      </c>
      <c r="O1144" s="95" t="str">
        <f>IF(IFERROR(IF(C1144=C1142,0,IF(E1144=E1143,0,IF(C1144=$R$4,HLOOKUP($R$4,Ingreso!$AW$10:$BC$260,VLOOKUP(A1144,Ingreso!AL:AM,2,FALSE),FALSE)/24,""))),"")=0,"",IFERROR(IF(C1144=C1142,0,IF(E1144=E1143,0,IF(C1144=$R$4,HLOOKUP($R$4,Ingreso!$AW$10:$BC$260,VLOOKUP(A1144,Ingreso!AL:AM,2,FALSE),FALSE)/24,""))),""))</f>
        <v/>
      </c>
      <c r="P1144" s="90"/>
      <c r="V1144"/>
      <c r="W1144" s="62"/>
      <c r="X1144" s="62"/>
      <c r="Y1144" s="62"/>
      <c r="Z1144" s="62"/>
      <c r="AA1144" s="62"/>
      <c r="AB1144" s="62"/>
      <c r="AC1144" s="62"/>
    </row>
    <row r="1145" spans="1:29">
      <c r="A1145" s="65" t="str">
        <f>IFERROR(VLOOKUP('Informe Kelly'!A1138,Base!A:B,2,FALSE),"")</f>
        <v/>
      </c>
      <c r="B1145" s="65" t="str">
        <f>IFERROR(VLOOKUP('Informe Kelly'!A1138,Base!A:G,7,FALSE),"")</f>
        <v/>
      </c>
      <c r="C1145" s="69">
        <f>IF(G1145=$C$4,IF('Informe Kelly'!H1138='Control informe Kelly'!$A$2,TEXT(((LEFT('Informe Kelly'!E1138,2)*1)+1),"dd")&amp;"."&amp;MID('Informe Kelly'!E1138,4,2)&amp;"."&amp;RIGHT('Informe Kelly'!E1138,4),'Informe Kelly'!E1138),'Informe Kelly'!E1138)</f>
        <v>0</v>
      </c>
      <c r="D1145" s="69" t="str">
        <f>IF('Informe Kelly'!E1138="","",'Informe Kelly'!E1138)</f>
        <v/>
      </c>
      <c r="E1145" s="72">
        <f t="shared" si="35"/>
        <v>581</v>
      </c>
      <c r="F1145" s="72" t="str">
        <f>IFERROR(HLOOKUP(C1145,Ingreso!$Q$8:$AD$9,2,FALSE),"v")</f>
        <v>v</v>
      </c>
      <c r="G1145" s="65" t="str">
        <f>IFERROR(VLOOKUP(A1145,Ingreso!K:P,6,FALSE),"no esta ingresado")</f>
        <v>no esta ingresado</v>
      </c>
      <c r="H1145" s="65" t="str">
        <f>IFERROR(IF('Informe Kelly'!H1138=$A$2,'Informe Kelly'!F1138,""),0)</f>
        <v/>
      </c>
      <c r="I1145" s="65" t="str">
        <f>IFERROR(IF('Informe Kelly'!H1138=$A$3,'Informe Kelly'!F1138,""),0)</f>
        <v/>
      </c>
      <c r="J1145" s="65" t="str">
        <f>IF(IFERROR(IF(E1145=E1144,0,(HLOOKUP(D1145,Ingreso!$AN$10:$AT$260,VLOOKUP(A1145,Ingreso!$AL$11:$AM$260,2,FALSE)))/24),0)=0,"",IFERROR(IF(E1145=E1144,0,(HLOOKUP(D1145,Ingreso!$AN$10:$AT$260,VLOOKUP(A1145,Ingreso!$AL$11:$AM$260,2,FALSE)))/24),0))</f>
        <v/>
      </c>
      <c r="K1145" s="65" t="str">
        <f>IF(IFERROR(IF(E1145=E1144,0,(HLOOKUP(C1145,Ingreso!$AW$10:$BC$260,VLOOKUP(A1145,Ingreso!$AL$11:$AM$260,2,FALSE)))/24),0)=0,"",IFERROR(IF(E1145=E1144,0,(HLOOKUP(C1145,Ingreso!$AW$10:$BC$260,VLOOKUP(A1145,Ingreso!$AL$11:$AM$260,2,FALSE)))/24),0))</f>
        <v/>
      </c>
      <c r="L1145" s="63">
        <f t="shared" si="34"/>
        <v>0</v>
      </c>
      <c r="M1145" s="63" t="str">
        <f>IF(IFERROR(IF(C1145=C1143,0,IF(E1145=E1144,0,IF(C1145=$R$2,HLOOKUP($R$2,Ingreso!$AW$10:$BC$260,VLOOKUP(A1145,Ingreso!AL:AM,2,FALSE),FALSE)/24,""))),"")=0,"",IFERROR(IF(C1145=C1143,0,IF(E1145=E1144,0,IF(C1145=$R$2,HLOOKUP($R$2,Ingreso!$AW$10:$BC$260,VLOOKUP(A1145,Ingreso!AL:AM,2,FALSE),FALSE)/24,""))),""))</f>
        <v/>
      </c>
      <c r="N1145" s="95" t="str">
        <f>IF(IFERROR(IF(C1145=C1143,0,IF(E1145=E1144,0,IF(C1145=$R$3,HLOOKUP($R$3,Ingreso!$AW$10:$BC$260,VLOOKUP(A1145,Ingreso!AL:AM,2,FALSE),FALSE)/24,""))),"")=0,"",IFERROR(IF(C1145=C1143,0,IF(E1145=E1144,0,IF(C1145=$R$3,HLOOKUP($R$3,Ingreso!$AW$10:$BC$260,VLOOKUP(A1145,Ingreso!AL:AM,2,FALSE),FALSE)/24,""))),""))</f>
        <v/>
      </c>
      <c r="O1145" s="95" t="str">
        <f>IF(IFERROR(IF(C1145=C1143,0,IF(E1145=E1144,0,IF(C1145=$R$4,HLOOKUP($R$4,Ingreso!$AW$10:$BC$260,VLOOKUP(A1145,Ingreso!AL:AM,2,FALSE),FALSE)/24,""))),"")=0,"",IFERROR(IF(C1145=C1143,0,IF(E1145=E1144,0,IF(C1145=$R$4,HLOOKUP($R$4,Ingreso!$AW$10:$BC$260,VLOOKUP(A1145,Ingreso!AL:AM,2,FALSE),FALSE)/24,""))),""))</f>
        <v/>
      </c>
      <c r="P1145" s="90"/>
      <c r="V1145"/>
      <c r="W1145" s="62"/>
      <c r="X1145" s="62"/>
      <c r="Y1145" s="62"/>
      <c r="Z1145" s="62"/>
      <c r="AA1145" s="62"/>
      <c r="AB1145" s="62"/>
      <c r="AC1145" s="62"/>
    </row>
    <row r="1146" spans="1:29">
      <c r="A1146" s="65" t="str">
        <f>IFERROR(VLOOKUP('Informe Kelly'!A1139,Base!A:B,2,FALSE),"")</f>
        <v/>
      </c>
      <c r="B1146" s="65" t="str">
        <f>IFERROR(VLOOKUP('Informe Kelly'!A1139,Base!A:G,7,FALSE),"")</f>
        <v/>
      </c>
      <c r="C1146" s="69">
        <f>IF(G1146=$C$4,IF('Informe Kelly'!H1139='Control informe Kelly'!$A$2,TEXT(((LEFT('Informe Kelly'!E1139,2)*1)+1),"dd")&amp;"."&amp;MID('Informe Kelly'!E1139,4,2)&amp;"."&amp;RIGHT('Informe Kelly'!E1139,4),'Informe Kelly'!E1139),'Informe Kelly'!E1139)</f>
        <v>0</v>
      </c>
      <c r="D1146" s="69" t="str">
        <f>IF('Informe Kelly'!E1139="","",'Informe Kelly'!E1139)</f>
        <v/>
      </c>
      <c r="E1146" s="72">
        <f t="shared" si="35"/>
        <v>581</v>
      </c>
      <c r="F1146" s="72" t="str">
        <f>IFERROR(HLOOKUP(C1146,Ingreso!$Q$8:$AD$9,2,FALSE),"v")</f>
        <v>v</v>
      </c>
      <c r="G1146" s="65" t="str">
        <f>IFERROR(VLOOKUP(A1146,Ingreso!K:P,6,FALSE),"no esta ingresado")</f>
        <v>no esta ingresado</v>
      </c>
      <c r="H1146" s="65" t="str">
        <f>IFERROR(IF('Informe Kelly'!H1139=$A$2,'Informe Kelly'!F1139,""),0)</f>
        <v/>
      </c>
      <c r="I1146" s="65" t="str">
        <f>IFERROR(IF('Informe Kelly'!H1139=$A$3,'Informe Kelly'!F1139,""),0)</f>
        <v/>
      </c>
      <c r="J1146" s="65" t="str">
        <f>IF(IFERROR(IF(E1146=E1145,0,(HLOOKUP(D1146,Ingreso!$AN$10:$AT$260,VLOOKUP(A1146,Ingreso!$AL$11:$AM$260,2,FALSE)))/24),0)=0,"",IFERROR(IF(E1146=E1145,0,(HLOOKUP(D1146,Ingreso!$AN$10:$AT$260,VLOOKUP(A1146,Ingreso!$AL$11:$AM$260,2,FALSE)))/24),0))</f>
        <v/>
      </c>
      <c r="K1146" s="65" t="str">
        <f>IF(IFERROR(IF(E1146=E1145,0,(HLOOKUP(C1146,Ingreso!$AW$10:$BC$260,VLOOKUP(A1146,Ingreso!$AL$11:$AM$260,2,FALSE)))/24),0)=0,"",IFERROR(IF(E1146=E1145,0,(HLOOKUP(C1146,Ingreso!$AW$10:$BC$260,VLOOKUP(A1146,Ingreso!$AL$11:$AM$260,2,FALSE)))/24),0))</f>
        <v/>
      </c>
      <c r="L1146" s="63">
        <f t="shared" si="34"/>
        <v>0</v>
      </c>
      <c r="M1146" s="63" t="str">
        <f>IF(IFERROR(IF(C1146=C1144,0,IF(E1146=E1145,0,IF(C1146=$R$2,HLOOKUP($R$2,Ingreso!$AW$10:$BC$260,VLOOKUP(A1146,Ingreso!AL:AM,2,FALSE),FALSE)/24,""))),"")=0,"",IFERROR(IF(C1146=C1144,0,IF(E1146=E1145,0,IF(C1146=$R$2,HLOOKUP($R$2,Ingreso!$AW$10:$BC$260,VLOOKUP(A1146,Ingreso!AL:AM,2,FALSE),FALSE)/24,""))),""))</f>
        <v/>
      </c>
      <c r="N1146" s="95" t="str">
        <f>IF(IFERROR(IF(C1146=C1144,0,IF(E1146=E1145,0,IF(C1146=$R$3,HLOOKUP($R$3,Ingreso!$AW$10:$BC$260,VLOOKUP(A1146,Ingreso!AL:AM,2,FALSE),FALSE)/24,""))),"")=0,"",IFERROR(IF(C1146=C1144,0,IF(E1146=E1145,0,IF(C1146=$R$3,HLOOKUP($R$3,Ingreso!$AW$10:$BC$260,VLOOKUP(A1146,Ingreso!AL:AM,2,FALSE),FALSE)/24,""))),""))</f>
        <v/>
      </c>
      <c r="O1146" s="95" t="str">
        <f>IF(IFERROR(IF(C1146=C1144,0,IF(E1146=E1145,0,IF(C1146=$R$4,HLOOKUP($R$4,Ingreso!$AW$10:$BC$260,VLOOKUP(A1146,Ingreso!AL:AM,2,FALSE),FALSE)/24,""))),"")=0,"",IFERROR(IF(C1146=C1144,0,IF(E1146=E1145,0,IF(C1146=$R$4,HLOOKUP($R$4,Ingreso!$AW$10:$BC$260,VLOOKUP(A1146,Ingreso!AL:AM,2,FALSE),FALSE)/24,""))),""))</f>
        <v/>
      </c>
      <c r="P1146" s="90"/>
      <c r="V1146"/>
      <c r="W1146" s="62"/>
      <c r="X1146" s="62"/>
      <c r="Y1146" s="62"/>
      <c r="Z1146" s="62"/>
      <c r="AA1146" s="62"/>
      <c r="AB1146" s="62"/>
      <c r="AC1146" s="62"/>
    </row>
    <row r="1147" spans="1:29">
      <c r="A1147" s="65" t="str">
        <f>IFERROR(VLOOKUP('Informe Kelly'!A1140,Base!A:B,2,FALSE),"")</f>
        <v/>
      </c>
      <c r="B1147" s="65" t="str">
        <f>IFERROR(VLOOKUP('Informe Kelly'!A1140,Base!A:G,7,FALSE),"")</f>
        <v/>
      </c>
      <c r="C1147" s="69">
        <f>IF(G1147=$C$4,IF('Informe Kelly'!H1140='Control informe Kelly'!$A$2,TEXT(((LEFT('Informe Kelly'!E1140,2)*1)+1),"dd")&amp;"."&amp;MID('Informe Kelly'!E1140,4,2)&amp;"."&amp;RIGHT('Informe Kelly'!E1140,4),'Informe Kelly'!E1140),'Informe Kelly'!E1140)</f>
        <v>0</v>
      </c>
      <c r="D1147" s="69" t="str">
        <f>IF('Informe Kelly'!E1140="","",'Informe Kelly'!E1140)</f>
        <v/>
      </c>
      <c r="E1147" s="72">
        <f t="shared" si="35"/>
        <v>581</v>
      </c>
      <c r="F1147" s="72" t="str">
        <f>IFERROR(HLOOKUP(C1147,Ingreso!$Q$8:$AD$9,2,FALSE),"v")</f>
        <v>v</v>
      </c>
      <c r="G1147" s="65" t="str">
        <f>IFERROR(VLOOKUP(A1147,Ingreso!K:P,6,FALSE),"no esta ingresado")</f>
        <v>no esta ingresado</v>
      </c>
      <c r="H1147" s="65" t="str">
        <f>IFERROR(IF('Informe Kelly'!H1140=$A$2,'Informe Kelly'!F1140,""),0)</f>
        <v/>
      </c>
      <c r="I1147" s="65" t="str">
        <f>IFERROR(IF('Informe Kelly'!H1140=$A$3,'Informe Kelly'!F1140,""),0)</f>
        <v/>
      </c>
      <c r="J1147" s="65" t="str">
        <f>IF(IFERROR(IF(E1147=E1146,0,(HLOOKUP(D1147,Ingreso!$AN$10:$AT$260,VLOOKUP(A1147,Ingreso!$AL$11:$AM$260,2,FALSE)))/24),0)=0,"",IFERROR(IF(E1147=E1146,0,(HLOOKUP(D1147,Ingreso!$AN$10:$AT$260,VLOOKUP(A1147,Ingreso!$AL$11:$AM$260,2,FALSE)))/24),0))</f>
        <v/>
      </c>
      <c r="K1147" s="65" t="str">
        <f>IF(IFERROR(IF(E1147=E1146,0,(HLOOKUP(C1147,Ingreso!$AW$10:$BC$260,VLOOKUP(A1147,Ingreso!$AL$11:$AM$260,2,FALSE)))/24),0)=0,"",IFERROR(IF(E1147=E1146,0,(HLOOKUP(C1147,Ingreso!$AW$10:$BC$260,VLOOKUP(A1147,Ingreso!$AL$11:$AM$260,2,FALSE)))/24),0))</f>
        <v/>
      </c>
      <c r="L1147" s="63">
        <f t="shared" si="34"/>
        <v>0</v>
      </c>
      <c r="M1147" s="63" t="str">
        <f>IF(IFERROR(IF(C1147=C1145,0,IF(E1147=E1146,0,IF(C1147=$R$2,HLOOKUP($R$2,Ingreso!$AW$10:$BC$260,VLOOKUP(A1147,Ingreso!AL:AM,2,FALSE),FALSE)/24,""))),"")=0,"",IFERROR(IF(C1147=C1145,0,IF(E1147=E1146,0,IF(C1147=$R$2,HLOOKUP($R$2,Ingreso!$AW$10:$BC$260,VLOOKUP(A1147,Ingreso!AL:AM,2,FALSE),FALSE)/24,""))),""))</f>
        <v/>
      </c>
      <c r="N1147" s="95" t="str">
        <f>IF(IFERROR(IF(C1147=C1145,0,IF(E1147=E1146,0,IF(C1147=$R$3,HLOOKUP($R$3,Ingreso!$AW$10:$BC$260,VLOOKUP(A1147,Ingreso!AL:AM,2,FALSE),FALSE)/24,""))),"")=0,"",IFERROR(IF(C1147=C1145,0,IF(E1147=E1146,0,IF(C1147=$R$3,HLOOKUP($R$3,Ingreso!$AW$10:$BC$260,VLOOKUP(A1147,Ingreso!AL:AM,2,FALSE),FALSE)/24,""))),""))</f>
        <v/>
      </c>
      <c r="O1147" s="95" t="str">
        <f>IF(IFERROR(IF(C1147=C1145,0,IF(E1147=E1146,0,IF(C1147=$R$4,HLOOKUP($R$4,Ingreso!$AW$10:$BC$260,VLOOKUP(A1147,Ingreso!AL:AM,2,FALSE),FALSE)/24,""))),"")=0,"",IFERROR(IF(C1147=C1145,0,IF(E1147=E1146,0,IF(C1147=$R$4,HLOOKUP($R$4,Ingreso!$AW$10:$BC$260,VLOOKUP(A1147,Ingreso!AL:AM,2,FALSE),FALSE)/24,""))),""))</f>
        <v/>
      </c>
      <c r="P1147" s="90"/>
      <c r="V1147"/>
      <c r="W1147" s="62"/>
      <c r="X1147" s="62"/>
      <c r="Y1147" s="62"/>
      <c r="Z1147" s="62"/>
      <c r="AA1147" s="62"/>
      <c r="AB1147" s="62"/>
      <c r="AC1147" s="62"/>
    </row>
    <row r="1148" spans="1:29">
      <c r="A1148" s="65" t="str">
        <f>IFERROR(VLOOKUP('Informe Kelly'!A1141,Base!A:B,2,FALSE),"")</f>
        <v/>
      </c>
      <c r="B1148" s="65" t="str">
        <f>IFERROR(VLOOKUP('Informe Kelly'!A1141,Base!A:G,7,FALSE),"")</f>
        <v/>
      </c>
      <c r="C1148" s="69">
        <f>IF(G1148=$C$4,IF('Informe Kelly'!H1141='Control informe Kelly'!$A$2,TEXT(((LEFT('Informe Kelly'!E1141,2)*1)+1),"dd")&amp;"."&amp;MID('Informe Kelly'!E1141,4,2)&amp;"."&amp;RIGHT('Informe Kelly'!E1141,4),'Informe Kelly'!E1141),'Informe Kelly'!E1141)</f>
        <v>0</v>
      </c>
      <c r="D1148" s="69" t="str">
        <f>IF('Informe Kelly'!E1141="","",'Informe Kelly'!E1141)</f>
        <v/>
      </c>
      <c r="E1148" s="72">
        <f t="shared" si="35"/>
        <v>581</v>
      </c>
      <c r="F1148" s="72" t="str">
        <f>IFERROR(HLOOKUP(C1148,Ingreso!$Q$8:$AD$9,2,FALSE),"v")</f>
        <v>v</v>
      </c>
      <c r="G1148" s="65" t="str">
        <f>IFERROR(VLOOKUP(A1148,Ingreso!K:P,6,FALSE),"no esta ingresado")</f>
        <v>no esta ingresado</v>
      </c>
      <c r="H1148" s="65" t="str">
        <f>IFERROR(IF('Informe Kelly'!H1141=$A$2,'Informe Kelly'!F1141,""),0)</f>
        <v/>
      </c>
      <c r="I1148" s="65" t="str">
        <f>IFERROR(IF('Informe Kelly'!H1141=$A$3,'Informe Kelly'!F1141,""),0)</f>
        <v/>
      </c>
      <c r="J1148" s="65" t="str">
        <f>IF(IFERROR(IF(E1148=E1147,0,(HLOOKUP(D1148,Ingreso!$AN$10:$AT$260,VLOOKUP(A1148,Ingreso!$AL$11:$AM$260,2,FALSE)))/24),0)=0,"",IFERROR(IF(E1148=E1147,0,(HLOOKUP(D1148,Ingreso!$AN$10:$AT$260,VLOOKUP(A1148,Ingreso!$AL$11:$AM$260,2,FALSE)))/24),0))</f>
        <v/>
      </c>
      <c r="K1148" s="65" t="str">
        <f>IF(IFERROR(IF(E1148=E1147,0,(HLOOKUP(C1148,Ingreso!$AW$10:$BC$260,VLOOKUP(A1148,Ingreso!$AL$11:$AM$260,2,FALSE)))/24),0)=0,"",IFERROR(IF(E1148=E1147,0,(HLOOKUP(C1148,Ingreso!$AW$10:$BC$260,VLOOKUP(A1148,Ingreso!$AL$11:$AM$260,2,FALSE)))/24),0))</f>
        <v/>
      </c>
      <c r="L1148" s="63">
        <f t="shared" si="34"/>
        <v>0</v>
      </c>
      <c r="M1148" s="63" t="str">
        <f>IF(IFERROR(IF(C1148=C1146,0,IF(E1148=E1147,0,IF(C1148=$R$2,HLOOKUP($R$2,Ingreso!$AW$10:$BC$260,VLOOKUP(A1148,Ingreso!AL:AM,2,FALSE),FALSE)/24,""))),"")=0,"",IFERROR(IF(C1148=C1146,0,IF(E1148=E1147,0,IF(C1148=$R$2,HLOOKUP($R$2,Ingreso!$AW$10:$BC$260,VLOOKUP(A1148,Ingreso!AL:AM,2,FALSE),FALSE)/24,""))),""))</f>
        <v/>
      </c>
      <c r="N1148" s="95" t="str">
        <f>IF(IFERROR(IF(C1148=C1146,0,IF(E1148=E1147,0,IF(C1148=$R$3,HLOOKUP($R$3,Ingreso!$AW$10:$BC$260,VLOOKUP(A1148,Ingreso!AL:AM,2,FALSE),FALSE)/24,""))),"")=0,"",IFERROR(IF(C1148=C1146,0,IF(E1148=E1147,0,IF(C1148=$R$3,HLOOKUP($R$3,Ingreso!$AW$10:$BC$260,VLOOKUP(A1148,Ingreso!AL:AM,2,FALSE),FALSE)/24,""))),""))</f>
        <v/>
      </c>
      <c r="O1148" s="95" t="str">
        <f>IF(IFERROR(IF(C1148=C1146,0,IF(E1148=E1147,0,IF(C1148=$R$4,HLOOKUP($R$4,Ingreso!$AW$10:$BC$260,VLOOKUP(A1148,Ingreso!AL:AM,2,FALSE),FALSE)/24,""))),"")=0,"",IFERROR(IF(C1148=C1146,0,IF(E1148=E1147,0,IF(C1148=$R$4,HLOOKUP($R$4,Ingreso!$AW$10:$BC$260,VLOOKUP(A1148,Ingreso!AL:AM,2,FALSE),FALSE)/24,""))),""))</f>
        <v/>
      </c>
      <c r="P1148" s="90"/>
      <c r="V1148"/>
      <c r="W1148" s="62"/>
      <c r="X1148" s="62"/>
      <c r="Y1148" s="62"/>
      <c r="Z1148" s="62"/>
      <c r="AA1148" s="62"/>
      <c r="AB1148" s="62"/>
      <c r="AC1148" s="62"/>
    </row>
    <row r="1149" spans="1:29">
      <c r="A1149" s="65" t="str">
        <f>IFERROR(VLOOKUP('Informe Kelly'!A1142,Base!A:B,2,FALSE),"")</f>
        <v/>
      </c>
      <c r="B1149" s="65" t="str">
        <f>IFERROR(VLOOKUP('Informe Kelly'!A1142,Base!A:G,7,FALSE),"")</f>
        <v/>
      </c>
      <c r="C1149" s="69">
        <f>IF(G1149=$C$4,IF('Informe Kelly'!H1142='Control informe Kelly'!$A$2,TEXT(((LEFT('Informe Kelly'!E1142,2)*1)+1),"dd")&amp;"."&amp;MID('Informe Kelly'!E1142,4,2)&amp;"."&amp;RIGHT('Informe Kelly'!E1142,4),'Informe Kelly'!E1142),'Informe Kelly'!E1142)</f>
        <v>0</v>
      </c>
      <c r="D1149" s="69" t="str">
        <f>IF('Informe Kelly'!E1142="","",'Informe Kelly'!E1142)</f>
        <v/>
      </c>
      <c r="E1149" s="72">
        <f t="shared" si="35"/>
        <v>581</v>
      </c>
      <c r="F1149" s="72" t="str">
        <f>IFERROR(HLOOKUP(C1149,Ingreso!$Q$8:$AD$9,2,FALSE),"v")</f>
        <v>v</v>
      </c>
      <c r="G1149" s="65" t="str">
        <f>IFERROR(VLOOKUP(A1149,Ingreso!K:P,6,FALSE),"no esta ingresado")</f>
        <v>no esta ingresado</v>
      </c>
      <c r="H1149" s="65" t="str">
        <f>IFERROR(IF('Informe Kelly'!H1142=$A$2,'Informe Kelly'!F1142,""),0)</f>
        <v/>
      </c>
      <c r="I1149" s="65" t="str">
        <f>IFERROR(IF('Informe Kelly'!H1142=$A$3,'Informe Kelly'!F1142,""),0)</f>
        <v/>
      </c>
      <c r="J1149" s="65" t="str">
        <f>IF(IFERROR(IF(E1149=E1148,0,(HLOOKUP(D1149,Ingreso!$AN$10:$AT$260,VLOOKUP(A1149,Ingreso!$AL$11:$AM$260,2,FALSE)))/24),0)=0,"",IFERROR(IF(E1149=E1148,0,(HLOOKUP(D1149,Ingreso!$AN$10:$AT$260,VLOOKUP(A1149,Ingreso!$AL$11:$AM$260,2,FALSE)))/24),0))</f>
        <v/>
      </c>
      <c r="K1149" s="65" t="str">
        <f>IF(IFERROR(IF(E1149=E1148,0,(HLOOKUP(C1149,Ingreso!$AW$10:$BC$260,VLOOKUP(A1149,Ingreso!$AL$11:$AM$260,2,FALSE)))/24),0)=0,"",IFERROR(IF(E1149=E1148,0,(HLOOKUP(C1149,Ingreso!$AW$10:$BC$260,VLOOKUP(A1149,Ingreso!$AL$11:$AM$260,2,FALSE)))/24),0))</f>
        <v/>
      </c>
      <c r="L1149" s="63">
        <f t="shared" si="34"/>
        <v>0</v>
      </c>
      <c r="M1149" s="63" t="str">
        <f>IF(IFERROR(IF(C1149=C1147,0,IF(E1149=E1148,0,IF(C1149=$R$2,HLOOKUP($R$2,Ingreso!$AW$10:$BC$260,VLOOKUP(A1149,Ingreso!AL:AM,2,FALSE),FALSE)/24,""))),"")=0,"",IFERROR(IF(C1149=C1147,0,IF(E1149=E1148,0,IF(C1149=$R$2,HLOOKUP($R$2,Ingreso!$AW$10:$BC$260,VLOOKUP(A1149,Ingreso!AL:AM,2,FALSE),FALSE)/24,""))),""))</f>
        <v/>
      </c>
      <c r="N1149" s="95" t="str">
        <f>IF(IFERROR(IF(C1149=C1147,0,IF(E1149=E1148,0,IF(C1149=$R$3,HLOOKUP($R$3,Ingreso!$AW$10:$BC$260,VLOOKUP(A1149,Ingreso!AL:AM,2,FALSE),FALSE)/24,""))),"")=0,"",IFERROR(IF(C1149=C1147,0,IF(E1149=E1148,0,IF(C1149=$R$3,HLOOKUP($R$3,Ingreso!$AW$10:$BC$260,VLOOKUP(A1149,Ingreso!AL:AM,2,FALSE),FALSE)/24,""))),""))</f>
        <v/>
      </c>
      <c r="O1149" s="95" t="str">
        <f>IF(IFERROR(IF(C1149=C1147,0,IF(E1149=E1148,0,IF(C1149=$R$4,HLOOKUP($R$4,Ingreso!$AW$10:$BC$260,VLOOKUP(A1149,Ingreso!AL:AM,2,FALSE),FALSE)/24,""))),"")=0,"",IFERROR(IF(C1149=C1147,0,IF(E1149=E1148,0,IF(C1149=$R$4,HLOOKUP($R$4,Ingreso!$AW$10:$BC$260,VLOOKUP(A1149,Ingreso!AL:AM,2,FALSE),FALSE)/24,""))),""))</f>
        <v/>
      </c>
      <c r="P1149" s="90"/>
      <c r="V1149"/>
      <c r="W1149" s="62"/>
      <c r="X1149" s="62"/>
      <c r="Y1149" s="62"/>
      <c r="Z1149" s="62"/>
      <c r="AA1149" s="62"/>
      <c r="AB1149" s="62"/>
      <c r="AC1149" s="62"/>
    </row>
    <row r="1150" spans="1:29">
      <c r="A1150" s="65" t="str">
        <f>IFERROR(VLOOKUP('Informe Kelly'!A1143,Base!A:B,2,FALSE),"")</f>
        <v/>
      </c>
      <c r="B1150" s="65" t="str">
        <f>IFERROR(VLOOKUP('Informe Kelly'!A1143,Base!A:G,7,FALSE),"")</f>
        <v/>
      </c>
      <c r="C1150" s="69">
        <f>IF(G1150=$C$4,IF('Informe Kelly'!H1143='Control informe Kelly'!$A$2,TEXT(((LEFT('Informe Kelly'!E1143,2)*1)+1),"dd")&amp;"."&amp;MID('Informe Kelly'!E1143,4,2)&amp;"."&amp;RIGHT('Informe Kelly'!E1143,4),'Informe Kelly'!E1143),'Informe Kelly'!E1143)</f>
        <v>0</v>
      </c>
      <c r="D1150" s="69" t="str">
        <f>IF('Informe Kelly'!E1143="","",'Informe Kelly'!E1143)</f>
        <v/>
      </c>
      <c r="E1150" s="72">
        <f t="shared" si="35"/>
        <v>581</v>
      </c>
      <c r="F1150" s="72" t="str">
        <f>IFERROR(HLOOKUP(C1150,Ingreso!$Q$8:$AD$9,2,FALSE),"v")</f>
        <v>v</v>
      </c>
      <c r="G1150" s="65" t="str">
        <f>IFERROR(VLOOKUP(A1150,Ingreso!K:P,6,FALSE),"no esta ingresado")</f>
        <v>no esta ingresado</v>
      </c>
      <c r="H1150" s="65" t="str">
        <f>IFERROR(IF('Informe Kelly'!H1143=$A$2,'Informe Kelly'!F1143,""),0)</f>
        <v/>
      </c>
      <c r="I1150" s="65" t="str">
        <f>IFERROR(IF('Informe Kelly'!H1143=$A$3,'Informe Kelly'!F1143,""),0)</f>
        <v/>
      </c>
      <c r="J1150" s="65" t="str">
        <f>IF(IFERROR(IF(E1150=E1149,0,(HLOOKUP(D1150,Ingreso!$AN$10:$AT$260,VLOOKUP(A1150,Ingreso!$AL$11:$AM$260,2,FALSE)))/24),0)=0,"",IFERROR(IF(E1150=E1149,0,(HLOOKUP(D1150,Ingreso!$AN$10:$AT$260,VLOOKUP(A1150,Ingreso!$AL$11:$AM$260,2,FALSE)))/24),0))</f>
        <v/>
      </c>
      <c r="K1150" s="65" t="str">
        <f>IF(IFERROR(IF(E1150=E1149,0,(HLOOKUP(C1150,Ingreso!$AW$10:$BC$260,VLOOKUP(A1150,Ingreso!$AL$11:$AM$260,2,FALSE)))/24),0)=0,"",IFERROR(IF(E1150=E1149,0,(HLOOKUP(C1150,Ingreso!$AW$10:$BC$260,VLOOKUP(A1150,Ingreso!$AL$11:$AM$260,2,FALSE)))/24),0))</f>
        <v/>
      </c>
      <c r="L1150" s="63">
        <f t="shared" si="34"/>
        <v>0</v>
      </c>
      <c r="M1150" s="63" t="str">
        <f>IF(IFERROR(IF(C1150=C1148,0,IF(E1150=E1149,0,IF(C1150=$R$2,HLOOKUP($R$2,Ingreso!$AW$10:$BC$260,VLOOKUP(A1150,Ingreso!AL:AM,2,FALSE),FALSE)/24,""))),"")=0,"",IFERROR(IF(C1150=C1148,0,IF(E1150=E1149,0,IF(C1150=$R$2,HLOOKUP($R$2,Ingreso!$AW$10:$BC$260,VLOOKUP(A1150,Ingreso!AL:AM,2,FALSE),FALSE)/24,""))),""))</f>
        <v/>
      </c>
      <c r="N1150" s="95" t="str">
        <f>IF(IFERROR(IF(C1150=C1148,0,IF(E1150=E1149,0,IF(C1150=$R$3,HLOOKUP($R$3,Ingreso!$AW$10:$BC$260,VLOOKUP(A1150,Ingreso!AL:AM,2,FALSE),FALSE)/24,""))),"")=0,"",IFERROR(IF(C1150=C1148,0,IF(E1150=E1149,0,IF(C1150=$R$3,HLOOKUP($R$3,Ingreso!$AW$10:$BC$260,VLOOKUP(A1150,Ingreso!AL:AM,2,FALSE),FALSE)/24,""))),""))</f>
        <v/>
      </c>
      <c r="O1150" s="95" t="str">
        <f>IF(IFERROR(IF(C1150=C1148,0,IF(E1150=E1149,0,IF(C1150=$R$4,HLOOKUP($R$4,Ingreso!$AW$10:$BC$260,VLOOKUP(A1150,Ingreso!AL:AM,2,FALSE),FALSE)/24,""))),"")=0,"",IFERROR(IF(C1150=C1148,0,IF(E1150=E1149,0,IF(C1150=$R$4,HLOOKUP($R$4,Ingreso!$AW$10:$BC$260,VLOOKUP(A1150,Ingreso!AL:AM,2,FALSE),FALSE)/24,""))),""))</f>
        <v/>
      </c>
      <c r="P1150" s="90"/>
      <c r="V1150"/>
      <c r="W1150" s="62"/>
      <c r="X1150" s="62"/>
      <c r="Y1150" s="62"/>
      <c r="Z1150" s="62"/>
      <c r="AA1150" s="62"/>
      <c r="AB1150" s="62"/>
      <c r="AC1150" s="62"/>
    </row>
    <row r="1151" spans="1:29">
      <c r="A1151" s="65" t="str">
        <f>IFERROR(VLOOKUP('Informe Kelly'!A1144,Base!A:B,2,FALSE),"")</f>
        <v/>
      </c>
      <c r="B1151" s="65" t="str">
        <f>IFERROR(VLOOKUP('Informe Kelly'!A1144,Base!A:G,7,FALSE),"")</f>
        <v/>
      </c>
      <c r="C1151" s="69">
        <f>IF(G1151=$C$4,IF('Informe Kelly'!H1144='Control informe Kelly'!$A$2,TEXT(((LEFT('Informe Kelly'!E1144,2)*1)+1),"dd")&amp;"."&amp;MID('Informe Kelly'!E1144,4,2)&amp;"."&amp;RIGHT('Informe Kelly'!E1144,4),'Informe Kelly'!E1144),'Informe Kelly'!E1144)</f>
        <v>0</v>
      </c>
      <c r="D1151" s="69" t="str">
        <f>IF('Informe Kelly'!E1144="","",'Informe Kelly'!E1144)</f>
        <v/>
      </c>
      <c r="E1151" s="72">
        <f t="shared" si="35"/>
        <v>581</v>
      </c>
      <c r="F1151" s="72" t="str">
        <f>IFERROR(HLOOKUP(C1151,Ingreso!$Q$8:$AD$9,2,FALSE),"v")</f>
        <v>v</v>
      </c>
      <c r="G1151" s="65" t="str">
        <f>IFERROR(VLOOKUP(A1151,Ingreso!K:P,6,FALSE),"no esta ingresado")</f>
        <v>no esta ingresado</v>
      </c>
      <c r="H1151" s="65" t="str">
        <f>IFERROR(IF('Informe Kelly'!H1144=$A$2,'Informe Kelly'!F1144,""),0)</f>
        <v/>
      </c>
      <c r="I1151" s="65" t="str">
        <f>IFERROR(IF('Informe Kelly'!H1144=$A$3,'Informe Kelly'!F1144,""),0)</f>
        <v/>
      </c>
      <c r="J1151" s="65" t="str">
        <f>IF(IFERROR(IF(E1151=E1150,0,(HLOOKUP(D1151,Ingreso!$AN$10:$AT$260,VLOOKUP(A1151,Ingreso!$AL$11:$AM$260,2,FALSE)))/24),0)=0,"",IFERROR(IF(E1151=E1150,0,(HLOOKUP(D1151,Ingreso!$AN$10:$AT$260,VLOOKUP(A1151,Ingreso!$AL$11:$AM$260,2,FALSE)))/24),0))</f>
        <v/>
      </c>
      <c r="K1151" s="65" t="str">
        <f>IF(IFERROR(IF(E1151=E1150,0,(HLOOKUP(C1151,Ingreso!$AW$10:$BC$260,VLOOKUP(A1151,Ingreso!$AL$11:$AM$260,2,FALSE)))/24),0)=0,"",IFERROR(IF(E1151=E1150,0,(HLOOKUP(C1151,Ingreso!$AW$10:$BC$260,VLOOKUP(A1151,Ingreso!$AL$11:$AM$260,2,FALSE)))/24),0))</f>
        <v/>
      </c>
      <c r="L1151" s="63">
        <f t="shared" si="34"/>
        <v>0</v>
      </c>
      <c r="M1151" s="63" t="str">
        <f>IF(IFERROR(IF(C1151=C1149,0,IF(E1151=E1150,0,IF(C1151=$R$2,HLOOKUP($R$2,Ingreso!$AW$10:$BC$260,VLOOKUP(A1151,Ingreso!AL:AM,2,FALSE),FALSE)/24,""))),"")=0,"",IFERROR(IF(C1151=C1149,0,IF(E1151=E1150,0,IF(C1151=$R$2,HLOOKUP($R$2,Ingreso!$AW$10:$BC$260,VLOOKUP(A1151,Ingreso!AL:AM,2,FALSE),FALSE)/24,""))),""))</f>
        <v/>
      </c>
      <c r="N1151" s="95" t="str">
        <f>IF(IFERROR(IF(C1151=C1149,0,IF(E1151=E1150,0,IF(C1151=$R$3,HLOOKUP($R$3,Ingreso!$AW$10:$BC$260,VLOOKUP(A1151,Ingreso!AL:AM,2,FALSE),FALSE)/24,""))),"")=0,"",IFERROR(IF(C1151=C1149,0,IF(E1151=E1150,0,IF(C1151=$R$3,HLOOKUP($R$3,Ingreso!$AW$10:$BC$260,VLOOKUP(A1151,Ingreso!AL:AM,2,FALSE),FALSE)/24,""))),""))</f>
        <v/>
      </c>
      <c r="O1151" s="95" t="str">
        <f>IF(IFERROR(IF(C1151=C1149,0,IF(E1151=E1150,0,IF(C1151=$R$4,HLOOKUP($R$4,Ingreso!$AW$10:$BC$260,VLOOKUP(A1151,Ingreso!AL:AM,2,FALSE),FALSE)/24,""))),"")=0,"",IFERROR(IF(C1151=C1149,0,IF(E1151=E1150,0,IF(C1151=$R$4,HLOOKUP($R$4,Ingreso!$AW$10:$BC$260,VLOOKUP(A1151,Ingreso!AL:AM,2,FALSE),FALSE)/24,""))),""))</f>
        <v/>
      </c>
      <c r="P1151" s="90"/>
      <c r="V1151"/>
      <c r="W1151" s="62"/>
      <c r="X1151" s="62"/>
      <c r="Y1151" s="62"/>
      <c r="Z1151" s="62"/>
      <c r="AA1151" s="62"/>
      <c r="AB1151" s="62"/>
      <c r="AC1151" s="62"/>
    </row>
    <row r="1152" spans="1:29">
      <c r="A1152" s="65" t="str">
        <f>IFERROR(VLOOKUP('Informe Kelly'!A1145,Base!A:B,2,FALSE),"")</f>
        <v/>
      </c>
      <c r="B1152" s="65" t="str">
        <f>IFERROR(VLOOKUP('Informe Kelly'!A1145,Base!A:G,7,FALSE),"")</f>
        <v/>
      </c>
      <c r="C1152" s="69">
        <f>IF(G1152=$C$4,IF('Informe Kelly'!H1145='Control informe Kelly'!$A$2,TEXT(((LEFT('Informe Kelly'!E1145,2)*1)+1),"dd")&amp;"."&amp;MID('Informe Kelly'!E1145,4,2)&amp;"."&amp;RIGHT('Informe Kelly'!E1145,4),'Informe Kelly'!E1145),'Informe Kelly'!E1145)</f>
        <v>0</v>
      </c>
      <c r="D1152" s="69" t="str">
        <f>IF('Informe Kelly'!E1145="","",'Informe Kelly'!E1145)</f>
        <v/>
      </c>
      <c r="E1152" s="72">
        <f t="shared" si="35"/>
        <v>581</v>
      </c>
      <c r="F1152" s="72" t="str">
        <f>IFERROR(HLOOKUP(C1152,Ingreso!$Q$8:$AD$9,2,FALSE),"v")</f>
        <v>v</v>
      </c>
      <c r="G1152" s="65" t="str">
        <f>IFERROR(VLOOKUP(A1152,Ingreso!K:P,6,FALSE),"no esta ingresado")</f>
        <v>no esta ingresado</v>
      </c>
      <c r="H1152" s="65" t="str">
        <f>IFERROR(IF('Informe Kelly'!H1145=$A$2,'Informe Kelly'!F1145,""),0)</f>
        <v/>
      </c>
      <c r="I1152" s="65" t="str">
        <f>IFERROR(IF('Informe Kelly'!H1145=$A$3,'Informe Kelly'!F1145,""),0)</f>
        <v/>
      </c>
      <c r="J1152" s="65" t="str">
        <f>IF(IFERROR(IF(E1152=E1151,0,(HLOOKUP(D1152,Ingreso!$AN$10:$AT$260,VLOOKUP(A1152,Ingreso!$AL$11:$AM$260,2,FALSE)))/24),0)=0,"",IFERROR(IF(E1152=E1151,0,(HLOOKUP(D1152,Ingreso!$AN$10:$AT$260,VLOOKUP(A1152,Ingreso!$AL$11:$AM$260,2,FALSE)))/24),0))</f>
        <v/>
      </c>
      <c r="K1152" s="65" t="str">
        <f>IF(IFERROR(IF(E1152=E1151,0,(HLOOKUP(C1152,Ingreso!$AW$10:$BC$260,VLOOKUP(A1152,Ingreso!$AL$11:$AM$260,2,FALSE)))/24),0)=0,"",IFERROR(IF(E1152=E1151,0,(HLOOKUP(C1152,Ingreso!$AW$10:$BC$260,VLOOKUP(A1152,Ingreso!$AL$11:$AM$260,2,FALSE)))/24),0))</f>
        <v/>
      </c>
      <c r="L1152" s="63">
        <f t="shared" si="34"/>
        <v>0</v>
      </c>
      <c r="M1152" s="63" t="str">
        <f>IF(IFERROR(IF(C1152=C1150,0,IF(E1152=E1151,0,IF(C1152=$R$2,HLOOKUP($R$2,Ingreso!$AW$10:$BC$260,VLOOKUP(A1152,Ingreso!AL:AM,2,FALSE),FALSE)/24,""))),"")=0,"",IFERROR(IF(C1152=C1150,0,IF(E1152=E1151,0,IF(C1152=$R$2,HLOOKUP($R$2,Ingreso!$AW$10:$BC$260,VLOOKUP(A1152,Ingreso!AL:AM,2,FALSE),FALSE)/24,""))),""))</f>
        <v/>
      </c>
      <c r="N1152" s="95" t="str">
        <f>IF(IFERROR(IF(C1152=C1150,0,IF(E1152=E1151,0,IF(C1152=$R$3,HLOOKUP($R$3,Ingreso!$AW$10:$BC$260,VLOOKUP(A1152,Ingreso!AL:AM,2,FALSE),FALSE)/24,""))),"")=0,"",IFERROR(IF(C1152=C1150,0,IF(E1152=E1151,0,IF(C1152=$R$3,HLOOKUP($R$3,Ingreso!$AW$10:$BC$260,VLOOKUP(A1152,Ingreso!AL:AM,2,FALSE),FALSE)/24,""))),""))</f>
        <v/>
      </c>
      <c r="O1152" s="95" t="str">
        <f>IF(IFERROR(IF(C1152=C1150,0,IF(E1152=E1151,0,IF(C1152=$R$4,HLOOKUP($R$4,Ingreso!$AW$10:$BC$260,VLOOKUP(A1152,Ingreso!AL:AM,2,FALSE),FALSE)/24,""))),"")=0,"",IFERROR(IF(C1152=C1150,0,IF(E1152=E1151,0,IF(C1152=$R$4,HLOOKUP($R$4,Ingreso!$AW$10:$BC$260,VLOOKUP(A1152,Ingreso!AL:AM,2,FALSE),FALSE)/24,""))),""))</f>
        <v/>
      </c>
      <c r="P1152" s="90"/>
      <c r="V1152"/>
      <c r="W1152" s="62"/>
      <c r="X1152" s="62"/>
      <c r="Y1152" s="62"/>
      <c r="Z1152" s="62"/>
      <c r="AA1152" s="62"/>
      <c r="AB1152" s="62"/>
      <c r="AC1152" s="62"/>
    </row>
    <row r="1153" spans="1:29">
      <c r="A1153" s="65" t="str">
        <f>IFERROR(VLOOKUP('Informe Kelly'!A1146,Base!A:B,2,FALSE),"")</f>
        <v/>
      </c>
      <c r="B1153" s="65" t="str">
        <f>IFERROR(VLOOKUP('Informe Kelly'!A1146,Base!A:G,7,FALSE),"")</f>
        <v/>
      </c>
      <c r="C1153" s="69">
        <f>IF(G1153=$C$4,IF('Informe Kelly'!H1146='Control informe Kelly'!$A$2,TEXT(((LEFT('Informe Kelly'!E1146,2)*1)+1),"dd")&amp;"."&amp;MID('Informe Kelly'!E1146,4,2)&amp;"."&amp;RIGHT('Informe Kelly'!E1146,4),'Informe Kelly'!E1146),'Informe Kelly'!E1146)</f>
        <v>0</v>
      </c>
      <c r="D1153" s="69" t="str">
        <f>IF('Informe Kelly'!E1146="","",'Informe Kelly'!E1146)</f>
        <v/>
      </c>
      <c r="E1153" s="72">
        <f t="shared" si="35"/>
        <v>581</v>
      </c>
      <c r="F1153" s="72" t="str">
        <f>IFERROR(HLOOKUP(C1153,Ingreso!$Q$8:$AD$9,2,FALSE),"v")</f>
        <v>v</v>
      </c>
      <c r="G1153" s="65" t="str">
        <f>IFERROR(VLOOKUP(A1153,Ingreso!K:P,6,FALSE),"no esta ingresado")</f>
        <v>no esta ingresado</v>
      </c>
      <c r="H1153" s="65" t="str">
        <f>IFERROR(IF('Informe Kelly'!H1146=$A$2,'Informe Kelly'!F1146,""),0)</f>
        <v/>
      </c>
      <c r="I1153" s="65" t="str">
        <f>IFERROR(IF('Informe Kelly'!H1146=$A$3,'Informe Kelly'!F1146,""),0)</f>
        <v/>
      </c>
      <c r="J1153" s="65" t="str">
        <f>IF(IFERROR(IF(E1153=E1152,0,(HLOOKUP(D1153,Ingreso!$AN$10:$AT$260,VLOOKUP(A1153,Ingreso!$AL$11:$AM$260,2,FALSE)))/24),0)=0,"",IFERROR(IF(E1153=E1152,0,(HLOOKUP(D1153,Ingreso!$AN$10:$AT$260,VLOOKUP(A1153,Ingreso!$AL$11:$AM$260,2,FALSE)))/24),0))</f>
        <v/>
      </c>
      <c r="K1153" s="65" t="str">
        <f>IF(IFERROR(IF(E1153=E1152,0,(HLOOKUP(C1153,Ingreso!$AW$10:$BC$260,VLOOKUP(A1153,Ingreso!$AL$11:$AM$260,2,FALSE)))/24),0)=0,"",IFERROR(IF(E1153=E1152,0,(HLOOKUP(C1153,Ingreso!$AW$10:$BC$260,VLOOKUP(A1153,Ingreso!$AL$11:$AM$260,2,FALSE)))/24),0))</f>
        <v/>
      </c>
      <c r="L1153" s="63">
        <f t="shared" si="34"/>
        <v>0</v>
      </c>
      <c r="M1153" s="63" t="str">
        <f>IF(IFERROR(IF(C1153=C1151,0,IF(E1153=E1152,0,IF(C1153=$R$2,HLOOKUP($R$2,Ingreso!$AW$10:$BC$260,VLOOKUP(A1153,Ingreso!AL:AM,2,FALSE),FALSE)/24,""))),"")=0,"",IFERROR(IF(C1153=C1151,0,IF(E1153=E1152,0,IF(C1153=$R$2,HLOOKUP($R$2,Ingreso!$AW$10:$BC$260,VLOOKUP(A1153,Ingreso!AL:AM,2,FALSE),FALSE)/24,""))),""))</f>
        <v/>
      </c>
      <c r="N1153" s="95" t="str">
        <f>IF(IFERROR(IF(C1153=C1151,0,IF(E1153=E1152,0,IF(C1153=$R$3,HLOOKUP($R$3,Ingreso!$AW$10:$BC$260,VLOOKUP(A1153,Ingreso!AL:AM,2,FALSE),FALSE)/24,""))),"")=0,"",IFERROR(IF(C1153=C1151,0,IF(E1153=E1152,0,IF(C1153=$R$3,HLOOKUP($R$3,Ingreso!$AW$10:$BC$260,VLOOKUP(A1153,Ingreso!AL:AM,2,FALSE),FALSE)/24,""))),""))</f>
        <v/>
      </c>
      <c r="O1153" s="95" t="str">
        <f>IF(IFERROR(IF(C1153=C1151,0,IF(E1153=E1152,0,IF(C1153=$R$4,HLOOKUP($R$4,Ingreso!$AW$10:$BC$260,VLOOKUP(A1153,Ingreso!AL:AM,2,FALSE),FALSE)/24,""))),"")=0,"",IFERROR(IF(C1153=C1151,0,IF(E1153=E1152,0,IF(C1153=$R$4,HLOOKUP($R$4,Ingreso!$AW$10:$BC$260,VLOOKUP(A1153,Ingreso!AL:AM,2,FALSE),FALSE)/24,""))),""))</f>
        <v/>
      </c>
      <c r="P1153" s="90"/>
      <c r="V1153"/>
      <c r="W1153" s="62"/>
      <c r="X1153" s="62"/>
      <c r="Y1153" s="62"/>
      <c r="Z1153" s="62"/>
      <c r="AA1153" s="62"/>
      <c r="AB1153" s="62"/>
      <c r="AC1153" s="62"/>
    </row>
    <row r="1154" spans="1:29">
      <c r="A1154" s="65" t="str">
        <f>IFERROR(VLOOKUP('Informe Kelly'!A1147,Base!A:B,2,FALSE),"")</f>
        <v/>
      </c>
      <c r="B1154" s="65" t="str">
        <f>IFERROR(VLOOKUP('Informe Kelly'!A1147,Base!A:G,7,FALSE),"")</f>
        <v/>
      </c>
      <c r="C1154" s="69">
        <f>IF(G1154=$C$4,IF('Informe Kelly'!H1147='Control informe Kelly'!$A$2,TEXT(((LEFT('Informe Kelly'!E1147,2)*1)+1),"dd")&amp;"."&amp;MID('Informe Kelly'!E1147,4,2)&amp;"."&amp;RIGHT('Informe Kelly'!E1147,4),'Informe Kelly'!E1147),'Informe Kelly'!E1147)</f>
        <v>0</v>
      </c>
      <c r="D1154" s="69" t="str">
        <f>IF('Informe Kelly'!E1147="","",'Informe Kelly'!E1147)</f>
        <v/>
      </c>
      <c r="E1154" s="72">
        <f t="shared" si="35"/>
        <v>581</v>
      </c>
      <c r="F1154" s="72" t="str">
        <f>IFERROR(HLOOKUP(C1154,Ingreso!$Q$8:$AD$9,2,FALSE),"v")</f>
        <v>v</v>
      </c>
      <c r="G1154" s="65" t="str">
        <f>IFERROR(VLOOKUP(A1154,Ingreso!K:P,6,FALSE),"no esta ingresado")</f>
        <v>no esta ingresado</v>
      </c>
      <c r="H1154" s="65" t="str">
        <f>IFERROR(IF('Informe Kelly'!H1147=$A$2,'Informe Kelly'!F1147,""),0)</f>
        <v/>
      </c>
      <c r="I1154" s="65" t="str">
        <f>IFERROR(IF('Informe Kelly'!H1147=$A$3,'Informe Kelly'!F1147,""),0)</f>
        <v/>
      </c>
      <c r="J1154" s="65" t="str">
        <f>IF(IFERROR(IF(E1154=E1153,0,(HLOOKUP(D1154,Ingreso!$AN$10:$AT$260,VLOOKUP(A1154,Ingreso!$AL$11:$AM$260,2,FALSE)))/24),0)=0,"",IFERROR(IF(E1154=E1153,0,(HLOOKUP(D1154,Ingreso!$AN$10:$AT$260,VLOOKUP(A1154,Ingreso!$AL$11:$AM$260,2,FALSE)))/24),0))</f>
        <v/>
      </c>
      <c r="K1154" s="65" t="str">
        <f>IF(IFERROR(IF(E1154=E1153,0,(HLOOKUP(C1154,Ingreso!$AW$10:$BC$260,VLOOKUP(A1154,Ingreso!$AL$11:$AM$260,2,FALSE)))/24),0)=0,"",IFERROR(IF(E1154=E1153,0,(HLOOKUP(C1154,Ingreso!$AW$10:$BC$260,VLOOKUP(A1154,Ingreso!$AL$11:$AM$260,2,FALSE)))/24),0))</f>
        <v/>
      </c>
      <c r="L1154" s="63">
        <f t="shared" si="34"/>
        <v>0</v>
      </c>
      <c r="M1154" s="63" t="str">
        <f>IF(IFERROR(IF(C1154=C1152,0,IF(E1154=E1153,0,IF(C1154=$R$2,HLOOKUP($R$2,Ingreso!$AW$10:$BC$260,VLOOKUP(A1154,Ingreso!AL:AM,2,FALSE),FALSE)/24,""))),"")=0,"",IFERROR(IF(C1154=C1152,0,IF(E1154=E1153,0,IF(C1154=$R$2,HLOOKUP($R$2,Ingreso!$AW$10:$BC$260,VLOOKUP(A1154,Ingreso!AL:AM,2,FALSE),FALSE)/24,""))),""))</f>
        <v/>
      </c>
      <c r="N1154" s="95" t="str">
        <f>IF(IFERROR(IF(C1154=C1152,0,IF(E1154=E1153,0,IF(C1154=$R$3,HLOOKUP($R$3,Ingreso!$AW$10:$BC$260,VLOOKUP(A1154,Ingreso!AL:AM,2,FALSE),FALSE)/24,""))),"")=0,"",IFERROR(IF(C1154=C1152,0,IF(E1154=E1153,0,IF(C1154=$R$3,HLOOKUP($R$3,Ingreso!$AW$10:$BC$260,VLOOKUP(A1154,Ingreso!AL:AM,2,FALSE),FALSE)/24,""))),""))</f>
        <v/>
      </c>
      <c r="O1154" s="95" t="str">
        <f>IF(IFERROR(IF(C1154=C1152,0,IF(E1154=E1153,0,IF(C1154=$R$4,HLOOKUP($R$4,Ingreso!$AW$10:$BC$260,VLOOKUP(A1154,Ingreso!AL:AM,2,FALSE),FALSE)/24,""))),"")=0,"",IFERROR(IF(C1154=C1152,0,IF(E1154=E1153,0,IF(C1154=$R$4,HLOOKUP($R$4,Ingreso!$AW$10:$BC$260,VLOOKUP(A1154,Ingreso!AL:AM,2,FALSE),FALSE)/24,""))),""))</f>
        <v/>
      </c>
      <c r="P1154" s="90"/>
      <c r="V1154"/>
      <c r="W1154" s="62"/>
      <c r="X1154" s="62"/>
      <c r="Y1154" s="62"/>
      <c r="Z1154" s="62"/>
      <c r="AA1154" s="62"/>
      <c r="AB1154" s="62"/>
      <c r="AC1154" s="62"/>
    </row>
    <row r="1155" spans="1:29">
      <c r="A1155" s="65" t="str">
        <f>IFERROR(VLOOKUP('Informe Kelly'!A1148,Base!A:B,2,FALSE),"")</f>
        <v/>
      </c>
      <c r="B1155" s="65" t="str">
        <f>IFERROR(VLOOKUP('Informe Kelly'!A1148,Base!A:G,7,FALSE),"")</f>
        <v/>
      </c>
      <c r="C1155" s="69">
        <f>IF(G1155=$C$4,IF('Informe Kelly'!H1148='Control informe Kelly'!$A$2,TEXT(((LEFT('Informe Kelly'!E1148,2)*1)+1),"dd")&amp;"."&amp;MID('Informe Kelly'!E1148,4,2)&amp;"."&amp;RIGHT('Informe Kelly'!E1148,4),'Informe Kelly'!E1148),'Informe Kelly'!E1148)</f>
        <v>0</v>
      </c>
      <c r="D1155" s="69" t="str">
        <f>IF('Informe Kelly'!E1148="","",'Informe Kelly'!E1148)</f>
        <v/>
      </c>
      <c r="E1155" s="72">
        <f t="shared" si="35"/>
        <v>581</v>
      </c>
      <c r="F1155" s="72" t="str">
        <f>IFERROR(HLOOKUP(C1155,Ingreso!$Q$8:$AD$9,2,FALSE),"v")</f>
        <v>v</v>
      </c>
      <c r="G1155" s="65" t="str">
        <f>IFERROR(VLOOKUP(A1155,Ingreso!K:P,6,FALSE),"no esta ingresado")</f>
        <v>no esta ingresado</v>
      </c>
      <c r="H1155" s="65" t="str">
        <f>IFERROR(IF('Informe Kelly'!H1148=$A$2,'Informe Kelly'!F1148,""),0)</f>
        <v/>
      </c>
      <c r="I1155" s="65" t="str">
        <f>IFERROR(IF('Informe Kelly'!H1148=$A$3,'Informe Kelly'!F1148,""),0)</f>
        <v/>
      </c>
      <c r="J1155" s="65" t="str">
        <f>IF(IFERROR(IF(E1155=E1154,0,(HLOOKUP(D1155,Ingreso!$AN$10:$AT$260,VLOOKUP(A1155,Ingreso!$AL$11:$AM$260,2,FALSE)))/24),0)=0,"",IFERROR(IF(E1155=E1154,0,(HLOOKUP(D1155,Ingreso!$AN$10:$AT$260,VLOOKUP(A1155,Ingreso!$AL$11:$AM$260,2,FALSE)))/24),0))</f>
        <v/>
      </c>
      <c r="K1155" s="65" t="str">
        <f>IF(IFERROR(IF(E1155=E1154,0,(HLOOKUP(C1155,Ingreso!$AW$10:$BC$260,VLOOKUP(A1155,Ingreso!$AL$11:$AM$260,2,FALSE)))/24),0)=0,"",IFERROR(IF(E1155=E1154,0,(HLOOKUP(C1155,Ingreso!$AW$10:$BC$260,VLOOKUP(A1155,Ingreso!$AL$11:$AM$260,2,FALSE)))/24),0))</f>
        <v/>
      </c>
      <c r="L1155" s="63">
        <f t="shared" si="34"/>
        <v>0</v>
      </c>
      <c r="M1155" s="63" t="str">
        <f>IF(IFERROR(IF(C1155=C1153,0,IF(E1155=E1154,0,IF(C1155=$R$2,HLOOKUP($R$2,Ingreso!$AW$10:$BC$260,VLOOKUP(A1155,Ingreso!AL:AM,2,FALSE),FALSE)/24,""))),"")=0,"",IFERROR(IF(C1155=C1153,0,IF(E1155=E1154,0,IF(C1155=$R$2,HLOOKUP($R$2,Ingreso!$AW$10:$BC$260,VLOOKUP(A1155,Ingreso!AL:AM,2,FALSE),FALSE)/24,""))),""))</f>
        <v/>
      </c>
      <c r="N1155" s="95" t="str">
        <f>IF(IFERROR(IF(C1155=C1153,0,IF(E1155=E1154,0,IF(C1155=$R$3,HLOOKUP($R$3,Ingreso!$AW$10:$BC$260,VLOOKUP(A1155,Ingreso!AL:AM,2,FALSE),FALSE)/24,""))),"")=0,"",IFERROR(IF(C1155=C1153,0,IF(E1155=E1154,0,IF(C1155=$R$3,HLOOKUP($R$3,Ingreso!$AW$10:$BC$260,VLOOKUP(A1155,Ingreso!AL:AM,2,FALSE),FALSE)/24,""))),""))</f>
        <v/>
      </c>
      <c r="O1155" s="95" t="str">
        <f>IF(IFERROR(IF(C1155=C1153,0,IF(E1155=E1154,0,IF(C1155=$R$4,HLOOKUP($R$4,Ingreso!$AW$10:$BC$260,VLOOKUP(A1155,Ingreso!AL:AM,2,FALSE),FALSE)/24,""))),"")=0,"",IFERROR(IF(C1155=C1153,0,IF(E1155=E1154,0,IF(C1155=$R$4,HLOOKUP($R$4,Ingreso!$AW$10:$BC$260,VLOOKUP(A1155,Ingreso!AL:AM,2,FALSE),FALSE)/24,""))),""))</f>
        <v/>
      </c>
      <c r="P1155" s="90"/>
      <c r="V1155"/>
      <c r="W1155" s="62"/>
      <c r="X1155" s="62"/>
      <c r="Y1155" s="62"/>
      <c r="Z1155" s="62"/>
      <c r="AA1155" s="62"/>
      <c r="AB1155" s="62"/>
      <c r="AC1155" s="62"/>
    </row>
    <row r="1156" spans="1:29">
      <c r="A1156" s="65" t="str">
        <f>IFERROR(VLOOKUP('Informe Kelly'!A1149,Base!A:B,2,FALSE),"")</f>
        <v/>
      </c>
      <c r="B1156" s="65" t="str">
        <f>IFERROR(VLOOKUP('Informe Kelly'!A1149,Base!A:G,7,FALSE),"")</f>
        <v/>
      </c>
      <c r="C1156" s="69">
        <f>IF(G1156=$C$4,IF('Informe Kelly'!H1149='Control informe Kelly'!$A$2,TEXT(((LEFT('Informe Kelly'!E1149,2)*1)+1),"dd")&amp;"."&amp;MID('Informe Kelly'!E1149,4,2)&amp;"."&amp;RIGHT('Informe Kelly'!E1149,4),'Informe Kelly'!E1149),'Informe Kelly'!E1149)</f>
        <v>0</v>
      </c>
      <c r="D1156" s="69" t="str">
        <f>IF('Informe Kelly'!E1149="","",'Informe Kelly'!E1149)</f>
        <v/>
      </c>
      <c r="E1156" s="72">
        <f t="shared" si="35"/>
        <v>581</v>
      </c>
      <c r="F1156" s="72" t="str">
        <f>IFERROR(HLOOKUP(C1156,Ingreso!$Q$8:$AD$9,2,FALSE),"v")</f>
        <v>v</v>
      </c>
      <c r="G1156" s="65" t="str">
        <f>IFERROR(VLOOKUP(A1156,Ingreso!K:P,6,FALSE),"no esta ingresado")</f>
        <v>no esta ingresado</v>
      </c>
      <c r="H1156" s="65" t="str">
        <f>IFERROR(IF('Informe Kelly'!H1149=$A$2,'Informe Kelly'!F1149,""),0)</f>
        <v/>
      </c>
      <c r="I1156" s="65" t="str">
        <f>IFERROR(IF('Informe Kelly'!H1149=$A$3,'Informe Kelly'!F1149,""),0)</f>
        <v/>
      </c>
      <c r="J1156" s="65" t="str">
        <f>IF(IFERROR(IF(E1156=E1155,0,(HLOOKUP(D1156,Ingreso!$AN$10:$AT$260,VLOOKUP(A1156,Ingreso!$AL$11:$AM$260,2,FALSE)))/24),0)=0,"",IFERROR(IF(E1156=E1155,0,(HLOOKUP(D1156,Ingreso!$AN$10:$AT$260,VLOOKUP(A1156,Ingreso!$AL$11:$AM$260,2,FALSE)))/24),0))</f>
        <v/>
      </c>
      <c r="K1156" s="65" t="str">
        <f>IF(IFERROR(IF(E1156=E1155,0,(HLOOKUP(C1156,Ingreso!$AW$10:$BC$260,VLOOKUP(A1156,Ingreso!$AL$11:$AM$260,2,FALSE)))/24),0)=0,"",IFERROR(IF(E1156=E1155,0,(HLOOKUP(C1156,Ingreso!$AW$10:$BC$260,VLOOKUP(A1156,Ingreso!$AL$11:$AM$260,2,FALSE)))/24),0))</f>
        <v/>
      </c>
      <c r="L1156" s="63">
        <f t="shared" si="34"/>
        <v>0</v>
      </c>
      <c r="M1156" s="63" t="str">
        <f>IF(IFERROR(IF(C1156=C1154,0,IF(E1156=E1155,0,IF(C1156=$R$2,HLOOKUP($R$2,Ingreso!$AW$10:$BC$260,VLOOKUP(A1156,Ingreso!AL:AM,2,FALSE),FALSE)/24,""))),"")=0,"",IFERROR(IF(C1156=C1154,0,IF(E1156=E1155,0,IF(C1156=$R$2,HLOOKUP($R$2,Ingreso!$AW$10:$BC$260,VLOOKUP(A1156,Ingreso!AL:AM,2,FALSE),FALSE)/24,""))),""))</f>
        <v/>
      </c>
      <c r="N1156" s="95" t="str">
        <f>IF(IFERROR(IF(C1156=C1154,0,IF(E1156=E1155,0,IF(C1156=$R$3,HLOOKUP($R$3,Ingreso!$AW$10:$BC$260,VLOOKUP(A1156,Ingreso!AL:AM,2,FALSE),FALSE)/24,""))),"")=0,"",IFERROR(IF(C1156=C1154,0,IF(E1156=E1155,0,IF(C1156=$R$3,HLOOKUP($R$3,Ingreso!$AW$10:$BC$260,VLOOKUP(A1156,Ingreso!AL:AM,2,FALSE),FALSE)/24,""))),""))</f>
        <v/>
      </c>
      <c r="O1156" s="95" t="str">
        <f>IF(IFERROR(IF(C1156=C1154,0,IF(E1156=E1155,0,IF(C1156=$R$4,HLOOKUP($R$4,Ingreso!$AW$10:$BC$260,VLOOKUP(A1156,Ingreso!AL:AM,2,FALSE),FALSE)/24,""))),"")=0,"",IFERROR(IF(C1156=C1154,0,IF(E1156=E1155,0,IF(C1156=$R$4,HLOOKUP($R$4,Ingreso!$AW$10:$BC$260,VLOOKUP(A1156,Ingreso!AL:AM,2,FALSE),FALSE)/24,""))),""))</f>
        <v/>
      </c>
      <c r="P1156" s="90"/>
      <c r="V1156"/>
      <c r="W1156" s="62"/>
      <c r="X1156" s="62"/>
      <c r="Y1156" s="62"/>
      <c r="Z1156" s="62"/>
      <c r="AA1156" s="62"/>
      <c r="AB1156" s="62"/>
      <c r="AC1156" s="62"/>
    </row>
    <row r="1157" spans="1:29">
      <c r="A1157" s="65" t="str">
        <f>IFERROR(VLOOKUP('Informe Kelly'!A1150,Base!A:B,2,FALSE),"")</f>
        <v/>
      </c>
      <c r="B1157" s="65" t="str">
        <f>IFERROR(VLOOKUP('Informe Kelly'!A1150,Base!A:G,7,FALSE),"")</f>
        <v/>
      </c>
      <c r="C1157" s="69">
        <f>IF(G1157=$C$4,IF('Informe Kelly'!H1150='Control informe Kelly'!$A$2,TEXT(((LEFT('Informe Kelly'!E1150,2)*1)+1),"dd")&amp;"."&amp;MID('Informe Kelly'!E1150,4,2)&amp;"."&amp;RIGHT('Informe Kelly'!E1150,4),'Informe Kelly'!E1150),'Informe Kelly'!E1150)</f>
        <v>0</v>
      </c>
      <c r="D1157" s="69" t="str">
        <f>IF('Informe Kelly'!E1150="","",'Informe Kelly'!E1150)</f>
        <v/>
      </c>
      <c r="E1157" s="72">
        <f t="shared" si="35"/>
        <v>581</v>
      </c>
      <c r="F1157" s="72" t="str">
        <f>IFERROR(HLOOKUP(C1157,Ingreso!$Q$8:$AD$9,2,FALSE),"v")</f>
        <v>v</v>
      </c>
      <c r="G1157" s="65" t="str">
        <f>IFERROR(VLOOKUP(A1157,Ingreso!K:P,6,FALSE),"no esta ingresado")</f>
        <v>no esta ingresado</v>
      </c>
      <c r="H1157" s="65" t="str">
        <f>IFERROR(IF('Informe Kelly'!H1150=$A$2,'Informe Kelly'!F1150,""),0)</f>
        <v/>
      </c>
      <c r="I1157" s="65" t="str">
        <f>IFERROR(IF('Informe Kelly'!H1150=$A$3,'Informe Kelly'!F1150,""),0)</f>
        <v/>
      </c>
      <c r="J1157" s="65" t="str">
        <f>IF(IFERROR(IF(E1157=E1156,0,(HLOOKUP(D1157,Ingreso!$AN$10:$AT$260,VLOOKUP(A1157,Ingreso!$AL$11:$AM$260,2,FALSE)))/24),0)=0,"",IFERROR(IF(E1157=E1156,0,(HLOOKUP(D1157,Ingreso!$AN$10:$AT$260,VLOOKUP(A1157,Ingreso!$AL$11:$AM$260,2,FALSE)))/24),0))</f>
        <v/>
      </c>
      <c r="K1157" s="65" t="str">
        <f>IF(IFERROR(IF(E1157=E1156,0,(HLOOKUP(C1157,Ingreso!$AW$10:$BC$260,VLOOKUP(A1157,Ingreso!$AL$11:$AM$260,2,FALSE)))/24),0)=0,"",IFERROR(IF(E1157=E1156,0,(HLOOKUP(C1157,Ingreso!$AW$10:$BC$260,VLOOKUP(A1157,Ingreso!$AL$11:$AM$260,2,FALSE)))/24),0))</f>
        <v/>
      </c>
      <c r="L1157" s="63">
        <f t="shared" si="34"/>
        <v>0</v>
      </c>
      <c r="M1157" s="63" t="str">
        <f>IF(IFERROR(IF(C1157=C1155,0,IF(E1157=E1156,0,IF(C1157=$R$2,HLOOKUP($R$2,Ingreso!$AW$10:$BC$260,VLOOKUP(A1157,Ingreso!AL:AM,2,FALSE),FALSE)/24,""))),"")=0,"",IFERROR(IF(C1157=C1155,0,IF(E1157=E1156,0,IF(C1157=$R$2,HLOOKUP($R$2,Ingreso!$AW$10:$BC$260,VLOOKUP(A1157,Ingreso!AL:AM,2,FALSE),FALSE)/24,""))),""))</f>
        <v/>
      </c>
      <c r="N1157" s="95" t="str">
        <f>IF(IFERROR(IF(C1157=C1155,0,IF(E1157=E1156,0,IF(C1157=$R$3,HLOOKUP($R$3,Ingreso!$AW$10:$BC$260,VLOOKUP(A1157,Ingreso!AL:AM,2,FALSE),FALSE)/24,""))),"")=0,"",IFERROR(IF(C1157=C1155,0,IF(E1157=E1156,0,IF(C1157=$R$3,HLOOKUP($R$3,Ingreso!$AW$10:$BC$260,VLOOKUP(A1157,Ingreso!AL:AM,2,FALSE),FALSE)/24,""))),""))</f>
        <v/>
      </c>
      <c r="O1157" s="95" t="str">
        <f>IF(IFERROR(IF(C1157=C1155,0,IF(E1157=E1156,0,IF(C1157=$R$4,HLOOKUP($R$4,Ingreso!$AW$10:$BC$260,VLOOKUP(A1157,Ingreso!AL:AM,2,FALSE),FALSE)/24,""))),"")=0,"",IFERROR(IF(C1157=C1155,0,IF(E1157=E1156,0,IF(C1157=$R$4,HLOOKUP($R$4,Ingreso!$AW$10:$BC$260,VLOOKUP(A1157,Ingreso!AL:AM,2,FALSE),FALSE)/24,""))),""))</f>
        <v/>
      </c>
      <c r="P1157" s="90"/>
      <c r="V1157"/>
      <c r="W1157" s="62"/>
      <c r="X1157" s="62"/>
      <c r="Y1157" s="62"/>
      <c r="Z1157" s="62"/>
      <c r="AA1157" s="62"/>
      <c r="AB1157" s="62"/>
      <c r="AC1157" s="62"/>
    </row>
    <row r="1158" spans="1:29">
      <c r="A1158" s="65" t="str">
        <f>IFERROR(VLOOKUP('Informe Kelly'!A1151,Base!A:B,2,FALSE),"")</f>
        <v/>
      </c>
      <c r="B1158" s="65" t="str">
        <f>IFERROR(VLOOKUP('Informe Kelly'!A1151,Base!A:G,7,FALSE),"")</f>
        <v/>
      </c>
      <c r="C1158" s="69">
        <f>IF(G1158=$C$4,IF('Informe Kelly'!H1151='Control informe Kelly'!$A$2,TEXT(((LEFT('Informe Kelly'!E1151,2)*1)+1),"dd")&amp;"."&amp;MID('Informe Kelly'!E1151,4,2)&amp;"."&amp;RIGHT('Informe Kelly'!E1151,4),'Informe Kelly'!E1151),'Informe Kelly'!E1151)</f>
        <v>0</v>
      </c>
      <c r="D1158" s="69" t="str">
        <f>IF('Informe Kelly'!E1151="","",'Informe Kelly'!E1151)</f>
        <v/>
      </c>
      <c r="E1158" s="72">
        <f t="shared" si="35"/>
        <v>581</v>
      </c>
      <c r="F1158" s="72" t="str">
        <f>IFERROR(HLOOKUP(C1158,Ingreso!$Q$8:$AD$9,2,FALSE),"v")</f>
        <v>v</v>
      </c>
      <c r="G1158" s="65" t="str">
        <f>IFERROR(VLOOKUP(A1158,Ingreso!K:P,6,FALSE),"no esta ingresado")</f>
        <v>no esta ingresado</v>
      </c>
      <c r="H1158" s="65" t="str">
        <f>IFERROR(IF('Informe Kelly'!H1151=$A$2,'Informe Kelly'!F1151,""),0)</f>
        <v/>
      </c>
      <c r="I1158" s="65" t="str">
        <f>IFERROR(IF('Informe Kelly'!H1151=$A$3,'Informe Kelly'!F1151,""),0)</f>
        <v/>
      </c>
      <c r="J1158" s="65" t="str">
        <f>IF(IFERROR(IF(E1158=E1157,0,(HLOOKUP(D1158,Ingreso!$AN$10:$AT$260,VLOOKUP(A1158,Ingreso!$AL$11:$AM$260,2,FALSE)))/24),0)=0,"",IFERROR(IF(E1158=E1157,0,(HLOOKUP(D1158,Ingreso!$AN$10:$AT$260,VLOOKUP(A1158,Ingreso!$AL$11:$AM$260,2,FALSE)))/24),0))</f>
        <v/>
      </c>
      <c r="K1158" s="65" t="str">
        <f>IF(IFERROR(IF(E1158=E1157,0,(HLOOKUP(C1158,Ingreso!$AW$10:$BC$260,VLOOKUP(A1158,Ingreso!$AL$11:$AM$260,2,FALSE)))/24),0)=0,"",IFERROR(IF(E1158=E1157,0,(HLOOKUP(C1158,Ingreso!$AW$10:$BC$260,VLOOKUP(A1158,Ingreso!$AL$11:$AM$260,2,FALSE)))/24),0))</f>
        <v/>
      </c>
      <c r="L1158" s="63">
        <f t="shared" si="34"/>
        <v>0</v>
      </c>
      <c r="M1158" s="63" t="str">
        <f>IF(IFERROR(IF(C1158=C1156,0,IF(E1158=E1157,0,IF(C1158=$R$2,HLOOKUP($R$2,Ingreso!$AW$10:$BC$260,VLOOKUP(A1158,Ingreso!AL:AM,2,FALSE),FALSE)/24,""))),"")=0,"",IFERROR(IF(C1158=C1156,0,IF(E1158=E1157,0,IF(C1158=$R$2,HLOOKUP($R$2,Ingreso!$AW$10:$BC$260,VLOOKUP(A1158,Ingreso!AL:AM,2,FALSE),FALSE)/24,""))),""))</f>
        <v/>
      </c>
      <c r="N1158" s="95" t="str">
        <f>IF(IFERROR(IF(C1158=C1156,0,IF(E1158=E1157,0,IF(C1158=$R$3,HLOOKUP($R$3,Ingreso!$AW$10:$BC$260,VLOOKUP(A1158,Ingreso!AL:AM,2,FALSE),FALSE)/24,""))),"")=0,"",IFERROR(IF(C1158=C1156,0,IF(E1158=E1157,0,IF(C1158=$R$3,HLOOKUP($R$3,Ingreso!$AW$10:$BC$260,VLOOKUP(A1158,Ingreso!AL:AM,2,FALSE),FALSE)/24,""))),""))</f>
        <v/>
      </c>
      <c r="O1158" s="95" t="str">
        <f>IF(IFERROR(IF(C1158=C1156,0,IF(E1158=E1157,0,IF(C1158=$R$4,HLOOKUP($R$4,Ingreso!$AW$10:$BC$260,VLOOKUP(A1158,Ingreso!AL:AM,2,FALSE),FALSE)/24,""))),"")=0,"",IFERROR(IF(C1158=C1156,0,IF(E1158=E1157,0,IF(C1158=$R$4,HLOOKUP($R$4,Ingreso!$AW$10:$BC$260,VLOOKUP(A1158,Ingreso!AL:AM,2,FALSE),FALSE)/24,""))),""))</f>
        <v/>
      </c>
      <c r="P1158" s="90"/>
      <c r="V1158"/>
      <c r="W1158" s="62"/>
      <c r="X1158" s="62"/>
      <c r="Y1158" s="62"/>
      <c r="Z1158" s="62"/>
      <c r="AA1158" s="62"/>
      <c r="AB1158" s="62"/>
      <c r="AC1158" s="62"/>
    </row>
    <row r="1159" spans="1:29">
      <c r="A1159" s="65" t="str">
        <f>IFERROR(VLOOKUP('Informe Kelly'!A1152,Base!A:B,2,FALSE),"")</f>
        <v/>
      </c>
      <c r="B1159" s="65" t="str">
        <f>IFERROR(VLOOKUP('Informe Kelly'!A1152,Base!A:G,7,FALSE),"")</f>
        <v/>
      </c>
      <c r="C1159" s="69">
        <f>IF(G1159=$C$4,IF('Informe Kelly'!H1152='Control informe Kelly'!$A$2,TEXT(((LEFT('Informe Kelly'!E1152,2)*1)+1),"dd")&amp;"."&amp;MID('Informe Kelly'!E1152,4,2)&amp;"."&amp;RIGHT('Informe Kelly'!E1152,4),'Informe Kelly'!E1152),'Informe Kelly'!E1152)</f>
        <v>0</v>
      </c>
      <c r="D1159" s="69" t="str">
        <f>IF('Informe Kelly'!E1152="","",'Informe Kelly'!E1152)</f>
        <v/>
      </c>
      <c r="E1159" s="72">
        <f t="shared" si="35"/>
        <v>581</v>
      </c>
      <c r="F1159" s="72" t="str">
        <f>IFERROR(HLOOKUP(C1159,Ingreso!$Q$8:$AD$9,2,FALSE),"v")</f>
        <v>v</v>
      </c>
      <c r="G1159" s="65" t="str">
        <f>IFERROR(VLOOKUP(A1159,Ingreso!K:P,6,FALSE),"no esta ingresado")</f>
        <v>no esta ingresado</v>
      </c>
      <c r="H1159" s="65" t="str">
        <f>IFERROR(IF('Informe Kelly'!H1152=$A$2,'Informe Kelly'!F1152,""),0)</f>
        <v/>
      </c>
      <c r="I1159" s="65" t="str">
        <f>IFERROR(IF('Informe Kelly'!H1152=$A$3,'Informe Kelly'!F1152,""),0)</f>
        <v/>
      </c>
      <c r="J1159" s="65" t="str">
        <f>IF(IFERROR(IF(E1159=E1158,0,(HLOOKUP(D1159,Ingreso!$AN$10:$AT$260,VLOOKUP(A1159,Ingreso!$AL$11:$AM$260,2,FALSE)))/24),0)=0,"",IFERROR(IF(E1159=E1158,0,(HLOOKUP(D1159,Ingreso!$AN$10:$AT$260,VLOOKUP(A1159,Ingreso!$AL$11:$AM$260,2,FALSE)))/24),0))</f>
        <v/>
      </c>
      <c r="K1159" s="65" t="str">
        <f>IF(IFERROR(IF(E1159=E1158,0,(HLOOKUP(C1159,Ingreso!$AW$10:$BC$260,VLOOKUP(A1159,Ingreso!$AL$11:$AM$260,2,FALSE)))/24),0)=0,"",IFERROR(IF(E1159=E1158,0,(HLOOKUP(C1159,Ingreso!$AW$10:$BC$260,VLOOKUP(A1159,Ingreso!$AL$11:$AM$260,2,FALSE)))/24),0))</f>
        <v/>
      </c>
      <c r="L1159" s="63">
        <f t="shared" si="34"/>
        <v>0</v>
      </c>
      <c r="M1159" s="63" t="str">
        <f>IF(IFERROR(IF(C1159=C1157,0,IF(E1159=E1158,0,IF(C1159=$R$2,HLOOKUP($R$2,Ingreso!$AW$10:$BC$260,VLOOKUP(A1159,Ingreso!AL:AM,2,FALSE),FALSE)/24,""))),"")=0,"",IFERROR(IF(C1159=C1157,0,IF(E1159=E1158,0,IF(C1159=$R$2,HLOOKUP($R$2,Ingreso!$AW$10:$BC$260,VLOOKUP(A1159,Ingreso!AL:AM,2,FALSE),FALSE)/24,""))),""))</f>
        <v/>
      </c>
      <c r="N1159" s="95" t="str">
        <f>IF(IFERROR(IF(C1159=C1157,0,IF(E1159=E1158,0,IF(C1159=$R$3,HLOOKUP($R$3,Ingreso!$AW$10:$BC$260,VLOOKUP(A1159,Ingreso!AL:AM,2,FALSE),FALSE)/24,""))),"")=0,"",IFERROR(IF(C1159=C1157,0,IF(E1159=E1158,0,IF(C1159=$R$3,HLOOKUP($R$3,Ingreso!$AW$10:$BC$260,VLOOKUP(A1159,Ingreso!AL:AM,2,FALSE),FALSE)/24,""))),""))</f>
        <v/>
      </c>
      <c r="O1159" s="95" t="str">
        <f>IF(IFERROR(IF(C1159=C1157,0,IF(E1159=E1158,0,IF(C1159=$R$4,HLOOKUP($R$4,Ingreso!$AW$10:$BC$260,VLOOKUP(A1159,Ingreso!AL:AM,2,FALSE),FALSE)/24,""))),"")=0,"",IFERROR(IF(C1159=C1157,0,IF(E1159=E1158,0,IF(C1159=$R$4,HLOOKUP($R$4,Ingreso!$AW$10:$BC$260,VLOOKUP(A1159,Ingreso!AL:AM,2,FALSE),FALSE)/24,""))),""))</f>
        <v/>
      </c>
      <c r="P1159" s="90"/>
      <c r="V1159"/>
      <c r="W1159" s="62"/>
      <c r="X1159" s="62"/>
      <c r="Y1159" s="62"/>
      <c r="Z1159" s="62"/>
      <c r="AA1159" s="62"/>
      <c r="AB1159" s="62"/>
      <c r="AC1159" s="62"/>
    </row>
    <row r="1160" spans="1:29">
      <c r="A1160" s="65" t="str">
        <f>IFERROR(VLOOKUP('Informe Kelly'!A1153,Base!A:B,2,FALSE),"")</f>
        <v/>
      </c>
      <c r="B1160" s="65" t="str">
        <f>IFERROR(VLOOKUP('Informe Kelly'!A1153,Base!A:G,7,FALSE),"")</f>
        <v/>
      </c>
      <c r="C1160" s="69">
        <f>IF(G1160=$C$4,IF('Informe Kelly'!H1153='Control informe Kelly'!$A$2,TEXT(((LEFT('Informe Kelly'!E1153,2)*1)+1),"dd")&amp;"."&amp;MID('Informe Kelly'!E1153,4,2)&amp;"."&amp;RIGHT('Informe Kelly'!E1153,4),'Informe Kelly'!E1153),'Informe Kelly'!E1153)</f>
        <v>0</v>
      </c>
      <c r="D1160" s="69" t="str">
        <f>IF('Informe Kelly'!E1153="","",'Informe Kelly'!E1153)</f>
        <v/>
      </c>
      <c r="E1160" s="72">
        <f t="shared" si="35"/>
        <v>581</v>
      </c>
      <c r="F1160" s="72" t="str">
        <f>IFERROR(HLOOKUP(C1160,Ingreso!$Q$8:$AD$9,2,FALSE),"v")</f>
        <v>v</v>
      </c>
      <c r="G1160" s="65" t="str">
        <f>IFERROR(VLOOKUP(A1160,Ingreso!K:P,6,FALSE),"no esta ingresado")</f>
        <v>no esta ingresado</v>
      </c>
      <c r="H1160" s="65" t="str">
        <f>IFERROR(IF('Informe Kelly'!H1153=$A$2,'Informe Kelly'!F1153,""),0)</f>
        <v/>
      </c>
      <c r="I1160" s="65" t="str">
        <f>IFERROR(IF('Informe Kelly'!H1153=$A$3,'Informe Kelly'!F1153,""),0)</f>
        <v/>
      </c>
      <c r="J1160" s="65" t="str">
        <f>IF(IFERROR(IF(E1160=E1159,0,(HLOOKUP(D1160,Ingreso!$AN$10:$AT$260,VLOOKUP(A1160,Ingreso!$AL$11:$AM$260,2,FALSE)))/24),0)=0,"",IFERROR(IF(E1160=E1159,0,(HLOOKUP(D1160,Ingreso!$AN$10:$AT$260,VLOOKUP(A1160,Ingreso!$AL$11:$AM$260,2,FALSE)))/24),0))</f>
        <v/>
      </c>
      <c r="K1160" s="65" t="str">
        <f>IF(IFERROR(IF(E1160=E1159,0,(HLOOKUP(C1160,Ingreso!$AW$10:$BC$260,VLOOKUP(A1160,Ingreso!$AL$11:$AM$260,2,FALSE)))/24),0)=0,"",IFERROR(IF(E1160=E1159,0,(HLOOKUP(C1160,Ingreso!$AW$10:$BC$260,VLOOKUP(A1160,Ingreso!$AL$11:$AM$260,2,FALSE)))/24),0))</f>
        <v/>
      </c>
      <c r="L1160" s="63">
        <f t="shared" si="34"/>
        <v>0</v>
      </c>
      <c r="M1160" s="63" t="str">
        <f>IF(IFERROR(IF(C1160=C1158,0,IF(E1160=E1159,0,IF(C1160=$R$2,HLOOKUP($R$2,Ingreso!$AW$10:$BC$260,VLOOKUP(A1160,Ingreso!AL:AM,2,FALSE),FALSE)/24,""))),"")=0,"",IFERROR(IF(C1160=C1158,0,IF(E1160=E1159,0,IF(C1160=$R$2,HLOOKUP($R$2,Ingreso!$AW$10:$BC$260,VLOOKUP(A1160,Ingreso!AL:AM,2,FALSE),FALSE)/24,""))),""))</f>
        <v/>
      </c>
      <c r="N1160" s="95" t="str">
        <f>IF(IFERROR(IF(C1160=C1158,0,IF(E1160=E1159,0,IF(C1160=$R$3,HLOOKUP($R$3,Ingreso!$AW$10:$BC$260,VLOOKUP(A1160,Ingreso!AL:AM,2,FALSE),FALSE)/24,""))),"")=0,"",IFERROR(IF(C1160=C1158,0,IF(E1160=E1159,0,IF(C1160=$R$3,HLOOKUP($R$3,Ingreso!$AW$10:$BC$260,VLOOKUP(A1160,Ingreso!AL:AM,2,FALSE),FALSE)/24,""))),""))</f>
        <v/>
      </c>
      <c r="O1160" s="95" t="str">
        <f>IF(IFERROR(IF(C1160=C1158,0,IF(E1160=E1159,0,IF(C1160=$R$4,HLOOKUP($R$4,Ingreso!$AW$10:$BC$260,VLOOKUP(A1160,Ingreso!AL:AM,2,FALSE),FALSE)/24,""))),"")=0,"",IFERROR(IF(C1160=C1158,0,IF(E1160=E1159,0,IF(C1160=$R$4,HLOOKUP($R$4,Ingreso!$AW$10:$BC$260,VLOOKUP(A1160,Ingreso!AL:AM,2,FALSE),FALSE)/24,""))),""))</f>
        <v/>
      </c>
      <c r="P1160" s="90"/>
      <c r="V1160"/>
      <c r="W1160" s="62"/>
      <c r="X1160" s="62"/>
      <c r="Y1160" s="62"/>
      <c r="Z1160" s="62"/>
      <c r="AA1160" s="62"/>
      <c r="AB1160" s="62"/>
      <c r="AC1160" s="62"/>
    </row>
    <row r="1161" spans="1:29">
      <c r="A1161" s="65" t="str">
        <f>IFERROR(VLOOKUP('Informe Kelly'!A1154,Base!A:B,2,FALSE),"")</f>
        <v/>
      </c>
      <c r="B1161" s="65" t="str">
        <f>IFERROR(VLOOKUP('Informe Kelly'!A1154,Base!A:G,7,FALSE),"")</f>
        <v/>
      </c>
      <c r="C1161" s="69">
        <f>IF(G1161=$C$4,IF('Informe Kelly'!H1154='Control informe Kelly'!$A$2,TEXT(((LEFT('Informe Kelly'!E1154,2)*1)+1),"dd")&amp;"."&amp;MID('Informe Kelly'!E1154,4,2)&amp;"."&amp;RIGHT('Informe Kelly'!E1154,4),'Informe Kelly'!E1154),'Informe Kelly'!E1154)</f>
        <v>0</v>
      </c>
      <c r="D1161" s="69" t="str">
        <f>IF('Informe Kelly'!E1154="","",'Informe Kelly'!E1154)</f>
        <v/>
      </c>
      <c r="E1161" s="72">
        <f t="shared" si="35"/>
        <v>581</v>
      </c>
      <c r="F1161" s="72" t="str">
        <f>IFERROR(HLOOKUP(C1161,Ingreso!$Q$8:$AD$9,2,FALSE),"v")</f>
        <v>v</v>
      </c>
      <c r="G1161" s="65" t="str">
        <f>IFERROR(VLOOKUP(A1161,Ingreso!K:P,6,FALSE),"no esta ingresado")</f>
        <v>no esta ingresado</v>
      </c>
      <c r="H1161" s="65" t="str">
        <f>IFERROR(IF('Informe Kelly'!H1154=$A$2,'Informe Kelly'!F1154,""),0)</f>
        <v/>
      </c>
      <c r="I1161" s="65" t="str">
        <f>IFERROR(IF('Informe Kelly'!H1154=$A$3,'Informe Kelly'!F1154,""),0)</f>
        <v/>
      </c>
      <c r="J1161" s="65" t="str">
        <f>IF(IFERROR(IF(E1161=E1160,0,(HLOOKUP(D1161,Ingreso!$AN$10:$AT$260,VLOOKUP(A1161,Ingreso!$AL$11:$AM$260,2,FALSE)))/24),0)=0,"",IFERROR(IF(E1161=E1160,0,(HLOOKUP(D1161,Ingreso!$AN$10:$AT$260,VLOOKUP(A1161,Ingreso!$AL$11:$AM$260,2,FALSE)))/24),0))</f>
        <v/>
      </c>
      <c r="K1161" s="65" t="str">
        <f>IF(IFERROR(IF(E1161=E1160,0,(HLOOKUP(C1161,Ingreso!$AW$10:$BC$260,VLOOKUP(A1161,Ingreso!$AL$11:$AM$260,2,FALSE)))/24),0)=0,"",IFERROR(IF(E1161=E1160,0,(HLOOKUP(C1161,Ingreso!$AW$10:$BC$260,VLOOKUP(A1161,Ingreso!$AL$11:$AM$260,2,FALSE)))/24),0))</f>
        <v/>
      </c>
      <c r="L1161" s="63">
        <f t="shared" ref="L1161:L1224" si="36">IFERROR(IF(C1161=C1159,0,IF(E1161=E1160,0,(VLOOKUP(G1161,$C$2:$D$5,2,FALSE)))),"")</f>
        <v>0</v>
      </c>
      <c r="M1161" s="63" t="str">
        <f>IF(IFERROR(IF(C1161=C1159,0,IF(E1161=E1160,0,IF(C1161=$R$2,HLOOKUP($R$2,Ingreso!$AW$10:$BC$260,VLOOKUP(A1161,Ingreso!AL:AM,2,FALSE),FALSE)/24,""))),"")=0,"",IFERROR(IF(C1161=C1159,0,IF(E1161=E1160,0,IF(C1161=$R$2,HLOOKUP($R$2,Ingreso!$AW$10:$BC$260,VLOOKUP(A1161,Ingreso!AL:AM,2,FALSE),FALSE)/24,""))),""))</f>
        <v/>
      </c>
      <c r="N1161" s="95" t="str">
        <f>IF(IFERROR(IF(C1161=C1159,0,IF(E1161=E1160,0,IF(C1161=$R$3,HLOOKUP($R$3,Ingreso!$AW$10:$BC$260,VLOOKUP(A1161,Ingreso!AL:AM,2,FALSE),FALSE)/24,""))),"")=0,"",IFERROR(IF(C1161=C1159,0,IF(E1161=E1160,0,IF(C1161=$R$3,HLOOKUP($R$3,Ingreso!$AW$10:$BC$260,VLOOKUP(A1161,Ingreso!AL:AM,2,FALSE),FALSE)/24,""))),""))</f>
        <v/>
      </c>
      <c r="O1161" s="95" t="str">
        <f>IF(IFERROR(IF(C1161=C1159,0,IF(E1161=E1160,0,IF(C1161=$R$4,HLOOKUP($R$4,Ingreso!$AW$10:$BC$260,VLOOKUP(A1161,Ingreso!AL:AM,2,FALSE),FALSE)/24,""))),"")=0,"",IFERROR(IF(C1161=C1159,0,IF(E1161=E1160,0,IF(C1161=$R$4,HLOOKUP($R$4,Ingreso!$AW$10:$BC$260,VLOOKUP(A1161,Ingreso!AL:AM,2,FALSE),FALSE)/24,""))),""))</f>
        <v/>
      </c>
      <c r="P1161" s="90"/>
      <c r="V1161"/>
      <c r="W1161" s="62"/>
      <c r="X1161" s="62"/>
      <c r="Y1161" s="62"/>
      <c r="Z1161" s="62"/>
      <c r="AA1161" s="62"/>
      <c r="AB1161" s="62"/>
      <c r="AC1161" s="62"/>
    </row>
    <row r="1162" spans="1:29">
      <c r="A1162" s="65" t="str">
        <f>IFERROR(VLOOKUP('Informe Kelly'!A1155,Base!A:B,2,FALSE),"")</f>
        <v/>
      </c>
      <c r="B1162" s="65" t="str">
        <f>IFERROR(VLOOKUP('Informe Kelly'!A1155,Base!A:G,7,FALSE),"")</f>
        <v/>
      </c>
      <c r="C1162" s="69">
        <f>IF(G1162=$C$4,IF('Informe Kelly'!H1155='Control informe Kelly'!$A$2,TEXT(((LEFT('Informe Kelly'!E1155,2)*1)+1),"dd")&amp;"."&amp;MID('Informe Kelly'!E1155,4,2)&amp;"."&amp;RIGHT('Informe Kelly'!E1155,4),'Informe Kelly'!E1155),'Informe Kelly'!E1155)</f>
        <v>0</v>
      </c>
      <c r="D1162" s="69" t="str">
        <f>IF('Informe Kelly'!E1155="","",'Informe Kelly'!E1155)</f>
        <v/>
      </c>
      <c r="E1162" s="72">
        <f t="shared" ref="E1162:E1225" si="37">IF(C1161=C1162,IF(C1162=C1159,E1161,IF(C1162=C1160,E1161+1,E1161)),E1161+1)</f>
        <v>581</v>
      </c>
      <c r="F1162" s="72" t="str">
        <f>IFERROR(HLOOKUP(C1162,Ingreso!$Q$8:$AD$9,2,FALSE),"v")</f>
        <v>v</v>
      </c>
      <c r="G1162" s="65" t="str">
        <f>IFERROR(VLOOKUP(A1162,Ingreso!K:P,6,FALSE),"no esta ingresado")</f>
        <v>no esta ingresado</v>
      </c>
      <c r="H1162" s="65" t="str">
        <f>IFERROR(IF('Informe Kelly'!H1155=$A$2,'Informe Kelly'!F1155,""),0)</f>
        <v/>
      </c>
      <c r="I1162" s="65" t="str">
        <f>IFERROR(IF('Informe Kelly'!H1155=$A$3,'Informe Kelly'!F1155,""),0)</f>
        <v/>
      </c>
      <c r="J1162" s="65" t="str">
        <f>IF(IFERROR(IF(E1162=E1161,0,(HLOOKUP(D1162,Ingreso!$AN$10:$AT$260,VLOOKUP(A1162,Ingreso!$AL$11:$AM$260,2,FALSE)))/24),0)=0,"",IFERROR(IF(E1162=E1161,0,(HLOOKUP(D1162,Ingreso!$AN$10:$AT$260,VLOOKUP(A1162,Ingreso!$AL$11:$AM$260,2,FALSE)))/24),0))</f>
        <v/>
      </c>
      <c r="K1162" s="65" t="str">
        <f>IF(IFERROR(IF(E1162=E1161,0,(HLOOKUP(C1162,Ingreso!$AW$10:$BC$260,VLOOKUP(A1162,Ingreso!$AL$11:$AM$260,2,FALSE)))/24),0)=0,"",IFERROR(IF(E1162=E1161,0,(HLOOKUP(C1162,Ingreso!$AW$10:$BC$260,VLOOKUP(A1162,Ingreso!$AL$11:$AM$260,2,FALSE)))/24),0))</f>
        <v/>
      </c>
      <c r="L1162" s="63">
        <f t="shared" si="36"/>
        <v>0</v>
      </c>
      <c r="M1162" s="63" t="str">
        <f>IF(IFERROR(IF(C1162=C1160,0,IF(E1162=E1161,0,IF(C1162=$R$2,HLOOKUP($R$2,Ingreso!$AW$10:$BC$260,VLOOKUP(A1162,Ingreso!AL:AM,2,FALSE),FALSE)/24,""))),"")=0,"",IFERROR(IF(C1162=C1160,0,IF(E1162=E1161,0,IF(C1162=$R$2,HLOOKUP($R$2,Ingreso!$AW$10:$BC$260,VLOOKUP(A1162,Ingreso!AL:AM,2,FALSE),FALSE)/24,""))),""))</f>
        <v/>
      </c>
      <c r="N1162" s="95" t="str">
        <f>IF(IFERROR(IF(C1162=C1160,0,IF(E1162=E1161,0,IF(C1162=$R$3,HLOOKUP($R$3,Ingreso!$AW$10:$BC$260,VLOOKUP(A1162,Ingreso!AL:AM,2,FALSE),FALSE)/24,""))),"")=0,"",IFERROR(IF(C1162=C1160,0,IF(E1162=E1161,0,IF(C1162=$R$3,HLOOKUP($R$3,Ingreso!$AW$10:$BC$260,VLOOKUP(A1162,Ingreso!AL:AM,2,FALSE),FALSE)/24,""))),""))</f>
        <v/>
      </c>
      <c r="O1162" s="95" t="str">
        <f>IF(IFERROR(IF(C1162=C1160,0,IF(E1162=E1161,0,IF(C1162=$R$4,HLOOKUP($R$4,Ingreso!$AW$10:$BC$260,VLOOKUP(A1162,Ingreso!AL:AM,2,FALSE),FALSE)/24,""))),"")=0,"",IFERROR(IF(C1162=C1160,0,IF(E1162=E1161,0,IF(C1162=$R$4,HLOOKUP($R$4,Ingreso!$AW$10:$BC$260,VLOOKUP(A1162,Ingreso!AL:AM,2,FALSE),FALSE)/24,""))),""))</f>
        <v/>
      </c>
      <c r="P1162" s="90"/>
      <c r="V1162"/>
      <c r="W1162" s="62"/>
      <c r="X1162" s="62"/>
      <c r="Y1162" s="62"/>
      <c r="Z1162" s="62"/>
      <c r="AA1162" s="62"/>
      <c r="AB1162" s="62"/>
      <c r="AC1162" s="62"/>
    </row>
    <row r="1163" spans="1:29">
      <c r="A1163" s="65" t="str">
        <f>IFERROR(VLOOKUP('Informe Kelly'!A1156,Base!A:B,2,FALSE),"")</f>
        <v/>
      </c>
      <c r="B1163" s="65" t="str">
        <f>IFERROR(VLOOKUP('Informe Kelly'!A1156,Base!A:G,7,FALSE),"")</f>
        <v/>
      </c>
      <c r="C1163" s="69">
        <f>IF(G1163=$C$4,IF('Informe Kelly'!H1156='Control informe Kelly'!$A$2,TEXT(((LEFT('Informe Kelly'!E1156,2)*1)+1),"dd")&amp;"."&amp;MID('Informe Kelly'!E1156,4,2)&amp;"."&amp;RIGHT('Informe Kelly'!E1156,4),'Informe Kelly'!E1156),'Informe Kelly'!E1156)</f>
        <v>0</v>
      </c>
      <c r="D1163" s="69" t="str">
        <f>IF('Informe Kelly'!E1156="","",'Informe Kelly'!E1156)</f>
        <v/>
      </c>
      <c r="E1163" s="72">
        <f t="shared" si="37"/>
        <v>581</v>
      </c>
      <c r="F1163" s="72" t="str">
        <f>IFERROR(HLOOKUP(C1163,Ingreso!$Q$8:$AD$9,2,FALSE),"v")</f>
        <v>v</v>
      </c>
      <c r="G1163" s="65" t="str">
        <f>IFERROR(VLOOKUP(A1163,Ingreso!K:P,6,FALSE),"no esta ingresado")</f>
        <v>no esta ingresado</v>
      </c>
      <c r="H1163" s="65" t="str">
        <f>IFERROR(IF('Informe Kelly'!H1156=$A$2,'Informe Kelly'!F1156,""),0)</f>
        <v/>
      </c>
      <c r="I1163" s="65" t="str">
        <f>IFERROR(IF('Informe Kelly'!H1156=$A$3,'Informe Kelly'!F1156,""),0)</f>
        <v/>
      </c>
      <c r="J1163" s="65" t="str">
        <f>IF(IFERROR(IF(E1163=E1162,0,(HLOOKUP(D1163,Ingreso!$AN$10:$AT$260,VLOOKUP(A1163,Ingreso!$AL$11:$AM$260,2,FALSE)))/24),0)=0,"",IFERROR(IF(E1163=E1162,0,(HLOOKUP(D1163,Ingreso!$AN$10:$AT$260,VLOOKUP(A1163,Ingreso!$AL$11:$AM$260,2,FALSE)))/24),0))</f>
        <v/>
      </c>
      <c r="K1163" s="65" t="str">
        <f>IF(IFERROR(IF(E1163=E1162,0,(HLOOKUP(C1163,Ingreso!$AW$10:$BC$260,VLOOKUP(A1163,Ingreso!$AL$11:$AM$260,2,FALSE)))/24),0)=0,"",IFERROR(IF(E1163=E1162,0,(HLOOKUP(C1163,Ingreso!$AW$10:$BC$260,VLOOKUP(A1163,Ingreso!$AL$11:$AM$260,2,FALSE)))/24),0))</f>
        <v/>
      </c>
      <c r="L1163" s="63">
        <f t="shared" si="36"/>
        <v>0</v>
      </c>
      <c r="M1163" s="63" t="str">
        <f>IF(IFERROR(IF(C1163=C1161,0,IF(E1163=E1162,0,IF(C1163=$R$2,HLOOKUP($R$2,Ingreso!$AW$10:$BC$260,VLOOKUP(A1163,Ingreso!AL:AM,2,FALSE),FALSE)/24,""))),"")=0,"",IFERROR(IF(C1163=C1161,0,IF(E1163=E1162,0,IF(C1163=$R$2,HLOOKUP($R$2,Ingreso!$AW$10:$BC$260,VLOOKUP(A1163,Ingreso!AL:AM,2,FALSE),FALSE)/24,""))),""))</f>
        <v/>
      </c>
      <c r="N1163" s="95" t="str">
        <f>IF(IFERROR(IF(C1163=C1161,0,IF(E1163=E1162,0,IF(C1163=$R$3,HLOOKUP($R$3,Ingreso!$AW$10:$BC$260,VLOOKUP(A1163,Ingreso!AL:AM,2,FALSE),FALSE)/24,""))),"")=0,"",IFERROR(IF(C1163=C1161,0,IF(E1163=E1162,0,IF(C1163=$R$3,HLOOKUP($R$3,Ingreso!$AW$10:$BC$260,VLOOKUP(A1163,Ingreso!AL:AM,2,FALSE),FALSE)/24,""))),""))</f>
        <v/>
      </c>
      <c r="O1163" s="95" t="str">
        <f>IF(IFERROR(IF(C1163=C1161,0,IF(E1163=E1162,0,IF(C1163=$R$4,HLOOKUP($R$4,Ingreso!$AW$10:$BC$260,VLOOKUP(A1163,Ingreso!AL:AM,2,FALSE),FALSE)/24,""))),"")=0,"",IFERROR(IF(C1163=C1161,0,IF(E1163=E1162,0,IF(C1163=$R$4,HLOOKUP($R$4,Ingreso!$AW$10:$BC$260,VLOOKUP(A1163,Ingreso!AL:AM,2,FALSE),FALSE)/24,""))),""))</f>
        <v/>
      </c>
      <c r="P1163" s="90"/>
      <c r="V1163"/>
      <c r="W1163" s="62"/>
      <c r="X1163" s="62"/>
      <c r="Y1163" s="62"/>
      <c r="Z1163" s="62"/>
      <c r="AA1163" s="62"/>
      <c r="AB1163" s="62"/>
      <c r="AC1163" s="62"/>
    </row>
    <row r="1164" spans="1:29">
      <c r="A1164" s="65" t="str">
        <f>IFERROR(VLOOKUP('Informe Kelly'!A1157,Base!A:B,2,FALSE),"")</f>
        <v/>
      </c>
      <c r="B1164" s="65" t="str">
        <f>IFERROR(VLOOKUP('Informe Kelly'!A1157,Base!A:G,7,FALSE),"")</f>
        <v/>
      </c>
      <c r="C1164" s="69">
        <f>IF(G1164=$C$4,IF('Informe Kelly'!H1157='Control informe Kelly'!$A$2,TEXT(((LEFT('Informe Kelly'!E1157,2)*1)+1),"dd")&amp;"."&amp;MID('Informe Kelly'!E1157,4,2)&amp;"."&amp;RIGHT('Informe Kelly'!E1157,4),'Informe Kelly'!E1157),'Informe Kelly'!E1157)</f>
        <v>0</v>
      </c>
      <c r="D1164" s="69" t="str">
        <f>IF('Informe Kelly'!E1157="","",'Informe Kelly'!E1157)</f>
        <v/>
      </c>
      <c r="E1164" s="72">
        <f t="shared" si="37"/>
        <v>581</v>
      </c>
      <c r="F1164" s="72" t="str">
        <f>IFERROR(HLOOKUP(C1164,Ingreso!$Q$8:$AD$9,2,FALSE),"v")</f>
        <v>v</v>
      </c>
      <c r="G1164" s="65" t="str">
        <f>IFERROR(VLOOKUP(A1164,Ingreso!K:P,6,FALSE),"no esta ingresado")</f>
        <v>no esta ingresado</v>
      </c>
      <c r="H1164" s="65" t="str">
        <f>IFERROR(IF('Informe Kelly'!H1157=$A$2,'Informe Kelly'!F1157,""),0)</f>
        <v/>
      </c>
      <c r="I1164" s="65" t="str">
        <f>IFERROR(IF('Informe Kelly'!H1157=$A$3,'Informe Kelly'!F1157,""),0)</f>
        <v/>
      </c>
      <c r="J1164" s="65" t="str">
        <f>IF(IFERROR(IF(E1164=E1163,0,(HLOOKUP(D1164,Ingreso!$AN$10:$AT$260,VLOOKUP(A1164,Ingreso!$AL$11:$AM$260,2,FALSE)))/24),0)=0,"",IFERROR(IF(E1164=E1163,0,(HLOOKUP(D1164,Ingreso!$AN$10:$AT$260,VLOOKUP(A1164,Ingreso!$AL$11:$AM$260,2,FALSE)))/24),0))</f>
        <v/>
      </c>
      <c r="K1164" s="65" t="str">
        <f>IF(IFERROR(IF(E1164=E1163,0,(HLOOKUP(C1164,Ingreso!$AW$10:$BC$260,VLOOKUP(A1164,Ingreso!$AL$11:$AM$260,2,FALSE)))/24),0)=0,"",IFERROR(IF(E1164=E1163,0,(HLOOKUP(C1164,Ingreso!$AW$10:$BC$260,VLOOKUP(A1164,Ingreso!$AL$11:$AM$260,2,FALSE)))/24),0))</f>
        <v/>
      </c>
      <c r="L1164" s="63">
        <f t="shared" si="36"/>
        <v>0</v>
      </c>
      <c r="M1164" s="63" t="str">
        <f>IF(IFERROR(IF(C1164=C1162,0,IF(E1164=E1163,0,IF(C1164=$R$2,HLOOKUP($R$2,Ingreso!$AW$10:$BC$260,VLOOKUP(A1164,Ingreso!AL:AM,2,FALSE),FALSE)/24,""))),"")=0,"",IFERROR(IF(C1164=C1162,0,IF(E1164=E1163,0,IF(C1164=$R$2,HLOOKUP($R$2,Ingreso!$AW$10:$BC$260,VLOOKUP(A1164,Ingreso!AL:AM,2,FALSE),FALSE)/24,""))),""))</f>
        <v/>
      </c>
      <c r="N1164" s="95" t="str">
        <f>IF(IFERROR(IF(C1164=C1162,0,IF(E1164=E1163,0,IF(C1164=$R$3,HLOOKUP($R$3,Ingreso!$AW$10:$BC$260,VLOOKUP(A1164,Ingreso!AL:AM,2,FALSE),FALSE)/24,""))),"")=0,"",IFERROR(IF(C1164=C1162,0,IF(E1164=E1163,0,IF(C1164=$R$3,HLOOKUP($R$3,Ingreso!$AW$10:$BC$260,VLOOKUP(A1164,Ingreso!AL:AM,2,FALSE),FALSE)/24,""))),""))</f>
        <v/>
      </c>
      <c r="O1164" s="95" t="str">
        <f>IF(IFERROR(IF(C1164=C1162,0,IF(E1164=E1163,0,IF(C1164=$R$4,HLOOKUP($R$4,Ingreso!$AW$10:$BC$260,VLOOKUP(A1164,Ingreso!AL:AM,2,FALSE),FALSE)/24,""))),"")=0,"",IFERROR(IF(C1164=C1162,0,IF(E1164=E1163,0,IF(C1164=$R$4,HLOOKUP($R$4,Ingreso!$AW$10:$BC$260,VLOOKUP(A1164,Ingreso!AL:AM,2,FALSE),FALSE)/24,""))),""))</f>
        <v/>
      </c>
      <c r="P1164" s="90"/>
      <c r="V1164"/>
      <c r="W1164" s="62"/>
      <c r="X1164" s="62"/>
      <c r="Y1164" s="62"/>
      <c r="Z1164" s="62"/>
      <c r="AA1164" s="62"/>
      <c r="AB1164" s="62"/>
      <c r="AC1164" s="62"/>
    </row>
    <row r="1165" spans="1:29">
      <c r="A1165" s="65" t="str">
        <f>IFERROR(VLOOKUP('Informe Kelly'!A1158,Base!A:B,2,FALSE),"")</f>
        <v/>
      </c>
      <c r="B1165" s="65" t="str">
        <f>IFERROR(VLOOKUP('Informe Kelly'!A1158,Base!A:G,7,FALSE),"")</f>
        <v/>
      </c>
      <c r="C1165" s="69">
        <f>IF(G1165=$C$4,IF('Informe Kelly'!H1158='Control informe Kelly'!$A$2,TEXT(((LEFT('Informe Kelly'!E1158,2)*1)+1),"dd")&amp;"."&amp;MID('Informe Kelly'!E1158,4,2)&amp;"."&amp;RIGHT('Informe Kelly'!E1158,4),'Informe Kelly'!E1158),'Informe Kelly'!E1158)</f>
        <v>0</v>
      </c>
      <c r="D1165" s="69" t="str">
        <f>IF('Informe Kelly'!E1158="","",'Informe Kelly'!E1158)</f>
        <v/>
      </c>
      <c r="E1165" s="72">
        <f t="shared" si="37"/>
        <v>581</v>
      </c>
      <c r="F1165" s="72" t="str">
        <f>IFERROR(HLOOKUP(C1165,Ingreso!$Q$8:$AD$9,2,FALSE),"v")</f>
        <v>v</v>
      </c>
      <c r="G1165" s="65" t="str">
        <f>IFERROR(VLOOKUP(A1165,Ingreso!K:P,6,FALSE),"no esta ingresado")</f>
        <v>no esta ingresado</v>
      </c>
      <c r="H1165" s="65" t="str">
        <f>IFERROR(IF('Informe Kelly'!H1158=$A$2,'Informe Kelly'!F1158,""),0)</f>
        <v/>
      </c>
      <c r="I1165" s="65" t="str">
        <f>IFERROR(IF('Informe Kelly'!H1158=$A$3,'Informe Kelly'!F1158,""),0)</f>
        <v/>
      </c>
      <c r="J1165" s="65" t="str">
        <f>IF(IFERROR(IF(E1165=E1164,0,(HLOOKUP(D1165,Ingreso!$AN$10:$AT$260,VLOOKUP(A1165,Ingreso!$AL$11:$AM$260,2,FALSE)))/24),0)=0,"",IFERROR(IF(E1165=E1164,0,(HLOOKUP(D1165,Ingreso!$AN$10:$AT$260,VLOOKUP(A1165,Ingreso!$AL$11:$AM$260,2,FALSE)))/24),0))</f>
        <v/>
      </c>
      <c r="K1165" s="65" t="str">
        <f>IF(IFERROR(IF(E1165=E1164,0,(HLOOKUP(C1165,Ingreso!$AW$10:$BC$260,VLOOKUP(A1165,Ingreso!$AL$11:$AM$260,2,FALSE)))/24),0)=0,"",IFERROR(IF(E1165=E1164,0,(HLOOKUP(C1165,Ingreso!$AW$10:$BC$260,VLOOKUP(A1165,Ingreso!$AL$11:$AM$260,2,FALSE)))/24),0))</f>
        <v/>
      </c>
      <c r="L1165" s="63">
        <f t="shared" si="36"/>
        <v>0</v>
      </c>
      <c r="M1165" s="63" t="str">
        <f>IF(IFERROR(IF(C1165=C1163,0,IF(E1165=E1164,0,IF(C1165=$R$2,HLOOKUP($R$2,Ingreso!$AW$10:$BC$260,VLOOKUP(A1165,Ingreso!AL:AM,2,FALSE),FALSE)/24,""))),"")=0,"",IFERROR(IF(C1165=C1163,0,IF(E1165=E1164,0,IF(C1165=$R$2,HLOOKUP($R$2,Ingreso!$AW$10:$BC$260,VLOOKUP(A1165,Ingreso!AL:AM,2,FALSE),FALSE)/24,""))),""))</f>
        <v/>
      </c>
      <c r="N1165" s="95" t="str">
        <f>IF(IFERROR(IF(C1165=C1163,0,IF(E1165=E1164,0,IF(C1165=$R$3,HLOOKUP($R$3,Ingreso!$AW$10:$BC$260,VLOOKUP(A1165,Ingreso!AL:AM,2,FALSE),FALSE)/24,""))),"")=0,"",IFERROR(IF(C1165=C1163,0,IF(E1165=E1164,0,IF(C1165=$R$3,HLOOKUP($R$3,Ingreso!$AW$10:$BC$260,VLOOKUP(A1165,Ingreso!AL:AM,2,FALSE),FALSE)/24,""))),""))</f>
        <v/>
      </c>
      <c r="O1165" s="95" t="str">
        <f>IF(IFERROR(IF(C1165=C1163,0,IF(E1165=E1164,0,IF(C1165=$R$4,HLOOKUP($R$4,Ingreso!$AW$10:$BC$260,VLOOKUP(A1165,Ingreso!AL:AM,2,FALSE),FALSE)/24,""))),"")=0,"",IFERROR(IF(C1165=C1163,0,IF(E1165=E1164,0,IF(C1165=$R$4,HLOOKUP($R$4,Ingreso!$AW$10:$BC$260,VLOOKUP(A1165,Ingreso!AL:AM,2,FALSE),FALSE)/24,""))),""))</f>
        <v/>
      </c>
      <c r="P1165" s="90"/>
      <c r="V1165"/>
      <c r="W1165" s="62"/>
      <c r="X1165" s="62"/>
      <c r="Y1165" s="62"/>
      <c r="Z1165" s="62"/>
      <c r="AA1165" s="62"/>
      <c r="AB1165" s="62"/>
      <c r="AC1165" s="62"/>
    </row>
    <row r="1166" spans="1:29">
      <c r="A1166" s="65" t="str">
        <f>IFERROR(VLOOKUP('Informe Kelly'!A1159,Base!A:B,2,FALSE),"")</f>
        <v/>
      </c>
      <c r="B1166" s="65" t="str">
        <f>IFERROR(VLOOKUP('Informe Kelly'!A1159,Base!A:G,7,FALSE),"")</f>
        <v/>
      </c>
      <c r="C1166" s="69">
        <f>IF(G1166=$C$4,IF('Informe Kelly'!H1159='Control informe Kelly'!$A$2,TEXT(((LEFT('Informe Kelly'!E1159,2)*1)+1),"dd")&amp;"."&amp;MID('Informe Kelly'!E1159,4,2)&amp;"."&amp;RIGHT('Informe Kelly'!E1159,4),'Informe Kelly'!E1159),'Informe Kelly'!E1159)</f>
        <v>0</v>
      </c>
      <c r="D1166" s="69" t="str">
        <f>IF('Informe Kelly'!E1159="","",'Informe Kelly'!E1159)</f>
        <v/>
      </c>
      <c r="E1166" s="72">
        <f t="shared" si="37"/>
        <v>581</v>
      </c>
      <c r="F1166" s="72" t="str">
        <f>IFERROR(HLOOKUP(C1166,Ingreso!$Q$8:$AD$9,2,FALSE),"v")</f>
        <v>v</v>
      </c>
      <c r="G1166" s="65" t="str">
        <f>IFERROR(VLOOKUP(A1166,Ingreso!K:P,6,FALSE),"no esta ingresado")</f>
        <v>no esta ingresado</v>
      </c>
      <c r="H1166" s="65" t="str">
        <f>IFERROR(IF('Informe Kelly'!H1159=$A$2,'Informe Kelly'!F1159,""),0)</f>
        <v/>
      </c>
      <c r="I1166" s="65" t="str">
        <f>IFERROR(IF('Informe Kelly'!H1159=$A$3,'Informe Kelly'!F1159,""),0)</f>
        <v/>
      </c>
      <c r="J1166" s="65" t="str">
        <f>IF(IFERROR(IF(E1166=E1165,0,(HLOOKUP(D1166,Ingreso!$AN$10:$AT$260,VLOOKUP(A1166,Ingreso!$AL$11:$AM$260,2,FALSE)))/24),0)=0,"",IFERROR(IF(E1166=E1165,0,(HLOOKUP(D1166,Ingreso!$AN$10:$AT$260,VLOOKUP(A1166,Ingreso!$AL$11:$AM$260,2,FALSE)))/24),0))</f>
        <v/>
      </c>
      <c r="K1166" s="65" t="str">
        <f>IF(IFERROR(IF(E1166=E1165,0,(HLOOKUP(C1166,Ingreso!$AW$10:$BC$260,VLOOKUP(A1166,Ingreso!$AL$11:$AM$260,2,FALSE)))/24),0)=0,"",IFERROR(IF(E1166=E1165,0,(HLOOKUP(C1166,Ingreso!$AW$10:$BC$260,VLOOKUP(A1166,Ingreso!$AL$11:$AM$260,2,FALSE)))/24),0))</f>
        <v/>
      </c>
      <c r="L1166" s="63">
        <f t="shared" si="36"/>
        <v>0</v>
      </c>
      <c r="M1166" s="63" t="str">
        <f>IF(IFERROR(IF(C1166=C1164,0,IF(E1166=E1165,0,IF(C1166=$R$2,HLOOKUP($R$2,Ingreso!$AW$10:$BC$260,VLOOKUP(A1166,Ingreso!AL:AM,2,FALSE),FALSE)/24,""))),"")=0,"",IFERROR(IF(C1166=C1164,0,IF(E1166=E1165,0,IF(C1166=$R$2,HLOOKUP($R$2,Ingreso!$AW$10:$BC$260,VLOOKUP(A1166,Ingreso!AL:AM,2,FALSE),FALSE)/24,""))),""))</f>
        <v/>
      </c>
      <c r="N1166" s="95" t="str">
        <f>IF(IFERROR(IF(C1166=C1164,0,IF(E1166=E1165,0,IF(C1166=$R$3,HLOOKUP($R$3,Ingreso!$AW$10:$BC$260,VLOOKUP(A1166,Ingreso!AL:AM,2,FALSE),FALSE)/24,""))),"")=0,"",IFERROR(IF(C1166=C1164,0,IF(E1166=E1165,0,IF(C1166=$R$3,HLOOKUP($R$3,Ingreso!$AW$10:$BC$260,VLOOKUP(A1166,Ingreso!AL:AM,2,FALSE),FALSE)/24,""))),""))</f>
        <v/>
      </c>
      <c r="O1166" s="95" t="str">
        <f>IF(IFERROR(IF(C1166=C1164,0,IF(E1166=E1165,0,IF(C1166=$R$4,HLOOKUP($R$4,Ingreso!$AW$10:$BC$260,VLOOKUP(A1166,Ingreso!AL:AM,2,FALSE),FALSE)/24,""))),"")=0,"",IFERROR(IF(C1166=C1164,0,IF(E1166=E1165,0,IF(C1166=$R$4,HLOOKUP($R$4,Ingreso!$AW$10:$BC$260,VLOOKUP(A1166,Ingreso!AL:AM,2,FALSE),FALSE)/24,""))),""))</f>
        <v/>
      </c>
      <c r="P1166" s="90"/>
      <c r="V1166"/>
      <c r="W1166" s="62"/>
      <c r="X1166" s="62"/>
      <c r="Y1166" s="62"/>
      <c r="Z1166" s="62"/>
      <c r="AA1166" s="62"/>
      <c r="AB1166" s="62"/>
      <c r="AC1166" s="62"/>
    </row>
    <row r="1167" spans="1:29">
      <c r="A1167" s="65" t="str">
        <f>IFERROR(VLOOKUP('Informe Kelly'!A1160,Base!A:B,2,FALSE),"")</f>
        <v/>
      </c>
      <c r="B1167" s="65" t="str">
        <f>IFERROR(VLOOKUP('Informe Kelly'!A1160,Base!A:G,7,FALSE),"")</f>
        <v/>
      </c>
      <c r="C1167" s="69">
        <f>IF(G1167=$C$4,IF('Informe Kelly'!H1160='Control informe Kelly'!$A$2,TEXT(((LEFT('Informe Kelly'!E1160,2)*1)+1),"dd")&amp;"."&amp;MID('Informe Kelly'!E1160,4,2)&amp;"."&amp;RIGHT('Informe Kelly'!E1160,4),'Informe Kelly'!E1160),'Informe Kelly'!E1160)</f>
        <v>0</v>
      </c>
      <c r="D1167" s="69" t="str">
        <f>IF('Informe Kelly'!E1160="","",'Informe Kelly'!E1160)</f>
        <v/>
      </c>
      <c r="E1167" s="72">
        <f t="shared" si="37"/>
        <v>581</v>
      </c>
      <c r="F1167" s="72" t="str">
        <f>IFERROR(HLOOKUP(C1167,Ingreso!$Q$8:$AD$9,2,FALSE),"v")</f>
        <v>v</v>
      </c>
      <c r="G1167" s="65" t="str">
        <f>IFERROR(VLOOKUP(A1167,Ingreso!K:P,6,FALSE),"no esta ingresado")</f>
        <v>no esta ingresado</v>
      </c>
      <c r="H1167" s="65" t="str">
        <f>IFERROR(IF('Informe Kelly'!H1160=$A$2,'Informe Kelly'!F1160,""),0)</f>
        <v/>
      </c>
      <c r="I1167" s="65" t="str">
        <f>IFERROR(IF('Informe Kelly'!H1160=$A$3,'Informe Kelly'!F1160,""),0)</f>
        <v/>
      </c>
      <c r="J1167" s="65" t="str">
        <f>IF(IFERROR(IF(E1167=E1166,0,(HLOOKUP(D1167,Ingreso!$AN$10:$AT$260,VLOOKUP(A1167,Ingreso!$AL$11:$AM$260,2,FALSE)))/24),0)=0,"",IFERROR(IF(E1167=E1166,0,(HLOOKUP(D1167,Ingreso!$AN$10:$AT$260,VLOOKUP(A1167,Ingreso!$AL$11:$AM$260,2,FALSE)))/24),0))</f>
        <v/>
      </c>
      <c r="K1167" s="65" t="str">
        <f>IF(IFERROR(IF(E1167=E1166,0,(HLOOKUP(C1167,Ingreso!$AW$10:$BC$260,VLOOKUP(A1167,Ingreso!$AL$11:$AM$260,2,FALSE)))/24),0)=0,"",IFERROR(IF(E1167=E1166,0,(HLOOKUP(C1167,Ingreso!$AW$10:$BC$260,VLOOKUP(A1167,Ingreso!$AL$11:$AM$260,2,FALSE)))/24),0))</f>
        <v/>
      </c>
      <c r="L1167" s="63">
        <f t="shared" si="36"/>
        <v>0</v>
      </c>
      <c r="M1167" s="63" t="str">
        <f>IF(IFERROR(IF(C1167=C1165,0,IF(E1167=E1166,0,IF(C1167=$R$2,HLOOKUP($R$2,Ingreso!$AW$10:$BC$260,VLOOKUP(A1167,Ingreso!AL:AM,2,FALSE),FALSE)/24,""))),"")=0,"",IFERROR(IF(C1167=C1165,0,IF(E1167=E1166,0,IF(C1167=$R$2,HLOOKUP($R$2,Ingreso!$AW$10:$BC$260,VLOOKUP(A1167,Ingreso!AL:AM,2,FALSE),FALSE)/24,""))),""))</f>
        <v/>
      </c>
      <c r="N1167" s="95" t="str">
        <f>IF(IFERROR(IF(C1167=C1165,0,IF(E1167=E1166,0,IF(C1167=$R$3,HLOOKUP($R$3,Ingreso!$AW$10:$BC$260,VLOOKUP(A1167,Ingreso!AL:AM,2,FALSE),FALSE)/24,""))),"")=0,"",IFERROR(IF(C1167=C1165,0,IF(E1167=E1166,0,IF(C1167=$R$3,HLOOKUP($R$3,Ingreso!$AW$10:$BC$260,VLOOKUP(A1167,Ingreso!AL:AM,2,FALSE),FALSE)/24,""))),""))</f>
        <v/>
      </c>
      <c r="O1167" s="95" t="str">
        <f>IF(IFERROR(IF(C1167=C1165,0,IF(E1167=E1166,0,IF(C1167=$R$4,HLOOKUP($R$4,Ingreso!$AW$10:$BC$260,VLOOKUP(A1167,Ingreso!AL:AM,2,FALSE),FALSE)/24,""))),"")=0,"",IFERROR(IF(C1167=C1165,0,IF(E1167=E1166,0,IF(C1167=$R$4,HLOOKUP($R$4,Ingreso!$AW$10:$BC$260,VLOOKUP(A1167,Ingreso!AL:AM,2,FALSE),FALSE)/24,""))),""))</f>
        <v/>
      </c>
      <c r="P1167" s="90"/>
      <c r="V1167"/>
      <c r="W1167" s="62"/>
      <c r="X1167" s="62"/>
      <c r="Y1167" s="62"/>
      <c r="Z1167" s="62"/>
      <c r="AA1167" s="62"/>
      <c r="AB1167" s="62"/>
      <c r="AC1167" s="62"/>
    </row>
    <row r="1168" spans="1:29">
      <c r="A1168" s="65" t="str">
        <f>IFERROR(VLOOKUP('Informe Kelly'!A1161,Base!A:B,2,FALSE),"")</f>
        <v/>
      </c>
      <c r="B1168" s="65" t="str">
        <f>IFERROR(VLOOKUP('Informe Kelly'!A1161,Base!A:G,7,FALSE),"")</f>
        <v/>
      </c>
      <c r="C1168" s="69">
        <f>IF(G1168=$C$4,IF('Informe Kelly'!H1161='Control informe Kelly'!$A$2,TEXT(((LEFT('Informe Kelly'!E1161,2)*1)+1),"dd")&amp;"."&amp;MID('Informe Kelly'!E1161,4,2)&amp;"."&amp;RIGHT('Informe Kelly'!E1161,4),'Informe Kelly'!E1161),'Informe Kelly'!E1161)</f>
        <v>0</v>
      </c>
      <c r="D1168" s="69" t="str">
        <f>IF('Informe Kelly'!E1161="","",'Informe Kelly'!E1161)</f>
        <v/>
      </c>
      <c r="E1168" s="72">
        <f t="shared" si="37"/>
        <v>581</v>
      </c>
      <c r="F1168" s="72" t="str">
        <f>IFERROR(HLOOKUP(C1168,Ingreso!$Q$8:$AD$9,2,FALSE),"v")</f>
        <v>v</v>
      </c>
      <c r="G1168" s="65" t="str">
        <f>IFERROR(VLOOKUP(A1168,Ingreso!K:P,6,FALSE),"no esta ingresado")</f>
        <v>no esta ingresado</v>
      </c>
      <c r="H1168" s="65" t="str">
        <f>IFERROR(IF('Informe Kelly'!H1161=$A$2,'Informe Kelly'!F1161,""),0)</f>
        <v/>
      </c>
      <c r="I1168" s="65" t="str">
        <f>IFERROR(IF('Informe Kelly'!H1161=$A$3,'Informe Kelly'!F1161,""),0)</f>
        <v/>
      </c>
      <c r="J1168" s="65" t="str">
        <f>IF(IFERROR(IF(E1168=E1167,0,(HLOOKUP(D1168,Ingreso!$AN$10:$AT$260,VLOOKUP(A1168,Ingreso!$AL$11:$AM$260,2,FALSE)))/24),0)=0,"",IFERROR(IF(E1168=E1167,0,(HLOOKUP(D1168,Ingreso!$AN$10:$AT$260,VLOOKUP(A1168,Ingreso!$AL$11:$AM$260,2,FALSE)))/24),0))</f>
        <v/>
      </c>
      <c r="K1168" s="65" t="str">
        <f>IF(IFERROR(IF(E1168=E1167,0,(HLOOKUP(C1168,Ingreso!$AW$10:$BC$260,VLOOKUP(A1168,Ingreso!$AL$11:$AM$260,2,FALSE)))/24),0)=0,"",IFERROR(IF(E1168=E1167,0,(HLOOKUP(C1168,Ingreso!$AW$10:$BC$260,VLOOKUP(A1168,Ingreso!$AL$11:$AM$260,2,FALSE)))/24),0))</f>
        <v/>
      </c>
      <c r="L1168" s="63">
        <f t="shared" si="36"/>
        <v>0</v>
      </c>
      <c r="M1168" s="63" t="str">
        <f>IF(IFERROR(IF(C1168=C1166,0,IF(E1168=E1167,0,IF(C1168=$R$2,HLOOKUP($R$2,Ingreso!$AW$10:$BC$260,VLOOKUP(A1168,Ingreso!AL:AM,2,FALSE),FALSE)/24,""))),"")=0,"",IFERROR(IF(C1168=C1166,0,IF(E1168=E1167,0,IF(C1168=$R$2,HLOOKUP($R$2,Ingreso!$AW$10:$BC$260,VLOOKUP(A1168,Ingreso!AL:AM,2,FALSE),FALSE)/24,""))),""))</f>
        <v/>
      </c>
      <c r="N1168" s="95" t="str">
        <f>IF(IFERROR(IF(C1168=C1166,0,IF(E1168=E1167,0,IF(C1168=$R$3,HLOOKUP($R$3,Ingreso!$AW$10:$BC$260,VLOOKUP(A1168,Ingreso!AL:AM,2,FALSE),FALSE)/24,""))),"")=0,"",IFERROR(IF(C1168=C1166,0,IF(E1168=E1167,0,IF(C1168=$R$3,HLOOKUP($R$3,Ingreso!$AW$10:$BC$260,VLOOKUP(A1168,Ingreso!AL:AM,2,FALSE),FALSE)/24,""))),""))</f>
        <v/>
      </c>
      <c r="O1168" s="95" t="str">
        <f>IF(IFERROR(IF(C1168=C1166,0,IF(E1168=E1167,0,IF(C1168=$R$4,HLOOKUP($R$4,Ingreso!$AW$10:$BC$260,VLOOKUP(A1168,Ingreso!AL:AM,2,FALSE),FALSE)/24,""))),"")=0,"",IFERROR(IF(C1168=C1166,0,IF(E1168=E1167,0,IF(C1168=$R$4,HLOOKUP($R$4,Ingreso!$AW$10:$BC$260,VLOOKUP(A1168,Ingreso!AL:AM,2,FALSE),FALSE)/24,""))),""))</f>
        <v/>
      </c>
      <c r="P1168" s="90"/>
      <c r="V1168"/>
      <c r="W1168" s="62"/>
      <c r="X1168" s="62"/>
      <c r="Y1168" s="62"/>
      <c r="Z1168" s="62"/>
      <c r="AA1168" s="62"/>
      <c r="AB1168" s="62"/>
      <c r="AC1168" s="62"/>
    </row>
    <row r="1169" spans="1:29">
      <c r="A1169" s="65" t="str">
        <f>IFERROR(VLOOKUP('Informe Kelly'!A1162,Base!A:B,2,FALSE),"")</f>
        <v/>
      </c>
      <c r="B1169" s="65" t="str">
        <f>IFERROR(VLOOKUP('Informe Kelly'!A1162,Base!A:G,7,FALSE),"")</f>
        <v/>
      </c>
      <c r="C1169" s="69">
        <f>IF(G1169=$C$4,IF('Informe Kelly'!H1162='Control informe Kelly'!$A$2,TEXT(((LEFT('Informe Kelly'!E1162,2)*1)+1),"dd")&amp;"."&amp;MID('Informe Kelly'!E1162,4,2)&amp;"."&amp;RIGHT('Informe Kelly'!E1162,4),'Informe Kelly'!E1162),'Informe Kelly'!E1162)</f>
        <v>0</v>
      </c>
      <c r="D1169" s="69" t="str">
        <f>IF('Informe Kelly'!E1162="","",'Informe Kelly'!E1162)</f>
        <v/>
      </c>
      <c r="E1169" s="72">
        <f t="shared" si="37"/>
        <v>581</v>
      </c>
      <c r="F1169" s="72" t="str">
        <f>IFERROR(HLOOKUP(C1169,Ingreso!$Q$8:$AD$9,2,FALSE),"v")</f>
        <v>v</v>
      </c>
      <c r="G1169" s="65" t="str">
        <f>IFERROR(VLOOKUP(A1169,Ingreso!K:P,6,FALSE),"no esta ingresado")</f>
        <v>no esta ingresado</v>
      </c>
      <c r="H1169" s="65" t="str">
        <f>IFERROR(IF('Informe Kelly'!H1162=$A$2,'Informe Kelly'!F1162,""),0)</f>
        <v/>
      </c>
      <c r="I1169" s="65" t="str">
        <f>IFERROR(IF('Informe Kelly'!H1162=$A$3,'Informe Kelly'!F1162,""),0)</f>
        <v/>
      </c>
      <c r="J1169" s="65" t="str">
        <f>IF(IFERROR(IF(E1169=E1168,0,(HLOOKUP(D1169,Ingreso!$AN$10:$AT$260,VLOOKUP(A1169,Ingreso!$AL$11:$AM$260,2,FALSE)))/24),0)=0,"",IFERROR(IF(E1169=E1168,0,(HLOOKUP(D1169,Ingreso!$AN$10:$AT$260,VLOOKUP(A1169,Ingreso!$AL$11:$AM$260,2,FALSE)))/24),0))</f>
        <v/>
      </c>
      <c r="K1169" s="65" t="str">
        <f>IF(IFERROR(IF(E1169=E1168,0,(HLOOKUP(C1169,Ingreso!$AW$10:$BC$260,VLOOKUP(A1169,Ingreso!$AL$11:$AM$260,2,FALSE)))/24),0)=0,"",IFERROR(IF(E1169=E1168,0,(HLOOKUP(C1169,Ingreso!$AW$10:$BC$260,VLOOKUP(A1169,Ingreso!$AL$11:$AM$260,2,FALSE)))/24),0))</f>
        <v/>
      </c>
      <c r="L1169" s="63">
        <f t="shared" si="36"/>
        <v>0</v>
      </c>
      <c r="M1169" s="63" t="str">
        <f>IF(IFERROR(IF(C1169=C1167,0,IF(E1169=E1168,0,IF(C1169=$R$2,HLOOKUP($R$2,Ingreso!$AW$10:$BC$260,VLOOKUP(A1169,Ingreso!AL:AM,2,FALSE),FALSE)/24,""))),"")=0,"",IFERROR(IF(C1169=C1167,0,IF(E1169=E1168,0,IF(C1169=$R$2,HLOOKUP($R$2,Ingreso!$AW$10:$BC$260,VLOOKUP(A1169,Ingreso!AL:AM,2,FALSE),FALSE)/24,""))),""))</f>
        <v/>
      </c>
      <c r="N1169" s="95" t="str">
        <f>IF(IFERROR(IF(C1169=C1167,0,IF(E1169=E1168,0,IF(C1169=$R$3,HLOOKUP($R$3,Ingreso!$AW$10:$BC$260,VLOOKUP(A1169,Ingreso!AL:AM,2,FALSE),FALSE)/24,""))),"")=0,"",IFERROR(IF(C1169=C1167,0,IF(E1169=E1168,0,IF(C1169=$R$3,HLOOKUP($R$3,Ingreso!$AW$10:$BC$260,VLOOKUP(A1169,Ingreso!AL:AM,2,FALSE),FALSE)/24,""))),""))</f>
        <v/>
      </c>
      <c r="O1169" s="95" t="str">
        <f>IF(IFERROR(IF(C1169=C1167,0,IF(E1169=E1168,0,IF(C1169=$R$4,HLOOKUP($R$4,Ingreso!$AW$10:$BC$260,VLOOKUP(A1169,Ingreso!AL:AM,2,FALSE),FALSE)/24,""))),"")=0,"",IFERROR(IF(C1169=C1167,0,IF(E1169=E1168,0,IF(C1169=$R$4,HLOOKUP($R$4,Ingreso!$AW$10:$BC$260,VLOOKUP(A1169,Ingreso!AL:AM,2,FALSE),FALSE)/24,""))),""))</f>
        <v/>
      </c>
      <c r="P1169" s="90"/>
      <c r="V1169"/>
      <c r="W1169" s="62"/>
      <c r="X1169" s="62"/>
      <c r="Y1169" s="62"/>
      <c r="Z1169" s="62"/>
      <c r="AA1169" s="62"/>
      <c r="AB1169" s="62"/>
      <c r="AC1169" s="62"/>
    </row>
    <row r="1170" spans="1:29">
      <c r="A1170" s="65" t="str">
        <f>IFERROR(VLOOKUP('Informe Kelly'!A1163,Base!A:B,2,FALSE),"")</f>
        <v/>
      </c>
      <c r="B1170" s="65" t="str">
        <f>IFERROR(VLOOKUP('Informe Kelly'!A1163,Base!A:G,7,FALSE),"")</f>
        <v/>
      </c>
      <c r="C1170" s="69">
        <f>IF(G1170=$C$4,IF('Informe Kelly'!H1163='Control informe Kelly'!$A$2,TEXT(((LEFT('Informe Kelly'!E1163,2)*1)+1),"dd")&amp;"."&amp;MID('Informe Kelly'!E1163,4,2)&amp;"."&amp;RIGHT('Informe Kelly'!E1163,4),'Informe Kelly'!E1163),'Informe Kelly'!E1163)</f>
        <v>0</v>
      </c>
      <c r="D1170" s="69" t="str">
        <f>IF('Informe Kelly'!E1163="","",'Informe Kelly'!E1163)</f>
        <v/>
      </c>
      <c r="E1170" s="72">
        <f t="shared" si="37"/>
        <v>581</v>
      </c>
      <c r="F1170" s="72" t="str">
        <f>IFERROR(HLOOKUP(C1170,Ingreso!$Q$8:$AD$9,2,FALSE),"v")</f>
        <v>v</v>
      </c>
      <c r="G1170" s="65" t="str">
        <f>IFERROR(VLOOKUP(A1170,Ingreso!K:P,6,FALSE),"no esta ingresado")</f>
        <v>no esta ingresado</v>
      </c>
      <c r="H1170" s="65" t="str">
        <f>IFERROR(IF('Informe Kelly'!H1163=$A$2,'Informe Kelly'!F1163,""),0)</f>
        <v/>
      </c>
      <c r="I1170" s="65" t="str">
        <f>IFERROR(IF('Informe Kelly'!H1163=$A$3,'Informe Kelly'!F1163,""),0)</f>
        <v/>
      </c>
      <c r="J1170" s="65" t="str">
        <f>IF(IFERROR(IF(E1170=E1169,0,(HLOOKUP(D1170,Ingreso!$AN$10:$AT$260,VLOOKUP(A1170,Ingreso!$AL$11:$AM$260,2,FALSE)))/24),0)=0,"",IFERROR(IF(E1170=E1169,0,(HLOOKUP(D1170,Ingreso!$AN$10:$AT$260,VLOOKUP(A1170,Ingreso!$AL$11:$AM$260,2,FALSE)))/24),0))</f>
        <v/>
      </c>
      <c r="K1170" s="65" t="str">
        <f>IF(IFERROR(IF(E1170=E1169,0,(HLOOKUP(C1170,Ingreso!$AW$10:$BC$260,VLOOKUP(A1170,Ingreso!$AL$11:$AM$260,2,FALSE)))/24),0)=0,"",IFERROR(IF(E1170=E1169,0,(HLOOKUP(C1170,Ingreso!$AW$10:$BC$260,VLOOKUP(A1170,Ingreso!$AL$11:$AM$260,2,FALSE)))/24),0))</f>
        <v/>
      </c>
      <c r="L1170" s="63">
        <f t="shared" si="36"/>
        <v>0</v>
      </c>
      <c r="M1170" s="63" t="str">
        <f>IF(IFERROR(IF(C1170=C1168,0,IF(E1170=E1169,0,IF(C1170=$R$2,HLOOKUP($R$2,Ingreso!$AW$10:$BC$260,VLOOKUP(A1170,Ingreso!AL:AM,2,FALSE),FALSE)/24,""))),"")=0,"",IFERROR(IF(C1170=C1168,0,IF(E1170=E1169,0,IF(C1170=$R$2,HLOOKUP($R$2,Ingreso!$AW$10:$BC$260,VLOOKUP(A1170,Ingreso!AL:AM,2,FALSE),FALSE)/24,""))),""))</f>
        <v/>
      </c>
      <c r="N1170" s="95" t="str">
        <f>IF(IFERROR(IF(C1170=C1168,0,IF(E1170=E1169,0,IF(C1170=$R$3,HLOOKUP($R$3,Ingreso!$AW$10:$BC$260,VLOOKUP(A1170,Ingreso!AL:AM,2,FALSE),FALSE)/24,""))),"")=0,"",IFERROR(IF(C1170=C1168,0,IF(E1170=E1169,0,IF(C1170=$R$3,HLOOKUP($R$3,Ingreso!$AW$10:$BC$260,VLOOKUP(A1170,Ingreso!AL:AM,2,FALSE),FALSE)/24,""))),""))</f>
        <v/>
      </c>
      <c r="O1170" s="95" t="str">
        <f>IF(IFERROR(IF(C1170=C1168,0,IF(E1170=E1169,0,IF(C1170=$R$4,HLOOKUP($R$4,Ingreso!$AW$10:$BC$260,VLOOKUP(A1170,Ingreso!AL:AM,2,FALSE),FALSE)/24,""))),"")=0,"",IFERROR(IF(C1170=C1168,0,IF(E1170=E1169,0,IF(C1170=$R$4,HLOOKUP($R$4,Ingreso!$AW$10:$BC$260,VLOOKUP(A1170,Ingreso!AL:AM,2,FALSE),FALSE)/24,""))),""))</f>
        <v/>
      </c>
      <c r="P1170" s="90"/>
      <c r="V1170"/>
      <c r="W1170" s="62"/>
      <c r="X1170" s="62"/>
      <c r="Y1170" s="62"/>
      <c r="Z1170" s="62"/>
      <c r="AA1170" s="62"/>
      <c r="AB1170" s="62"/>
      <c r="AC1170" s="62"/>
    </row>
    <row r="1171" spans="1:29">
      <c r="A1171" s="65" t="str">
        <f>IFERROR(VLOOKUP('Informe Kelly'!A1164,Base!A:B,2,FALSE),"")</f>
        <v/>
      </c>
      <c r="B1171" s="65" t="str">
        <f>IFERROR(VLOOKUP('Informe Kelly'!A1164,Base!A:G,7,FALSE),"")</f>
        <v/>
      </c>
      <c r="C1171" s="69">
        <f>IF(G1171=$C$4,IF('Informe Kelly'!H1164='Control informe Kelly'!$A$2,TEXT(((LEFT('Informe Kelly'!E1164,2)*1)+1),"dd")&amp;"."&amp;MID('Informe Kelly'!E1164,4,2)&amp;"."&amp;RIGHT('Informe Kelly'!E1164,4),'Informe Kelly'!E1164),'Informe Kelly'!E1164)</f>
        <v>0</v>
      </c>
      <c r="D1171" s="69" t="str">
        <f>IF('Informe Kelly'!E1164="","",'Informe Kelly'!E1164)</f>
        <v/>
      </c>
      <c r="E1171" s="72">
        <f t="shared" si="37"/>
        <v>581</v>
      </c>
      <c r="F1171" s="72" t="str">
        <f>IFERROR(HLOOKUP(C1171,Ingreso!$Q$8:$AD$9,2,FALSE),"v")</f>
        <v>v</v>
      </c>
      <c r="G1171" s="65" t="str">
        <f>IFERROR(VLOOKUP(A1171,Ingreso!K:P,6,FALSE),"no esta ingresado")</f>
        <v>no esta ingresado</v>
      </c>
      <c r="H1171" s="65" t="str">
        <f>IFERROR(IF('Informe Kelly'!H1164=$A$2,'Informe Kelly'!F1164,""),0)</f>
        <v/>
      </c>
      <c r="I1171" s="65" t="str">
        <f>IFERROR(IF('Informe Kelly'!H1164=$A$3,'Informe Kelly'!F1164,""),0)</f>
        <v/>
      </c>
      <c r="J1171" s="65" t="str">
        <f>IF(IFERROR(IF(E1171=E1170,0,(HLOOKUP(D1171,Ingreso!$AN$10:$AT$260,VLOOKUP(A1171,Ingreso!$AL$11:$AM$260,2,FALSE)))/24),0)=0,"",IFERROR(IF(E1171=E1170,0,(HLOOKUP(D1171,Ingreso!$AN$10:$AT$260,VLOOKUP(A1171,Ingreso!$AL$11:$AM$260,2,FALSE)))/24),0))</f>
        <v/>
      </c>
      <c r="K1171" s="65" t="str">
        <f>IF(IFERROR(IF(E1171=E1170,0,(HLOOKUP(C1171,Ingreso!$AW$10:$BC$260,VLOOKUP(A1171,Ingreso!$AL$11:$AM$260,2,FALSE)))/24),0)=0,"",IFERROR(IF(E1171=E1170,0,(HLOOKUP(C1171,Ingreso!$AW$10:$BC$260,VLOOKUP(A1171,Ingreso!$AL$11:$AM$260,2,FALSE)))/24),0))</f>
        <v/>
      </c>
      <c r="L1171" s="63">
        <f t="shared" si="36"/>
        <v>0</v>
      </c>
      <c r="M1171" s="63" t="str">
        <f>IF(IFERROR(IF(C1171=C1169,0,IF(E1171=E1170,0,IF(C1171=$R$2,HLOOKUP($R$2,Ingreso!$AW$10:$BC$260,VLOOKUP(A1171,Ingreso!AL:AM,2,FALSE),FALSE)/24,""))),"")=0,"",IFERROR(IF(C1171=C1169,0,IF(E1171=E1170,0,IF(C1171=$R$2,HLOOKUP($R$2,Ingreso!$AW$10:$BC$260,VLOOKUP(A1171,Ingreso!AL:AM,2,FALSE),FALSE)/24,""))),""))</f>
        <v/>
      </c>
      <c r="N1171" s="95" t="str">
        <f>IF(IFERROR(IF(C1171=C1169,0,IF(E1171=E1170,0,IF(C1171=$R$3,HLOOKUP($R$3,Ingreso!$AW$10:$BC$260,VLOOKUP(A1171,Ingreso!AL:AM,2,FALSE),FALSE)/24,""))),"")=0,"",IFERROR(IF(C1171=C1169,0,IF(E1171=E1170,0,IF(C1171=$R$3,HLOOKUP($R$3,Ingreso!$AW$10:$BC$260,VLOOKUP(A1171,Ingreso!AL:AM,2,FALSE),FALSE)/24,""))),""))</f>
        <v/>
      </c>
      <c r="O1171" s="95" t="str">
        <f>IF(IFERROR(IF(C1171=C1169,0,IF(E1171=E1170,0,IF(C1171=$R$4,HLOOKUP($R$4,Ingreso!$AW$10:$BC$260,VLOOKUP(A1171,Ingreso!AL:AM,2,FALSE),FALSE)/24,""))),"")=0,"",IFERROR(IF(C1171=C1169,0,IF(E1171=E1170,0,IF(C1171=$R$4,HLOOKUP($R$4,Ingreso!$AW$10:$BC$260,VLOOKUP(A1171,Ingreso!AL:AM,2,FALSE),FALSE)/24,""))),""))</f>
        <v/>
      </c>
      <c r="P1171" s="90"/>
      <c r="V1171"/>
      <c r="W1171" s="62"/>
      <c r="X1171" s="62"/>
      <c r="Y1171" s="62"/>
      <c r="Z1171" s="62"/>
      <c r="AA1171" s="62"/>
      <c r="AB1171" s="62"/>
      <c r="AC1171" s="62"/>
    </row>
    <row r="1172" spans="1:29">
      <c r="A1172" s="65" t="str">
        <f>IFERROR(VLOOKUP('Informe Kelly'!A1165,Base!A:B,2,FALSE),"")</f>
        <v/>
      </c>
      <c r="B1172" s="65" t="str">
        <f>IFERROR(VLOOKUP('Informe Kelly'!A1165,Base!A:G,7,FALSE),"")</f>
        <v/>
      </c>
      <c r="C1172" s="69">
        <f>IF(G1172=$C$4,IF('Informe Kelly'!H1165='Control informe Kelly'!$A$2,TEXT(((LEFT('Informe Kelly'!E1165,2)*1)+1),"dd")&amp;"."&amp;MID('Informe Kelly'!E1165,4,2)&amp;"."&amp;RIGHT('Informe Kelly'!E1165,4),'Informe Kelly'!E1165),'Informe Kelly'!E1165)</f>
        <v>0</v>
      </c>
      <c r="D1172" s="69" t="str">
        <f>IF('Informe Kelly'!E1165="","",'Informe Kelly'!E1165)</f>
        <v/>
      </c>
      <c r="E1172" s="72">
        <f t="shared" si="37"/>
        <v>581</v>
      </c>
      <c r="F1172" s="72" t="str">
        <f>IFERROR(HLOOKUP(C1172,Ingreso!$Q$8:$AD$9,2,FALSE),"v")</f>
        <v>v</v>
      </c>
      <c r="G1172" s="65" t="str">
        <f>IFERROR(VLOOKUP(A1172,Ingreso!K:P,6,FALSE),"no esta ingresado")</f>
        <v>no esta ingresado</v>
      </c>
      <c r="H1172" s="65" t="str">
        <f>IFERROR(IF('Informe Kelly'!H1165=$A$2,'Informe Kelly'!F1165,""),0)</f>
        <v/>
      </c>
      <c r="I1172" s="65" t="str">
        <f>IFERROR(IF('Informe Kelly'!H1165=$A$3,'Informe Kelly'!F1165,""),0)</f>
        <v/>
      </c>
      <c r="J1172" s="65" t="str">
        <f>IF(IFERROR(IF(E1172=E1171,0,(HLOOKUP(D1172,Ingreso!$AN$10:$AT$260,VLOOKUP(A1172,Ingreso!$AL$11:$AM$260,2,FALSE)))/24),0)=0,"",IFERROR(IF(E1172=E1171,0,(HLOOKUP(D1172,Ingreso!$AN$10:$AT$260,VLOOKUP(A1172,Ingreso!$AL$11:$AM$260,2,FALSE)))/24),0))</f>
        <v/>
      </c>
      <c r="K1172" s="65" t="str">
        <f>IF(IFERROR(IF(E1172=E1171,0,(HLOOKUP(C1172,Ingreso!$AW$10:$BC$260,VLOOKUP(A1172,Ingreso!$AL$11:$AM$260,2,FALSE)))/24),0)=0,"",IFERROR(IF(E1172=E1171,0,(HLOOKUP(C1172,Ingreso!$AW$10:$BC$260,VLOOKUP(A1172,Ingreso!$AL$11:$AM$260,2,FALSE)))/24),0))</f>
        <v/>
      </c>
      <c r="L1172" s="63">
        <f t="shared" si="36"/>
        <v>0</v>
      </c>
      <c r="M1172" s="63" t="str">
        <f>IF(IFERROR(IF(C1172=C1170,0,IF(E1172=E1171,0,IF(C1172=$R$2,HLOOKUP($R$2,Ingreso!$AW$10:$BC$260,VLOOKUP(A1172,Ingreso!AL:AM,2,FALSE),FALSE)/24,""))),"")=0,"",IFERROR(IF(C1172=C1170,0,IF(E1172=E1171,0,IF(C1172=$R$2,HLOOKUP($R$2,Ingreso!$AW$10:$BC$260,VLOOKUP(A1172,Ingreso!AL:AM,2,FALSE),FALSE)/24,""))),""))</f>
        <v/>
      </c>
      <c r="N1172" s="95" t="str">
        <f>IF(IFERROR(IF(C1172=C1170,0,IF(E1172=E1171,0,IF(C1172=$R$3,HLOOKUP($R$3,Ingreso!$AW$10:$BC$260,VLOOKUP(A1172,Ingreso!AL:AM,2,FALSE),FALSE)/24,""))),"")=0,"",IFERROR(IF(C1172=C1170,0,IF(E1172=E1171,0,IF(C1172=$R$3,HLOOKUP($R$3,Ingreso!$AW$10:$BC$260,VLOOKUP(A1172,Ingreso!AL:AM,2,FALSE),FALSE)/24,""))),""))</f>
        <v/>
      </c>
      <c r="O1172" s="95" t="str">
        <f>IF(IFERROR(IF(C1172=C1170,0,IF(E1172=E1171,0,IF(C1172=$R$4,HLOOKUP($R$4,Ingreso!$AW$10:$BC$260,VLOOKUP(A1172,Ingreso!AL:AM,2,FALSE),FALSE)/24,""))),"")=0,"",IFERROR(IF(C1172=C1170,0,IF(E1172=E1171,0,IF(C1172=$R$4,HLOOKUP($R$4,Ingreso!$AW$10:$BC$260,VLOOKUP(A1172,Ingreso!AL:AM,2,FALSE),FALSE)/24,""))),""))</f>
        <v/>
      </c>
      <c r="P1172" s="90"/>
      <c r="V1172"/>
      <c r="W1172" s="62"/>
      <c r="X1172" s="62"/>
      <c r="Y1172" s="62"/>
      <c r="Z1172" s="62"/>
      <c r="AA1172" s="62"/>
      <c r="AB1172" s="62"/>
      <c r="AC1172" s="62"/>
    </row>
    <row r="1173" spans="1:29">
      <c r="A1173" s="65" t="str">
        <f>IFERROR(VLOOKUP('Informe Kelly'!A1166,Base!A:B,2,FALSE),"")</f>
        <v/>
      </c>
      <c r="B1173" s="65" t="str">
        <f>IFERROR(VLOOKUP('Informe Kelly'!A1166,Base!A:G,7,FALSE),"")</f>
        <v/>
      </c>
      <c r="C1173" s="69">
        <f>IF(G1173=$C$4,IF('Informe Kelly'!H1166='Control informe Kelly'!$A$2,TEXT(((LEFT('Informe Kelly'!E1166,2)*1)+1),"dd")&amp;"."&amp;MID('Informe Kelly'!E1166,4,2)&amp;"."&amp;RIGHT('Informe Kelly'!E1166,4),'Informe Kelly'!E1166),'Informe Kelly'!E1166)</f>
        <v>0</v>
      </c>
      <c r="D1173" s="69" t="str">
        <f>IF('Informe Kelly'!E1166="","",'Informe Kelly'!E1166)</f>
        <v/>
      </c>
      <c r="E1173" s="72">
        <f t="shared" si="37"/>
        <v>581</v>
      </c>
      <c r="F1173" s="72" t="str">
        <f>IFERROR(HLOOKUP(C1173,Ingreso!$Q$8:$AD$9,2,FALSE),"v")</f>
        <v>v</v>
      </c>
      <c r="G1173" s="65" t="str">
        <f>IFERROR(VLOOKUP(A1173,Ingreso!K:P,6,FALSE),"no esta ingresado")</f>
        <v>no esta ingresado</v>
      </c>
      <c r="H1173" s="65" t="str">
        <f>IFERROR(IF('Informe Kelly'!H1166=$A$2,'Informe Kelly'!F1166,""),0)</f>
        <v/>
      </c>
      <c r="I1173" s="65" t="str">
        <f>IFERROR(IF('Informe Kelly'!H1166=$A$3,'Informe Kelly'!F1166,""),0)</f>
        <v/>
      </c>
      <c r="J1173" s="65" t="str">
        <f>IF(IFERROR(IF(E1173=E1172,0,(HLOOKUP(D1173,Ingreso!$AN$10:$AT$260,VLOOKUP(A1173,Ingreso!$AL$11:$AM$260,2,FALSE)))/24),0)=0,"",IFERROR(IF(E1173=E1172,0,(HLOOKUP(D1173,Ingreso!$AN$10:$AT$260,VLOOKUP(A1173,Ingreso!$AL$11:$AM$260,2,FALSE)))/24),0))</f>
        <v/>
      </c>
      <c r="K1173" s="65" t="str">
        <f>IF(IFERROR(IF(E1173=E1172,0,(HLOOKUP(C1173,Ingreso!$AW$10:$BC$260,VLOOKUP(A1173,Ingreso!$AL$11:$AM$260,2,FALSE)))/24),0)=0,"",IFERROR(IF(E1173=E1172,0,(HLOOKUP(C1173,Ingreso!$AW$10:$BC$260,VLOOKUP(A1173,Ingreso!$AL$11:$AM$260,2,FALSE)))/24),0))</f>
        <v/>
      </c>
      <c r="L1173" s="63">
        <f t="shared" si="36"/>
        <v>0</v>
      </c>
      <c r="M1173" s="63" t="str">
        <f>IF(IFERROR(IF(C1173=C1171,0,IF(E1173=E1172,0,IF(C1173=$R$2,HLOOKUP($R$2,Ingreso!$AW$10:$BC$260,VLOOKUP(A1173,Ingreso!AL:AM,2,FALSE),FALSE)/24,""))),"")=0,"",IFERROR(IF(C1173=C1171,0,IF(E1173=E1172,0,IF(C1173=$R$2,HLOOKUP($R$2,Ingreso!$AW$10:$BC$260,VLOOKUP(A1173,Ingreso!AL:AM,2,FALSE),FALSE)/24,""))),""))</f>
        <v/>
      </c>
      <c r="N1173" s="95" t="str">
        <f>IF(IFERROR(IF(C1173=C1171,0,IF(E1173=E1172,0,IF(C1173=$R$3,HLOOKUP($R$3,Ingreso!$AW$10:$BC$260,VLOOKUP(A1173,Ingreso!AL:AM,2,FALSE),FALSE)/24,""))),"")=0,"",IFERROR(IF(C1173=C1171,0,IF(E1173=E1172,0,IF(C1173=$R$3,HLOOKUP($R$3,Ingreso!$AW$10:$BC$260,VLOOKUP(A1173,Ingreso!AL:AM,2,FALSE),FALSE)/24,""))),""))</f>
        <v/>
      </c>
      <c r="O1173" s="95" t="str">
        <f>IF(IFERROR(IF(C1173=C1171,0,IF(E1173=E1172,0,IF(C1173=$R$4,HLOOKUP($R$4,Ingreso!$AW$10:$BC$260,VLOOKUP(A1173,Ingreso!AL:AM,2,FALSE),FALSE)/24,""))),"")=0,"",IFERROR(IF(C1173=C1171,0,IF(E1173=E1172,0,IF(C1173=$R$4,HLOOKUP($R$4,Ingreso!$AW$10:$BC$260,VLOOKUP(A1173,Ingreso!AL:AM,2,FALSE),FALSE)/24,""))),""))</f>
        <v/>
      </c>
      <c r="P1173" s="90"/>
      <c r="V1173"/>
      <c r="W1173" s="62"/>
      <c r="X1173" s="62"/>
      <c r="Y1173" s="62"/>
      <c r="Z1173" s="62"/>
      <c r="AA1173" s="62"/>
      <c r="AB1173" s="62"/>
      <c r="AC1173" s="62"/>
    </row>
    <row r="1174" spans="1:29">
      <c r="A1174" s="65" t="str">
        <f>IFERROR(VLOOKUP('Informe Kelly'!A1167,Base!A:B,2,FALSE),"")</f>
        <v/>
      </c>
      <c r="B1174" s="65" t="str">
        <f>IFERROR(VLOOKUP('Informe Kelly'!A1167,Base!A:G,7,FALSE),"")</f>
        <v/>
      </c>
      <c r="C1174" s="69">
        <f>IF(G1174=$C$4,IF('Informe Kelly'!H1167='Control informe Kelly'!$A$2,TEXT(((LEFT('Informe Kelly'!E1167,2)*1)+1),"dd")&amp;"."&amp;MID('Informe Kelly'!E1167,4,2)&amp;"."&amp;RIGHT('Informe Kelly'!E1167,4),'Informe Kelly'!E1167),'Informe Kelly'!E1167)</f>
        <v>0</v>
      </c>
      <c r="D1174" s="69" t="str">
        <f>IF('Informe Kelly'!E1167="","",'Informe Kelly'!E1167)</f>
        <v/>
      </c>
      <c r="E1174" s="72">
        <f t="shared" si="37"/>
        <v>581</v>
      </c>
      <c r="F1174" s="72" t="str">
        <f>IFERROR(HLOOKUP(C1174,Ingreso!$Q$8:$AD$9,2,FALSE),"v")</f>
        <v>v</v>
      </c>
      <c r="G1174" s="65" t="str">
        <f>IFERROR(VLOOKUP(A1174,Ingreso!K:P,6,FALSE),"no esta ingresado")</f>
        <v>no esta ingresado</v>
      </c>
      <c r="H1174" s="65" t="str">
        <f>IFERROR(IF('Informe Kelly'!H1167=$A$2,'Informe Kelly'!F1167,""),0)</f>
        <v/>
      </c>
      <c r="I1174" s="65" t="str">
        <f>IFERROR(IF('Informe Kelly'!H1167=$A$3,'Informe Kelly'!F1167,""),0)</f>
        <v/>
      </c>
      <c r="J1174" s="65" t="str">
        <f>IF(IFERROR(IF(E1174=E1173,0,(HLOOKUP(D1174,Ingreso!$AN$10:$AT$260,VLOOKUP(A1174,Ingreso!$AL$11:$AM$260,2,FALSE)))/24),0)=0,"",IFERROR(IF(E1174=E1173,0,(HLOOKUP(D1174,Ingreso!$AN$10:$AT$260,VLOOKUP(A1174,Ingreso!$AL$11:$AM$260,2,FALSE)))/24),0))</f>
        <v/>
      </c>
      <c r="K1174" s="65" t="str">
        <f>IF(IFERROR(IF(E1174=E1173,0,(HLOOKUP(C1174,Ingreso!$AW$10:$BC$260,VLOOKUP(A1174,Ingreso!$AL$11:$AM$260,2,FALSE)))/24),0)=0,"",IFERROR(IF(E1174=E1173,0,(HLOOKUP(C1174,Ingreso!$AW$10:$BC$260,VLOOKUP(A1174,Ingreso!$AL$11:$AM$260,2,FALSE)))/24),0))</f>
        <v/>
      </c>
      <c r="L1174" s="63">
        <f t="shared" si="36"/>
        <v>0</v>
      </c>
      <c r="M1174" s="63" t="str">
        <f>IF(IFERROR(IF(C1174=C1172,0,IF(E1174=E1173,0,IF(C1174=$R$2,HLOOKUP($R$2,Ingreso!$AW$10:$BC$260,VLOOKUP(A1174,Ingreso!AL:AM,2,FALSE),FALSE)/24,""))),"")=0,"",IFERROR(IF(C1174=C1172,0,IF(E1174=E1173,0,IF(C1174=$R$2,HLOOKUP($R$2,Ingreso!$AW$10:$BC$260,VLOOKUP(A1174,Ingreso!AL:AM,2,FALSE),FALSE)/24,""))),""))</f>
        <v/>
      </c>
      <c r="N1174" s="95" t="str">
        <f>IF(IFERROR(IF(C1174=C1172,0,IF(E1174=E1173,0,IF(C1174=$R$3,HLOOKUP($R$3,Ingreso!$AW$10:$BC$260,VLOOKUP(A1174,Ingreso!AL:AM,2,FALSE),FALSE)/24,""))),"")=0,"",IFERROR(IF(C1174=C1172,0,IF(E1174=E1173,0,IF(C1174=$R$3,HLOOKUP($R$3,Ingreso!$AW$10:$BC$260,VLOOKUP(A1174,Ingreso!AL:AM,2,FALSE),FALSE)/24,""))),""))</f>
        <v/>
      </c>
      <c r="O1174" s="95" t="str">
        <f>IF(IFERROR(IF(C1174=C1172,0,IF(E1174=E1173,0,IF(C1174=$R$4,HLOOKUP($R$4,Ingreso!$AW$10:$BC$260,VLOOKUP(A1174,Ingreso!AL:AM,2,FALSE),FALSE)/24,""))),"")=0,"",IFERROR(IF(C1174=C1172,0,IF(E1174=E1173,0,IF(C1174=$R$4,HLOOKUP($R$4,Ingreso!$AW$10:$BC$260,VLOOKUP(A1174,Ingreso!AL:AM,2,FALSE),FALSE)/24,""))),""))</f>
        <v/>
      </c>
      <c r="P1174" s="90"/>
      <c r="V1174"/>
      <c r="W1174" s="62"/>
      <c r="X1174" s="62"/>
      <c r="Y1174" s="62"/>
      <c r="Z1174" s="62"/>
      <c r="AA1174" s="62"/>
      <c r="AB1174" s="62"/>
      <c r="AC1174" s="62"/>
    </row>
    <row r="1175" spans="1:29">
      <c r="A1175" s="65" t="str">
        <f>IFERROR(VLOOKUP('Informe Kelly'!A1168,Base!A:B,2,FALSE),"")</f>
        <v/>
      </c>
      <c r="B1175" s="65" t="str">
        <f>IFERROR(VLOOKUP('Informe Kelly'!A1168,Base!A:G,7,FALSE),"")</f>
        <v/>
      </c>
      <c r="C1175" s="69">
        <f>IF(G1175=$C$4,IF('Informe Kelly'!H1168='Control informe Kelly'!$A$2,TEXT(((LEFT('Informe Kelly'!E1168,2)*1)+1),"dd")&amp;"."&amp;MID('Informe Kelly'!E1168,4,2)&amp;"."&amp;RIGHT('Informe Kelly'!E1168,4),'Informe Kelly'!E1168),'Informe Kelly'!E1168)</f>
        <v>0</v>
      </c>
      <c r="D1175" s="69" t="str">
        <f>IF('Informe Kelly'!E1168="","",'Informe Kelly'!E1168)</f>
        <v/>
      </c>
      <c r="E1175" s="72">
        <f t="shared" si="37"/>
        <v>581</v>
      </c>
      <c r="F1175" s="72" t="str">
        <f>IFERROR(HLOOKUP(C1175,Ingreso!$Q$8:$AD$9,2,FALSE),"v")</f>
        <v>v</v>
      </c>
      <c r="G1175" s="65" t="str">
        <f>IFERROR(VLOOKUP(A1175,Ingreso!K:P,6,FALSE),"no esta ingresado")</f>
        <v>no esta ingresado</v>
      </c>
      <c r="H1175" s="65" t="str">
        <f>IFERROR(IF('Informe Kelly'!H1168=$A$2,'Informe Kelly'!F1168,""),0)</f>
        <v/>
      </c>
      <c r="I1175" s="65" t="str">
        <f>IFERROR(IF('Informe Kelly'!H1168=$A$3,'Informe Kelly'!F1168,""),0)</f>
        <v/>
      </c>
      <c r="J1175" s="65" t="str">
        <f>IF(IFERROR(IF(E1175=E1174,0,(HLOOKUP(D1175,Ingreso!$AN$10:$AT$260,VLOOKUP(A1175,Ingreso!$AL$11:$AM$260,2,FALSE)))/24),0)=0,"",IFERROR(IF(E1175=E1174,0,(HLOOKUP(D1175,Ingreso!$AN$10:$AT$260,VLOOKUP(A1175,Ingreso!$AL$11:$AM$260,2,FALSE)))/24),0))</f>
        <v/>
      </c>
      <c r="K1175" s="65" t="str">
        <f>IF(IFERROR(IF(E1175=E1174,0,(HLOOKUP(C1175,Ingreso!$AW$10:$BC$260,VLOOKUP(A1175,Ingreso!$AL$11:$AM$260,2,FALSE)))/24),0)=0,"",IFERROR(IF(E1175=E1174,0,(HLOOKUP(C1175,Ingreso!$AW$10:$BC$260,VLOOKUP(A1175,Ingreso!$AL$11:$AM$260,2,FALSE)))/24),0))</f>
        <v/>
      </c>
      <c r="L1175" s="63">
        <f t="shared" si="36"/>
        <v>0</v>
      </c>
      <c r="M1175" s="63" t="str">
        <f>IF(IFERROR(IF(C1175=C1173,0,IF(E1175=E1174,0,IF(C1175=$R$2,HLOOKUP($R$2,Ingreso!$AW$10:$BC$260,VLOOKUP(A1175,Ingreso!AL:AM,2,FALSE),FALSE)/24,""))),"")=0,"",IFERROR(IF(C1175=C1173,0,IF(E1175=E1174,0,IF(C1175=$R$2,HLOOKUP($R$2,Ingreso!$AW$10:$BC$260,VLOOKUP(A1175,Ingreso!AL:AM,2,FALSE),FALSE)/24,""))),""))</f>
        <v/>
      </c>
      <c r="N1175" s="95" t="str">
        <f>IF(IFERROR(IF(C1175=C1173,0,IF(E1175=E1174,0,IF(C1175=$R$3,HLOOKUP($R$3,Ingreso!$AW$10:$BC$260,VLOOKUP(A1175,Ingreso!AL:AM,2,FALSE),FALSE)/24,""))),"")=0,"",IFERROR(IF(C1175=C1173,0,IF(E1175=E1174,0,IF(C1175=$R$3,HLOOKUP($R$3,Ingreso!$AW$10:$BC$260,VLOOKUP(A1175,Ingreso!AL:AM,2,FALSE),FALSE)/24,""))),""))</f>
        <v/>
      </c>
      <c r="O1175" s="95" t="str">
        <f>IF(IFERROR(IF(C1175=C1173,0,IF(E1175=E1174,0,IF(C1175=$R$4,HLOOKUP($R$4,Ingreso!$AW$10:$BC$260,VLOOKUP(A1175,Ingreso!AL:AM,2,FALSE),FALSE)/24,""))),"")=0,"",IFERROR(IF(C1175=C1173,0,IF(E1175=E1174,0,IF(C1175=$R$4,HLOOKUP($R$4,Ingreso!$AW$10:$BC$260,VLOOKUP(A1175,Ingreso!AL:AM,2,FALSE),FALSE)/24,""))),""))</f>
        <v/>
      </c>
      <c r="P1175" s="90"/>
      <c r="V1175"/>
      <c r="W1175" s="62"/>
      <c r="X1175" s="62"/>
      <c r="Y1175" s="62"/>
      <c r="Z1175" s="62"/>
      <c r="AA1175" s="62"/>
      <c r="AB1175" s="62"/>
      <c r="AC1175" s="62"/>
    </row>
    <row r="1176" spans="1:29">
      <c r="A1176" s="65" t="str">
        <f>IFERROR(VLOOKUP('Informe Kelly'!A1169,Base!A:B,2,FALSE),"")</f>
        <v/>
      </c>
      <c r="B1176" s="65" t="str">
        <f>IFERROR(VLOOKUP('Informe Kelly'!A1169,Base!A:G,7,FALSE),"")</f>
        <v/>
      </c>
      <c r="C1176" s="69">
        <f>IF(G1176=$C$4,IF('Informe Kelly'!H1169='Control informe Kelly'!$A$2,TEXT(((LEFT('Informe Kelly'!E1169,2)*1)+1),"dd")&amp;"."&amp;MID('Informe Kelly'!E1169,4,2)&amp;"."&amp;RIGHT('Informe Kelly'!E1169,4),'Informe Kelly'!E1169),'Informe Kelly'!E1169)</f>
        <v>0</v>
      </c>
      <c r="D1176" s="69" t="str">
        <f>IF('Informe Kelly'!E1169="","",'Informe Kelly'!E1169)</f>
        <v/>
      </c>
      <c r="E1176" s="72">
        <f t="shared" si="37"/>
        <v>581</v>
      </c>
      <c r="F1176" s="72" t="str">
        <f>IFERROR(HLOOKUP(C1176,Ingreso!$Q$8:$AD$9,2,FALSE),"v")</f>
        <v>v</v>
      </c>
      <c r="G1176" s="65" t="str">
        <f>IFERROR(VLOOKUP(A1176,Ingreso!K:P,6,FALSE),"no esta ingresado")</f>
        <v>no esta ingresado</v>
      </c>
      <c r="H1176" s="65" t="str">
        <f>IFERROR(IF('Informe Kelly'!H1169=$A$2,'Informe Kelly'!F1169,""),0)</f>
        <v/>
      </c>
      <c r="I1176" s="65" t="str">
        <f>IFERROR(IF('Informe Kelly'!H1169=$A$3,'Informe Kelly'!F1169,""),0)</f>
        <v/>
      </c>
      <c r="J1176" s="65" t="str">
        <f>IF(IFERROR(IF(E1176=E1175,0,(HLOOKUP(D1176,Ingreso!$AN$10:$AT$260,VLOOKUP(A1176,Ingreso!$AL$11:$AM$260,2,FALSE)))/24),0)=0,"",IFERROR(IF(E1176=E1175,0,(HLOOKUP(D1176,Ingreso!$AN$10:$AT$260,VLOOKUP(A1176,Ingreso!$AL$11:$AM$260,2,FALSE)))/24),0))</f>
        <v/>
      </c>
      <c r="K1176" s="65" t="str">
        <f>IF(IFERROR(IF(E1176=E1175,0,(HLOOKUP(C1176,Ingreso!$AW$10:$BC$260,VLOOKUP(A1176,Ingreso!$AL$11:$AM$260,2,FALSE)))/24),0)=0,"",IFERROR(IF(E1176=E1175,0,(HLOOKUP(C1176,Ingreso!$AW$10:$BC$260,VLOOKUP(A1176,Ingreso!$AL$11:$AM$260,2,FALSE)))/24),0))</f>
        <v/>
      </c>
      <c r="L1176" s="63">
        <f t="shared" si="36"/>
        <v>0</v>
      </c>
      <c r="M1176" s="63" t="str">
        <f>IF(IFERROR(IF(C1176=C1174,0,IF(E1176=E1175,0,IF(C1176=$R$2,HLOOKUP($R$2,Ingreso!$AW$10:$BC$260,VLOOKUP(A1176,Ingreso!AL:AM,2,FALSE),FALSE)/24,""))),"")=0,"",IFERROR(IF(C1176=C1174,0,IF(E1176=E1175,0,IF(C1176=$R$2,HLOOKUP($R$2,Ingreso!$AW$10:$BC$260,VLOOKUP(A1176,Ingreso!AL:AM,2,FALSE),FALSE)/24,""))),""))</f>
        <v/>
      </c>
      <c r="N1176" s="95" t="str">
        <f>IF(IFERROR(IF(C1176=C1174,0,IF(E1176=E1175,0,IF(C1176=$R$3,HLOOKUP($R$3,Ingreso!$AW$10:$BC$260,VLOOKUP(A1176,Ingreso!AL:AM,2,FALSE),FALSE)/24,""))),"")=0,"",IFERROR(IF(C1176=C1174,0,IF(E1176=E1175,0,IF(C1176=$R$3,HLOOKUP($R$3,Ingreso!$AW$10:$BC$260,VLOOKUP(A1176,Ingreso!AL:AM,2,FALSE),FALSE)/24,""))),""))</f>
        <v/>
      </c>
      <c r="O1176" s="95" t="str">
        <f>IF(IFERROR(IF(C1176=C1174,0,IF(E1176=E1175,0,IF(C1176=$R$4,HLOOKUP($R$4,Ingreso!$AW$10:$BC$260,VLOOKUP(A1176,Ingreso!AL:AM,2,FALSE),FALSE)/24,""))),"")=0,"",IFERROR(IF(C1176=C1174,0,IF(E1176=E1175,0,IF(C1176=$R$4,HLOOKUP($R$4,Ingreso!$AW$10:$BC$260,VLOOKUP(A1176,Ingreso!AL:AM,2,FALSE),FALSE)/24,""))),""))</f>
        <v/>
      </c>
      <c r="P1176" s="90"/>
      <c r="V1176"/>
      <c r="W1176" s="62"/>
      <c r="X1176" s="62"/>
      <c r="Y1176" s="62"/>
      <c r="Z1176" s="62"/>
      <c r="AA1176" s="62"/>
      <c r="AB1176" s="62"/>
      <c r="AC1176" s="62"/>
    </row>
    <row r="1177" spans="1:29">
      <c r="A1177" s="65" t="str">
        <f>IFERROR(VLOOKUP('Informe Kelly'!A1170,Base!A:B,2,FALSE),"")</f>
        <v/>
      </c>
      <c r="B1177" s="65" t="str">
        <f>IFERROR(VLOOKUP('Informe Kelly'!A1170,Base!A:G,7,FALSE),"")</f>
        <v/>
      </c>
      <c r="C1177" s="69">
        <f>IF(G1177=$C$4,IF('Informe Kelly'!H1170='Control informe Kelly'!$A$2,TEXT(((LEFT('Informe Kelly'!E1170,2)*1)+1),"dd")&amp;"."&amp;MID('Informe Kelly'!E1170,4,2)&amp;"."&amp;RIGHT('Informe Kelly'!E1170,4),'Informe Kelly'!E1170),'Informe Kelly'!E1170)</f>
        <v>0</v>
      </c>
      <c r="D1177" s="69" t="str">
        <f>IF('Informe Kelly'!E1170="","",'Informe Kelly'!E1170)</f>
        <v/>
      </c>
      <c r="E1177" s="72">
        <f t="shared" si="37"/>
        <v>581</v>
      </c>
      <c r="F1177" s="72" t="str">
        <f>IFERROR(HLOOKUP(C1177,Ingreso!$Q$8:$AD$9,2,FALSE),"v")</f>
        <v>v</v>
      </c>
      <c r="G1177" s="65" t="str">
        <f>IFERROR(VLOOKUP(A1177,Ingreso!K:P,6,FALSE),"no esta ingresado")</f>
        <v>no esta ingresado</v>
      </c>
      <c r="H1177" s="65" t="str">
        <f>IFERROR(IF('Informe Kelly'!H1170=$A$2,'Informe Kelly'!F1170,""),0)</f>
        <v/>
      </c>
      <c r="I1177" s="65" t="str">
        <f>IFERROR(IF('Informe Kelly'!H1170=$A$3,'Informe Kelly'!F1170,""),0)</f>
        <v/>
      </c>
      <c r="J1177" s="65" t="str">
        <f>IF(IFERROR(IF(E1177=E1176,0,(HLOOKUP(D1177,Ingreso!$AN$10:$AT$260,VLOOKUP(A1177,Ingreso!$AL$11:$AM$260,2,FALSE)))/24),0)=0,"",IFERROR(IF(E1177=E1176,0,(HLOOKUP(D1177,Ingreso!$AN$10:$AT$260,VLOOKUP(A1177,Ingreso!$AL$11:$AM$260,2,FALSE)))/24),0))</f>
        <v/>
      </c>
      <c r="K1177" s="65" t="str">
        <f>IF(IFERROR(IF(E1177=E1176,0,(HLOOKUP(C1177,Ingreso!$AW$10:$BC$260,VLOOKUP(A1177,Ingreso!$AL$11:$AM$260,2,FALSE)))/24),0)=0,"",IFERROR(IF(E1177=E1176,0,(HLOOKUP(C1177,Ingreso!$AW$10:$BC$260,VLOOKUP(A1177,Ingreso!$AL$11:$AM$260,2,FALSE)))/24),0))</f>
        <v/>
      </c>
      <c r="L1177" s="63">
        <f t="shared" si="36"/>
        <v>0</v>
      </c>
      <c r="M1177" s="63" t="str">
        <f>IF(IFERROR(IF(C1177=C1175,0,IF(E1177=E1176,0,IF(C1177=$R$2,HLOOKUP($R$2,Ingreso!$AW$10:$BC$260,VLOOKUP(A1177,Ingreso!AL:AM,2,FALSE),FALSE)/24,""))),"")=0,"",IFERROR(IF(C1177=C1175,0,IF(E1177=E1176,0,IF(C1177=$R$2,HLOOKUP($R$2,Ingreso!$AW$10:$BC$260,VLOOKUP(A1177,Ingreso!AL:AM,2,FALSE),FALSE)/24,""))),""))</f>
        <v/>
      </c>
      <c r="N1177" s="95" t="str">
        <f>IF(IFERROR(IF(C1177=C1175,0,IF(E1177=E1176,0,IF(C1177=$R$3,HLOOKUP($R$3,Ingreso!$AW$10:$BC$260,VLOOKUP(A1177,Ingreso!AL:AM,2,FALSE),FALSE)/24,""))),"")=0,"",IFERROR(IF(C1177=C1175,0,IF(E1177=E1176,0,IF(C1177=$R$3,HLOOKUP($R$3,Ingreso!$AW$10:$BC$260,VLOOKUP(A1177,Ingreso!AL:AM,2,FALSE),FALSE)/24,""))),""))</f>
        <v/>
      </c>
      <c r="O1177" s="95" t="str">
        <f>IF(IFERROR(IF(C1177=C1175,0,IF(E1177=E1176,0,IF(C1177=$R$4,HLOOKUP($R$4,Ingreso!$AW$10:$BC$260,VLOOKUP(A1177,Ingreso!AL:AM,2,FALSE),FALSE)/24,""))),"")=0,"",IFERROR(IF(C1177=C1175,0,IF(E1177=E1176,0,IF(C1177=$R$4,HLOOKUP($R$4,Ingreso!$AW$10:$BC$260,VLOOKUP(A1177,Ingreso!AL:AM,2,FALSE),FALSE)/24,""))),""))</f>
        <v/>
      </c>
      <c r="P1177" s="90"/>
      <c r="V1177"/>
      <c r="W1177" s="62"/>
      <c r="X1177" s="62"/>
      <c r="Y1177" s="62"/>
      <c r="Z1177" s="62"/>
      <c r="AA1177" s="62"/>
      <c r="AB1177" s="62"/>
      <c r="AC1177" s="62"/>
    </row>
    <row r="1178" spans="1:29">
      <c r="A1178" s="65" t="str">
        <f>IFERROR(VLOOKUP('Informe Kelly'!A1171,Base!A:B,2,FALSE),"")</f>
        <v/>
      </c>
      <c r="B1178" s="65" t="str">
        <f>IFERROR(VLOOKUP('Informe Kelly'!A1171,Base!A:G,7,FALSE),"")</f>
        <v/>
      </c>
      <c r="C1178" s="69">
        <f>IF(G1178=$C$4,IF('Informe Kelly'!H1171='Control informe Kelly'!$A$2,TEXT(((LEFT('Informe Kelly'!E1171,2)*1)+1),"dd")&amp;"."&amp;MID('Informe Kelly'!E1171,4,2)&amp;"."&amp;RIGHT('Informe Kelly'!E1171,4),'Informe Kelly'!E1171),'Informe Kelly'!E1171)</f>
        <v>0</v>
      </c>
      <c r="D1178" s="69" t="str">
        <f>IF('Informe Kelly'!E1171="","",'Informe Kelly'!E1171)</f>
        <v/>
      </c>
      <c r="E1178" s="72">
        <f t="shared" si="37"/>
        <v>581</v>
      </c>
      <c r="F1178" s="72" t="str">
        <f>IFERROR(HLOOKUP(C1178,Ingreso!$Q$8:$AD$9,2,FALSE),"v")</f>
        <v>v</v>
      </c>
      <c r="G1178" s="65" t="str">
        <f>IFERROR(VLOOKUP(A1178,Ingreso!K:P,6,FALSE),"no esta ingresado")</f>
        <v>no esta ingresado</v>
      </c>
      <c r="H1178" s="65" t="str">
        <f>IFERROR(IF('Informe Kelly'!H1171=$A$2,'Informe Kelly'!F1171,""),0)</f>
        <v/>
      </c>
      <c r="I1178" s="65" t="str">
        <f>IFERROR(IF('Informe Kelly'!H1171=$A$3,'Informe Kelly'!F1171,""),0)</f>
        <v/>
      </c>
      <c r="J1178" s="65" t="str">
        <f>IF(IFERROR(IF(E1178=E1177,0,(HLOOKUP(D1178,Ingreso!$AN$10:$AT$260,VLOOKUP(A1178,Ingreso!$AL$11:$AM$260,2,FALSE)))/24),0)=0,"",IFERROR(IF(E1178=E1177,0,(HLOOKUP(D1178,Ingreso!$AN$10:$AT$260,VLOOKUP(A1178,Ingreso!$AL$11:$AM$260,2,FALSE)))/24),0))</f>
        <v/>
      </c>
      <c r="K1178" s="65" t="str">
        <f>IF(IFERROR(IF(E1178=E1177,0,(HLOOKUP(C1178,Ingreso!$AW$10:$BC$260,VLOOKUP(A1178,Ingreso!$AL$11:$AM$260,2,FALSE)))/24),0)=0,"",IFERROR(IF(E1178=E1177,0,(HLOOKUP(C1178,Ingreso!$AW$10:$BC$260,VLOOKUP(A1178,Ingreso!$AL$11:$AM$260,2,FALSE)))/24),0))</f>
        <v/>
      </c>
      <c r="L1178" s="63">
        <f t="shared" si="36"/>
        <v>0</v>
      </c>
      <c r="M1178" s="63" t="str">
        <f>IF(IFERROR(IF(C1178=C1176,0,IF(E1178=E1177,0,IF(C1178=$R$2,HLOOKUP($R$2,Ingreso!$AW$10:$BC$260,VLOOKUP(A1178,Ingreso!AL:AM,2,FALSE),FALSE)/24,""))),"")=0,"",IFERROR(IF(C1178=C1176,0,IF(E1178=E1177,0,IF(C1178=$R$2,HLOOKUP($R$2,Ingreso!$AW$10:$BC$260,VLOOKUP(A1178,Ingreso!AL:AM,2,FALSE),FALSE)/24,""))),""))</f>
        <v/>
      </c>
      <c r="N1178" s="95" t="str">
        <f>IF(IFERROR(IF(C1178=C1176,0,IF(E1178=E1177,0,IF(C1178=$R$3,HLOOKUP($R$3,Ingreso!$AW$10:$BC$260,VLOOKUP(A1178,Ingreso!AL:AM,2,FALSE),FALSE)/24,""))),"")=0,"",IFERROR(IF(C1178=C1176,0,IF(E1178=E1177,0,IF(C1178=$R$3,HLOOKUP($R$3,Ingreso!$AW$10:$BC$260,VLOOKUP(A1178,Ingreso!AL:AM,2,FALSE),FALSE)/24,""))),""))</f>
        <v/>
      </c>
      <c r="O1178" s="95" t="str">
        <f>IF(IFERROR(IF(C1178=C1176,0,IF(E1178=E1177,0,IF(C1178=$R$4,HLOOKUP($R$4,Ingreso!$AW$10:$BC$260,VLOOKUP(A1178,Ingreso!AL:AM,2,FALSE),FALSE)/24,""))),"")=0,"",IFERROR(IF(C1178=C1176,0,IF(E1178=E1177,0,IF(C1178=$R$4,HLOOKUP($R$4,Ingreso!$AW$10:$BC$260,VLOOKUP(A1178,Ingreso!AL:AM,2,FALSE),FALSE)/24,""))),""))</f>
        <v/>
      </c>
      <c r="P1178" s="90"/>
      <c r="V1178"/>
      <c r="W1178" s="62"/>
      <c r="X1178" s="62"/>
      <c r="Y1178" s="62"/>
      <c r="Z1178" s="62"/>
      <c r="AA1178" s="62"/>
      <c r="AB1178" s="62"/>
      <c r="AC1178" s="62"/>
    </row>
    <row r="1179" spans="1:29">
      <c r="A1179" s="65" t="str">
        <f>IFERROR(VLOOKUP('Informe Kelly'!A1172,Base!A:B,2,FALSE),"")</f>
        <v/>
      </c>
      <c r="B1179" s="65" t="str">
        <f>IFERROR(VLOOKUP('Informe Kelly'!A1172,Base!A:G,7,FALSE),"")</f>
        <v/>
      </c>
      <c r="C1179" s="69">
        <f>IF(G1179=$C$4,IF('Informe Kelly'!H1172='Control informe Kelly'!$A$2,TEXT(((LEFT('Informe Kelly'!E1172,2)*1)+1),"dd")&amp;"."&amp;MID('Informe Kelly'!E1172,4,2)&amp;"."&amp;RIGHT('Informe Kelly'!E1172,4),'Informe Kelly'!E1172),'Informe Kelly'!E1172)</f>
        <v>0</v>
      </c>
      <c r="D1179" s="69" t="str">
        <f>IF('Informe Kelly'!E1172="","",'Informe Kelly'!E1172)</f>
        <v/>
      </c>
      <c r="E1179" s="72">
        <f t="shared" si="37"/>
        <v>581</v>
      </c>
      <c r="F1179" s="72" t="str">
        <f>IFERROR(HLOOKUP(C1179,Ingreso!$Q$8:$AD$9,2,FALSE),"v")</f>
        <v>v</v>
      </c>
      <c r="G1179" s="65" t="str">
        <f>IFERROR(VLOOKUP(A1179,Ingreso!K:P,6,FALSE),"no esta ingresado")</f>
        <v>no esta ingresado</v>
      </c>
      <c r="H1179" s="65" t="str">
        <f>IFERROR(IF('Informe Kelly'!H1172=$A$2,'Informe Kelly'!F1172,""),0)</f>
        <v/>
      </c>
      <c r="I1179" s="65" t="str">
        <f>IFERROR(IF('Informe Kelly'!H1172=$A$3,'Informe Kelly'!F1172,""),0)</f>
        <v/>
      </c>
      <c r="J1179" s="65" t="str">
        <f>IF(IFERROR(IF(E1179=E1178,0,(HLOOKUP(D1179,Ingreso!$AN$10:$AT$260,VLOOKUP(A1179,Ingreso!$AL$11:$AM$260,2,FALSE)))/24),0)=0,"",IFERROR(IF(E1179=E1178,0,(HLOOKUP(D1179,Ingreso!$AN$10:$AT$260,VLOOKUP(A1179,Ingreso!$AL$11:$AM$260,2,FALSE)))/24),0))</f>
        <v/>
      </c>
      <c r="K1179" s="65" t="str">
        <f>IF(IFERROR(IF(E1179=E1178,0,(HLOOKUP(C1179,Ingreso!$AW$10:$BC$260,VLOOKUP(A1179,Ingreso!$AL$11:$AM$260,2,FALSE)))/24),0)=0,"",IFERROR(IF(E1179=E1178,0,(HLOOKUP(C1179,Ingreso!$AW$10:$BC$260,VLOOKUP(A1179,Ingreso!$AL$11:$AM$260,2,FALSE)))/24),0))</f>
        <v/>
      </c>
      <c r="L1179" s="63">
        <f t="shared" si="36"/>
        <v>0</v>
      </c>
      <c r="M1179" s="63" t="str">
        <f>IF(IFERROR(IF(C1179=C1177,0,IF(E1179=E1178,0,IF(C1179=$R$2,HLOOKUP($R$2,Ingreso!$AW$10:$BC$260,VLOOKUP(A1179,Ingreso!AL:AM,2,FALSE),FALSE)/24,""))),"")=0,"",IFERROR(IF(C1179=C1177,0,IF(E1179=E1178,0,IF(C1179=$R$2,HLOOKUP($R$2,Ingreso!$AW$10:$BC$260,VLOOKUP(A1179,Ingreso!AL:AM,2,FALSE),FALSE)/24,""))),""))</f>
        <v/>
      </c>
      <c r="N1179" s="95" t="str">
        <f>IF(IFERROR(IF(C1179=C1177,0,IF(E1179=E1178,0,IF(C1179=$R$3,HLOOKUP($R$3,Ingreso!$AW$10:$BC$260,VLOOKUP(A1179,Ingreso!AL:AM,2,FALSE),FALSE)/24,""))),"")=0,"",IFERROR(IF(C1179=C1177,0,IF(E1179=E1178,0,IF(C1179=$R$3,HLOOKUP($R$3,Ingreso!$AW$10:$BC$260,VLOOKUP(A1179,Ingreso!AL:AM,2,FALSE),FALSE)/24,""))),""))</f>
        <v/>
      </c>
      <c r="O1179" s="95" t="str">
        <f>IF(IFERROR(IF(C1179=C1177,0,IF(E1179=E1178,0,IF(C1179=$R$4,HLOOKUP($R$4,Ingreso!$AW$10:$BC$260,VLOOKUP(A1179,Ingreso!AL:AM,2,FALSE),FALSE)/24,""))),"")=0,"",IFERROR(IF(C1179=C1177,0,IF(E1179=E1178,0,IF(C1179=$R$4,HLOOKUP($R$4,Ingreso!$AW$10:$BC$260,VLOOKUP(A1179,Ingreso!AL:AM,2,FALSE),FALSE)/24,""))),""))</f>
        <v/>
      </c>
      <c r="P1179" s="90"/>
      <c r="V1179"/>
      <c r="W1179" s="62"/>
      <c r="X1179" s="62"/>
      <c r="Y1179" s="62"/>
      <c r="Z1179" s="62"/>
      <c r="AA1179" s="62"/>
      <c r="AB1179" s="62"/>
      <c r="AC1179" s="62"/>
    </row>
    <row r="1180" spans="1:29">
      <c r="A1180" s="65" t="str">
        <f>IFERROR(VLOOKUP('Informe Kelly'!A1173,Base!A:B,2,FALSE),"")</f>
        <v/>
      </c>
      <c r="B1180" s="65" t="str">
        <f>IFERROR(VLOOKUP('Informe Kelly'!A1173,Base!A:G,7,FALSE),"")</f>
        <v/>
      </c>
      <c r="C1180" s="69">
        <f>IF(G1180=$C$4,IF('Informe Kelly'!H1173='Control informe Kelly'!$A$2,TEXT(((LEFT('Informe Kelly'!E1173,2)*1)+1),"dd")&amp;"."&amp;MID('Informe Kelly'!E1173,4,2)&amp;"."&amp;RIGHT('Informe Kelly'!E1173,4),'Informe Kelly'!E1173),'Informe Kelly'!E1173)</f>
        <v>0</v>
      </c>
      <c r="D1180" s="69" t="str">
        <f>IF('Informe Kelly'!E1173="","",'Informe Kelly'!E1173)</f>
        <v/>
      </c>
      <c r="E1180" s="72">
        <f t="shared" si="37"/>
        <v>581</v>
      </c>
      <c r="F1180" s="72" t="str">
        <f>IFERROR(HLOOKUP(C1180,Ingreso!$Q$8:$AD$9,2,FALSE),"v")</f>
        <v>v</v>
      </c>
      <c r="G1180" s="65" t="str">
        <f>IFERROR(VLOOKUP(A1180,Ingreso!K:P,6,FALSE),"no esta ingresado")</f>
        <v>no esta ingresado</v>
      </c>
      <c r="H1180" s="65" t="str">
        <f>IFERROR(IF('Informe Kelly'!H1173=$A$2,'Informe Kelly'!F1173,""),0)</f>
        <v/>
      </c>
      <c r="I1180" s="65" t="str">
        <f>IFERROR(IF('Informe Kelly'!H1173=$A$3,'Informe Kelly'!F1173,""),0)</f>
        <v/>
      </c>
      <c r="J1180" s="65" t="str">
        <f>IF(IFERROR(IF(E1180=E1179,0,(HLOOKUP(D1180,Ingreso!$AN$10:$AT$260,VLOOKUP(A1180,Ingreso!$AL$11:$AM$260,2,FALSE)))/24),0)=0,"",IFERROR(IF(E1180=E1179,0,(HLOOKUP(D1180,Ingreso!$AN$10:$AT$260,VLOOKUP(A1180,Ingreso!$AL$11:$AM$260,2,FALSE)))/24),0))</f>
        <v/>
      </c>
      <c r="K1180" s="65" t="str">
        <f>IF(IFERROR(IF(E1180=E1179,0,(HLOOKUP(C1180,Ingreso!$AW$10:$BC$260,VLOOKUP(A1180,Ingreso!$AL$11:$AM$260,2,FALSE)))/24),0)=0,"",IFERROR(IF(E1180=E1179,0,(HLOOKUP(C1180,Ingreso!$AW$10:$BC$260,VLOOKUP(A1180,Ingreso!$AL$11:$AM$260,2,FALSE)))/24),0))</f>
        <v/>
      </c>
      <c r="L1180" s="63">
        <f t="shared" si="36"/>
        <v>0</v>
      </c>
      <c r="M1180" s="63" t="str">
        <f>IF(IFERROR(IF(C1180=C1178,0,IF(E1180=E1179,0,IF(C1180=$R$2,HLOOKUP($R$2,Ingreso!$AW$10:$BC$260,VLOOKUP(A1180,Ingreso!AL:AM,2,FALSE),FALSE)/24,""))),"")=0,"",IFERROR(IF(C1180=C1178,0,IF(E1180=E1179,0,IF(C1180=$R$2,HLOOKUP($R$2,Ingreso!$AW$10:$BC$260,VLOOKUP(A1180,Ingreso!AL:AM,2,FALSE),FALSE)/24,""))),""))</f>
        <v/>
      </c>
      <c r="N1180" s="95" t="str">
        <f>IF(IFERROR(IF(C1180=C1178,0,IF(E1180=E1179,0,IF(C1180=$R$3,HLOOKUP($R$3,Ingreso!$AW$10:$BC$260,VLOOKUP(A1180,Ingreso!AL:AM,2,FALSE),FALSE)/24,""))),"")=0,"",IFERROR(IF(C1180=C1178,0,IF(E1180=E1179,0,IF(C1180=$R$3,HLOOKUP($R$3,Ingreso!$AW$10:$BC$260,VLOOKUP(A1180,Ingreso!AL:AM,2,FALSE),FALSE)/24,""))),""))</f>
        <v/>
      </c>
      <c r="O1180" s="95" t="str">
        <f>IF(IFERROR(IF(C1180=C1178,0,IF(E1180=E1179,0,IF(C1180=$R$4,HLOOKUP($R$4,Ingreso!$AW$10:$BC$260,VLOOKUP(A1180,Ingreso!AL:AM,2,FALSE),FALSE)/24,""))),"")=0,"",IFERROR(IF(C1180=C1178,0,IF(E1180=E1179,0,IF(C1180=$R$4,HLOOKUP($R$4,Ingreso!$AW$10:$BC$260,VLOOKUP(A1180,Ingreso!AL:AM,2,FALSE),FALSE)/24,""))),""))</f>
        <v/>
      </c>
      <c r="P1180" s="90"/>
      <c r="V1180"/>
      <c r="W1180" s="62"/>
      <c r="X1180" s="62"/>
      <c r="Y1180" s="62"/>
      <c r="Z1180" s="62"/>
      <c r="AA1180" s="62"/>
      <c r="AB1180" s="62"/>
      <c r="AC1180" s="62"/>
    </row>
    <row r="1181" spans="1:29">
      <c r="A1181" s="65" t="str">
        <f>IFERROR(VLOOKUP('Informe Kelly'!A1174,Base!A:B,2,FALSE),"")</f>
        <v/>
      </c>
      <c r="B1181" s="65" t="str">
        <f>IFERROR(VLOOKUP('Informe Kelly'!A1174,Base!A:G,7,FALSE),"")</f>
        <v/>
      </c>
      <c r="C1181" s="69">
        <f>IF(G1181=$C$4,IF('Informe Kelly'!H1174='Control informe Kelly'!$A$2,TEXT(((LEFT('Informe Kelly'!E1174,2)*1)+1),"dd")&amp;"."&amp;MID('Informe Kelly'!E1174,4,2)&amp;"."&amp;RIGHT('Informe Kelly'!E1174,4),'Informe Kelly'!E1174),'Informe Kelly'!E1174)</f>
        <v>0</v>
      </c>
      <c r="D1181" s="69" t="str">
        <f>IF('Informe Kelly'!E1174="","",'Informe Kelly'!E1174)</f>
        <v/>
      </c>
      <c r="E1181" s="72">
        <f t="shared" si="37"/>
        <v>581</v>
      </c>
      <c r="F1181" s="72" t="str">
        <f>IFERROR(HLOOKUP(C1181,Ingreso!$Q$8:$AD$9,2,FALSE),"v")</f>
        <v>v</v>
      </c>
      <c r="G1181" s="65" t="str">
        <f>IFERROR(VLOOKUP(A1181,Ingreso!K:P,6,FALSE),"no esta ingresado")</f>
        <v>no esta ingresado</v>
      </c>
      <c r="H1181" s="65" t="str">
        <f>IFERROR(IF('Informe Kelly'!H1174=$A$2,'Informe Kelly'!F1174,""),0)</f>
        <v/>
      </c>
      <c r="I1181" s="65" t="str">
        <f>IFERROR(IF('Informe Kelly'!H1174=$A$3,'Informe Kelly'!F1174,""),0)</f>
        <v/>
      </c>
      <c r="J1181" s="65" t="str">
        <f>IF(IFERROR(IF(E1181=E1180,0,(HLOOKUP(D1181,Ingreso!$AN$10:$AT$260,VLOOKUP(A1181,Ingreso!$AL$11:$AM$260,2,FALSE)))/24),0)=0,"",IFERROR(IF(E1181=E1180,0,(HLOOKUP(D1181,Ingreso!$AN$10:$AT$260,VLOOKUP(A1181,Ingreso!$AL$11:$AM$260,2,FALSE)))/24),0))</f>
        <v/>
      </c>
      <c r="K1181" s="65" t="str">
        <f>IF(IFERROR(IF(E1181=E1180,0,(HLOOKUP(C1181,Ingreso!$AW$10:$BC$260,VLOOKUP(A1181,Ingreso!$AL$11:$AM$260,2,FALSE)))/24),0)=0,"",IFERROR(IF(E1181=E1180,0,(HLOOKUP(C1181,Ingreso!$AW$10:$BC$260,VLOOKUP(A1181,Ingreso!$AL$11:$AM$260,2,FALSE)))/24),0))</f>
        <v/>
      </c>
      <c r="L1181" s="63">
        <f t="shared" si="36"/>
        <v>0</v>
      </c>
      <c r="M1181" s="63" t="str">
        <f>IF(IFERROR(IF(C1181=C1179,0,IF(E1181=E1180,0,IF(C1181=$R$2,HLOOKUP($R$2,Ingreso!$AW$10:$BC$260,VLOOKUP(A1181,Ingreso!AL:AM,2,FALSE),FALSE)/24,""))),"")=0,"",IFERROR(IF(C1181=C1179,0,IF(E1181=E1180,0,IF(C1181=$R$2,HLOOKUP($R$2,Ingreso!$AW$10:$BC$260,VLOOKUP(A1181,Ingreso!AL:AM,2,FALSE),FALSE)/24,""))),""))</f>
        <v/>
      </c>
      <c r="N1181" s="95" t="str">
        <f>IF(IFERROR(IF(C1181=C1179,0,IF(E1181=E1180,0,IF(C1181=$R$3,HLOOKUP($R$3,Ingreso!$AW$10:$BC$260,VLOOKUP(A1181,Ingreso!AL:AM,2,FALSE),FALSE)/24,""))),"")=0,"",IFERROR(IF(C1181=C1179,0,IF(E1181=E1180,0,IF(C1181=$R$3,HLOOKUP($R$3,Ingreso!$AW$10:$BC$260,VLOOKUP(A1181,Ingreso!AL:AM,2,FALSE),FALSE)/24,""))),""))</f>
        <v/>
      </c>
      <c r="O1181" s="95" t="str">
        <f>IF(IFERROR(IF(C1181=C1179,0,IF(E1181=E1180,0,IF(C1181=$R$4,HLOOKUP($R$4,Ingreso!$AW$10:$BC$260,VLOOKUP(A1181,Ingreso!AL:AM,2,FALSE),FALSE)/24,""))),"")=0,"",IFERROR(IF(C1181=C1179,0,IF(E1181=E1180,0,IF(C1181=$R$4,HLOOKUP($R$4,Ingreso!$AW$10:$BC$260,VLOOKUP(A1181,Ingreso!AL:AM,2,FALSE),FALSE)/24,""))),""))</f>
        <v/>
      </c>
      <c r="P1181" s="90"/>
      <c r="V1181"/>
      <c r="W1181" s="62"/>
      <c r="X1181" s="62"/>
      <c r="Y1181" s="62"/>
      <c r="Z1181" s="62"/>
      <c r="AA1181" s="62"/>
      <c r="AB1181" s="62"/>
      <c r="AC1181" s="62"/>
    </row>
    <row r="1182" spans="1:29">
      <c r="A1182" s="65" t="str">
        <f>IFERROR(VLOOKUP('Informe Kelly'!A1175,Base!A:B,2,FALSE),"")</f>
        <v/>
      </c>
      <c r="B1182" s="65" t="str">
        <f>IFERROR(VLOOKUP('Informe Kelly'!A1175,Base!A:G,7,FALSE),"")</f>
        <v/>
      </c>
      <c r="C1182" s="69">
        <f>IF(G1182=$C$4,IF('Informe Kelly'!H1175='Control informe Kelly'!$A$2,TEXT(((LEFT('Informe Kelly'!E1175,2)*1)+1),"dd")&amp;"."&amp;MID('Informe Kelly'!E1175,4,2)&amp;"."&amp;RIGHT('Informe Kelly'!E1175,4),'Informe Kelly'!E1175),'Informe Kelly'!E1175)</f>
        <v>0</v>
      </c>
      <c r="D1182" s="69" t="str">
        <f>IF('Informe Kelly'!E1175="","",'Informe Kelly'!E1175)</f>
        <v/>
      </c>
      <c r="E1182" s="72">
        <f t="shared" si="37"/>
        <v>581</v>
      </c>
      <c r="F1182" s="72" t="str">
        <f>IFERROR(HLOOKUP(C1182,Ingreso!$Q$8:$AD$9,2,FALSE),"v")</f>
        <v>v</v>
      </c>
      <c r="G1182" s="65" t="str">
        <f>IFERROR(VLOOKUP(A1182,Ingreso!K:P,6,FALSE),"no esta ingresado")</f>
        <v>no esta ingresado</v>
      </c>
      <c r="H1182" s="65" t="str">
        <f>IFERROR(IF('Informe Kelly'!H1175=$A$2,'Informe Kelly'!F1175,""),0)</f>
        <v/>
      </c>
      <c r="I1182" s="65" t="str">
        <f>IFERROR(IF('Informe Kelly'!H1175=$A$3,'Informe Kelly'!F1175,""),0)</f>
        <v/>
      </c>
      <c r="J1182" s="65" t="str">
        <f>IF(IFERROR(IF(E1182=E1181,0,(HLOOKUP(D1182,Ingreso!$AN$10:$AT$260,VLOOKUP(A1182,Ingreso!$AL$11:$AM$260,2,FALSE)))/24),0)=0,"",IFERROR(IF(E1182=E1181,0,(HLOOKUP(D1182,Ingreso!$AN$10:$AT$260,VLOOKUP(A1182,Ingreso!$AL$11:$AM$260,2,FALSE)))/24),0))</f>
        <v/>
      </c>
      <c r="K1182" s="65" t="str">
        <f>IF(IFERROR(IF(E1182=E1181,0,(HLOOKUP(C1182,Ingreso!$AW$10:$BC$260,VLOOKUP(A1182,Ingreso!$AL$11:$AM$260,2,FALSE)))/24),0)=0,"",IFERROR(IF(E1182=E1181,0,(HLOOKUP(C1182,Ingreso!$AW$10:$BC$260,VLOOKUP(A1182,Ingreso!$AL$11:$AM$260,2,FALSE)))/24),0))</f>
        <v/>
      </c>
      <c r="L1182" s="63">
        <f t="shared" si="36"/>
        <v>0</v>
      </c>
      <c r="M1182" s="63" t="str">
        <f>IF(IFERROR(IF(C1182=C1180,0,IF(E1182=E1181,0,IF(C1182=$R$2,HLOOKUP($R$2,Ingreso!$AW$10:$BC$260,VLOOKUP(A1182,Ingreso!AL:AM,2,FALSE),FALSE)/24,""))),"")=0,"",IFERROR(IF(C1182=C1180,0,IF(E1182=E1181,0,IF(C1182=$R$2,HLOOKUP($R$2,Ingreso!$AW$10:$BC$260,VLOOKUP(A1182,Ingreso!AL:AM,2,FALSE),FALSE)/24,""))),""))</f>
        <v/>
      </c>
      <c r="N1182" s="95" t="str">
        <f>IF(IFERROR(IF(C1182=C1180,0,IF(E1182=E1181,0,IF(C1182=$R$3,HLOOKUP($R$3,Ingreso!$AW$10:$BC$260,VLOOKUP(A1182,Ingreso!AL:AM,2,FALSE),FALSE)/24,""))),"")=0,"",IFERROR(IF(C1182=C1180,0,IF(E1182=E1181,0,IF(C1182=$R$3,HLOOKUP($R$3,Ingreso!$AW$10:$BC$260,VLOOKUP(A1182,Ingreso!AL:AM,2,FALSE),FALSE)/24,""))),""))</f>
        <v/>
      </c>
      <c r="O1182" s="95" t="str">
        <f>IF(IFERROR(IF(C1182=C1180,0,IF(E1182=E1181,0,IF(C1182=$R$4,HLOOKUP($R$4,Ingreso!$AW$10:$BC$260,VLOOKUP(A1182,Ingreso!AL:AM,2,FALSE),FALSE)/24,""))),"")=0,"",IFERROR(IF(C1182=C1180,0,IF(E1182=E1181,0,IF(C1182=$R$4,HLOOKUP($R$4,Ingreso!$AW$10:$BC$260,VLOOKUP(A1182,Ingreso!AL:AM,2,FALSE),FALSE)/24,""))),""))</f>
        <v/>
      </c>
      <c r="P1182" s="90"/>
      <c r="V1182"/>
      <c r="W1182" s="62"/>
      <c r="X1182" s="62"/>
      <c r="Y1182" s="62"/>
      <c r="Z1182" s="62"/>
      <c r="AA1182" s="62"/>
      <c r="AB1182" s="62"/>
      <c r="AC1182" s="62"/>
    </row>
    <row r="1183" spans="1:29">
      <c r="A1183" s="65" t="str">
        <f>IFERROR(VLOOKUP('Informe Kelly'!A1176,Base!A:B,2,FALSE),"")</f>
        <v/>
      </c>
      <c r="B1183" s="65" t="str">
        <f>IFERROR(VLOOKUP('Informe Kelly'!A1176,Base!A:G,7,FALSE),"")</f>
        <v/>
      </c>
      <c r="C1183" s="69">
        <f>IF(G1183=$C$4,IF('Informe Kelly'!H1176='Control informe Kelly'!$A$2,TEXT(((LEFT('Informe Kelly'!E1176,2)*1)+1),"dd")&amp;"."&amp;MID('Informe Kelly'!E1176,4,2)&amp;"."&amp;RIGHT('Informe Kelly'!E1176,4),'Informe Kelly'!E1176),'Informe Kelly'!E1176)</f>
        <v>0</v>
      </c>
      <c r="D1183" s="69" t="str">
        <f>IF('Informe Kelly'!E1176="","",'Informe Kelly'!E1176)</f>
        <v/>
      </c>
      <c r="E1183" s="72">
        <f t="shared" si="37"/>
        <v>581</v>
      </c>
      <c r="F1183" s="72" t="str">
        <f>IFERROR(HLOOKUP(C1183,Ingreso!$Q$8:$AD$9,2,FALSE),"v")</f>
        <v>v</v>
      </c>
      <c r="G1183" s="65" t="str">
        <f>IFERROR(VLOOKUP(A1183,Ingreso!K:P,6,FALSE),"no esta ingresado")</f>
        <v>no esta ingresado</v>
      </c>
      <c r="H1183" s="65" t="str">
        <f>IFERROR(IF('Informe Kelly'!H1176=$A$2,'Informe Kelly'!F1176,""),0)</f>
        <v/>
      </c>
      <c r="I1183" s="65" t="str">
        <f>IFERROR(IF('Informe Kelly'!H1176=$A$3,'Informe Kelly'!F1176,""),0)</f>
        <v/>
      </c>
      <c r="J1183" s="65" t="str">
        <f>IF(IFERROR(IF(E1183=E1182,0,(HLOOKUP(D1183,Ingreso!$AN$10:$AT$260,VLOOKUP(A1183,Ingreso!$AL$11:$AM$260,2,FALSE)))/24),0)=0,"",IFERROR(IF(E1183=E1182,0,(HLOOKUP(D1183,Ingreso!$AN$10:$AT$260,VLOOKUP(A1183,Ingreso!$AL$11:$AM$260,2,FALSE)))/24),0))</f>
        <v/>
      </c>
      <c r="K1183" s="65" t="str">
        <f>IF(IFERROR(IF(E1183=E1182,0,(HLOOKUP(C1183,Ingreso!$AW$10:$BC$260,VLOOKUP(A1183,Ingreso!$AL$11:$AM$260,2,FALSE)))/24),0)=0,"",IFERROR(IF(E1183=E1182,0,(HLOOKUP(C1183,Ingreso!$AW$10:$BC$260,VLOOKUP(A1183,Ingreso!$AL$11:$AM$260,2,FALSE)))/24),0))</f>
        <v/>
      </c>
      <c r="L1183" s="63">
        <f t="shared" si="36"/>
        <v>0</v>
      </c>
      <c r="M1183" s="63" t="str">
        <f>IF(IFERROR(IF(C1183=C1181,0,IF(E1183=E1182,0,IF(C1183=$R$2,HLOOKUP($R$2,Ingreso!$AW$10:$BC$260,VLOOKUP(A1183,Ingreso!AL:AM,2,FALSE),FALSE)/24,""))),"")=0,"",IFERROR(IF(C1183=C1181,0,IF(E1183=E1182,0,IF(C1183=$R$2,HLOOKUP($R$2,Ingreso!$AW$10:$BC$260,VLOOKUP(A1183,Ingreso!AL:AM,2,FALSE),FALSE)/24,""))),""))</f>
        <v/>
      </c>
      <c r="N1183" s="95" t="str">
        <f>IF(IFERROR(IF(C1183=C1181,0,IF(E1183=E1182,0,IF(C1183=$R$3,HLOOKUP($R$3,Ingreso!$AW$10:$BC$260,VLOOKUP(A1183,Ingreso!AL:AM,2,FALSE),FALSE)/24,""))),"")=0,"",IFERROR(IF(C1183=C1181,0,IF(E1183=E1182,0,IF(C1183=$R$3,HLOOKUP($R$3,Ingreso!$AW$10:$BC$260,VLOOKUP(A1183,Ingreso!AL:AM,2,FALSE),FALSE)/24,""))),""))</f>
        <v/>
      </c>
      <c r="O1183" s="95" t="str">
        <f>IF(IFERROR(IF(C1183=C1181,0,IF(E1183=E1182,0,IF(C1183=$R$4,HLOOKUP($R$4,Ingreso!$AW$10:$BC$260,VLOOKUP(A1183,Ingreso!AL:AM,2,FALSE),FALSE)/24,""))),"")=0,"",IFERROR(IF(C1183=C1181,0,IF(E1183=E1182,0,IF(C1183=$R$4,HLOOKUP($R$4,Ingreso!$AW$10:$BC$260,VLOOKUP(A1183,Ingreso!AL:AM,2,FALSE),FALSE)/24,""))),""))</f>
        <v/>
      </c>
      <c r="P1183" s="90"/>
      <c r="V1183"/>
      <c r="W1183" s="62"/>
      <c r="X1183" s="62"/>
      <c r="Y1183" s="62"/>
      <c r="Z1183" s="62"/>
      <c r="AA1183" s="62"/>
      <c r="AB1183" s="62"/>
      <c r="AC1183" s="62"/>
    </row>
    <row r="1184" spans="1:29">
      <c r="A1184" s="65" t="str">
        <f>IFERROR(VLOOKUP('Informe Kelly'!A1177,Base!A:B,2,FALSE),"")</f>
        <v/>
      </c>
      <c r="B1184" s="65" t="str">
        <f>IFERROR(VLOOKUP('Informe Kelly'!A1177,Base!A:G,7,FALSE),"")</f>
        <v/>
      </c>
      <c r="C1184" s="69">
        <f>IF(G1184=$C$4,IF('Informe Kelly'!H1177='Control informe Kelly'!$A$2,TEXT(((LEFT('Informe Kelly'!E1177,2)*1)+1),"dd")&amp;"."&amp;MID('Informe Kelly'!E1177,4,2)&amp;"."&amp;RIGHT('Informe Kelly'!E1177,4),'Informe Kelly'!E1177),'Informe Kelly'!E1177)</f>
        <v>0</v>
      </c>
      <c r="D1184" s="69" t="str">
        <f>IF('Informe Kelly'!E1177="","",'Informe Kelly'!E1177)</f>
        <v/>
      </c>
      <c r="E1184" s="72">
        <f t="shared" si="37"/>
        <v>581</v>
      </c>
      <c r="F1184" s="72" t="str">
        <f>IFERROR(HLOOKUP(C1184,Ingreso!$Q$8:$AD$9,2,FALSE),"v")</f>
        <v>v</v>
      </c>
      <c r="G1184" s="65" t="str">
        <f>IFERROR(VLOOKUP(A1184,Ingreso!K:P,6,FALSE),"no esta ingresado")</f>
        <v>no esta ingresado</v>
      </c>
      <c r="H1184" s="65" t="str">
        <f>IFERROR(IF('Informe Kelly'!H1177=$A$2,'Informe Kelly'!F1177,""),0)</f>
        <v/>
      </c>
      <c r="I1184" s="65" t="str">
        <f>IFERROR(IF('Informe Kelly'!H1177=$A$3,'Informe Kelly'!F1177,""),0)</f>
        <v/>
      </c>
      <c r="J1184" s="65" t="str">
        <f>IF(IFERROR(IF(E1184=E1183,0,(HLOOKUP(D1184,Ingreso!$AN$10:$AT$260,VLOOKUP(A1184,Ingreso!$AL$11:$AM$260,2,FALSE)))/24),0)=0,"",IFERROR(IF(E1184=E1183,0,(HLOOKUP(D1184,Ingreso!$AN$10:$AT$260,VLOOKUP(A1184,Ingreso!$AL$11:$AM$260,2,FALSE)))/24),0))</f>
        <v/>
      </c>
      <c r="K1184" s="65" t="str">
        <f>IF(IFERROR(IF(E1184=E1183,0,(HLOOKUP(C1184,Ingreso!$AW$10:$BC$260,VLOOKUP(A1184,Ingreso!$AL$11:$AM$260,2,FALSE)))/24),0)=0,"",IFERROR(IF(E1184=E1183,0,(HLOOKUP(C1184,Ingreso!$AW$10:$BC$260,VLOOKUP(A1184,Ingreso!$AL$11:$AM$260,2,FALSE)))/24),0))</f>
        <v/>
      </c>
      <c r="L1184" s="63">
        <f t="shared" si="36"/>
        <v>0</v>
      </c>
      <c r="M1184" s="63" t="str">
        <f>IF(IFERROR(IF(C1184=C1182,0,IF(E1184=E1183,0,IF(C1184=$R$2,HLOOKUP($R$2,Ingreso!$AW$10:$BC$260,VLOOKUP(A1184,Ingreso!AL:AM,2,FALSE),FALSE)/24,""))),"")=0,"",IFERROR(IF(C1184=C1182,0,IF(E1184=E1183,0,IF(C1184=$R$2,HLOOKUP($R$2,Ingreso!$AW$10:$BC$260,VLOOKUP(A1184,Ingreso!AL:AM,2,FALSE),FALSE)/24,""))),""))</f>
        <v/>
      </c>
      <c r="N1184" s="95" t="str">
        <f>IF(IFERROR(IF(C1184=C1182,0,IF(E1184=E1183,0,IF(C1184=$R$3,HLOOKUP($R$3,Ingreso!$AW$10:$BC$260,VLOOKUP(A1184,Ingreso!AL:AM,2,FALSE),FALSE)/24,""))),"")=0,"",IFERROR(IF(C1184=C1182,0,IF(E1184=E1183,0,IF(C1184=$R$3,HLOOKUP($R$3,Ingreso!$AW$10:$BC$260,VLOOKUP(A1184,Ingreso!AL:AM,2,FALSE),FALSE)/24,""))),""))</f>
        <v/>
      </c>
      <c r="O1184" s="95" t="str">
        <f>IF(IFERROR(IF(C1184=C1182,0,IF(E1184=E1183,0,IF(C1184=$R$4,HLOOKUP($R$4,Ingreso!$AW$10:$BC$260,VLOOKUP(A1184,Ingreso!AL:AM,2,FALSE),FALSE)/24,""))),"")=0,"",IFERROR(IF(C1184=C1182,0,IF(E1184=E1183,0,IF(C1184=$R$4,HLOOKUP($R$4,Ingreso!$AW$10:$BC$260,VLOOKUP(A1184,Ingreso!AL:AM,2,FALSE),FALSE)/24,""))),""))</f>
        <v/>
      </c>
      <c r="P1184" s="90"/>
      <c r="V1184"/>
      <c r="W1184" s="62"/>
      <c r="X1184" s="62"/>
      <c r="Y1184" s="62"/>
      <c r="Z1184" s="62"/>
      <c r="AA1184" s="62"/>
      <c r="AB1184" s="62"/>
      <c r="AC1184" s="62"/>
    </row>
    <row r="1185" spans="1:29">
      <c r="A1185" s="65" t="str">
        <f>IFERROR(VLOOKUP('Informe Kelly'!A1178,Base!A:B,2,FALSE),"")</f>
        <v/>
      </c>
      <c r="B1185" s="65" t="str">
        <f>IFERROR(VLOOKUP('Informe Kelly'!A1178,Base!A:G,7,FALSE),"")</f>
        <v/>
      </c>
      <c r="C1185" s="69">
        <f>IF(G1185=$C$4,IF('Informe Kelly'!H1178='Control informe Kelly'!$A$2,TEXT(((LEFT('Informe Kelly'!E1178,2)*1)+1),"dd")&amp;"."&amp;MID('Informe Kelly'!E1178,4,2)&amp;"."&amp;RIGHT('Informe Kelly'!E1178,4),'Informe Kelly'!E1178),'Informe Kelly'!E1178)</f>
        <v>0</v>
      </c>
      <c r="D1185" s="69" t="str">
        <f>IF('Informe Kelly'!E1178="","",'Informe Kelly'!E1178)</f>
        <v/>
      </c>
      <c r="E1185" s="72">
        <f t="shared" si="37"/>
        <v>581</v>
      </c>
      <c r="F1185" s="72" t="str">
        <f>IFERROR(HLOOKUP(C1185,Ingreso!$Q$8:$AD$9,2,FALSE),"v")</f>
        <v>v</v>
      </c>
      <c r="G1185" s="65" t="str">
        <f>IFERROR(VLOOKUP(A1185,Ingreso!K:P,6,FALSE),"no esta ingresado")</f>
        <v>no esta ingresado</v>
      </c>
      <c r="H1185" s="65" t="str">
        <f>IFERROR(IF('Informe Kelly'!H1178=$A$2,'Informe Kelly'!F1178,""),0)</f>
        <v/>
      </c>
      <c r="I1185" s="65" t="str">
        <f>IFERROR(IF('Informe Kelly'!H1178=$A$3,'Informe Kelly'!F1178,""),0)</f>
        <v/>
      </c>
      <c r="J1185" s="65" t="str">
        <f>IF(IFERROR(IF(E1185=E1184,0,(HLOOKUP(D1185,Ingreso!$AN$10:$AT$260,VLOOKUP(A1185,Ingreso!$AL$11:$AM$260,2,FALSE)))/24),0)=0,"",IFERROR(IF(E1185=E1184,0,(HLOOKUP(D1185,Ingreso!$AN$10:$AT$260,VLOOKUP(A1185,Ingreso!$AL$11:$AM$260,2,FALSE)))/24),0))</f>
        <v/>
      </c>
      <c r="K1185" s="65" t="str">
        <f>IF(IFERROR(IF(E1185=E1184,0,(HLOOKUP(C1185,Ingreso!$AW$10:$BC$260,VLOOKUP(A1185,Ingreso!$AL$11:$AM$260,2,FALSE)))/24),0)=0,"",IFERROR(IF(E1185=E1184,0,(HLOOKUP(C1185,Ingreso!$AW$10:$BC$260,VLOOKUP(A1185,Ingreso!$AL$11:$AM$260,2,FALSE)))/24),0))</f>
        <v/>
      </c>
      <c r="L1185" s="63">
        <f t="shared" si="36"/>
        <v>0</v>
      </c>
      <c r="M1185" s="63" t="str">
        <f>IF(IFERROR(IF(C1185=C1183,0,IF(E1185=E1184,0,IF(C1185=$R$2,HLOOKUP($R$2,Ingreso!$AW$10:$BC$260,VLOOKUP(A1185,Ingreso!AL:AM,2,FALSE),FALSE)/24,""))),"")=0,"",IFERROR(IF(C1185=C1183,0,IF(E1185=E1184,0,IF(C1185=$R$2,HLOOKUP($R$2,Ingreso!$AW$10:$BC$260,VLOOKUP(A1185,Ingreso!AL:AM,2,FALSE),FALSE)/24,""))),""))</f>
        <v/>
      </c>
      <c r="N1185" s="95" t="str">
        <f>IF(IFERROR(IF(C1185=C1183,0,IF(E1185=E1184,0,IF(C1185=$R$3,HLOOKUP($R$3,Ingreso!$AW$10:$BC$260,VLOOKUP(A1185,Ingreso!AL:AM,2,FALSE),FALSE)/24,""))),"")=0,"",IFERROR(IF(C1185=C1183,0,IF(E1185=E1184,0,IF(C1185=$R$3,HLOOKUP($R$3,Ingreso!$AW$10:$BC$260,VLOOKUP(A1185,Ingreso!AL:AM,2,FALSE),FALSE)/24,""))),""))</f>
        <v/>
      </c>
      <c r="O1185" s="95" t="str">
        <f>IF(IFERROR(IF(C1185=C1183,0,IF(E1185=E1184,0,IF(C1185=$R$4,HLOOKUP($R$4,Ingreso!$AW$10:$BC$260,VLOOKUP(A1185,Ingreso!AL:AM,2,FALSE),FALSE)/24,""))),"")=0,"",IFERROR(IF(C1185=C1183,0,IF(E1185=E1184,0,IF(C1185=$R$4,HLOOKUP($R$4,Ingreso!$AW$10:$BC$260,VLOOKUP(A1185,Ingreso!AL:AM,2,FALSE),FALSE)/24,""))),""))</f>
        <v/>
      </c>
      <c r="P1185" s="90"/>
      <c r="V1185"/>
      <c r="W1185" s="62"/>
      <c r="X1185" s="62"/>
      <c r="Y1185" s="62"/>
      <c r="Z1185" s="62"/>
      <c r="AA1185" s="62"/>
      <c r="AB1185" s="62"/>
      <c r="AC1185" s="62"/>
    </row>
    <row r="1186" spans="1:29">
      <c r="A1186" s="65" t="str">
        <f>IFERROR(VLOOKUP('Informe Kelly'!A1179,Base!A:B,2,FALSE),"")</f>
        <v/>
      </c>
      <c r="B1186" s="65" t="str">
        <f>IFERROR(VLOOKUP('Informe Kelly'!A1179,Base!A:G,7,FALSE),"")</f>
        <v/>
      </c>
      <c r="C1186" s="69">
        <f>IF(G1186=$C$4,IF('Informe Kelly'!H1179='Control informe Kelly'!$A$2,TEXT(((LEFT('Informe Kelly'!E1179,2)*1)+1),"dd")&amp;"."&amp;MID('Informe Kelly'!E1179,4,2)&amp;"."&amp;RIGHT('Informe Kelly'!E1179,4),'Informe Kelly'!E1179),'Informe Kelly'!E1179)</f>
        <v>0</v>
      </c>
      <c r="D1186" s="69" t="str">
        <f>IF('Informe Kelly'!E1179="","",'Informe Kelly'!E1179)</f>
        <v/>
      </c>
      <c r="E1186" s="72">
        <f t="shared" si="37"/>
        <v>581</v>
      </c>
      <c r="F1186" s="72" t="str">
        <f>IFERROR(HLOOKUP(C1186,Ingreso!$Q$8:$AD$9,2,FALSE),"v")</f>
        <v>v</v>
      </c>
      <c r="G1186" s="65" t="str">
        <f>IFERROR(VLOOKUP(A1186,Ingreso!K:P,6,FALSE),"no esta ingresado")</f>
        <v>no esta ingresado</v>
      </c>
      <c r="H1186" s="65" t="str">
        <f>IFERROR(IF('Informe Kelly'!H1179=$A$2,'Informe Kelly'!F1179,""),0)</f>
        <v/>
      </c>
      <c r="I1186" s="65" t="str">
        <f>IFERROR(IF('Informe Kelly'!H1179=$A$3,'Informe Kelly'!F1179,""),0)</f>
        <v/>
      </c>
      <c r="J1186" s="65" t="str">
        <f>IF(IFERROR(IF(E1186=E1185,0,(HLOOKUP(D1186,Ingreso!$AN$10:$AT$260,VLOOKUP(A1186,Ingreso!$AL$11:$AM$260,2,FALSE)))/24),0)=0,"",IFERROR(IF(E1186=E1185,0,(HLOOKUP(D1186,Ingreso!$AN$10:$AT$260,VLOOKUP(A1186,Ingreso!$AL$11:$AM$260,2,FALSE)))/24),0))</f>
        <v/>
      </c>
      <c r="K1186" s="65" t="str">
        <f>IF(IFERROR(IF(E1186=E1185,0,(HLOOKUP(C1186,Ingreso!$AW$10:$BC$260,VLOOKUP(A1186,Ingreso!$AL$11:$AM$260,2,FALSE)))/24),0)=0,"",IFERROR(IF(E1186=E1185,0,(HLOOKUP(C1186,Ingreso!$AW$10:$BC$260,VLOOKUP(A1186,Ingreso!$AL$11:$AM$260,2,FALSE)))/24),0))</f>
        <v/>
      </c>
      <c r="L1186" s="63">
        <f t="shared" si="36"/>
        <v>0</v>
      </c>
      <c r="M1186" s="63" t="str">
        <f>IF(IFERROR(IF(C1186=C1184,0,IF(E1186=E1185,0,IF(C1186=$R$2,HLOOKUP($R$2,Ingreso!$AW$10:$BC$260,VLOOKUP(A1186,Ingreso!AL:AM,2,FALSE),FALSE)/24,""))),"")=0,"",IFERROR(IF(C1186=C1184,0,IF(E1186=E1185,0,IF(C1186=$R$2,HLOOKUP($R$2,Ingreso!$AW$10:$BC$260,VLOOKUP(A1186,Ingreso!AL:AM,2,FALSE),FALSE)/24,""))),""))</f>
        <v/>
      </c>
      <c r="N1186" s="95" t="str">
        <f>IF(IFERROR(IF(C1186=C1184,0,IF(E1186=E1185,0,IF(C1186=$R$3,HLOOKUP($R$3,Ingreso!$AW$10:$BC$260,VLOOKUP(A1186,Ingreso!AL:AM,2,FALSE),FALSE)/24,""))),"")=0,"",IFERROR(IF(C1186=C1184,0,IF(E1186=E1185,0,IF(C1186=$R$3,HLOOKUP($R$3,Ingreso!$AW$10:$BC$260,VLOOKUP(A1186,Ingreso!AL:AM,2,FALSE),FALSE)/24,""))),""))</f>
        <v/>
      </c>
      <c r="O1186" s="95" t="str">
        <f>IF(IFERROR(IF(C1186=C1184,0,IF(E1186=E1185,0,IF(C1186=$R$4,HLOOKUP($R$4,Ingreso!$AW$10:$BC$260,VLOOKUP(A1186,Ingreso!AL:AM,2,FALSE),FALSE)/24,""))),"")=0,"",IFERROR(IF(C1186=C1184,0,IF(E1186=E1185,0,IF(C1186=$R$4,HLOOKUP($R$4,Ingreso!$AW$10:$BC$260,VLOOKUP(A1186,Ingreso!AL:AM,2,FALSE),FALSE)/24,""))),""))</f>
        <v/>
      </c>
      <c r="P1186" s="90"/>
      <c r="V1186"/>
      <c r="W1186" s="62"/>
      <c r="X1186" s="62"/>
      <c r="Y1186" s="62"/>
      <c r="Z1186" s="62"/>
      <c r="AA1186" s="62"/>
      <c r="AB1186" s="62"/>
      <c r="AC1186" s="62"/>
    </row>
    <row r="1187" spans="1:29">
      <c r="A1187" s="65" t="str">
        <f>IFERROR(VLOOKUP('Informe Kelly'!A1180,Base!A:B,2,FALSE),"")</f>
        <v/>
      </c>
      <c r="B1187" s="65" t="str">
        <f>IFERROR(VLOOKUP('Informe Kelly'!A1180,Base!A:G,7,FALSE),"")</f>
        <v/>
      </c>
      <c r="C1187" s="69">
        <f>IF(G1187=$C$4,IF('Informe Kelly'!H1180='Control informe Kelly'!$A$2,TEXT(((LEFT('Informe Kelly'!E1180,2)*1)+1),"dd")&amp;"."&amp;MID('Informe Kelly'!E1180,4,2)&amp;"."&amp;RIGHT('Informe Kelly'!E1180,4),'Informe Kelly'!E1180),'Informe Kelly'!E1180)</f>
        <v>0</v>
      </c>
      <c r="D1187" s="69" t="str">
        <f>IF('Informe Kelly'!E1180="","",'Informe Kelly'!E1180)</f>
        <v/>
      </c>
      <c r="E1187" s="72">
        <f t="shared" si="37"/>
        <v>581</v>
      </c>
      <c r="F1187" s="72" t="str">
        <f>IFERROR(HLOOKUP(C1187,Ingreso!$Q$8:$AD$9,2,FALSE),"v")</f>
        <v>v</v>
      </c>
      <c r="G1187" s="65" t="str">
        <f>IFERROR(VLOOKUP(A1187,Ingreso!K:P,6,FALSE),"no esta ingresado")</f>
        <v>no esta ingresado</v>
      </c>
      <c r="H1187" s="65" t="str">
        <f>IFERROR(IF('Informe Kelly'!H1180=$A$2,'Informe Kelly'!F1180,""),0)</f>
        <v/>
      </c>
      <c r="I1187" s="65" t="str">
        <f>IFERROR(IF('Informe Kelly'!H1180=$A$3,'Informe Kelly'!F1180,""),0)</f>
        <v/>
      </c>
      <c r="J1187" s="65" t="str">
        <f>IF(IFERROR(IF(E1187=E1186,0,(HLOOKUP(D1187,Ingreso!$AN$10:$AT$260,VLOOKUP(A1187,Ingreso!$AL$11:$AM$260,2,FALSE)))/24),0)=0,"",IFERROR(IF(E1187=E1186,0,(HLOOKUP(D1187,Ingreso!$AN$10:$AT$260,VLOOKUP(A1187,Ingreso!$AL$11:$AM$260,2,FALSE)))/24),0))</f>
        <v/>
      </c>
      <c r="K1187" s="65" t="str">
        <f>IF(IFERROR(IF(E1187=E1186,0,(HLOOKUP(C1187,Ingreso!$AW$10:$BC$260,VLOOKUP(A1187,Ingreso!$AL$11:$AM$260,2,FALSE)))/24),0)=0,"",IFERROR(IF(E1187=E1186,0,(HLOOKUP(C1187,Ingreso!$AW$10:$BC$260,VLOOKUP(A1187,Ingreso!$AL$11:$AM$260,2,FALSE)))/24),0))</f>
        <v/>
      </c>
      <c r="L1187" s="63">
        <f t="shared" si="36"/>
        <v>0</v>
      </c>
      <c r="M1187" s="63" t="str">
        <f>IF(IFERROR(IF(C1187=C1185,0,IF(E1187=E1186,0,IF(C1187=$R$2,HLOOKUP($R$2,Ingreso!$AW$10:$BC$260,VLOOKUP(A1187,Ingreso!AL:AM,2,FALSE),FALSE)/24,""))),"")=0,"",IFERROR(IF(C1187=C1185,0,IF(E1187=E1186,0,IF(C1187=$R$2,HLOOKUP($R$2,Ingreso!$AW$10:$BC$260,VLOOKUP(A1187,Ingreso!AL:AM,2,FALSE),FALSE)/24,""))),""))</f>
        <v/>
      </c>
      <c r="N1187" s="95" t="str">
        <f>IF(IFERROR(IF(C1187=C1185,0,IF(E1187=E1186,0,IF(C1187=$R$3,HLOOKUP($R$3,Ingreso!$AW$10:$BC$260,VLOOKUP(A1187,Ingreso!AL:AM,2,FALSE),FALSE)/24,""))),"")=0,"",IFERROR(IF(C1187=C1185,0,IF(E1187=E1186,0,IF(C1187=$R$3,HLOOKUP($R$3,Ingreso!$AW$10:$BC$260,VLOOKUP(A1187,Ingreso!AL:AM,2,FALSE),FALSE)/24,""))),""))</f>
        <v/>
      </c>
      <c r="O1187" s="95" t="str">
        <f>IF(IFERROR(IF(C1187=C1185,0,IF(E1187=E1186,0,IF(C1187=$R$4,HLOOKUP($R$4,Ingreso!$AW$10:$BC$260,VLOOKUP(A1187,Ingreso!AL:AM,2,FALSE),FALSE)/24,""))),"")=0,"",IFERROR(IF(C1187=C1185,0,IF(E1187=E1186,0,IF(C1187=$R$4,HLOOKUP($R$4,Ingreso!$AW$10:$BC$260,VLOOKUP(A1187,Ingreso!AL:AM,2,FALSE),FALSE)/24,""))),""))</f>
        <v/>
      </c>
      <c r="P1187" s="90"/>
      <c r="V1187"/>
      <c r="W1187" s="62"/>
      <c r="X1187" s="62"/>
      <c r="Y1187" s="62"/>
      <c r="Z1187" s="62"/>
      <c r="AA1187" s="62"/>
      <c r="AB1187" s="62"/>
      <c r="AC1187" s="62"/>
    </row>
    <row r="1188" spans="1:29">
      <c r="A1188" s="65" t="str">
        <f>IFERROR(VLOOKUP('Informe Kelly'!A1181,Base!A:B,2,FALSE),"")</f>
        <v/>
      </c>
      <c r="B1188" s="65" t="str">
        <f>IFERROR(VLOOKUP('Informe Kelly'!A1181,Base!A:G,7,FALSE),"")</f>
        <v/>
      </c>
      <c r="C1188" s="69">
        <f>IF(G1188=$C$4,IF('Informe Kelly'!H1181='Control informe Kelly'!$A$2,TEXT(((LEFT('Informe Kelly'!E1181,2)*1)+1),"dd")&amp;"."&amp;MID('Informe Kelly'!E1181,4,2)&amp;"."&amp;RIGHT('Informe Kelly'!E1181,4),'Informe Kelly'!E1181),'Informe Kelly'!E1181)</f>
        <v>0</v>
      </c>
      <c r="D1188" s="69" t="str">
        <f>IF('Informe Kelly'!E1181="","",'Informe Kelly'!E1181)</f>
        <v/>
      </c>
      <c r="E1188" s="72">
        <f t="shared" si="37"/>
        <v>581</v>
      </c>
      <c r="F1188" s="72" t="str">
        <f>IFERROR(HLOOKUP(C1188,Ingreso!$Q$8:$AD$9,2,FALSE),"v")</f>
        <v>v</v>
      </c>
      <c r="G1188" s="65" t="str">
        <f>IFERROR(VLOOKUP(A1188,Ingreso!K:P,6,FALSE),"no esta ingresado")</f>
        <v>no esta ingresado</v>
      </c>
      <c r="H1188" s="65" t="str">
        <f>IFERROR(IF('Informe Kelly'!H1181=$A$2,'Informe Kelly'!F1181,""),0)</f>
        <v/>
      </c>
      <c r="I1188" s="65" t="str">
        <f>IFERROR(IF('Informe Kelly'!H1181=$A$3,'Informe Kelly'!F1181,""),0)</f>
        <v/>
      </c>
      <c r="J1188" s="65" t="str">
        <f>IF(IFERROR(IF(E1188=E1187,0,(HLOOKUP(D1188,Ingreso!$AN$10:$AT$260,VLOOKUP(A1188,Ingreso!$AL$11:$AM$260,2,FALSE)))/24),0)=0,"",IFERROR(IF(E1188=E1187,0,(HLOOKUP(D1188,Ingreso!$AN$10:$AT$260,VLOOKUP(A1188,Ingreso!$AL$11:$AM$260,2,FALSE)))/24),0))</f>
        <v/>
      </c>
      <c r="K1188" s="65" t="str">
        <f>IF(IFERROR(IF(E1188=E1187,0,(HLOOKUP(C1188,Ingreso!$AW$10:$BC$260,VLOOKUP(A1188,Ingreso!$AL$11:$AM$260,2,FALSE)))/24),0)=0,"",IFERROR(IF(E1188=E1187,0,(HLOOKUP(C1188,Ingreso!$AW$10:$BC$260,VLOOKUP(A1188,Ingreso!$AL$11:$AM$260,2,FALSE)))/24),0))</f>
        <v/>
      </c>
      <c r="L1188" s="63">
        <f t="shared" si="36"/>
        <v>0</v>
      </c>
      <c r="M1188" s="63" t="str">
        <f>IF(IFERROR(IF(C1188=C1186,0,IF(E1188=E1187,0,IF(C1188=$R$2,HLOOKUP($R$2,Ingreso!$AW$10:$BC$260,VLOOKUP(A1188,Ingreso!AL:AM,2,FALSE),FALSE)/24,""))),"")=0,"",IFERROR(IF(C1188=C1186,0,IF(E1188=E1187,0,IF(C1188=$R$2,HLOOKUP($R$2,Ingreso!$AW$10:$BC$260,VLOOKUP(A1188,Ingreso!AL:AM,2,FALSE),FALSE)/24,""))),""))</f>
        <v/>
      </c>
      <c r="N1188" s="95" t="str">
        <f>IF(IFERROR(IF(C1188=C1186,0,IF(E1188=E1187,0,IF(C1188=$R$3,HLOOKUP($R$3,Ingreso!$AW$10:$BC$260,VLOOKUP(A1188,Ingreso!AL:AM,2,FALSE),FALSE)/24,""))),"")=0,"",IFERROR(IF(C1188=C1186,0,IF(E1188=E1187,0,IF(C1188=$R$3,HLOOKUP($R$3,Ingreso!$AW$10:$BC$260,VLOOKUP(A1188,Ingreso!AL:AM,2,FALSE),FALSE)/24,""))),""))</f>
        <v/>
      </c>
      <c r="O1188" s="95" t="str">
        <f>IF(IFERROR(IF(C1188=C1186,0,IF(E1188=E1187,0,IF(C1188=$R$4,HLOOKUP($R$4,Ingreso!$AW$10:$BC$260,VLOOKUP(A1188,Ingreso!AL:AM,2,FALSE),FALSE)/24,""))),"")=0,"",IFERROR(IF(C1188=C1186,0,IF(E1188=E1187,0,IF(C1188=$R$4,HLOOKUP($R$4,Ingreso!$AW$10:$BC$260,VLOOKUP(A1188,Ingreso!AL:AM,2,FALSE),FALSE)/24,""))),""))</f>
        <v/>
      </c>
      <c r="P1188" s="90"/>
      <c r="V1188"/>
      <c r="W1188" s="62"/>
      <c r="X1188" s="62"/>
      <c r="Y1188" s="62"/>
      <c r="Z1188" s="62"/>
      <c r="AA1188" s="62"/>
      <c r="AB1188" s="62"/>
      <c r="AC1188" s="62"/>
    </row>
    <row r="1189" spans="1:29">
      <c r="A1189" s="65" t="str">
        <f>IFERROR(VLOOKUP('Informe Kelly'!A1182,Base!A:B,2,FALSE),"")</f>
        <v/>
      </c>
      <c r="B1189" s="65" t="str">
        <f>IFERROR(VLOOKUP('Informe Kelly'!A1182,Base!A:G,7,FALSE),"")</f>
        <v/>
      </c>
      <c r="C1189" s="69">
        <f>IF(G1189=$C$4,IF('Informe Kelly'!H1182='Control informe Kelly'!$A$2,TEXT(((LEFT('Informe Kelly'!E1182,2)*1)+1),"dd")&amp;"."&amp;MID('Informe Kelly'!E1182,4,2)&amp;"."&amp;RIGHT('Informe Kelly'!E1182,4),'Informe Kelly'!E1182),'Informe Kelly'!E1182)</f>
        <v>0</v>
      </c>
      <c r="D1189" s="69" t="str">
        <f>IF('Informe Kelly'!E1182="","",'Informe Kelly'!E1182)</f>
        <v/>
      </c>
      <c r="E1189" s="72">
        <f t="shared" si="37"/>
        <v>581</v>
      </c>
      <c r="F1189" s="72" t="str">
        <f>IFERROR(HLOOKUP(C1189,Ingreso!$Q$8:$AD$9,2,FALSE),"v")</f>
        <v>v</v>
      </c>
      <c r="G1189" s="65" t="str">
        <f>IFERROR(VLOOKUP(A1189,Ingreso!K:P,6,FALSE),"no esta ingresado")</f>
        <v>no esta ingresado</v>
      </c>
      <c r="H1189" s="65" t="str">
        <f>IFERROR(IF('Informe Kelly'!H1182=$A$2,'Informe Kelly'!F1182,""),0)</f>
        <v/>
      </c>
      <c r="I1189" s="65" t="str">
        <f>IFERROR(IF('Informe Kelly'!H1182=$A$3,'Informe Kelly'!F1182,""),0)</f>
        <v/>
      </c>
      <c r="J1189" s="65" t="str">
        <f>IF(IFERROR(IF(E1189=E1188,0,(HLOOKUP(D1189,Ingreso!$AN$10:$AT$260,VLOOKUP(A1189,Ingreso!$AL$11:$AM$260,2,FALSE)))/24),0)=0,"",IFERROR(IF(E1189=E1188,0,(HLOOKUP(D1189,Ingreso!$AN$10:$AT$260,VLOOKUP(A1189,Ingreso!$AL$11:$AM$260,2,FALSE)))/24),0))</f>
        <v/>
      </c>
      <c r="K1189" s="65" t="str">
        <f>IF(IFERROR(IF(E1189=E1188,0,(HLOOKUP(C1189,Ingreso!$AW$10:$BC$260,VLOOKUP(A1189,Ingreso!$AL$11:$AM$260,2,FALSE)))/24),0)=0,"",IFERROR(IF(E1189=E1188,0,(HLOOKUP(C1189,Ingreso!$AW$10:$BC$260,VLOOKUP(A1189,Ingreso!$AL$11:$AM$260,2,FALSE)))/24),0))</f>
        <v/>
      </c>
      <c r="L1189" s="63">
        <f t="shared" si="36"/>
        <v>0</v>
      </c>
      <c r="M1189" s="63" t="str">
        <f>IF(IFERROR(IF(C1189=C1187,0,IF(E1189=E1188,0,IF(C1189=$R$2,HLOOKUP($R$2,Ingreso!$AW$10:$BC$260,VLOOKUP(A1189,Ingreso!AL:AM,2,FALSE),FALSE)/24,""))),"")=0,"",IFERROR(IF(C1189=C1187,0,IF(E1189=E1188,0,IF(C1189=$R$2,HLOOKUP($R$2,Ingreso!$AW$10:$BC$260,VLOOKUP(A1189,Ingreso!AL:AM,2,FALSE),FALSE)/24,""))),""))</f>
        <v/>
      </c>
      <c r="N1189" s="95" t="str">
        <f>IF(IFERROR(IF(C1189=C1187,0,IF(E1189=E1188,0,IF(C1189=$R$3,HLOOKUP($R$3,Ingreso!$AW$10:$BC$260,VLOOKUP(A1189,Ingreso!AL:AM,2,FALSE),FALSE)/24,""))),"")=0,"",IFERROR(IF(C1189=C1187,0,IF(E1189=E1188,0,IF(C1189=$R$3,HLOOKUP($R$3,Ingreso!$AW$10:$BC$260,VLOOKUP(A1189,Ingreso!AL:AM,2,FALSE),FALSE)/24,""))),""))</f>
        <v/>
      </c>
      <c r="O1189" s="95" t="str">
        <f>IF(IFERROR(IF(C1189=C1187,0,IF(E1189=E1188,0,IF(C1189=$R$4,HLOOKUP($R$4,Ingreso!$AW$10:$BC$260,VLOOKUP(A1189,Ingreso!AL:AM,2,FALSE),FALSE)/24,""))),"")=0,"",IFERROR(IF(C1189=C1187,0,IF(E1189=E1188,0,IF(C1189=$R$4,HLOOKUP($R$4,Ingreso!$AW$10:$BC$260,VLOOKUP(A1189,Ingreso!AL:AM,2,FALSE),FALSE)/24,""))),""))</f>
        <v/>
      </c>
      <c r="P1189" s="90"/>
      <c r="V1189"/>
      <c r="W1189" s="62"/>
      <c r="X1189" s="62"/>
      <c r="Y1189" s="62"/>
      <c r="Z1189" s="62"/>
      <c r="AA1189" s="62"/>
      <c r="AB1189" s="62"/>
      <c r="AC1189" s="62"/>
    </row>
    <row r="1190" spans="1:29">
      <c r="A1190" s="65" t="str">
        <f>IFERROR(VLOOKUP('Informe Kelly'!A1183,Base!A:B,2,FALSE),"")</f>
        <v/>
      </c>
      <c r="B1190" s="65" t="str">
        <f>IFERROR(VLOOKUP('Informe Kelly'!A1183,Base!A:G,7,FALSE),"")</f>
        <v/>
      </c>
      <c r="C1190" s="69">
        <f>IF(G1190=$C$4,IF('Informe Kelly'!H1183='Control informe Kelly'!$A$2,TEXT(((LEFT('Informe Kelly'!E1183,2)*1)+1),"dd")&amp;"."&amp;MID('Informe Kelly'!E1183,4,2)&amp;"."&amp;RIGHT('Informe Kelly'!E1183,4),'Informe Kelly'!E1183),'Informe Kelly'!E1183)</f>
        <v>0</v>
      </c>
      <c r="D1190" s="69" t="str">
        <f>IF('Informe Kelly'!E1183="","",'Informe Kelly'!E1183)</f>
        <v/>
      </c>
      <c r="E1190" s="72">
        <f t="shared" si="37"/>
        <v>581</v>
      </c>
      <c r="F1190" s="72" t="str">
        <f>IFERROR(HLOOKUP(C1190,Ingreso!$Q$8:$AD$9,2,FALSE),"v")</f>
        <v>v</v>
      </c>
      <c r="G1190" s="65" t="str">
        <f>IFERROR(VLOOKUP(A1190,Ingreso!K:P,6,FALSE),"no esta ingresado")</f>
        <v>no esta ingresado</v>
      </c>
      <c r="H1190" s="65" t="str">
        <f>IFERROR(IF('Informe Kelly'!H1183=$A$2,'Informe Kelly'!F1183,""),0)</f>
        <v/>
      </c>
      <c r="I1190" s="65" t="str">
        <f>IFERROR(IF('Informe Kelly'!H1183=$A$3,'Informe Kelly'!F1183,""),0)</f>
        <v/>
      </c>
      <c r="J1190" s="65" t="str">
        <f>IF(IFERROR(IF(E1190=E1189,0,(HLOOKUP(D1190,Ingreso!$AN$10:$AT$260,VLOOKUP(A1190,Ingreso!$AL$11:$AM$260,2,FALSE)))/24),0)=0,"",IFERROR(IF(E1190=E1189,0,(HLOOKUP(D1190,Ingreso!$AN$10:$AT$260,VLOOKUP(A1190,Ingreso!$AL$11:$AM$260,2,FALSE)))/24),0))</f>
        <v/>
      </c>
      <c r="K1190" s="65" t="str">
        <f>IF(IFERROR(IF(E1190=E1189,0,(HLOOKUP(C1190,Ingreso!$AW$10:$BC$260,VLOOKUP(A1190,Ingreso!$AL$11:$AM$260,2,FALSE)))/24),0)=0,"",IFERROR(IF(E1190=E1189,0,(HLOOKUP(C1190,Ingreso!$AW$10:$BC$260,VLOOKUP(A1190,Ingreso!$AL$11:$AM$260,2,FALSE)))/24),0))</f>
        <v/>
      </c>
      <c r="L1190" s="63">
        <f t="shared" si="36"/>
        <v>0</v>
      </c>
      <c r="M1190" s="63" t="str">
        <f>IF(IFERROR(IF(C1190=C1188,0,IF(E1190=E1189,0,IF(C1190=$R$2,HLOOKUP($R$2,Ingreso!$AW$10:$BC$260,VLOOKUP(A1190,Ingreso!AL:AM,2,FALSE),FALSE)/24,""))),"")=0,"",IFERROR(IF(C1190=C1188,0,IF(E1190=E1189,0,IF(C1190=$R$2,HLOOKUP($R$2,Ingreso!$AW$10:$BC$260,VLOOKUP(A1190,Ingreso!AL:AM,2,FALSE),FALSE)/24,""))),""))</f>
        <v/>
      </c>
      <c r="N1190" s="95" t="str">
        <f>IF(IFERROR(IF(C1190=C1188,0,IF(E1190=E1189,0,IF(C1190=$R$3,HLOOKUP($R$3,Ingreso!$AW$10:$BC$260,VLOOKUP(A1190,Ingreso!AL:AM,2,FALSE),FALSE)/24,""))),"")=0,"",IFERROR(IF(C1190=C1188,0,IF(E1190=E1189,0,IF(C1190=$R$3,HLOOKUP($R$3,Ingreso!$AW$10:$BC$260,VLOOKUP(A1190,Ingreso!AL:AM,2,FALSE),FALSE)/24,""))),""))</f>
        <v/>
      </c>
      <c r="O1190" s="95" t="str">
        <f>IF(IFERROR(IF(C1190=C1188,0,IF(E1190=E1189,0,IF(C1190=$R$4,HLOOKUP($R$4,Ingreso!$AW$10:$BC$260,VLOOKUP(A1190,Ingreso!AL:AM,2,FALSE),FALSE)/24,""))),"")=0,"",IFERROR(IF(C1190=C1188,0,IF(E1190=E1189,0,IF(C1190=$R$4,HLOOKUP($R$4,Ingreso!$AW$10:$BC$260,VLOOKUP(A1190,Ingreso!AL:AM,2,FALSE),FALSE)/24,""))),""))</f>
        <v/>
      </c>
      <c r="P1190" s="90"/>
      <c r="V1190"/>
      <c r="W1190" s="62"/>
      <c r="X1190" s="62"/>
      <c r="Y1190" s="62"/>
      <c r="Z1190" s="62"/>
      <c r="AA1190" s="62"/>
      <c r="AB1190" s="62"/>
      <c r="AC1190" s="62"/>
    </row>
    <row r="1191" spans="1:29">
      <c r="A1191" s="65" t="str">
        <f>IFERROR(VLOOKUP('Informe Kelly'!A1184,Base!A:B,2,FALSE),"")</f>
        <v/>
      </c>
      <c r="B1191" s="65" t="str">
        <f>IFERROR(VLOOKUP('Informe Kelly'!A1184,Base!A:G,7,FALSE),"")</f>
        <v/>
      </c>
      <c r="C1191" s="69">
        <f>IF(G1191=$C$4,IF('Informe Kelly'!H1184='Control informe Kelly'!$A$2,TEXT(((LEFT('Informe Kelly'!E1184,2)*1)+1),"dd")&amp;"."&amp;MID('Informe Kelly'!E1184,4,2)&amp;"."&amp;RIGHT('Informe Kelly'!E1184,4),'Informe Kelly'!E1184),'Informe Kelly'!E1184)</f>
        <v>0</v>
      </c>
      <c r="D1191" s="69" t="str">
        <f>IF('Informe Kelly'!E1184="","",'Informe Kelly'!E1184)</f>
        <v/>
      </c>
      <c r="E1191" s="72">
        <f t="shared" si="37"/>
        <v>581</v>
      </c>
      <c r="F1191" s="72" t="str">
        <f>IFERROR(HLOOKUP(C1191,Ingreso!$Q$8:$AD$9,2,FALSE),"v")</f>
        <v>v</v>
      </c>
      <c r="G1191" s="65" t="str">
        <f>IFERROR(VLOOKUP(A1191,Ingreso!K:P,6,FALSE),"no esta ingresado")</f>
        <v>no esta ingresado</v>
      </c>
      <c r="H1191" s="65" t="str">
        <f>IFERROR(IF('Informe Kelly'!H1184=$A$2,'Informe Kelly'!F1184,""),0)</f>
        <v/>
      </c>
      <c r="I1191" s="65" t="str">
        <f>IFERROR(IF('Informe Kelly'!H1184=$A$3,'Informe Kelly'!F1184,""),0)</f>
        <v/>
      </c>
      <c r="J1191" s="65" t="str">
        <f>IF(IFERROR(IF(E1191=E1190,0,(HLOOKUP(D1191,Ingreso!$AN$10:$AT$260,VLOOKUP(A1191,Ingreso!$AL$11:$AM$260,2,FALSE)))/24),0)=0,"",IFERROR(IF(E1191=E1190,0,(HLOOKUP(D1191,Ingreso!$AN$10:$AT$260,VLOOKUP(A1191,Ingreso!$AL$11:$AM$260,2,FALSE)))/24),0))</f>
        <v/>
      </c>
      <c r="K1191" s="65" t="str">
        <f>IF(IFERROR(IF(E1191=E1190,0,(HLOOKUP(C1191,Ingreso!$AW$10:$BC$260,VLOOKUP(A1191,Ingreso!$AL$11:$AM$260,2,FALSE)))/24),0)=0,"",IFERROR(IF(E1191=E1190,0,(HLOOKUP(C1191,Ingreso!$AW$10:$BC$260,VLOOKUP(A1191,Ingreso!$AL$11:$AM$260,2,FALSE)))/24),0))</f>
        <v/>
      </c>
      <c r="L1191" s="63">
        <f t="shared" si="36"/>
        <v>0</v>
      </c>
      <c r="M1191" s="63" t="str">
        <f>IF(IFERROR(IF(C1191=C1189,0,IF(E1191=E1190,0,IF(C1191=$R$2,HLOOKUP($R$2,Ingreso!$AW$10:$BC$260,VLOOKUP(A1191,Ingreso!AL:AM,2,FALSE),FALSE)/24,""))),"")=0,"",IFERROR(IF(C1191=C1189,0,IF(E1191=E1190,0,IF(C1191=$R$2,HLOOKUP($R$2,Ingreso!$AW$10:$BC$260,VLOOKUP(A1191,Ingreso!AL:AM,2,FALSE),FALSE)/24,""))),""))</f>
        <v/>
      </c>
      <c r="N1191" s="95" t="str">
        <f>IF(IFERROR(IF(C1191=C1189,0,IF(E1191=E1190,0,IF(C1191=$R$3,HLOOKUP($R$3,Ingreso!$AW$10:$BC$260,VLOOKUP(A1191,Ingreso!AL:AM,2,FALSE),FALSE)/24,""))),"")=0,"",IFERROR(IF(C1191=C1189,0,IF(E1191=E1190,0,IF(C1191=$R$3,HLOOKUP($R$3,Ingreso!$AW$10:$BC$260,VLOOKUP(A1191,Ingreso!AL:AM,2,FALSE),FALSE)/24,""))),""))</f>
        <v/>
      </c>
      <c r="O1191" s="95" t="str">
        <f>IF(IFERROR(IF(C1191=C1189,0,IF(E1191=E1190,0,IF(C1191=$R$4,HLOOKUP($R$4,Ingreso!$AW$10:$BC$260,VLOOKUP(A1191,Ingreso!AL:AM,2,FALSE),FALSE)/24,""))),"")=0,"",IFERROR(IF(C1191=C1189,0,IF(E1191=E1190,0,IF(C1191=$R$4,HLOOKUP($R$4,Ingreso!$AW$10:$BC$260,VLOOKUP(A1191,Ingreso!AL:AM,2,FALSE),FALSE)/24,""))),""))</f>
        <v/>
      </c>
      <c r="P1191" s="90"/>
      <c r="V1191"/>
      <c r="W1191" s="62"/>
      <c r="X1191" s="62"/>
      <c r="Y1191" s="62"/>
      <c r="Z1191" s="62"/>
      <c r="AA1191" s="62"/>
      <c r="AB1191" s="62"/>
      <c r="AC1191" s="62"/>
    </row>
    <row r="1192" spans="1:29">
      <c r="A1192" s="65" t="str">
        <f>IFERROR(VLOOKUP('Informe Kelly'!A1185,Base!A:B,2,FALSE),"")</f>
        <v/>
      </c>
      <c r="B1192" s="65" t="str">
        <f>IFERROR(VLOOKUP('Informe Kelly'!A1185,Base!A:G,7,FALSE),"")</f>
        <v/>
      </c>
      <c r="C1192" s="69">
        <f>IF(G1192=$C$4,IF('Informe Kelly'!H1185='Control informe Kelly'!$A$2,TEXT(((LEFT('Informe Kelly'!E1185,2)*1)+1),"dd")&amp;"."&amp;MID('Informe Kelly'!E1185,4,2)&amp;"."&amp;RIGHT('Informe Kelly'!E1185,4),'Informe Kelly'!E1185),'Informe Kelly'!E1185)</f>
        <v>0</v>
      </c>
      <c r="D1192" s="69" t="str">
        <f>IF('Informe Kelly'!E1185="","",'Informe Kelly'!E1185)</f>
        <v/>
      </c>
      <c r="E1192" s="72">
        <f t="shared" si="37"/>
        <v>581</v>
      </c>
      <c r="F1192" s="72" t="str">
        <f>IFERROR(HLOOKUP(C1192,Ingreso!$Q$8:$AD$9,2,FALSE),"v")</f>
        <v>v</v>
      </c>
      <c r="G1192" s="65" t="str">
        <f>IFERROR(VLOOKUP(A1192,Ingreso!K:P,6,FALSE),"no esta ingresado")</f>
        <v>no esta ingresado</v>
      </c>
      <c r="H1192" s="65" t="str">
        <f>IFERROR(IF('Informe Kelly'!H1185=$A$2,'Informe Kelly'!F1185,""),0)</f>
        <v/>
      </c>
      <c r="I1192" s="65" t="str">
        <f>IFERROR(IF('Informe Kelly'!H1185=$A$3,'Informe Kelly'!F1185,""),0)</f>
        <v/>
      </c>
      <c r="J1192" s="65" t="str">
        <f>IF(IFERROR(IF(E1192=E1191,0,(HLOOKUP(D1192,Ingreso!$AN$10:$AT$260,VLOOKUP(A1192,Ingreso!$AL$11:$AM$260,2,FALSE)))/24),0)=0,"",IFERROR(IF(E1192=E1191,0,(HLOOKUP(D1192,Ingreso!$AN$10:$AT$260,VLOOKUP(A1192,Ingreso!$AL$11:$AM$260,2,FALSE)))/24),0))</f>
        <v/>
      </c>
      <c r="K1192" s="65" t="str">
        <f>IF(IFERROR(IF(E1192=E1191,0,(HLOOKUP(C1192,Ingreso!$AW$10:$BC$260,VLOOKUP(A1192,Ingreso!$AL$11:$AM$260,2,FALSE)))/24),0)=0,"",IFERROR(IF(E1192=E1191,0,(HLOOKUP(C1192,Ingreso!$AW$10:$BC$260,VLOOKUP(A1192,Ingreso!$AL$11:$AM$260,2,FALSE)))/24),0))</f>
        <v/>
      </c>
      <c r="L1192" s="63">
        <f t="shared" si="36"/>
        <v>0</v>
      </c>
      <c r="M1192" s="63" t="str">
        <f>IF(IFERROR(IF(C1192=C1190,0,IF(E1192=E1191,0,IF(C1192=$R$2,HLOOKUP($R$2,Ingreso!$AW$10:$BC$260,VLOOKUP(A1192,Ingreso!AL:AM,2,FALSE),FALSE)/24,""))),"")=0,"",IFERROR(IF(C1192=C1190,0,IF(E1192=E1191,0,IF(C1192=$R$2,HLOOKUP($R$2,Ingreso!$AW$10:$BC$260,VLOOKUP(A1192,Ingreso!AL:AM,2,FALSE),FALSE)/24,""))),""))</f>
        <v/>
      </c>
      <c r="N1192" s="95" t="str">
        <f>IF(IFERROR(IF(C1192=C1190,0,IF(E1192=E1191,0,IF(C1192=$R$3,HLOOKUP($R$3,Ingreso!$AW$10:$BC$260,VLOOKUP(A1192,Ingreso!AL:AM,2,FALSE),FALSE)/24,""))),"")=0,"",IFERROR(IF(C1192=C1190,0,IF(E1192=E1191,0,IF(C1192=$R$3,HLOOKUP($R$3,Ingreso!$AW$10:$BC$260,VLOOKUP(A1192,Ingreso!AL:AM,2,FALSE),FALSE)/24,""))),""))</f>
        <v/>
      </c>
      <c r="O1192" s="95" t="str">
        <f>IF(IFERROR(IF(C1192=C1190,0,IF(E1192=E1191,0,IF(C1192=$R$4,HLOOKUP($R$4,Ingreso!$AW$10:$BC$260,VLOOKUP(A1192,Ingreso!AL:AM,2,FALSE),FALSE)/24,""))),"")=0,"",IFERROR(IF(C1192=C1190,0,IF(E1192=E1191,0,IF(C1192=$R$4,HLOOKUP($R$4,Ingreso!$AW$10:$BC$260,VLOOKUP(A1192,Ingreso!AL:AM,2,FALSE),FALSE)/24,""))),""))</f>
        <v/>
      </c>
      <c r="P1192" s="90"/>
      <c r="V1192"/>
      <c r="W1192" s="62"/>
      <c r="X1192" s="62"/>
      <c r="Y1192" s="62"/>
      <c r="Z1192" s="62"/>
      <c r="AA1192" s="62"/>
      <c r="AB1192" s="62"/>
      <c r="AC1192" s="62"/>
    </row>
    <row r="1193" spans="1:29">
      <c r="A1193" s="65" t="str">
        <f>IFERROR(VLOOKUP('Informe Kelly'!A1186,Base!A:B,2,FALSE),"")</f>
        <v/>
      </c>
      <c r="B1193" s="65" t="str">
        <f>IFERROR(VLOOKUP('Informe Kelly'!A1186,Base!A:G,7,FALSE),"")</f>
        <v/>
      </c>
      <c r="C1193" s="69">
        <f>IF(G1193=$C$4,IF('Informe Kelly'!H1186='Control informe Kelly'!$A$2,TEXT(((LEFT('Informe Kelly'!E1186,2)*1)+1),"dd")&amp;"."&amp;MID('Informe Kelly'!E1186,4,2)&amp;"."&amp;RIGHT('Informe Kelly'!E1186,4),'Informe Kelly'!E1186),'Informe Kelly'!E1186)</f>
        <v>0</v>
      </c>
      <c r="D1193" s="69" t="str">
        <f>IF('Informe Kelly'!E1186="","",'Informe Kelly'!E1186)</f>
        <v/>
      </c>
      <c r="E1193" s="72">
        <f t="shared" si="37"/>
        <v>581</v>
      </c>
      <c r="F1193" s="72" t="str">
        <f>IFERROR(HLOOKUP(C1193,Ingreso!$Q$8:$AD$9,2,FALSE),"v")</f>
        <v>v</v>
      </c>
      <c r="G1193" s="65" t="str">
        <f>IFERROR(VLOOKUP(A1193,Ingreso!K:P,6,FALSE),"no esta ingresado")</f>
        <v>no esta ingresado</v>
      </c>
      <c r="H1193" s="65" t="str">
        <f>IFERROR(IF('Informe Kelly'!H1186=$A$2,'Informe Kelly'!F1186,""),0)</f>
        <v/>
      </c>
      <c r="I1193" s="65" t="str">
        <f>IFERROR(IF('Informe Kelly'!H1186=$A$3,'Informe Kelly'!F1186,""),0)</f>
        <v/>
      </c>
      <c r="J1193" s="65" t="str">
        <f>IF(IFERROR(IF(E1193=E1192,0,(HLOOKUP(D1193,Ingreso!$AN$10:$AT$260,VLOOKUP(A1193,Ingreso!$AL$11:$AM$260,2,FALSE)))/24),0)=0,"",IFERROR(IF(E1193=E1192,0,(HLOOKUP(D1193,Ingreso!$AN$10:$AT$260,VLOOKUP(A1193,Ingreso!$AL$11:$AM$260,2,FALSE)))/24),0))</f>
        <v/>
      </c>
      <c r="K1193" s="65" t="str">
        <f>IF(IFERROR(IF(E1193=E1192,0,(HLOOKUP(C1193,Ingreso!$AW$10:$BC$260,VLOOKUP(A1193,Ingreso!$AL$11:$AM$260,2,FALSE)))/24),0)=0,"",IFERROR(IF(E1193=E1192,0,(HLOOKUP(C1193,Ingreso!$AW$10:$BC$260,VLOOKUP(A1193,Ingreso!$AL$11:$AM$260,2,FALSE)))/24),0))</f>
        <v/>
      </c>
      <c r="L1193" s="63">
        <f t="shared" si="36"/>
        <v>0</v>
      </c>
      <c r="M1193" s="63" t="str">
        <f>IF(IFERROR(IF(C1193=C1191,0,IF(E1193=E1192,0,IF(C1193=$R$2,HLOOKUP($R$2,Ingreso!$AW$10:$BC$260,VLOOKUP(A1193,Ingreso!AL:AM,2,FALSE),FALSE)/24,""))),"")=0,"",IFERROR(IF(C1193=C1191,0,IF(E1193=E1192,0,IF(C1193=$R$2,HLOOKUP($R$2,Ingreso!$AW$10:$BC$260,VLOOKUP(A1193,Ingreso!AL:AM,2,FALSE),FALSE)/24,""))),""))</f>
        <v/>
      </c>
      <c r="N1193" s="95" t="str">
        <f>IF(IFERROR(IF(C1193=C1191,0,IF(E1193=E1192,0,IF(C1193=$R$3,HLOOKUP($R$3,Ingreso!$AW$10:$BC$260,VLOOKUP(A1193,Ingreso!AL:AM,2,FALSE),FALSE)/24,""))),"")=0,"",IFERROR(IF(C1193=C1191,0,IF(E1193=E1192,0,IF(C1193=$R$3,HLOOKUP($R$3,Ingreso!$AW$10:$BC$260,VLOOKUP(A1193,Ingreso!AL:AM,2,FALSE),FALSE)/24,""))),""))</f>
        <v/>
      </c>
      <c r="O1193" s="95" t="str">
        <f>IF(IFERROR(IF(C1193=C1191,0,IF(E1193=E1192,0,IF(C1193=$R$4,HLOOKUP($R$4,Ingreso!$AW$10:$BC$260,VLOOKUP(A1193,Ingreso!AL:AM,2,FALSE),FALSE)/24,""))),"")=0,"",IFERROR(IF(C1193=C1191,0,IF(E1193=E1192,0,IF(C1193=$R$4,HLOOKUP($R$4,Ingreso!$AW$10:$BC$260,VLOOKUP(A1193,Ingreso!AL:AM,2,FALSE),FALSE)/24,""))),""))</f>
        <v/>
      </c>
      <c r="P1193" s="90"/>
      <c r="V1193"/>
      <c r="W1193" s="62"/>
      <c r="X1193" s="62"/>
      <c r="Y1193" s="62"/>
      <c r="Z1193" s="62"/>
      <c r="AA1193" s="62"/>
      <c r="AB1193" s="62"/>
      <c r="AC1193" s="62"/>
    </row>
    <row r="1194" spans="1:29">
      <c r="A1194" s="65" t="str">
        <f>IFERROR(VLOOKUP('Informe Kelly'!A1187,Base!A:B,2,FALSE),"")</f>
        <v/>
      </c>
      <c r="B1194" s="65" t="str">
        <f>IFERROR(VLOOKUP('Informe Kelly'!A1187,Base!A:G,7,FALSE),"")</f>
        <v/>
      </c>
      <c r="C1194" s="69">
        <f>IF(G1194=$C$4,IF('Informe Kelly'!H1187='Control informe Kelly'!$A$2,TEXT(((LEFT('Informe Kelly'!E1187,2)*1)+1),"dd")&amp;"."&amp;MID('Informe Kelly'!E1187,4,2)&amp;"."&amp;RIGHT('Informe Kelly'!E1187,4),'Informe Kelly'!E1187),'Informe Kelly'!E1187)</f>
        <v>0</v>
      </c>
      <c r="D1194" s="69" t="str">
        <f>IF('Informe Kelly'!E1187="","",'Informe Kelly'!E1187)</f>
        <v/>
      </c>
      <c r="E1194" s="72">
        <f t="shared" si="37"/>
        <v>581</v>
      </c>
      <c r="F1194" s="72" t="str">
        <f>IFERROR(HLOOKUP(C1194,Ingreso!$Q$8:$AD$9,2,FALSE),"v")</f>
        <v>v</v>
      </c>
      <c r="G1194" s="65" t="str">
        <f>IFERROR(VLOOKUP(A1194,Ingreso!K:P,6,FALSE),"no esta ingresado")</f>
        <v>no esta ingresado</v>
      </c>
      <c r="H1194" s="65" t="str">
        <f>IFERROR(IF('Informe Kelly'!H1187=$A$2,'Informe Kelly'!F1187,""),0)</f>
        <v/>
      </c>
      <c r="I1194" s="65" t="str">
        <f>IFERROR(IF('Informe Kelly'!H1187=$A$3,'Informe Kelly'!F1187,""),0)</f>
        <v/>
      </c>
      <c r="J1194" s="65" t="str">
        <f>IF(IFERROR(IF(E1194=E1193,0,(HLOOKUP(D1194,Ingreso!$AN$10:$AT$260,VLOOKUP(A1194,Ingreso!$AL$11:$AM$260,2,FALSE)))/24),0)=0,"",IFERROR(IF(E1194=E1193,0,(HLOOKUP(D1194,Ingreso!$AN$10:$AT$260,VLOOKUP(A1194,Ingreso!$AL$11:$AM$260,2,FALSE)))/24),0))</f>
        <v/>
      </c>
      <c r="K1194" s="65" t="str">
        <f>IF(IFERROR(IF(E1194=E1193,0,(HLOOKUP(C1194,Ingreso!$AW$10:$BC$260,VLOOKUP(A1194,Ingreso!$AL$11:$AM$260,2,FALSE)))/24),0)=0,"",IFERROR(IF(E1194=E1193,0,(HLOOKUP(C1194,Ingreso!$AW$10:$BC$260,VLOOKUP(A1194,Ingreso!$AL$11:$AM$260,2,FALSE)))/24),0))</f>
        <v/>
      </c>
      <c r="L1194" s="63">
        <f t="shared" si="36"/>
        <v>0</v>
      </c>
      <c r="M1194" s="63" t="str">
        <f>IF(IFERROR(IF(C1194=C1192,0,IF(E1194=E1193,0,IF(C1194=$R$2,HLOOKUP($R$2,Ingreso!$AW$10:$BC$260,VLOOKUP(A1194,Ingreso!AL:AM,2,FALSE),FALSE)/24,""))),"")=0,"",IFERROR(IF(C1194=C1192,0,IF(E1194=E1193,0,IF(C1194=$R$2,HLOOKUP($R$2,Ingreso!$AW$10:$BC$260,VLOOKUP(A1194,Ingreso!AL:AM,2,FALSE),FALSE)/24,""))),""))</f>
        <v/>
      </c>
      <c r="N1194" s="95" t="str">
        <f>IF(IFERROR(IF(C1194=C1192,0,IF(E1194=E1193,0,IF(C1194=$R$3,HLOOKUP($R$3,Ingreso!$AW$10:$BC$260,VLOOKUP(A1194,Ingreso!AL:AM,2,FALSE),FALSE)/24,""))),"")=0,"",IFERROR(IF(C1194=C1192,0,IF(E1194=E1193,0,IF(C1194=$R$3,HLOOKUP($R$3,Ingreso!$AW$10:$BC$260,VLOOKUP(A1194,Ingreso!AL:AM,2,FALSE),FALSE)/24,""))),""))</f>
        <v/>
      </c>
      <c r="O1194" s="95" t="str">
        <f>IF(IFERROR(IF(C1194=C1192,0,IF(E1194=E1193,0,IF(C1194=$R$4,HLOOKUP($R$4,Ingreso!$AW$10:$BC$260,VLOOKUP(A1194,Ingreso!AL:AM,2,FALSE),FALSE)/24,""))),"")=0,"",IFERROR(IF(C1194=C1192,0,IF(E1194=E1193,0,IF(C1194=$R$4,HLOOKUP($R$4,Ingreso!$AW$10:$BC$260,VLOOKUP(A1194,Ingreso!AL:AM,2,FALSE),FALSE)/24,""))),""))</f>
        <v/>
      </c>
      <c r="P1194" s="90"/>
      <c r="V1194"/>
      <c r="W1194" s="62"/>
      <c r="X1194" s="62"/>
      <c r="Y1194" s="62"/>
      <c r="Z1194" s="62"/>
      <c r="AA1194" s="62"/>
      <c r="AB1194" s="62"/>
      <c r="AC1194" s="62"/>
    </row>
    <row r="1195" spans="1:29">
      <c r="A1195" s="65" t="str">
        <f>IFERROR(VLOOKUP('Informe Kelly'!A1188,Base!A:B,2,FALSE),"")</f>
        <v/>
      </c>
      <c r="B1195" s="65" t="str">
        <f>IFERROR(VLOOKUP('Informe Kelly'!A1188,Base!A:G,7,FALSE),"")</f>
        <v/>
      </c>
      <c r="C1195" s="69">
        <f>IF(G1195=$C$4,IF('Informe Kelly'!H1188='Control informe Kelly'!$A$2,TEXT(((LEFT('Informe Kelly'!E1188,2)*1)+1),"dd")&amp;"."&amp;MID('Informe Kelly'!E1188,4,2)&amp;"."&amp;RIGHT('Informe Kelly'!E1188,4),'Informe Kelly'!E1188),'Informe Kelly'!E1188)</f>
        <v>0</v>
      </c>
      <c r="D1195" s="69" t="str">
        <f>IF('Informe Kelly'!E1188="","",'Informe Kelly'!E1188)</f>
        <v/>
      </c>
      <c r="E1195" s="72">
        <f t="shared" si="37"/>
        <v>581</v>
      </c>
      <c r="F1195" s="72" t="str">
        <f>IFERROR(HLOOKUP(C1195,Ingreso!$Q$8:$AD$9,2,FALSE),"v")</f>
        <v>v</v>
      </c>
      <c r="G1195" s="65" t="str">
        <f>IFERROR(VLOOKUP(A1195,Ingreso!K:P,6,FALSE),"no esta ingresado")</f>
        <v>no esta ingresado</v>
      </c>
      <c r="H1195" s="65" t="str">
        <f>IFERROR(IF('Informe Kelly'!H1188=$A$2,'Informe Kelly'!F1188,""),0)</f>
        <v/>
      </c>
      <c r="I1195" s="65" t="str">
        <f>IFERROR(IF('Informe Kelly'!H1188=$A$3,'Informe Kelly'!F1188,""),0)</f>
        <v/>
      </c>
      <c r="J1195" s="65" t="str">
        <f>IF(IFERROR(IF(E1195=E1194,0,(HLOOKUP(D1195,Ingreso!$AN$10:$AT$260,VLOOKUP(A1195,Ingreso!$AL$11:$AM$260,2,FALSE)))/24),0)=0,"",IFERROR(IF(E1195=E1194,0,(HLOOKUP(D1195,Ingreso!$AN$10:$AT$260,VLOOKUP(A1195,Ingreso!$AL$11:$AM$260,2,FALSE)))/24),0))</f>
        <v/>
      </c>
      <c r="K1195" s="65" t="str">
        <f>IF(IFERROR(IF(E1195=E1194,0,(HLOOKUP(C1195,Ingreso!$AW$10:$BC$260,VLOOKUP(A1195,Ingreso!$AL$11:$AM$260,2,FALSE)))/24),0)=0,"",IFERROR(IF(E1195=E1194,0,(HLOOKUP(C1195,Ingreso!$AW$10:$BC$260,VLOOKUP(A1195,Ingreso!$AL$11:$AM$260,2,FALSE)))/24),0))</f>
        <v/>
      </c>
      <c r="L1195" s="63">
        <f t="shared" si="36"/>
        <v>0</v>
      </c>
      <c r="M1195" s="63" t="str">
        <f>IF(IFERROR(IF(C1195=C1193,0,IF(E1195=E1194,0,IF(C1195=$R$2,HLOOKUP($R$2,Ingreso!$AW$10:$BC$260,VLOOKUP(A1195,Ingreso!AL:AM,2,FALSE),FALSE)/24,""))),"")=0,"",IFERROR(IF(C1195=C1193,0,IF(E1195=E1194,0,IF(C1195=$R$2,HLOOKUP($R$2,Ingreso!$AW$10:$BC$260,VLOOKUP(A1195,Ingreso!AL:AM,2,FALSE),FALSE)/24,""))),""))</f>
        <v/>
      </c>
      <c r="N1195" s="95" t="str">
        <f>IF(IFERROR(IF(C1195=C1193,0,IF(E1195=E1194,0,IF(C1195=$R$3,HLOOKUP($R$3,Ingreso!$AW$10:$BC$260,VLOOKUP(A1195,Ingreso!AL:AM,2,FALSE),FALSE)/24,""))),"")=0,"",IFERROR(IF(C1195=C1193,0,IF(E1195=E1194,0,IF(C1195=$R$3,HLOOKUP($R$3,Ingreso!$AW$10:$BC$260,VLOOKUP(A1195,Ingreso!AL:AM,2,FALSE),FALSE)/24,""))),""))</f>
        <v/>
      </c>
      <c r="O1195" s="95" t="str">
        <f>IF(IFERROR(IF(C1195=C1193,0,IF(E1195=E1194,0,IF(C1195=$R$4,HLOOKUP($R$4,Ingreso!$AW$10:$BC$260,VLOOKUP(A1195,Ingreso!AL:AM,2,FALSE),FALSE)/24,""))),"")=0,"",IFERROR(IF(C1195=C1193,0,IF(E1195=E1194,0,IF(C1195=$R$4,HLOOKUP($R$4,Ingreso!$AW$10:$BC$260,VLOOKUP(A1195,Ingreso!AL:AM,2,FALSE),FALSE)/24,""))),""))</f>
        <v/>
      </c>
      <c r="P1195" s="90"/>
      <c r="V1195"/>
      <c r="W1195" s="62"/>
      <c r="X1195" s="62"/>
      <c r="Y1195" s="62"/>
      <c r="Z1195" s="62"/>
      <c r="AA1195" s="62"/>
      <c r="AB1195" s="62"/>
      <c r="AC1195" s="62"/>
    </row>
    <row r="1196" spans="1:29">
      <c r="A1196" s="65" t="str">
        <f>IFERROR(VLOOKUP('Informe Kelly'!A1189,Base!A:B,2,FALSE),"")</f>
        <v/>
      </c>
      <c r="B1196" s="65" t="str">
        <f>IFERROR(VLOOKUP('Informe Kelly'!A1189,Base!A:G,7,FALSE),"")</f>
        <v/>
      </c>
      <c r="C1196" s="69">
        <f>IF(G1196=$C$4,IF('Informe Kelly'!H1189='Control informe Kelly'!$A$2,TEXT(((LEFT('Informe Kelly'!E1189,2)*1)+1),"dd")&amp;"."&amp;MID('Informe Kelly'!E1189,4,2)&amp;"."&amp;RIGHT('Informe Kelly'!E1189,4),'Informe Kelly'!E1189),'Informe Kelly'!E1189)</f>
        <v>0</v>
      </c>
      <c r="D1196" s="69" t="str">
        <f>IF('Informe Kelly'!E1189="","",'Informe Kelly'!E1189)</f>
        <v/>
      </c>
      <c r="E1196" s="72">
        <f t="shared" si="37"/>
        <v>581</v>
      </c>
      <c r="F1196" s="72" t="str">
        <f>IFERROR(HLOOKUP(C1196,Ingreso!$Q$8:$AD$9,2,FALSE),"v")</f>
        <v>v</v>
      </c>
      <c r="G1196" s="65" t="str">
        <f>IFERROR(VLOOKUP(A1196,Ingreso!K:P,6,FALSE),"no esta ingresado")</f>
        <v>no esta ingresado</v>
      </c>
      <c r="H1196" s="65" t="str">
        <f>IFERROR(IF('Informe Kelly'!H1189=$A$2,'Informe Kelly'!F1189,""),0)</f>
        <v/>
      </c>
      <c r="I1196" s="65" t="str">
        <f>IFERROR(IF('Informe Kelly'!H1189=$A$3,'Informe Kelly'!F1189,""),0)</f>
        <v/>
      </c>
      <c r="J1196" s="65" t="str">
        <f>IF(IFERROR(IF(E1196=E1195,0,(HLOOKUP(D1196,Ingreso!$AN$10:$AT$260,VLOOKUP(A1196,Ingreso!$AL$11:$AM$260,2,FALSE)))/24),0)=0,"",IFERROR(IF(E1196=E1195,0,(HLOOKUP(D1196,Ingreso!$AN$10:$AT$260,VLOOKUP(A1196,Ingreso!$AL$11:$AM$260,2,FALSE)))/24),0))</f>
        <v/>
      </c>
      <c r="K1196" s="65" t="str">
        <f>IF(IFERROR(IF(E1196=E1195,0,(HLOOKUP(C1196,Ingreso!$AW$10:$BC$260,VLOOKUP(A1196,Ingreso!$AL$11:$AM$260,2,FALSE)))/24),0)=0,"",IFERROR(IF(E1196=E1195,0,(HLOOKUP(C1196,Ingreso!$AW$10:$BC$260,VLOOKUP(A1196,Ingreso!$AL$11:$AM$260,2,FALSE)))/24),0))</f>
        <v/>
      </c>
      <c r="L1196" s="63">
        <f t="shared" si="36"/>
        <v>0</v>
      </c>
      <c r="M1196" s="63" t="str">
        <f>IF(IFERROR(IF(C1196=C1194,0,IF(E1196=E1195,0,IF(C1196=$R$2,HLOOKUP($R$2,Ingreso!$AW$10:$BC$260,VLOOKUP(A1196,Ingreso!AL:AM,2,FALSE),FALSE)/24,""))),"")=0,"",IFERROR(IF(C1196=C1194,0,IF(E1196=E1195,0,IF(C1196=$R$2,HLOOKUP($R$2,Ingreso!$AW$10:$BC$260,VLOOKUP(A1196,Ingreso!AL:AM,2,FALSE),FALSE)/24,""))),""))</f>
        <v/>
      </c>
      <c r="N1196" s="95" t="str">
        <f>IF(IFERROR(IF(C1196=C1194,0,IF(E1196=E1195,0,IF(C1196=$R$3,HLOOKUP($R$3,Ingreso!$AW$10:$BC$260,VLOOKUP(A1196,Ingreso!AL:AM,2,FALSE),FALSE)/24,""))),"")=0,"",IFERROR(IF(C1196=C1194,0,IF(E1196=E1195,0,IF(C1196=$R$3,HLOOKUP($R$3,Ingreso!$AW$10:$BC$260,VLOOKUP(A1196,Ingreso!AL:AM,2,FALSE),FALSE)/24,""))),""))</f>
        <v/>
      </c>
      <c r="O1196" s="95" t="str">
        <f>IF(IFERROR(IF(C1196=C1194,0,IF(E1196=E1195,0,IF(C1196=$R$4,HLOOKUP($R$4,Ingreso!$AW$10:$BC$260,VLOOKUP(A1196,Ingreso!AL:AM,2,FALSE),FALSE)/24,""))),"")=0,"",IFERROR(IF(C1196=C1194,0,IF(E1196=E1195,0,IF(C1196=$R$4,HLOOKUP($R$4,Ingreso!$AW$10:$BC$260,VLOOKUP(A1196,Ingreso!AL:AM,2,FALSE),FALSE)/24,""))),""))</f>
        <v/>
      </c>
      <c r="P1196" s="90"/>
      <c r="V1196"/>
      <c r="W1196" s="62"/>
      <c r="X1196" s="62"/>
      <c r="Y1196" s="62"/>
      <c r="Z1196" s="62"/>
      <c r="AA1196" s="62"/>
      <c r="AB1196" s="62"/>
      <c r="AC1196" s="62"/>
    </row>
    <row r="1197" spans="1:29">
      <c r="A1197" s="65" t="str">
        <f>IFERROR(VLOOKUP('Informe Kelly'!A1190,Base!A:B,2,FALSE),"")</f>
        <v/>
      </c>
      <c r="B1197" s="65" t="str">
        <f>IFERROR(VLOOKUP('Informe Kelly'!A1190,Base!A:G,7,FALSE),"")</f>
        <v/>
      </c>
      <c r="C1197" s="69">
        <f>IF(G1197=$C$4,IF('Informe Kelly'!H1190='Control informe Kelly'!$A$2,TEXT(((LEFT('Informe Kelly'!E1190,2)*1)+1),"dd")&amp;"."&amp;MID('Informe Kelly'!E1190,4,2)&amp;"."&amp;RIGHT('Informe Kelly'!E1190,4),'Informe Kelly'!E1190),'Informe Kelly'!E1190)</f>
        <v>0</v>
      </c>
      <c r="D1197" s="69" t="str">
        <f>IF('Informe Kelly'!E1190="","",'Informe Kelly'!E1190)</f>
        <v/>
      </c>
      <c r="E1197" s="72">
        <f t="shared" si="37"/>
        <v>581</v>
      </c>
      <c r="F1197" s="72" t="str">
        <f>IFERROR(HLOOKUP(C1197,Ingreso!$Q$8:$AD$9,2,FALSE),"v")</f>
        <v>v</v>
      </c>
      <c r="G1197" s="65" t="str">
        <f>IFERROR(VLOOKUP(A1197,Ingreso!K:P,6,FALSE),"no esta ingresado")</f>
        <v>no esta ingresado</v>
      </c>
      <c r="H1197" s="65" t="str">
        <f>IFERROR(IF('Informe Kelly'!H1190=$A$2,'Informe Kelly'!F1190,""),0)</f>
        <v/>
      </c>
      <c r="I1197" s="65" t="str">
        <f>IFERROR(IF('Informe Kelly'!H1190=$A$3,'Informe Kelly'!F1190,""),0)</f>
        <v/>
      </c>
      <c r="J1197" s="65" t="str">
        <f>IF(IFERROR(IF(E1197=E1196,0,(HLOOKUP(D1197,Ingreso!$AN$10:$AT$260,VLOOKUP(A1197,Ingreso!$AL$11:$AM$260,2,FALSE)))/24),0)=0,"",IFERROR(IF(E1197=E1196,0,(HLOOKUP(D1197,Ingreso!$AN$10:$AT$260,VLOOKUP(A1197,Ingreso!$AL$11:$AM$260,2,FALSE)))/24),0))</f>
        <v/>
      </c>
      <c r="K1197" s="65" t="str">
        <f>IF(IFERROR(IF(E1197=E1196,0,(HLOOKUP(C1197,Ingreso!$AW$10:$BC$260,VLOOKUP(A1197,Ingreso!$AL$11:$AM$260,2,FALSE)))/24),0)=0,"",IFERROR(IF(E1197=E1196,0,(HLOOKUP(C1197,Ingreso!$AW$10:$BC$260,VLOOKUP(A1197,Ingreso!$AL$11:$AM$260,2,FALSE)))/24),0))</f>
        <v/>
      </c>
      <c r="L1197" s="63">
        <f t="shared" si="36"/>
        <v>0</v>
      </c>
      <c r="M1197" s="63" t="str">
        <f>IF(IFERROR(IF(C1197=C1195,0,IF(E1197=E1196,0,IF(C1197=$R$2,HLOOKUP($R$2,Ingreso!$AW$10:$BC$260,VLOOKUP(A1197,Ingreso!AL:AM,2,FALSE),FALSE)/24,""))),"")=0,"",IFERROR(IF(C1197=C1195,0,IF(E1197=E1196,0,IF(C1197=$R$2,HLOOKUP($R$2,Ingreso!$AW$10:$BC$260,VLOOKUP(A1197,Ingreso!AL:AM,2,FALSE),FALSE)/24,""))),""))</f>
        <v/>
      </c>
      <c r="N1197" s="95" t="str">
        <f>IF(IFERROR(IF(C1197=C1195,0,IF(E1197=E1196,0,IF(C1197=$R$3,HLOOKUP($R$3,Ingreso!$AW$10:$BC$260,VLOOKUP(A1197,Ingreso!AL:AM,2,FALSE),FALSE)/24,""))),"")=0,"",IFERROR(IF(C1197=C1195,0,IF(E1197=E1196,0,IF(C1197=$R$3,HLOOKUP($R$3,Ingreso!$AW$10:$BC$260,VLOOKUP(A1197,Ingreso!AL:AM,2,FALSE),FALSE)/24,""))),""))</f>
        <v/>
      </c>
      <c r="O1197" s="95" t="str">
        <f>IF(IFERROR(IF(C1197=C1195,0,IF(E1197=E1196,0,IF(C1197=$R$4,HLOOKUP($R$4,Ingreso!$AW$10:$BC$260,VLOOKUP(A1197,Ingreso!AL:AM,2,FALSE),FALSE)/24,""))),"")=0,"",IFERROR(IF(C1197=C1195,0,IF(E1197=E1196,0,IF(C1197=$R$4,HLOOKUP($R$4,Ingreso!$AW$10:$BC$260,VLOOKUP(A1197,Ingreso!AL:AM,2,FALSE),FALSE)/24,""))),""))</f>
        <v/>
      </c>
      <c r="P1197" s="90"/>
      <c r="V1197"/>
      <c r="W1197" s="62"/>
      <c r="X1197" s="62"/>
      <c r="Y1197" s="62"/>
      <c r="Z1197" s="62"/>
      <c r="AA1197" s="62"/>
      <c r="AB1197" s="62"/>
      <c r="AC1197" s="62"/>
    </row>
    <row r="1198" spans="1:29">
      <c r="A1198" s="65" t="str">
        <f>IFERROR(VLOOKUP('Informe Kelly'!A1191,Base!A:B,2,FALSE),"")</f>
        <v/>
      </c>
      <c r="B1198" s="65" t="str">
        <f>IFERROR(VLOOKUP('Informe Kelly'!A1191,Base!A:G,7,FALSE),"")</f>
        <v/>
      </c>
      <c r="C1198" s="69">
        <f>IF(G1198=$C$4,IF('Informe Kelly'!H1191='Control informe Kelly'!$A$2,TEXT(((LEFT('Informe Kelly'!E1191,2)*1)+1),"dd")&amp;"."&amp;MID('Informe Kelly'!E1191,4,2)&amp;"."&amp;RIGHT('Informe Kelly'!E1191,4),'Informe Kelly'!E1191),'Informe Kelly'!E1191)</f>
        <v>0</v>
      </c>
      <c r="D1198" s="69" t="str">
        <f>IF('Informe Kelly'!E1191="","",'Informe Kelly'!E1191)</f>
        <v/>
      </c>
      <c r="E1198" s="72">
        <f t="shared" si="37"/>
        <v>581</v>
      </c>
      <c r="F1198" s="72" t="str">
        <f>IFERROR(HLOOKUP(C1198,Ingreso!$Q$8:$AD$9,2,FALSE),"v")</f>
        <v>v</v>
      </c>
      <c r="G1198" s="65" t="str">
        <f>IFERROR(VLOOKUP(A1198,Ingreso!K:P,6,FALSE),"no esta ingresado")</f>
        <v>no esta ingresado</v>
      </c>
      <c r="H1198" s="65" t="str">
        <f>IFERROR(IF('Informe Kelly'!H1191=$A$2,'Informe Kelly'!F1191,""),0)</f>
        <v/>
      </c>
      <c r="I1198" s="65" t="str">
        <f>IFERROR(IF('Informe Kelly'!H1191=$A$3,'Informe Kelly'!F1191,""),0)</f>
        <v/>
      </c>
      <c r="J1198" s="65" t="str">
        <f>IF(IFERROR(IF(E1198=E1197,0,(HLOOKUP(D1198,Ingreso!$AN$10:$AT$260,VLOOKUP(A1198,Ingreso!$AL$11:$AM$260,2,FALSE)))/24),0)=0,"",IFERROR(IF(E1198=E1197,0,(HLOOKUP(D1198,Ingreso!$AN$10:$AT$260,VLOOKUP(A1198,Ingreso!$AL$11:$AM$260,2,FALSE)))/24),0))</f>
        <v/>
      </c>
      <c r="K1198" s="65" t="str">
        <f>IF(IFERROR(IF(E1198=E1197,0,(HLOOKUP(C1198,Ingreso!$AW$10:$BC$260,VLOOKUP(A1198,Ingreso!$AL$11:$AM$260,2,FALSE)))/24),0)=0,"",IFERROR(IF(E1198=E1197,0,(HLOOKUP(C1198,Ingreso!$AW$10:$BC$260,VLOOKUP(A1198,Ingreso!$AL$11:$AM$260,2,FALSE)))/24),0))</f>
        <v/>
      </c>
      <c r="L1198" s="63">
        <f t="shared" si="36"/>
        <v>0</v>
      </c>
      <c r="M1198" s="63" t="str">
        <f>IF(IFERROR(IF(C1198=C1196,0,IF(E1198=E1197,0,IF(C1198=$R$2,HLOOKUP($R$2,Ingreso!$AW$10:$BC$260,VLOOKUP(A1198,Ingreso!AL:AM,2,FALSE),FALSE)/24,""))),"")=0,"",IFERROR(IF(C1198=C1196,0,IF(E1198=E1197,0,IF(C1198=$R$2,HLOOKUP($R$2,Ingreso!$AW$10:$BC$260,VLOOKUP(A1198,Ingreso!AL:AM,2,FALSE),FALSE)/24,""))),""))</f>
        <v/>
      </c>
      <c r="N1198" s="95" t="str">
        <f>IF(IFERROR(IF(C1198=C1196,0,IF(E1198=E1197,0,IF(C1198=$R$3,HLOOKUP($R$3,Ingreso!$AW$10:$BC$260,VLOOKUP(A1198,Ingreso!AL:AM,2,FALSE),FALSE)/24,""))),"")=0,"",IFERROR(IF(C1198=C1196,0,IF(E1198=E1197,0,IF(C1198=$R$3,HLOOKUP($R$3,Ingreso!$AW$10:$BC$260,VLOOKUP(A1198,Ingreso!AL:AM,2,FALSE),FALSE)/24,""))),""))</f>
        <v/>
      </c>
      <c r="O1198" s="95" t="str">
        <f>IF(IFERROR(IF(C1198=C1196,0,IF(E1198=E1197,0,IF(C1198=$R$4,HLOOKUP($R$4,Ingreso!$AW$10:$BC$260,VLOOKUP(A1198,Ingreso!AL:AM,2,FALSE),FALSE)/24,""))),"")=0,"",IFERROR(IF(C1198=C1196,0,IF(E1198=E1197,0,IF(C1198=$R$4,HLOOKUP($R$4,Ingreso!$AW$10:$BC$260,VLOOKUP(A1198,Ingreso!AL:AM,2,FALSE),FALSE)/24,""))),""))</f>
        <v/>
      </c>
      <c r="P1198" s="90"/>
      <c r="V1198"/>
      <c r="W1198" s="62"/>
      <c r="X1198" s="62"/>
      <c r="Y1198" s="62"/>
      <c r="Z1198" s="62"/>
      <c r="AA1198" s="62"/>
      <c r="AB1198" s="62"/>
      <c r="AC1198" s="62"/>
    </row>
    <row r="1199" spans="1:29">
      <c r="A1199" s="65" t="str">
        <f>IFERROR(VLOOKUP('Informe Kelly'!A1192,Base!A:B,2,FALSE),"")</f>
        <v/>
      </c>
      <c r="B1199" s="65" t="str">
        <f>IFERROR(VLOOKUP('Informe Kelly'!A1192,Base!A:G,7,FALSE),"")</f>
        <v/>
      </c>
      <c r="C1199" s="69">
        <f>IF(G1199=$C$4,IF('Informe Kelly'!H1192='Control informe Kelly'!$A$2,TEXT(((LEFT('Informe Kelly'!E1192,2)*1)+1),"dd")&amp;"."&amp;MID('Informe Kelly'!E1192,4,2)&amp;"."&amp;RIGHT('Informe Kelly'!E1192,4),'Informe Kelly'!E1192),'Informe Kelly'!E1192)</f>
        <v>0</v>
      </c>
      <c r="D1199" s="69" t="str">
        <f>IF('Informe Kelly'!E1192="","",'Informe Kelly'!E1192)</f>
        <v/>
      </c>
      <c r="E1199" s="72">
        <f t="shared" si="37"/>
        <v>581</v>
      </c>
      <c r="F1199" s="72" t="str">
        <f>IFERROR(HLOOKUP(C1199,Ingreso!$Q$8:$AD$9,2,FALSE),"v")</f>
        <v>v</v>
      </c>
      <c r="G1199" s="65" t="str">
        <f>IFERROR(VLOOKUP(A1199,Ingreso!K:P,6,FALSE),"no esta ingresado")</f>
        <v>no esta ingresado</v>
      </c>
      <c r="H1199" s="65" t="str">
        <f>IFERROR(IF('Informe Kelly'!H1192=$A$2,'Informe Kelly'!F1192,""),0)</f>
        <v/>
      </c>
      <c r="I1199" s="65" t="str">
        <f>IFERROR(IF('Informe Kelly'!H1192=$A$3,'Informe Kelly'!F1192,""),0)</f>
        <v/>
      </c>
      <c r="J1199" s="65" t="str">
        <f>IF(IFERROR(IF(E1199=E1198,0,(HLOOKUP(D1199,Ingreso!$AN$10:$AT$260,VLOOKUP(A1199,Ingreso!$AL$11:$AM$260,2,FALSE)))/24),0)=0,"",IFERROR(IF(E1199=E1198,0,(HLOOKUP(D1199,Ingreso!$AN$10:$AT$260,VLOOKUP(A1199,Ingreso!$AL$11:$AM$260,2,FALSE)))/24),0))</f>
        <v/>
      </c>
      <c r="K1199" s="65" t="str">
        <f>IF(IFERROR(IF(E1199=E1198,0,(HLOOKUP(C1199,Ingreso!$AW$10:$BC$260,VLOOKUP(A1199,Ingreso!$AL$11:$AM$260,2,FALSE)))/24),0)=0,"",IFERROR(IF(E1199=E1198,0,(HLOOKUP(C1199,Ingreso!$AW$10:$BC$260,VLOOKUP(A1199,Ingreso!$AL$11:$AM$260,2,FALSE)))/24),0))</f>
        <v/>
      </c>
      <c r="L1199" s="63">
        <f t="shared" si="36"/>
        <v>0</v>
      </c>
      <c r="M1199" s="63" t="str">
        <f>IF(IFERROR(IF(C1199=C1197,0,IF(E1199=E1198,0,IF(C1199=$R$2,HLOOKUP($R$2,Ingreso!$AW$10:$BC$260,VLOOKUP(A1199,Ingreso!AL:AM,2,FALSE),FALSE)/24,""))),"")=0,"",IFERROR(IF(C1199=C1197,0,IF(E1199=E1198,0,IF(C1199=$R$2,HLOOKUP($R$2,Ingreso!$AW$10:$BC$260,VLOOKUP(A1199,Ingreso!AL:AM,2,FALSE),FALSE)/24,""))),""))</f>
        <v/>
      </c>
      <c r="N1199" s="95" t="str">
        <f>IF(IFERROR(IF(C1199=C1197,0,IF(E1199=E1198,0,IF(C1199=$R$3,HLOOKUP($R$3,Ingreso!$AW$10:$BC$260,VLOOKUP(A1199,Ingreso!AL:AM,2,FALSE),FALSE)/24,""))),"")=0,"",IFERROR(IF(C1199=C1197,0,IF(E1199=E1198,0,IF(C1199=$R$3,HLOOKUP($R$3,Ingreso!$AW$10:$BC$260,VLOOKUP(A1199,Ingreso!AL:AM,2,FALSE),FALSE)/24,""))),""))</f>
        <v/>
      </c>
      <c r="O1199" s="95" t="str">
        <f>IF(IFERROR(IF(C1199=C1197,0,IF(E1199=E1198,0,IF(C1199=$R$4,HLOOKUP($R$4,Ingreso!$AW$10:$BC$260,VLOOKUP(A1199,Ingreso!AL:AM,2,FALSE),FALSE)/24,""))),"")=0,"",IFERROR(IF(C1199=C1197,0,IF(E1199=E1198,0,IF(C1199=$R$4,HLOOKUP($R$4,Ingreso!$AW$10:$BC$260,VLOOKUP(A1199,Ingreso!AL:AM,2,FALSE),FALSE)/24,""))),""))</f>
        <v/>
      </c>
      <c r="P1199" s="90"/>
      <c r="V1199"/>
      <c r="W1199" s="62"/>
      <c r="X1199" s="62"/>
      <c r="Y1199" s="62"/>
      <c r="Z1199" s="62"/>
      <c r="AA1199" s="62"/>
      <c r="AB1199" s="62"/>
      <c r="AC1199" s="62"/>
    </row>
    <row r="1200" spans="1:29">
      <c r="A1200" s="65" t="str">
        <f>IFERROR(VLOOKUP('Informe Kelly'!A1193,Base!A:B,2,FALSE),"")</f>
        <v/>
      </c>
      <c r="B1200" s="65" t="str">
        <f>IFERROR(VLOOKUP('Informe Kelly'!A1193,Base!A:G,7,FALSE),"")</f>
        <v/>
      </c>
      <c r="C1200" s="69">
        <f>IF(G1200=$C$4,IF('Informe Kelly'!H1193='Control informe Kelly'!$A$2,TEXT(((LEFT('Informe Kelly'!E1193,2)*1)+1),"dd")&amp;"."&amp;MID('Informe Kelly'!E1193,4,2)&amp;"."&amp;RIGHT('Informe Kelly'!E1193,4),'Informe Kelly'!E1193),'Informe Kelly'!E1193)</f>
        <v>0</v>
      </c>
      <c r="D1200" s="69" t="str">
        <f>IF('Informe Kelly'!E1193="","",'Informe Kelly'!E1193)</f>
        <v/>
      </c>
      <c r="E1200" s="72">
        <f t="shared" si="37"/>
        <v>581</v>
      </c>
      <c r="F1200" s="72" t="str">
        <f>IFERROR(HLOOKUP(C1200,Ingreso!$Q$8:$AD$9,2,FALSE),"v")</f>
        <v>v</v>
      </c>
      <c r="G1200" s="65" t="str">
        <f>IFERROR(VLOOKUP(A1200,Ingreso!K:P,6,FALSE),"no esta ingresado")</f>
        <v>no esta ingresado</v>
      </c>
      <c r="H1200" s="65" t="str">
        <f>IFERROR(IF('Informe Kelly'!H1193=$A$2,'Informe Kelly'!F1193,""),0)</f>
        <v/>
      </c>
      <c r="I1200" s="65" t="str">
        <f>IFERROR(IF('Informe Kelly'!H1193=$A$3,'Informe Kelly'!F1193,""),0)</f>
        <v/>
      </c>
      <c r="J1200" s="65" t="str">
        <f>IF(IFERROR(IF(E1200=E1199,0,(HLOOKUP(D1200,Ingreso!$AN$10:$AT$260,VLOOKUP(A1200,Ingreso!$AL$11:$AM$260,2,FALSE)))/24),0)=0,"",IFERROR(IF(E1200=E1199,0,(HLOOKUP(D1200,Ingreso!$AN$10:$AT$260,VLOOKUP(A1200,Ingreso!$AL$11:$AM$260,2,FALSE)))/24),0))</f>
        <v/>
      </c>
      <c r="K1200" s="65" t="str">
        <f>IF(IFERROR(IF(E1200=E1199,0,(HLOOKUP(C1200,Ingreso!$AW$10:$BC$260,VLOOKUP(A1200,Ingreso!$AL$11:$AM$260,2,FALSE)))/24),0)=0,"",IFERROR(IF(E1200=E1199,0,(HLOOKUP(C1200,Ingreso!$AW$10:$BC$260,VLOOKUP(A1200,Ingreso!$AL$11:$AM$260,2,FALSE)))/24),0))</f>
        <v/>
      </c>
      <c r="L1200" s="63">
        <f t="shared" si="36"/>
        <v>0</v>
      </c>
      <c r="M1200" s="63" t="str">
        <f>IF(IFERROR(IF(C1200=C1198,0,IF(E1200=E1199,0,IF(C1200=$R$2,HLOOKUP($R$2,Ingreso!$AW$10:$BC$260,VLOOKUP(A1200,Ingreso!AL:AM,2,FALSE),FALSE)/24,""))),"")=0,"",IFERROR(IF(C1200=C1198,0,IF(E1200=E1199,0,IF(C1200=$R$2,HLOOKUP($R$2,Ingreso!$AW$10:$BC$260,VLOOKUP(A1200,Ingreso!AL:AM,2,FALSE),FALSE)/24,""))),""))</f>
        <v/>
      </c>
      <c r="N1200" s="95" t="str">
        <f>IF(IFERROR(IF(C1200=C1198,0,IF(E1200=E1199,0,IF(C1200=$R$3,HLOOKUP($R$3,Ingreso!$AW$10:$BC$260,VLOOKUP(A1200,Ingreso!AL:AM,2,FALSE),FALSE)/24,""))),"")=0,"",IFERROR(IF(C1200=C1198,0,IF(E1200=E1199,0,IF(C1200=$R$3,HLOOKUP($R$3,Ingreso!$AW$10:$BC$260,VLOOKUP(A1200,Ingreso!AL:AM,2,FALSE),FALSE)/24,""))),""))</f>
        <v/>
      </c>
      <c r="O1200" s="95" t="str">
        <f>IF(IFERROR(IF(C1200=C1198,0,IF(E1200=E1199,0,IF(C1200=$R$4,HLOOKUP($R$4,Ingreso!$AW$10:$BC$260,VLOOKUP(A1200,Ingreso!AL:AM,2,FALSE),FALSE)/24,""))),"")=0,"",IFERROR(IF(C1200=C1198,0,IF(E1200=E1199,0,IF(C1200=$R$4,HLOOKUP($R$4,Ingreso!$AW$10:$BC$260,VLOOKUP(A1200,Ingreso!AL:AM,2,FALSE),FALSE)/24,""))),""))</f>
        <v/>
      </c>
      <c r="P1200" s="90"/>
      <c r="V1200"/>
      <c r="W1200" s="62"/>
      <c r="X1200" s="62"/>
      <c r="Y1200" s="62"/>
      <c r="Z1200" s="62"/>
      <c r="AA1200" s="62"/>
      <c r="AB1200" s="62"/>
      <c r="AC1200" s="62"/>
    </row>
    <row r="1201" spans="1:29">
      <c r="A1201" s="65" t="str">
        <f>IFERROR(VLOOKUP('Informe Kelly'!A1194,Base!A:B,2,FALSE),"")</f>
        <v/>
      </c>
      <c r="B1201" s="65" t="str">
        <f>IFERROR(VLOOKUP('Informe Kelly'!A1194,Base!A:G,7,FALSE),"")</f>
        <v/>
      </c>
      <c r="C1201" s="69">
        <f>IF(G1201=$C$4,IF('Informe Kelly'!H1194='Control informe Kelly'!$A$2,TEXT(((LEFT('Informe Kelly'!E1194,2)*1)+1),"dd")&amp;"."&amp;MID('Informe Kelly'!E1194,4,2)&amp;"."&amp;RIGHT('Informe Kelly'!E1194,4),'Informe Kelly'!E1194),'Informe Kelly'!E1194)</f>
        <v>0</v>
      </c>
      <c r="D1201" s="69" t="str">
        <f>IF('Informe Kelly'!E1194="","",'Informe Kelly'!E1194)</f>
        <v/>
      </c>
      <c r="E1201" s="72">
        <f t="shared" si="37"/>
        <v>581</v>
      </c>
      <c r="F1201" s="72" t="str">
        <f>IFERROR(HLOOKUP(C1201,Ingreso!$Q$8:$AD$9,2,FALSE),"v")</f>
        <v>v</v>
      </c>
      <c r="G1201" s="65" t="str">
        <f>IFERROR(VLOOKUP(A1201,Ingreso!K:P,6,FALSE),"no esta ingresado")</f>
        <v>no esta ingresado</v>
      </c>
      <c r="H1201" s="65" t="str">
        <f>IFERROR(IF('Informe Kelly'!H1194=$A$2,'Informe Kelly'!F1194,""),0)</f>
        <v/>
      </c>
      <c r="I1201" s="65" t="str">
        <f>IFERROR(IF('Informe Kelly'!H1194=$A$3,'Informe Kelly'!F1194,""),0)</f>
        <v/>
      </c>
      <c r="J1201" s="65" t="str">
        <f>IF(IFERROR(IF(E1201=E1200,0,(HLOOKUP(D1201,Ingreso!$AN$10:$AT$260,VLOOKUP(A1201,Ingreso!$AL$11:$AM$260,2,FALSE)))/24),0)=0,"",IFERROR(IF(E1201=E1200,0,(HLOOKUP(D1201,Ingreso!$AN$10:$AT$260,VLOOKUP(A1201,Ingreso!$AL$11:$AM$260,2,FALSE)))/24),0))</f>
        <v/>
      </c>
      <c r="K1201" s="65" t="str">
        <f>IF(IFERROR(IF(E1201=E1200,0,(HLOOKUP(C1201,Ingreso!$AW$10:$BC$260,VLOOKUP(A1201,Ingreso!$AL$11:$AM$260,2,FALSE)))/24),0)=0,"",IFERROR(IF(E1201=E1200,0,(HLOOKUP(C1201,Ingreso!$AW$10:$BC$260,VLOOKUP(A1201,Ingreso!$AL$11:$AM$260,2,FALSE)))/24),0))</f>
        <v/>
      </c>
      <c r="L1201" s="63">
        <f t="shared" si="36"/>
        <v>0</v>
      </c>
      <c r="M1201" s="63" t="str">
        <f>IF(IFERROR(IF(C1201=C1199,0,IF(E1201=E1200,0,IF(C1201=$R$2,HLOOKUP($R$2,Ingreso!$AW$10:$BC$260,VLOOKUP(A1201,Ingreso!AL:AM,2,FALSE),FALSE)/24,""))),"")=0,"",IFERROR(IF(C1201=C1199,0,IF(E1201=E1200,0,IF(C1201=$R$2,HLOOKUP($R$2,Ingreso!$AW$10:$BC$260,VLOOKUP(A1201,Ingreso!AL:AM,2,FALSE),FALSE)/24,""))),""))</f>
        <v/>
      </c>
      <c r="N1201" s="95" t="str">
        <f>IF(IFERROR(IF(C1201=C1199,0,IF(E1201=E1200,0,IF(C1201=$R$3,HLOOKUP($R$3,Ingreso!$AW$10:$BC$260,VLOOKUP(A1201,Ingreso!AL:AM,2,FALSE),FALSE)/24,""))),"")=0,"",IFERROR(IF(C1201=C1199,0,IF(E1201=E1200,0,IF(C1201=$R$3,HLOOKUP($R$3,Ingreso!$AW$10:$BC$260,VLOOKUP(A1201,Ingreso!AL:AM,2,FALSE),FALSE)/24,""))),""))</f>
        <v/>
      </c>
      <c r="O1201" s="95" t="str">
        <f>IF(IFERROR(IF(C1201=C1199,0,IF(E1201=E1200,0,IF(C1201=$R$4,HLOOKUP($R$4,Ingreso!$AW$10:$BC$260,VLOOKUP(A1201,Ingreso!AL:AM,2,FALSE),FALSE)/24,""))),"")=0,"",IFERROR(IF(C1201=C1199,0,IF(E1201=E1200,0,IF(C1201=$R$4,HLOOKUP($R$4,Ingreso!$AW$10:$BC$260,VLOOKUP(A1201,Ingreso!AL:AM,2,FALSE),FALSE)/24,""))),""))</f>
        <v/>
      </c>
      <c r="P1201" s="90"/>
      <c r="V1201"/>
      <c r="W1201" s="62"/>
      <c r="X1201" s="62"/>
      <c r="Y1201" s="62"/>
      <c r="Z1201" s="62"/>
      <c r="AA1201" s="62"/>
      <c r="AB1201" s="62"/>
      <c r="AC1201" s="62"/>
    </row>
    <row r="1202" spans="1:29">
      <c r="A1202" s="65" t="str">
        <f>IFERROR(VLOOKUP('Informe Kelly'!A1195,Base!A:B,2,FALSE),"")</f>
        <v/>
      </c>
      <c r="B1202" s="65" t="str">
        <f>IFERROR(VLOOKUP('Informe Kelly'!A1195,Base!A:G,7,FALSE),"")</f>
        <v/>
      </c>
      <c r="C1202" s="69">
        <f>IF(G1202=$C$4,IF('Informe Kelly'!H1195='Control informe Kelly'!$A$2,TEXT(((LEFT('Informe Kelly'!E1195,2)*1)+1),"dd")&amp;"."&amp;MID('Informe Kelly'!E1195,4,2)&amp;"."&amp;RIGHT('Informe Kelly'!E1195,4),'Informe Kelly'!E1195),'Informe Kelly'!E1195)</f>
        <v>0</v>
      </c>
      <c r="D1202" s="69" t="str">
        <f>IF('Informe Kelly'!E1195="","",'Informe Kelly'!E1195)</f>
        <v/>
      </c>
      <c r="E1202" s="72">
        <f t="shared" si="37"/>
        <v>581</v>
      </c>
      <c r="F1202" s="72" t="str">
        <f>IFERROR(HLOOKUP(C1202,Ingreso!$Q$8:$AD$9,2,FALSE),"v")</f>
        <v>v</v>
      </c>
      <c r="G1202" s="65" t="str">
        <f>IFERROR(VLOOKUP(A1202,Ingreso!K:P,6,FALSE),"no esta ingresado")</f>
        <v>no esta ingresado</v>
      </c>
      <c r="H1202" s="65" t="str">
        <f>IFERROR(IF('Informe Kelly'!H1195=$A$2,'Informe Kelly'!F1195,""),0)</f>
        <v/>
      </c>
      <c r="I1202" s="65" t="str">
        <f>IFERROR(IF('Informe Kelly'!H1195=$A$3,'Informe Kelly'!F1195,""),0)</f>
        <v/>
      </c>
      <c r="J1202" s="65" t="str">
        <f>IF(IFERROR(IF(E1202=E1201,0,(HLOOKUP(D1202,Ingreso!$AN$10:$AT$260,VLOOKUP(A1202,Ingreso!$AL$11:$AM$260,2,FALSE)))/24),0)=0,"",IFERROR(IF(E1202=E1201,0,(HLOOKUP(D1202,Ingreso!$AN$10:$AT$260,VLOOKUP(A1202,Ingreso!$AL$11:$AM$260,2,FALSE)))/24),0))</f>
        <v/>
      </c>
      <c r="K1202" s="65" t="str">
        <f>IF(IFERROR(IF(E1202=E1201,0,(HLOOKUP(C1202,Ingreso!$AW$10:$BC$260,VLOOKUP(A1202,Ingreso!$AL$11:$AM$260,2,FALSE)))/24),0)=0,"",IFERROR(IF(E1202=E1201,0,(HLOOKUP(C1202,Ingreso!$AW$10:$BC$260,VLOOKUP(A1202,Ingreso!$AL$11:$AM$260,2,FALSE)))/24),0))</f>
        <v/>
      </c>
      <c r="L1202" s="63">
        <f t="shared" si="36"/>
        <v>0</v>
      </c>
      <c r="M1202" s="63" t="str">
        <f>IF(IFERROR(IF(C1202=C1200,0,IF(E1202=E1201,0,IF(C1202=$R$2,HLOOKUP($R$2,Ingreso!$AW$10:$BC$260,VLOOKUP(A1202,Ingreso!AL:AM,2,FALSE),FALSE)/24,""))),"")=0,"",IFERROR(IF(C1202=C1200,0,IF(E1202=E1201,0,IF(C1202=$R$2,HLOOKUP($R$2,Ingreso!$AW$10:$BC$260,VLOOKUP(A1202,Ingreso!AL:AM,2,FALSE),FALSE)/24,""))),""))</f>
        <v/>
      </c>
      <c r="N1202" s="95" t="str">
        <f>IF(IFERROR(IF(C1202=C1200,0,IF(E1202=E1201,0,IF(C1202=$R$3,HLOOKUP($R$3,Ingreso!$AW$10:$BC$260,VLOOKUP(A1202,Ingreso!AL:AM,2,FALSE),FALSE)/24,""))),"")=0,"",IFERROR(IF(C1202=C1200,0,IF(E1202=E1201,0,IF(C1202=$R$3,HLOOKUP($R$3,Ingreso!$AW$10:$BC$260,VLOOKUP(A1202,Ingreso!AL:AM,2,FALSE),FALSE)/24,""))),""))</f>
        <v/>
      </c>
      <c r="O1202" s="95" t="str">
        <f>IF(IFERROR(IF(C1202=C1200,0,IF(E1202=E1201,0,IF(C1202=$R$4,HLOOKUP($R$4,Ingreso!$AW$10:$BC$260,VLOOKUP(A1202,Ingreso!AL:AM,2,FALSE),FALSE)/24,""))),"")=0,"",IFERROR(IF(C1202=C1200,0,IF(E1202=E1201,0,IF(C1202=$R$4,HLOOKUP($R$4,Ingreso!$AW$10:$BC$260,VLOOKUP(A1202,Ingreso!AL:AM,2,FALSE),FALSE)/24,""))),""))</f>
        <v/>
      </c>
      <c r="P1202" s="90"/>
      <c r="V1202"/>
      <c r="W1202" s="62"/>
      <c r="X1202" s="62"/>
      <c r="Y1202" s="62"/>
      <c r="Z1202" s="62"/>
      <c r="AA1202" s="62"/>
      <c r="AB1202" s="62"/>
      <c r="AC1202" s="62"/>
    </row>
    <row r="1203" spans="1:29">
      <c r="A1203" s="65" t="str">
        <f>IFERROR(VLOOKUP('Informe Kelly'!A1196,Base!A:B,2,FALSE),"")</f>
        <v/>
      </c>
      <c r="B1203" s="65" t="str">
        <f>IFERROR(VLOOKUP('Informe Kelly'!A1196,Base!A:G,7,FALSE),"")</f>
        <v/>
      </c>
      <c r="C1203" s="69">
        <f>IF(G1203=$C$4,IF('Informe Kelly'!H1196='Control informe Kelly'!$A$2,TEXT(((LEFT('Informe Kelly'!E1196,2)*1)+1),"dd")&amp;"."&amp;MID('Informe Kelly'!E1196,4,2)&amp;"."&amp;RIGHT('Informe Kelly'!E1196,4),'Informe Kelly'!E1196),'Informe Kelly'!E1196)</f>
        <v>0</v>
      </c>
      <c r="D1203" s="69" t="str">
        <f>IF('Informe Kelly'!E1196="","",'Informe Kelly'!E1196)</f>
        <v/>
      </c>
      <c r="E1203" s="72">
        <f t="shared" si="37"/>
        <v>581</v>
      </c>
      <c r="F1203" s="72" t="str">
        <f>IFERROR(HLOOKUP(C1203,Ingreso!$Q$8:$AD$9,2,FALSE),"v")</f>
        <v>v</v>
      </c>
      <c r="G1203" s="65" t="str">
        <f>IFERROR(VLOOKUP(A1203,Ingreso!K:P,6,FALSE),"no esta ingresado")</f>
        <v>no esta ingresado</v>
      </c>
      <c r="H1203" s="65" t="str">
        <f>IFERROR(IF('Informe Kelly'!H1196=$A$2,'Informe Kelly'!F1196,""),0)</f>
        <v/>
      </c>
      <c r="I1203" s="65" t="str">
        <f>IFERROR(IF('Informe Kelly'!H1196=$A$3,'Informe Kelly'!F1196,""),0)</f>
        <v/>
      </c>
      <c r="J1203" s="65" t="str">
        <f>IF(IFERROR(IF(E1203=E1202,0,(HLOOKUP(D1203,Ingreso!$AN$10:$AT$260,VLOOKUP(A1203,Ingreso!$AL$11:$AM$260,2,FALSE)))/24),0)=0,"",IFERROR(IF(E1203=E1202,0,(HLOOKUP(D1203,Ingreso!$AN$10:$AT$260,VLOOKUP(A1203,Ingreso!$AL$11:$AM$260,2,FALSE)))/24),0))</f>
        <v/>
      </c>
      <c r="K1203" s="65" t="str">
        <f>IF(IFERROR(IF(E1203=E1202,0,(HLOOKUP(C1203,Ingreso!$AW$10:$BC$260,VLOOKUP(A1203,Ingreso!$AL$11:$AM$260,2,FALSE)))/24),0)=0,"",IFERROR(IF(E1203=E1202,0,(HLOOKUP(C1203,Ingreso!$AW$10:$BC$260,VLOOKUP(A1203,Ingreso!$AL$11:$AM$260,2,FALSE)))/24),0))</f>
        <v/>
      </c>
      <c r="L1203" s="63">
        <f t="shared" si="36"/>
        <v>0</v>
      </c>
      <c r="M1203" s="63" t="str">
        <f>IF(IFERROR(IF(C1203=C1201,0,IF(E1203=E1202,0,IF(C1203=$R$2,HLOOKUP($R$2,Ingreso!$AW$10:$BC$260,VLOOKUP(A1203,Ingreso!AL:AM,2,FALSE),FALSE)/24,""))),"")=0,"",IFERROR(IF(C1203=C1201,0,IF(E1203=E1202,0,IF(C1203=$R$2,HLOOKUP($R$2,Ingreso!$AW$10:$BC$260,VLOOKUP(A1203,Ingreso!AL:AM,2,FALSE),FALSE)/24,""))),""))</f>
        <v/>
      </c>
      <c r="N1203" s="95" t="str">
        <f>IF(IFERROR(IF(C1203=C1201,0,IF(E1203=E1202,0,IF(C1203=$R$3,HLOOKUP($R$3,Ingreso!$AW$10:$BC$260,VLOOKUP(A1203,Ingreso!AL:AM,2,FALSE),FALSE)/24,""))),"")=0,"",IFERROR(IF(C1203=C1201,0,IF(E1203=E1202,0,IF(C1203=$R$3,HLOOKUP($R$3,Ingreso!$AW$10:$BC$260,VLOOKUP(A1203,Ingreso!AL:AM,2,FALSE),FALSE)/24,""))),""))</f>
        <v/>
      </c>
      <c r="O1203" s="95" t="str">
        <f>IF(IFERROR(IF(C1203=C1201,0,IF(E1203=E1202,0,IF(C1203=$R$4,HLOOKUP($R$4,Ingreso!$AW$10:$BC$260,VLOOKUP(A1203,Ingreso!AL:AM,2,FALSE),FALSE)/24,""))),"")=0,"",IFERROR(IF(C1203=C1201,0,IF(E1203=E1202,0,IF(C1203=$R$4,HLOOKUP($R$4,Ingreso!$AW$10:$BC$260,VLOOKUP(A1203,Ingreso!AL:AM,2,FALSE),FALSE)/24,""))),""))</f>
        <v/>
      </c>
      <c r="P1203" s="90"/>
      <c r="V1203"/>
      <c r="W1203" s="62"/>
      <c r="X1203" s="62"/>
      <c r="Y1203" s="62"/>
      <c r="Z1203" s="62"/>
      <c r="AA1203" s="62"/>
      <c r="AB1203" s="62"/>
      <c r="AC1203" s="62"/>
    </row>
    <row r="1204" spans="1:29">
      <c r="A1204" s="65" t="str">
        <f>IFERROR(VLOOKUP('Informe Kelly'!A1197,Base!A:B,2,FALSE),"")</f>
        <v/>
      </c>
      <c r="B1204" s="65" t="str">
        <f>IFERROR(VLOOKUP('Informe Kelly'!A1197,Base!A:G,7,FALSE),"")</f>
        <v/>
      </c>
      <c r="C1204" s="69">
        <f>IF(G1204=$C$4,IF('Informe Kelly'!H1197='Control informe Kelly'!$A$2,TEXT(((LEFT('Informe Kelly'!E1197,2)*1)+1),"dd")&amp;"."&amp;MID('Informe Kelly'!E1197,4,2)&amp;"."&amp;RIGHT('Informe Kelly'!E1197,4),'Informe Kelly'!E1197),'Informe Kelly'!E1197)</f>
        <v>0</v>
      </c>
      <c r="D1204" s="69" t="str">
        <f>IF('Informe Kelly'!E1197="","",'Informe Kelly'!E1197)</f>
        <v/>
      </c>
      <c r="E1204" s="72">
        <f t="shared" si="37"/>
        <v>581</v>
      </c>
      <c r="F1204" s="72" t="str">
        <f>IFERROR(HLOOKUP(C1204,Ingreso!$Q$8:$AD$9,2,FALSE),"v")</f>
        <v>v</v>
      </c>
      <c r="G1204" s="65" t="str">
        <f>IFERROR(VLOOKUP(A1204,Ingreso!K:P,6,FALSE),"no esta ingresado")</f>
        <v>no esta ingresado</v>
      </c>
      <c r="H1204" s="65" t="str">
        <f>IFERROR(IF('Informe Kelly'!H1197=$A$2,'Informe Kelly'!F1197,""),0)</f>
        <v/>
      </c>
      <c r="I1204" s="65" t="str">
        <f>IFERROR(IF('Informe Kelly'!H1197=$A$3,'Informe Kelly'!F1197,""),0)</f>
        <v/>
      </c>
      <c r="J1204" s="65" t="str">
        <f>IF(IFERROR(IF(E1204=E1203,0,(HLOOKUP(D1204,Ingreso!$AN$10:$AT$260,VLOOKUP(A1204,Ingreso!$AL$11:$AM$260,2,FALSE)))/24),0)=0,"",IFERROR(IF(E1204=E1203,0,(HLOOKUP(D1204,Ingreso!$AN$10:$AT$260,VLOOKUP(A1204,Ingreso!$AL$11:$AM$260,2,FALSE)))/24),0))</f>
        <v/>
      </c>
      <c r="K1204" s="65" t="str">
        <f>IF(IFERROR(IF(E1204=E1203,0,(HLOOKUP(C1204,Ingreso!$AW$10:$BC$260,VLOOKUP(A1204,Ingreso!$AL$11:$AM$260,2,FALSE)))/24),0)=0,"",IFERROR(IF(E1204=E1203,0,(HLOOKUP(C1204,Ingreso!$AW$10:$BC$260,VLOOKUP(A1204,Ingreso!$AL$11:$AM$260,2,FALSE)))/24),0))</f>
        <v/>
      </c>
      <c r="L1204" s="63">
        <f t="shared" si="36"/>
        <v>0</v>
      </c>
      <c r="M1204" s="63" t="str">
        <f>IF(IFERROR(IF(C1204=C1202,0,IF(E1204=E1203,0,IF(C1204=$R$2,HLOOKUP($R$2,Ingreso!$AW$10:$BC$260,VLOOKUP(A1204,Ingreso!AL:AM,2,FALSE),FALSE)/24,""))),"")=0,"",IFERROR(IF(C1204=C1202,0,IF(E1204=E1203,0,IF(C1204=$R$2,HLOOKUP($R$2,Ingreso!$AW$10:$BC$260,VLOOKUP(A1204,Ingreso!AL:AM,2,FALSE),FALSE)/24,""))),""))</f>
        <v/>
      </c>
      <c r="N1204" s="95" t="str">
        <f>IF(IFERROR(IF(C1204=C1202,0,IF(E1204=E1203,0,IF(C1204=$R$3,HLOOKUP($R$3,Ingreso!$AW$10:$BC$260,VLOOKUP(A1204,Ingreso!AL:AM,2,FALSE),FALSE)/24,""))),"")=0,"",IFERROR(IF(C1204=C1202,0,IF(E1204=E1203,0,IF(C1204=$R$3,HLOOKUP($R$3,Ingreso!$AW$10:$BC$260,VLOOKUP(A1204,Ingreso!AL:AM,2,FALSE),FALSE)/24,""))),""))</f>
        <v/>
      </c>
      <c r="O1204" s="95" t="str">
        <f>IF(IFERROR(IF(C1204=C1202,0,IF(E1204=E1203,0,IF(C1204=$R$4,HLOOKUP($R$4,Ingreso!$AW$10:$BC$260,VLOOKUP(A1204,Ingreso!AL:AM,2,FALSE),FALSE)/24,""))),"")=0,"",IFERROR(IF(C1204=C1202,0,IF(E1204=E1203,0,IF(C1204=$R$4,HLOOKUP($R$4,Ingreso!$AW$10:$BC$260,VLOOKUP(A1204,Ingreso!AL:AM,2,FALSE),FALSE)/24,""))),""))</f>
        <v/>
      </c>
      <c r="P1204" s="90"/>
      <c r="V1204"/>
      <c r="W1204" s="62"/>
      <c r="X1204" s="62"/>
      <c r="Y1204" s="62"/>
      <c r="Z1204" s="62"/>
      <c r="AA1204" s="62"/>
      <c r="AB1204" s="62"/>
      <c r="AC1204" s="62"/>
    </row>
    <row r="1205" spans="1:29">
      <c r="A1205" s="65" t="str">
        <f>IFERROR(VLOOKUP('Informe Kelly'!A1198,Base!A:B,2,FALSE),"")</f>
        <v/>
      </c>
      <c r="B1205" s="65" t="str">
        <f>IFERROR(VLOOKUP('Informe Kelly'!A1198,Base!A:G,7,FALSE),"")</f>
        <v/>
      </c>
      <c r="C1205" s="69">
        <f>IF(G1205=$C$4,IF('Informe Kelly'!H1198='Control informe Kelly'!$A$2,TEXT(((LEFT('Informe Kelly'!E1198,2)*1)+1),"dd")&amp;"."&amp;MID('Informe Kelly'!E1198,4,2)&amp;"."&amp;RIGHT('Informe Kelly'!E1198,4),'Informe Kelly'!E1198),'Informe Kelly'!E1198)</f>
        <v>0</v>
      </c>
      <c r="D1205" s="69" t="str">
        <f>IF('Informe Kelly'!E1198="","",'Informe Kelly'!E1198)</f>
        <v/>
      </c>
      <c r="E1205" s="72">
        <f t="shared" si="37"/>
        <v>581</v>
      </c>
      <c r="F1205" s="72" t="str">
        <f>IFERROR(HLOOKUP(C1205,Ingreso!$Q$8:$AD$9,2,FALSE),"v")</f>
        <v>v</v>
      </c>
      <c r="G1205" s="65" t="str">
        <f>IFERROR(VLOOKUP(A1205,Ingreso!K:P,6,FALSE),"no esta ingresado")</f>
        <v>no esta ingresado</v>
      </c>
      <c r="H1205" s="65" t="str">
        <f>IFERROR(IF('Informe Kelly'!H1198=$A$2,'Informe Kelly'!F1198,""),0)</f>
        <v/>
      </c>
      <c r="I1205" s="65" t="str">
        <f>IFERROR(IF('Informe Kelly'!H1198=$A$3,'Informe Kelly'!F1198,""),0)</f>
        <v/>
      </c>
      <c r="J1205" s="65" t="str">
        <f>IF(IFERROR(IF(E1205=E1204,0,(HLOOKUP(D1205,Ingreso!$AN$10:$AT$260,VLOOKUP(A1205,Ingreso!$AL$11:$AM$260,2,FALSE)))/24),0)=0,"",IFERROR(IF(E1205=E1204,0,(HLOOKUP(D1205,Ingreso!$AN$10:$AT$260,VLOOKUP(A1205,Ingreso!$AL$11:$AM$260,2,FALSE)))/24),0))</f>
        <v/>
      </c>
      <c r="K1205" s="65" t="str">
        <f>IF(IFERROR(IF(E1205=E1204,0,(HLOOKUP(C1205,Ingreso!$AW$10:$BC$260,VLOOKUP(A1205,Ingreso!$AL$11:$AM$260,2,FALSE)))/24),0)=0,"",IFERROR(IF(E1205=E1204,0,(HLOOKUP(C1205,Ingreso!$AW$10:$BC$260,VLOOKUP(A1205,Ingreso!$AL$11:$AM$260,2,FALSE)))/24),0))</f>
        <v/>
      </c>
      <c r="L1205" s="63">
        <f t="shared" si="36"/>
        <v>0</v>
      </c>
      <c r="M1205" s="63" t="str">
        <f>IF(IFERROR(IF(C1205=C1203,0,IF(E1205=E1204,0,IF(C1205=$R$2,HLOOKUP($R$2,Ingreso!$AW$10:$BC$260,VLOOKUP(A1205,Ingreso!AL:AM,2,FALSE),FALSE)/24,""))),"")=0,"",IFERROR(IF(C1205=C1203,0,IF(E1205=E1204,0,IF(C1205=$R$2,HLOOKUP($R$2,Ingreso!$AW$10:$BC$260,VLOOKUP(A1205,Ingreso!AL:AM,2,FALSE),FALSE)/24,""))),""))</f>
        <v/>
      </c>
      <c r="N1205" s="95" t="str">
        <f>IF(IFERROR(IF(C1205=C1203,0,IF(E1205=E1204,0,IF(C1205=$R$3,HLOOKUP($R$3,Ingreso!$AW$10:$BC$260,VLOOKUP(A1205,Ingreso!AL:AM,2,FALSE),FALSE)/24,""))),"")=0,"",IFERROR(IF(C1205=C1203,0,IF(E1205=E1204,0,IF(C1205=$R$3,HLOOKUP($R$3,Ingreso!$AW$10:$BC$260,VLOOKUP(A1205,Ingreso!AL:AM,2,FALSE),FALSE)/24,""))),""))</f>
        <v/>
      </c>
      <c r="O1205" s="95" t="str">
        <f>IF(IFERROR(IF(C1205=C1203,0,IF(E1205=E1204,0,IF(C1205=$R$4,HLOOKUP($R$4,Ingreso!$AW$10:$BC$260,VLOOKUP(A1205,Ingreso!AL:AM,2,FALSE),FALSE)/24,""))),"")=0,"",IFERROR(IF(C1205=C1203,0,IF(E1205=E1204,0,IF(C1205=$R$4,HLOOKUP($R$4,Ingreso!$AW$10:$BC$260,VLOOKUP(A1205,Ingreso!AL:AM,2,FALSE),FALSE)/24,""))),""))</f>
        <v/>
      </c>
      <c r="P1205" s="90"/>
      <c r="V1205"/>
      <c r="W1205" s="62"/>
      <c r="X1205" s="62"/>
      <c r="Y1205" s="62"/>
      <c r="Z1205" s="62"/>
      <c r="AA1205" s="62"/>
      <c r="AB1205" s="62"/>
      <c r="AC1205" s="62"/>
    </row>
    <row r="1206" spans="1:29">
      <c r="A1206" s="65" t="str">
        <f>IFERROR(VLOOKUP('Informe Kelly'!A1199,Base!A:B,2,FALSE),"")</f>
        <v/>
      </c>
      <c r="B1206" s="65" t="str">
        <f>IFERROR(VLOOKUP('Informe Kelly'!A1199,Base!A:G,7,FALSE),"")</f>
        <v/>
      </c>
      <c r="C1206" s="69">
        <f>IF(G1206=$C$4,IF('Informe Kelly'!H1199='Control informe Kelly'!$A$2,TEXT(((LEFT('Informe Kelly'!E1199,2)*1)+1),"dd")&amp;"."&amp;MID('Informe Kelly'!E1199,4,2)&amp;"."&amp;RIGHT('Informe Kelly'!E1199,4),'Informe Kelly'!E1199),'Informe Kelly'!E1199)</f>
        <v>0</v>
      </c>
      <c r="D1206" s="69" t="str">
        <f>IF('Informe Kelly'!E1199="","",'Informe Kelly'!E1199)</f>
        <v/>
      </c>
      <c r="E1206" s="72">
        <f t="shared" si="37"/>
        <v>581</v>
      </c>
      <c r="F1206" s="72" t="str">
        <f>IFERROR(HLOOKUP(C1206,Ingreso!$Q$8:$AD$9,2,FALSE),"v")</f>
        <v>v</v>
      </c>
      <c r="G1206" s="65" t="str">
        <f>IFERROR(VLOOKUP(A1206,Ingreso!K:P,6,FALSE),"no esta ingresado")</f>
        <v>no esta ingresado</v>
      </c>
      <c r="H1206" s="65" t="str">
        <f>IFERROR(IF('Informe Kelly'!H1199=$A$2,'Informe Kelly'!F1199,""),0)</f>
        <v/>
      </c>
      <c r="I1206" s="65" t="str">
        <f>IFERROR(IF('Informe Kelly'!H1199=$A$3,'Informe Kelly'!F1199,""),0)</f>
        <v/>
      </c>
      <c r="J1206" s="65" t="str">
        <f>IF(IFERROR(IF(E1206=E1205,0,(HLOOKUP(D1206,Ingreso!$AN$10:$AT$260,VLOOKUP(A1206,Ingreso!$AL$11:$AM$260,2,FALSE)))/24),0)=0,"",IFERROR(IF(E1206=E1205,0,(HLOOKUP(D1206,Ingreso!$AN$10:$AT$260,VLOOKUP(A1206,Ingreso!$AL$11:$AM$260,2,FALSE)))/24),0))</f>
        <v/>
      </c>
      <c r="K1206" s="65" t="str">
        <f>IF(IFERROR(IF(E1206=E1205,0,(HLOOKUP(C1206,Ingreso!$AW$10:$BC$260,VLOOKUP(A1206,Ingreso!$AL$11:$AM$260,2,FALSE)))/24),0)=0,"",IFERROR(IF(E1206=E1205,0,(HLOOKUP(C1206,Ingreso!$AW$10:$BC$260,VLOOKUP(A1206,Ingreso!$AL$11:$AM$260,2,FALSE)))/24),0))</f>
        <v/>
      </c>
      <c r="L1206" s="63">
        <f t="shared" si="36"/>
        <v>0</v>
      </c>
      <c r="M1206" s="63" t="str">
        <f>IF(IFERROR(IF(C1206=C1204,0,IF(E1206=E1205,0,IF(C1206=$R$2,HLOOKUP($R$2,Ingreso!$AW$10:$BC$260,VLOOKUP(A1206,Ingreso!AL:AM,2,FALSE),FALSE)/24,""))),"")=0,"",IFERROR(IF(C1206=C1204,0,IF(E1206=E1205,0,IF(C1206=$R$2,HLOOKUP($R$2,Ingreso!$AW$10:$BC$260,VLOOKUP(A1206,Ingreso!AL:AM,2,FALSE),FALSE)/24,""))),""))</f>
        <v/>
      </c>
      <c r="N1206" s="95" t="str">
        <f>IF(IFERROR(IF(C1206=C1204,0,IF(E1206=E1205,0,IF(C1206=$R$3,HLOOKUP($R$3,Ingreso!$AW$10:$BC$260,VLOOKUP(A1206,Ingreso!AL:AM,2,FALSE),FALSE)/24,""))),"")=0,"",IFERROR(IF(C1206=C1204,0,IF(E1206=E1205,0,IF(C1206=$R$3,HLOOKUP($R$3,Ingreso!$AW$10:$BC$260,VLOOKUP(A1206,Ingreso!AL:AM,2,FALSE),FALSE)/24,""))),""))</f>
        <v/>
      </c>
      <c r="O1206" s="95" t="str">
        <f>IF(IFERROR(IF(C1206=C1204,0,IF(E1206=E1205,0,IF(C1206=$R$4,HLOOKUP($R$4,Ingreso!$AW$10:$BC$260,VLOOKUP(A1206,Ingreso!AL:AM,2,FALSE),FALSE)/24,""))),"")=0,"",IFERROR(IF(C1206=C1204,0,IF(E1206=E1205,0,IF(C1206=$R$4,HLOOKUP($R$4,Ingreso!$AW$10:$BC$260,VLOOKUP(A1206,Ingreso!AL:AM,2,FALSE),FALSE)/24,""))),""))</f>
        <v/>
      </c>
      <c r="P1206" s="90"/>
      <c r="V1206"/>
      <c r="W1206" s="62"/>
      <c r="X1206" s="62"/>
      <c r="Y1206" s="62"/>
      <c r="Z1206" s="62"/>
      <c r="AA1206" s="62"/>
      <c r="AB1206" s="62"/>
      <c r="AC1206" s="62"/>
    </row>
    <row r="1207" spans="1:29">
      <c r="A1207" s="65" t="str">
        <f>IFERROR(VLOOKUP('Informe Kelly'!A1200,Base!A:B,2,FALSE),"")</f>
        <v/>
      </c>
      <c r="B1207" s="65" t="str">
        <f>IFERROR(VLOOKUP('Informe Kelly'!A1200,Base!A:G,7,FALSE),"")</f>
        <v/>
      </c>
      <c r="C1207" s="69">
        <f>IF(G1207=$C$4,IF('Informe Kelly'!H1200='Control informe Kelly'!$A$2,TEXT(((LEFT('Informe Kelly'!E1200,2)*1)+1),"dd")&amp;"."&amp;MID('Informe Kelly'!E1200,4,2)&amp;"."&amp;RIGHT('Informe Kelly'!E1200,4),'Informe Kelly'!E1200),'Informe Kelly'!E1200)</f>
        <v>0</v>
      </c>
      <c r="D1207" s="69" t="str">
        <f>IF('Informe Kelly'!E1200="","",'Informe Kelly'!E1200)</f>
        <v/>
      </c>
      <c r="E1207" s="72">
        <f t="shared" si="37"/>
        <v>581</v>
      </c>
      <c r="F1207" s="72" t="str">
        <f>IFERROR(HLOOKUP(C1207,Ingreso!$Q$8:$AD$9,2,FALSE),"v")</f>
        <v>v</v>
      </c>
      <c r="G1207" s="65" t="str">
        <f>IFERROR(VLOOKUP(A1207,Ingreso!K:P,6,FALSE),"no esta ingresado")</f>
        <v>no esta ingresado</v>
      </c>
      <c r="H1207" s="65" t="str">
        <f>IFERROR(IF('Informe Kelly'!H1200=$A$2,'Informe Kelly'!F1200,""),0)</f>
        <v/>
      </c>
      <c r="I1207" s="65" t="str">
        <f>IFERROR(IF('Informe Kelly'!H1200=$A$3,'Informe Kelly'!F1200,""),0)</f>
        <v/>
      </c>
      <c r="J1207" s="65" t="str">
        <f>IF(IFERROR(IF(E1207=E1206,0,(HLOOKUP(D1207,Ingreso!$AN$10:$AT$260,VLOOKUP(A1207,Ingreso!$AL$11:$AM$260,2,FALSE)))/24),0)=0,"",IFERROR(IF(E1207=E1206,0,(HLOOKUP(D1207,Ingreso!$AN$10:$AT$260,VLOOKUP(A1207,Ingreso!$AL$11:$AM$260,2,FALSE)))/24),0))</f>
        <v/>
      </c>
      <c r="K1207" s="65" t="str">
        <f>IF(IFERROR(IF(E1207=E1206,0,(HLOOKUP(C1207,Ingreso!$AW$10:$BC$260,VLOOKUP(A1207,Ingreso!$AL$11:$AM$260,2,FALSE)))/24),0)=0,"",IFERROR(IF(E1207=E1206,0,(HLOOKUP(C1207,Ingreso!$AW$10:$BC$260,VLOOKUP(A1207,Ingreso!$AL$11:$AM$260,2,FALSE)))/24),0))</f>
        <v/>
      </c>
      <c r="L1207" s="63">
        <f t="shared" si="36"/>
        <v>0</v>
      </c>
      <c r="M1207" s="63" t="str">
        <f>IF(IFERROR(IF(C1207=C1205,0,IF(E1207=E1206,0,IF(C1207=$R$2,HLOOKUP($R$2,Ingreso!$AW$10:$BC$260,VLOOKUP(A1207,Ingreso!AL:AM,2,FALSE),FALSE)/24,""))),"")=0,"",IFERROR(IF(C1207=C1205,0,IF(E1207=E1206,0,IF(C1207=$R$2,HLOOKUP($R$2,Ingreso!$AW$10:$BC$260,VLOOKUP(A1207,Ingreso!AL:AM,2,FALSE),FALSE)/24,""))),""))</f>
        <v/>
      </c>
      <c r="N1207" s="95" t="str">
        <f>IF(IFERROR(IF(C1207=C1205,0,IF(E1207=E1206,0,IF(C1207=$R$3,HLOOKUP($R$3,Ingreso!$AW$10:$BC$260,VLOOKUP(A1207,Ingreso!AL:AM,2,FALSE),FALSE)/24,""))),"")=0,"",IFERROR(IF(C1207=C1205,0,IF(E1207=E1206,0,IF(C1207=$R$3,HLOOKUP($R$3,Ingreso!$AW$10:$BC$260,VLOOKUP(A1207,Ingreso!AL:AM,2,FALSE),FALSE)/24,""))),""))</f>
        <v/>
      </c>
      <c r="O1207" s="95" t="str">
        <f>IF(IFERROR(IF(C1207=C1205,0,IF(E1207=E1206,0,IF(C1207=$R$4,HLOOKUP($R$4,Ingreso!$AW$10:$BC$260,VLOOKUP(A1207,Ingreso!AL:AM,2,FALSE),FALSE)/24,""))),"")=0,"",IFERROR(IF(C1207=C1205,0,IF(E1207=E1206,0,IF(C1207=$R$4,HLOOKUP($R$4,Ingreso!$AW$10:$BC$260,VLOOKUP(A1207,Ingreso!AL:AM,2,FALSE),FALSE)/24,""))),""))</f>
        <v/>
      </c>
      <c r="P1207" s="90"/>
      <c r="V1207"/>
      <c r="W1207" s="62"/>
      <c r="X1207" s="62"/>
      <c r="Y1207" s="62"/>
      <c r="Z1207" s="62"/>
      <c r="AA1207" s="62"/>
      <c r="AB1207" s="62"/>
      <c r="AC1207" s="62"/>
    </row>
    <row r="1208" spans="1:29">
      <c r="A1208" s="65" t="str">
        <f>IFERROR(VLOOKUP('Informe Kelly'!A1201,Base!A:B,2,FALSE),"")</f>
        <v/>
      </c>
      <c r="B1208" s="65" t="str">
        <f>IFERROR(VLOOKUP('Informe Kelly'!A1201,Base!A:G,7,FALSE),"")</f>
        <v/>
      </c>
      <c r="C1208" s="69">
        <f>IF(G1208=$C$4,IF('Informe Kelly'!H1201='Control informe Kelly'!$A$2,TEXT(((LEFT('Informe Kelly'!E1201,2)*1)+1),"dd")&amp;"."&amp;MID('Informe Kelly'!E1201,4,2)&amp;"."&amp;RIGHT('Informe Kelly'!E1201,4),'Informe Kelly'!E1201),'Informe Kelly'!E1201)</f>
        <v>0</v>
      </c>
      <c r="D1208" s="69" t="str">
        <f>IF('Informe Kelly'!E1201="","",'Informe Kelly'!E1201)</f>
        <v/>
      </c>
      <c r="E1208" s="72">
        <f t="shared" si="37"/>
        <v>581</v>
      </c>
      <c r="F1208" s="72" t="str">
        <f>IFERROR(HLOOKUP(C1208,Ingreso!$Q$8:$AD$9,2,FALSE),"v")</f>
        <v>v</v>
      </c>
      <c r="G1208" s="65" t="str">
        <f>IFERROR(VLOOKUP(A1208,Ingreso!K:P,6,FALSE),"no esta ingresado")</f>
        <v>no esta ingresado</v>
      </c>
      <c r="H1208" s="65" t="str">
        <f>IFERROR(IF('Informe Kelly'!H1201=$A$2,'Informe Kelly'!F1201,""),0)</f>
        <v/>
      </c>
      <c r="I1208" s="65" t="str">
        <f>IFERROR(IF('Informe Kelly'!H1201=$A$3,'Informe Kelly'!F1201,""),0)</f>
        <v/>
      </c>
      <c r="J1208" s="65" t="str">
        <f>IF(IFERROR(IF(E1208=E1207,0,(HLOOKUP(D1208,Ingreso!$AN$10:$AT$260,VLOOKUP(A1208,Ingreso!$AL$11:$AM$260,2,FALSE)))/24),0)=0,"",IFERROR(IF(E1208=E1207,0,(HLOOKUP(D1208,Ingreso!$AN$10:$AT$260,VLOOKUP(A1208,Ingreso!$AL$11:$AM$260,2,FALSE)))/24),0))</f>
        <v/>
      </c>
      <c r="K1208" s="65" t="str">
        <f>IF(IFERROR(IF(E1208=E1207,0,(HLOOKUP(C1208,Ingreso!$AW$10:$BC$260,VLOOKUP(A1208,Ingreso!$AL$11:$AM$260,2,FALSE)))/24),0)=0,"",IFERROR(IF(E1208=E1207,0,(HLOOKUP(C1208,Ingreso!$AW$10:$BC$260,VLOOKUP(A1208,Ingreso!$AL$11:$AM$260,2,FALSE)))/24),0))</f>
        <v/>
      </c>
      <c r="L1208" s="63">
        <f t="shared" si="36"/>
        <v>0</v>
      </c>
      <c r="M1208" s="63" t="str">
        <f>IF(IFERROR(IF(C1208=C1206,0,IF(E1208=E1207,0,IF(C1208=$R$2,HLOOKUP($R$2,Ingreso!$AW$10:$BC$260,VLOOKUP(A1208,Ingreso!AL:AM,2,FALSE),FALSE)/24,""))),"")=0,"",IFERROR(IF(C1208=C1206,0,IF(E1208=E1207,0,IF(C1208=$R$2,HLOOKUP($R$2,Ingreso!$AW$10:$BC$260,VLOOKUP(A1208,Ingreso!AL:AM,2,FALSE),FALSE)/24,""))),""))</f>
        <v/>
      </c>
      <c r="N1208" s="95" t="str">
        <f>IF(IFERROR(IF(C1208=C1206,0,IF(E1208=E1207,0,IF(C1208=$R$3,HLOOKUP($R$3,Ingreso!$AW$10:$BC$260,VLOOKUP(A1208,Ingreso!AL:AM,2,FALSE),FALSE)/24,""))),"")=0,"",IFERROR(IF(C1208=C1206,0,IF(E1208=E1207,0,IF(C1208=$R$3,HLOOKUP($R$3,Ingreso!$AW$10:$BC$260,VLOOKUP(A1208,Ingreso!AL:AM,2,FALSE),FALSE)/24,""))),""))</f>
        <v/>
      </c>
      <c r="O1208" s="95" t="str">
        <f>IF(IFERROR(IF(C1208=C1206,0,IF(E1208=E1207,0,IF(C1208=$R$4,HLOOKUP($R$4,Ingreso!$AW$10:$BC$260,VLOOKUP(A1208,Ingreso!AL:AM,2,FALSE),FALSE)/24,""))),"")=0,"",IFERROR(IF(C1208=C1206,0,IF(E1208=E1207,0,IF(C1208=$R$4,HLOOKUP($R$4,Ingreso!$AW$10:$BC$260,VLOOKUP(A1208,Ingreso!AL:AM,2,FALSE),FALSE)/24,""))),""))</f>
        <v/>
      </c>
      <c r="P1208" s="90"/>
      <c r="V1208"/>
      <c r="W1208" s="62"/>
      <c r="X1208" s="62"/>
      <c r="Y1208" s="62"/>
      <c r="Z1208" s="62"/>
      <c r="AA1208" s="62"/>
      <c r="AB1208" s="62"/>
      <c r="AC1208" s="62"/>
    </row>
    <row r="1209" spans="1:29">
      <c r="A1209" s="65" t="str">
        <f>IFERROR(VLOOKUP('Informe Kelly'!A1202,Base!A:B,2,FALSE),"")</f>
        <v/>
      </c>
      <c r="B1209" s="65" t="str">
        <f>IFERROR(VLOOKUP('Informe Kelly'!A1202,Base!A:G,7,FALSE),"")</f>
        <v/>
      </c>
      <c r="C1209" s="69">
        <f>IF(G1209=$C$4,IF('Informe Kelly'!H1202='Control informe Kelly'!$A$2,TEXT(((LEFT('Informe Kelly'!E1202,2)*1)+1),"dd")&amp;"."&amp;MID('Informe Kelly'!E1202,4,2)&amp;"."&amp;RIGHT('Informe Kelly'!E1202,4),'Informe Kelly'!E1202),'Informe Kelly'!E1202)</f>
        <v>0</v>
      </c>
      <c r="D1209" s="69" t="str">
        <f>IF('Informe Kelly'!E1202="","",'Informe Kelly'!E1202)</f>
        <v/>
      </c>
      <c r="E1209" s="72">
        <f t="shared" si="37"/>
        <v>581</v>
      </c>
      <c r="F1209" s="72" t="str">
        <f>IFERROR(HLOOKUP(C1209,Ingreso!$Q$8:$AD$9,2,FALSE),"v")</f>
        <v>v</v>
      </c>
      <c r="G1209" s="65" t="str">
        <f>IFERROR(VLOOKUP(A1209,Ingreso!K:P,6,FALSE),"no esta ingresado")</f>
        <v>no esta ingresado</v>
      </c>
      <c r="H1209" s="65" t="str">
        <f>IFERROR(IF('Informe Kelly'!H1202=$A$2,'Informe Kelly'!F1202,""),0)</f>
        <v/>
      </c>
      <c r="I1209" s="65" t="str">
        <f>IFERROR(IF('Informe Kelly'!H1202=$A$3,'Informe Kelly'!F1202,""),0)</f>
        <v/>
      </c>
      <c r="J1209" s="65" t="str">
        <f>IF(IFERROR(IF(E1209=E1208,0,(HLOOKUP(D1209,Ingreso!$AN$10:$AT$260,VLOOKUP(A1209,Ingreso!$AL$11:$AM$260,2,FALSE)))/24),0)=0,"",IFERROR(IF(E1209=E1208,0,(HLOOKUP(D1209,Ingreso!$AN$10:$AT$260,VLOOKUP(A1209,Ingreso!$AL$11:$AM$260,2,FALSE)))/24),0))</f>
        <v/>
      </c>
      <c r="K1209" s="65" t="str">
        <f>IF(IFERROR(IF(E1209=E1208,0,(HLOOKUP(C1209,Ingreso!$AW$10:$BC$260,VLOOKUP(A1209,Ingreso!$AL$11:$AM$260,2,FALSE)))/24),0)=0,"",IFERROR(IF(E1209=E1208,0,(HLOOKUP(C1209,Ingreso!$AW$10:$BC$260,VLOOKUP(A1209,Ingreso!$AL$11:$AM$260,2,FALSE)))/24),0))</f>
        <v/>
      </c>
      <c r="L1209" s="63">
        <f t="shared" si="36"/>
        <v>0</v>
      </c>
      <c r="M1209" s="63" t="str">
        <f>IF(IFERROR(IF(C1209=C1207,0,IF(E1209=E1208,0,IF(C1209=$R$2,HLOOKUP($R$2,Ingreso!$AW$10:$BC$260,VLOOKUP(A1209,Ingreso!AL:AM,2,FALSE),FALSE)/24,""))),"")=0,"",IFERROR(IF(C1209=C1207,0,IF(E1209=E1208,0,IF(C1209=$R$2,HLOOKUP($R$2,Ingreso!$AW$10:$BC$260,VLOOKUP(A1209,Ingreso!AL:AM,2,FALSE),FALSE)/24,""))),""))</f>
        <v/>
      </c>
      <c r="N1209" s="95" t="str">
        <f>IF(IFERROR(IF(C1209=C1207,0,IF(E1209=E1208,0,IF(C1209=$R$3,HLOOKUP($R$3,Ingreso!$AW$10:$BC$260,VLOOKUP(A1209,Ingreso!AL:AM,2,FALSE),FALSE)/24,""))),"")=0,"",IFERROR(IF(C1209=C1207,0,IF(E1209=E1208,0,IF(C1209=$R$3,HLOOKUP($R$3,Ingreso!$AW$10:$BC$260,VLOOKUP(A1209,Ingreso!AL:AM,2,FALSE),FALSE)/24,""))),""))</f>
        <v/>
      </c>
      <c r="O1209" s="95" t="str">
        <f>IF(IFERROR(IF(C1209=C1207,0,IF(E1209=E1208,0,IF(C1209=$R$4,HLOOKUP($R$4,Ingreso!$AW$10:$BC$260,VLOOKUP(A1209,Ingreso!AL:AM,2,FALSE),FALSE)/24,""))),"")=0,"",IFERROR(IF(C1209=C1207,0,IF(E1209=E1208,0,IF(C1209=$R$4,HLOOKUP($R$4,Ingreso!$AW$10:$BC$260,VLOOKUP(A1209,Ingreso!AL:AM,2,FALSE),FALSE)/24,""))),""))</f>
        <v/>
      </c>
      <c r="P1209" s="90"/>
      <c r="V1209"/>
      <c r="W1209" s="62"/>
      <c r="X1209" s="62"/>
      <c r="Y1209" s="62"/>
      <c r="Z1209" s="62"/>
      <c r="AA1209" s="62"/>
      <c r="AB1209" s="62"/>
      <c r="AC1209" s="62"/>
    </row>
    <row r="1210" spans="1:29">
      <c r="A1210" s="65" t="str">
        <f>IFERROR(VLOOKUP('Informe Kelly'!A1203,Base!A:B,2,FALSE),"")</f>
        <v/>
      </c>
      <c r="B1210" s="65" t="str">
        <f>IFERROR(VLOOKUP('Informe Kelly'!A1203,Base!A:G,7,FALSE),"")</f>
        <v/>
      </c>
      <c r="C1210" s="69">
        <f>IF(G1210=$C$4,IF('Informe Kelly'!H1203='Control informe Kelly'!$A$2,TEXT(((LEFT('Informe Kelly'!E1203,2)*1)+1),"dd")&amp;"."&amp;MID('Informe Kelly'!E1203,4,2)&amp;"."&amp;RIGHT('Informe Kelly'!E1203,4),'Informe Kelly'!E1203),'Informe Kelly'!E1203)</f>
        <v>0</v>
      </c>
      <c r="D1210" s="69" t="str">
        <f>IF('Informe Kelly'!E1203="","",'Informe Kelly'!E1203)</f>
        <v/>
      </c>
      <c r="E1210" s="72">
        <f t="shared" si="37"/>
        <v>581</v>
      </c>
      <c r="F1210" s="72" t="str">
        <f>IFERROR(HLOOKUP(C1210,Ingreso!$Q$8:$AD$9,2,FALSE),"v")</f>
        <v>v</v>
      </c>
      <c r="G1210" s="65" t="str">
        <f>IFERROR(VLOOKUP(A1210,Ingreso!K:P,6,FALSE),"no esta ingresado")</f>
        <v>no esta ingresado</v>
      </c>
      <c r="H1210" s="65" t="str">
        <f>IFERROR(IF('Informe Kelly'!H1203=$A$2,'Informe Kelly'!F1203,""),0)</f>
        <v/>
      </c>
      <c r="I1210" s="65" t="str">
        <f>IFERROR(IF('Informe Kelly'!H1203=$A$3,'Informe Kelly'!F1203,""),0)</f>
        <v/>
      </c>
      <c r="J1210" s="65" t="str">
        <f>IF(IFERROR(IF(E1210=E1209,0,(HLOOKUP(D1210,Ingreso!$AN$10:$AT$260,VLOOKUP(A1210,Ingreso!$AL$11:$AM$260,2,FALSE)))/24),0)=0,"",IFERROR(IF(E1210=E1209,0,(HLOOKUP(D1210,Ingreso!$AN$10:$AT$260,VLOOKUP(A1210,Ingreso!$AL$11:$AM$260,2,FALSE)))/24),0))</f>
        <v/>
      </c>
      <c r="K1210" s="65" t="str">
        <f>IF(IFERROR(IF(E1210=E1209,0,(HLOOKUP(C1210,Ingreso!$AW$10:$BC$260,VLOOKUP(A1210,Ingreso!$AL$11:$AM$260,2,FALSE)))/24),0)=0,"",IFERROR(IF(E1210=E1209,0,(HLOOKUP(C1210,Ingreso!$AW$10:$BC$260,VLOOKUP(A1210,Ingreso!$AL$11:$AM$260,2,FALSE)))/24),0))</f>
        <v/>
      </c>
      <c r="L1210" s="63">
        <f t="shared" si="36"/>
        <v>0</v>
      </c>
      <c r="M1210" s="63" t="str">
        <f>IF(IFERROR(IF(C1210=C1208,0,IF(E1210=E1209,0,IF(C1210=$R$2,HLOOKUP($R$2,Ingreso!$AW$10:$BC$260,VLOOKUP(A1210,Ingreso!AL:AM,2,FALSE),FALSE)/24,""))),"")=0,"",IFERROR(IF(C1210=C1208,0,IF(E1210=E1209,0,IF(C1210=$R$2,HLOOKUP($R$2,Ingreso!$AW$10:$BC$260,VLOOKUP(A1210,Ingreso!AL:AM,2,FALSE),FALSE)/24,""))),""))</f>
        <v/>
      </c>
      <c r="N1210" s="95" t="str">
        <f>IF(IFERROR(IF(C1210=C1208,0,IF(E1210=E1209,0,IF(C1210=$R$3,HLOOKUP($R$3,Ingreso!$AW$10:$BC$260,VLOOKUP(A1210,Ingreso!AL:AM,2,FALSE),FALSE)/24,""))),"")=0,"",IFERROR(IF(C1210=C1208,0,IF(E1210=E1209,0,IF(C1210=$R$3,HLOOKUP($R$3,Ingreso!$AW$10:$BC$260,VLOOKUP(A1210,Ingreso!AL:AM,2,FALSE),FALSE)/24,""))),""))</f>
        <v/>
      </c>
      <c r="O1210" s="95" t="str">
        <f>IF(IFERROR(IF(C1210=C1208,0,IF(E1210=E1209,0,IF(C1210=$R$4,HLOOKUP($R$4,Ingreso!$AW$10:$BC$260,VLOOKUP(A1210,Ingreso!AL:AM,2,FALSE),FALSE)/24,""))),"")=0,"",IFERROR(IF(C1210=C1208,0,IF(E1210=E1209,0,IF(C1210=$R$4,HLOOKUP($R$4,Ingreso!$AW$10:$BC$260,VLOOKUP(A1210,Ingreso!AL:AM,2,FALSE),FALSE)/24,""))),""))</f>
        <v/>
      </c>
      <c r="P1210" s="90"/>
      <c r="V1210"/>
      <c r="W1210" s="62"/>
      <c r="X1210" s="62"/>
      <c r="Y1210" s="62"/>
      <c r="Z1210" s="62"/>
      <c r="AA1210" s="62"/>
      <c r="AB1210" s="62"/>
      <c r="AC1210" s="62"/>
    </row>
    <row r="1211" spans="1:29">
      <c r="A1211" s="65" t="str">
        <f>IFERROR(VLOOKUP('Informe Kelly'!A1204,Base!A:B,2,FALSE),"")</f>
        <v/>
      </c>
      <c r="B1211" s="65" t="str">
        <f>IFERROR(VLOOKUP('Informe Kelly'!A1204,Base!A:G,7,FALSE),"")</f>
        <v/>
      </c>
      <c r="C1211" s="69">
        <f>IF(G1211=$C$4,IF('Informe Kelly'!H1204='Control informe Kelly'!$A$2,TEXT(((LEFT('Informe Kelly'!E1204,2)*1)+1),"dd")&amp;"."&amp;MID('Informe Kelly'!E1204,4,2)&amp;"."&amp;RIGHT('Informe Kelly'!E1204,4),'Informe Kelly'!E1204),'Informe Kelly'!E1204)</f>
        <v>0</v>
      </c>
      <c r="D1211" s="69" t="str">
        <f>IF('Informe Kelly'!E1204="","",'Informe Kelly'!E1204)</f>
        <v/>
      </c>
      <c r="E1211" s="72">
        <f t="shared" si="37"/>
        <v>581</v>
      </c>
      <c r="F1211" s="72" t="str">
        <f>IFERROR(HLOOKUP(C1211,Ingreso!$Q$8:$AD$9,2,FALSE),"v")</f>
        <v>v</v>
      </c>
      <c r="G1211" s="65" t="str">
        <f>IFERROR(VLOOKUP(A1211,Ingreso!K:P,6,FALSE),"no esta ingresado")</f>
        <v>no esta ingresado</v>
      </c>
      <c r="H1211" s="65" t="str">
        <f>IFERROR(IF('Informe Kelly'!H1204=$A$2,'Informe Kelly'!F1204,""),0)</f>
        <v/>
      </c>
      <c r="I1211" s="65" t="str">
        <f>IFERROR(IF('Informe Kelly'!H1204=$A$3,'Informe Kelly'!F1204,""),0)</f>
        <v/>
      </c>
      <c r="J1211" s="65" t="str">
        <f>IF(IFERROR(IF(E1211=E1210,0,(HLOOKUP(D1211,Ingreso!$AN$10:$AT$260,VLOOKUP(A1211,Ingreso!$AL$11:$AM$260,2,FALSE)))/24),0)=0,"",IFERROR(IF(E1211=E1210,0,(HLOOKUP(D1211,Ingreso!$AN$10:$AT$260,VLOOKUP(A1211,Ingreso!$AL$11:$AM$260,2,FALSE)))/24),0))</f>
        <v/>
      </c>
      <c r="K1211" s="65" t="str">
        <f>IF(IFERROR(IF(E1211=E1210,0,(HLOOKUP(C1211,Ingreso!$AW$10:$BC$260,VLOOKUP(A1211,Ingreso!$AL$11:$AM$260,2,FALSE)))/24),0)=0,"",IFERROR(IF(E1211=E1210,0,(HLOOKUP(C1211,Ingreso!$AW$10:$BC$260,VLOOKUP(A1211,Ingreso!$AL$11:$AM$260,2,FALSE)))/24),0))</f>
        <v/>
      </c>
      <c r="L1211" s="63">
        <f t="shared" si="36"/>
        <v>0</v>
      </c>
      <c r="M1211" s="63" t="str">
        <f>IF(IFERROR(IF(C1211=C1209,0,IF(E1211=E1210,0,IF(C1211=$R$2,HLOOKUP($R$2,Ingreso!$AW$10:$BC$260,VLOOKUP(A1211,Ingreso!AL:AM,2,FALSE),FALSE)/24,""))),"")=0,"",IFERROR(IF(C1211=C1209,0,IF(E1211=E1210,0,IF(C1211=$R$2,HLOOKUP($R$2,Ingreso!$AW$10:$BC$260,VLOOKUP(A1211,Ingreso!AL:AM,2,FALSE),FALSE)/24,""))),""))</f>
        <v/>
      </c>
      <c r="N1211" s="95" t="str">
        <f>IF(IFERROR(IF(C1211=C1209,0,IF(E1211=E1210,0,IF(C1211=$R$3,HLOOKUP($R$3,Ingreso!$AW$10:$BC$260,VLOOKUP(A1211,Ingreso!AL:AM,2,FALSE),FALSE)/24,""))),"")=0,"",IFERROR(IF(C1211=C1209,0,IF(E1211=E1210,0,IF(C1211=$R$3,HLOOKUP($R$3,Ingreso!$AW$10:$BC$260,VLOOKUP(A1211,Ingreso!AL:AM,2,FALSE),FALSE)/24,""))),""))</f>
        <v/>
      </c>
      <c r="O1211" s="95" t="str">
        <f>IF(IFERROR(IF(C1211=C1209,0,IF(E1211=E1210,0,IF(C1211=$R$4,HLOOKUP($R$4,Ingreso!$AW$10:$BC$260,VLOOKUP(A1211,Ingreso!AL:AM,2,FALSE),FALSE)/24,""))),"")=0,"",IFERROR(IF(C1211=C1209,0,IF(E1211=E1210,0,IF(C1211=$R$4,HLOOKUP($R$4,Ingreso!$AW$10:$BC$260,VLOOKUP(A1211,Ingreso!AL:AM,2,FALSE),FALSE)/24,""))),""))</f>
        <v/>
      </c>
      <c r="P1211" s="90"/>
      <c r="V1211"/>
      <c r="W1211" s="62"/>
      <c r="X1211" s="62"/>
      <c r="Y1211" s="62"/>
      <c r="Z1211" s="62"/>
      <c r="AA1211" s="62"/>
      <c r="AB1211" s="62"/>
      <c r="AC1211" s="62"/>
    </row>
    <row r="1212" spans="1:29">
      <c r="A1212" s="65" t="str">
        <f>IFERROR(VLOOKUP('Informe Kelly'!A1205,Base!A:B,2,FALSE),"")</f>
        <v/>
      </c>
      <c r="B1212" s="65" t="str">
        <f>IFERROR(VLOOKUP('Informe Kelly'!A1205,Base!A:G,7,FALSE),"")</f>
        <v/>
      </c>
      <c r="C1212" s="69">
        <f>IF(G1212=$C$4,IF('Informe Kelly'!H1205='Control informe Kelly'!$A$2,TEXT(((LEFT('Informe Kelly'!E1205,2)*1)+1),"dd")&amp;"."&amp;MID('Informe Kelly'!E1205,4,2)&amp;"."&amp;RIGHT('Informe Kelly'!E1205,4),'Informe Kelly'!E1205),'Informe Kelly'!E1205)</f>
        <v>0</v>
      </c>
      <c r="D1212" s="69" t="str">
        <f>IF('Informe Kelly'!E1205="","",'Informe Kelly'!E1205)</f>
        <v/>
      </c>
      <c r="E1212" s="72">
        <f t="shared" si="37"/>
        <v>581</v>
      </c>
      <c r="F1212" s="72" t="str">
        <f>IFERROR(HLOOKUP(C1212,Ingreso!$Q$8:$AD$9,2,FALSE),"v")</f>
        <v>v</v>
      </c>
      <c r="G1212" s="65" t="str">
        <f>IFERROR(VLOOKUP(A1212,Ingreso!K:P,6,FALSE),"no esta ingresado")</f>
        <v>no esta ingresado</v>
      </c>
      <c r="H1212" s="65" t="str">
        <f>IFERROR(IF('Informe Kelly'!H1205=$A$2,'Informe Kelly'!F1205,""),0)</f>
        <v/>
      </c>
      <c r="I1212" s="65" t="str">
        <f>IFERROR(IF('Informe Kelly'!H1205=$A$3,'Informe Kelly'!F1205,""),0)</f>
        <v/>
      </c>
      <c r="J1212" s="65" t="str">
        <f>IF(IFERROR(IF(E1212=E1211,0,(HLOOKUP(D1212,Ingreso!$AN$10:$AT$260,VLOOKUP(A1212,Ingreso!$AL$11:$AM$260,2,FALSE)))/24),0)=0,"",IFERROR(IF(E1212=E1211,0,(HLOOKUP(D1212,Ingreso!$AN$10:$AT$260,VLOOKUP(A1212,Ingreso!$AL$11:$AM$260,2,FALSE)))/24),0))</f>
        <v/>
      </c>
      <c r="K1212" s="65" t="str">
        <f>IF(IFERROR(IF(E1212=E1211,0,(HLOOKUP(C1212,Ingreso!$AW$10:$BC$260,VLOOKUP(A1212,Ingreso!$AL$11:$AM$260,2,FALSE)))/24),0)=0,"",IFERROR(IF(E1212=E1211,0,(HLOOKUP(C1212,Ingreso!$AW$10:$BC$260,VLOOKUP(A1212,Ingreso!$AL$11:$AM$260,2,FALSE)))/24),0))</f>
        <v/>
      </c>
      <c r="L1212" s="63">
        <f t="shared" si="36"/>
        <v>0</v>
      </c>
      <c r="M1212" s="63" t="str">
        <f>IF(IFERROR(IF(C1212=C1210,0,IF(E1212=E1211,0,IF(C1212=$R$2,HLOOKUP($R$2,Ingreso!$AW$10:$BC$260,VLOOKUP(A1212,Ingreso!AL:AM,2,FALSE),FALSE)/24,""))),"")=0,"",IFERROR(IF(C1212=C1210,0,IF(E1212=E1211,0,IF(C1212=$R$2,HLOOKUP($R$2,Ingreso!$AW$10:$BC$260,VLOOKUP(A1212,Ingreso!AL:AM,2,FALSE),FALSE)/24,""))),""))</f>
        <v/>
      </c>
      <c r="N1212" s="95" t="str">
        <f>IF(IFERROR(IF(C1212=C1210,0,IF(E1212=E1211,0,IF(C1212=$R$3,HLOOKUP($R$3,Ingreso!$AW$10:$BC$260,VLOOKUP(A1212,Ingreso!AL:AM,2,FALSE),FALSE)/24,""))),"")=0,"",IFERROR(IF(C1212=C1210,0,IF(E1212=E1211,0,IF(C1212=$R$3,HLOOKUP($R$3,Ingreso!$AW$10:$BC$260,VLOOKUP(A1212,Ingreso!AL:AM,2,FALSE),FALSE)/24,""))),""))</f>
        <v/>
      </c>
      <c r="O1212" s="95" t="str">
        <f>IF(IFERROR(IF(C1212=C1210,0,IF(E1212=E1211,0,IF(C1212=$R$4,HLOOKUP($R$4,Ingreso!$AW$10:$BC$260,VLOOKUP(A1212,Ingreso!AL:AM,2,FALSE),FALSE)/24,""))),"")=0,"",IFERROR(IF(C1212=C1210,0,IF(E1212=E1211,0,IF(C1212=$R$4,HLOOKUP($R$4,Ingreso!$AW$10:$BC$260,VLOOKUP(A1212,Ingreso!AL:AM,2,FALSE),FALSE)/24,""))),""))</f>
        <v/>
      </c>
      <c r="P1212" s="90"/>
      <c r="V1212"/>
      <c r="W1212" s="62"/>
      <c r="X1212" s="62"/>
      <c r="Y1212" s="62"/>
      <c r="Z1212" s="62"/>
      <c r="AA1212" s="62"/>
      <c r="AB1212" s="62"/>
      <c r="AC1212" s="62"/>
    </row>
    <row r="1213" spans="1:29">
      <c r="A1213" s="65" t="str">
        <f>IFERROR(VLOOKUP('Informe Kelly'!A1206,Base!A:B,2,FALSE),"")</f>
        <v/>
      </c>
      <c r="B1213" s="65" t="str">
        <f>IFERROR(VLOOKUP('Informe Kelly'!A1206,Base!A:G,7,FALSE),"")</f>
        <v/>
      </c>
      <c r="C1213" s="69">
        <f>IF(G1213=$C$4,IF('Informe Kelly'!H1206='Control informe Kelly'!$A$2,TEXT(((LEFT('Informe Kelly'!E1206,2)*1)+1),"dd")&amp;"."&amp;MID('Informe Kelly'!E1206,4,2)&amp;"."&amp;RIGHT('Informe Kelly'!E1206,4),'Informe Kelly'!E1206),'Informe Kelly'!E1206)</f>
        <v>0</v>
      </c>
      <c r="D1213" s="69" t="str">
        <f>IF('Informe Kelly'!E1206="","",'Informe Kelly'!E1206)</f>
        <v/>
      </c>
      <c r="E1213" s="72">
        <f t="shared" si="37"/>
        <v>581</v>
      </c>
      <c r="F1213" s="72" t="str">
        <f>IFERROR(HLOOKUP(C1213,Ingreso!$Q$8:$AD$9,2,FALSE),"v")</f>
        <v>v</v>
      </c>
      <c r="G1213" s="65" t="str">
        <f>IFERROR(VLOOKUP(A1213,Ingreso!K:P,6,FALSE),"no esta ingresado")</f>
        <v>no esta ingresado</v>
      </c>
      <c r="H1213" s="65" t="str">
        <f>IFERROR(IF('Informe Kelly'!H1206=$A$2,'Informe Kelly'!F1206,""),0)</f>
        <v/>
      </c>
      <c r="I1213" s="65" t="str">
        <f>IFERROR(IF('Informe Kelly'!H1206=$A$3,'Informe Kelly'!F1206,""),0)</f>
        <v/>
      </c>
      <c r="J1213" s="65" t="str">
        <f>IF(IFERROR(IF(E1213=E1212,0,(HLOOKUP(D1213,Ingreso!$AN$10:$AT$260,VLOOKUP(A1213,Ingreso!$AL$11:$AM$260,2,FALSE)))/24),0)=0,"",IFERROR(IF(E1213=E1212,0,(HLOOKUP(D1213,Ingreso!$AN$10:$AT$260,VLOOKUP(A1213,Ingreso!$AL$11:$AM$260,2,FALSE)))/24),0))</f>
        <v/>
      </c>
      <c r="K1213" s="65" t="str">
        <f>IF(IFERROR(IF(E1213=E1212,0,(HLOOKUP(C1213,Ingreso!$AW$10:$BC$260,VLOOKUP(A1213,Ingreso!$AL$11:$AM$260,2,FALSE)))/24),0)=0,"",IFERROR(IF(E1213=E1212,0,(HLOOKUP(C1213,Ingreso!$AW$10:$BC$260,VLOOKUP(A1213,Ingreso!$AL$11:$AM$260,2,FALSE)))/24),0))</f>
        <v/>
      </c>
      <c r="L1213" s="63">
        <f t="shared" si="36"/>
        <v>0</v>
      </c>
      <c r="M1213" s="63" t="str">
        <f>IF(IFERROR(IF(C1213=C1211,0,IF(E1213=E1212,0,IF(C1213=$R$2,HLOOKUP($R$2,Ingreso!$AW$10:$BC$260,VLOOKUP(A1213,Ingreso!AL:AM,2,FALSE),FALSE)/24,""))),"")=0,"",IFERROR(IF(C1213=C1211,0,IF(E1213=E1212,0,IF(C1213=$R$2,HLOOKUP($R$2,Ingreso!$AW$10:$BC$260,VLOOKUP(A1213,Ingreso!AL:AM,2,FALSE),FALSE)/24,""))),""))</f>
        <v/>
      </c>
      <c r="N1213" s="95" t="str">
        <f>IF(IFERROR(IF(C1213=C1211,0,IF(E1213=E1212,0,IF(C1213=$R$3,HLOOKUP($R$3,Ingreso!$AW$10:$BC$260,VLOOKUP(A1213,Ingreso!AL:AM,2,FALSE),FALSE)/24,""))),"")=0,"",IFERROR(IF(C1213=C1211,0,IF(E1213=E1212,0,IF(C1213=$R$3,HLOOKUP($R$3,Ingreso!$AW$10:$BC$260,VLOOKUP(A1213,Ingreso!AL:AM,2,FALSE),FALSE)/24,""))),""))</f>
        <v/>
      </c>
      <c r="O1213" s="95" t="str">
        <f>IF(IFERROR(IF(C1213=C1211,0,IF(E1213=E1212,0,IF(C1213=$R$4,HLOOKUP($R$4,Ingreso!$AW$10:$BC$260,VLOOKUP(A1213,Ingreso!AL:AM,2,FALSE),FALSE)/24,""))),"")=0,"",IFERROR(IF(C1213=C1211,0,IF(E1213=E1212,0,IF(C1213=$R$4,HLOOKUP($R$4,Ingreso!$AW$10:$BC$260,VLOOKUP(A1213,Ingreso!AL:AM,2,FALSE),FALSE)/24,""))),""))</f>
        <v/>
      </c>
      <c r="P1213" s="90"/>
      <c r="V1213"/>
      <c r="W1213" s="62"/>
      <c r="X1213" s="62"/>
      <c r="Y1213" s="62"/>
      <c r="Z1213" s="62"/>
      <c r="AA1213" s="62"/>
      <c r="AB1213" s="62"/>
      <c r="AC1213" s="62"/>
    </row>
    <row r="1214" spans="1:29">
      <c r="A1214" s="65" t="str">
        <f>IFERROR(VLOOKUP('Informe Kelly'!A1207,Base!A:B,2,FALSE),"")</f>
        <v/>
      </c>
      <c r="B1214" s="65" t="str">
        <f>IFERROR(VLOOKUP('Informe Kelly'!A1207,Base!A:G,7,FALSE),"")</f>
        <v/>
      </c>
      <c r="C1214" s="69">
        <f>IF(G1214=$C$4,IF('Informe Kelly'!H1207='Control informe Kelly'!$A$2,TEXT(((LEFT('Informe Kelly'!E1207,2)*1)+1),"dd")&amp;"."&amp;MID('Informe Kelly'!E1207,4,2)&amp;"."&amp;RIGHT('Informe Kelly'!E1207,4),'Informe Kelly'!E1207),'Informe Kelly'!E1207)</f>
        <v>0</v>
      </c>
      <c r="D1214" s="69" t="str">
        <f>IF('Informe Kelly'!E1207="","",'Informe Kelly'!E1207)</f>
        <v/>
      </c>
      <c r="E1214" s="72">
        <f t="shared" si="37"/>
        <v>581</v>
      </c>
      <c r="F1214" s="72" t="str">
        <f>IFERROR(HLOOKUP(C1214,Ingreso!$Q$8:$AD$9,2,FALSE),"v")</f>
        <v>v</v>
      </c>
      <c r="G1214" s="65" t="str">
        <f>IFERROR(VLOOKUP(A1214,Ingreso!K:P,6,FALSE),"no esta ingresado")</f>
        <v>no esta ingresado</v>
      </c>
      <c r="H1214" s="65" t="str">
        <f>IFERROR(IF('Informe Kelly'!H1207=$A$2,'Informe Kelly'!F1207,""),0)</f>
        <v/>
      </c>
      <c r="I1214" s="65" t="str">
        <f>IFERROR(IF('Informe Kelly'!H1207=$A$3,'Informe Kelly'!F1207,""),0)</f>
        <v/>
      </c>
      <c r="J1214" s="65" t="str">
        <f>IF(IFERROR(IF(E1214=E1213,0,(HLOOKUP(D1214,Ingreso!$AN$10:$AT$260,VLOOKUP(A1214,Ingreso!$AL$11:$AM$260,2,FALSE)))/24),0)=0,"",IFERROR(IF(E1214=E1213,0,(HLOOKUP(D1214,Ingreso!$AN$10:$AT$260,VLOOKUP(A1214,Ingreso!$AL$11:$AM$260,2,FALSE)))/24),0))</f>
        <v/>
      </c>
      <c r="K1214" s="65" t="str">
        <f>IF(IFERROR(IF(E1214=E1213,0,(HLOOKUP(C1214,Ingreso!$AW$10:$BC$260,VLOOKUP(A1214,Ingreso!$AL$11:$AM$260,2,FALSE)))/24),0)=0,"",IFERROR(IF(E1214=E1213,0,(HLOOKUP(C1214,Ingreso!$AW$10:$BC$260,VLOOKUP(A1214,Ingreso!$AL$11:$AM$260,2,FALSE)))/24),0))</f>
        <v/>
      </c>
      <c r="L1214" s="63">
        <f t="shared" si="36"/>
        <v>0</v>
      </c>
      <c r="M1214" s="63" t="str">
        <f>IF(IFERROR(IF(C1214=C1212,0,IF(E1214=E1213,0,IF(C1214=$R$2,HLOOKUP($R$2,Ingreso!$AW$10:$BC$260,VLOOKUP(A1214,Ingreso!AL:AM,2,FALSE),FALSE)/24,""))),"")=0,"",IFERROR(IF(C1214=C1212,0,IF(E1214=E1213,0,IF(C1214=$R$2,HLOOKUP($R$2,Ingreso!$AW$10:$BC$260,VLOOKUP(A1214,Ingreso!AL:AM,2,FALSE),FALSE)/24,""))),""))</f>
        <v/>
      </c>
      <c r="N1214" s="95" t="str">
        <f>IF(IFERROR(IF(C1214=C1212,0,IF(E1214=E1213,0,IF(C1214=$R$3,HLOOKUP($R$3,Ingreso!$AW$10:$BC$260,VLOOKUP(A1214,Ingreso!AL:AM,2,FALSE),FALSE)/24,""))),"")=0,"",IFERROR(IF(C1214=C1212,0,IF(E1214=E1213,0,IF(C1214=$R$3,HLOOKUP($R$3,Ingreso!$AW$10:$BC$260,VLOOKUP(A1214,Ingreso!AL:AM,2,FALSE),FALSE)/24,""))),""))</f>
        <v/>
      </c>
      <c r="O1214" s="95" t="str">
        <f>IF(IFERROR(IF(C1214=C1212,0,IF(E1214=E1213,0,IF(C1214=$R$4,HLOOKUP($R$4,Ingreso!$AW$10:$BC$260,VLOOKUP(A1214,Ingreso!AL:AM,2,FALSE),FALSE)/24,""))),"")=0,"",IFERROR(IF(C1214=C1212,0,IF(E1214=E1213,0,IF(C1214=$R$4,HLOOKUP($R$4,Ingreso!$AW$10:$BC$260,VLOOKUP(A1214,Ingreso!AL:AM,2,FALSE),FALSE)/24,""))),""))</f>
        <v/>
      </c>
      <c r="P1214" s="90"/>
      <c r="V1214"/>
      <c r="W1214" s="62"/>
      <c r="X1214" s="62"/>
      <c r="Y1214" s="62"/>
      <c r="Z1214" s="62"/>
      <c r="AA1214" s="62"/>
      <c r="AB1214" s="62"/>
      <c r="AC1214" s="62"/>
    </row>
    <row r="1215" spans="1:29">
      <c r="A1215" s="65" t="str">
        <f>IFERROR(VLOOKUP('Informe Kelly'!A1208,Base!A:B,2,FALSE),"")</f>
        <v/>
      </c>
      <c r="B1215" s="65" t="str">
        <f>IFERROR(VLOOKUP('Informe Kelly'!A1208,Base!A:G,7,FALSE),"")</f>
        <v/>
      </c>
      <c r="C1215" s="69">
        <f>IF(G1215=$C$4,IF('Informe Kelly'!H1208='Control informe Kelly'!$A$2,TEXT(((LEFT('Informe Kelly'!E1208,2)*1)+1),"dd")&amp;"."&amp;MID('Informe Kelly'!E1208,4,2)&amp;"."&amp;RIGHT('Informe Kelly'!E1208,4),'Informe Kelly'!E1208),'Informe Kelly'!E1208)</f>
        <v>0</v>
      </c>
      <c r="D1215" s="69" t="str">
        <f>IF('Informe Kelly'!E1208="","",'Informe Kelly'!E1208)</f>
        <v/>
      </c>
      <c r="E1215" s="72">
        <f t="shared" si="37"/>
        <v>581</v>
      </c>
      <c r="F1215" s="72" t="str">
        <f>IFERROR(HLOOKUP(C1215,Ingreso!$Q$8:$AD$9,2,FALSE),"v")</f>
        <v>v</v>
      </c>
      <c r="G1215" s="65" t="str">
        <f>IFERROR(VLOOKUP(A1215,Ingreso!K:P,6,FALSE),"no esta ingresado")</f>
        <v>no esta ingresado</v>
      </c>
      <c r="H1215" s="65" t="str">
        <f>IFERROR(IF('Informe Kelly'!H1208=$A$2,'Informe Kelly'!F1208,""),0)</f>
        <v/>
      </c>
      <c r="I1215" s="65" t="str">
        <f>IFERROR(IF('Informe Kelly'!H1208=$A$3,'Informe Kelly'!F1208,""),0)</f>
        <v/>
      </c>
      <c r="J1215" s="65" t="str">
        <f>IF(IFERROR(IF(E1215=E1214,0,(HLOOKUP(D1215,Ingreso!$AN$10:$AT$260,VLOOKUP(A1215,Ingreso!$AL$11:$AM$260,2,FALSE)))/24),0)=0,"",IFERROR(IF(E1215=E1214,0,(HLOOKUP(D1215,Ingreso!$AN$10:$AT$260,VLOOKUP(A1215,Ingreso!$AL$11:$AM$260,2,FALSE)))/24),0))</f>
        <v/>
      </c>
      <c r="K1215" s="65" t="str">
        <f>IF(IFERROR(IF(E1215=E1214,0,(HLOOKUP(C1215,Ingreso!$AW$10:$BC$260,VLOOKUP(A1215,Ingreso!$AL$11:$AM$260,2,FALSE)))/24),0)=0,"",IFERROR(IF(E1215=E1214,0,(HLOOKUP(C1215,Ingreso!$AW$10:$BC$260,VLOOKUP(A1215,Ingreso!$AL$11:$AM$260,2,FALSE)))/24),0))</f>
        <v/>
      </c>
      <c r="L1215" s="63">
        <f t="shared" si="36"/>
        <v>0</v>
      </c>
      <c r="M1215" s="63" t="str">
        <f>IF(IFERROR(IF(C1215=C1213,0,IF(E1215=E1214,0,IF(C1215=$R$2,HLOOKUP($R$2,Ingreso!$AW$10:$BC$260,VLOOKUP(A1215,Ingreso!AL:AM,2,FALSE),FALSE)/24,""))),"")=0,"",IFERROR(IF(C1215=C1213,0,IF(E1215=E1214,0,IF(C1215=$R$2,HLOOKUP($R$2,Ingreso!$AW$10:$BC$260,VLOOKUP(A1215,Ingreso!AL:AM,2,FALSE),FALSE)/24,""))),""))</f>
        <v/>
      </c>
      <c r="N1215" s="95" t="str">
        <f>IF(IFERROR(IF(C1215=C1213,0,IF(E1215=E1214,0,IF(C1215=$R$3,HLOOKUP($R$3,Ingreso!$AW$10:$BC$260,VLOOKUP(A1215,Ingreso!AL:AM,2,FALSE),FALSE)/24,""))),"")=0,"",IFERROR(IF(C1215=C1213,0,IF(E1215=E1214,0,IF(C1215=$R$3,HLOOKUP($R$3,Ingreso!$AW$10:$BC$260,VLOOKUP(A1215,Ingreso!AL:AM,2,FALSE),FALSE)/24,""))),""))</f>
        <v/>
      </c>
      <c r="O1215" s="95" t="str">
        <f>IF(IFERROR(IF(C1215=C1213,0,IF(E1215=E1214,0,IF(C1215=$R$4,HLOOKUP($R$4,Ingreso!$AW$10:$BC$260,VLOOKUP(A1215,Ingreso!AL:AM,2,FALSE),FALSE)/24,""))),"")=0,"",IFERROR(IF(C1215=C1213,0,IF(E1215=E1214,0,IF(C1215=$R$4,HLOOKUP($R$4,Ingreso!$AW$10:$BC$260,VLOOKUP(A1215,Ingreso!AL:AM,2,FALSE),FALSE)/24,""))),""))</f>
        <v/>
      </c>
      <c r="P1215" s="90"/>
      <c r="V1215"/>
      <c r="W1215" s="62"/>
      <c r="X1215" s="62"/>
      <c r="Y1215" s="62"/>
      <c r="Z1215" s="62"/>
      <c r="AA1215" s="62"/>
      <c r="AB1215" s="62"/>
      <c r="AC1215" s="62"/>
    </row>
    <row r="1216" spans="1:29">
      <c r="A1216" s="65" t="str">
        <f>IFERROR(VLOOKUP('Informe Kelly'!A1209,Base!A:B,2,FALSE),"")</f>
        <v/>
      </c>
      <c r="B1216" s="65" t="str">
        <f>IFERROR(VLOOKUP('Informe Kelly'!A1209,Base!A:G,7,FALSE),"")</f>
        <v/>
      </c>
      <c r="C1216" s="69">
        <f>IF(G1216=$C$4,IF('Informe Kelly'!H1209='Control informe Kelly'!$A$2,TEXT(((LEFT('Informe Kelly'!E1209,2)*1)+1),"dd")&amp;"."&amp;MID('Informe Kelly'!E1209,4,2)&amp;"."&amp;RIGHT('Informe Kelly'!E1209,4),'Informe Kelly'!E1209),'Informe Kelly'!E1209)</f>
        <v>0</v>
      </c>
      <c r="D1216" s="69" t="str">
        <f>IF('Informe Kelly'!E1209="","",'Informe Kelly'!E1209)</f>
        <v/>
      </c>
      <c r="E1216" s="72">
        <f t="shared" si="37"/>
        <v>581</v>
      </c>
      <c r="F1216" s="72" t="str">
        <f>IFERROR(HLOOKUP(C1216,Ingreso!$Q$8:$AD$9,2,FALSE),"v")</f>
        <v>v</v>
      </c>
      <c r="G1216" s="65" t="str">
        <f>IFERROR(VLOOKUP(A1216,Ingreso!K:P,6,FALSE),"no esta ingresado")</f>
        <v>no esta ingresado</v>
      </c>
      <c r="H1216" s="65" t="str">
        <f>IFERROR(IF('Informe Kelly'!H1209=$A$2,'Informe Kelly'!F1209,""),0)</f>
        <v/>
      </c>
      <c r="I1216" s="65" t="str">
        <f>IFERROR(IF('Informe Kelly'!H1209=$A$3,'Informe Kelly'!F1209,""),0)</f>
        <v/>
      </c>
      <c r="J1216" s="65" t="str">
        <f>IF(IFERROR(IF(E1216=E1215,0,(HLOOKUP(D1216,Ingreso!$AN$10:$AT$260,VLOOKUP(A1216,Ingreso!$AL$11:$AM$260,2,FALSE)))/24),0)=0,"",IFERROR(IF(E1216=E1215,0,(HLOOKUP(D1216,Ingreso!$AN$10:$AT$260,VLOOKUP(A1216,Ingreso!$AL$11:$AM$260,2,FALSE)))/24),0))</f>
        <v/>
      </c>
      <c r="K1216" s="65" t="str">
        <f>IF(IFERROR(IF(E1216=E1215,0,(HLOOKUP(C1216,Ingreso!$AW$10:$BC$260,VLOOKUP(A1216,Ingreso!$AL$11:$AM$260,2,FALSE)))/24),0)=0,"",IFERROR(IF(E1216=E1215,0,(HLOOKUP(C1216,Ingreso!$AW$10:$BC$260,VLOOKUP(A1216,Ingreso!$AL$11:$AM$260,2,FALSE)))/24),0))</f>
        <v/>
      </c>
      <c r="L1216" s="63">
        <f t="shared" si="36"/>
        <v>0</v>
      </c>
      <c r="M1216" s="63" t="str">
        <f>IF(IFERROR(IF(C1216=C1214,0,IF(E1216=E1215,0,IF(C1216=$R$2,HLOOKUP($R$2,Ingreso!$AW$10:$BC$260,VLOOKUP(A1216,Ingreso!AL:AM,2,FALSE),FALSE)/24,""))),"")=0,"",IFERROR(IF(C1216=C1214,0,IF(E1216=E1215,0,IF(C1216=$R$2,HLOOKUP($R$2,Ingreso!$AW$10:$BC$260,VLOOKUP(A1216,Ingreso!AL:AM,2,FALSE),FALSE)/24,""))),""))</f>
        <v/>
      </c>
      <c r="N1216" s="95" t="str">
        <f>IF(IFERROR(IF(C1216=C1214,0,IF(E1216=E1215,0,IF(C1216=$R$3,HLOOKUP($R$3,Ingreso!$AW$10:$BC$260,VLOOKUP(A1216,Ingreso!AL:AM,2,FALSE),FALSE)/24,""))),"")=0,"",IFERROR(IF(C1216=C1214,0,IF(E1216=E1215,0,IF(C1216=$R$3,HLOOKUP($R$3,Ingreso!$AW$10:$BC$260,VLOOKUP(A1216,Ingreso!AL:AM,2,FALSE),FALSE)/24,""))),""))</f>
        <v/>
      </c>
      <c r="O1216" s="95" t="str">
        <f>IF(IFERROR(IF(C1216=C1214,0,IF(E1216=E1215,0,IF(C1216=$R$4,HLOOKUP($R$4,Ingreso!$AW$10:$BC$260,VLOOKUP(A1216,Ingreso!AL:AM,2,FALSE),FALSE)/24,""))),"")=0,"",IFERROR(IF(C1216=C1214,0,IF(E1216=E1215,0,IF(C1216=$R$4,HLOOKUP($R$4,Ingreso!$AW$10:$BC$260,VLOOKUP(A1216,Ingreso!AL:AM,2,FALSE),FALSE)/24,""))),""))</f>
        <v/>
      </c>
      <c r="P1216" s="90"/>
      <c r="V1216"/>
      <c r="W1216" s="62"/>
      <c r="X1216" s="62"/>
      <c r="Y1216" s="62"/>
      <c r="Z1216" s="62"/>
      <c r="AA1216" s="62"/>
      <c r="AB1216" s="62"/>
      <c r="AC1216" s="62"/>
    </row>
    <row r="1217" spans="1:29">
      <c r="A1217" s="65" t="str">
        <f>IFERROR(VLOOKUP('Informe Kelly'!A1210,Base!A:B,2,FALSE),"")</f>
        <v/>
      </c>
      <c r="B1217" s="65" t="str">
        <f>IFERROR(VLOOKUP('Informe Kelly'!A1210,Base!A:G,7,FALSE),"")</f>
        <v/>
      </c>
      <c r="C1217" s="69">
        <f>IF(G1217=$C$4,IF('Informe Kelly'!H1210='Control informe Kelly'!$A$2,TEXT(((LEFT('Informe Kelly'!E1210,2)*1)+1),"dd")&amp;"."&amp;MID('Informe Kelly'!E1210,4,2)&amp;"."&amp;RIGHT('Informe Kelly'!E1210,4),'Informe Kelly'!E1210),'Informe Kelly'!E1210)</f>
        <v>0</v>
      </c>
      <c r="D1217" s="69" t="str">
        <f>IF('Informe Kelly'!E1210="","",'Informe Kelly'!E1210)</f>
        <v/>
      </c>
      <c r="E1217" s="72">
        <f t="shared" si="37"/>
        <v>581</v>
      </c>
      <c r="F1217" s="72" t="str">
        <f>IFERROR(HLOOKUP(C1217,Ingreso!$Q$8:$AD$9,2,FALSE),"v")</f>
        <v>v</v>
      </c>
      <c r="G1217" s="65" t="str">
        <f>IFERROR(VLOOKUP(A1217,Ingreso!K:P,6,FALSE),"no esta ingresado")</f>
        <v>no esta ingresado</v>
      </c>
      <c r="H1217" s="65" t="str">
        <f>IFERROR(IF('Informe Kelly'!H1210=$A$2,'Informe Kelly'!F1210,""),0)</f>
        <v/>
      </c>
      <c r="I1217" s="65" t="str">
        <f>IFERROR(IF('Informe Kelly'!H1210=$A$3,'Informe Kelly'!F1210,""),0)</f>
        <v/>
      </c>
      <c r="J1217" s="65" t="str">
        <f>IF(IFERROR(IF(E1217=E1216,0,(HLOOKUP(D1217,Ingreso!$AN$10:$AT$260,VLOOKUP(A1217,Ingreso!$AL$11:$AM$260,2,FALSE)))/24),0)=0,"",IFERROR(IF(E1217=E1216,0,(HLOOKUP(D1217,Ingreso!$AN$10:$AT$260,VLOOKUP(A1217,Ingreso!$AL$11:$AM$260,2,FALSE)))/24),0))</f>
        <v/>
      </c>
      <c r="K1217" s="65" t="str">
        <f>IF(IFERROR(IF(E1217=E1216,0,(HLOOKUP(C1217,Ingreso!$AW$10:$BC$260,VLOOKUP(A1217,Ingreso!$AL$11:$AM$260,2,FALSE)))/24),0)=0,"",IFERROR(IF(E1217=E1216,0,(HLOOKUP(C1217,Ingreso!$AW$10:$BC$260,VLOOKUP(A1217,Ingreso!$AL$11:$AM$260,2,FALSE)))/24),0))</f>
        <v/>
      </c>
      <c r="L1217" s="63">
        <f t="shared" si="36"/>
        <v>0</v>
      </c>
      <c r="M1217" s="63" t="str">
        <f>IF(IFERROR(IF(C1217=C1215,0,IF(E1217=E1216,0,IF(C1217=$R$2,HLOOKUP($R$2,Ingreso!$AW$10:$BC$260,VLOOKUP(A1217,Ingreso!AL:AM,2,FALSE),FALSE)/24,""))),"")=0,"",IFERROR(IF(C1217=C1215,0,IF(E1217=E1216,0,IF(C1217=$R$2,HLOOKUP($R$2,Ingreso!$AW$10:$BC$260,VLOOKUP(A1217,Ingreso!AL:AM,2,FALSE),FALSE)/24,""))),""))</f>
        <v/>
      </c>
      <c r="N1217" s="95" t="str">
        <f>IF(IFERROR(IF(C1217=C1215,0,IF(E1217=E1216,0,IF(C1217=$R$3,HLOOKUP($R$3,Ingreso!$AW$10:$BC$260,VLOOKUP(A1217,Ingreso!AL:AM,2,FALSE),FALSE)/24,""))),"")=0,"",IFERROR(IF(C1217=C1215,0,IF(E1217=E1216,0,IF(C1217=$R$3,HLOOKUP($R$3,Ingreso!$AW$10:$BC$260,VLOOKUP(A1217,Ingreso!AL:AM,2,FALSE),FALSE)/24,""))),""))</f>
        <v/>
      </c>
      <c r="O1217" s="95" t="str">
        <f>IF(IFERROR(IF(C1217=C1215,0,IF(E1217=E1216,0,IF(C1217=$R$4,HLOOKUP($R$4,Ingreso!$AW$10:$BC$260,VLOOKUP(A1217,Ingreso!AL:AM,2,FALSE),FALSE)/24,""))),"")=0,"",IFERROR(IF(C1217=C1215,0,IF(E1217=E1216,0,IF(C1217=$R$4,HLOOKUP($R$4,Ingreso!$AW$10:$BC$260,VLOOKUP(A1217,Ingreso!AL:AM,2,FALSE),FALSE)/24,""))),""))</f>
        <v/>
      </c>
      <c r="P1217" s="90"/>
      <c r="V1217"/>
      <c r="W1217" s="62"/>
      <c r="X1217" s="62"/>
      <c r="Y1217" s="62"/>
      <c r="Z1217" s="62"/>
      <c r="AA1217" s="62"/>
      <c r="AB1217" s="62"/>
      <c r="AC1217" s="62"/>
    </row>
    <row r="1218" spans="1:29">
      <c r="A1218" s="65" t="str">
        <f>IFERROR(VLOOKUP('Informe Kelly'!A1211,Base!A:B,2,FALSE),"")</f>
        <v/>
      </c>
      <c r="B1218" s="65" t="str">
        <f>IFERROR(VLOOKUP('Informe Kelly'!A1211,Base!A:G,7,FALSE),"")</f>
        <v/>
      </c>
      <c r="C1218" s="69">
        <f>IF(G1218=$C$4,IF('Informe Kelly'!H1211='Control informe Kelly'!$A$2,TEXT(((LEFT('Informe Kelly'!E1211,2)*1)+1),"dd")&amp;"."&amp;MID('Informe Kelly'!E1211,4,2)&amp;"."&amp;RIGHT('Informe Kelly'!E1211,4),'Informe Kelly'!E1211),'Informe Kelly'!E1211)</f>
        <v>0</v>
      </c>
      <c r="D1218" s="69" t="str">
        <f>IF('Informe Kelly'!E1211="","",'Informe Kelly'!E1211)</f>
        <v/>
      </c>
      <c r="E1218" s="72">
        <f t="shared" si="37"/>
        <v>581</v>
      </c>
      <c r="F1218" s="72" t="str">
        <f>IFERROR(HLOOKUP(C1218,Ingreso!$Q$8:$AD$9,2,FALSE),"v")</f>
        <v>v</v>
      </c>
      <c r="G1218" s="65" t="str">
        <f>IFERROR(VLOOKUP(A1218,Ingreso!K:P,6,FALSE),"no esta ingresado")</f>
        <v>no esta ingresado</v>
      </c>
      <c r="H1218" s="65" t="str">
        <f>IFERROR(IF('Informe Kelly'!H1211=$A$2,'Informe Kelly'!F1211,""),0)</f>
        <v/>
      </c>
      <c r="I1218" s="65" t="str">
        <f>IFERROR(IF('Informe Kelly'!H1211=$A$3,'Informe Kelly'!F1211,""),0)</f>
        <v/>
      </c>
      <c r="J1218" s="65" t="str">
        <f>IF(IFERROR(IF(E1218=E1217,0,(HLOOKUP(D1218,Ingreso!$AN$10:$AT$260,VLOOKUP(A1218,Ingreso!$AL$11:$AM$260,2,FALSE)))/24),0)=0,"",IFERROR(IF(E1218=E1217,0,(HLOOKUP(D1218,Ingreso!$AN$10:$AT$260,VLOOKUP(A1218,Ingreso!$AL$11:$AM$260,2,FALSE)))/24),0))</f>
        <v/>
      </c>
      <c r="K1218" s="65" t="str">
        <f>IF(IFERROR(IF(E1218=E1217,0,(HLOOKUP(C1218,Ingreso!$AW$10:$BC$260,VLOOKUP(A1218,Ingreso!$AL$11:$AM$260,2,FALSE)))/24),0)=0,"",IFERROR(IF(E1218=E1217,0,(HLOOKUP(C1218,Ingreso!$AW$10:$BC$260,VLOOKUP(A1218,Ingreso!$AL$11:$AM$260,2,FALSE)))/24),0))</f>
        <v/>
      </c>
      <c r="L1218" s="63">
        <f t="shared" si="36"/>
        <v>0</v>
      </c>
      <c r="M1218" s="63" t="str">
        <f>IF(IFERROR(IF(C1218=C1216,0,IF(E1218=E1217,0,IF(C1218=$R$2,HLOOKUP($R$2,Ingreso!$AW$10:$BC$260,VLOOKUP(A1218,Ingreso!AL:AM,2,FALSE),FALSE)/24,""))),"")=0,"",IFERROR(IF(C1218=C1216,0,IF(E1218=E1217,0,IF(C1218=$R$2,HLOOKUP($R$2,Ingreso!$AW$10:$BC$260,VLOOKUP(A1218,Ingreso!AL:AM,2,FALSE),FALSE)/24,""))),""))</f>
        <v/>
      </c>
      <c r="N1218" s="95" t="str">
        <f>IF(IFERROR(IF(C1218=C1216,0,IF(E1218=E1217,0,IF(C1218=$R$3,HLOOKUP($R$3,Ingreso!$AW$10:$BC$260,VLOOKUP(A1218,Ingreso!AL:AM,2,FALSE),FALSE)/24,""))),"")=0,"",IFERROR(IF(C1218=C1216,0,IF(E1218=E1217,0,IF(C1218=$R$3,HLOOKUP($R$3,Ingreso!$AW$10:$BC$260,VLOOKUP(A1218,Ingreso!AL:AM,2,FALSE),FALSE)/24,""))),""))</f>
        <v/>
      </c>
      <c r="O1218" s="95" t="str">
        <f>IF(IFERROR(IF(C1218=C1216,0,IF(E1218=E1217,0,IF(C1218=$R$4,HLOOKUP($R$4,Ingreso!$AW$10:$BC$260,VLOOKUP(A1218,Ingreso!AL:AM,2,FALSE),FALSE)/24,""))),"")=0,"",IFERROR(IF(C1218=C1216,0,IF(E1218=E1217,0,IF(C1218=$R$4,HLOOKUP($R$4,Ingreso!$AW$10:$BC$260,VLOOKUP(A1218,Ingreso!AL:AM,2,FALSE),FALSE)/24,""))),""))</f>
        <v/>
      </c>
      <c r="P1218" s="90"/>
      <c r="V1218"/>
      <c r="W1218" s="62"/>
      <c r="X1218" s="62"/>
      <c r="Y1218" s="62"/>
      <c r="Z1218" s="62"/>
      <c r="AA1218" s="62"/>
      <c r="AB1218" s="62"/>
      <c r="AC1218" s="62"/>
    </row>
    <row r="1219" spans="1:29">
      <c r="A1219" s="65" t="str">
        <f>IFERROR(VLOOKUP('Informe Kelly'!A1212,Base!A:B,2,FALSE),"")</f>
        <v/>
      </c>
      <c r="B1219" s="65" t="str">
        <f>IFERROR(VLOOKUP('Informe Kelly'!A1212,Base!A:G,7,FALSE),"")</f>
        <v/>
      </c>
      <c r="C1219" s="69">
        <f>IF(G1219=$C$4,IF('Informe Kelly'!H1212='Control informe Kelly'!$A$2,TEXT(((LEFT('Informe Kelly'!E1212,2)*1)+1),"dd")&amp;"."&amp;MID('Informe Kelly'!E1212,4,2)&amp;"."&amp;RIGHT('Informe Kelly'!E1212,4),'Informe Kelly'!E1212),'Informe Kelly'!E1212)</f>
        <v>0</v>
      </c>
      <c r="D1219" s="69" t="str">
        <f>IF('Informe Kelly'!E1212="","",'Informe Kelly'!E1212)</f>
        <v/>
      </c>
      <c r="E1219" s="72">
        <f t="shared" si="37"/>
        <v>581</v>
      </c>
      <c r="F1219" s="72" t="str">
        <f>IFERROR(HLOOKUP(C1219,Ingreso!$Q$8:$AD$9,2,FALSE),"v")</f>
        <v>v</v>
      </c>
      <c r="G1219" s="65" t="str">
        <f>IFERROR(VLOOKUP(A1219,Ingreso!K:P,6,FALSE),"no esta ingresado")</f>
        <v>no esta ingresado</v>
      </c>
      <c r="H1219" s="65" t="str">
        <f>IFERROR(IF('Informe Kelly'!H1212=$A$2,'Informe Kelly'!F1212,""),0)</f>
        <v/>
      </c>
      <c r="I1219" s="65" t="str">
        <f>IFERROR(IF('Informe Kelly'!H1212=$A$3,'Informe Kelly'!F1212,""),0)</f>
        <v/>
      </c>
      <c r="J1219" s="65" t="str">
        <f>IF(IFERROR(IF(E1219=E1218,0,(HLOOKUP(D1219,Ingreso!$AN$10:$AT$260,VLOOKUP(A1219,Ingreso!$AL$11:$AM$260,2,FALSE)))/24),0)=0,"",IFERROR(IF(E1219=E1218,0,(HLOOKUP(D1219,Ingreso!$AN$10:$AT$260,VLOOKUP(A1219,Ingreso!$AL$11:$AM$260,2,FALSE)))/24),0))</f>
        <v/>
      </c>
      <c r="K1219" s="65" t="str">
        <f>IF(IFERROR(IF(E1219=E1218,0,(HLOOKUP(C1219,Ingreso!$AW$10:$BC$260,VLOOKUP(A1219,Ingreso!$AL$11:$AM$260,2,FALSE)))/24),0)=0,"",IFERROR(IF(E1219=E1218,0,(HLOOKUP(C1219,Ingreso!$AW$10:$BC$260,VLOOKUP(A1219,Ingreso!$AL$11:$AM$260,2,FALSE)))/24),0))</f>
        <v/>
      </c>
      <c r="L1219" s="63">
        <f t="shared" si="36"/>
        <v>0</v>
      </c>
      <c r="M1219" s="63" t="str">
        <f>IF(IFERROR(IF(C1219=C1217,0,IF(E1219=E1218,0,IF(C1219=$R$2,HLOOKUP($R$2,Ingreso!$AW$10:$BC$260,VLOOKUP(A1219,Ingreso!AL:AM,2,FALSE),FALSE)/24,""))),"")=0,"",IFERROR(IF(C1219=C1217,0,IF(E1219=E1218,0,IF(C1219=$R$2,HLOOKUP($R$2,Ingreso!$AW$10:$BC$260,VLOOKUP(A1219,Ingreso!AL:AM,2,FALSE),FALSE)/24,""))),""))</f>
        <v/>
      </c>
      <c r="N1219" s="95" t="str">
        <f>IF(IFERROR(IF(C1219=C1217,0,IF(E1219=E1218,0,IF(C1219=$R$3,HLOOKUP($R$3,Ingreso!$AW$10:$BC$260,VLOOKUP(A1219,Ingreso!AL:AM,2,FALSE),FALSE)/24,""))),"")=0,"",IFERROR(IF(C1219=C1217,0,IF(E1219=E1218,0,IF(C1219=$R$3,HLOOKUP($R$3,Ingreso!$AW$10:$BC$260,VLOOKUP(A1219,Ingreso!AL:AM,2,FALSE),FALSE)/24,""))),""))</f>
        <v/>
      </c>
      <c r="O1219" s="95" t="str">
        <f>IF(IFERROR(IF(C1219=C1217,0,IF(E1219=E1218,0,IF(C1219=$R$4,HLOOKUP($R$4,Ingreso!$AW$10:$BC$260,VLOOKUP(A1219,Ingreso!AL:AM,2,FALSE),FALSE)/24,""))),"")=0,"",IFERROR(IF(C1219=C1217,0,IF(E1219=E1218,0,IF(C1219=$R$4,HLOOKUP($R$4,Ingreso!$AW$10:$BC$260,VLOOKUP(A1219,Ingreso!AL:AM,2,FALSE),FALSE)/24,""))),""))</f>
        <v/>
      </c>
      <c r="P1219" s="90"/>
      <c r="V1219"/>
      <c r="W1219" s="62"/>
      <c r="X1219" s="62"/>
      <c r="Y1219" s="62"/>
      <c r="Z1219" s="62"/>
      <c r="AA1219" s="62"/>
      <c r="AB1219" s="62"/>
      <c r="AC1219" s="62"/>
    </row>
    <row r="1220" spans="1:29">
      <c r="A1220" s="65" t="str">
        <f>IFERROR(VLOOKUP('Informe Kelly'!A1213,Base!A:B,2,FALSE),"")</f>
        <v/>
      </c>
      <c r="B1220" s="65" t="str">
        <f>IFERROR(VLOOKUP('Informe Kelly'!A1213,Base!A:G,7,FALSE),"")</f>
        <v/>
      </c>
      <c r="C1220" s="69">
        <f>IF(G1220=$C$4,IF('Informe Kelly'!H1213='Control informe Kelly'!$A$2,TEXT(((LEFT('Informe Kelly'!E1213,2)*1)+1),"dd")&amp;"."&amp;MID('Informe Kelly'!E1213,4,2)&amp;"."&amp;RIGHT('Informe Kelly'!E1213,4),'Informe Kelly'!E1213),'Informe Kelly'!E1213)</f>
        <v>0</v>
      </c>
      <c r="D1220" s="69" t="str">
        <f>IF('Informe Kelly'!E1213="","",'Informe Kelly'!E1213)</f>
        <v/>
      </c>
      <c r="E1220" s="72">
        <f t="shared" si="37"/>
        <v>581</v>
      </c>
      <c r="F1220" s="72" t="str">
        <f>IFERROR(HLOOKUP(C1220,Ingreso!$Q$8:$AD$9,2,FALSE),"v")</f>
        <v>v</v>
      </c>
      <c r="G1220" s="65" t="str">
        <f>IFERROR(VLOOKUP(A1220,Ingreso!K:P,6,FALSE),"no esta ingresado")</f>
        <v>no esta ingresado</v>
      </c>
      <c r="H1220" s="65" t="str">
        <f>IFERROR(IF('Informe Kelly'!H1213=$A$2,'Informe Kelly'!F1213,""),0)</f>
        <v/>
      </c>
      <c r="I1220" s="65" t="str">
        <f>IFERROR(IF('Informe Kelly'!H1213=$A$3,'Informe Kelly'!F1213,""),0)</f>
        <v/>
      </c>
      <c r="J1220" s="65" t="str">
        <f>IF(IFERROR(IF(E1220=E1219,0,(HLOOKUP(D1220,Ingreso!$AN$10:$AT$260,VLOOKUP(A1220,Ingreso!$AL$11:$AM$260,2,FALSE)))/24),0)=0,"",IFERROR(IF(E1220=E1219,0,(HLOOKUP(D1220,Ingreso!$AN$10:$AT$260,VLOOKUP(A1220,Ingreso!$AL$11:$AM$260,2,FALSE)))/24),0))</f>
        <v/>
      </c>
      <c r="K1220" s="65" t="str">
        <f>IF(IFERROR(IF(E1220=E1219,0,(HLOOKUP(C1220,Ingreso!$AW$10:$BC$260,VLOOKUP(A1220,Ingreso!$AL$11:$AM$260,2,FALSE)))/24),0)=0,"",IFERROR(IF(E1220=E1219,0,(HLOOKUP(C1220,Ingreso!$AW$10:$BC$260,VLOOKUP(A1220,Ingreso!$AL$11:$AM$260,2,FALSE)))/24),0))</f>
        <v/>
      </c>
      <c r="L1220" s="63">
        <f t="shared" si="36"/>
        <v>0</v>
      </c>
      <c r="M1220" s="63" t="str">
        <f>IF(IFERROR(IF(C1220=C1218,0,IF(E1220=E1219,0,IF(C1220=$R$2,HLOOKUP($R$2,Ingreso!$AW$10:$BC$260,VLOOKUP(A1220,Ingreso!AL:AM,2,FALSE),FALSE)/24,""))),"")=0,"",IFERROR(IF(C1220=C1218,0,IF(E1220=E1219,0,IF(C1220=$R$2,HLOOKUP($R$2,Ingreso!$AW$10:$BC$260,VLOOKUP(A1220,Ingreso!AL:AM,2,FALSE),FALSE)/24,""))),""))</f>
        <v/>
      </c>
      <c r="N1220" s="95" t="str">
        <f>IF(IFERROR(IF(C1220=C1218,0,IF(E1220=E1219,0,IF(C1220=$R$3,HLOOKUP($R$3,Ingreso!$AW$10:$BC$260,VLOOKUP(A1220,Ingreso!AL:AM,2,FALSE),FALSE)/24,""))),"")=0,"",IFERROR(IF(C1220=C1218,0,IF(E1220=E1219,0,IF(C1220=$R$3,HLOOKUP($R$3,Ingreso!$AW$10:$BC$260,VLOOKUP(A1220,Ingreso!AL:AM,2,FALSE),FALSE)/24,""))),""))</f>
        <v/>
      </c>
      <c r="O1220" s="95" t="str">
        <f>IF(IFERROR(IF(C1220=C1218,0,IF(E1220=E1219,0,IF(C1220=$R$4,HLOOKUP($R$4,Ingreso!$AW$10:$BC$260,VLOOKUP(A1220,Ingreso!AL:AM,2,FALSE),FALSE)/24,""))),"")=0,"",IFERROR(IF(C1220=C1218,0,IF(E1220=E1219,0,IF(C1220=$R$4,HLOOKUP($R$4,Ingreso!$AW$10:$BC$260,VLOOKUP(A1220,Ingreso!AL:AM,2,FALSE),FALSE)/24,""))),""))</f>
        <v/>
      </c>
      <c r="P1220" s="90"/>
      <c r="V1220"/>
      <c r="W1220" s="62"/>
      <c r="X1220" s="62"/>
      <c r="Y1220" s="62"/>
      <c r="Z1220" s="62"/>
      <c r="AA1220" s="62"/>
      <c r="AB1220" s="62"/>
      <c r="AC1220" s="62"/>
    </row>
    <row r="1221" spans="1:29">
      <c r="A1221" s="65" t="str">
        <f>IFERROR(VLOOKUP('Informe Kelly'!A1214,Base!A:B,2,FALSE),"")</f>
        <v/>
      </c>
      <c r="B1221" s="65" t="str">
        <f>IFERROR(VLOOKUP('Informe Kelly'!A1214,Base!A:G,7,FALSE),"")</f>
        <v/>
      </c>
      <c r="C1221" s="69">
        <f>IF(G1221=$C$4,IF('Informe Kelly'!H1214='Control informe Kelly'!$A$2,TEXT(((LEFT('Informe Kelly'!E1214,2)*1)+1),"dd")&amp;"."&amp;MID('Informe Kelly'!E1214,4,2)&amp;"."&amp;RIGHT('Informe Kelly'!E1214,4),'Informe Kelly'!E1214),'Informe Kelly'!E1214)</f>
        <v>0</v>
      </c>
      <c r="D1221" s="69" t="str">
        <f>IF('Informe Kelly'!E1214="","",'Informe Kelly'!E1214)</f>
        <v/>
      </c>
      <c r="E1221" s="72">
        <f t="shared" si="37"/>
        <v>581</v>
      </c>
      <c r="F1221" s="72" t="str">
        <f>IFERROR(HLOOKUP(C1221,Ingreso!$Q$8:$AD$9,2,FALSE),"v")</f>
        <v>v</v>
      </c>
      <c r="G1221" s="65" t="str">
        <f>IFERROR(VLOOKUP(A1221,Ingreso!K:P,6,FALSE),"no esta ingresado")</f>
        <v>no esta ingresado</v>
      </c>
      <c r="H1221" s="65" t="str">
        <f>IFERROR(IF('Informe Kelly'!H1214=$A$2,'Informe Kelly'!F1214,""),0)</f>
        <v/>
      </c>
      <c r="I1221" s="65" t="str">
        <f>IFERROR(IF('Informe Kelly'!H1214=$A$3,'Informe Kelly'!F1214,""),0)</f>
        <v/>
      </c>
      <c r="J1221" s="65" t="str">
        <f>IF(IFERROR(IF(E1221=E1220,0,(HLOOKUP(D1221,Ingreso!$AN$10:$AT$260,VLOOKUP(A1221,Ingreso!$AL$11:$AM$260,2,FALSE)))/24),0)=0,"",IFERROR(IF(E1221=E1220,0,(HLOOKUP(D1221,Ingreso!$AN$10:$AT$260,VLOOKUP(A1221,Ingreso!$AL$11:$AM$260,2,FALSE)))/24),0))</f>
        <v/>
      </c>
      <c r="K1221" s="65" t="str">
        <f>IF(IFERROR(IF(E1221=E1220,0,(HLOOKUP(C1221,Ingreso!$AW$10:$BC$260,VLOOKUP(A1221,Ingreso!$AL$11:$AM$260,2,FALSE)))/24),0)=0,"",IFERROR(IF(E1221=E1220,0,(HLOOKUP(C1221,Ingreso!$AW$10:$BC$260,VLOOKUP(A1221,Ingreso!$AL$11:$AM$260,2,FALSE)))/24),0))</f>
        <v/>
      </c>
      <c r="L1221" s="63">
        <f t="shared" si="36"/>
        <v>0</v>
      </c>
      <c r="M1221" s="63" t="str">
        <f>IF(IFERROR(IF(C1221=C1219,0,IF(E1221=E1220,0,IF(C1221=$R$2,HLOOKUP($R$2,Ingreso!$AW$10:$BC$260,VLOOKUP(A1221,Ingreso!AL:AM,2,FALSE),FALSE)/24,""))),"")=0,"",IFERROR(IF(C1221=C1219,0,IF(E1221=E1220,0,IF(C1221=$R$2,HLOOKUP($R$2,Ingreso!$AW$10:$BC$260,VLOOKUP(A1221,Ingreso!AL:AM,2,FALSE),FALSE)/24,""))),""))</f>
        <v/>
      </c>
      <c r="N1221" s="95" t="str">
        <f>IF(IFERROR(IF(C1221=C1219,0,IF(E1221=E1220,0,IF(C1221=$R$3,HLOOKUP($R$3,Ingreso!$AW$10:$BC$260,VLOOKUP(A1221,Ingreso!AL:AM,2,FALSE),FALSE)/24,""))),"")=0,"",IFERROR(IF(C1221=C1219,0,IF(E1221=E1220,0,IF(C1221=$R$3,HLOOKUP($R$3,Ingreso!$AW$10:$BC$260,VLOOKUP(A1221,Ingreso!AL:AM,2,FALSE),FALSE)/24,""))),""))</f>
        <v/>
      </c>
      <c r="O1221" s="95" t="str">
        <f>IF(IFERROR(IF(C1221=C1219,0,IF(E1221=E1220,0,IF(C1221=$R$4,HLOOKUP($R$4,Ingreso!$AW$10:$BC$260,VLOOKUP(A1221,Ingreso!AL:AM,2,FALSE),FALSE)/24,""))),"")=0,"",IFERROR(IF(C1221=C1219,0,IF(E1221=E1220,0,IF(C1221=$R$4,HLOOKUP($R$4,Ingreso!$AW$10:$BC$260,VLOOKUP(A1221,Ingreso!AL:AM,2,FALSE),FALSE)/24,""))),""))</f>
        <v/>
      </c>
      <c r="P1221" s="90"/>
      <c r="V1221"/>
      <c r="W1221" s="62"/>
      <c r="X1221" s="62"/>
      <c r="Y1221" s="62"/>
      <c r="Z1221" s="62"/>
      <c r="AA1221" s="62"/>
      <c r="AB1221" s="62"/>
      <c r="AC1221" s="62"/>
    </row>
    <row r="1222" spans="1:29">
      <c r="A1222" s="65" t="str">
        <f>IFERROR(VLOOKUP('Informe Kelly'!A1215,Base!A:B,2,FALSE),"")</f>
        <v/>
      </c>
      <c r="B1222" s="65" t="str">
        <f>IFERROR(VLOOKUP('Informe Kelly'!A1215,Base!A:G,7,FALSE),"")</f>
        <v/>
      </c>
      <c r="C1222" s="69">
        <f>IF(G1222=$C$4,IF('Informe Kelly'!H1215='Control informe Kelly'!$A$2,TEXT(((LEFT('Informe Kelly'!E1215,2)*1)+1),"dd")&amp;"."&amp;MID('Informe Kelly'!E1215,4,2)&amp;"."&amp;RIGHT('Informe Kelly'!E1215,4),'Informe Kelly'!E1215),'Informe Kelly'!E1215)</f>
        <v>0</v>
      </c>
      <c r="D1222" s="69" t="str">
        <f>IF('Informe Kelly'!E1215="","",'Informe Kelly'!E1215)</f>
        <v/>
      </c>
      <c r="E1222" s="72">
        <f t="shared" si="37"/>
        <v>581</v>
      </c>
      <c r="F1222" s="72" t="str">
        <f>IFERROR(HLOOKUP(C1222,Ingreso!$Q$8:$AD$9,2,FALSE),"v")</f>
        <v>v</v>
      </c>
      <c r="G1222" s="65" t="str">
        <f>IFERROR(VLOOKUP(A1222,Ingreso!K:P,6,FALSE),"no esta ingresado")</f>
        <v>no esta ingresado</v>
      </c>
      <c r="H1222" s="65" t="str">
        <f>IFERROR(IF('Informe Kelly'!H1215=$A$2,'Informe Kelly'!F1215,""),0)</f>
        <v/>
      </c>
      <c r="I1222" s="65" t="str">
        <f>IFERROR(IF('Informe Kelly'!H1215=$A$3,'Informe Kelly'!F1215,""),0)</f>
        <v/>
      </c>
      <c r="J1222" s="65" t="str">
        <f>IF(IFERROR(IF(E1222=E1221,0,(HLOOKUP(D1222,Ingreso!$AN$10:$AT$260,VLOOKUP(A1222,Ingreso!$AL$11:$AM$260,2,FALSE)))/24),0)=0,"",IFERROR(IF(E1222=E1221,0,(HLOOKUP(D1222,Ingreso!$AN$10:$AT$260,VLOOKUP(A1222,Ingreso!$AL$11:$AM$260,2,FALSE)))/24),0))</f>
        <v/>
      </c>
      <c r="K1222" s="65" t="str">
        <f>IF(IFERROR(IF(E1222=E1221,0,(HLOOKUP(C1222,Ingreso!$AW$10:$BC$260,VLOOKUP(A1222,Ingreso!$AL$11:$AM$260,2,FALSE)))/24),0)=0,"",IFERROR(IF(E1222=E1221,0,(HLOOKUP(C1222,Ingreso!$AW$10:$BC$260,VLOOKUP(A1222,Ingreso!$AL$11:$AM$260,2,FALSE)))/24),0))</f>
        <v/>
      </c>
      <c r="L1222" s="63">
        <f t="shared" si="36"/>
        <v>0</v>
      </c>
      <c r="M1222" s="63" t="str">
        <f>IF(IFERROR(IF(C1222=C1220,0,IF(E1222=E1221,0,IF(C1222=$R$2,HLOOKUP($R$2,Ingreso!$AW$10:$BC$260,VLOOKUP(A1222,Ingreso!AL:AM,2,FALSE),FALSE)/24,""))),"")=0,"",IFERROR(IF(C1222=C1220,0,IF(E1222=E1221,0,IF(C1222=$R$2,HLOOKUP($R$2,Ingreso!$AW$10:$BC$260,VLOOKUP(A1222,Ingreso!AL:AM,2,FALSE),FALSE)/24,""))),""))</f>
        <v/>
      </c>
      <c r="N1222" s="95" t="str">
        <f>IF(IFERROR(IF(C1222=C1220,0,IF(E1222=E1221,0,IF(C1222=$R$3,HLOOKUP($R$3,Ingreso!$AW$10:$BC$260,VLOOKUP(A1222,Ingreso!AL:AM,2,FALSE),FALSE)/24,""))),"")=0,"",IFERROR(IF(C1222=C1220,0,IF(E1222=E1221,0,IF(C1222=$R$3,HLOOKUP($R$3,Ingreso!$AW$10:$BC$260,VLOOKUP(A1222,Ingreso!AL:AM,2,FALSE),FALSE)/24,""))),""))</f>
        <v/>
      </c>
      <c r="O1222" s="95" t="str">
        <f>IF(IFERROR(IF(C1222=C1220,0,IF(E1222=E1221,0,IF(C1222=$R$4,HLOOKUP($R$4,Ingreso!$AW$10:$BC$260,VLOOKUP(A1222,Ingreso!AL:AM,2,FALSE),FALSE)/24,""))),"")=0,"",IFERROR(IF(C1222=C1220,0,IF(E1222=E1221,0,IF(C1222=$R$4,HLOOKUP($R$4,Ingreso!$AW$10:$BC$260,VLOOKUP(A1222,Ingreso!AL:AM,2,FALSE),FALSE)/24,""))),""))</f>
        <v/>
      </c>
      <c r="P1222" s="90"/>
      <c r="V1222"/>
      <c r="W1222" s="62"/>
      <c r="X1222" s="62"/>
      <c r="Y1222" s="62"/>
      <c r="Z1222" s="62"/>
      <c r="AA1222" s="62"/>
      <c r="AB1222" s="62"/>
      <c r="AC1222" s="62"/>
    </row>
    <row r="1223" spans="1:29">
      <c r="A1223" s="65" t="str">
        <f>IFERROR(VLOOKUP('Informe Kelly'!A1216,Base!A:B,2,FALSE),"")</f>
        <v/>
      </c>
      <c r="B1223" s="65" t="str">
        <f>IFERROR(VLOOKUP('Informe Kelly'!A1216,Base!A:G,7,FALSE),"")</f>
        <v/>
      </c>
      <c r="C1223" s="69">
        <f>IF(G1223=$C$4,IF('Informe Kelly'!H1216='Control informe Kelly'!$A$2,TEXT(((LEFT('Informe Kelly'!E1216,2)*1)+1),"dd")&amp;"."&amp;MID('Informe Kelly'!E1216,4,2)&amp;"."&amp;RIGHT('Informe Kelly'!E1216,4),'Informe Kelly'!E1216),'Informe Kelly'!E1216)</f>
        <v>0</v>
      </c>
      <c r="D1223" s="69" t="str">
        <f>IF('Informe Kelly'!E1216="","",'Informe Kelly'!E1216)</f>
        <v/>
      </c>
      <c r="E1223" s="72">
        <f t="shared" si="37"/>
        <v>581</v>
      </c>
      <c r="F1223" s="72" t="str">
        <f>IFERROR(HLOOKUP(C1223,Ingreso!$Q$8:$AD$9,2,FALSE),"v")</f>
        <v>v</v>
      </c>
      <c r="G1223" s="65" t="str">
        <f>IFERROR(VLOOKUP(A1223,Ingreso!K:P,6,FALSE),"no esta ingresado")</f>
        <v>no esta ingresado</v>
      </c>
      <c r="H1223" s="65" t="str">
        <f>IFERROR(IF('Informe Kelly'!H1216=$A$2,'Informe Kelly'!F1216,""),0)</f>
        <v/>
      </c>
      <c r="I1223" s="65" t="str">
        <f>IFERROR(IF('Informe Kelly'!H1216=$A$3,'Informe Kelly'!F1216,""),0)</f>
        <v/>
      </c>
      <c r="J1223" s="65" t="str">
        <f>IF(IFERROR(IF(E1223=E1222,0,(HLOOKUP(D1223,Ingreso!$AN$10:$AT$260,VLOOKUP(A1223,Ingreso!$AL$11:$AM$260,2,FALSE)))/24),0)=0,"",IFERROR(IF(E1223=E1222,0,(HLOOKUP(D1223,Ingreso!$AN$10:$AT$260,VLOOKUP(A1223,Ingreso!$AL$11:$AM$260,2,FALSE)))/24),0))</f>
        <v/>
      </c>
      <c r="K1223" s="65" t="str">
        <f>IF(IFERROR(IF(E1223=E1222,0,(HLOOKUP(C1223,Ingreso!$AW$10:$BC$260,VLOOKUP(A1223,Ingreso!$AL$11:$AM$260,2,FALSE)))/24),0)=0,"",IFERROR(IF(E1223=E1222,0,(HLOOKUP(C1223,Ingreso!$AW$10:$BC$260,VLOOKUP(A1223,Ingreso!$AL$11:$AM$260,2,FALSE)))/24),0))</f>
        <v/>
      </c>
      <c r="L1223" s="63">
        <f t="shared" si="36"/>
        <v>0</v>
      </c>
      <c r="M1223" s="63" t="str">
        <f>IF(IFERROR(IF(C1223=C1221,0,IF(E1223=E1222,0,IF(C1223=$R$2,HLOOKUP($R$2,Ingreso!$AW$10:$BC$260,VLOOKUP(A1223,Ingreso!AL:AM,2,FALSE),FALSE)/24,""))),"")=0,"",IFERROR(IF(C1223=C1221,0,IF(E1223=E1222,0,IF(C1223=$R$2,HLOOKUP($R$2,Ingreso!$AW$10:$BC$260,VLOOKUP(A1223,Ingreso!AL:AM,2,FALSE),FALSE)/24,""))),""))</f>
        <v/>
      </c>
      <c r="N1223" s="95" t="str">
        <f>IF(IFERROR(IF(C1223=C1221,0,IF(E1223=E1222,0,IF(C1223=$R$3,HLOOKUP($R$3,Ingreso!$AW$10:$BC$260,VLOOKUP(A1223,Ingreso!AL:AM,2,FALSE),FALSE)/24,""))),"")=0,"",IFERROR(IF(C1223=C1221,0,IF(E1223=E1222,0,IF(C1223=$R$3,HLOOKUP($R$3,Ingreso!$AW$10:$BC$260,VLOOKUP(A1223,Ingreso!AL:AM,2,FALSE),FALSE)/24,""))),""))</f>
        <v/>
      </c>
      <c r="O1223" s="95" t="str">
        <f>IF(IFERROR(IF(C1223=C1221,0,IF(E1223=E1222,0,IF(C1223=$R$4,HLOOKUP($R$4,Ingreso!$AW$10:$BC$260,VLOOKUP(A1223,Ingreso!AL:AM,2,FALSE),FALSE)/24,""))),"")=0,"",IFERROR(IF(C1223=C1221,0,IF(E1223=E1222,0,IF(C1223=$R$4,HLOOKUP($R$4,Ingreso!$AW$10:$BC$260,VLOOKUP(A1223,Ingreso!AL:AM,2,FALSE),FALSE)/24,""))),""))</f>
        <v/>
      </c>
      <c r="P1223" s="90"/>
      <c r="V1223"/>
      <c r="W1223" s="62"/>
      <c r="X1223" s="62"/>
      <c r="Y1223" s="62"/>
      <c r="Z1223" s="62"/>
      <c r="AA1223" s="62"/>
      <c r="AB1223" s="62"/>
      <c r="AC1223" s="62"/>
    </row>
    <row r="1224" spans="1:29">
      <c r="A1224" s="65" t="str">
        <f>IFERROR(VLOOKUP('Informe Kelly'!A1217,Base!A:B,2,FALSE),"")</f>
        <v/>
      </c>
      <c r="B1224" s="65" t="str">
        <f>IFERROR(VLOOKUP('Informe Kelly'!A1217,Base!A:G,7,FALSE),"")</f>
        <v/>
      </c>
      <c r="C1224" s="69">
        <f>IF(G1224=$C$4,IF('Informe Kelly'!H1217='Control informe Kelly'!$A$2,TEXT(((LEFT('Informe Kelly'!E1217,2)*1)+1),"dd")&amp;"."&amp;MID('Informe Kelly'!E1217,4,2)&amp;"."&amp;RIGHT('Informe Kelly'!E1217,4),'Informe Kelly'!E1217),'Informe Kelly'!E1217)</f>
        <v>0</v>
      </c>
      <c r="D1224" s="69" t="str">
        <f>IF('Informe Kelly'!E1217="","",'Informe Kelly'!E1217)</f>
        <v/>
      </c>
      <c r="E1224" s="72">
        <f t="shared" si="37"/>
        <v>581</v>
      </c>
      <c r="F1224" s="72" t="str">
        <f>IFERROR(HLOOKUP(C1224,Ingreso!$Q$8:$AD$9,2,FALSE),"v")</f>
        <v>v</v>
      </c>
      <c r="G1224" s="65" t="str">
        <f>IFERROR(VLOOKUP(A1224,Ingreso!K:P,6,FALSE),"no esta ingresado")</f>
        <v>no esta ingresado</v>
      </c>
      <c r="H1224" s="65" t="str">
        <f>IFERROR(IF('Informe Kelly'!H1217=$A$2,'Informe Kelly'!F1217,""),0)</f>
        <v/>
      </c>
      <c r="I1224" s="65" t="str">
        <f>IFERROR(IF('Informe Kelly'!H1217=$A$3,'Informe Kelly'!F1217,""),0)</f>
        <v/>
      </c>
      <c r="J1224" s="65" t="str">
        <f>IF(IFERROR(IF(E1224=E1223,0,(HLOOKUP(D1224,Ingreso!$AN$10:$AT$260,VLOOKUP(A1224,Ingreso!$AL$11:$AM$260,2,FALSE)))/24),0)=0,"",IFERROR(IF(E1224=E1223,0,(HLOOKUP(D1224,Ingreso!$AN$10:$AT$260,VLOOKUP(A1224,Ingreso!$AL$11:$AM$260,2,FALSE)))/24),0))</f>
        <v/>
      </c>
      <c r="K1224" s="65" t="str">
        <f>IF(IFERROR(IF(E1224=E1223,0,(HLOOKUP(C1224,Ingreso!$AW$10:$BC$260,VLOOKUP(A1224,Ingreso!$AL$11:$AM$260,2,FALSE)))/24),0)=0,"",IFERROR(IF(E1224=E1223,0,(HLOOKUP(C1224,Ingreso!$AW$10:$BC$260,VLOOKUP(A1224,Ingreso!$AL$11:$AM$260,2,FALSE)))/24),0))</f>
        <v/>
      </c>
      <c r="L1224" s="63">
        <f t="shared" si="36"/>
        <v>0</v>
      </c>
      <c r="M1224" s="63" t="str">
        <f>IF(IFERROR(IF(C1224=C1222,0,IF(E1224=E1223,0,IF(C1224=$R$2,HLOOKUP($R$2,Ingreso!$AW$10:$BC$260,VLOOKUP(A1224,Ingreso!AL:AM,2,FALSE),FALSE)/24,""))),"")=0,"",IFERROR(IF(C1224=C1222,0,IF(E1224=E1223,0,IF(C1224=$R$2,HLOOKUP($R$2,Ingreso!$AW$10:$BC$260,VLOOKUP(A1224,Ingreso!AL:AM,2,FALSE),FALSE)/24,""))),""))</f>
        <v/>
      </c>
      <c r="N1224" s="95" t="str">
        <f>IF(IFERROR(IF(C1224=C1222,0,IF(E1224=E1223,0,IF(C1224=$R$3,HLOOKUP($R$3,Ingreso!$AW$10:$BC$260,VLOOKUP(A1224,Ingreso!AL:AM,2,FALSE),FALSE)/24,""))),"")=0,"",IFERROR(IF(C1224=C1222,0,IF(E1224=E1223,0,IF(C1224=$R$3,HLOOKUP($R$3,Ingreso!$AW$10:$BC$260,VLOOKUP(A1224,Ingreso!AL:AM,2,FALSE),FALSE)/24,""))),""))</f>
        <v/>
      </c>
      <c r="O1224" s="95" t="str">
        <f>IF(IFERROR(IF(C1224=C1222,0,IF(E1224=E1223,0,IF(C1224=$R$4,HLOOKUP($R$4,Ingreso!$AW$10:$BC$260,VLOOKUP(A1224,Ingreso!AL:AM,2,FALSE),FALSE)/24,""))),"")=0,"",IFERROR(IF(C1224=C1222,0,IF(E1224=E1223,0,IF(C1224=$R$4,HLOOKUP($R$4,Ingreso!$AW$10:$BC$260,VLOOKUP(A1224,Ingreso!AL:AM,2,FALSE),FALSE)/24,""))),""))</f>
        <v/>
      </c>
      <c r="P1224" s="90"/>
      <c r="V1224"/>
      <c r="W1224" s="62"/>
      <c r="X1224" s="62"/>
      <c r="Y1224" s="62"/>
      <c r="Z1224" s="62"/>
      <c r="AA1224" s="62"/>
      <c r="AB1224" s="62"/>
      <c r="AC1224" s="62"/>
    </row>
    <row r="1225" spans="1:29">
      <c r="A1225" s="65" t="str">
        <f>IFERROR(VLOOKUP('Informe Kelly'!A1218,Base!A:B,2,FALSE),"")</f>
        <v/>
      </c>
      <c r="B1225" s="65" t="str">
        <f>IFERROR(VLOOKUP('Informe Kelly'!A1218,Base!A:G,7,FALSE),"")</f>
        <v/>
      </c>
      <c r="C1225" s="69">
        <f>IF(G1225=$C$4,IF('Informe Kelly'!H1218='Control informe Kelly'!$A$2,TEXT(((LEFT('Informe Kelly'!E1218,2)*1)+1),"dd")&amp;"."&amp;MID('Informe Kelly'!E1218,4,2)&amp;"."&amp;RIGHT('Informe Kelly'!E1218,4),'Informe Kelly'!E1218),'Informe Kelly'!E1218)</f>
        <v>0</v>
      </c>
      <c r="D1225" s="69" t="str">
        <f>IF('Informe Kelly'!E1218="","",'Informe Kelly'!E1218)</f>
        <v/>
      </c>
      <c r="E1225" s="72">
        <f t="shared" si="37"/>
        <v>581</v>
      </c>
      <c r="F1225" s="72" t="str">
        <f>IFERROR(HLOOKUP(C1225,Ingreso!$Q$8:$AD$9,2,FALSE),"v")</f>
        <v>v</v>
      </c>
      <c r="G1225" s="65" t="str">
        <f>IFERROR(VLOOKUP(A1225,Ingreso!K:P,6,FALSE),"no esta ingresado")</f>
        <v>no esta ingresado</v>
      </c>
      <c r="H1225" s="65" t="str">
        <f>IFERROR(IF('Informe Kelly'!H1218=$A$2,'Informe Kelly'!F1218,""),0)</f>
        <v/>
      </c>
      <c r="I1225" s="65" t="str">
        <f>IFERROR(IF('Informe Kelly'!H1218=$A$3,'Informe Kelly'!F1218,""),0)</f>
        <v/>
      </c>
      <c r="J1225" s="65" t="str">
        <f>IF(IFERROR(IF(E1225=E1224,0,(HLOOKUP(D1225,Ingreso!$AN$10:$AT$260,VLOOKUP(A1225,Ingreso!$AL$11:$AM$260,2,FALSE)))/24),0)=0,"",IFERROR(IF(E1225=E1224,0,(HLOOKUP(D1225,Ingreso!$AN$10:$AT$260,VLOOKUP(A1225,Ingreso!$AL$11:$AM$260,2,FALSE)))/24),0))</f>
        <v/>
      </c>
      <c r="K1225" s="65" t="str">
        <f>IF(IFERROR(IF(E1225=E1224,0,(HLOOKUP(C1225,Ingreso!$AW$10:$BC$260,VLOOKUP(A1225,Ingreso!$AL$11:$AM$260,2,FALSE)))/24),0)=0,"",IFERROR(IF(E1225=E1224,0,(HLOOKUP(C1225,Ingreso!$AW$10:$BC$260,VLOOKUP(A1225,Ingreso!$AL$11:$AM$260,2,FALSE)))/24),0))</f>
        <v/>
      </c>
      <c r="L1225" s="63">
        <f t="shared" ref="L1225:L1288" si="38">IFERROR(IF(C1225=C1223,0,IF(E1225=E1224,0,(VLOOKUP(G1225,$C$2:$D$5,2,FALSE)))),"")</f>
        <v>0</v>
      </c>
      <c r="M1225" s="63" t="str">
        <f>IF(IFERROR(IF(C1225=C1223,0,IF(E1225=E1224,0,IF(C1225=$R$2,HLOOKUP($R$2,Ingreso!$AW$10:$BC$260,VLOOKUP(A1225,Ingreso!AL:AM,2,FALSE),FALSE)/24,""))),"")=0,"",IFERROR(IF(C1225=C1223,0,IF(E1225=E1224,0,IF(C1225=$R$2,HLOOKUP($R$2,Ingreso!$AW$10:$BC$260,VLOOKUP(A1225,Ingreso!AL:AM,2,FALSE),FALSE)/24,""))),""))</f>
        <v/>
      </c>
      <c r="N1225" s="95" t="str">
        <f>IF(IFERROR(IF(C1225=C1223,0,IF(E1225=E1224,0,IF(C1225=$R$3,HLOOKUP($R$3,Ingreso!$AW$10:$BC$260,VLOOKUP(A1225,Ingreso!AL:AM,2,FALSE),FALSE)/24,""))),"")=0,"",IFERROR(IF(C1225=C1223,0,IF(E1225=E1224,0,IF(C1225=$R$3,HLOOKUP($R$3,Ingreso!$AW$10:$BC$260,VLOOKUP(A1225,Ingreso!AL:AM,2,FALSE),FALSE)/24,""))),""))</f>
        <v/>
      </c>
      <c r="O1225" s="95" t="str">
        <f>IF(IFERROR(IF(C1225=C1223,0,IF(E1225=E1224,0,IF(C1225=$R$4,HLOOKUP($R$4,Ingreso!$AW$10:$BC$260,VLOOKUP(A1225,Ingreso!AL:AM,2,FALSE),FALSE)/24,""))),"")=0,"",IFERROR(IF(C1225=C1223,0,IF(E1225=E1224,0,IF(C1225=$R$4,HLOOKUP($R$4,Ingreso!$AW$10:$BC$260,VLOOKUP(A1225,Ingreso!AL:AM,2,FALSE),FALSE)/24,""))),""))</f>
        <v/>
      </c>
      <c r="P1225" s="90"/>
      <c r="V1225"/>
      <c r="W1225" s="62"/>
      <c r="X1225" s="62"/>
      <c r="Y1225" s="62"/>
      <c r="Z1225" s="62"/>
      <c r="AA1225" s="62"/>
      <c r="AB1225" s="62"/>
      <c r="AC1225" s="62"/>
    </row>
    <row r="1226" spans="1:29">
      <c r="A1226" s="65" t="str">
        <f>IFERROR(VLOOKUP('Informe Kelly'!A1219,Base!A:B,2,FALSE),"")</f>
        <v/>
      </c>
      <c r="B1226" s="65" t="str">
        <f>IFERROR(VLOOKUP('Informe Kelly'!A1219,Base!A:G,7,FALSE),"")</f>
        <v/>
      </c>
      <c r="C1226" s="69">
        <f>IF(G1226=$C$4,IF('Informe Kelly'!H1219='Control informe Kelly'!$A$2,TEXT(((LEFT('Informe Kelly'!E1219,2)*1)+1),"dd")&amp;"."&amp;MID('Informe Kelly'!E1219,4,2)&amp;"."&amp;RIGHT('Informe Kelly'!E1219,4),'Informe Kelly'!E1219),'Informe Kelly'!E1219)</f>
        <v>0</v>
      </c>
      <c r="D1226" s="69" t="str">
        <f>IF('Informe Kelly'!E1219="","",'Informe Kelly'!E1219)</f>
        <v/>
      </c>
      <c r="E1226" s="72">
        <f t="shared" ref="E1226:E1289" si="39">IF(C1225=C1226,IF(C1226=C1223,E1225,IF(C1226=C1224,E1225+1,E1225)),E1225+1)</f>
        <v>581</v>
      </c>
      <c r="F1226" s="72" t="str">
        <f>IFERROR(HLOOKUP(C1226,Ingreso!$Q$8:$AD$9,2,FALSE),"v")</f>
        <v>v</v>
      </c>
      <c r="G1226" s="65" t="str">
        <f>IFERROR(VLOOKUP(A1226,Ingreso!K:P,6,FALSE),"no esta ingresado")</f>
        <v>no esta ingresado</v>
      </c>
      <c r="H1226" s="65" t="str">
        <f>IFERROR(IF('Informe Kelly'!H1219=$A$2,'Informe Kelly'!F1219,""),0)</f>
        <v/>
      </c>
      <c r="I1226" s="65" t="str">
        <f>IFERROR(IF('Informe Kelly'!H1219=$A$3,'Informe Kelly'!F1219,""),0)</f>
        <v/>
      </c>
      <c r="J1226" s="65" t="str">
        <f>IF(IFERROR(IF(E1226=E1225,0,(HLOOKUP(D1226,Ingreso!$AN$10:$AT$260,VLOOKUP(A1226,Ingreso!$AL$11:$AM$260,2,FALSE)))/24),0)=0,"",IFERROR(IF(E1226=E1225,0,(HLOOKUP(D1226,Ingreso!$AN$10:$AT$260,VLOOKUP(A1226,Ingreso!$AL$11:$AM$260,2,FALSE)))/24),0))</f>
        <v/>
      </c>
      <c r="K1226" s="65" t="str">
        <f>IF(IFERROR(IF(E1226=E1225,0,(HLOOKUP(C1226,Ingreso!$AW$10:$BC$260,VLOOKUP(A1226,Ingreso!$AL$11:$AM$260,2,FALSE)))/24),0)=0,"",IFERROR(IF(E1226=E1225,0,(HLOOKUP(C1226,Ingreso!$AW$10:$BC$260,VLOOKUP(A1226,Ingreso!$AL$11:$AM$260,2,FALSE)))/24),0))</f>
        <v/>
      </c>
      <c r="L1226" s="63">
        <f t="shared" si="38"/>
        <v>0</v>
      </c>
      <c r="M1226" s="63" t="str">
        <f>IF(IFERROR(IF(C1226=C1224,0,IF(E1226=E1225,0,IF(C1226=$R$2,HLOOKUP($R$2,Ingreso!$AW$10:$BC$260,VLOOKUP(A1226,Ingreso!AL:AM,2,FALSE),FALSE)/24,""))),"")=0,"",IFERROR(IF(C1226=C1224,0,IF(E1226=E1225,0,IF(C1226=$R$2,HLOOKUP($R$2,Ingreso!$AW$10:$BC$260,VLOOKUP(A1226,Ingreso!AL:AM,2,FALSE),FALSE)/24,""))),""))</f>
        <v/>
      </c>
      <c r="N1226" s="95" t="str">
        <f>IF(IFERROR(IF(C1226=C1224,0,IF(E1226=E1225,0,IF(C1226=$R$3,HLOOKUP($R$3,Ingreso!$AW$10:$BC$260,VLOOKUP(A1226,Ingreso!AL:AM,2,FALSE),FALSE)/24,""))),"")=0,"",IFERROR(IF(C1226=C1224,0,IF(E1226=E1225,0,IF(C1226=$R$3,HLOOKUP($R$3,Ingreso!$AW$10:$BC$260,VLOOKUP(A1226,Ingreso!AL:AM,2,FALSE),FALSE)/24,""))),""))</f>
        <v/>
      </c>
      <c r="O1226" s="95" t="str">
        <f>IF(IFERROR(IF(C1226=C1224,0,IF(E1226=E1225,0,IF(C1226=$R$4,HLOOKUP($R$4,Ingreso!$AW$10:$BC$260,VLOOKUP(A1226,Ingreso!AL:AM,2,FALSE),FALSE)/24,""))),"")=0,"",IFERROR(IF(C1226=C1224,0,IF(E1226=E1225,0,IF(C1226=$R$4,HLOOKUP($R$4,Ingreso!$AW$10:$BC$260,VLOOKUP(A1226,Ingreso!AL:AM,2,FALSE),FALSE)/24,""))),""))</f>
        <v/>
      </c>
      <c r="P1226" s="90"/>
      <c r="V1226"/>
      <c r="W1226" s="62"/>
      <c r="X1226" s="62"/>
      <c r="Y1226" s="62"/>
      <c r="Z1226" s="62"/>
      <c r="AA1226" s="62"/>
      <c r="AB1226" s="62"/>
      <c r="AC1226" s="62"/>
    </row>
    <row r="1227" spans="1:29">
      <c r="A1227" s="65" t="str">
        <f>IFERROR(VLOOKUP('Informe Kelly'!A1220,Base!A:B,2,FALSE),"")</f>
        <v/>
      </c>
      <c r="B1227" s="65" t="str">
        <f>IFERROR(VLOOKUP('Informe Kelly'!A1220,Base!A:G,7,FALSE),"")</f>
        <v/>
      </c>
      <c r="C1227" s="69">
        <f>IF(G1227=$C$4,IF('Informe Kelly'!H1220='Control informe Kelly'!$A$2,TEXT(((LEFT('Informe Kelly'!E1220,2)*1)+1),"dd")&amp;"."&amp;MID('Informe Kelly'!E1220,4,2)&amp;"."&amp;RIGHT('Informe Kelly'!E1220,4),'Informe Kelly'!E1220),'Informe Kelly'!E1220)</f>
        <v>0</v>
      </c>
      <c r="D1227" s="69" t="str">
        <f>IF('Informe Kelly'!E1220="","",'Informe Kelly'!E1220)</f>
        <v/>
      </c>
      <c r="E1227" s="72">
        <f t="shared" si="39"/>
        <v>581</v>
      </c>
      <c r="F1227" s="72" t="str">
        <f>IFERROR(HLOOKUP(C1227,Ingreso!$Q$8:$AD$9,2,FALSE),"v")</f>
        <v>v</v>
      </c>
      <c r="G1227" s="65" t="str">
        <f>IFERROR(VLOOKUP(A1227,Ingreso!K:P,6,FALSE),"no esta ingresado")</f>
        <v>no esta ingresado</v>
      </c>
      <c r="H1227" s="65" t="str">
        <f>IFERROR(IF('Informe Kelly'!H1220=$A$2,'Informe Kelly'!F1220,""),0)</f>
        <v/>
      </c>
      <c r="I1227" s="65" t="str">
        <f>IFERROR(IF('Informe Kelly'!H1220=$A$3,'Informe Kelly'!F1220,""),0)</f>
        <v/>
      </c>
      <c r="J1227" s="65" t="str">
        <f>IF(IFERROR(IF(E1227=E1226,0,(HLOOKUP(D1227,Ingreso!$AN$10:$AT$260,VLOOKUP(A1227,Ingreso!$AL$11:$AM$260,2,FALSE)))/24),0)=0,"",IFERROR(IF(E1227=E1226,0,(HLOOKUP(D1227,Ingreso!$AN$10:$AT$260,VLOOKUP(A1227,Ingreso!$AL$11:$AM$260,2,FALSE)))/24),0))</f>
        <v/>
      </c>
      <c r="K1227" s="65" t="str">
        <f>IF(IFERROR(IF(E1227=E1226,0,(HLOOKUP(C1227,Ingreso!$AW$10:$BC$260,VLOOKUP(A1227,Ingreso!$AL$11:$AM$260,2,FALSE)))/24),0)=0,"",IFERROR(IF(E1227=E1226,0,(HLOOKUP(C1227,Ingreso!$AW$10:$BC$260,VLOOKUP(A1227,Ingreso!$AL$11:$AM$260,2,FALSE)))/24),0))</f>
        <v/>
      </c>
      <c r="L1227" s="63">
        <f t="shared" si="38"/>
        <v>0</v>
      </c>
      <c r="M1227" s="63" t="str">
        <f>IF(IFERROR(IF(C1227=C1225,0,IF(E1227=E1226,0,IF(C1227=$R$2,HLOOKUP($R$2,Ingreso!$AW$10:$BC$260,VLOOKUP(A1227,Ingreso!AL:AM,2,FALSE),FALSE)/24,""))),"")=0,"",IFERROR(IF(C1227=C1225,0,IF(E1227=E1226,0,IF(C1227=$R$2,HLOOKUP($R$2,Ingreso!$AW$10:$BC$260,VLOOKUP(A1227,Ingreso!AL:AM,2,FALSE),FALSE)/24,""))),""))</f>
        <v/>
      </c>
      <c r="N1227" s="95" t="str">
        <f>IF(IFERROR(IF(C1227=C1225,0,IF(E1227=E1226,0,IF(C1227=$R$3,HLOOKUP($R$3,Ingreso!$AW$10:$BC$260,VLOOKUP(A1227,Ingreso!AL:AM,2,FALSE),FALSE)/24,""))),"")=0,"",IFERROR(IF(C1227=C1225,0,IF(E1227=E1226,0,IF(C1227=$R$3,HLOOKUP($R$3,Ingreso!$AW$10:$BC$260,VLOOKUP(A1227,Ingreso!AL:AM,2,FALSE),FALSE)/24,""))),""))</f>
        <v/>
      </c>
      <c r="O1227" s="95" t="str">
        <f>IF(IFERROR(IF(C1227=C1225,0,IF(E1227=E1226,0,IF(C1227=$R$4,HLOOKUP($R$4,Ingreso!$AW$10:$BC$260,VLOOKUP(A1227,Ingreso!AL:AM,2,FALSE),FALSE)/24,""))),"")=0,"",IFERROR(IF(C1227=C1225,0,IF(E1227=E1226,0,IF(C1227=$R$4,HLOOKUP($R$4,Ingreso!$AW$10:$BC$260,VLOOKUP(A1227,Ingreso!AL:AM,2,FALSE),FALSE)/24,""))),""))</f>
        <v/>
      </c>
      <c r="P1227" s="90"/>
      <c r="V1227"/>
      <c r="W1227" s="62"/>
      <c r="X1227" s="62"/>
      <c r="Y1227" s="62"/>
      <c r="Z1227" s="62"/>
      <c r="AA1227" s="62"/>
      <c r="AB1227" s="62"/>
      <c r="AC1227" s="62"/>
    </row>
    <row r="1228" spans="1:29">
      <c r="A1228" s="65" t="str">
        <f>IFERROR(VLOOKUP('Informe Kelly'!A1221,Base!A:B,2,FALSE),"")</f>
        <v/>
      </c>
      <c r="B1228" s="65" t="str">
        <f>IFERROR(VLOOKUP('Informe Kelly'!A1221,Base!A:G,7,FALSE),"")</f>
        <v/>
      </c>
      <c r="C1228" s="69">
        <f>IF(G1228=$C$4,IF('Informe Kelly'!H1221='Control informe Kelly'!$A$2,TEXT(((LEFT('Informe Kelly'!E1221,2)*1)+1),"dd")&amp;"."&amp;MID('Informe Kelly'!E1221,4,2)&amp;"."&amp;RIGHT('Informe Kelly'!E1221,4),'Informe Kelly'!E1221),'Informe Kelly'!E1221)</f>
        <v>0</v>
      </c>
      <c r="D1228" s="69" t="str">
        <f>IF('Informe Kelly'!E1221="","",'Informe Kelly'!E1221)</f>
        <v/>
      </c>
      <c r="E1228" s="72">
        <f t="shared" si="39"/>
        <v>581</v>
      </c>
      <c r="F1228" s="72" t="str">
        <f>IFERROR(HLOOKUP(C1228,Ingreso!$Q$8:$AD$9,2,FALSE),"v")</f>
        <v>v</v>
      </c>
      <c r="G1228" s="65" t="str">
        <f>IFERROR(VLOOKUP(A1228,Ingreso!K:P,6,FALSE),"no esta ingresado")</f>
        <v>no esta ingresado</v>
      </c>
      <c r="H1228" s="65" t="str">
        <f>IFERROR(IF('Informe Kelly'!H1221=$A$2,'Informe Kelly'!F1221,""),0)</f>
        <v/>
      </c>
      <c r="I1228" s="65" t="str">
        <f>IFERROR(IF('Informe Kelly'!H1221=$A$3,'Informe Kelly'!F1221,""),0)</f>
        <v/>
      </c>
      <c r="J1228" s="65" t="str">
        <f>IF(IFERROR(IF(E1228=E1227,0,(HLOOKUP(D1228,Ingreso!$AN$10:$AT$260,VLOOKUP(A1228,Ingreso!$AL$11:$AM$260,2,FALSE)))/24),0)=0,"",IFERROR(IF(E1228=E1227,0,(HLOOKUP(D1228,Ingreso!$AN$10:$AT$260,VLOOKUP(A1228,Ingreso!$AL$11:$AM$260,2,FALSE)))/24),0))</f>
        <v/>
      </c>
      <c r="K1228" s="65" t="str">
        <f>IF(IFERROR(IF(E1228=E1227,0,(HLOOKUP(C1228,Ingreso!$AW$10:$BC$260,VLOOKUP(A1228,Ingreso!$AL$11:$AM$260,2,FALSE)))/24),0)=0,"",IFERROR(IF(E1228=E1227,0,(HLOOKUP(C1228,Ingreso!$AW$10:$BC$260,VLOOKUP(A1228,Ingreso!$AL$11:$AM$260,2,FALSE)))/24),0))</f>
        <v/>
      </c>
      <c r="L1228" s="63">
        <f t="shared" si="38"/>
        <v>0</v>
      </c>
      <c r="M1228" s="63" t="str">
        <f>IF(IFERROR(IF(C1228=C1226,0,IF(E1228=E1227,0,IF(C1228=$R$2,HLOOKUP($R$2,Ingreso!$AW$10:$BC$260,VLOOKUP(A1228,Ingreso!AL:AM,2,FALSE),FALSE)/24,""))),"")=0,"",IFERROR(IF(C1228=C1226,0,IF(E1228=E1227,0,IF(C1228=$R$2,HLOOKUP($R$2,Ingreso!$AW$10:$BC$260,VLOOKUP(A1228,Ingreso!AL:AM,2,FALSE),FALSE)/24,""))),""))</f>
        <v/>
      </c>
      <c r="N1228" s="95" t="str">
        <f>IF(IFERROR(IF(C1228=C1226,0,IF(E1228=E1227,0,IF(C1228=$R$3,HLOOKUP($R$3,Ingreso!$AW$10:$BC$260,VLOOKUP(A1228,Ingreso!AL:AM,2,FALSE),FALSE)/24,""))),"")=0,"",IFERROR(IF(C1228=C1226,0,IF(E1228=E1227,0,IF(C1228=$R$3,HLOOKUP($R$3,Ingreso!$AW$10:$BC$260,VLOOKUP(A1228,Ingreso!AL:AM,2,FALSE),FALSE)/24,""))),""))</f>
        <v/>
      </c>
      <c r="O1228" s="95" t="str">
        <f>IF(IFERROR(IF(C1228=C1226,0,IF(E1228=E1227,0,IF(C1228=$R$4,HLOOKUP($R$4,Ingreso!$AW$10:$BC$260,VLOOKUP(A1228,Ingreso!AL:AM,2,FALSE),FALSE)/24,""))),"")=0,"",IFERROR(IF(C1228=C1226,0,IF(E1228=E1227,0,IF(C1228=$R$4,HLOOKUP($R$4,Ingreso!$AW$10:$BC$260,VLOOKUP(A1228,Ingreso!AL:AM,2,FALSE),FALSE)/24,""))),""))</f>
        <v/>
      </c>
      <c r="P1228" s="90"/>
      <c r="V1228"/>
      <c r="W1228" s="62"/>
      <c r="X1228" s="62"/>
      <c r="Y1228" s="62"/>
      <c r="Z1228" s="62"/>
      <c r="AA1228" s="62"/>
      <c r="AB1228" s="62"/>
      <c r="AC1228" s="62"/>
    </row>
    <row r="1229" spans="1:29">
      <c r="A1229" s="65" t="str">
        <f>IFERROR(VLOOKUP('Informe Kelly'!A1222,Base!A:B,2,FALSE),"")</f>
        <v/>
      </c>
      <c r="B1229" s="65" t="str">
        <f>IFERROR(VLOOKUP('Informe Kelly'!A1222,Base!A:G,7,FALSE),"")</f>
        <v/>
      </c>
      <c r="C1229" s="69">
        <f>IF(G1229=$C$4,IF('Informe Kelly'!H1222='Control informe Kelly'!$A$2,TEXT(((LEFT('Informe Kelly'!E1222,2)*1)+1),"dd")&amp;"."&amp;MID('Informe Kelly'!E1222,4,2)&amp;"."&amp;RIGHT('Informe Kelly'!E1222,4),'Informe Kelly'!E1222),'Informe Kelly'!E1222)</f>
        <v>0</v>
      </c>
      <c r="D1229" s="69" t="str">
        <f>IF('Informe Kelly'!E1222="","",'Informe Kelly'!E1222)</f>
        <v/>
      </c>
      <c r="E1229" s="72">
        <f t="shared" si="39"/>
        <v>581</v>
      </c>
      <c r="F1229" s="72" t="str">
        <f>IFERROR(HLOOKUP(C1229,Ingreso!$Q$8:$AD$9,2,FALSE),"v")</f>
        <v>v</v>
      </c>
      <c r="G1229" s="65" t="str">
        <f>IFERROR(VLOOKUP(A1229,Ingreso!K:P,6,FALSE),"no esta ingresado")</f>
        <v>no esta ingresado</v>
      </c>
      <c r="H1229" s="65" t="str">
        <f>IFERROR(IF('Informe Kelly'!H1222=$A$2,'Informe Kelly'!F1222,""),0)</f>
        <v/>
      </c>
      <c r="I1229" s="65" t="str">
        <f>IFERROR(IF('Informe Kelly'!H1222=$A$3,'Informe Kelly'!F1222,""),0)</f>
        <v/>
      </c>
      <c r="J1229" s="65" t="str">
        <f>IF(IFERROR(IF(E1229=E1228,0,(HLOOKUP(D1229,Ingreso!$AN$10:$AT$260,VLOOKUP(A1229,Ingreso!$AL$11:$AM$260,2,FALSE)))/24),0)=0,"",IFERROR(IF(E1229=E1228,0,(HLOOKUP(D1229,Ingreso!$AN$10:$AT$260,VLOOKUP(A1229,Ingreso!$AL$11:$AM$260,2,FALSE)))/24),0))</f>
        <v/>
      </c>
      <c r="K1229" s="65" t="str">
        <f>IF(IFERROR(IF(E1229=E1228,0,(HLOOKUP(C1229,Ingreso!$AW$10:$BC$260,VLOOKUP(A1229,Ingreso!$AL$11:$AM$260,2,FALSE)))/24),0)=0,"",IFERROR(IF(E1229=E1228,0,(HLOOKUP(C1229,Ingreso!$AW$10:$BC$260,VLOOKUP(A1229,Ingreso!$AL$11:$AM$260,2,FALSE)))/24),0))</f>
        <v/>
      </c>
      <c r="L1229" s="63">
        <f t="shared" si="38"/>
        <v>0</v>
      </c>
      <c r="M1229" s="63" t="str">
        <f>IF(IFERROR(IF(C1229=C1227,0,IF(E1229=E1228,0,IF(C1229=$R$2,HLOOKUP($R$2,Ingreso!$AW$10:$BC$260,VLOOKUP(A1229,Ingreso!AL:AM,2,FALSE),FALSE)/24,""))),"")=0,"",IFERROR(IF(C1229=C1227,0,IF(E1229=E1228,0,IF(C1229=$R$2,HLOOKUP($R$2,Ingreso!$AW$10:$BC$260,VLOOKUP(A1229,Ingreso!AL:AM,2,FALSE),FALSE)/24,""))),""))</f>
        <v/>
      </c>
      <c r="N1229" s="95" t="str">
        <f>IF(IFERROR(IF(C1229=C1227,0,IF(E1229=E1228,0,IF(C1229=$R$3,HLOOKUP($R$3,Ingreso!$AW$10:$BC$260,VLOOKUP(A1229,Ingreso!AL:AM,2,FALSE),FALSE)/24,""))),"")=0,"",IFERROR(IF(C1229=C1227,0,IF(E1229=E1228,0,IF(C1229=$R$3,HLOOKUP($R$3,Ingreso!$AW$10:$BC$260,VLOOKUP(A1229,Ingreso!AL:AM,2,FALSE),FALSE)/24,""))),""))</f>
        <v/>
      </c>
      <c r="O1229" s="95" t="str">
        <f>IF(IFERROR(IF(C1229=C1227,0,IF(E1229=E1228,0,IF(C1229=$R$4,HLOOKUP($R$4,Ingreso!$AW$10:$BC$260,VLOOKUP(A1229,Ingreso!AL:AM,2,FALSE),FALSE)/24,""))),"")=0,"",IFERROR(IF(C1229=C1227,0,IF(E1229=E1228,0,IF(C1229=$R$4,HLOOKUP($R$4,Ingreso!$AW$10:$BC$260,VLOOKUP(A1229,Ingreso!AL:AM,2,FALSE),FALSE)/24,""))),""))</f>
        <v/>
      </c>
      <c r="P1229" s="90"/>
      <c r="V1229"/>
      <c r="W1229" s="62"/>
      <c r="X1229" s="62"/>
      <c r="Y1229" s="62"/>
      <c r="Z1229" s="62"/>
      <c r="AA1229" s="62"/>
      <c r="AB1229" s="62"/>
      <c r="AC1229" s="62"/>
    </row>
    <row r="1230" spans="1:29">
      <c r="A1230" s="65" t="str">
        <f>IFERROR(VLOOKUP('Informe Kelly'!A1223,Base!A:B,2,FALSE),"")</f>
        <v/>
      </c>
      <c r="B1230" s="65" t="str">
        <f>IFERROR(VLOOKUP('Informe Kelly'!A1223,Base!A:G,7,FALSE),"")</f>
        <v/>
      </c>
      <c r="C1230" s="69">
        <f>IF(G1230=$C$4,IF('Informe Kelly'!H1223='Control informe Kelly'!$A$2,TEXT(((LEFT('Informe Kelly'!E1223,2)*1)+1),"dd")&amp;"."&amp;MID('Informe Kelly'!E1223,4,2)&amp;"."&amp;RIGHT('Informe Kelly'!E1223,4),'Informe Kelly'!E1223),'Informe Kelly'!E1223)</f>
        <v>0</v>
      </c>
      <c r="D1230" s="69" t="str">
        <f>IF('Informe Kelly'!E1223="","",'Informe Kelly'!E1223)</f>
        <v/>
      </c>
      <c r="E1230" s="72">
        <f t="shared" si="39"/>
        <v>581</v>
      </c>
      <c r="F1230" s="72" t="str">
        <f>IFERROR(HLOOKUP(C1230,Ingreso!$Q$8:$AD$9,2,FALSE),"v")</f>
        <v>v</v>
      </c>
      <c r="G1230" s="65" t="str">
        <f>IFERROR(VLOOKUP(A1230,Ingreso!K:P,6,FALSE),"no esta ingresado")</f>
        <v>no esta ingresado</v>
      </c>
      <c r="H1230" s="65" t="str">
        <f>IFERROR(IF('Informe Kelly'!H1223=$A$2,'Informe Kelly'!F1223,""),0)</f>
        <v/>
      </c>
      <c r="I1230" s="65" t="str">
        <f>IFERROR(IF('Informe Kelly'!H1223=$A$3,'Informe Kelly'!F1223,""),0)</f>
        <v/>
      </c>
      <c r="J1230" s="65" t="str">
        <f>IF(IFERROR(IF(E1230=E1229,0,(HLOOKUP(D1230,Ingreso!$AN$10:$AT$260,VLOOKUP(A1230,Ingreso!$AL$11:$AM$260,2,FALSE)))/24),0)=0,"",IFERROR(IF(E1230=E1229,0,(HLOOKUP(D1230,Ingreso!$AN$10:$AT$260,VLOOKUP(A1230,Ingreso!$AL$11:$AM$260,2,FALSE)))/24),0))</f>
        <v/>
      </c>
      <c r="K1230" s="65" t="str">
        <f>IF(IFERROR(IF(E1230=E1229,0,(HLOOKUP(C1230,Ingreso!$AW$10:$BC$260,VLOOKUP(A1230,Ingreso!$AL$11:$AM$260,2,FALSE)))/24),0)=0,"",IFERROR(IF(E1230=E1229,0,(HLOOKUP(C1230,Ingreso!$AW$10:$BC$260,VLOOKUP(A1230,Ingreso!$AL$11:$AM$260,2,FALSE)))/24),0))</f>
        <v/>
      </c>
      <c r="L1230" s="63">
        <f t="shared" si="38"/>
        <v>0</v>
      </c>
      <c r="M1230" s="63" t="str">
        <f>IF(IFERROR(IF(C1230=C1228,0,IF(E1230=E1229,0,IF(C1230=$R$2,HLOOKUP($R$2,Ingreso!$AW$10:$BC$260,VLOOKUP(A1230,Ingreso!AL:AM,2,FALSE),FALSE)/24,""))),"")=0,"",IFERROR(IF(C1230=C1228,0,IF(E1230=E1229,0,IF(C1230=$R$2,HLOOKUP($R$2,Ingreso!$AW$10:$BC$260,VLOOKUP(A1230,Ingreso!AL:AM,2,FALSE),FALSE)/24,""))),""))</f>
        <v/>
      </c>
      <c r="N1230" s="95" t="str">
        <f>IF(IFERROR(IF(C1230=C1228,0,IF(E1230=E1229,0,IF(C1230=$R$3,HLOOKUP($R$3,Ingreso!$AW$10:$BC$260,VLOOKUP(A1230,Ingreso!AL:AM,2,FALSE),FALSE)/24,""))),"")=0,"",IFERROR(IF(C1230=C1228,0,IF(E1230=E1229,0,IF(C1230=$R$3,HLOOKUP($R$3,Ingreso!$AW$10:$BC$260,VLOOKUP(A1230,Ingreso!AL:AM,2,FALSE),FALSE)/24,""))),""))</f>
        <v/>
      </c>
      <c r="O1230" s="95" t="str">
        <f>IF(IFERROR(IF(C1230=C1228,0,IF(E1230=E1229,0,IF(C1230=$R$4,HLOOKUP($R$4,Ingreso!$AW$10:$BC$260,VLOOKUP(A1230,Ingreso!AL:AM,2,FALSE),FALSE)/24,""))),"")=0,"",IFERROR(IF(C1230=C1228,0,IF(E1230=E1229,0,IF(C1230=$R$4,HLOOKUP($R$4,Ingreso!$AW$10:$BC$260,VLOOKUP(A1230,Ingreso!AL:AM,2,FALSE),FALSE)/24,""))),""))</f>
        <v/>
      </c>
      <c r="P1230" s="90"/>
      <c r="V1230"/>
      <c r="W1230" s="62"/>
      <c r="X1230" s="62"/>
      <c r="Y1230" s="62"/>
      <c r="Z1230" s="62"/>
      <c r="AA1230" s="62"/>
      <c r="AB1230" s="62"/>
      <c r="AC1230" s="62"/>
    </row>
    <row r="1231" spans="1:29">
      <c r="A1231" s="65" t="str">
        <f>IFERROR(VLOOKUP('Informe Kelly'!A1224,Base!A:B,2,FALSE),"")</f>
        <v/>
      </c>
      <c r="B1231" s="65" t="str">
        <f>IFERROR(VLOOKUP('Informe Kelly'!A1224,Base!A:G,7,FALSE),"")</f>
        <v/>
      </c>
      <c r="C1231" s="69">
        <f>IF(G1231=$C$4,IF('Informe Kelly'!H1224='Control informe Kelly'!$A$2,TEXT(((LEFT('Informe Kelly'!E1224,2)*1)+1),"dd")&amp;"."&amp;MID('Informe Kelly'!E1224,4,2)&amp;"."&amp;RIGHT('Informe Kelly'!E1224,4),'Informe Kelly'!E1224),'Informe Kelly'!E1224)</f>
        <v>0</v>
      </c>
      <c r="D1231" s="69" t="str">
        <f>IF('Informe Kelly'!E1224="","",'Informe Kelly'!E1224)</f>
        <v/>
      </c>
      <c r="E1231" s="72">
        <f t="shared" si="39"/>
        <v>581</v>
      </c>
      <c r="F1231" s="72" t="str">
        <f>IFERROR(HLOOKUP(C1231,Ingreso!$Q$8:$AD$9,2,FALSE),"v")</f>
        <v>v</v>
      </c>
      <c r="G1231" s="65" t="str">
        <f>IFERROR(VLOOKUP(A1231,Ingreso!K:P,6,FALSE),"no esta ingresado")</f>
        <v>no esta ingresado</v>
      </c>
      <c r="H1231" s="65" t="str">
        <f>IFERROR(IF('Informe Kelly'!H1224=$A$2,'Informe Kelly'!F1224,""),0)</f>
        <v/>
      </c>
      <c r="I1231" s="65" t="str">
        <f>IFERROR(IF('Informe Kelly'!H1224=$A$3,'Informe Kelly'!F1224,""),0)</f>
        <v/>
      </c>
      <c r="J1231" s="65" t="str">
        <f>IF(IFERROR(IF(E1231=E1230,0,(HLOOKUP(D1231,Ingreso!$AN$10:$AT$260,VLOOKUP(A1231,Ingreso!$AL$11:$AM$260,2,FALSE)))/24),0)=0,"",IFERROR(IF(E1231=E1230,0,(HLOOKUP(D1231,Ingreso!$AN$10:$AT$260,VLOOKUP(A1231,Ingreso!$AL$11:$AM$260,2,FALSE)))/24),0))</f>
        <v/>
      </c>
      <c r="K1231" s="65" t="str">
        <f>IF(IFERROR(IF(E1231=E1230,0,(HLOOKUP(C1231,Ingreso!$AW$10:$BC$260,VLOOKUP(A1231,Ingreso!$AL$11:$AM$260,2,FALSE)))/24),0)=0,"",IFERROR(IF(E1231=E1230,0,(HLOOKUP(C1231,Ingreso!$AW$10:$BC$260,VLOOKUP(A1231,Ingreso!$AL$11:$AM$260,2,FALSE)))/24),0))</f>
        <v/>
      </c>
      <c r="L1231" s="63">
        <f t="shared" si="38"/>
        <v>0</v>
      </c>
      <c r="M1231" s="63" t="str">
        <f>IF(IFERROR(IF(C1231=C1229,0,IF(E1231=E1230,0,IF(C1231=$R$2,HLOOKUP($R$2,Ingreso!$AW$10:$BC$260,VLOOKUP(A1231,Ingreso!AL:AM,2,FALSE),FALSE)/24,""))),"")=0,"",IFERROR(IF(C1231=C1229,0,IF(E1231=E1230,0,IF(C1231=$R$2,HLOOKUP($R$2,Ingreso!$AW$10:$BC$260,VLOOKUP(A1231,Ingreso!AL:AM,2,FALSE),FALSE)/24,""))),""))</f>
        <v/>
      </c>
      <c r="N1231" s="95" t="str">
        <f>IF(IFERROR(IF(C1231=C1229,0,IF(E1231=E1230,0,IF(C1231=$R$3,HLOOKUP($R$3,Ingreso!$AW$10:$BC$260,VLOOKUP(A1231,Ingreso!AL:AM,2,FALSE),FALSE)/24,""))),"")=0,"",IFERROR(IF(C1231=C1229,0,IF(E1231=E1230,0,IF(C1231=$R$3,HLOOKUP($R$3,Ingreso!$AW$10:$BC$260,VLOOKUP(A1231,Ingreso!AL:AM,2,FALSE),FALSE)/24,""))),""))</f>
        <v/>
      </c>
      <c r="O1231" s="95" t="str">
        <f>IF(IFERROR(IF(C1231=C1229,0,IF(E1231=E1230,0,IF(C1231=$R$4,HLOOKUP($R$4,Ingreso!$AW$10:$BC$260,VLOOKUP(A1231,Ingreso!AL:AM,2,FALSE),FALSE)/24,""))),"")=0,"",IFERROR(IF(C1231=C1229,0,IF(E1231=E1230,0,IF(C1231=$R$4,HLOOKUP($R$4,Ingreso!$AW$10:$BC$260,VLOOKUP(A1231,Ingreso!AL:AM,2,FALSE),FALSE)/24,""))),""))</f>
        <v/>
      </c>
      <c r="P1231" s="90"/>
      <c r="V1231"/>
      <c r="W1231" s="62"/>
      <c r="X1231" s="62"/>
      <c r="Y1231" s="62"/>
      <c r="Z1231" s="62"/>
      <c r="AA1231" s="62"/>
      <c r="AB1231" s="62"/>
      <c r="AC1231" s="62"/>
    </row>
    <row r="1232" spans="1:29">
      <c r="A1232" s="65" t="str">
        <f>IFERROR(VLOOKUP('Informe Kelly'!A1225,Base!A:B,2,FALSE),"")</f>
        <v/>
      </c>
      <c r="B1232" s="65" t="str">
        <f>IFERROR(VLOOKUP('Informe Kelly'!A1225,Base!A:G,7,FALSE),"")</f>
        <v/>
      </c>
      <c r="C1232" s="69">
        <f>IF(G1232=$C$4,IF('Informe Kelly'!H1225='Control informe Kelly'!$A$2,TEXT(((LEFT('Informe Kelly'!E1225,2)*1)+1),"dd")&amp;"."&amp;MID('Informe Kelly'!E1225,4,2)&amp;"."&amp;RIGHT('Informe Kelly'!E1225,4),'Informe Kelly'!E1225),'Informe Kelly'!E1225)</f>
        <v>0</v>
      </c>
      <c r="D1232" s="69" t="str">
        <f>IF('Informe Kelly'!E1225="","",'Informe Kelly'!E1225)</f>
        <v/>
      </c>
      <c r="E1232" s="72">
        <f t="shared" si="39"/>
        <v>581</v>
      </c>
      <c r="F1232" s="72" t="str">
        <f>IFERROR(HLOOKUP(C1232,Ingreso!$Q$8:$AD$9,2,FALSE),"v")</f>
        <v>v</v>
      </c>
      <c r="G1232" s="65" t="str">
        <f>IFERROR(VLOOKUP(A1232,Ingreso!K:P,6,FALSE),"no esta ingresado")</f>
        <v>no esta ingresado</v>
      </c>
      <c r="H1232" s="65" t="str">
        <f>IFERROR(IF('Informe Kelly'!H1225=$A$2,'Informe Kelly'!F1225,""),0)</f>
        <v/>
      </c>
      <c r="I1232" s="65" t="str">
        <f>IFERROR(IF('Informe Kelly'!H1225=$A$3,'Informe Kelly'!F1225,""),0)</f>
        <v/>
      </c>
      <c r="J1232" s="65" t="str">
        <f>IF(IFERROR(IF(E1232=E1231,0,(HLOOKUP(D1232,Ingreso!$AN$10:$AT$260,VLOOKUP(A1232,Ingreso!$AL$11:$AM$260,2,FALSE)))/24),0)=0,"",IFERROR(IF(E1232=E1231,0,(HLOOKUP(D1232,Ingreso!$AN$10:$AT$260,VLOOKUP(A1232,Ingreso!$AL$11:$AM$260,2,FALSE)))/24),0))</f>
        <v/>
      </c>
      <c r="K1232" s="65" t="str">
        <f>IF(IFERROR(IF(E1232=E1231,0,(HLOOKUP(C1232,Ingreso!$AW$10:$BC$260,VLOOKUP(A1232,Ingreso!$AL$11:$AM$260,2,FALSE)))/24),0)=0,"",IFERROR(IF(E1232=E1231,0,(HLOOKUP(C1232,Ingreso!$AW$10:$BC$260,VLOOKUP(A1232,Ingreso!$AL$11:$AM$260,2,FALSE)))/24),0))</f>
        <v/>
      </c>
      <c r="L1232" s="63">
        <f t="shared" si="38"/>
        <v>0</v>
      </c>
      <c r="M1232" s="63" t="str">
        <f>IF(IFERROR(IF(C1232=C1230,0,IF(E1232=E1231,0,IF(C1232=$R$2,HLOOKUP($R$2,Ingreso!$AW$10:$BC$260,VLOOKUP(A1232,Ingreso!AL:AM,2,FALSE),FALSE)/24,""))),"")=0,"",IFERROR(IF(C1232=C1230,0,IF(E1232=E1231,0,IF(C1232=$R$2,HLOOKUP($R$2,Ingreso!$AW$10:$BC$260,VLOOKUP(A1232,Ingreso!AL:AM,2,FALSE),FALSE)/24,""))),""))</f>
        <v/>
      </c>
      <c r="N1232" s="95" t="str">
        <f>IF(IFERROR(IF(C1232=C1230,0,IF(E1232=E1231,0,IF(C1232=$R$3,HLOOKUP($R$3,Ingreso!$AW$10:$BC$260,VLOOKUP(A1232,Ingreso!AL:AM,2,FALSE),FALSE)/24,""))),"")=0,"",IFERROR(IF(C1232=C1230,0,IF(E1232=E1231,0,IF(C1232=$R$3,HLOOKUP($R$3,Ingreso!$AW$10:$BC$260,VLOOKUP(A1232,Ingreso!AL:AM,2,FALSE),FALSE)/24,""))),""))</f>
        <v/>
      </c>
      <c r="O1232" s="95" t="str">
        <f>IF(IFERROR(IF(C1232=C1230,0,IF(E1232=E1231,0,IF(C1232=$R$4,HLOOKUP($R$4,Ingreso!$AW$10:$BC$260,VLOOKUP(A1232,Ingreso!AL:AM,2,FALSE),FALSE)/24,""))),"")=0,"",IFERROR(IF(C1232=C1230,0,IF(E1232=E1231,0,IF(C1232=$R$4,HLOOKUP($R$4,Ingreso!$AW$10:$BC$260,VLOOKUP(A1232,Ingreso!AL:AM,2,FALSE),FALSE)/24,""))),""))</f>
        <v/>
      </c>
      <c r="P1232" s="90"/>
      <c r="V1232"/>
      <c r="W1232" s="62"/>
      <c r="X1232" s="62"/>
      <c r="Y1232" s="62"/>
      <c r="Z1232" s="62"/>
      <c r="AA1232" s="62"/>
      <c r="AB1232" s="62"/>
      <c r="AC1232" s="62"/>
    </row>
    <row r="1233" spans="1:29">
      <c r="A1233" s="65" t="str">
        <f>IFERROR(VLOOKUP('Informe Kelly'!A1226,Base!A:B,2,FALSE),"")</f>
        <v/>
      </c>
      <c r="B1233" s="65" t="str">
        <f>IFERROR(VLOOKUP('Informe Kelly'!A1226,Base!A:G,7,FALSE),"")</f>
        <v/>
      </c>
      <c r="C1233" s="69">
        <f>IF(G1233=$C$4,IF('Informe Kelly'!H1226='Control informe Kelly'!$A$2,TEXT(((LEFT('Informe Kelly'!E1226,2)*1)+1),"dd")&amp;"."&amp;MID('Informe Kelly'!E1226,4,2)&amp;"."&amp;RIGHT('Informe Kelly'!E1226,4),'Informe Kelly'!E1226),'Informe Kelly'!E1226)</f>
        <v>0</v>
      </c>
      <c r="D1233" s="69" t="str">
        <f>IF('Informe Kelly'!E1226="","",'Informe Kelly'!E1226)</f>
        <v/>
      </c>
      <c r="E1233" s="72">
        <f t="shared" si="39"/>
        <v>581</v>
      </c>
      <c r="F1233" s="72" t="str">
        <f>IFERROR(HLOOKUP(C1233,Ingreso!$Q$8:$AD$9,2,FALSE),"v")</f>
        <v>v</v>
      </c>
      <c r="G1233" s="65" t="str">
        <f>IFERROR(VLOOKUP(A1233,Ingreso!K:P,6,FALSE),"no esta ingresado")</f>
        <v>no esta ingresado</v>
      </c>
      <c r="H1233" s="65" t="str">
        <f>IFERROR(IF('Informe Kelly'!H1226=$A$2,'Informe Kelly'!F1226,""),0)</f>
        <v/>
      </c>
      <c r="I1233" s="65" t="str">
        <f>IFERROR(IF('Informe Kelly'!H1226=$A$3,'Informe Kelly'!F1226,""),0)</f>
        <v/>
      </c>
      <c r="J1233" s="65" t="str">
        <f>IF(IFERROR(IF(E1233=E1232,0,(HLOOKUP(D1233,Ingreso!$AN$10:$AT$260,VLOOKUP(A1233,Ingreso!$AL$11:$AM$260,2,FALSE)))/24),0)=0,"",IFERROR(IF(E1233=E1232,0,(HLOOKUP(D1233,Ingreso!$AN$10:$AT$260,VLOOKUP(A1233,Ingreso!$AL$11:$AM$260,2,FALSE)))/24),0))</f>
        <v/>
      </c>
      <c r="K1233" s="65" t="str">
        <f>IF(IFERROR(IF(E1233=E1232,0,(HLOOKUP(C1233,Ingreso!$AW$10:$BC$260,VLOOKUP(A1233,Ingreso!$AL$11:$AM$260,2,FALSE)))/24),0)=0,"",IFERROR(IF(E1233=E1232,0,(HLOOKUP(C1233,Ingreso!$AW$10:$BC$260,VLOOKUP(A1233,Ingreso!$AL$11:$AM$260,2,FALSE)))/24),0))</f>
        <v/>
      </c>
      <c r="L1233" s="63">
        <f t="shared" si="38"/>
        <v>0</v>
      </c>
      <c r="M1233" s="63" t="str">
        <f>IF(IFERROR(IF(C1233=C1231,0,IF(E1233=E1232,0,IF(C1233=$R$2,HLOOKUP($R$2,Ingreso!$AW$10:$BC$260,VLOOKUP(A1233,Ingreso!AL:AM,2,FALSE),FALSE)/24,""))),"")=0,"",IFERROR(IF(C1233=C1231,0,IF(E1233=E1232,0,IF(C1233=$R$2,HLOOKUP($R$2,Ingreso!$AW$10:$BC$260,VLOOKUP(A1233,Ingreso!AL:AM,2,FALSE),FALSE)/24,""))),""))</f>
        <v/>
      </c>
      <c r="N1233" s="95" t="str">
        <f>IF(IFERROR(IF(C1233=C1231,0,IF(E1233=E1232,0,IF(C1233=$R$3,HLOOKUP($R$3,Ingreso!$AW$10:$BC$260,VLOOKUP(A1233,Ingreso!AL:AM,2,FALSE),FALSE)/24,""))),"")=0,"",IFERROR(IF(C1233=C1231,0,IF(E1233=E1232,0,IF(C1233=$R$3,HLOOKUP($R$3,Ingreso!$AW$10:$BC$260,VLOOKUP(A1233,Ingreso!AL:AM,2,FALSE),FALSE)/24,""))),""))</f>
        <v/>
      </c>
      <c r="O1233" s="95" t="str">
        <f>IF(IFERROR(IF(C1233=C1231,0,IF(E1233=E1232,0,IF(C1233=$R$4,HLOOKUP($R$4,Ingreso!$AW$10:$BC$260,VLOOKUP(A1233,Ingreso!AL:AM,2,FALSE),FALSE)/24,""))),"")=0,"",IFERROR(IF(C1233=C1231,0,IF(E1233=E1232,0,IF(C1233=$R$4,HLOOKUP($R$4,Ingreso!$AW$10:$BC$260,VLOOKUP(A1233,Ingreso!AL:AM,2,FALSE),FALSE)/24,""))),""))</f>
        <v/>
      </c>
      <c r="P1233" s="90"/>
      <c r="V1233"/>
      <c r="W1233" s="62"/>
      <c r="X1233" s="62"/>
      <c r="Y1233" s="62"/>
      <c r="Z1233" s="62"/>
      <c r="AA1233" s="62"/>
      <c r="AB1233" s="62"/>
      <c r="AC1233" s="62"/>
    </row>
    <row r="1234" spans="1:29">
      <c r="A1234" s="65" t="str">
        <f>IFERROR(VLOOKUP('Informe Kelly'!A1227,Base!A:B,2,FALSE),"")</f>
        <v/>
      </c>
      <c r="B1234" s="65" t="str">
        <f>IFERROR(VLOOKUP('Informe Kelly'!A1227,Base!A:G,7,FALSE),"")</f>
        <v/>
      </c>
      <c r="C1234" s="69">
        <f>IF(G1234=$C$4,IF('Informe Kelly'!H1227='Control informe Kelly'!$A$2,TEXT(((LEFT('Informe Kelly'!E1227,2)*1)+1),"dd")&amp;"."&amp;MID('Informe Kelly'!E1227,4,2)&amp;"."&amp;RIGHT('Informe Kelly'!E1227,4),'Informe Kelly'!E1227),'Informe Kelly'!E1227)</f>
        <v>0</v>
      </c>
      <c r="D1234" s="69" t="str">
        <f>IF('Informe Kelly'!E1227="","",'Informe Kelly'!E1227)</f>
        <v/>
      </c>
      <c r="E1234" s="72">
        <f t="shared" si="39"/>
        <v>581</v>
      </c>
      <c r="F1234" s="72" t="str">
        <f>IFERROR(HLOOKUP(C1234,Ingreso!$Q$8:$AD$9,2,FALSE),"v")</f>
        <v>v</v>
      </c>
      <c r="G1234" s="65" t="str">
        <f>IFERROR(VLOOKUP(A1234,Ingreso!K:P,6,FALSE),"no esta ingresado")</f>
        <v>no esta ingresado</v>
      </c>
      <c r="H1234" s="65" t="str">
        <f>IFERROR(IF('Informe Kelly'!H1227=$A$2,'Informe Kelly'!F1227,""),0)</f>
        <v/>
      </c>
      <c r="I1234" s="65" t="str">
        <f>IFERROR(IF('Informe Kelly'!H1227=$A$3,'Informe Kelly'!F1227,""),0)</f>
        <v/>
      </c>
      <c r="J1234" s="65" t="str">
        <f>IF(IFERROR(IF(E1234=E1233,0,(HLOOKUP(D1234,Ingreso!$AN$10:$AT$260,VLOOKUP(A1234,Ingreso!$AL$11:$AM$260,2,FALSE)))/24),0)=0,"",IFERROR(IF(E1234=E1233,0,(HLOOKUP(D1234,Ingreso!$AN$10:$AT$260,VLOOKUP(A1234,Ingreso!$AL$11:$AM$260,2,FALSE)))/24),0))</f>
        <v/>
      </c>
      <c r="K1234" s="65" t="str">
        <f>IF(IFERROR(IF(E1234=E1233,0,(HLOOKUP(C1234,Ingreso!$AW$10:$BC$260,VLOOKUP(A1234,Ingreso!$AL$11:$AM$260,2,FALSE)))/24),0)=0,"",IFERROR(IF(E1234=E1233,0,(HLOOKUP(C1234,Ingreso!$AW$10:$BC$260,VLOOKUP(A1234,Ingreso!$AL$11:$AM$260,2,FALSE)))/24),0))</f>
        <v/>
      </c>
      <c r="L1234" s="63">
        <f t="shared" si="38"/>
        <v>0</v>
      </c>
      <c r="M1234" s="63" t="str">
        <f>IF(IFERROR(IF(C1234=C1232,0,IF(E1234=E1233,0,IF(C1234=$R$2,HLOOKUP($R$2,Ingreso!$AW$10:$BC$260,VLOOKUP(A1234,Ingreso!AL:AM,2,FALSE),FALSE)/24,""))),"")=0,"",IFERROR(IF(C1234=C1232,0,IF(E1234=E1233,0,IF(C1234=$R$2,HLOOKUP($R$2,Ingreso!$AW$10:$BC$260,VLOOKUP(A1234,Ingreso!AL:AM,2,FALSE),FALSE)/24,""))),""))</f>
        <v/>
      </c>
      <c r="N1234" s="95" t="str">
        <f>IF(IFERROR(IF(C1234=C1232,0,IF(E1234=E1233,0,IF(C1234=$R$3,HLOOKUP($R$3,Ingreso!$AW$10:$BC$260,VLOOKUP(A1234,Ingreso!AL:AM,2,FALSE),FALSE)/24,""))),"")=0,"",IFERROR(IF(C1234=C1232,0,IF(E1234=E1233,0,IF(C1234=$R$3,HLOOKUP($R$3,Ingreso!$AW$10:$BC$260,VLOOKUP(A1234,Ingreso!AL:AM,2,FALSE),FALSE)/24,""))),""))</f>
        <v/>
      </c>
      <c r="O1234" s="95" t="str">
        <f>IF(IFERROR(IF(C1234=C1232,0,IF(E1234=E1233,0,IF(C1234=$R$4,HLOOKUP($R$4,Ingreso!$AW$10:$BC$260,VLOOKUP(A1234,Ingreso!AL:AM,2,FALSE),FALSE)/24,""))),"")=0,"",IFERROR(IF(C1234=C1232,0,IF(E1234=E1233,0,IF(C1234=$R$4,HLOOKUP($R$4,Ingreso!$AW$10:$BC$260,VLOOKUP(A1234,Ingreso!AL:AM,2,FALSE),FALSE)/24,""))),""))</f>
        <v/>
      </c>
      <c r="P1234" s="90"/>
      <c r="V1234"/>
      <c r="W1234" s="62"/>
      <c r="X1234" s="62"/>
      <c r="Y1234" s="62"/>
      <c r="Z1234" s="62"/>
      <c r="AA1234" s="62"/>
      <c r="AB1234" s="62"/>
      <c r="AC1234" s="62"/>
    </row>
    <row r="1235" spans="1:29">
      <c r="A1235" s="65" t="str">
        <f>IFERROR(VLOOKUP('Informe Kelly'!A1228,Base!A:B,2,FALSE),"")</f>
        <v/>
      </c>
      <c r="B1235" s="65" t="str">
        <f>IFERROR(VLOOKUP('Informe Kelly'!A1228,Base!A:G,7,FALSE),"")</f>
        <v/>
      </c>
      <c r="C1235" s="69">
        <f>IF(G1235=$C$4,IF('Informe Kelly'!H1228='Control informe Kelly'!$A$2,TEXT(((LEFT('Informe Kelly'!E1228,2)*1)+1),"dd")&amp;"."&amp;MID('Informe Kelly'!E1228,4,2)&amp;"."&amp;RIGHT('Informe Kelly'!E1228,4),'Informe Kelly'!E1228),'Informe Kelly'!E1228)</f>
        <v>0</v>
      </c>
      <c r="D1235" s="69" t="str">
        <f>IF('Informe Kelly'!E1228="","",'Informe Kelly'!E1228)</f>
        <v/>
      </c>
      <c r="E1235" s="72">
        <f t="shared" si="39"/>
        <v>581</v>
      </c>
      <c r="F1235" s="72" t="str">
        <f>IFERROR(HLOOKUP(C1235,Ingreso!$Q$8:$AD$9,2,FALSE),"v")</f>
        <v>v</v>
      </c>
      <c r="G1235" s="65" t="str">
        <f>IFERROR(VLOOKUP(A1235,Ingreso!K:P,6,FALSE),"no esta ingresado")</f>
        <v>no esta ingresado</v>
      </c>
      <c r="H1235" s="65" t="str">
        <f>IFERROR(IF('Informe Kelly'!H1228=$A$2,'Informe Kelly'!F1228,""),0)</f>
        <v/>
      </c>
      <c r="I1235" s="65" t="str">
        <f>IFERROR(IF('Informe Kelly'!H1228=$A$3,'Informe Kelly'!F1228,""),0)</f>
        <v/>
      </c>
      <c r="J1235" s="65" t="str">
        <f>IF(IFERROR(IF(E1235=E1234,0,(HLOOKUP(D1235,Ingreso!$AN$10:$AT$260,VLOOKUP(A1235,Ingreso!$AL$11:$AM$260,2,FALSE)))/24),0)=0,"",IFERROR(IF(E1235=E1234,0,(HLOOKUP(D1235,Ingreso!$AN$10:$AT$260,VLOOKUP(A1235,Ingreso!$AL$11:$AM$260,2,FALSE)))/24),0))</f>
        <v/>
      </c>
      <c r="K1235" s="65" t="str">
        <f>IF(IFERROR(IF(E1235=E1234,0,(HLOOKUP(C1235,Ingreso!$AW$10:$BC$260,VLOOKUP(A1235,Ingreso!$AL$11:$AM$260,2,FALSE)))/24),0)=0,"",IFERROR(IF(E1235=E1234,0,(HLOOKUP(C1235,Ingreso!$AW$10:$BC$260,VLOOKUP(A1235,Ingreso!$AL$11:$AM$260,2,FALSE)))/24),0))</f>
        <v/>
      </c>
      <c r="L1235" s="63">
        <f t="shared" si="38"/>
        <v>0</v>
      </c>
      <c r="M1235" s="63" t="str">
        <f>IF(IFERROR(IF(C1235=C1233,0,IF(E1235=E1234,0,IF(C1235=$R$2,HLOOKUP($R$2,Ingreso!$AW$10:$BC$260,VLOOKUP(A1235,Ingreso!AL:AM,2,FALSE),FALSE)/24,""))),"")=0,"",IFERROR(IF(C1235=C1233,0,IF(E1235=E1234,0,IF(C1235=$R$2,HLOOKUP($R$2,Ingreso!$AW$10:$BC$260,VLOOKUP(A1235,Ingreso!AL:AM,2,FALSE),FALSE)/24,""))),""))</f>
        <v/>
      </c>
      <c r="N1235" s="95" t="str">
        <f>IF(IFERROR(IF(C1235=C1233,0,IF(E1235=E1234,0,IF(C1235=$R$3,HLOOKUP($R$3,Ingreso!$AW$10:$BC$260,VLOOKUP(A1235,Ingreso!AL:AM,2,FALSE),FALSE)/24,""))),"")=0,"",IFERROR(IF(C1235=C1233,0,IF(E1235=E1234,0,IF(C1235=$R$3,HLOOKUP($R$3,Ingreso!$AW$10:$BC$260,VLOOKUP(A1235,Ingreso!AL:AM,2,FALSE),FALSE)/24,""))),""))</f>
        <v/>
      </c>
      <c r="O1235" s="95" t="str">
        <f>IF(IFERROR(IF(C1235=C1233,0,IF(E1235=E1234,0,IF(C1235=$R$4,HLOOKUP($R$4,Ingreso!$AW$10:$BC$260,VLOOKUP(A1235,Ingreso!AL:AM,2,FALSE),FALSE)/24,""))),"")=0,"",IFERROR(IF(C1235=C1233,0,IF(E1235=E1234,0,IF(C1235=$R$4,HLOOKUP($R$4,Ingreso!$AW$10:$BC$260,VLOOKUP(A1235,Ingreso!AL:AM,2,FALSE),FALSE)/24,""))),""))</f>
        <v/>
      </c>
      <c r="P1235" s="90"/>
      <c r="V1235"/>
      <c r="W1235" s="62"/>
      <c r="X1235" s="62"/>
      <c r="Y1235" s="62"/>
      <c r="Z1235" s="62"/>
      <c r="AA1235" s="62"/>
      <c r="AB1235" s="62"/>
      <c r="AC1235" s="62"/>
    </row>
    <row r="1236" spans="1:29">
      <c r="A1236" s="65" t="str">
        <f>IFERROR(VLOOKUP('Informe Kelly'!A1229,Base!A:B,2,FALSE),"")</f>
        <v/>
      </c>
      <c r="B1236" s="65" t="str">
        <f>IFERROR(VLOOKUP('Informe Kelly'!A1229,Base!A:G,7,FALSE),"")</f>
        <v/>
      </c>
      <c r="C1236" s="69">
        <f>IF(G1236=$C$4,IF('Informe Kelly'!H1229='Control informe Kelly'!$A$2,TEXT(((LEFT('Informe Kelly'!E1229,2)*1)+1),"dd")&amp;"."&amp;MID('Informe Kelly'!E1229,4,2)&amp;"."&amp;RIGHT('Informe Kelly'!E1229,4),'Informe Kelly'!E1229),'Informe Kelly'!E1229)</f>
        <v>0</v>
      </c>
      <c r="D1236" s="69" t="str">
        <f>IF('Informe Kelly'!E1229="","",'Informe Kelly'!E1229)</f>
        <v/>
      </c>
      <c r="E1236" s="72">
        <f t="shared" si="39"/>
        <v>581</v>
      </c>
      <c r="F1236" s="72" t="str">
        <f>IFERROR(HLOOKUP(C1236,Ingreso!$Q$8:$AD$9,2,FALSE),"v")</f>
        <v>v</v>
      </c>
      <c r="G1236" s="65" t="str">
        <f>IFERROR(VLOOKUP(A1236,Ingreso!K:P,6,FALSE),"no esta ingresado")</f>
        <v>no esta ingresado</v>
      </c>
      <c r="H1236" s="65" t="str">
        <f>IFERROR(IF('Informe Kelly'!H1229=$A$2,'Informe Kelly'!F1229,""),0)</f>
        <v/>
      </c>
      <c r="I1236" s="65" t="str">
        <f>IFERROR(IF('Informe Kelly'!H1229=$A$3,'Informe Kelly'!F1229,""),0)</f>
        <v/>
      </c>
      <c r="J1236" s="65" t="str">
        <f>IF(IFERROR(IF(E1236=E1235,0,(HLOOKUP(D1236,Ingreso!$AN$10:$AT$260,VLOOKUP(A1236,Ingreso!$AL$11:$AM$260,2,FALSE)))/24),0)=0,"",IFERROR(IF(E1236=E1235,0,(HLOOKUP(D1236,Ingreso!$AN$10:$AT$260,VLOOKUP(A1236,Ingreso!$AL$11:$AM$260,2,FALSE)))/24),0))</f>
        <v/>
      </c>
      <c r="K1236" s="65" t="str">
        <f>IF(IFERROR(IF(E1236=E1235,0,(HLOOKUP(C1236,Ingreso!$AW$10:$BC$260,VLOOKUP(A1236,Ingreso!$AL$11:$AM$260,2,FALSE)))/24),0)=0,"",IFERROR(IF(E1236=E1235,0,(HLOOKUP(C1236,Ingreso!$AW$10:$BC$260,VLOOKUP(A1236,Ingreso!$AL$11:$AM$260,2,FALSE)))/24),0))</f>
        <v/>
      </c>
      <c r="L1236" s="63">
        <f t="shared" si="38"/>
        <v>0</v>
      </c>
      <c r="M1236" s="63" t="str">
        <f>IF(IFERROR(IF(C1236=C1234,0,IF(E1236=E1235,0,IF(C1236=$R$2,HLOOKUP($R$2,Ingreso!$AW$10:$BC$260,VLOOKUP(A1236,Ingreso!AL:AM,2,FALSE),FALSE)/24,""))),"")=0,"",IFERROR(IF(C1236=C1234,0,IF(E1236=E1235,0,IF(C1236=$R$2,HLOOKUP($R$2,Ingreso!$AW$10:$BC$260,VLOOKUP(A1236,Ingreso!AL:AM,2,FALSE),FALSE)/24,""))),""))</f>
        <v/>
      </c>
      <c r="N1236" s="95" t="str">
        <f>IF(IFERROR(IF(C1236=C1234,0,IF(E1236=E1235,0,IF(C1236=$R$3,HLOOKUP($R$3,Ingreso!$AW$10:$BC$260,VLOOKUP(A1236,Ingreso!AL:AM,2,FALSE),FALSE)/24,""))),"")=0,"",IFERROR(IF(C1236=C1234,0,IF(E1236=E1235,0,IF(C1236=$R$3,HLOOKUP($R$3,Ingreso!$AW$10:$BC$260,VLOOKUP(A1236,Ingreso!AL:AM,2,FALSE),FALSE)/24,""))),""))</f>
        <v/>
      </c>
      <c r="O1236" s="95" t="str">
        <f>IF(IFERROR(IF(C1236=C1234,0,IF(E1236=E1235,0,IF(C1236=$R$4,HLOOKUP($R$4,Ingreso!$AW$10:$BC$260,VLOOKUP(A1236,Ingreso!AL:AM,2,FALSE),FALSE)/24,""))),"")=0,"",IFERROR(IF(C1236=C1234,0,IF(E1236=E1235,0,IF(C1236=$R$4,HLOOKUP($R$4,Ingreso!$AW$10:$BC$260,VLOOKUP(A1236,Ingreso!AL:AM,2,FALSE),FALSE)/24,""))),""))</f>
        <v/>
      </c>
      <c r="P1236" s="90"/>
      <c r="V1236"/>
      <c r="W1236" s="62"/>
      <c r="X1236" s="62"/>
      <c r="Y1236" s="62"/>
      <c r="Z1236" s="62"/>
      <c r="AA1236" s="62"/>
      <c r="AB1236" s="62"/>
      <c r="AC1236" s="62"/>
    </row>
    <row r="1237" spans="1:29">
      <c r="A1237" s="65" t="str">
        <f>IFERROR(VLOOKUP('Informe Kelly'!A1230,Base!A:B,2,FALSE),"")</f>
        <v/>
      </c>
      <c r="B1237" s="65" t="str">
        <f>IFERROR(VLOOKUP('Informe Kelly'!A1230,Base!A:G,7,FALSE),"")</f>
        <v/>
      </c>
      <c r="C1237" s="69">
        <f>IF(G1237=$C$4,IF('Informe Kelly'!H1230='Control informe Kelly'!$A$2,TEXT(((LEFT('Informe Kelly'!E1230,2)*1)+1),"dd")&amp;"."&amp;MID('Informe Kelly'!E1230,4,2)&amp;"."&amp;RIGHT('Informe Kelly'!E1230,4),'Informe Kelly'!E1230),'Informe Kelly'!E1230)</f>
        <v>0</v>
      </c>
      <c r="D1237" s="69" t="str">
        <f>IF('Informe Kelly'!E1230="","",'Informe Kelly'!E1230)</f>
        <v/>
      </c>
      <c r="E1237" s="72">
        <f t="shared" si="39"/>
        <v>581</v>
      </c>
      <c r="F1237" s="72" t="str">
        <f>IFERROR(HLOOKUP(C1237,Ingreso!$Q$8:$AD$9,2,FALSE),"v")</f>
        <v>v</v>
      </c>
      <c r="G1237" s="65" t="str">
        <f>IFERROR(VLOOKUP(A1237,Ingreso!K:P,6,FALSE),"no esta ingresado")</f>
        <v>no esta ingresado</v>
      </c>
      <c r="H1237" s="65" t="str">
        <f>IFERROR(IF('Informe Kelly'!H1230=$A$2,'Informe Kelly'!F1230,""),0)</f>
        <v/>
      </c>
      <c r="I1237" s="65" t="str">
        <f>IFERROR(IF('Informe Kelly'!H1230=$A$3,'Informe Kelly'!F1230,""),0)</f>
        <v/>
      </c>
      <c r="J1237" s="65" t="str">
        <f>IF(IFERROR(IF(E1237=E1236,0,(HLOOKUP(D1237,Ingreso!$AN$10:$AT$260,VLOOKUP(A1237,Ingreso!$AL$11:$AM$260,2,FALSE)))/24),0)=0,"",IFERROR(IF(E1237=E1236,0,(HLOOKUP(D1237,Ingreso!$AN$10:$AT$260,VLOOKUP(A1237,Ingreso!$AL$11:$AM$260,2,FALSE)))/24),0))</f>
        <v/>
      </c>
      <c r="K1237" s="65" t="str">
        <f>IF(IFERROR(IF(E1237=E1236,0,(HLOOKUP(C1237,Ingreso!$AW$10:$BC$260,VLOOKUP(A1237,Ingreso!$AL$11:$AM$260,2,FALSE)))/24),0)=0,"",IFERROR(IF(E1237=E1236,0,(HLOOKUP(C1237,Ingreso!$AW$10:$BC$260,VLOOKUP(A1237,Ingreso!$AL$11:$AM$260,2,FALSE)))/24),0))</f>
        <v/>
      </c>
      <c r="L1237" s="63">
        <f t="shared" si="38"/>
        <v>0</v>
      </c>
      <c r="M1237" s="63" t="str">
        <f>IF(IFERROR(IF(C1237=C1235,0,IF(E1237=E1236,0,IF(C1237=$R$2,HLOOKUP($R$2,Ingreso!$AW$10:$BC$260,VLOOKUP(A1237,Ingreso!AL:AM,2,FALSE),FALSE)/24,""))),"")=0,"",IFERROR(IF(C1237=C1235,0,IF(E1237=E1236,0,IF(C1237=$R$2,HLOOKUP($R$2,Ingreso!$AW$10:$BC$260,VLOOKUP(A1237,Ingreso!AL:AM,2,FALSE),FALSE)/24,""))),""))</f>
        <v/>
      </c>
      <c r="N1237" s="95" t="str">
        <f>IF(IFERROR(IF(C1237=C1235,0,IF(E1237=E1236,0,IF(C1237=$R$3,HLOOKUP($R$3,Ingreso!$AW$10:$BC$260,VLOOKUP(A1237,Ingreso!AL:AM,2,FALSE),FALSE)/24,""))),"")=0,"",IFERROR(IF(C1237=C1235,0,IF(E1237=E1236,0,IF(C1237=$R$3,HLOOKUP($R$3,Ingreso!$AW$10:$BC$260,VLOOKUP(A1237,Ingreso!AL:AM,2,FALSE),FALSE)/24,""))),""))</f>
        <v/>
      </c>
      <c r="O1237" s="95" t="str">
        <f>IF(IFERROR(IF(C1237=C1235,0,IF(E1237=E1236,0,IF(C1237=$R$4,HLOOKUP($R$4,Ingreso!$AW$10:$BC$260,VLOOKUP(A1237,Ingreso!AL:AM,2,FALSE),FALSE)/24,""))),"")=0,"",IFERROR(IF(C1237=C1235,0,IF(E1237=E1236,0,IF(C1237=$R$4,HLOOKUP($R$4,Ingreso!$AW$10:$BC$260,VLOOKUP(A1237,Ingreso!AL:AM,2,FALSE),FALSE)/24,""))),""))</f>
        <v/>
      </c>
      <c r="P1237" s="90"/>
      <c r="V1237"/>
      <c r="W1237" s="62"/>
      <c r="X1237" s="62"/>
      <c r="Y1237" s="62"/>
      <c r="Z1237" s="62"/>
      <c r="AA1237" s="62"/>
      <c r="AB1237" s="62"/>
      <c r="AC1237" s="62"/>
    </row>
    <row r="1238" spans="1:29">
      <c r="A1238" s="65" t="str">
        <f>IFERROR(VLOOKUP('Informe Kelly'!A1231,Base!A:B,2,FALSE),"")</f>
        <v/>
      </c>
      <c r="B1238" s="65" t="str">
        <f>IFERROR(VLOOKUP('Informe Kelly'!A1231,Base!A:G,7,FALSE),"")</f>
        <v/>
      </c>
      <c r="C1238" s="69">
        <f>IF(G1238=$C$4,IF('Informe Kelly'!H1231='Control informe Kelly'!$A$2,TEXT(((LEFT('Informe Kelly'!E1231,2)*1)+1),"dd")&amp;"."&amp;MID('Informe Kelly'!E1231,4,2)&amp;"."&amp;RIGHT('Informe Kelly'!E1231,4),'Informe Kelly'!E1231),'Informe Kelly'!E1231)</f>
        <v>0</v>
      </c>
      <c r="D1238" s="69" t="str">
        <f>IF('Informe Kelly'!E1231="","",'Informe Kelly'!E1231)</f>
        <v/>
      </c>
      <c r="E1238" s="72">
        <f t="shared" si="39"/>
        <v>581</v>
      </c>
      <c r="F1238" s="72" t="str">
        <f>IFERROR(HLOOKUP(C1238,Ingreso!$Q$8:$AD$9,2,FALSE),"v")</f>
        <v>v</v>
      </c>
      <c r="G1238" s="65" t="str">
        <f>IFERROR(VLOOKUP(A1238,Ingreso!K:P,6,FALSE),"no esta ingresado")</f>
        <v>no esta ingresado</v>
      </c>
      <c r="H1238" s="65" t="str">
        <f>IFERROR(IF('Informe Kelly'!H1231=$A$2,'Informe Kelly'!F1231,""),0)</f>
        <v/>
      </c>
      <c r="I1238" s="65" t="str">
        <f>IFERROR(IF('Informe Kelly'!H1231=$A$3,'Informe Kelly'!F1231,""),0)</f>
        <v/>
      </c>
      <c r="J1238" s="65" t="str">
        <f>IF(IFERROR(IF(E1238=E1237,0,(HLOOKUP(D1238,Ingreso!$AN$10:$AT$260,VLOOKUP(A1238,Ingreso!$AL$11:$AM$260,2,FALSE)))/24),0)=0,"",IFERROR(IF(E1238=E1237,0,(HLOOKUP(D1238,Ingreso!$AN$10:$AT$260,VLOOKUP(A1238,Ingreso!$AL$11:$AM$260,2,FALSE)))/24),0))</f>
        <v/>
      </c>
      <c r="K1238" s="65" t="str">
        <f>IF(IFERROR(IF(E1238=E1237,0,(HLOOKUP(C1238,Ingreso!$AW$10:$BC$260,VLOOKUP(A1238,Ingreso!$AL$11:$AM$260,2,FALSE)))/24),0)=0,"",IFERROR(IF(E1238=E1237,0,(HLOOKUP(C1238,Ingreso!$AW$10:$BC$260,VLOOKUP(A1238,Ingreso!$AL$11:$AM$260,2,FALSE)))/24),0))</f>
        <v/>
      </c>
      <c r="L1238" s="63">
        <f t="shared" si="38"/>
        <v>0</v>
      </c>
      <c r="M1238" s="63" t="str">
        <f>IF(IFERROR(IF(C1238=C1236,0,IF(E1238=E1237,0,IF(C1238=$R$2,HLOOKUP($R$2,Ingreso!$AW$10:$BC$260,VLOOKUP(A1238,Ingreso!AL:AM,2,FALSE),FALSE)/24,""))),"")=0,"",IFERROR(IF(C1238=C1236,0,IF(E1238=E1237,0,IF(C1238=$R$2,HLOOKUP($R$2,Ingreso!$AW$10:$BC$260,VLOOKUP(A1238,Ingreso!AL:AM,2,FALSE),FALSE)/24,""))),""))</f>
        <v/>
      </c>
      <c r="N1238" s="95" t="str">
        <f>IF(IFERROR(IF(C1238=C1236,0,IF(E1238=E1237,0,IF(C1238=$R$3,HLOOKUP($R$3,Ingreso!$AW$10:$BC$260,VLOOKUP(A1238,Ingreso!AL:AM,2,FALSE),FALSE)/24,""))),"")=0,"",IFERROR(IF(C1238=C1236,0,IF(E1238=E1237,0,IF(C1238=$R$3,HLOOKUP($R$3,Ingreso!$AW$10:$BC$260,VLOOKUP(A1238,Ingreso!AL:AM,2,FALSE),FALSE)/24,""))),""))</f>
        <v/>
      </c>
      <c r="O1238" s="95" t="str">
        <f>IF(IFERROR(IF(C1238=C1236,0,IF(E1238=E1237,0,IF(C1238=$R$4,HLOOKUP($R$4,Ingreso!$AW$10:$BC$260,VLOOKUP(A1238,Ingreso!AL:AM,2,FALSE),FALSE)/24,""))),"")=0,"",IFERROR(IF(C1238=C1236,0,IF(E1238=E1237,0,IF(C1238=$R$4,HLOOKUP($R$4,Ingreso!$AW$10:$BC$260,VLOOKUP(A1238,Ingreso!AL:AM,2,FALSE),FALSE)/24,""))),""))</f>
        <v/>
      </c>
      <c r="P1238" s="90"/>
      <c r="V1238"/>
      <c r="W1238" s="62"/>
      <c r="X1238" s="62"/>
      <c r="Y1238" s="62"/>
      <c r="Z1238" s="62"/>
      <c r="AA1238" s="62"/>
      <c r="AB1238" s="62"/>
      <c r="AC1238" s="62"/>
    </row>
    <row r="1239" spans="1:29">
      <c r="A1239" s="65" t="str">
        <f>IFERROR(VLOOKUP('Informe Kelly'!A1232,Base!A:B,2,FALSE),"")</f>
        <v/>
      </c>
      <c r="B1239" s="65" t="str">
        <f>IFERROR(VLOOKUP('Informe Kelly'!A1232,Base!A:G,7,FALSE),"")</f>
        <v/>
      </c>
      <c r="C1239" s="69">
        <f>IF(G1239=$C$4,IF('Informe Kelly'!H1232='Control informe Kelly'!$A$2,TEXT(((LEFT('Informe Kelly'!E1232,2)*1)+1),"dd")&amp;"."&amp;MID('Informe Kelly'!E1232,4,2)&amp;"."&amp;RIGHT('Informe Kelly'!E1232,4),'Informe Kelly'!E1232),'Informe Kelly'!E1232)</f>
        <v>0</v>
      </c>
      <c r="D1239" s="69" t="str">
        <f>IF('Informe Kelly'!E1232="","",'Informe Kelly'!E1232)</f>
        <v/>
      </c>
      <c r="E1239" s="72">
        <f t="shared" si="39"/>
        <v>581</v>
      </c>
      <c r="F1239" s="72" t="str">
        <f>IFERROR(HLOOKUP(C1239,Ingreso!$Q$8:$AD$9,2,FALSE),"v")</f>
        <v>v</v>
      </c>
      <c r="G1239" s="65" t="str">
        <f>IFERROR(VLOOKUP(A1239,Ingreso!K:P,6,FALSE),"no esta ingresado")</f>
        <v>no esta ingresado</v>
      </c>
      <c r="H1239" s="65" t="str">
        <f>IFERROR(IF('Informe Kelly'!H1232=$A$2,'Informe Kelly'!F1232,""),0)</f>
        <v/>
      </c>
      <c r="I1239" s="65" t="str">
        <f>IFERROR(IF('Informe Kelly'!H1232=$A$3,'Informe Kelly'!F1232,""),0)</f>
        <v/>
      </c>
      <c r="J1239" s="65" t="str">
        <f>IF(IFERROR(IF(E1239=E1238,0,(HLOOKUP(D1239,Ingreso!$AN$10:$AT$260,VLOOKUP(A1239,Ingreso!$AL$11:$AM$260,2,FALSE)))/24),0)=0,"",IFERROR(IF(E1239=E1238,0,(HLOOKUP(D1239,Ingreso!$AN$10:$AT$260,VLOOKUP(A1239,Ingreso!$AL$11:$AM$260,2,FALSE)))/24),0))</f>
        <v/>
      </c>
      <c r="K1239" s="65" t="str">
        <f>IF(IFERROR(IF(E1239=E1238,0,(HLOOKUP(C1239,Ingreso!$AW$10:$BC$260,VLOOKUP(A1239,Ingreso!$AL$11:$AM$260,2,FALSE)))/24),0)=0,"",IFERROR(IF(E1239=E1238,0,(HLOOKUP(C1239,Ingreso!$AW$10:$BC$260,VLOOKUP(A1239,Ingreso!$AL$11:$AM$260,2,FALSE)))/24),0))</f>
        <v/>
      </c>
      <c r="L1239" s="63">
        <f t="shared" si="38"/>
        <v>0</v>
      </c>
      <c r="M1239" s="63" t="str">
        <f>IF(IFERROR(IF(C1239=C1237,0,IF(E1239=E1238,0,IF(C1239=$R$2,HLOOKUP($R$2,Ingreso!$AW$10:$BC$260,VLOOKUP(A1239,Ingreso!AL:AM,2,FALSE),FALSE)/24,""))),"")=0,"",IFERROR(IF(C1239=C1237,0,IF(E1239=E1238,0,IF(C1239=$R$2,HLOOKUP($R$2,Ingreso!$AW$10:$BC$260,VLOOKUP(A1239,Ingreso!AL:AM,2,FALSE),FALSE)/24,""))),""))</f>
        <v/>
      </c>
      <c r="N1239" s="95" t="str">
        <f>IF(IFERROR(IF(C1239=C1237,0,IF(E1239=E1238,0,IF(C1239=$R$3,HLOOKUP($R$3,Ingreso!$AW$10:$BC$260,VLOOKUP(A1239,Ingreso!AL:AM,2,FALSE),FALSE)/24,""))),"")=0,"",IFERROR(IF(C1239=C1237,0,IF(E1239=E1238,0,IF(C1239=$R$3,HLOOKUP($R$3,Ingreso!$AW$10:$BC$260,VLOOKUP(A1239,Ingreso!AL:AM,2,FALSE),FALSE)/24,""))),""))</f>
        <v/>
      </c>
      <c r="O1239" s="95" t="str">
        <f>IF(IFERROR(IF(C1239=C1237,0,IF(E1239=E1238,0,IF(C1239=$R$4,HLOOKUP($R$4,Ingreso!$AW$10:$BC$260,VLOOKUP(A1239,Ingreso!AL:AM,2,FALSE),FALSE)/24,""))),"")=0,"",IFERROR(IF(C1239=C1237,0,IF(E1239=E1238,0,IF(C1239=$R$4,HLOOKUP($R$4,Ingreso!$AW$10:$BC$260,VLOOKUP(A1239,Ingreso!AL:AM,2,FALSE),FALSE)/24,""))),""))</f>
        <v/>
      </c>
      <c r="P1239" s="90"/>
      <c r="V1239"/>
      <c r="W1239" s="62"/>
      <c r="X1239" s="62"/>
      <c r="Y1239" s="62"/>
      <c r="Z1239" s="62"/>
      <c r="AA1239" s="62"/>
      <c r="AB1239" s="62"/>
      <c r="AC1239" s="62"/>
    </row>
    <row r="1240" spans="1:29">
      <c r="A1240" s="65" t="str">
        <f>IFERROR(VLOOKUP('Informe Kelly'!A1233,Base!A:B,2,FALSE),"")</f>
        <v/>
      </c>
      <c r="B1240" s="65" t="str">
        <f>IFERROR(VLOOKUP('Informe Kelly'!A1233,Base!A:G,7,FALSE),"")</f>
        <v/>
      </c>
      <c r="C1240" s="69">
        <f>IF(G1240=$C$4,IF('Informe Kelly'!H1233='Control informe Kelly'!$A$2,TEXT(((LEFT('Informe Kelly'!E1233,2)*1)+1),"dd")&amp;"."&amp;MID('Informe Kelly'!E1233,4,2)&amp;"."&amp;RIGHT('Informe Kelly'!E1233,4),'Informe Kelly'!E1233),'Informe Kelly'!E1233)</f>
        <v>0</v>
      </c>
      <c r="D1240" s="69" t="str">
        <f>IF('Informe Kelly'!E1233="","",'Informe Kelly'!E1233)</f>
        <v/>
      </c>
      <c r="E1240" s="72">
        <f t="shared" si="39"/>
        <v>581</v>
      </c>
      <c r="F1240" s="72" t="str">
        <f>IFERROR(HLOOKUP(C1240,Ingreso!$Q$8:$AD$9,2,FALSE),"v")</f>
        <v>v</v>
      </c>
      <c r="G1240" s="65" t="str">
        <f>IFERROR(VLOOKUP(A1240,Ingreso!K:P,6,FALSE),"no esta ingresado")</f>
        <v>no esta ingresado</v>
      </c>
      <c r="H1240" s="65" t="str">
        <f>IFERROR(IF('Informe Kelly'!H1233=$A$2,'Informe Kelly'!F1233,""),0)</f>
        <v/>
      </c>
      <c r="I1240" s="65" t="str">
        <f>IFERROR(IF('Informe Kelly'!H1233=$A$3,'Informe Kelly'!F1233,""),0)</f>
        <v/>
      </c>
      <c r="J1240" s="65" t="str">
        <f>IF(IFERROR(IF(E1240=E1239,0,(HLOOKUP(D1240,Ingreso!$AN$10:$AT$260,VLOOKUP(A1240,Ingreso!$AL$11:$AM$260,2,FALSE)))/24),0)=0,"",IFERROR(IF(E1240=E1239,0,(HLOOKUP(D1240,Ingreso!$AN$10:$AT$260,VLOOKUP(A1240,Ingreso!$AL$11:$AM$260,2,FALSE)))/24),0))</f>
        <v/>
      </c>
      <c r="K1240" s="65" t="str">
        <f>IF(IFERROR(IF(E1240=E1239,0,(HLOOKUP(C1240,Ingreso!$AW$10:$BC$260,VLOOKUP(A1240,Ingreso!$AL$11:$AM$260,2,FALSE)))/24),0)=0,"",IFERROR(IF(E1240=E1239,0,(HLOOKUP(C1240,Ingreso!$AW$10:$BC$260,VLOOKUP(A1240,Ingreso!$AL$11:$AM$260,2,FALSE)))/24),0))</f>
        <v/>
      </c>
      <c r="L1240" s="63">
        <f t="shared" si="38"/>
        <v>0</v>
      </c>
      <c r="M1240" s="63" t="str">
        <f>IF(IFERROR(IF(C1240=C1238,0,IF(E1240=E1239,0,IF(C1240=$R$2,HLOOKUP($R$2,Ingreso!$AW$10:$BC$260,VLOOKUP(A1240,Ingreso!AL:AM,2,FALSE),FALSE)/24,""))),"")=0,"",IFERROR(IF(C1240=C1238,0,IF(E1240=E1239,0,IF(C1240=$R$2,HLOOKUP($R$2,Ingreso!$AW$10:$BC$260,VLOOKUP(A1240,Ingreso!AL:AM,2,FALSE),FALSE)/24,""))),""))</f>
        <v/>
      </c>
      <c r="N1240" s="95" t="str">
        <f>IF(IFERROR(IF(C1240=C1238,0,IF(E1240=E1239,0,IF(C1240=$R$3,HLOOKUP($R$3,Ingreso!$AW$10:$BC$260,VLOOKUP(A1240,Ingreso!AL:AM,2,FALSE),FALSE)/24,""))),"")=0,"",IFERROR(IF(C1240=C1238,0,IF(E1240=E1239,0,IF(C1240=$R$3,HLOOKUP($R$3,Ingreso!$AW$10:$BC$260,VLOOKUP(A1240,Ingreso!AL:AM,2,FALSE),FALSE)/24,""))),""))</f>
        <v/>
      </c>
      <c r="O1240" s="95" t="str">
        <f>IF(IFERROR(IF(C1240=C1238,0,IF(E1240=E1239,0,IF(C1240=$R$4,HLOOKUP($R$4,Ingreso!$AW$10:$BC$260,VLOOKUP(A1240,Ingreso!AL:AM,2,FALSE),FALSE)/24,""))),"")=0,"",IFERROR(IF(C1240=C1238,0,IF(E1240=E1239,0,IF(C1240=$R$4,HLOOKUP($R$4,Ingreso!$AW$10:$BC$260,VLOOKUP(A1240,Ingreso!AL:AM,2,FALSE),FALSE)/24,""))),""))</f>
        <v/>
      </c>
      <c r="P1240" s="90"/>
      <c r="V1240"/>
      <c r="W1240" s="62"/>
      <c r="X1240" s="62"/>
      <c r="Y1240" s="62"/>
      <c r="Z1240" s="62"/>
      <c r="AA1240" s="62"/>
      <c r="AB1240" s="62"/>
      <c r="AC1240" s="62"/>
    </row>
    <row r="1241" spans="1:29">
      <c r="A1241" s="65" t="str">
        <f>IFERROR(VLOOKUP('Informe Kelly'!A1234,Base!A:B,2,FALSE),"")</f>
        <v/>
      </c>
      <c r="B1241" s="65" t="str">
        <f>IFERROR(VLOOKUP('Informe Kelly'!A1234,Base!A:G,7,FALSE),"")</f>
        <v/>
      </c>
      <c r="C1241" s="69">
        <f>IF(G1241=$C$4,IF('Informe Kelly'!H1234='Control informe Kelly'!$A$2,TEXT(((LEFT('Informe Kelly'!E1234,2)*1)+1),"dd")&amp;"."&amp;MID('Informe Kelly'!E1234,4,2)&amp;"."&amp;RIGHT('Informe Kelly'!E1234,4),'Informe Kelly'!E1234),'Informe Kelly'!E1234)</f>
        <v>0</v>
      </c>
      <c r="D1241" s="69" t="str">
        <f>IF('Informe Kelly'!E1234="","",'Informe Kelly'!E1234)</f>
        <v/>
      </c>
      <c r="E1241" s="72">
        <f t="shared" si="39"/>
        <v>581</v>
      </c>
      <c r="F1241" s="72" t="str">
        <f>IFERROR(HLOOKUP(C1241,Ingreso!$Q$8:$AD$9,2,FALSE),"v")</f>
        <v>v</v>
      </c>
      <c r="G1241" s="65" t="str">
        <f>IFERROR(VLOOKUP(A1241,Ingreso!K:P,6,FALSE),"no esta ingresado")</f>
        <v>no esta ingresado</v>
      </c>
      <c r="H1241" s="65" t="str">
        <f>IFERROR(IF('Informe Kelly'!H1234=$A$2,'Informe Kelly'!F1234,""),0)</f>
        <v/>
      </c>
      <c r="I1241" s="65" t="str">
        <f>IFERROR(IF('Informe Kelly'!H1234=$A$3,'Informe Kelly'!F1234,""),0)</f>
        <v/>
      </c>
      <c r="J1241" s="65" t="str">
        <f>IF(IFERROR(IF(E1241=E1240,0,(HLOOKUP(D1241,Ingreso!$AN$10:$AT$260,VLOOKUP(A1241,Ingreso!$AL$11:$AM$260,2,FALSE)))/24),0)=0,"",IFERROR(IF(E1241=E1240,0,(HLOOKUP(D1241,Ingreso!$AN$10:$AT$260,VLOOKUP(A1241,Ingreso!$AL$11:$AM$260,2,FALSE)))/24),0))</f>
        <v/>
      </c>
      <c r="K1241" s="65" t="str">
        <f>IF(IFERROR(IF(E1241=E1240,0,(HLOOKUP(C1241,Ingreso!$AW$10:$BC$260,VLOOKUP(A1241,Ingreso!$AL$11:$AM$260,2,FALSE)))/24),0)=0,"",IFERROR(IF(E1241=E1240,0,(HLOOKUP(C1241,Ingreso!$AW$10:$BC$260,VLOOKUP(A1241,Ingreso!$AL$11:$AM$260,2,FALSE)))/24),0))</f>
        <v/>
      </c>
      <c r="L1241" s="63">
        <f t="shared" si="38"/>
        <v>0</v>
      </c>
      <c r="M1241" s="63" t="str">
        <f>IF(IFERROR(IF(C1241=C1239,0,IF(E1241=E1240,0,IF(C1241=$R$2,HLOOKUP($R$2,Ingreso!$AW$10:$BC$260,VLOOKUP(A1241,Ingreso!AL:AM,2,FALSE),FALSE)/24,""))),"")=0,"",IFERROR(IF(C1241=C1239,0,IF(E1241=E1240,0,IF(C1241=$R$2,HLOOKUP($R$2,Ingreso!$AW$10:$BC$260,VLOOKUP(A1241,Ingreso!AL:AM,2,FALSE),FALSE)/24,""))),""))</f>
        <v/>
      </c>
      <c r="N1241" s="95" t="str">
        <f>IF(IFERROR(IF(C1241=C1239,0,IF(E1241=E1240,0,IF(C1241=$R$3,HLOOKUP($R$3,Ingreso!$AW$10:$BC$260,VLOOKUP(A1241,Ingreso!AL:AM,2,FALSE),FALSE)/24,""))),"")=0,"",IFERROR(IF(C1241=C1239,0,IF(E1241=E1240,0,IF(C1241=$R$3,HLOOKUP($R$3,Ingreso!$AW$10:$BC$260,VLOOKUP(A1241,Ingreso!AL:AM,2,FALSE),FALSE)/24,""))),""))</f>
        <v/>
      </c>
      <c r="O1241" s="95" t="str">
        <f>IF(IFERROR(IF(C1241=C1239,0,IF(E1241=E1240,0,IF(C1241=$R$4,HLOOKUP($R$4,Ingreso!$AW$10:$BC$260,VLOOKUP(A1241,Ingreso!AL:AM,2,FALSE),FALSE)/24,""))),"")=0,"",IFERROR(IF(C1241=C1239,0,IF(E1241=E1240,0,IF(C1241=$R$4,HLOOKUP($R$4,Ingreso!$AW$10:$BC$260,VLOOKUP(A1241,Ingreso!AL:AM,2,FALSE),FALSE)/24,""))),""))</f>
        <v/>
      </c>
      <c r="P1241" s="90"/>
      <c r="V1241"/>
      <c r="W1241" s="62"/>
      <c r="X1241" s="62"/>
      <c r="Y1241" s="62"/>
      <c r="Z1241" s="62"/>
      <c r="AA1241" s="62"/>
      <c r="AB1241" s="62"/>
      <c r="AC1241" s="62"/>
    </row>
    <row r="1242" spans="1:29">
      <c r="A1242" s="65" t="str">
        <f>IFERROR(VLOOKUP('Informe Kelly'!A1235,Base!A:B,2,FALSE),"")</f>
        <v/>
      </c>
      <c r="B1242" s="65" t="str">
        <f>IFERROR(VLOOKUP('Informe Kelly'!A1235,Base!A:G,7,FALSE),"")</f>
        <v/>
      </c>
      <c r="C1242" s="69">
        <f>IF(G1242=$C$4,IF('Informe Kelly'!H1235='Control informe Kelly'!$A$2,TEXT(((LEFT('Informe Kelly'!E1235,2)*1)+1),"dd")&amp;"."&amp;MID('Informe Kelly'!E1235,4,2)&amp;"."&amp;RIGHT('Informe Kelly'!E1235,4),'Informe Kelly'!E1235),'Informe Kelly'!E1235)</f>
        <v>0</v>
      </c>
      <c r="D1242" s="69" t="str">
        <f>IF('Informe Kelly'!E1235="","",'Informe Kelly'!E1235)</f>
        <v/>
      </c>
      <c r="E1242" s="72">
        <f t="shared" si="39"/>
        <v>581</v>
      </c>
      <c r="F1242" s="72" t="str">
        <f>IFERROR(HLOOKUP(C1242,Ingreso!$Q$8:$AD$9,2,FALSE),"v")</f>
        <v>v</v>
      </c>
      <c r="G1242" s="65" t="str">
        <f>IFERROR(VLOOKUP(A1242,Ingreso!K:P,6,FALSE),"no esta ingresado")</f>
        <v>no esta ingresado</v>
      </c>
      <c r="H1242" s="65" t="str">
        <f>IFERROR(IF('Informe Kelly'!H1235=$A$2,'Informe Kelly'!F1235,""),0)</f>
        <v/>
      </c>
      <c r="I1242" s="65" t="str">
        <f>IFERROR(IF('Informe Kelly'!H1235=$A$3,'Informe Kelly'!F1235,""),0)</f>
        <v/>
      </c>
      <c r="J1242" s="65" t="str">
        <f>IF(IFERROR(IF(E1242=E1241,0,(HLOOKUP(D1242,Ingreso!$AN$10:$AT$260,VLOOKUP(A1242,Ingreso!$AL$11:$AM$260,2,FALSE)))/24),0)=0,"",IFERROR(IF(E1242=E1241,0,(HLOOKUP(D1242,Ingreso!$AN$10:$AT$260,VLOOKUP(A1242,Ingreso!$AL$11:$AM$260,2,FALSE)))/24),0))</f>
        <v/>
      </c>
      <c r="K1242" s="65" t="str">
        <f>IF(IFERROR(IF(E1242=E1241,0,(HLOOKUP(C1242,Ingreso!$AW$10:$BC$260,VLOOKUP(A1242,Ingreso!$AL$11:$AM$260,2,FALSE)))/24),0)=0,"",IFERROR(IF(E1242=E1241,0,(HLOOKUP(C1242,Ingreso!$AW$10:$BC$260,VLOOKUP(A1242,Ingreso!$AL$11:$AM$260,2,FALSE)))/24),0))</f>
        <v/>
      </c>
      <c r="L1242" s="63">
        <f t="shared" si="38"/>
        <v>0</v>
      </c>
      <c r="M1242" s="63" t="str">
        <f>IF(IFERROR(IF(C1242=C1240,0,IF(E1242=E1241,0,IF(C1242=$R$2,HLOOKUP($R$2,Ingreso!$AW$10:$BC$260,VLOOKUP(A1242,Ingreso!AL:AM,2,FALSE),FALSE)/24,""))),"")=0,"",IFERROR(IF(C1242=C1240,0,IF(E1242=E1241,0,IF(C1242=$R$2,HLOOKUP($R$2,Ingreso!$AW$10:$BC$260,VLOOKUP(A1242,Ingreso!AL:AM,2,FALSE),FALSE)/24,""))),""))</f>
        <v/>
      </c>
      <c r="N1242" s="95" t="str">
        <f>IF(IFERROR(IF(C1242=C1240,0,IF(E1242=E1241,0,IF(C1242=$R$3,HLOOKUP($R$3,Ingreso!$AW$10:$BC$260,VLOOKUP(A1242,Ingreso!AL:AM,2,FALSE),FALSE)/24,""))),"")=0,"",IFERROR(IF(C1242=C1240,0,IF(E1242=E1241,0,IF(C1242=$R$3,HLOOKUP($R$3,Ingreso!$AW$10:$BC$260,VLOOKUP(A1242,Ingreso!AL:AM,2,FALSE),FALSE)/24,""))),""))</f>
        <v/>
      </c>
      <c r="O1242" s="95" t="str">
        <f>IF(IFERROR(IF(C1242=C1240,0,IF(E1242=E1241,0,IF(C1242=$R$4,HLOOKUP($R$4,Ingreso!$AW$10:$BC$260,VLOOKUP(A1242,Ingreso!AL:AM,2,FALSE),FALSE)/24,""))),"")=0,"",IFERROR(IF(C1242=C1240,0,IF(E1242=E1241,0,IF(C1242=$R$4,HLOOKUP($R$4,Ingreso!$AW$10:$BC$260,VLOOKUP(A1242,Ingreso!AL:AM,2,FALSE),FALSE)/24,""))),""))</f>
        <v/>
      </c>
      <c r="P1242" s="90"/>
      <c r="V1242"/>
      <c r="W1242" s="62"/>
      <c r="X1242" s="62"/>
      <c r="Y1242" s="62"/>
      <c r="Z1242" s="62"/>
      <c r="AA1242" s="62"/>
      <c r="AB1242" s="62"/>
      <c r="AC1242" s="62"/>
    </row>
    <row r="1243" spans="1:29">
      <c r="A1243" s="65" t="str">
        <f>IFERROR(VLOOKUP('Informe Kelly'!A1236,Base!A:B,2,FALSE),"")</f>
        <v/>
      </c>
      <c r="B1243" s="65" t="str">
        <f>IFERROR(VLOOKUP('Informe Kelly'!A1236,Base!A:G,7,FALSE),"")</f>
        <v/>
      </c>
      <c r="C1243" s="69">
        <f>IF(G1243=$C$4,IF('Informe Kelly'!H1236='Control informe Kelly'!$A$2,TEXT(((LEFT('Informe Kelly'!E1236,2)*1)+1),"dd")&amp;"."&amp;MID('Informe Kelly'!E1236,4,2)&amp;"."&amp;RIGHT('Informe Kelly'!E1236,4),'Informe Kelly'!E1236),'Informe Kelly'!E1236)</f>
        <v>0</v>
      </c>
      <c r="D1243" s="69" t="str">
        <f>IF('Informe Kelly'!E1236="","",'Informe Kelly'!E1236)</f>
        <v/>
      </c>
      <c r="E1243" s="72">
        <f t="shared" si="39"/>
        <v>581</v>
      </c>
      <c r="F1243" s="72" t="str">
        <f>IFERROR(HLOOKUP(C1243,Ingreso!$Q$8:$AD$9,2,FALSE),"v")</f>
        <v>v</v>
      </c>
      <c r="G1243" s="65" t="str">
        <f>IFERROR(VLOOKUP(A1243,Ingreso!K:P,6,FALSE),"no esta ingresado")</f>
        <v>no esta ingresado</v>
      </c>
      <c r="H1243" s="65" t="str">
        <f>IFERROR(IF('Informe Kelly'!H1236=$A$2,'Informe Kelly'!F1236,""),0)</f>
        <v/>
      </c>
      <c r="I1243" s="65" t="str">
        <f>IFERROR(IF('Informe Kelly'!H1236=$A$3,'Informe Kelly'!F1236,""),0)</f>
        <v/>
      </c>
      <c r="J1243" s="65" t="str">
        <f>IF(IFERROR(IF(E1243=E1242,0,(HLOOKUP(D1243,Ingreso!$AN$10:$AT$260,VLOOKUP(A1243,Ingreso!$AL$11:$AM$260,2,FALSE)))/24),0)=0,"",IFERROR(IF(E1243=E1242,0,(HLOOKUP(D1243,Ingreso!$AN$10:$AT$260,VLOOKUP(A1243,Ingreso!$AL$11:$AM$260,2,FALSE)))/24),0))</f>
        <v/>
      </c>
      <c r="K1243" s="65" t="str">
        <f>IF(IFERROR(IF(E1243=E1242,0,(HLOOKUP(C1243,Ingreso!$AW$10:$BC$260,VLOOKUP(A1243,Ingreso!$AL$11:$AM$260,2,FALSE)))/24),0)=0,"",IFERROR(IF(E1243=E1242,0,(HLOOKUP(C1243,Ingreso!$AW$10:$BC$260,VLOOKUP(A1243,Ingreso!$AL$11:$AM$260,2,FALSE)))/24),0))</f>
        <v/>
      </c>
      <c r="L1243" s="63">
        <f t="shared" si="38"/>
        <v>0</v>
      </c>
      <c r="M1243" s="63" t="str">
        <f>IF(IFERROR(IF(C1243=C1241,0,IF(E1243=E1242,0,IF(C1243=$R$2,HLOOKUP($R$2,Ingreso!$AW$10:$BC$260,VLOOKUP(A1243,Ingreso!AL:AM,2,FALSE),FALSE)/24,""))),"")=0,"",IFERROR(IF(C1243=C1241,0,IF(E1243=E1242,0,IF(C1243=$R$2,HLOOKUP($R$2,Ingreso!$AW$10:$BC$260,VLOOKUP(A1243,Ingreso!AL:AM,2,FALSE),FALSE)/24,""))),""))</f>
        <v/>
      </c>
      <c r="N1243" s="95" t="str">
        <f>IF(IFERROR(IF(C1243=C1241,0,IF(E1243=E1242,0,IF(C1243=$R$3,HLOOKUP($R$3,Ingreso!$AW$10:$BC$260,VLOOKUP(A1243,Ingreso!AL:AM,2,FALSE),FALSE)/24,""))),"")=0,"",IFERROR(IF(C1243=C1241,0,IF(E1243=E1242,0,IF(C1243=$R$3,HLOOKUP($R$3,Ingreso!$AW$10:$BC$260,VLOOKUP(A1243,Ingreso!AL:AM,2,FALSE),FALSE)/24,""))),""))</f>
        <v/>
      </c>
      <c r="O1243" s="95" t="str">
        <f>IF(IFERROR(IF(C1243=C1241,0,IF(E1243=E1242,0,IF(C1243=$R$4,HLOOKUP($R$4,Ingreso!$AW$10:$BC$260,VLOOKUP(A1243,Ingreso!AL:AM,2,FALSE),FALSE)/24,""))),"")=0,"",IFERROR(IF(C1243=C1241,0,IF(E1243=E1242,0,IF(C1243=$R$4,HLOOKUP($R$4,Ingreso!$AW$10:$BC$260,VLOOKUP(A1243,Ingreso!AL:AM,2,FALSE),FALSE)/24,""))),""))</f>
        <v/>
      </c>
      <c r="P1243" s="90"/>
      <c r="V1243"/>
      <c r="W1243" s="62"/>
      <c r="X1243" s="62"/>
      <c r="Y1243" s="62"/>
      <c r="Z1243" s="62"/>
      <c r="AA1243" s="62"/>
      <c r="AB1243" s="62"/>
      <c r="AC1243" s="62"/>
    </row>
    <row r="1244" spans="1:29">
      <c r="A1244" s="65" t="str">
        <f>IFERROR(VLOOKUP('Informe Kelly'!A1237,Base!A:B,2,FALSE),"")</f>
        <v/>
      </c>
      <c r="B1244" s="65" t="str">
        <f>IFERROR(VLOOKUP('Informe Kelly'!A1237,Base!A:G,7,FALSE),"")</f>
        <v/>
      </c>
      <c r="C1244" s="69">
        <f>IF(G1244=$C$4,IF('Informe Kelly'!H1237='Control informe Kelly'!$A$2,TEXT(((LEFT('Informe Kelly'!E1237,2)*1)+1),"dd")&amp;"."&amp;MID('Informe Kelly'!E1237,4,2)&amp;"."&amp;RIGHT('Informe Kelly'!E1237,4),'Informe Kelly'!E1237),'Informe Kelly'!E1237)</f>
        <v>0</v>
      </c>
      <c r="D1244" s="69" t="str">
        <f>IF('Informe Kelly'!E1237="","",'Informe Kelly'!E1237)</f>
        <v/>
      </c>
      <c r="E1244" s="72">
        <f t="shared" si="39"/>
        <v>581</v>
      </c>
      <c r="F1244" s="72" t="str">
        <f>IFERROR(HLOOKUP(C1244,Ingreso!$Q$8:$AD$9,2,FALSE),"v")</f>
        <v>v</v>
      </c>
      <c r="G1244" s="65" t="str">
        <f>IFERROR(VLOOKUP(A1244,Ingreso!K:P,6,FALSE),"no esta ingresado")</f>
        <v>no esta ingresado</v>
      </c>
      <c r="H1244" s="65" t="str">
        <f>IFERROR(IF('Informe Kelly'!H1237=$A$2,'Informe Kelly'!F1237,""),0)</f>
        <v/>
      </c>
      <c r="I1244" s="65" t="str">
        <f>IFERROR(IF('Informe Kelly'!H1237=$A$3,'Informe Kelly'!F1237,""),0)</f>
        <v/>
      </c>
      <c r="J1244" s="65" t="str">
        <f>IF(IFERROR(IF(E1244=E1243,0,(HLOOKUP(D1244,Ingreso!$AN$10:$AT$260,VLOOKUP(A1244,Ingreso!$AL$11:$AM$260,2,FALSE)))/24),0)=0,"",IFERROR(IF(E1244=E1243,0,(HLOOKUP(D1244,Ingreso!$AN$10:$AT$260,VLOOKUP(A1244,Ingreso!$AL$11:$AM$260,2,FALSE)))/24),0))</f>
        <v/>
      </c>
      <c r="K1244" s="65" t="str">
        <f>IF(IFERROR(IF(E1244=E1243,0,(HLOOKUP(C1244,Ingreso!$AW$10:$BC$260,VLOOKUP(A1244,Ingreso!$AL$11:$AM$260,2,FALSE)))/24),0)=0,"",IFERROR(IF(E1244=E1243,0,(HLOOKUP(C1244,Ingreso!$AW$10:$BC$260,VLOOKUP(A1244,Ingreso!$AL$11:$AM$260,2,FALSE)))/24),0))</f>
        <v/>
      </c>
      <c r="L1244" s="63">
        <f t="shared" si="38"/>
        <v>0</v>
      </c>
      <c r="M1244" s="63" t="str">
        <f>IF(IFERROR(IF(C1244=C1242,0,IF(E1244=E1243,0,IF(C1244=$R$2,HLOOKUP($R$2,Ingreso!$AW$10:$BC$260,VLOOKUP(A1244,Ingreso!AL:AM,2,FALSE),FALSE)/24,""))),"")=0,"",IFERROR(IF(C1244=C1242,0,IF(E1244=E1243,0,IF(C1244=$R$2,HLOOKUP($R$2,Ingreso!$AW$10:$BC$260,VLOOKUP(A1244,Ingreso!AL:AM,2,FALSE),FALSE)/24,""))),""))</f>
        <v/>
      </c>
      <c r="N1244" s="95" t="str">
        <f>IF(IFERROR(IF(C1244=C1242,0,IF(E1244=E1243,0,IF(C1244=$R$3,HLOOKUP($R$3,Ingreso!$AW$10:$BC$260,VLOOKUP(A1244,Ingreso!AL:AM,2,FALSE),FALSE)/24,""))),"")=0,"",IFERROR(IF(C1244=C1242,0,IF(E1244=E1243,0,IF(C1244=$R$3,HLOOKUP($R$3,Ingreso!$AW$10:$BC$260,VLOOKUP(A1244,Ingreso!AL:AM,2,FALSE),FALSE)/24,""))),""))</f>
        <v/>
      </c>
      <c r="O1244" s="95" t="str">
        <f>IF(IFERROR(IF(C1244=C1242,0,IF(E1244=E1243,0,IF(C1244=$R$4,HLOOKUP($R$4,Ingreso!$AW$10:$BC$260,VLOOKUP(A1244,Ingreso!AL:AM,2,FALSE),FALSE)/24,""))),"")=0,"",IFERROR(IF(C1244=C1242,0,IF(E1244=E1243,0,IF(C1244=$R$4,HLOOKUP($R$4,Ingreso!$AW$10:$BC$260,VLOOKUP(A1244,Ingreso!AL:AM,2,FALSE),FALSE)/24,""))),""))</f>
        <v/>
      </c>
      <c r="P1244" s="90"/>
      <c r="V1244"/>
      <c r="W1244" s="62"/>
      <c r="X1244" s="62"/>
      <c r="Y1244" s="62"/>
      <c r="Z1244" s="62"/>
      <c r="AA1244" s="62"/>
      <c r="AB1244" s="62"/>
      <c r="AC1244" s="62"/>
    </row>
    <row r="1245" spans="1:29">
      <c r="A1245" s="65" t="str">
        <f>IFERROR(VLOOKUP('Informe Kelly'!A1238,Base!A:B,2,FALSE),"")</f>
        <v/>
      </c>
      <c r="B1245" s="65" t="str">
        <f>IFERROR(VLOOKUP('Informe Kelly'!A1238,Base!A:G,7,FALSE),"")</f>
        <v/>
      </c>
      <c r="C1245" s="69">
        <f>IF(G1245=$C$4,IF('Informe Kelly'!H1238='Control informe Kelly'!$A$2,TEXT(((LEFT('Informe Kelly'!E1238,2)*1)+1),"dd")&amp;"."&amp;MID('Informe Kelly'!E1238,4,2)&amp;"."&amp;RIGHT('Informe Kelly'!E1238,4),'Informe Kelly'!E1238),'Informe Kelly'!E1238)</f>
        <v>0</v>
      </c>
      <c r="D1245" s="69" t="str">
        <f>IF('Informe Kelly'!E1238="","",'Informe Kelly'!E1238)</f>
        <v/>
      </c>
      <c r="E1245" s="72">
        <f t="shared" si="39"/>
        <v>581</v>
      </c>
      <c r="F1245" s="72" t="str">
        <f>IFERROR(HLOOKUP(C1245,Ingreso!$Q$8:$AD$9,2,FALSE),"v")</f>
        <v>v</v>
      </c>
      <c r="G1245" s="65" t="str">
        <f>IFERROR(VLOOKUP(A1245,Ingreso!K:P,6,FALSE),"no esta ingresado")</f>
        <v>no esta ingresado</v>
      </c>
      <c r="H1245" s="65" t="str">
        <f>IFERROR(IF('Informe Kelly'!H1238=$A$2,'Informe Kelly'!F1238,""),0)</f>
        <v/>
      </c>
      <c r="I1245" s="65" t="str">
        <f>IFERROR(IF('Informe Kelly'!H1238=$A$3,'Informe Kelly'!F1238,""),0)</f>
        <v/>
      </c>
      <c r="J1245" s="65" t="str">
        <f>IF(IFERROR(IF(E1245=E1244,0,(HLOOKUP(D1245,Ingreso!$AN$10:$AT$260,VLOOKUP(A1245,Ingreso!$AL$11:$AM$260,2,FALSE)))/24),0)=0,"",IFERROR(IF(E1245=E1244,0,(HLOOKUP(D1245,Ingreso!$AN$10:$AT$260,VLOOKUP(A1245,Ingreso!$AL$11:$AM$260,2,FALSE)))/24),0))</f>
        <v/>
      </c>
      <c r="K1245" s="65" t="str">
        <f>IF(IFERROR(IF(E1245=E1244,0,(HLOOKUP(C1245,Ingreso!$AW$10:$BC$260,VLOOKUP(A1245,Ingreso!$AL$11:$AM$260,2,FALSE)))/24),0)=0,"",IFERROR(IF(E1245=E1244,0,(HLOOKUP(C1245,Ingreso!$AW$10:$BC$260,VLOOKUP(A1245,Ingreso!$AL$11:$AM$260,2,FALSE)))/24),0))</f>
        <v/>
      </c>
      <c r="L1245" s="63">
        <f t="shared" si="38"/>
        <v>0</v>
      </c>
      <c r="M1245" s="63" t="str">
        <f>IF(IFERROR(IF(C1245=C1243,0,IF(E1245=E1244,0,IF(C1245=$R$2,HLOOKUP($R$2,Ingreso!$AW$10:$BC$260,VLOOKUP(A1245,Ingreso!AL:AM,2,FALSE),FALSE)/24,""))),"")=0,"",IFERROR(IF(C1245=C1243,0,IF(E1245=E1244,0,IF(C1245=$R$2,HLOOKUP($R$2,Ingreso!$AW$10:$BC$260,VLOOKUP(A1245,Ingreso!AL:AM,2,FALSE),FALSE)/24,""))),""))</f>
        <v/>
      </c>
      <c r="N1245" s="95" t="str">
        <f>IF(IFERROR(IF(C1245=C1243,0,IF(E1245=E1244,0,IF(C1245=$R$3,HLOOKUP($R$3,Ingreso!$AW$10:$BC$260,VLOOKUP(A1245,Ingreso!AL:AM,2,FALSE),FALSE)/24,""))),"")=0,"",IFERROR(IF(C1245=C1243,0,IF(E1245=E1244,0,IF(C1245=$R$3,HLOOKUP($R$3,Ingreso!$AW$10:$BC$260,VLOOKUP(A1245,Ingreso!AL:AM,2,FALSE),FALSE)/24,""))),""))</f>
        <v/>
      </c>
      <c r="O1245" s="95" t="str">
        <f>IF(IFERROR(IF(C1245=C1243,0,IF(E1245=E1244,0,IF(C1245=$R$4,HLOOKUP($R$4,Ingreso!$AW$10:$BC$260,VLOOKUP(A1245,Ingreso!AL:AM,2,FALSE),FALSE)/24,""))),"")=0,"",IFERROR(IF(C1245=C1243,0,IF(E1245=E1244,0,IF(C1245=$R$4,HLOOKUP($R$4,Ingreso!$AW$10:$BC$260,VLOOKUP(A1245,Ingreso!AL:AM,2,FALSE),FALSE)/24,""))),""))</f>
        <v/>
      </c>
      <c r="P1245" s="90"/>
      <c r="V1245"/>
      <c r="W1245" s="62"/>
      <c r="X1245" s="62"/>
      <c r="Y1245" s="62"/>
      <c r="Z1245" s="62"/>
      <c r="AA1245" s="62"/>
      <c r="AB1245" s="62"/>
      <c r="AC1245" s="62"/>
    </row>
    <row r="1246" spans="1:29">
      <c r="A1246" s="65" t="str">
        <f>IFERROR(VLOOKUP('Informe Kelly'!A1239,Base!A:B,2,FALSE),"")</f>
        <v/>
      </c>
      <c r="B1246" s="65" t="str">
        <f>IFERROR(VLOOKUP('Informe Kelly'!A1239,Base!A:G,7,FALSE),"")</f>
        <v/>
      </c>
      <c r="C1246" s="69">
        <f>IF(G1246=$C$4,IF('Informe Kelly'!H1239='Control informe Kelly'!$A$2,TEXT(((LEFT('Informe Kelly'!E1239,2)*1)+1),"dd")&amp;"."&amp;MID('Informe Kelly'!E1239,4,2)&amp;"."&amp;RIGHT('Informe Kelly'!E1239,4),'Informe Kelly'!E1239),'Informe Kelly'!E1239)</f>
        <v>0</v>
      </c>
      <c r="D1246" s="69" t="str">
        <f>IF('Informe Kelly'!E1239="","",'Informe Kelly'!E1239)</f>
        <v/>
      </c>
      <c r="E1246" s="72">
        <f t="shared" si="39"/>
        <v>581</v>
      </c>
      <c r="F1246" s="72" t="str">
        <f>IFERROR(HLOOKUP(C1246,Ingreso!$Q$8:$AD$9,2,FALSE),"v")</f>
        <v>v</v>
      </c>
      <c r="G1246" s="65" t="str">
        <f>IFERROR(VLOOKUP(A1246,Ingreso!K:P,6,FALSE),"no esta ingresado")</f>
        <v>no esta ingresado</v>
      </c>
      <c r="H1246" s="65" t="str">
        <f>IFERROR(IF('Informe Kelly'!H1239=$A$2,'Informe Kelly'!F1239,""),0)</f>
        <v/>
      </c>
      <c r="I1246" s="65" t="str">
        <f>IFERROR(IF('Informe Kelly'!H1239=$A$3,'Informe Kelly'!F1239,""),0)</f>
        <v/>
      </c>
      <c r="J1246" s="65" t="str">
        <f>IF(IFERROR(IF(E1246=E1245,0,(HLOOKUP(D1246,Ingreso!$AN$10:$AT$260,VLOOKUP(A1246,Ingreso!$AL$11:$AM$260,2,FALSE)))/24),0)=0,"",IFERROR(IF(E1246=E1245,0,(HLOOKUP(D1246,Ingreso!$AN$10:$AT$260,VLOOKUP(A1246,Ingreso!$AL$11:$AM$260,2,FALSE)))/24),0))</f>
        <v/>
      </c>
      <c r="K1246" s="65" t="str">
        <f>IF(IFERROR(IF(E1246=E1245,0,(HLOOKUP(C1246,Ingreso!$AW$10:$BC$260,VLOOKUP(A1246,Ingreso!$AL$11:$AM$260,2,FALSE)))/24),0)=0,"",IFERROR(IF(E1246=E1245,0,(HLOOKUP(C1246,Ingreso!$AW$10:$BC$260,VLOOKUP(A1246,Ingreso!$AL$11:$AM$260,2,FALSE)))/24),0))</f>
        <v/>
      </c>
      <c r="L1246" s="63">
        <f t="shared" si="38"/>
        <v>0</v>
      </c>
      <c r="M1246" s="63" t="str">
        <f>IF(IFERROR(IF(C1246=C1244,0,IF(E1246=E1245,0,IF(C1246=$R$2,HLOOKUP($R$2,Ingreso!$AW$10:$BC$260,VLOOKUP(A1246,Ingreso!AL:AM,2,FALSE),FALSE)/24,""))),"")=0,"",IFERROR(IF(C1246=C1244,0,IF(E1246=E1245,0,IF(C1246=$R$2,HLOOKUP($R$2,Ingreso!$AW$10:$BC$260,VLOOKUP(A1246,Ingreso!AL:AM,2,FALSE),FALSE)/24,""))),""))</f>
        <v/>
      </c>
      <c r="N1246" s="95" t="str">
        <f>IF(IFERROR(IF(C1246=C1244,0,IF(E1246=E1245,0,IF(C1246=$R$3,HLOOKUP($R$3,Ingreso!$AW$10:$BC$260,VLOOKUP(A1246,Ingreso!AL:AM,2,FALSE),FALSE)/24,""))),"")=0,"",IFERROR(IF(C1246=C1244,0,IF(E1246=E1245,0,IF(C1246=$R$3,HLOOKUP($R$3,Ingreso!$AW$10:$BC$260,VLOOKUP(A1246,Ingreso!AL:AM,2,FALSE),FALSE)/24,""))),""))</f>
        <v/>
      </c>
      <c r="O1246" s="95" t="str">
        <f>IF(IFERROR(IF(C1246=C1244,0,IF(E1246=E1245,0,IF(C1246=$R$4,HLOOKUP($R$4,Ingreso!$AW$10:$BC$260,VLOOKUP(A1246,Ingreso!AL:AM,2,FALSE),FALSE)/24,""))),"")=0,"",IFERROR(IF(C1246=C1244,0,IF(E1246=E1245,0,IF(C1246=$R$4,HLOOKUP($R$4,Ingreso!$AW$10:$BC$260,VLOOKUP(A1246,Ingreso!AL:AM,2,FALSE),FALSE)/24,""))),""))</f>
        <v/>
      </c>
      <c r="P1246" s="90"/>
      <c r="V1246"/>
      <c r="W1246" s="62"/>
      <c r="X1246" s="62"/>
      <c r="Y1246" s="62"/>
      <c r="Z1246" s="62"/>
      <c r="AA1246" s="62"/>
      <c r="AB1246" s="62"/>
      <c r="AC1246" s="62"/>
    </row>
    <row r="1247" spans="1:29">
      <c r="A1247" s="65" t="str">
        <f>IFERROR(VLOOKUP('Informe Kelly'!A1240,Base!A:B,2,FALSE),"")</f>
        <v/>
      </c>
      <c r="B1247" s="65" t="str">
        <f>IFERROR(VLOOKUP('Informe Kelly'!A1240,Base!A:G,7,FALSE),"")</f>
        <v/>
      </c>
      <c r="C1247" s="69">
        <f>IF(G1247=$C$4,IF('Informe Kelly'!H1240='Control informe Kelly'!$A$2,TEXT(((LEFT('Informe Kelly'!E1240,2)*1)+1),"dd")&amp;"."&amp;MID('Informe Kelly'!E1240,4,2)&amp;"."&amp;RIGHT('Informe Kelly'!E1240,4),'Informe Kelly'!E1240),'Informe Kelly'!E1240)</f>
        <v>0</v>
      </c>
      <c r="D1247" s="69" t="str">
        <f>IF('Informe Kelly'!E1240="","",'Informe Kelly'!E1240)</f>
        <v/>
      </c>
      <c r="E1247" s="72">
        <f t="shared" si="39"/>
        <v>581</v>
      </c>
      <c r="F1247" s="72" t="str">
        <f>IFERROR(HLOOKUP(C1247,Ingreso!$Q$8:$AD$9,2,FALSE),"v")</f>
        <v>v</v>
      </c>
      <c r="G1247" s="65" t="str">
        <f>IFERROR(VLOOKUP(A1247,Ingreso!K:P,6,FALSE),"no esta ingresado")</f>
        <v>no esta ingresado</v>
      </c>
      <c r="H1247" s="65" t="str">
        <f>IFERROR(IF('Informe Kelly'!H1240=$A$2,'Informe Kelly'!F1240,""),0)</f>
        <v/>
      </c>
      <c r="I1247" s="65" t="str">
        <f>IFERROR(IF('Informe Kelly'!H1240=$A$3,'Informe Kelly'!F1240,""),0)</f>
        <v/>
      </c>
      <c r="J1247" s="65" t="str">
        <f>IF(IFERROR(IF(E1247=E1246,0,(HLOOKUP(D1247,Ingreso!$AN$10:$AT$260,VLOOKUP(A1247,Ingreso!$AL$11:$AM$260,2,FALSE)))/24),0)=0,"",IFERROR(IF(E1247=E1246,0,(HLOOKUP(D1247,Ingreso!$AN$10:$AT$260,VLOOKUP(A1247,Ingreso!$AL$11:$AM$260,2,FALSE)))/24),0))</f>
        <v/>
      </c>
      <c r="K1247" s="65" t="str">
        <f>IF(IFERROR(IF(E1247=E1246,0,(HLOOKUP(C1247,Ingreso!$AW$10:$BC$260,VLOOKUP(A1247,Ingreso!$AL$11:$AM$260,2,FALSE)))/24),0)=0,"",IFERROR(IF(E1247=E1246,0,(HLOOKUP(C1247,Ingreso!$AW$10:$BC$260,VLOOKUP(A1247,Ingreso!$AL$11:$AM$260,2,FALSE)))/24),0))</f>
        <v/>
      </c>
      <c r="L1247" s="63">
        <f t="shared" si="38"/>
        <v>0</v>
      </c>
      <c r="M1247" s="63" t="str">
        <f>IF(IFERROR(IF(C1247=C1245,0,IF(E1247=E1246,0,IF(C1247=$R$2,HLOOKUP($R$2,Ingreso!$AW$10:$BC$260,VLOOKUP(A1247,Ingreso!AL:AM,2,FALSE),FALSE)/24,""))),"")=0,"",IFERROR(IF(C1247=C1245,0,IF(E1247=E1246,0,IF(C1247=$R$2,HLOOKUP($R$2,Ingreso!$AW$10:$BC$260,VLOOKUP(A1247,Ingreso!AL:AM,2,FALSE),FALSE)/24,""))),""))</f>
        <v/>
      </c>
      <c r="N1247" s="95" t="str">
        <f>IF(IFERROR(IF(C1247=C1245,0,IF(E1247=E1246,0,IF(C1247=$R$3,HLOOKUP($R$3,Ingreso!$AW$10:$BC$260,VLOOKUP(A1247,Ingreso!AL:AM,2,FALSE),FALSE)/24,""))),"")=0,"",IFERROR(IF(C1247=C1245,0,IF(E1247=E1246,0,IF(C1247=$R$3,HLOOKUP($R$3,Ingreso!$AW$10:$BC$260,VLOOKUP(A1247,Ingreso!AL:AM,2,FALSE),FALSE)/24,""))),""))</f>
        <v/>
      </c>
      <c r="O1247" s="95" t="str">
        <f>IF(IFERROR(IF(C1247=C1245,0,IF(E1247=E1246,0,IF(C1247=$R$4,HLOOKUP($R$4,Ingreso!$AW$10:$BC$260,VLOOKUP(A1247,Ingreso!AL:AM,2,FALSE),FALSE)/24,""))),"")=0,"",IFERROR(IF(C1247=C1245,0,IF(E1247=E1246,0,IF(C1247=$R$4,HLOOKUP($R$4,Ingreso!$AW$10:$BC$260,VLOOKUP(A1247,Ingreso!AL:AM,2,FALSE),FALSE)/24,""))),""))</f>
        <v/>
      </c>
      <c r="P1247" s="90"/>
      <c r="V1247"/>
      <c r="W1247" s="62"/>
      <c r="X1247" s="62"/>
      <c r="Y1247" s="62"/>
      <c r="Z1247" s="62"/>
      <c r="AA1247" s="62"/>
      <c r="AB1247" s="62"/>
      <c r="AC1247" s="62"/>
    </row>
    <row r="1248" spans="1:29">
      <c r="A1248" s="65" t="str">
        <f>IFERROR(VLOOKUP('Informe Kelly'!A1241,Base!A:B,2,FALSE),"")</f>
        <v/>
      </c>
      <c r="B1248" s="65" t="str">
        <f>IFERROR(VLOOKUP('Informe Kelly'!A1241,Base!A:G,7,FALSE),"")</f>
        <v/>
      </c>
      <c r="C1248" s="69">
        <f>IF(G1248=$C$4,IF('Informe Kelly'!H1241='Control informe Kelly'!$A$2,TEXT(((LEFT('Informe Kelly'!E1241,2)*1)+1),"dd")&amp;"."&amp;MID('Informe Kelly'!E1241,4,2)&amp;"."&amp;RIGHT('Informe Kelly'!E1241,4),'Informe Kelly'!E1241),'Informe Kelly'!E1241)</f>
        <v>0</v>
      </c>
      <c r="D1248" s="69" t="str">
        <f>IF('Informe Kelly'!E1241="","",'Informe Kelly'!E1241)</f>
        <v/>
      </c>
      <c r="E1248" s="72">
        <f t="shared" si="39"/>
        <v>581</v>
      </c>
      <c r="F1248" s="72" t="str">
        <f>IFERROR(HLOOKUP(C1248,Ingreso!$Q$8:$AD$9,2,FALSE),"v")</f>
        <v>v</v>
      </c>
      <c r="G1248" s="65" t="str">
        <f>IFERROR(VLOOKUP(A1248,Ingreso!K:P,6,FALSE),"no esta ingresado")</f>
        <v>no esta ingresado</v>
      </c>
      <c r="H1248" s="65" t="str">
        <f>IFERROR(IF('Informe Kelly'!H1241=$A$2,'Informe Kelly'!F1241,""),0)</f>
        <v/>
      </c>
      <c r="I1248" s="65" t="str">
        <f>IFERROR(IF('Informe Kelly'!H1241=$A$3,'Informe Kelly'!F1241,""),0)</f>
        <v/>
      </c>
      <c r="J1248" s="65" t="str">
        <f>IF(IFERROR(IF(E1248=E1247,0,(HLOOKUP(D1248,Ingreso!$AN$10:$AT$260,VLOOKUP(A1248,Ingreso!$AL$11:$AM$260,2,FALSE)))/24),0)=0,"",IFERROR(IF(E1248=E1247,0,(HLOOKUP(D1248,Ingreso!$AN$10:$AT$260,VLOOKUP(A1248,Ingreso!$AL$11:$AM$260,2,FALSE)))/24),0))</f>
        <v/>
      </c>
      <c r="K1248" s="65" t="str">
        <f>IF(IFERROR(IF(E1248=E1247,0,(HLOOKUP(C1248,Ingreso!$AW$10:$BC$260,VLOOKUP(A1248,Ingreso!$AL$11:$AM$260,2,FALSE)))/24),0)=0,"",IFERROR(IF(E1248=E1247,0,(HLOOKUP(C1248,Ingreso!$AW$10:$BC$260,VLOOKUP(A1248,Ingreso!$AL$11:$AM$260,2,FALSE)))/24),0))</f>
        <v/>
      </c>
      <c r="L1248" s="63">
        <f t="shared" si="38"/>
        <v>0</v>
      </c>
      <c r="M1248" s="63" t="str">
        <f>IF(IFERROR(IF(C1248=C1246,0,IF(E1248=E1247,0,IF(C1248=$R$2,HLOOKUP($R$2,Ingreso!$AW$10:$BC$260,VLOOKUP(A1248,Ingreso!AL:AM,2,FALSE),FALSE)/24,""))),"")=0,"",IFERROR(IF(C1248=C1246,0,IF(E1248=E1247,0,IF(C1248=$R$2,HLOOKUP($R$2,Ingreso!$AW$10:$BC$260,VLOOKUP(A1248,Ingreso!AL:AM,2,FALSE),FALSE)/24,""))),""))</f>
        <v/>
      </c>
      <c r="N1248" s="95" t="str">
        <f>IF(IFERROR(IF(C1248=C1246,0,IF(E1248=E1247,0,IF(C1248=$R$3,HLOOKUP($R$3,Ingreso!$AW$10:$BC$260,VLOOKUP(A1248,Ingreso!AL:AM,2,FALSE),FALSE)/24,""))),"")=0,"",IFERROR(IF(C1248=C1246,0,IF(E1248=E1247,0,IF(C1248=$R$3,HLOOKUP($R$3,Ingreso!$AW$10:$BC$260,VLOOKUP(A1248,Ingreso!AL:AM,2,FALSE),FALSE)/24,""))),""))</f>
        <v/>
      </c>
      <c r="O1248" s="95" t="str">
        <f>IF(IFERROR(IF(C1248=C1246,0,IF(E1248=E1247,0,IF(C1248=$R$4,HLOOKUP($R$4,Ingreso!$AW$10:$BC$260,VLOOKUP(A1248,Ingreso!AL:AM,2,FALSE),FALSE)/24,""))),"")=0,"",IFERROR(IF(C1248=C1246,0,IF(E1248=E1247,0,IF(C1248=$R$4,HLOOKUP($R$4,Ingreso!$AW$10:$BC$260,VLOOKUP(A1248,Ingreso!AL:AM,2,FALSE),FALSE)/24,""))),""))</f>
        <v/>
      </c>
      <c r="P1248" s="90"/>
      <c r="V1248"/>
      <c r="W1248" s="62"/>
      <c r="X1248" s="62"/>
      <c r="Y1248" s="62"/>
      <c r="Z1248" s="62"/>
      <c r="AA1248" s="62"/>
      <c r="AB1248" s="62"/>
      <c r="AC1248" s="62"/>
    </row>
    <row r="1249" spans="1:29">
      <c r="A1249" s="65" t="str">
        <f>IFERROR(VLOOKUP('Informe Kelly'!A1242,Base!A:B,2,FALSE),"")</f>
        <v/>
      </c>
      <c r="B1249" s="65" t="str">
        <f>IFERROR(VLOOKUP('Informe Kelly'!A1242,Base!A:G,7,FALSE),"")</f>
        <v/>
      </c>
      <c r="C1249" s="69">
        <f>IF(G1249=$C$4,IF('Informe Kelly'!H1242='Control informe Kelly'!$A$2,TEXT(((LEFT('Informe Kelly'!E1242,2)*1)+1),"dd")&amp;"."&amp;MID('Informe Kelly'!E1242,4,2)&amp;"."&amp;RIGHT('Informe Kelly'!E1242,4),'Informe Kelly'!E1242),'Informe Kelly'!E1242)</f>
        <v>0</v>
      </c>
      <c r="D1249" s="69" t="str">
        <f>IF('Informe Kelly'!E1242="","",'Informe Kelly'!E1242)</f>
        <v/>
      </c>
      <c r="E1249" s="72">
        <f t="shared" si="39"/>
        <v>581</v>
      </c>
      <c r="F1249" s="72" t="str">
        <f>IFERROR(HLOOKUP(C1249,Ingreso!$Q$8:$AD$9,2,FALSE),"v")</f>
        <v>v</v>
      </c>
      <c r="G1249" s="65" t="str">
        <f>IFERROR(VLOOKUP(A1249,Ingreso!K:P,6,FALSE),"no esta ingresado")</f>
        <v>no esta ingresado</v>
      </c>
      <c r="H1249" s="65" t="str">
        <f>IFERROR(IF('Informe Kelly'!H1242=$A$2,'Informe Kelly'!F1242,""),0)</f>
        <v/>
      </c>
      <c r="I1249" s="65" t="str">
        <f>IFERROR(IF('Informe Kelly'!H1242=$A$3,'Informe Kelly'!F1242,""),0)</f>
        <v/>
      </c>
      <c r="J1249" s="65" t="str">
        <f>IF(IFERROR(IF(E1249=E1248,0,(HLOOKUP(D1249,Ingreso!$AN$10:$AT$260,VLOOKUP(A1249,Ingreso!$AL$11:$AM$260,2,FALSE)))/24),0)=0,"",IFERROR(IF(E1249=E1248,0,(HLOOKUP(D1249,Ingreso!$AN$10:$AT$260,VLOOKUP(A1249,Ingreso!$AL$11:$AM$260,2,FALSE)))/24),0))</f>
        <v/>
      </c>
      <c r="K1249" s="65" t="str">
        <f>IF(IFERROR(IF(E1249=E1248,0,(HLOOKUP(C1249,Ingreso!$AW$10:$BC$260,VLOOKUP(A1249,Ingreso!$AL$11:$AM$260,2,FALSE)))/24),0)=0,"",IFERROR(IF(E1249=E1248,0,(HLOOKUP(C1249,Ingreso!$AW$10:$BC$260,VLOOKUP(A1249,Ingreso!$AL$11:$AM$260,2,FALSE)))/24),0))</f>
        <v/>
      </c>
      <c r="L1249" s="63">
        <f t="shared" si="38"/>
        <v>0</v>
      </c>
      <c r="M1249" s="63" t="str">
        <f>IF(IFERROR(IF(C1249=C1247,0,IF(E1249=E1248,0,IF(C1249=$R$2,HLOOKUP($R$2,Ingreso!$AW$10:$BC$260,VLOOKUP(A1249,Ingreso!AL:AM,2,FALSE),FALSE)/24,""))),"")=0,"",IFERROR(IF(C1249=C1247,0,IF(E1249=E1248,0,IF(C1249=$R$2,HLOOKUP($R$2,Ingreso!$AW$10:$BC$260,VLOOKUP(A1249,Ingreso!AL:AM,2,FALSE),FALSE)/24,""))),""))</f>
        <v/>
      </c>
      <c r="N1249" s="95" t="str">
        <f>IF(IFERROR(IF(C1249=C1247,0,IF(E1249=E1248,0,IF(C1249=$R$3,HLOOKUP($R$3,Ingreso!$AW$10:$BC$260,VLOOKUP(A1249,Ingreso!AL:AM,2,FALSE),FALSE)/24,""))),"")=0,"",IFERROR(IF(C1249=C1247,0,IF(E1249=E1248,0,IF(C1249=$R$3,HLOOKUP($R$3,Ingreso!$AW$10:$BC$260,VLOOKUP(A1249,Ingreso!AL:AM,2,FALSE),FALSE)/24,""))),""))</f>
        <v/>
      </c>
      <c r="O1249" s="95" t="str">
        <f>IF(IFERROR(IF(C1249=C1247,0,IF(E1249=E1248,0,IF(C1249=$R$4,HLOOKUP($R$4,Ingreso!$AW$10:$BC$260,VLOOKUP(A1249,Ingreso!AL:AM,2,FALSE),FALSE)/24,""))),"")=0,"",IFERROR(IF(C1249=C1247,0,IF(E1249=E1248,0,IF(C1249=$R$4,HLOOKUP($R$4,Ingreso!$AW$10:$BC$260,VLOOKUP(A1249,Ingreso!AL:AM,2,FALSE),FALSE)/24,""))),""))</f>
        <v/>
      </c>
      <c r="P1249" s="90"/>
      <c r="V1249"/>
      <c r="W1249" s="62"/>
      <c r="X1249" s="62"/>
      <c r="Y1249" s="62"/>
      <c r="Z1249" s="62"/>
      <c r="AA1249" s="62"/>
      <c r="AB1249" s="62"/>
      <c r="AC1249" s="62"/>
    </row>
    <row r="1250" spans="1:29">
      <c r="A1250" s="65" t="str">
        <f>IFERROR(VLOOKUP('Informe Kelly'!A1243,Base!A:B,2,FALSE),"")</f>
        <v/>
      </c>
      <c r="B1250" s="65" t="str">
        <f>IFERROR(VLOOKUP('Informe Kelly'!A1243,Base!A:G,7,FALSE),"")</f>
        <v/>
      </c>
      <c r="C1250" s="69">
        <f>IF(G1250=$C$4,IF('Informe Kelly'!H1243='Control informe Kelly'!$A$2,TEXT(((LEFT('Informe Kelly'!E1243,2)*1)+1),"dd")&amp;"."&amp;MID('Informe Kelly'!E1243,4,2)&amp;"."&amp;RIGHT('Informe Kelly'!E1243,4),'Informe Kelly'!E1243),'Informe Kelly'!E1243)</f>
        <v>0</v>
      </c>
      <c r="D1250" s="69" t="str">
        <f>IF('Informe Kelly'!E1243="","",'Informe Kelly'!E1243)</f>
        <v/>
      </c>
      <c r="E1250" s="72">
        <f t="shared" si="39"/>
        <v>581</v>
      </c>
      <c r="F1250" s="72" t="str">
        <f>IFERROR(HLOOKUP(C1250,Ingreso!$Q$8:$AD$9,2,FALSE),"v")</f>
        <v>v</v>
      </c>
      <c r="G1250" s="65" t="str">
        <f>IFERROR(VLOOKUP(A1250,Ingreso!K:P,6,FALSE),"no esta ingresado")</f>
        <v>no esta ingresado</v>
      </c>
      <c r="H1250" s="65" t="str">
        <f>IFERROR(IF('Informe Kelly'!H1243=$A$2,'Informe Kelly'!F1243,""),0)</f>
        <v/>
      </c>
      <c r="I1250" s="65" t="str">
        <f>IFERROR(IF('Informe Kelly'!H1243=$A$3,'Informe Kelly'!F1243,""),0)</f>
        <v/>
      </c>
      <c r="J1250" s="65" t="str">
        <f>IF(IFERROR(IF(E1250=E1249,0,(HLOOKUP(D1250,Ingreso!$AN$10:$AT$260,VLOOKUP(A1250,Ingreso!$AL$11:$AM$260,2,FALSE)))/24),0)=0,"",IFERROR(IF(E1250=E1249,0,(HLOOKUP(D1250,Ingreso!$AN$10:$AT$260,VLOOKUP(A1250,Ingreso!$AL$11:$AM$260,2,FALSE)))/24),0))</f>
        <v/>
      </c>
      <c r="K1250" s="65" t="str">
        <f>IF(IFERROR(IF(E1250=E1249,0,(HLOOKUP(C1250,Ingreso!$AW$10:$BC$260,VLOOKUP(A1250,Ingreso!$AL$11:$AM$260,2,FALSE)))/24),0)=0,"",IFERROR(IF(E1250=E1249,0,(HLOOKUP(C1250,Ingreso!$AW$10:$BC$260,VLOOKUP(A1250,Ingreso!$AL$11:$AM$260,2,FALSE)))/24),0))</f>
        <v/>
      </c>
      <c r="L1250" s="63">
        <f t="shared" si="38"/>
        <v>0</v>
      </c>
      <c r="M1250" s="63" t="str">
        <f>IF(IFERROR(IF(C1250=C1248,0,IF(E1250=E1249,0,IF(C1250=$R$2,HLOOKUP($R$2,Ingreso!$AW$10:$BC$260,VLOOKUP(A1250,Ingreso!AL:AM,2,FALSE),FALSE)/24,""))),"")=0,"",IFERROR(IF(C1250=C1248,0,IF(E1250=E1249,0,IF(C1250=$R$2,HLOOKUP($R$2,Ingreso!$AW$10:$BC$260,VLOOKUP(A1250,Ingreso!AL:AM,2,FALSE),FALSE)/24,""))),""))</f>
        <v/>
      </c>
      <c r="N1250" s="95" t="str">
        <f>IF(IFERROR(IF(C1250=C1248,0,IF(E1250=E1249,0,IF(C1250=$R$3,HLOOKUP($R$3,Ingreso!$AW$10:$BC$260,VLOOKUP(A1250,Ingreso!AL:AM,2,FALSE),FALSE)/24,""))),"")=0,"",IFERROR(IF(C1250=C1248,0,IF(E1250=E1249,0,IF(C1250=$R$3,HLOOKUP($R$3,Ingreso!$AW$10:$BC$260,VLOOKUP(A1250,Ingreso!AL:AM,2,FALSE),FALSE)/24,""))),""))</f>
        <v/>
      </c>
      <c r="O1250" s="95" t="str">
        <f>IF(IFERROR(IF(C1250=C1248,0,IF(E1250=E1249,0,IF(C1250=$R$4,HLOOKUP($R$4,Ingreso!$AW$10:$BC$260,VLOOKUP(A1250,Ingreso!AL:AM,2,FALSE),FALSE)/24,""))),"")=0,"",IFERROR(IF(C1250=C1248,0,IF(E1250=E1249,0,IF(C1250=$R$4,HLOOKUP($R$4,Ingreso!$AW$10:$BC$260,VLOOKUP(A1250,Ingreso!AL:AM,2,FALSE),FALSE)/24,""))),""))</f>
        <v/>
      </c>
      <c r="P1250" s="90"/>
      <c r="V1250"/>
      <c r="W1250" s="62"/>
      <c r="X1250" s="62"/>
      <c r="Y1250" s="62"/>
      <c r="Z1250" s="62"/>
      <c r="AA1250" s="62"/>
      <c r="AB1250" s="62"/>
      <c r="AC1250" s="62"/>
    </row>
    <row r="1251" spans="1:29">
      <c r="A1251" s="65" t="str">
        <f>IFERROR(VLOOKUP('Informe Kelly'!A1244,Base!A:B,2,FALSE),"")</f>
        <v/>
      </c>
      <c r="B1251" s="65" t="str">
        <f>IFERROR(VLOOKUP('Informe Kelly'!A1244,Base!A:G,7,FALSE),"")</f>
        <v/>
      </c>
      <c r="C1251" s="69">
        <f>IF(G1251=$C$4,IF('Informe Kelly'!H1244='Control informe Kelly'!$A$2,TEXT(((LEFT('Informe Kelly'!E1244,2)*1)+1),"dd")&amp;"."&amp;MID('Informe Kelly'!E1244,4,2)&amp;"."&amp;RIGHT('Informe Kelly'!E1244,4),'Informe Kelly'!E1244),'Informe Kelly'!E1244)</f>
        <v>0</v>
      </c>
      <c r="D1251" s="69" t="str">
        <f>IF('Informe Kelly'!E1244="","",'Informe Kelly'!E1244)</f>
        <v/>
      </c>
      <c r="E1251" s="72">
        <f t="shared" si="39"/>
        <v>581</v>
      </c>
      <c r="F1251" s="72" t="str">
        <f>IFERROR(HLOOKUP(C1251,Ingreso!$Q$8:$AD$9,2,FALSE),"v")</f>
        <v>v</v>
      </c>
      <c r="G1251" s="65" t="str">
        <f>IFERROR(VLOOKUP(A1251,Ingreso!K:P,6,FALSE),"no esta ingresado")</f>
        <v>no esta ingresado</v>
      </c>
      <c r="H1251" s="65" t="str">
        <f>IFERROR(IF('Informe Kelly'!H1244=$A$2,'Informe Kelly'!F1244,""),0)</f>
        <v/>
      </c>
      <c r="I1251" s="65" t="str">
        <f>IFERROR(IF('Informe Kelly'!H1244=$A$3,'Informe Kelly'!F1244,""),0)</f>
        <v/>
      </c>
      <c r="J1251" s="65" t="str">
        <f>IF(IFERROR(IF(E1251=E1250,0,(HLOOKUP(D1251,Ingreso!$AN$10:$AT$260,VLOOKUP(A1251,Ingreso!$AL$11:$AM$260,2,FALSE)))/24),0)=0,"",IFERROR(IF(E1251=E1250,0,(HLOOKUP(D1251,Ingreso!$AN$10:$AT$260,VLOOKUP(A1251,Ingreso!$AL$11:$AM$260,2,FALSE)))/24),0))</f>
        <v/>
      </c>
      <c r="K1251" s="65" t="str">
        <f>IF(IFERROR(IF(E1251=E1250,0,(HLOOKUP(C1251,Ingreso!$AW$10:$BC$260,VLOOKUP(A1251,Ingreso!$AL$11:$AM$260,2,FALSE)))/24),0)=0,"",IFERROR(IF(E1251=E1250,0,(HLOOKUP(C1251,Ingreso!$AW$10:$BC$260,VLOOKUP(A1251,Ingreso!$AL$11:$AM$260,2,FALSE)))/24),0))</f>
        <v/>
      </c>
      <c r="L1251" s="63">
        <f t="shared" si="38"/>
        <v>0</v>
      </c>
      <c r="M1251" s="63" t="str">
        <f>IF(IFERROR(IF(C1251=C1249,0,IF(E1251=E1250,0,IF(C1251=$R$2,HLOOKUP($R$2,Ingreso!$AW$10:$BC$260,VLOOKUP(A1251,Ingreso!AL:AM,2,FALSE),FALSE)/24,""))),"")=0,"",IFERROR(IF(C1251=C1249,0,IF(E1251=E1250,0,IF(C1251=$R$2,HLOOKUP($R$2,Ingreso!$AW$10:$BC$260,VLOOKUP(A1251,Ingreso!AL:AM,2,FALSE),FALSE)/24,""))),""))</f>
        <v/>
      </c>
      <c r="N1251" s="95" t="str">
        <f>IF(IFERROR(IF(C1251=C1249,0,IF(E1251=E1250,0,IF(C1251=$R$3,HLOOKUP($R$3,Ingreso!$AW$10:$BC$260,VLOOKUP(A1251,Ingreso!AL:AM,2,FALSE),FALSE)/24,""))),"")=0,"",IFERROR(IF(C1251=C1249,0,IF(E1251=E1250,0,IF(C1251=$R$3,HLOOKUP($R$3,Ingreso!$AW$10:$BC$260,VLOOKUP(A1251,Ingreso!AL:AM,2,FALSE),FALSE)/24,""))),""))</f>
        <v/>
      </c>
      <c r="O1251" s="95" t="str">
        <f>IF(IFERROR(IF(C1251=C1249,0,IF(E1251=E1250,0,IF(C1251=$R$4,HLOOKUP($R$4,Ingreso!$AW$10:$BC$260,VLOOKUP(A1251,Ingreso!AL:AM,2,FALSE),FALSE)/24,""))),"")=0,"",IFERROR(IF(C1251=C1249,0,IF(E1251=E1250,0,IF(C1251=$R$4,HLOOKUP($R$4,Ingreso!$AW$10:$BC$260,VLOOKUP(A1251,Ingreso!AL:AM,2,FALSE),FALSE)/24,""))),""))</f>
        <v/>
      </c>
      <c r="P1251" s="90"/>
      <c r="V1251"/>
      <c r="W1251" s="62"/>
      <c r="X1251" s="62"/>
      <c r="Y1251" s="62"/>
      <c r="Z1251" s="62"/>
      <c r="AA1251" s="62"/>
      <c r="AB1251" s="62"/>
      <c r="AC1251" s="62"/>
    </row>
    <row r="1252" spans="1:29">
      <c r="A1252" s="65" t="str">
        <f>IFERROR(VLOOKUP('Informe Kelly'!A1245,Base!A:B,2,FALSE),"")</f>
        <v/>
      </c>
      <c r="B1252" s="65" t="str">
        <f>IFERROR(VLOOKUP('Informe Kelly'!A1245,Base!A:G,7,FALSE),"")</f>
        <v/>
      </c>
      <c r="C1252" s="69">
        <f>IF(G1252=$C$4,IF('Informe Kelly'!H1245='Control informe Kelly'!$A$2,TEXT(((LEFT('Informe Kelly'!E1245,2)*1)+1),"dd")&amp;"."&amp;MID('Informe Kelly'!E1245,4,2)&amp;"."&amp;RIGHT('Informe Kelly'!E1245,4),'Informe Kelly'!E1245),'Informe Kelly'!E1245)</f>
        <v>0</v>
      </c>
      <c r="D1252" s="69" t="str">
        <f>IF('Informe Kelly'!E1245="","",'Informe Kelly'!E1245)</f>
        <v/>
      </c>
      <c r="E1252" s="72">
        <f t="shared" si="39"/>
        <v>581</v>
      </c>
      <c r="F1252" s="72" t="str">
        <f>IFERROR(HLOOKUP(C1252,Ingreso!$Q$8:$AD$9,2,FALSE),"v")</f>
        <v>v</v>
      </c>
      <c r="G1252" s="65" t="str">
        <f>IFERROR(VLOOKUP(A1252,Ingreso!K:P,6,FALSE),"no esta ingresado")</f>
        <v>no esta ingresado</v>
      </c>
      <c r="H1252" s="65" t="str">
        <f>IFERROR(IF('Informe Kelly'!H1245=$A$2,'Informe Kelly'!F1245,""),0)</f>
        <v/>
      </c>
      <c r="I1252" s="65" t="str">
        <f>IFERROR(IF('Informe Kelly'!H1245=$A$3,'Informe Kelly'!F1245,""),0)</f>
        <v/>
      </c>
      <c r="J1252" s="65" t="str">
        <f>IF(IFERROR(IF(E1252=E1251,0,(HLOOKUP(D1252,Ingreso!$AN$10:$AT$260,VLOOKUP(A1252,Ingreso!$AL$11:$AM$260,2,FALSE)))/24),0)=0,"",IFERROR(IF(E1252=E1251,0,(HLOOKUP(D1252,Ingreso!$AN$10:$AT$260,VLOOKUP(A1252,Ingreso!$AL$11:$AM$260,2,FALSE)))/24),0))</f>
        <v/>
      </c>
      <c r="K1252" s="65" t="str">
        <f>IF(IFERROR(IF(E1252=E1251,0,(HLOOKUP(C1252,Ingreso!$AW$10:$BC$260,VLOOKUP(A1252,Ingreso!$AL$11:$AM$260,2,FALSE)))/24),0)=0,"",IFERROR(IF(E1252=E1251,0,(HLOOKUP(C1252,Ingreso!$AW$10:$BC$260,VLOOKUP(A1252,Ingreso!$AL$11:$AM$260,2,FALSE)))/24),0))</f>
        <v/>
      </c>
      <c r="L1252" s="63">
        <f t="shared" si="38"/>
        <v>0</v>
      </c>
      <c r="M1252" s="63" t="str">
        <f>IF(IFERROR(IF(C1252=C1250,0,IF(E1252=E1251,0,IF(C1252=$R$2,HLOOKUP($R$2,Ingreso!$AW$10:$BC$260,VLOOKUP(A1252,Ingreso!AL:AM,2,FALSE),FALSE)/24,""))),"")=0,"",IFERROR(IF(C1252=C1250,0,IF(E1252=E1251,0,IF(C1252=$R$2,HLOOKUP($R$2,Ingreso!$AW$10:$BC$260,VLOOKUP(A1252,Ingreso!AL:AM,2,FALSE),FALSE)/24,""))),""))</f>
        <v/>
      </c>
      <c r="N1252" s="95" t="str">
        <f>IF(IFERROR(IF(C1252=C1250,0,IF(E1252=E1251,0,IF(C1252=$R$3,HLOOKUP($R$3,Ingreso!$AW$10:$BC$260,VLOOKUP(A1252,Ingreso!AL:AM,2,FALSE),FALSE)/24,""))),"")=0,"",IFERROR(IF(C1252=C1250,0,IF(E1252=E1251,0,IF(C1252=$R$3,HLOOKUP($R$3,Ingreso!$AW$10:$BC$260,VLOOKUP(A1252,Ingreso!AL:AM,2,FALSE),FALSE)/24,""))),""))</f>
        <v/>
      </c>
      <c r="O1252" s="95" t="str">
        <f>IF(IFERROR(IF(C1252=C1250,0,IF(E1252=E1251,0,IF(C1252=$R$4,HLOOKUP($R$4,Ingreso!$AW$10:$BC$260,VLOOKUP(A1252,Ingreso!AL:AM,2,FALSE),FALSE)/24,""))),"")=0,"",IFERROR(IF(C1252=C1250,0,IF(E1252=E1251,0,IF(C1252=$R$4,HLOOKUP($R$4,Ingreso!$AW$10:$BC$260,VLOOKUP(A1252,Ingreso!AL:AM,2,FALSE),FALSE)/24,""))),""))</f>
        <v/>
      </c>
      <c r="P1252" s="90"/>
      <c r="V1252"/>
      <c r="W1252" s="62"/>
      <c r="X1252" s="62"/>
      <c r="Y1252" s="62"/>
      <c r="Z1252" s="62"/>
      <c r="AA1252" s="62"/>
      <c r="AB1252" s="62"/>
      <c r="AC1252" s="62"/>
    </row>
    <row r="1253" spans="1:29">
      <c r="A1253" s="65" t="str">
        <f>IFERROR(VLOOKUP('Informe Kelly'!A1246,Base!A:B,2,FALSE),"")</f>
        <v/>
      </c>
      <c r="B1253" s="65" t="str">
        <f>IFERROR(VLOOKUP('Informe Kelly'!A1246,Base!A:G,7,FALSE),"")</f>
        <v/>
      </c>
      <c r="C1253" s="69">
        <f>IF(G1253=$C$4,IF('Informe Kelly'!H1246='Control informe Kelly'!$A$2,TEXT(((LEFT('Informe Kelly'!E1246,2)*1)+1),"dd")&amp;"."&amp;MID('Informe Kelly'!E1246,4,2)&amp;"."&amp;RIGHT('Informe Kelly'!E1246,4),'Informe Kelly'!E1246),'Informe Kelly'!E1246)</f>
        <v>0</v>
      </c>
      <c r="D1253" s="69" t="str">
        <f>IF('Informe Kelly'!E1246="","",'Informe Kelly'!E1246)</f>
        <v/>
      </c>
      <c r="E1253" s="72">
        <f t="shared" si="39"/>
        <v>581</v>
      </c>
      <c r="F1253" s="72" t="str">
        <f>IFERROR(HLOOKUP(C1253,Ingreso!$Q$8:$AD$9,2,FALSE),"v")</f>
        <v>v</v>
      </c>
      <c r="G1253" s="65" t="str">
        <f>IFERROR(VLOOKUP(A1253,Ingreso!K:P,6,FALSE),"no esta ingresado")</f>
        <v>no esta ingresado</v>
      </c>
      <c r="H1253" s="65" t="str">
        <f>IFERROR(IF('Informe Kelly'!H1246=$A$2,'Informe Kelly'!F1246,""),0)</f>
        <v/>
      </c>
      <c r="I1253" s="65" t="str">
        <f>IFERROR(IF('Informe Kelly'!H1246=$A$3,'Informe Kelly'!F1246,""),0)</f>
        <v/>
      </c>
      <c r="J1253" s="65" t="str">
        <f>IF(IFERROR(IF(E1253=E1252,0,(HLOOKUP(D1253,Ingreso!$AN$10:$AT$260,VLOOKUP(A1253,Ingreso!$AL$11:$AM$260,2,FALSE)))/24),0)=0,"",IFERROR(IF(E1253=E1252,0,(HLOOKUP(D1253,Ingreso!$AN$10:$AT$260,VLOOKUP(A1253,Ingreso!$AL$11:$AM$260,2,FALSE)))/24),0))</f>
        <v/>
      </c>
      <c r="K1253" s="65" t="str">
        <f>IF(IFERROR(IF(E1253=E1252,0,(HLOOKUP(C1253,Ingreso!$AW$10:$BC$260,VLOOKUP(A1253,Ingreso!$AL$11:$AM$260,2,FALSE)))/24),0)=0,"",IFERROR(IF(E1253=E1252,0,(HLOOKUP(C1253,Ingreso!$AW$10:$BC$260,VLOOKUP(A1253,Ingreso!$AL$11:$AM$260,2,FALSE)))/24),0))</f>
        <v/>
      </c>
      <c r="L1253" s="63">
        <f t="shared" si="38"/>
        <v>0</v>
      </c>
      <c r="M1253" s="63" t="str">
        <f>IF(IFERROR(IF(C1253=C1251,0,IF(E1253=E1252,0,IF(C1253=$R$2,HLOOKUP($R$2,Ingreso!$AW$10:$BC$260,VLOOKUP(A1253,Ingreso!AL:AM,2,FALSE),FALSE)/24,""))),"")=0,"",IFERROR(IF(C1253=C1251,0,IF(E1253=E1252,0,IF(C1253=$R$2,HLOOKUP($R$2,Ingreso!$AW$10:$BC$260,VLOOKUP(A1253,Ingreso!AL:AM,2,FALSE),FALSE)/24,""))),""))</f>
        <v/>
      </c>
      <c r="N1253" s="95" t="str">
        <f>IF(IFERROR(IF(C1253=C1251,0,IF(E1253=E1252,0,IF(C1253=$R$3,HLOOKUP($R$3,Ingreso!$AW$10:$BC$260,VLOOKUP(A1253,Ingreso!AL:AM,2,FALSE),FALSE)/24,""))),"")=0,"",IFERROR(IF(C1253=C1251,0,IF(E1253=E1252,0,IF(C1253=$R$3,HLOOKUP($R$3,Ingreso!$AW$10:$BC$260,VLOOKUP(A1253,Ingreso!AL:AM,2,FALSE),FALSE)/24,""))),""))</f>
        <v/>
      </c>
      <c r="O1253" s="95" t="str">
        <f>IF(IFERROR(IF(C1253=C1251,0,IF(E1253=E1252,0,IF(C1253=$R$4,HLOOKUP($R$4,Ingreso!$AW$10:$BC$260,VLOOKUP(A1253,Ingreso!AL:AM,2,FALSE),FALSE)/24,""))),"")=0,"",IFERROR(IF(C1253=C1251,0,IF(E1253=E1252,0,IF(C1253=$R$4,HLOOKUP($R$4,Ingreso!$AW$10:$BC$260,VLOOKUP(A1253,Ingreso!AL:AM,2,FALSE),FALSE)/24,""))),""))</f>
        <v/>
      </c>
      <c r="P1253" s="90"/>
      <c r="V1253"/>
      <c r="W1253" s="62"/>
      <c r="X1253" s="62"/>
      <c r="Y1253" s="62"/>
      <c r="Z1253" s="62"/>
      <c r="AA1253" s="62"/>
      <c r="AB1253" s="62"/>
      <c r="AC1253" s="62"/>
    </row>
    <row r="1254" spans="1:29">
      <c r="A1254" s="65" t="str">
        <f>IFERROR(VLOOKUP('Informe Kelly'!A1247,Base!A:B,2,FALSE),"")</f>
        <v/>
      </c>
      <c r="B1254" s="65" t="str">
        <f>IFERROR(VLOOKUP('Informe Kelly'!A1247,Base!A:G,7,FALSE),"")</f>
        <v/>
      </c>
      <c r="C1254" s="69">
        <f>IF(G1254=$C$4,IF('Informe Kelly'!H1247='Control informe Kelly'!$A$2,TEXT(((LEFT('Informe Kelly'!E1247,2)*1)+1),"dd")&amp;"."&amp;MID('Informe Kelly'!E1247,4,2)&amp;"."&amp;RIGHT('Informe Kelly'!E1247,4),'Informe Kelly'!E1247),'Informe Kelly'!E1247)</f>
        <v>0</v>
      </c>
      <c r="D1254" s="69" t="str">
        <f>IF('Informe Kelly'!E1247="","",'Informe Kelly'!E1247)</f>
        <v/>
      </c>
      <c r="E1254" s="72">
        <f t="shared" si="39"/>
        <v>581</v>
      </c>
      <c r="F1254" s="72" t="str">
        <f>IFERROR(HLOOKUP(C1254,Ingreso!$Q$8:$AD$9,2,FALSE),"v")</f>
        <v>v</v>
      </c>
      <c r="G1254" s="65" t="str">
        <f>IFERROR(VLOOKUP(A1254,Ingreso!K:P,6,FALSE),"no esta ingresado")</f>
        <v>no esta ingresado</v>
      </c>
      <c r="H1254" s="65" t="str">
        <f>IFERROR(IF('Informe Kelly'!H1247=$A$2,'Informe Kelly'!F1247,""),0)</f>
        <v/>
      </c>
      <c r="I1254" s="65" t="str">
        <f>IFERROR(IF('Informe Kelly'!H1247=$A$3,'Informe Kelly'!F1247,""),0)</f>
        <v/>
      </c>
      <c r="J1254" s="65" t="str">
        <f>IF(IFERROR(IF(E1254=E1253,0,(HLOOKUP(D1254,Ingreso!$AN$10:$AT$260,VLOOKUP(A1254,Ingreso!$AL$11:$AM$260,2,FALSE)))/24),0)=0,"",IFERROR(IF(E1254=E1253,0,(HLOOKUP(D1254,Ingreso!$AN$10:$AT$260,VLOOKUP(A1254,Ingreso!$AL$11:$AM$260,2,FALSE)))/24),0))</f>
        <v/>
      </c>
      <c r="K1254" s="65" t="str">
        <f>IF(IFERROR(IF(E1254=E1253,0,(HLOOKUP(C1254,Ingreso!$AW$10:$BC$260,VLOOKUP(A1254,Ingreso!$AL$11:$AM$260,2,FALSE)))/24),0)=0,"",IFERROR(IF(E1254=E1253,0,(HLOOKUP(C1254,Ingreso!$AW$10:$BC$260,VLOOKUP(A1254,Ingreso!$AL$11:$AM$260,2,FALSE)))/24),0))</f>
        <v/>
      </c>
      <c r="L1254" s="63">
        <f t="shared" si="38"/>
        <v>0</v>
      </c>
      <c r="M1254" s="63" t="str">
        <f>IF(IFERROR(IF(C1254=C1252,0,IF(E1254=E1253,0,IF(C1254=$R$2,HLOOKUP($R$2,Ingreso!$AW$10:$BC$260,VLOOKUP(A1254,Ingreso!AL:AM,2,FALSE),FALSE)/24,""))),"")=0,"",IFERROR(IF(C1254=C1252,0,IF(E1254=E1253,0,IF(C1254=$R$2,HLOOKUP($R$2,Ingreso!$AW$10:$BC$260,VLOOKUP(A1254,Ingreso!AL:AM,2,FALSE),FALSE)/24,""))),""))</f>
        <v/>
      </c>
      <c r="N1254" s="95" t="str">
        <f>IF(IFERROR(IF(C1254=C1252,0,IF(E1254=E1253,0,IF(C1254=$R$3,HLOOKUP($R$3,Ingreso!$AW$10:$BC$260,VLOOKUP(A1254,Ingreso!AL:AM,2,FALSE),FALSE)/24,""))),"")=0,"",IFERROR(IF(C1254=C1252,0,IF(E1254=E1253,0,IF(C1254=$R$3,HLOOKUP($R$3,Ingreso!$AW$10:$BC$260,VLOOKUP(A1254,Ingreso!AL:AM,2,FALSE),FALSE)/24,""))),""))</f>
        <v/>
      </c>
      <c r="O1254" s="95" t="str">
        <f>IF(IFERROR(IF(C1254=C1252,0,IF(E1254=E1253,0,IF(C1254=$R$4,HLOOKUP($R$4,Ingreso!$AW$10:$BC$260,VLOOKUP(A1254,Ingreso!AL:AM,2,FALSE),FALSE)/24,""))),"")=0,"",IFERROR(IF(C1254=C1252,0,IF(E1254=E1253,0,IF(C1254=$R$4,HLOOKUP($R$4,Ingreso!$AW$10:$BC$260,VLOOKUP(A1254,Ingreso!AL:AM,2,FALSE),FALSE)/24,""))),""))</f>
        <v/>
      </c>
      <c r="P1254" s="90"/>
      <c r="V1254"/>
      <c r="W1254" s="62"/>
      <c r="X1254" s="62"/>
      <c r="Y1254" s="62"/>
      <c r="Z1254" s="62"/>
      <c r="AA1254" s="62"/>
      <c r="AB1254" s="62"/>
      <c r="AC1254" s="62"/>
    </row>
    <row r="1255" spans="1:29">
      <c r="A1255" s="65" t="str">
        <f>IFERROR(VLOOKUP('Informe Kelly'!A1248,Base!A:B,2,FALSE),"")</f>
        <v/>
      </c>
      <c r="B1255" s="65" t="str">
        <f>IFERROR(VLOOKUP('Informe Kelly'!A1248,Base!A:G,7,FALSE),"")</f>
        <v/>
      </c>
      <c r="C1255" s="69">
        <f>IF(G1255=$C$4,IF('Informe Kelly'!H1248='Control informe Kelly'!$A$2,TEXT(((LEFT('Informe Kelly'!E1248,2)*1)+1),"dd")&amp;"."&amp;MID('Informe Kelly'!E1248,4,2)&amp;"."&amp;RIGHT('Informe Kelly'!E1248,4),'Informe Kelly'!E1248),'Informe Kelly'!E1248)</f>
        <v>0</v>
      </c>
      <c r="D1255" s="69" t="str">
        <f>IF('Informe Kelly'!E1248="","",'Informe Kelly'!E1248)</f>
        <v/>
      </c>
      <c r="E1255" s="72">
        <f t="shared" si="39"/>
        <v>581</v>
      </c>
      <c r="F1255" s="72" t="str">
        <f>IFERROR(HLOOKUP(C1255,Ingreso!$Q$8:$AD$9,2,FALSE),"v")</f>
        <v>v</v>
      </c>
      <c r="G1255" s="65" t="str">
        <f>IFERROR(VLOOKUP(A1255,Ingreso!K:P,6,FALSE),"no esta ingresado")</f>
        <v>no esta ingresado</v>
      </c>
      <c r="H1255" s="65" t="str">
        <f>IFERROR(IF('Informe Kelly'!H1248=$A$2,'Informe Kelly'!F1248,""),0)</f>
        <v/>
      </c>
      <c r="I1255" s="65" t="str">
        <f>IFERROR(IF('Informe Kelly'!H1248=$A$3,'Informe Kelly'!F1248,""),0)</f>
        <v/>
      </c>
      <c r="J1255" s="65" t="str">
        <f>IF(IFERROR(IF(E1255=E1254,0,(HLOOKUP(D1255,Ingreso!$AN$10:$AT$260,VLOOKUP(A1255,Ingreso!$AL$11:$AM$260,2,FALSE)))/24),0)=0,"",IFERROR(IF(E1255=E1254,0,(HLOOKUP(D1255,Ingreso!$AN$10:$AT$260,VLOOKUP(A1255,Ingreso!$AL$11:$AM$260,2,FALSE)))/24),0))</f>
        <v/>
      </c>
      <c r="K1255" s="65" t="str">
        <f>IF(IFERROR(IF(E1255=E1254,0,(HLOOKUP(C1255,Ingreso!$AW$10:$BC$260,VLOOKUP(A1255,Ingreso!$AL$11:$AM$260,2,FALSE)))/24),0)=0,"",IFERROR(IF(E1255=E1254,0,(HLOOKUP(C1255,Ingreso!$AW$10:$BC$260,VLOOKUP(A1255,Ingreso!$AL$11:$AM$260,2,FALSE)))/24),0))</f>
        <v/>
      </c>
      <c r="L1255" s="63">
        <f t="shared" si="38"/>
        <v>0</v>
      </c>
      <c r="M1255" s="63" t="str">
        <f>IF(IFERROR(IF(C1255=C1253,0,IF(E1255=E1254,0,IF(C1255=$R$2,HLOOKUP($R$2,Ingreso!$AW$10:$BC$260,VLOOKUP(A1255,Ingreso!AL:AM,2,FALSE),FALSE)/24,""))),"")=0,"",IFERROR(IF(C1255=C1253,0,IF(E1255=E1254,0,IF(C1255=$R$2,HLOOKUP($R$2,Ingreso!$AW$10:$BC$260,VLOOKUP(A1255,Ingreso!AL:AM,2,FALSE),FALSE)/24,""))),""))</f>
        <v/>
      </c>
      <c r="N1255" s="95" t="str">
        <f>IF(IFERROR(IF(C1255=C1253,0,IF(E1255=E1254,0,IF(C1255=$R$3,HLOOKUP($R$3,Ingreso!$AW$10:$BC$260,VLOOKUP(A1255,Ingreso!AL:AM,2,FALSE),FALSE)/24,""))),"")=0,"",IFERROR(IF(C1255=C1253,0,IF(E1255=E1254,0,IF(C1255=$R$3,HLOOKUP($R$3,Ingreso!$AW$10:$BC$260,VLOOKUP(A1255,Ingreso!AL:AM,2,FALSE),FALSE)/24,""))),""))</f>
        <v/>
      </c>
      <c r="O1255" s="95" t="str">
        <f>IF(IFERROR(IF(C1255=C1253,0,IF(E1255=E1254,0,IF(C1255=$R$4,HLOOKUP($R$4,Ingreso!$AW$10:$BC$260,VLOOKUP(A1255,Ingreso!AL:AM,2,FALSE),FALSE)/24,""))),"")=0,"",IFERROR(IF(C1255=C1253,0,IF(E1255=E1254,0,IF(C1255=$R$4,HLOOKUP($R$4,Ingreso!$AW$10:$BC$260,VLOOKUP(A1255,Ingreso!AL:AM,2,FALSE),FALSE)/24,""))),""))</f>
        <v/>
      </c>
      <c r="P1255" s="90"/>
      <c r="V1255"/>
      <c r="W1255" s="62"/>
      <c r="X1255" s="62"/>
      <c r="Y1255" s="62"/>
      <c r="Z1255" s="62"/>
      <c r="AA1255" s="62"/>
      <c r="AB1255" s="62"/>
      <c r="AC1255" s="62"/>
    </row>
    <row r="1256" spans="1:29">
      <c r="A1256" s="65" t="str">
        <f>IFERROR(VLOOKUP('Informe Kelly'!A1249,Base!A:B,2,FALSE),"")</f>
        <v/>
      </c>
      <c r="B1256" s="65" t="str">
        <f>IFERROR(VLOOKUP('Informe Kelly'!A1249,Base!A:G,7,FALSE),"")</f>
        <v/>
      </c>
      <c r="C1256" s="69">
        <f>IF(G1256=$C$4,IF('Informe Kelly'!H1249='Control informe Kelly'!$A$2,TEXT(((LEFT('Informe Kelly'!E1249,2)*1)+1),"dd")&amp;"."&amp;MID('Informe Kelly'!E1249,4,2)&amp;"."&amp;RIGHT('Informe Kelly'!E1249,4),'Informe Kelly'!E1249),'Informe Kelly'!E1249)</f>
        <v>0</v>
      </c>
      <c r="D1256" s="69" t="str">
        <f>IF('Informe Kelly'!E1249="","",'Informe Kelly'!E1249)</f>
        <v/>
      </c>
      <c r="E1256" s="72">
        <f t="shared" si="39"/>
        <v>581</v>
      </c>
      <c r="F1256" s="72" t="str">
        <f>IFERROR(HLOOKUP(C1256,Ingreso!$Q$8:$AD$9,2,FALSE),"v")</f>
        <v>v</v>
      </c>
      <c r="G1256" s="65" t="str">
        <f>IFERROR(VLOOKUP(A1256,Ingreso!K:P,6,FALSE),"no esta ingresado")</f>
        <v>no esta ingresado</v>
      </c>
      <c r="H1256" s="65" t="str">
        <f>IFERROR(IF('Informe Kelly'!H1249=$A$2,'Informe Kelly'!F1249,""),0)</f>
        <v/>
      </c>
      <c r="I1256" s="65" t="str">
        <f>IFERROR(IF('Informe Kelly'!H1249=$A$3,'Informe Kelly'!F1249,""),0)</f>
        <v/>
      </c>
      <c r="J1256" s="65" t="str">
        <f>IF(IFERROR(IF(E1256=E1255,0,(HLOOKUP(D1256,Ingreso!$AN$10:$AT$260,VLOOKUP(A1256,Ingreso!$AL$11:$AM$260,2,FALSE)))/24),0)=0,"",IFERROR(IF(E1256=E1255,0,(HLOOKUP(D1256,Ingreso!$AN$10:$AT$260,VLOOKUP(A1256,Ingreso!$AL$11:$AM$260,2,FALSE)))/24),0))</f>
        <v/>
      </c>
      <c r="K1256" s="65" t="str">
        <f>IF(IFERROR(IF(E1256=E1255,0,(HLOOKUP(C1256,Ingreso!$AW$10:$BC$260,VLOOKUP(A1256,Ingreso!$AL$11:$AM$260,2,FALSE)))/24),0)=0,"",IFERROR(IF(E1256=E1255,0,(HLOOKUP(C1256,Ingreso!$AW$10:$BC$260,VLOOKUP(A1256,Ingreso!$AL$11:$AM$260,2,FALSE)))/24),0))</f>
        <v/>
      </c>
      <c r="L1256" s="63">
        <f t="shared" si="38"/>
        <v>0</v>
      </c>
      <c r="M1256" s="63" t="str">
        <f>IF(IFERROR(IF(C1256=C1254,0,IF(E1256=E1255,0,IF(C1256=$R$2,HLOOKUP($R$2,Ingreso!$AW$10:$BC$260,VLOOKUP(A1256,Ingreso!AL:AM,2,FALSE),FALSE)/24,""))),"")=0,"",IFERROR(IF(C1256=C1254,0,IF(E1256=E1255,0,IF(C1256=$R$2,HLOOKUP($R$2,Ingreso!$AW$10:$BC$260,VLOOKUP(A1256,Ingreso!AL:AM,2,FALSE),FALSE)/24,""))),""))</f>
        <v/>
      </c>
      <c r="N1256" s="95" t="str">
        <f>IF(IFERROR(IF(C1256=C1254,0,IF(E1256=E1255,0,IF(C1256=$R$3,HLOOKUP($R$3,Ingreso!$AW$10:$BC$260,VLOOKUP(A1256,Ingreso!AL:AM,2,FALSE),FALSE)/24,""))),"")=0,"",IFERROR(IF(C1256=C1254,0,IF(E1256=E1255,0,IF(C1256=$R$3,HLOOKUP($R$3,Ingreso!$AW$10:$BC$260,VLOOKUP(A1256,Ingreso!AL:AM,2,FALSE),FALSE)/24,""))),""))</f>
        <v/>
      </c>
      <c r="O1256" s="95" t="str">
        <f>IF(IFERROR(IF(C1256=C1254,0,IF(E1256=E1255,0,IF(C1256=$R$4,HLOOKUP($R$4,Ingreso!$AW$10:$BC$260,VLOOKUP(A1256,Ingreso!AL:AM,2,FALSE),FALSE)/24,""))),"")=0,"",IFERROR(IF(C1256=C1254,0,IF(E1256=E1255,0,IF(C1256=$R$4,HLOOKUP($R$4,Ingreso!$AW$10:$BC$260,VLOOKUP(A1256,Ingreso!AL:AM,2,FALSE),FALSE)/24,""))),""))</f>
        <v/>
      </c>
      <c r="P1256" s="90"/>
      <c r="V1256"/>
      <c r="W1256" s="62"/>
      <c r="X1256" s="62"/>
      <c r="Y1256" s="62"/>
      <c r="Z1256" s="62"/>
      <c r="AA1256" s="62"/>
      <c r="AB1256" s="62"/>
      <c r="AC1256" s="62"/>
    </row>
    <row r="1257" spans="1:29">
      <c r="A1257" s="65" t="str">
        <f>IFERROR(VLOOKUP('Informe Kelly'!A1250,Base!A:B,2,FALSE),"")</f>
        <v/>
      </c>
      <c r="B1257" s="65" t="str">
        <f>IFERROR(VLOOKUP('Informe Kelly'!A1250,Base!A:G,7,FALSE),"")</f>
        <v/>
      </c>
      <c r="C1257" s="69">
        <f>IF(G1257=$C$4,IF('Informe Kelly'!H1250='Control informe Kelly'!$A$2,TEXT(((LEFT('Informe Kelly'!E1250,2)*1)+1),"dd")&amp;"."&amp;MID('Informe Kelly'!E1250,4,2)&amp;"."&amp;RIGHT('Informe Kelly'!E1250,4),'Informe Kelly'!E1250),'Informe Kelly'!E1250)</f>
        <v>0</v>
      </c>
      <c r="D1257" s="69" t="str">
        <f>IF('Informe Kelly'!E1250="","",'Informe Kelly'!E1250)</f>
        <v/>
      </c>
      <c r="E1257" s="72">
        <f t="shared" si="39"/>
        <v>581</v>
      </c>
      <c r="F1257" s="72" t="str">
        <f>IFERROR(HLOOKUP(C1257,Ingreso!$Q$8:$AD$9,2,FALSE),"v")</f>
        <v>v</v>
      </c>
      <c r="G1257" s="65" t="str">
        <f>IFERROR(VLOOKUP(A1257,Ingreso!K:P,6,FALSE),"no esta ingresado")</f>
        <v>no esta ingresado</v>
      </c>
      <c r="H1257" s="65" t="str">
        <f>IFERROR(IF('Informe Kelly'!H1250=$A$2,'Informe Kelly'!F1250,""),0)</f>
        <v/>
      </c>
      <c r="I1257" s="65" t="str">
        <f>IFERROR(IF('Informe Kelly'!H1250=$A$3,'Informe Kelly'!F1250,""),0)</f>
        <v/>
      </c>
      <c r="J1257" s="65" t="str">
        <f>IF(IFERROR(IF(E1257=E1256,0,(HLOOKUP(D1257,Ingreso!$AN$10:$AT$260,VLOOKUP(A1257,Ingreso!$AL$11:$AM$260,2,FALSE)))/24),0)=0,"",IFERROR(IF(E1257=E1256,0,(HLOOKUP(D1257,Ingreso!$AN$10:$AT$260,VLOOKUP(A1257,Ingreso!$AL$11:$AM$260,2,FALSE)))/24),0))</f>
        <v/>
      </c>
      <c r="K1257" s="65" t="str">
        <f>IF(IFERROR(IF(E1257=E1256,0,(HLOOKUP(C1257,Ingreso!$AW$10:$BC$260,VLOOKUP(A1257,Ingreso!$AL$11:$AM$260,2,FALSE)))/24),0)=0,"",IFERROR(IF(E1257=E1256,0,(HLOOKUP(C1257,Ingreso!$AW$10:$BC$260,VLOOKUP(A1257,Ingreso!$AL$11:$AM$260,2,FALSE)))/24),0))</f>
        <v/>
      </c>
      <c r="L1257" s="63">
        <f t="shared" si="38"/>
        <v>0</v>
      </c>
      <c r="M1257" s="63" t="str">
        <f>IF(IFERROR(IF(C1257=C1255,0,IF(E1257=E1256,0,IF(C1257=$R$2,HLOOKUP($R$2,Ingreso!$AW$10:$BC$260,VLOOKUP(A1257,Ingreso!AL:AM,2,FALSE),FALSE)/24,""))),"")=0,"",IFERROR(IF(C1257=C1255,0,IF(E1257=E1256,0,IF(C1257=$R$2,HLOOKUP($R$2,Ingreso!$AW$10:$BC$260,VLOOKUP(A1257,Ingreso!AL:AM,2,FALSE),FALSE)/24,""))),""))</f>
        <v/>
      </c>
      <c r="N1257" s="95" t="str">
        <f>IF(IFERROR(IF(C1257=C1255,0,IF(E1257=E1256,0,IF(C1257=$R$3,HLOOKUP($R$3,Ingreso!$AW$10:$BC$260,VLOOKUP(A1257,Ingreso!AL:AM,2,FALSE),FALSE)/24,""))),"")=0,"",IFERROR(IF(C1257=C1255,0,IF(E1257=E1256,0,IF(C1257=$R$3,HLOOKUP($R$3,Ingreso!$AW$10:$BC$260,VLOOKUP(A1257,Ingreso!AL:AM,2,FALSE),FALSE)/24,""))),""))</f>
        <v/>
      </c>
      <c r="O1257" s="95" t="str">
        <f>IF(IFERROR(IF(C1257=C1255,0,IF(E1257=E1256,0,IF(C1257=$R$4,HLOOKUP($R$4,Ingreso!$AW$10:$BC$260,VLOOKUP(A1257,Ingreso!AL:AM,2,FALSE),FALSE)/24,""))),"")=0,"",IFERROR(IF(C1257=C1255,0,IF(E1257=E1256,0,IF(C1257=$R$4,HLOOKUP($R$4,Ingreso!$AW$10:$BC$260,VLOOKUP(A1257,Ingreso!AL:AM,2,FALSE),FALSE)/24,""))),""))</f>
        <v/>
      </c>
      <c r="P1257" s="90"/>
      <c r="V1257"/>
      <c r="W1257" s="62"/>
      <c r="X1257" s="62"/>
      <c r="Y1257" s="62"/>
      <c r="Z1257" s="62"/>
      <c r="AA1257" s="62"/>
      <c r="AB1257" s="62"/>
      <c r="AC1257" s="62"/>
    </row>
    <row r="1258" spans="1:29">
      <c r="A1258" s="65" t="str">
        <f>IFERROR(VLOOKUP('Informe Kelly'!A1251,Base!A:B,2,FALSE),"")</f>
        <v/>
      </c>
      <c r="B1258" s="65" t="str">
        <f>IFERROR(VLOOKUP('Informe Kelly'!A1251,Base!A:G,7,FALSE),"")</f>
        <v/>
      </c>
      <c r="C1258" s="69">
        <f>IF(G1258=$C$4,IF('Informe Kelly'!H1251='Control informe Kelly'!$A$2,TEXT(((LEFT('Informe Kelly'!E1251,2)*1)+1),"dd")&amp;"."&amp;MID('Informe Kelly'!E1251,4,2)&amp;"."&amp;RIGHT('Informe Kelly'!E1251,4),'Informe Kelly'!E1251),'Informe Kelly'!E1251)</f>
        <v>0</v>
      </c>
      <c r="D1258" s="69" t="str">
        <f>IF('Informe Kelly'!E1251="","",'Informe Kelly'!E1251)</f>
        <v/>
      </c>
      <c r="E1258" s="72">
        <f t="shared" si="39"/>
        <v>581</v>
      </c>
      <c r="F1258" s="72" t="str">
        <f>IFERROR(HLOOKUP(C1258,Ingreso!$Q$8:$AD$9,2,FALSE),"v")</f>
        <v>v</v>
      </c>
      <c r="G1258" s="65" t="str">
        <f>IFERROR(VLOOKUP(A1258,Ingreso!K:P,6,FALSE),"no esta ingresado")</f>
        <v>no esta ingresado</v>
      </c>
      <c r="H1258" s="65" t="str">
        <f>IFERROR(IF('Informe Kelly'!H1251=$A$2,'Informe Kelly'!F1251,""),0)</f>
        <v/>
      </c>
      <c r="I1258" s="65" t="str">
        <f>IFERROR(IF('Informe Kelly'!H1251=$A$3,'Informe Kelly'!F1251,""),0)</f>
        <v/>
      </c>
      <c r="J1258" s="65" t="str">
        <f>IF(IFERROR(IF(E1258=E1257,0,(HLOOKUP(D1258,Ingreso!$AN$10:$AT$260,VLOOKUP(A1258,Ingreso!$AL$11:$AM$260,2,FALSE)))/24),0)=0,"",IFERROR(IF(E1258=E1257,0,(HLOOKUP(D1258,Ingreso!$AN$10:$AT$260,VLOOKUP(A1258,Ingreso!$AL$11:$AM$260,2,FALSE)))/24),0))</f>
        <v/>
      </c>
      <c r="K1258" s="65" t="str">
        <f>IF(IFERROR(IF(E1258=E1257,0,(HLOOKUP(C1258,Ingreso!$AW$10:$BC$260,VLOOKUP(A1258,Ingreso!$AL$11:$AM$260,2,FALSE)))/24),0)=0,"",IFERROR(IF(E1258=E1257,0,(HLOOKUP(C1258,Ingreso!$AW$10:$BC$260,VLOOKUP(A1258,Ingreso!$AL$11:$AM$260,2,FALSE)))/24),0))</f>
        <v/>
      </c>
      <c r="L1258" s="63">
        <f t="shared" si="38"/>
        <v>0</v>
      </c>
      <c r="M1258" s="63" t="str">
        <f>IF(IFERROR(IF(C1258=C1256,0,IF(E1258=E1257,0,IF(C1258=$R$2,HLOOKUP($R$2,Ingreso!$AW$10:$BC$260,VLOOKUP(A1258,Ingreso!AL:AM,2,FALSE),FALSE)/24,""))),"")=0,"",IFERROR(IF(C1258=C1256,0,IF(E1258=E1257,0,IF(C1258=$R$2,HLOOKUP($R$2,Ingreso!$AW$10:$BC$260,VLOOKUP(A1258,Ingreso!AL:AM,2,FALSE),FALSE)/24,""))),""))</f>
        <v/>
      </c>
      <c r="N1258" s="95" t="str">
        <f>IF(IFERROR(IF(C1258=C1256,0,IF(E1258=E1257,0,IF(C1258=$R$3,HLOOKUP($R$3,Ingreso!$AW$10:$BC$260,VLOOKUP(A1258,Ingreso!AL:AM,2,FALSE),FALSE)/24,""))),"")=0,"",IFERROR(IF(C1258=C1256,0,IF(E1258=E1257,0,IF(C1258=$R$3,HLOOKUP($R$3,Ingreso!$AW$10:$BC$260,VLOOKUP(A1258,Ingreso!AL:AM,2,FALSE),FALSE)/24,""))),""))</f>
        <v/>
      </c>
      <c r="O1258" s="95" t="str">
        <f>IF(IFERROR(IF(C1258=C1256,0,IF(E1258=E1257,0,IF(C1258=$R$4,HLOOKUP($R$4,Ingreso!$AW$10:$BC$260,VLOOKUP(A1258,Ingreso!AL:AM,2,FALSE),FALSE)/24,""))),"")=0,"",IFERROR(IF(C1258=C1256,0,IF(E1258=E1257,0,IF(C1258=$R$4,HLOOKUP($R$4,Ingreso!$AW$10:$BC$260,VLOOKUP(A1258,Ingreso!AL:AM,2,FALSE),FALSE)/24,""))),""))</f>
        <v/>
      </c>
      <c r="P1258" s="90"/>
      <c r="V1258"/>
      <c r="W1258" s="62"/>
      <c r="X1258" s="62"/>
      <c r="Y1258" s="62"/>
      <c r="Z1258" s="62"/>
      <c r="AA1258" s="62"/>
      <c r="AB1258" s="62"/>
      <c r="AC1258" s="62"/>
    </row>
    <row r="1259" spans="1:29">
      <c r="A1259" s="65" t="str">
        <f>IFERROR(VLOOKUP('Informe Kelly'!A1252,Base!A:B,2,FALSE),"")</f>
        <v/>
      </c>
      <c r="B1259" s="65" t="str">
        <f>IFERROR(VLOOKUP('Informe Kelly'!A1252,Base!A:G,7,FALSE),"")</f>
        <v/>
      </c>
      <c r="C1259" s="69">
        <f>IF(G1259=$C$4,IF('Informe Kelly'!H1252='Control informe Kelly'!$A$2,TEXT(((LEFT('Informe Kelly'!E1252,2)*1)+1),"dd")&amp;"."&amp;MID('Informe Kelly'!E1252,4,2)&amp;"."&amp;RIGHT('Informe Kelly'!E1252,4),'Informe Kelly'!E1252),'Informe Kelly'!E1252)</f>
        <v>0</v>
      </c>
      <c r="D1259" s="69" t="str">
        <f>IF('Informe Kelly'!E1252="","",'Informe Kelly'!E1252)</f>
        <v/>
      </c>
      <c r="E1259" s="72">
        <f t="shared" si="39"/>
        <v>581</v>
      </c>
      <c r="F1259" s="72" t="str">
        <f>IFERROR(HLOOKUP(C1259,Ingreso!$Q$8:$AD$9,2,FALSE),"v")</f>
        <v>v</v>
      </c>
      <c r="G1259" s="65" t="str">
        <f>IFERROR(VLOOKUP(A1259,Ingreso!K:P,6,FALSE),"no esta ingresado")</f>
        <v>no esta ingresado</v>
      </c>
      <c r="H1259" s="65" t="str">
        <f>IFERROR(IF('Informe Kelly'!H1252=$A$2,'Informe Kelly'!F1252,""),0)</f>
        <v/>
      </c>
      <c r="I1259" s="65" t="str">
        <f>IFERROR(IF('Informe Kelly'!H1252=$A$3,'Informe Kelly'!F1252,""),0)</f>
        <v/>
      </c>
      <c r="J1259" s="65" t="str">
        <f>IF(IFERROR(IF(E1259=E1258,0,(HLOOKUP(D1259,Ingreso!$AN$10:$AT$260,VLOOKUP(A1259,Ingreso!$AL$11:$AM$260,2,FALSE)))/24),0)=0,"",IFERROR(IF(E1259=E1258,0,(HLOOKUP(D1259,Ingreso!$AN$10:$AT$260,VLOOKUP(A1259,Ingreso!$AL$11:$AM$260,2,FALSE)))/24),0))</f>
        <v/>
      </c>
      <c r="K1259" s="65" t="str">
        <f>IF(IFERROR(IF(E1259=E1258,0,(HLOOKUP(C1259,Ingreso!$AW$10:$BC$260,VLOOKUP(A1259,Ingreso!$AL$11:$AM$260,2,FALSE)))/24),0)=0,"",IFERROR(IF(E1259=E1258,0,(HLOOKUP(C1259,Ingreso!$AW$10:$BC$260,VLOOKUP(A1259,Ingreso!$AL$11:$AM$260,2,FALSE)))/24),0))</f>
        <v/>
      </c>
      <c r="L1259" s="63">
        <f t="shared" si="38"/>
        <v>0</v>
      </c>
      <c r="M1259" s="63" t="str">
        <f>IF(IFERROR(IF(C1259=C1257,0,IF(E1259=E1258,0,IF(C1259=$R$2,HLOOKUP($R$2,Ingreso!$AW$10:$BC$260,VLOOKUP(A1259,Ingreso!AL:AM,2,FALSE),FALSE)/24,""))),"")=0,"",IFERROR(IF(C1259=C1257,0,IF(E1259=E1258,0,IF(C1259=$R$2,HLOOKUP($R$2,Ingreso!$AW$10:$BC$260,VLOOKUP(A1259,Ingreso!AL:AM,2,FALSE),FALSE)/24,""))),""))</f>
        <v/>
      </c>
      <c r="N1259" s="95" t="str">
        <f>IF(IFERROR(IF(C1259=C1257,0,IF(E1259=E1258,0,IF(C1259=$R$3,HLOOKUP($R$3,Ingreso!$AW$10:$BC$260,VLOOKUP(A1259,Ingreso!AL:AM,2,FALSE),FALSE)/24,""))),"")=0,"",IFERROR(IF(C1259=C1257,0,IF(E1259=E1258,0,IF(C1259=$R$3,HLOOKUP($R$3,Ingreso!$AW$10:$BC$260,VLOOKUP(A1259,Ingreso!AL:AM,2,FALSE),FALSE)/24,""))),""))</f>
        <v/>
      </c>
      <c r="O1259" s="95" t="str">
        <f>IF(IFERROR(IF(C1259=C1257,0,IF(E1259=E1258,0,IF(C1259=$R$4,HLOOKUP($R$4,Ingreso!$AW$10:$BC$260,VLOOKUP(A1259,Ingreso!AL:AM,2,FALSE),FALSE)/24,""))),"")=0,"",IFERROR(IF(C1259=C1257,0,IF(E1259=E1258,0,IF(C1259=$R$4,HLOOKUP($R$4,Ingreso!$AW$10:$BC$260,VLOOKUP(A1259,Ingreso!AL:AM,2,FALSE),FALSE)/24,""))),""))</f>
        <v/>
      </c>
      <c r="P1259" s="90"/>
      <c r="V1259"/>
      <c r="W1259" s="62"/>
      <c r="X1259" s="62"/>
      <c r="Y1259" s="62"/>
      <c r="Z1259" s="62"/>
      <c r="AA1259" s="62"/>
      <c r="AB1259" s="62"/>
      <c r="AC1259" s="62"/>
    </row>
    <row r="1260" spans="1:29">
      <c r="A1260" s="65" t="str">
        <f>IFERROR(VLOOKUP('Informe Kelly'!A1253,Base!A:B,2,FALSE),"")</f>
        <v/>
      </c>
      <c r="B1260" s="65" t="str">
        <f>IFERROR(VLOOKUP('Informe Kelly'!A1253,Base!A:G,7,FALSE),"")</f>
        <v/>
      </c>
      <c r="C1260" s="69">
        <f>IF(G1260=$C$4,IF('Informe Kelly'!H1253='Control informe Kelly'!$A$2,TEXT(((LEFT('Informe Kelly'!E1253,2)*1)+1),"dd")&amp;"."&amp;MID('Informe Kelly'!E1253,4,2)&amp;"."&amp;RIGHT('Informe Kelly'!E1253,4),'Informe Kelly'!E1253),'Informe Kelly'!E1253)</f>
        <v>0</v>
      </c>
      <c r="D1260" s="69" t="str">
        <f>IF('Informe Kelly'!E1253="","",'Informe Kelly'!E1253)</f>
        <v/>
      </c>
      <c r="E1260" s="72">
        <f t="shared" si="39"/>
        <v>581</v>
      </c>
      <c r="F1260" s="72" t="str">
        <f>IFERROR(HLOOKUP(C1260,Ingreso!$Q$8:$AD$9,2,FALSE),"v")</f>
        <v>v</v>
      </c>
      <c r="G1260" s="65" t="str">
        <f>IFERROR(VLOOKUP(A1260,Ingreso!K:P,6,FALSE),"no esta ingresado")</f>
        <v>no esta ingresado</v>
      </c>
      <c r="H1260" s="65" t="str">
        <f>IFERROR(IF('Informe Kelly'!H1253=$A$2,'Informe Kelly'!F1253,""),0)</f>
        <v/>
      </c>
      <c r="I1260" s="65" t="str">
        <f>IFERROR(IF('Informe Kelly'!H1253=$A$3,'Informe Kelly'!F1253,""),0)</f>
        <v/>
      </c>
      <c r="J1260" s="65" t="str">
        <f>IF(IFERROR(IF(E1260=E1259,0,(HLOOKUP(D1260,Ingreso!$AN$10:$AT$260,VLOOKUP(A1260,Ingreso!$AL$11:$AM$260,2,FALSE)))/24),0)=0,"",IFERROR(IF(E1260=E1259,0,(HLOOKUP(D1260,Ingreso!$AN$10:$AT$260,VLOOKUP(A1260,Ingreso!$AL$11:$AM$260,2,FALSE)))/24),0))</f>
        <v/>
      </c>
      <c r="K1260" s="65" t="str">
        <f>IF(IFERROR(IF(E1260=E1259,0,(HLOOKUP(C1260,Ingreso!$AW$10:$BC$260,VLOOKUP(A1260,Ingreso!$AL$11:$AM$260,2,FALSE)))/24),0)=0,"",IFERROR(IF(E1260=E1259,0,(HLOOKUP(C1260,Ingreso!$AW$10:$BC$260,VLOOKUP(A1260,Ingreso!$AL$11:$AM$260,2,FALSE)))/24),0))</f>
        <v/>
      </c>
      <c r="L1260" s="63">
        <f t="shared" si="38"/>
        <v>0</v>
      </c>
      <c r="M1260" s="63" t="str">
        <f>IF(IFERROR(IF(C1260=C1258,0,IF(E1260=E1259,0,IF(C1260=$R$2,HLOOKUP($R$2,Ingreso!$AW$10:$BC$260,VLOOKUP(A1260,Ingreso!AL:AM,2,FALSE),FALSE)/24,""))),"")=0,"",IFERROR(IF(C1260=C1258,0,IF(E1260=E1259,0,IF(C1260=$R$2,HLOOKUP($R$2,Ingreso!$AW$10:$BC$260,VLOOKUP(A1260,Ingreso!AL:AM,2,FALSE),FALSE)/24,""))),""))</f>
        <v/>
      </c>
      <c r="N1260" s="95" t="str">
        <f>IF(IFERROR(IF(C1260=C1258,0,IF(E1260=E1259,0,IF(C1260=$R$3,HLOOKUP($R$3,Ingreso!$AW$10:$BC$260,VLOOKUP(A1260,Ingreso!AL:AM,2,FALSE),FALSE)/24,""))),"")=0,"",IFERROR(IF(C1260=C1258,0,IF(E1260=E1259,0,IF(C1260=$R$3,HLOOKUP($R$3,Ingreso!$AW$10:$BC$260,VLOOKUP(A1260,Ingreso!AL:AM,2,FALSE),FALSE)/24,""))),""))</f>
        <v/>
      </c>
      <c r="O1260" s="95" t="str">
        <f>IF(IFERROR(IF(C1260=C1258,0,IF(E1260=E1259,0,IF(C1260=$R$4,HLOOKUP($R$4,Ingreso!$AW$10:$BC$260,VLOOKUP(A1260,Ingreso!AL:AM,2,FALSE),FALSE)/24,""))),"")=0,"",IFERROR(IF(C1260=C1258,0,IF(E1260=E1259,0,IF(C1260=$R$4,HLOOKUP($R$4,Ingreso!$AW$10:$BC$260,VLOOKUP(A1260,Ingreso!AL:AM,2,FALSE),FALSE)/24,""))),""))</f>
        <v/>
      </c>
      <c r="P1260" s="90"/>
      <c r="V1260"/>
      <c r="W1260" s="62"/>
      <c r="X1260" s="62"/>
      <c r="Y1260" s="62"/>
      <c r="Z1260" s="62"/>
      <c r="AA1260" s="62"/>
      <c r="AB1260" s="62"/>
      <c r="AC1260" s="62"/>
    </row>
    <row r="1261" spans="1:29">
      <c r="A1261" s="65" t="str">
        <f>IFERROR(VLOOKUP('Informe Kelly'!A1254,Base!A:B,2,FALSE),"")</f>
        <v/>
      </c>
      <c r="B1261" s="65" t="str">
        <f>IFERROR(VLOOKUP('Informe Kelly'!A1254,Base!A:G,7,FALSE),"")</f>
        <v/>
      </c>
      <c r="C1261" s="69">
        <f>IF(G1261=$C$4,IF('Informe Kelly'!H1254='Control informe Kelly'!$A$2,TEXT(((LEFT('Informe Kelly'!E1254,2)*1)+1),"dd")&amp;"."&amp;MID('Informe Kelly'!E1254,4,2)&amp;"."&amp;RIGHT('Informe Kelly'!E1254,4),'Informe Kelly'!E1254),'Informe Kelly'!E1254)</f>
        <v>0</v>
      </c>
      <c r="D1261" s="69" t="str">
        <f>IF('Informe Kelly'!E1254="","",'Informe Kelly'!E1254)</f>
        <v/>
      </c>
      <c r="E1261" s="72">
        <f t="shared" si="39"/>
        <v>581</v>
      </c>
      <c r="F1261" s="72" t="str">
        <f>IFERROR(HLOOKUP(C1261,Ingreso!$Q$8:$AD$9,2,FALSE),"v")</f>
        <v>v</v>
      </c>
      <c r="G1261" s="65" t="str">
        <f>IFERROR(VLOOKUP(A1261,Ingreso!K:P,6,FALSE),"no esta ingresado")</f>
        <v>no esta ingresado</v>
      </c>
      <c r="H1261" s="65" t="str">
        <f>IFERROR(IF('Informe Kelly'!H1254=$A$2,'Informe Kelly'!F1254,""),0)</f>
        <v/>
      </c>
      <c r="I1261" s="65" t="str">
        <f>IFERROR(IF('Informe Kelly'!H1254=$A$3,'Informe Kelly'!F1254,""),0)</f>
        <v/>
      </c>
      <c r="J1261" s="65" t="str">
        <f>IF(IFERROR(IF(E1261=E1260,0,(HLOOKUP(D1261,Ingreso!$AN$10:$AT$260,VLOOKUP(A1261,Ingreso!$AL$11:$AM$260,2,FALSE)))/24),0)=0,"",IFERROR(IF(E1261=E1260,0,(HLOOKUP(D1261,Ingreso!$AN$10:$AT$260,VLOOKUP(A1261,Ingreso!$AL$11:$AM$260,2,FALSE)))/24),0))</f>
        <v/>
      </c>
      <c r="K1261" s="65" t="str">
        <f>IF(IFERROR(IF(E1261=E1260,0,(HLOOKUP(C1261,Ingreso!$AW$10:$BC$260,VLOOKUP(A1261,Ingreso!$AL$11:$AM$260,2,FALSE)))/24),0)=0,"",IFERROR(IF(E1261=E1260,0,(HLOOKUP(C1261,Ingreso!$AW$10:$BC$260,VLOOKUP(A1261,Ingreso!$AL$11:$AM$260,2,FALSE)))/24),0))</f>
        <v/>
      </c>
      <c r="L1261" s="63">
        <f t="shared" si="38"/>
        <v>0</v>
      </c>
      <c r="M1261" s="63" t="str">
        <f>IF(IFERROR(IF(C1261=C1259,0,IF(E1261=E1260,0,IF(C1261=$R$2,HLOOKUP($R$2,Ingreso!$AW$10:$BC$260,VLOOKUP(A1261,Ingreso!AL:AM,2,FALSE),FALSE)/24,""))),"")=0,"",IFERROR(IF(C1261=C1259,0,IF(E1261=E1260,0,IF(C1261=$R$2,HLOOKUP($R$2,Ingreso!$AW$10:$BC$260,VLOOKUP(A1261,Ingreso!AL:AM,2,FALSE),FALSE)/24,""))),""))</f>
        <v/>
      </c>
      <c r="N1261" s="95" t="str">
        <f>IF(IFERROR(IF(C1261=C1259,0,IF(E1261=E1260,0,IF(C1261=$R$3,HLOOKUP($R$3,Ingreso!$AW$10:$BC$260,VLOOKUP(A1261,Ingreso!AL:AM,2,FALSE),FALSE)/24,""))),"")=0,"",IFERROR(IF(C1261=C1259,0,IF(E1261=E1260,0,IF(C1261=$R$3,HLOOKUP($R$3,Ingreso!$AW$10:$BC$260,VLOOKUP(A1261,Ingreso!AL:AM,2,FALSE),FALSE)/24,""))),""))</f>
        <v/>
      </c>
      <c r="O1261" s="95" t="str">
        <f>IF(IFERROR(IF(C1261=C1259,0,IF(E1261=E1260,0,IF(C1261=$R$4,HLOOKUP($R$4,Ingreso!$AW$10:$BC$260,VLOOKUP(A1261,Ingreso!AL:AM,2,FALSE),FALSE)/24,""))),"")=0,"",IFERROR(IF(C1261=C1259,0,IF(E1261=E1260,0,IF(C1261=$R$4,HLOOKUP($R$4,Ingreso!$AW$10:$BC$260,VLOOKUP(A1261,Ingreso!AL:AM,2,FALSE),FALSE)/24,""))),""))</f>
        <v/>
      </c>
      <c r="P1261" s="90"/>
      <c r="V1261"/>
      <c r="W1261" s="62"/>
      <c r="X1261" s="62"/>
      <c r="Y1261" s="62"/>
      <c r="Z1261" s="62"/>
      <c r="AA1261" s="62"/>
      <c r="AB1261" s="62"/>
      <c r="AC1261" s="62"/>
    </row>
    <row r="1262" spans="1:29">
      <c r="A1262" s="65" t="str">
        <f>IFERROR(VLOOKUP('Informe Kelly'!A1255,Base!A:B,2,FALSE),"")</f>
        <v/>
      </c>
      <c r="B1262" s="65" t="str">
        <f>IFERROR(VLOOKUP('Informe Kelly'!A1255,Base!A:G,7,FALSE),"")</f>
        <v/>
      </c>
      <c r="C1262" s="69">
        <f>IF(G1262=$C$4,IF('Informe Kelly'!H1255='Control informe Kelly'!$A$2,TEXT(((LEFT('Informe Kelly'!E1255,2)*1)+1),"dd")&amp;"."&amp;MID('Informe Kelly'!E1255,4,2)&amp;"."&amp;RIGHT('Informe Kelly'!E1255,4),'Informe Kelly'!E1255),'Informe Kelly'!E1255)</f>
        <v>0</v>
      </c>
      <c r="D1262" s="69" t="str">
        <f>IF('Informe Kelly'!E1255="","",'Informe Kelly'!E1255)</f>
        <v/>
      </c>
      <c r="E1262" s="72">
        <f t="shared" si="39"/>
        <v>581</v>
      </c>
      <c r="F1262" s="72" t="str">
        <f>IFERROR(HLOOKUP(C1262,Ingreso!$Q$8:$AD$9,2,FALSE),"v")</f>
        <v>v</v>
      </c>
      <c r="G1262" s="65" t="str">
        <f>IFERROR(VLOOKUP(A1262,Ingreso!K:P,6,FALSE),"no esta ingresado")</f>
        <v>no esta ingresado</v>
      </c>
      <c r="H1262" s="65" t="str">
        <f>IFERROR(IF('Informe Kelly'!H1255=$A$2,'Informe Kelly'!F1255,""),0)</f>
        <v/>
      </c>
      <c r="I1262" s="65" t="str">
        <f>IFERROR(IF('Informe Kelly'!H1255=$A$3,'Informe Kelly'!F1255,""),0)</f>
        <v/>
      </c>
      <c r="J1262" s="65" t="str">
        <f>IF(IFERROR(IF(E1262=E1261,0,(HLOOKUP(D1262,Ingreso!$AN$10:$AT$260,VLOOKUP(A1262,Ingreso!$AL$11:$AM$260,2,FALSE)))/24),0)=0,"",IFERROR(IF(E1262=E1261,0,(HLOOKUP(D1262,Ingreso!$AN$10:$AT$260,VLOOKUP(A1262,Ingreso!$AL$11:$AM$260,2,FALSE)))/24),0))</f>
        <v/>
      </c>
      <c r="K1262" s="65" t="str">
        <f>IF(IFERROR(IF(E1262=E1261,0,(HLOOKUP(C1262,Ingreso!$AW$10:$BC$260,VLOOKUP(A1262,Ingreso!$AL$11:$AM$260,2,FALSE)))/24),0)=0,"",IFERROR(IF(E1262=E1261,0,(HLOOKUP(C1262,Ingreso!$AW$10:$BC$260,VLOOKUP(A1262,Ingreso!$AL$11:$AM$260,2,FALSE)))/24),0))</f>
        <v/>
      </c>
      <c r="L1262" s="63">
        <f t="shared" si="38"/>
        <v>0</v>
      </c>
      <c r="M1262" s="63" t="str">
        <f>IF(IFERROR(IF(C1262=C1260,0,IF(E1262=E1261,0,IF(C1262=$R$2,HLOOKUP($R$2,Ingreso!$AW$10:$BC$260,VLOOKUP(A1262,Ingreso!AL:AM,2,FALSE),FALSE)/24,""))),"")=0,"",IFERROR(IF(C1262=C1260,0,IF(E1262=E1261,0,IF(C1262=$R$2,HLOOKUP($R$2,Ingreso!$AW$10:$BC$260,VLOOKUP(A1262,Ingreso!AL:AM,2,FALSE),FALSE)/24,""))),""))</f>
        <v/>
      </c>
      <c r="N1262" s="95" t="str">
        <f>IF(IFERROR(IF(C1262=C1260,0,IF(E1262=E1261,0,IF(C1262=$R$3,HLOOKUP($R$3,Ingreso!$AW$10:$BC$260,VLOOKUP(A1262,Ingreso!AL:AM,2,FALSE),FALSE)/24,""))),"")=0,"",IFERROR(IF(C1262=C1260,0,IF(E1262=E1261,0,IF(C1262=$R$3,HLOOKUP($R$3,Ingreso!$AW$10:$BC$260,VLOOKUP(A1262,Ingreso!AL:AM,2,FALSE),FALSE)/24,""))),""))</f>
        <v/>
      </c>
      <c r="O1262" s="95" t="str">
        <f>IF(IFERROR(IF(C1262=C1260,0,IF(E1262=E1261,0,IF(C1262=$R$4,HLOOKUP($R$4,Ingreso!$AW$10:$BC$260,VLOOKUP(A1262,Ingreso!AL:AM,2,FALSE),FALSE)/24,""))),"")=0,"",IFERROR(IF(C1262=C1260,0,IF(E1262=E1261,0,IF(C1262=$R$4,HLOOKUP($R$4,Ingreso!$AW$10:$BC$260,VLOOKUP(A1262,Ingreso!AL:AM,2,FALSE),FALSE)/24,""))),""))</f>
        <v/>
      </c>
      <c r="P1262" s="90"/>
      <c r="V1262"/>
      <c r="W1262" s="62"/>
      <c r="X1262" s="62"/>
      <c r="Y1262" s="62"/>
      <c r="Z1262" s="62"/>
      <c r="AA1262" s="62"/>
      <c r="AB1262" s="62"/>
      <c r="AC1262" s="62"/>
    </row>
    <row r="1263" spans="1:29">
      <c r="A1263" s="65" t="str">
        <f>IFERROR(VLOOKUP('Informe Kelly'!A1256,Base!A:B,2,FALSE),"")</f>
        <v/>
      </c>
      <c r="B1263" s="65" t="str">
        <f>IFERROR(VLOOKUP('Informe Kelly'!A1256,Base!A:G,7,FALSE),"")</f>
        <v/>
      </c>
      <c r="C1263" s="69">
        <f>IF(G1263=$C$4,IF('Informe Kelly'!H1256='Control informe Kelly'!$A$2,TEXT(((LEFT('Informe Kelly'!E1256,2)*1)+1),"dd")&amp;"."&amp;MID('Informe Kelly'!E1256,4,2)&amp;"."&amp;RIGHT('Informe Kelly'!E1256,4),'Informe Kelly'!E1256),'Informe Kelly'!E1256)</f>
        <v>0</v>
      </c>
      <c r="D1263" s="69" t="str">
        <f>IF('Informe Kelly'!E1256="","",'Informe Kelly'!E1256)</f>
        <v/>
      </c>
      <c r="E1263" s="72">
        <f t="shared" si="39"/>
        <v>581</v>
      </c>
      <c r="F1263" s="72" t="str">
        <f>IFERROR(HLOOKUP(C1263,Ingreso!$Q$8:$AD$9,2,FALSE),"v")</f>
        <v>v</v>
      </c>
      <c r="G1263" s="65" t="str">
        <f>IFERROR(VLOOKUP(A1263,Ingreso!K:P,6,FALSE),"no esta ingresado")</f>
        <v>no esta ingresado</v>
      </c>
      <c r="H1263" s="65" t="str">
        <f>IFERROR(IF('Informe Kelly'!H1256=$A$2,'Informe Kelly'!F1256,""),0)</f>
        <v/>
      </c>
      <c r="I1263" s="65" t="str">
        <f>IFERROR(IF('Informe Kelly'!H1256=$A$3,'Informe Kelly'!F1256,""),0)</f>
        <v/>
      </c>
      <c r="J1263" s="65" t="str">
        <f>IF(IFERROR(IF(E1263=E1262,0,(HLOOKUP(D1263,Ingreso!$AN$10:$AT$260,VLOOKUP(A1263,Ingreso!$AL$11:$AM$260,2,FALSE)))/24),0)=0,"",IFERROR(IF(E1263=E1262,0,(HLOOKUP(D1263,Ingreso!$AN$10:$AT$260,VLOOKUP(A1263,Ingreso!$AL$11:$AM$260,2,FALSE)))/24),0))</f>
        <v/>
      </c>
      <c r="K1263" s="65" t="str">
        <f>IF(IFERROR(IF(E1263=E1262,0,(HLOOKUP(C1263,Ingreso!$AW$10:$BC$260,VLOOKUP(A1263,Ingreso!$AL$11:$AM$260,2,FALSE)))/24),0)=0,"",IFERROR(IF(E1263=E1262,0,(HLOOKUP(C1263,Ingreso!$AW$10:$BC$260,VLOOKUP(A1263,Ingreso!$AL$11:$AM$260,2,FALSE)))/24),0))</f>
        <v/>
      </c>
      <c r="L1263" s="63">
        <f t="shared" si="38"/>
        <v>0</v>
      </c>
      <c r="M1263" s="63" t="str">
        <f>IF(IFERROR(IF(C1263=C1261,0,IF(E1263=E1262,0,IF(C1263=$R$2,HLOOKUP($R$2,Ingreso!$AW$10:$BC$260,VLOOKUP(A1263,Ingreso!AL:AM,2,FALSE),FALSE)/24,""))),"")=0,"",IFERROR(IF(C1263=C1261,0,IF(E1263=E1262,0,IF(C1263=$R$2,HLOOKUP($R$2,Ingreso!$AW$10:$BC$260,VLOOKUP(A1263,Ingreso!AL:AM,2,FALSE),FALSE)/24,""))),""))</f>
        <v/>
      </c>
      <c r="N1263" s="95" t="str">
        <f>IF(IFERROR(IF(C1263=C1261,0,IF(E1263=E1262,0,IF(C1263=$R$3,HLOOKUP($R$3,Ingreso!$AW$10:$BC$260,VLOOKUP(A1263,Ingreso!AL:AM,2,FALSE),FALSE)/24,""))),"")=0,"",IFERROR(IF(C1263=C1261,0,IF(E1263=E1262,0,IF(C1263=$R$3,HLOOKUP($R$3,Ingreso!$AW$10:$BC$260,VLOOKUP(A1263,Ingreso!AL:AM,2,FALSE),FALSE)/24,""))),""))</f>
        <v/>
      </c>
      <c r="O1263" s="95" t="str">
        <f>IF(IFERROR(IF(C1263=C1261,0,IF(E1263=E1262,0,IF(C1263=$R$4,HLOOKUP($R$4,Ingreso!$AW$10:$BC$260,VLOOKUP(A1263,Ingreso!AL:AM,2,FALSE),FALSE)/24,""))),"")=0,"",IFERROR(IF(C1263=C1261,0,IF(E1263=E1262,0,IF(C1263=$R$4,HLOOKUP($R$4,Ingreso!$AW$10:$BC$260,VLOOKUP(A1263,Ingreso!AL:AM,2,FALSE),FALSE)/24,""))),""))</f>
        <v/>
      </c>
      <c r="P1263" s="90"/>
      <c r="V1263"/>
      <c r="W1263" s="62"/>
      <c r="X1263" s="62"/>
      <c r="Y1263" s="62"/>
      <c r="Z1263" s="62"/>
      <c r="AA1263" s="62"/>
      <c r="AB1263" s="62"/>
      <c r="AC1263" s="62"/>
    </row>
    <row r="1264" spans="1:29">
      <c r="A1264" s="65" t="str">
        <f>IFERROR(VLOOKUP('Informe Kelly'!A1257,Base!A:B,2,FALSE),"")</f>
        <v/>
      </c>
      <c r="B1264" s="65" t="str">
        <f>IFERROR(VLOOKUP('Informe Kelly'!A1257,Base!A:G,7,FALSE),"")</f>
        <v/>
      </c>
      <c r="C1264" s="69">
        <f>IF(G1264=$C$4,IF('Informe Kelly'!H1257='Control informe Kelly'!$A$2,TEXT(((LEFT('Informe Kelly'!E1257,2)*1)+1),"dd")&amp;"."&amp;MID('Informe Kelly'!E1257,4,2)&amp;"."&amp;RIGHT('Informe Kelly'!E1257,4),'Informe Kelly'!E1257),'Informe Kelly'!E1257)</f>
        <v>0</v>
      </c>
      <c r="D1264" s="69" t="str">
        <f>IF('Informe Kelly'!E1257="","",'Informe Kelly'!E1257)</f>
        <v/>
      </c>
      <c r="E1264" s="72">
        <f t="shared" si="39"/>
        <v>581</v>
      </c>
      <c r="F1264" s="72" t="str">
        <f>IFERROR(HLOOKUP(C1264,Ingreso!$Q$8:$AD$9,2,FALSE),"v")</f>
        <v>v</v>
      </c>
      <c r="G1264" s="65" t="str">
        <f>IFERROR(VLOOKUP(A1264,Ingreso!K:P,6,FALSE),"no esta ingresado")</f>
        <v>no esta ingresado</v>
      </c>
      <c r="H1264" s="65" t="str">
        <f>IFERROR(IF('Informe Kelly'!H1257=$A$2,'Informe Kelly'!F1257,""),0)</f>
        <v/>
      </c>
      <c r="I1264" s="65" t="str">
        <f>IFERROR(IF('Informe Kelly'!H1257=$A$3,'Informe Kelly'!F1257,""),0)</f>
        <v/>
      </c>
      <c r="J1264" s="65" t="str">
        <f>IF(IFERROR(IF(E1264=E1263,0,(HLOOKUP(D1264,Ingreso!$AN$10:$AT$260,VLOOKUP(A1264,Ingreso!$AL$11:$AM$260,2,FALSE)))/24),0)=0,"",IFERROR(IF(E1264=E1263,0,(HLOOKUP(D1264,Ingreso!$AN$10:$AT$260,VLOOKUP(A1264,Ingreso!$AL$11:$AM$260,2,FALSE)))/24),0))</f>
        <v/>
      </c>
      <c r="K1264" s="65" t="str">
        <f>IF(IFERROR(IF(E1264=E1263,0,(HLOOKUP(C1264,Ingreso!$AW$10:$BC$260,VLOOKUP(A1264,Ingreso!$AL$11:$AM$260,2,FALSE)))/24),0)=0,"",IFERROR(IF(E1264=E1263,0,(HLOOKUP(C1264,Ingreso!$AW$10:$BC$260,VLOOKUP(A1264,Ingreso!$AL$11:$AM$260,2,FALSE)))/24),0))</f>
        <v/>
      </c>
      <c r="L1264" s="63">
        <f t="shared" si="38"/>
        <v>0</v>
      </c>
      <c r="M1264" s="63" t="str">
        <f>IF(IFERROR(IF(C1264=C1262,0,IF(E1264=E1263,0,IF(C1264=$R$2,HLOOKUP($R$2,Ingreso!$AW$10:$BC$260,VLOOKUP(A1264,Ingreso!AL:AM,2,FALSE),FALSE)/24,""))),"")=0,"",IFERROR(IF(C1264=C1262,0,IF(E1264=E1263,0,IF(C1264=$R$2,HLOOKUP($R$2,Ingreso!$AW$10:$BC$260,VLOOKUP(A1264,Ingreso!AL:AM,2,FALSE),FALSE)/24,""))),""))</f>
        <v/>
      </c>
      <c r="N1264" s="95" t="str">
        <f>IF(IFERROR(IF(C1264=C1262,0,IF(E1264=E1263,0,IF(C1264=$R$3,HLOOKUP($R$3,Ingreso!$AW$10:$BC$260,VLOOKUP(A1264,Ingreso!AL:AM,2,FALSE),FALSE)/24,""))),"")=0,"",IFERROR(IF(C1264=C1262,0,IF(E1264=E1263,0,IF(C1264=$R$3,HLOOKUP($R$3,Ingreso!$AW$10:$BC$260,VLOOKUP(A1264,Ingreso!AL:AM,2,FALSE),FALSE)/24,""))),""))</f>
        <v/>
      </c>
      <c r="O1264" s="95" t="str">
        <f>IF(IFERROR(IF(C1264=C1262,0,IF(E1264=E1263,0,IF(C1264=$R$4,HLOOKUP($R$4,Ingreso!$AW$10:$BC$260,VLOOKUP(A1264,Ingreso!AL:AM,2,FALSE),FALSE)/24,""))),"")=0,"",IFERROR(IF(C1264=C1262,0,IF(E1264=E1263,0,IF(C1264=$R$4,HLOOKUP($R$4,Ingreso!$AW$10:$BC$260,VLOOKUP(A1264,Ingreso!AL:AM,2,FALSE),FALSE)/24,""))),""))</f>
        <v/>
      </c>
      <c r="P1264" s="90"/>
      <c r="V1264"/>
      <c r="W1264" s="62"/>
      <c r="X1264" s="62"/>
      <c r="Y1264" s="62"/>
      <c r="Z1264" s="62"/>
      <c r="AA1264" s="62"/>
      <c r="AB1264" s="62"/>
      <c r="AC1264" s="62"/>
    </row>
    <row r="1265" spans="1:29">
      <c r="A1265" s="65" t="str">
        <f>IFERROR(VLOOKUP('Informe Kelly'!A1258,Base!A:B,2,FALSE),"")</f>
        <v/>
      </c>
      <c r="B1265" s="65" t="str">
        <f>IFERROR(VLOOKUP('Informe Kelly'!A1258,Base!A:G,7,FALSE),"")</f>
        <v/>
      </c>
      <c r="C1265" s="69">
        <f>IF(G1265=$C$4,IF('Informe Kelly'!H1258='Control informe Kelly'!$A$2,TEXT(((LEFT('Informe Kelly'!E1258,2)*1)+1),"dd")&amp;"."&amp;MID('Informe Kelly'!E1258,4,2)&amp;"."&amp;RIGHT('Informe Kelly'!E1258,4),'Informe Kelly'!E1258),'Informe Kelly'!E1258)</f>
        <v>0</v>
      </c>
      <c r="D1265" s="69" t="str">
        <f>IF('Informe Kelly'!E1258="","",'Informe Kelly'!E1258)</f>
        <v/>
      </c>
      <c r="E1265" s="72">
        <f t="shared" si="39"/>
        <v>581</v>
      </c>
      <c r="F1265" s="72" t="str">
        <f>IFERROR(HLOOKUP(C1265,Ingreso!$Q$8:$AD$9,2,FALSE),"v")</f>
        <v>v</v>
      </c>
      <c r="G1265" s="65" t="str">
        <f>IFERROR(VLOOKUP(A1265,Ingreso!K:P,6,FALSE),"no esta ingresado")</f>
        <v>no esta ingresado</v>
      </c>
      <c r="H1265" s="65" t="str">
        <f>IFERROR(IF('Informe Kelly'!H1258=$A$2,'Informe Kelly'!F1258,""),0)</f>
        <v/>
      </c>
      <c r="I1265" s="65" t="str">
        <f>IFERROR(IF('Informe Kelly'!H1258=$A$3,'Informe Kelly'!F1258,""),0)</f>
        <v/>
      </c>
      <c r="J1265" s="65" t="str">
        <f>IF(IFERROR(IF(E1265=E1264,0,(HLOOKUP(D1265,Ingreso!$AN$10:$AT$260,VLOOKUP(A1265,Ingreso!$AL$11:$AM$260,2,FALSE)))/24),0)=0,"",IFERROR(IF(E1265=E1264,0,(HLOOKUP(D1265,Ingreso!$AN$10:$AT$260,VLOOKUP(A1265,Ingreso!$AL$11:$AM$260,2,FALSE)))/24),0))</f>
        <v/>
      </c>
      <c r="K1265" s="65" t="str">
        <f>IF(IFERROR(IF(E1265=E1264,0,(HLOOKUP(C1265,Ingreso!$AW$10:$BC$260,VLOOKUP(A1265,Ingreso!$AL$11:$AM$260,2,FALSE)))/24),0)=0,"",IFERROR(IF(E1265=E1264,0,(HLOOKUP(C1265,Ingreso!$AW$10:$BC$260,VLOOKUP(A1265,Ingreso!$AL$11:$AM$260,2,FALSE)))/24),0))</f>
        <v/>
      </c>
      <c r="L1265" s="63">
        <f t="shared" si="38"/>
        <v>0</v>
      </c>
      <c r="M1265" s="63" t="str">
        <f>IF(IFERROR(IF(C1265=C1263,0,IF(E1265=E1264,0,IF(C1265=$R$2,HLOOKUP($R$2,Ingreso!$AW$10:$BC$260,VLOOKUP(A1265,Ingreso!AL:AM,2,FALSE),FALSE)/24,""))),"")=0,"",IFERROR(IF(C1265=C1263,0,IF(E1265=E1264,0,IF(C1265=$R$2,HLOOKUP($R$2,Ingreso!$AW$10:$BC$260,VLOOKUP(A1265,Ingreso!AL:AM,2,FALSE),FALSE)/24,""))),""))</f>
        <v/>
      </c>
      <c r="N1265" s="95" t="str">
        <f>IF(IFERROR(IF(C1265=C1263,0,IF(E1265=E1264,0,IF(C1265=$R$3,HLOOKUP($R$3,Ingreso!$AW$10:$BC$260,VLOOKUP(A1265,Ingreso!AL:AM,2,FALSE),FALSE)/24,""))),"")=0,"",IFERROR(IF(C1265=C1263,0,IF(E1265=E1264,0,IF(C1265=$R$3,HLOOKUP($R$3,Ingreso!$AW$10:$BC$260,VLOOKUP(A1265,Ingreso!AL:AM,2,FALSE),FALSE)/24,""))),""))</f>
        <v/>
      </c>
      <c r="O1265" s="95" t="str">
        <f>IF(IFERROR(IF(C1265=C1263,0,IF(E1265=E1264,0,IF(C1265=$R$4,HLOOKUP($R$4,Ingreso!$AW$10:$BC$260,VLOOKUP(A1265,Ingreso!AL:AM,2,FALSE),FALSE)/24,""))),"")=0,"",IFERROR(IF(C1265=C1263,0,IF(E1265=E1264,0,IF(C1265=$R$4,HLOOKUP($R$4,Ingreso!$AW$10:$BC$260,VLOOKUP(A1265,Ingreso!AL:AM,2,FALSE),FALSE)/24,""))),""))</f>
        <v/>
      </c>
      <c r="P1265" s="90"/>
      <c r="V1265"/>
      <c r="W1265" s="62"/>
      <c r="X1265" s="62"/>
      <c r="Y1265" s="62"/>
      <c r="Z1265" s="62"/>
      <c r="AA1265" s="62"/>
      <c r="AB1265" s="62"/>
      <c r="AC1265" s="62"/>
    </row>
    <row r="1266" spans="1:29">
      <c r="A1266" s="65" t="str">
        <f>IFERROR(VLOOKUP('Informe Kelly'!A1259,Base!A:B,2,FALSE),"")</f>
        <v/>
      </c>
      <c r="B1266" s="65" t="str">
        <f>IFERROR(VLOOKUP('Informe Kelly'!A1259,Base!A:G,7,FALSE),"")</f>
        <v/>
      </c>
      <c r="C1266" s="69">
        <f>IF(G1266=$C$4,IF('Informe Kelly'!H1259='Control informe Kelly'!$A$2,TEXT(((LEFT('Informe Kelly'!E1259,2)*1)+1),"dd")&amp;"."&amp;MID('Informe Kelly'!E1259,4,2)&amp;"."&amp;RIGHT('Informe Kelly'!E1259,4),'Informe Kelly'!E1259),'Informe Kelly'!E1259)</f>
        <v>0</v>
      </c>
      <c r="D1266" s="69" t="str">
        <f>IF('Informe Kelly'!E1259="","",'Informe Kelly'!E1259)</f>
        <v/>
      </c>
      <c r="E1266" s="72">
        <f t="shared" si="39"/>
        <v>581</v>
      </c>
      <c r="F1266" s="72" t="str">
        <f>IFERROR(HLOOKUP(C1266,Ingreso!$Q$8:$AD$9,2,FALSE),"v")</f>
        <v>v</v>
      </c>
      <c r="G1266" s="65" t="str">
        <f>IFERROR(VLOOKUP(A1266,Ingreso!K:P,6,FALSE),"no esta ingresado")</f>
        <v>no esta ingresado</v>
      </c>
      <c r="H1266" s="65" t="str">
        <f>IFERROR(IF('Informe Kelly'!H1259=$A$2,'Informe Kelly'!F1259,""),0)</f>
        <v/>
      </c>
      <c r="I1266" s="65" t="str">
        <f>IFERROR(IF('Informe Kelly'!H1259=$A$3,'Informe Kelly'!F1259,""),0)</f>
        <v/>
      </c>
      <c r="J1266" s="65" t="str">
        <f>IF(IFERROR(IF(E1266=E1265,0,(HLOOKUP(D1266,Ingreso!$AN$10:$AT$260,VLOOKUP(A1266,Ingreso!$AL$11:$AM$260,2,FALSE)))/24),0)=0,"",IFERROR(IF(E1266=E1265,0,(HLOOKUP(D1266,Ingreso!$AN$10:$AT$260,VLOOKUP(A1266,Ingreso!$AL$11:$AM$260,2,FALSE)))/24),0))</f>
        <v/>
      </c>
      <c r="K1266" s="65" t="str">
        <f>IF(IFERROR(IF(E1266=E1265,0,(HLOOKUP(C1266,Ingreso!$AW$10:$BC$260,VLOOKUP(A1266,Ingreso!$AL$11:$AM$260,2,FALSE)))/24),0)=0,"",IFERROR(IF(E1266=E1265,0,(HLOOKUP(C1266,Ingreso!$AW$10:$BC$260,VLOOKUP(A1266,Ingreso!$AL$11:$AM$260,2,FALSE)))/24),0))</f>
        <v/>
      </c>
      <c r="L1266" s="63">
        <f t="shared" si="38"/>
        <v>0</v>
      </c>
      <c r="M1266" s="63" t="str">
        <f>IF(IFERROR(IF(C1266=C1264,0,IF(E1266=E1265,0,IF(C1266=$R$2,HLOOKUP($R$2,Ingreso!$AW$10:$BC$260,VLOOKUP(A1266,Ingreso!AL:AM,2,FALSE),FALSE)/24,""))),"")=0,"",IFERROR(IF(C1266=C1264,0,IF(E1266=E1265,0,IF(C1266=$R$2,HLOOKUP($R$2,Ingreso!$AW$10:$BC$260,VLOOKUP(A1266,Ingreso!AL:AM,2,FALSE),FALSE)/24,""))),""))</f>
        <v/>
      </c>
      <c r="N1266" s="95" t="str">
        <f>IF(IFERROR(IF(C1266=C1264,0,IF(E1266=E1265,0,IF(C1266=$R$3,HLOOKUP($R$3,Ingreso!$AW$10:$BC$260,VLOOKUP(A1266,Ingreso!AL:AM,2,FALSE),FALSE)/24,""))),"")=0,"",IFERROR(IF(C1266=C1264,0,IF(E1266=E1265,0,IF(C1266=$R$3,HLOOKUP($R$3,Ingreso!$AW$10:$BC$260,VLOOKUP(A1266,Ingreso!AL:AM,2,FALSE),FALSE)/24,""))),""))</f>
        <v/>
      </c>
      <c r="O1266" s="95" t="str">
        <f>IF(IFERROR(IF(C1266=C1264,0,IF(E1266=E1265,0,IF(C1266=$R$4,HLOOKUP($R$4,Ingreso!$AW$10:$BC$260,VLOOKUP(A1266,Ingreso!AL:AM,2,FALSE),FALSE)/24,""))),"")=0,"",IFERROR(IF(C1266=C1264,0,IF(E1266=E1265,0,IF(C1266=$R$4,HLOOKUP($R$4,Ingreso!$AW$10:$BC$260,VLOOKUP(A1266,Ingreso!AL:AM,2,FALSE),FALSE)/24,""))),""))</f>
        <v/>
      </c>
      <c r="P1266" s="90"/>
      <c r="V1266"/>
      <c r="W1266" s="62"/>
      <c r="X1266" s="62"/>
      <c r="Y1266" s="62"/>
      <c r="Z1266" s="62"/>
      <c r="AA1266" s="62"/>
      <c r="AB1266" s="62"/>
      <c r="AC1266" s="62"/>
    </row>
    <row r="1267" spans="1:29">
      <c r="A1267" s="65" t="str">
        <f>IFERROR(VLOOKUP('Informe Kelly'!A1260,Base!A:B,2,FALSE),"")</f>
        <v/>
      </c>
      <c r="B1267" s="65" t="str">
        <f>IFERROR(VLOOKUP('Informe Kelly'!A1260,Base!A:G,7,FALSE),"")</f>
        <v/>
      </c>
      <c r="C1267" s="69">
        <f>IF(G1267=$C$4,IF('Informe Kelly'!H1260='Control informe Kelly'!$A$2,TEXT(((LEFT('Informe Kelly'!E1260,2)*1)+1),"dd")&amp;"."&amp;MID('Informe Kelly'!E1260,4,2)&amp;"."&amp;RIGHT('Informe Kelly'!E1260,4),'Informe Kelly'!E1260),'Informe Kelly'!E1260)</f>
        <v>0</v>
      </c>
      <c r="D1267" s="69" t="str">
        <f>IF('Informe Kelly'!E1260="","",'Informe Kelly'!E1260)</f>
        <v/>
      </c>
      <c r="E1267" s="72">
        <f t="shared" si="39"/>
        <v>581</v>
      </c>
      <c r="F1267" s="72" t="str">
        <f>IFERROR(HLOOKUP(C1267,Ingreso!$Q$8:$AD$9,2,FALSE),"v")</f>
        <v>v</v>
      </c>
      <c r="G1267" s="65" t="str">
        <f>IFERROR(VLOOKUP(A1267,Ingreso!K:P,6,FALSE),"no esta ingresado")</f>
        <v>no esta ingresado</v>
      </c>
      <c r="H1267" s="65" t="str">
        <f>IFERROR(IF('Informe Kelly'!H1260=$A$2,'Informe Kelly'!F1260,""),0)</f>
        <v/>
      </c>
      <c r="I1267" s="65" t="str">
        <f>IFERROR(IF('Informe Kelly'!H1260=$A$3,'Informe Kelly'!F1260,""),0)</f>
        <v/>
      </c>
      <c r="J1267" s="65" t="str">
        <f>IF(IFERROR(IF(E1267=E1266,0,(HLOOKUP(D1267,Ingreso!$AN$10:$AT$260,VLOOKUP(A1267,Ingreso!$AL$11:$AM$260,2,FALSE)))/24),0)=0,"",IFERROR(IF(E1267=E1266,0,(HLOOKUP(D1267,Ingreso!$AN$10:$AT$260,VLOOKUP(A1267,Ingreso!$AL$11:$AM$260,2,FALSE)))/24),0))</f>
        <v/>
      </c>
      <c r="K1267" s="65" t="str">
        <f>IF(IFERROR(IF(E1267=E1266,0,(HLOOKUP(C1267,Ingreso!$AW$10:$BC$260,VLOOKUP(A1267,Ingreso!$AL$11:$AM$260,2,FALSE)))/24),0)=0,"",IFERROR(IF(E1267=E1266,0,(HLOOKUP(C1267,Ingreso!$AW$10:$BC$260,VLOOKUP(A1267,Ingreso!$AL$11:$AM$260,2,FALSE)))/24),0))</f>
        <v/>
      </c>
      <c r="L1267" s="63">
        <f t="shared" si="38"/>
        <v>0</v>
      </c>
      <c r="M1267" s="63" t="str">
        <f>IF(IFERROR(IF(C1267=C1265,0,IF(E1267=E1266,0,IF(C1267=$R$2,HLOOKUP($R$2,Ingreso!$AW$10:$BC$260,VLOOKUP(A1267,Ingreso!AL:AM,2,FALSE),FALSE)/24,""))),"")=0,"",IFERROR(IF(C1267=C1265,0,IF(E1267=E1266,0,IF(C1267=$R$2,HLOOKUP($R$2,Ingreso!$AW$10:$BC$260,VLOOKUP(A1267,Ingreso!AL:AM,2,FALSE),FALSE)/24,""))),""))</f>
        <v/>
      </c>
      <c r="N1267" s="95" t="str">
        <f>IF(IFERROR(IF(C1267=C1265,0,IF(E1267=E1266,0,IF(C1267=$R$3,HLOOKUP($R$3,Ingreso!$AW$10:$BC$260,VLOOKUP(A1267,Ingreso!AL:AM,2,FALSE),FALSE)/24,""))),"")=0,"",IFERROR(IF(C1267=C1265,0,IF(E1267=E1266,0,IF(C1267=$R$3,HLOOKUP($R$3,Ingreso!$AW$10:$BC$260,VLOOKUP(A1267,Ingreso!AL:AM,2,FALSE),FALSE)/24,""))),""))</f>
        <v/>
      </c>
      <c r="O1267" s="95" t="str">
        <f>IF(IFERROR(IF(C1267=C1265,0,IF(E1267=E1266,0,IF(C1267=$R$4,HLOOKUP($R$4,Ingreso!$AW$10:$BC$260,VLOOKUP(A1267,Ingreso!AL:AM,2,FALSE),FALSE)/24,""))),"")=0,"",IFERROR(IF(C1267=C1265,0,IF(E1267=E1266,0,IF(C1267=$R$4,HLOOKUP($R$4,Ingreso!$AW$10:$BC$260,VLOOKUP(A1267,Ingreso!AL:AM,2,FALSE),FALSE)/24,""))),""))</f>
        <v/>
      </c>
      <c r="P1267" s="90"/>
      <c r="V1267"/>
      <c r="W1267" s="62"/>
      <c r="X1267" s="62"/>
      <c r="Y1267" s="62"/>
      <c r="Z1267" s="62"/>
      <c r="AA1267" s="62"/>
      <c r="AB1267" s="62"/>
      <c r="AC1267" s="62"/>
    </row>
    <row r="1268" spans="1:29">
      <c r="A1268" s="65" t="str">
        <f>IFERROR(VLOOKUP('Informe Kelly'!A1261,Base!A:B,2,FALSE),"")</f>
        <v/>
      </c>
      <c r="B1268" s="65" t="str">
        <f>IFERROR(VLOOKUP('Informe Kelly'!A1261,Base!A:G,7,FALSE),"")</f>
        <v/>
      </c>
      <c r="C1268" s="69">
        <f>IF(G1268=$C$4,IF('Informe Kelly'!H1261='Control informe Kelly'!$A$2,TEXT(((LEFT('Informe Kelly'!E1261,2)*1)+1),"dd")&amp;"."&amp;MID('Informe Kelly'!E1261,4,2)&amp;"."&amp;RIGHT('Informe Kelly'!E1261,4),'Informe Kelly'!E1261),'Informe Kelly'!E1261)</f>
        <v>0</v>
      </c>
      <c r="D1268" s="69" t="str">
        <f>IF('Informe Kelly'!E1261="","",'Informe Kelly'!E1261)</f>
        <v/>
      </c>
      <c r="E1268" s="72">
        <f t="shared" si="39"/>
        <v>581</v>
      </c>
      <c r="F1268" s="72" t="str">
        <f>IFERROR(HLOOKUP(C1268,Ingreso!$Q$8:$AD$9,2,FALSE),"v")</f>
        <v>v</v>
      </c>
      <c r="G1268" s="65" t="str">
        <f>IFERROR(VLOOKUP(A1268,Ingreso!K:P,6,FALSE),"no esta ingresado")</f>
        <v>no esta ingresado</v>
      </c>
      <c r="H1268" s="65" t="str">
        <f>IFERROR(IF('Informe Kelly'!H1261=$A$2,'Informe Kelly'!F1261,""),0)</f>
        <v/>
      </c>
      <c r="I1268" s="65" t="str">
        <f>IFERROR(IF('Informe Kelly'!H1261=$A$3,'Informe Kelly'!F1261,""),0)</f>
        <v/>
      </c>
      <c r="J1268" s="65" t="str">
        <f>IF(IFERROR(IF(E1268=E1267,0,(HLOOKUP(D1268,Ingreso!$AN$10:$AT$260,VLOOKUP(A1268,Ingreso!$AL$11:$AM$260,2,FALSE)))/24),0)=0,"",IFERROR(IF(E1268=E1267,0,(HLOOKUP(D1268,Ingreso!$AN$10:$AT$260,VLOOKUP(A1268,Ingreso!$AL$11:$AM$260,2,FALSE)))/24),0))</f>
        <v/>
      </c>
      <c r="K1268" s="65" t="str">
        <f>IF(IFERROR(IF(E1268=E1267,0,(HLOOKUP(C1268,Ingreso!$AW$10:$BC$260,VLOOKUP(A1268,Ingreso!$AL$11:$AM$260,2,FALSE)))/24),0)=0,"",IFERROR(IF(E1268=E1267,0,(HLOOKUP(C1268,Ingreso!$AW$10:$BC$260,VLOOKUP(A1268,Ingreso!$AL$11:$AM$260,2,FALSE)))/24),0))</f>
        <v/>
      </c>
      <c r="L1268" s="63">
        <f t="shared" si="38"/>
        <v>0</v>
      </c>
      <c r="M1268" s="63" t="str">
        <f>IF(IFERROR(IF(C1268=C1266,0,IF(E1268=E1267,0,IF(C1268=$R$2,HLOOKUP($R$2,Ingreso!$AW$10:$BC$260,VLOOKUP(A1268,Ingreso!AL:AM,2,FALSE),FALSE)/24,""))),"")=0,"",IFERROR(IF(C1268=C1266,0,IF(E1268=E1267,0,IF(C1268=$R$2,HLOOKUP($R$2,Ingreso!$AW$10:$BC$260,VLOOKUP(A1268,Ingreso!AL:AM,2,FALSE),FALSE)/24,""))),""))</f>
        <v/>
      </c>
      <c r="N1268" s="95" t="str">
        <f>IF(IFERROR(IF(C1268=C1266,0,IF(E1268=E1267,0,IF(C1268=$R$3,HLOOKUP($R$3,Ingreso!$AW$10:$BC$260,VLOOKUP(A1268,Ingreso!AL:AM,2,FALSE),FALSE)/24,""))),"")=0,"",IFERROR(IF(C1268=C1266,0,IF(E1268=E1267,0,IF(C1268=$R$3,HLOOKUP($R$3,Ingreso!$AW$10:$BC$260,VLOOKUP(A1268,Ingreso!AL:AM,2,FALSE),FALSE)/24,""))),""))</f>
        <v/>
      </c>
      <c r="O1268" s="95" t="str">
        <f>IF(IFERROR(IF(C1268=C1266,0,IF(E1268=E1267,0,IF(C1268=$R$4,HLOOKUP($R$4,Ingreso!$AW$10:$BC$260,VLOOKUP(A1268,Ingreso!AL:AM,2,FALSE),FALSE)/24,""))),"")=0,"",IFERROR(IF(C1268=C1266,0,IF(E1268=E1267,0,IF(C1268=$R$4,HLOOKUP($R$4,Ingreso!$AW$10:$BC$260,VLOOKUP(A1268,Ingreso!AL:AM,2,FALSE),FALSE)/24,""))),""))</f>
        <v/>
      </c>
      <c r="P1268" s="90"/>
      <c r="V1268"/>
      <c r="W1268" s="62"/>
      <c r="X1268" s="62"/>
      <c r="Y1268" s="62"/>
      <c r="Z1268" s="62"/>
      <c r="AA1268" s="62"/>
      <c r="AB1268" s="62"/>
      <c r="AC1268" s="62"/>
    </row>
    <row r="1269" spans="1:29">
      <c r="A1269" s="65" t="str">
        <f>IFERROR(VLOOKUP('Informe Kelly'!A1262,Base!A:B,2,FALSE),"")</f>
        <v/>
      </c>
      <c r="B1269" s="65" t="str">
        <f>IFERROR(VLOOKUP('Informe Kelly'!A1262,Base!A:G,7,FALSE),"")</f>
        <v/>
      </c>
      <c r="C1269" s="69">
        <f>IF(G1269=$C$4,IF('Informe Kelly'!H1262='Control informe Kelly'!$A$2,TEXT(((LEFT('Informe Kelly'!E1262,2)*1)+1),"dd")&amp;"."&amp;MID('Informe Kelly'!E1262,4,2)&amp;"."&amp;RIGHT('Informe Kelly'!E1262,4),'Informe Kelly'!E1262),'Informe Kelly'!E1262)</f>
        <v>0</v>
      </c>
      <c r="D1269" s="69" t="str">
        <f>IF('Informe Kelly'!E1262="","",'Informe Kelly'!E1262)</f>
        <v/>
      </c>
      <c r="E1269" s="72">
        <f t="shared" si="39"/>
        <v>581</v>
      </c>
      <c r="F1269" s="72" t="str">
        <f>IFERROR(HLOOKUP(C1269,Ingreso!$Q$8:$AD$9,2,FALSE),"v")</f>
        <v>v</v>
      </c>
      <c r="G1269" s="65" t="str">
        <f>IFERROR(VLOOKUP(A1269,Ingreso!K:P,6,FALSE),"no esta ingresado")</f>
        <v>no esta ingresado</v>
      </c>
      <c r="H1269" s="65" t="str">
        <f>IFERROR(IF('Informe Kelly'!H1262=$A$2,'Informe Kelly'!F1262,""),0)</f>
        <v/>
      </c>
      <c r="I1269" s="65" t="str">
        <f>IFERROR(IF('Informe Kelly'!H1262=$A$3,'Informe Kelly'!F1262,""),0)</f>
        <v/>
      </c>
      <c r="J1269" s="65" t="str">
        <f>IF(IFERROR(IF(E1269=E1268,0,(HLOOKUP(D1269,Ingreso!$AN$10:$AT$260,VLOOKUP(A1269,Ingreso!$AL$11:$AM$260,2,FALSE)))/24),0)=0,"",IFERROR(IF(E1269=E1268,0,(HLOOKUP(D1269,Ingreso!$AN$10:$AT$260,VLOOKUP(A1269,Ingreso!$AL$11:$AM$260,2,FALSE)))/24),0))</f>
        <v/>
      </c>
      <c r="K1269" s="65" t="str">
        <f>IF(IFERROR(IF(E1269=E1268,0,(HLOOKUP(C1269,Ingreso!$AW$10:$BC$260,VLOOKUP(A1269,Ingreso!$AL$11:$AM$260,2,FALSE)))/24),0)=0,"",IFERROR(IF(E1269=E1268,0,(HLOOKUP(C1269,Ingreso!$AW$10:$BC$260,VLOOKUP(A1269,Ingreso!$AL$11:$AM$260,2,FALSE)))/24),0))</f>
        <v/>
      </c>
      <c r="L1269" s="63">
        <f t="shared" si="38"/>
        <v>0</v>
      </c>
      <c r="M1269" s="63" t="str">
        <f>IF(IFERROR(IF(C1269=C1267,0,IF(E1269=E1268,0,IF(C1269=$R$2,HLOOKUP($R$2,Ingreso!$AW$10:$BC$260,VLOOKUP(A1269,Ingreso!AL:AM,2,FALSE),FALSE)/24,""))),"")=0,"",IFERROR(IF(C1269=C1267,0,IF(E1269=E1268,0,IF(C1269=$R$2,HLOOKUP($R$2,Ingreso!$AW$10:$BC$260,VLOOKUP(A1269,Ingreso!AL:AM,2,FALSE),FALSE)/24,""))),""))</f>
        <v/>
      </c>
      <c r="N1269" s="95" t="str">
        <f>IF(IFERROR(IF(C1269=C1267,0,IF(E1269=E1268,0,IF(C1269=$R$3,HLOOKUP($R$3,Ingreso!$AW$10:$BC$260,VLOOKUP(A1269,Ingreso!AL:AM,2,FALSE),FALSE)/24,""))),"")=0,"",IFERROR(IF(C1269=C1267,0,IF(E1269=E1268,0,IF(C1269=$R$3,HLOOKUP($R$3,Ingreso!$AW$10:$BC$260,VLOOKUP(A1269,Ingreso!AL:AM,2,FALSE),FALSE)/24,""))),""))</f>
        <v/>
      </c>
      <c r="O1269" s="95" t="str">
        <f>IF(IFERROR(IF(C1269=C1267,0,IF(E1269=E1268,0,IF(C1269=$R$4,HLOOKUP($R$4,Ingreso!$AW$10:$BC$260,VLOOKUP(A1269,Ingreso!AL:AM,2,FALSE),FALSE)/24,""))),"")=0,"",IFERROR(IF(C1269=C1267,0,IF(E1269=E1268,0,IF(C1269=$R$4,HLOOKUP($R$4,Ingreso!$AW$10:$BC$260,VLOOKUP(A1269,Ingreso!AL:AM,2,FALSE),FALSE)/24,""))),""))</f>
        <v/>
      </c>
      <c r="P1269" s="90"/>
      <c r="V1269"/>
      <c r="W1269" s="62"/>
      <c r="X1269" s="62"/>
      <c r="Y1269" s="62"/>
      <c r="Z1269" s="62"/>
      <c r="AA1269" s="62"/>
      <c r="AB1269" s="62"/>
      <c r="AC1269" s="62"/>
    </row>
    <row r="1270" spans="1:29">
      <c r="A1270" s="65" t="str">
        <f>IFERROR(VLOOKUP('Informe Kelly'!A1263,Base!A:B,2,FALSE),"")</f>
        <v/>
      </c>
      <c r="B1270" s="65" t="str">
        <f>IFERROR(VLOOKUP('Informe Kelly'!A1263,Base!A:G,7,FALSE),"")</f>
        <v/>
      </c>
      <c r="C1270" s="69">
        <f>IF(G1270=$C$4,IF('Informe Kelly'!H1263='Control informe Kelly'!$A$2,TEXT(((LEFT('Informe Kelly'!E1263,2)*1)+1),"dd")&amp;"."&amp;MID('Informe Kelly'!E1263,4,2)&amp;"."&amp;RIGHT('Informe Kelly'!E1263,4),'Informe Kelly'!E1263),'Informe Kelly'!E1263)</f>
        <v>0</v>
      </c>
      <c r="D1270" s="69" t="str">
        <f>IF('Informe Kelly'!E1263="","",'Informe Kelly'!E1263)</f>
        <v/>
      </c>
      <c r="E1270" s="72">
        <f t="shared" si="39"/>
        <v>581</v>
      </c>
      <c r="F1270" s="72" t="str">
        <f>IFERROR(HLOOKUP(C1270,Ingreso!$Q$8:$AD$9,2,FALSE),"v")</f>
        <v>v</v>
      </c>
      <c r="G1270" s="65" t="str">
        <f>IFERROR(VLOOKUP(A1270,Ingreso!K:P,6,FALSE),"no esta ingresado")</f>
        <v>no esta ingresado</v>
      </c>
      <c r="H1270" s="65" t="str">
        <f>IFERROR(IF('Informe Kelly'!H1263=$A$2,'Informe Kelly'!F1263,""),0)</f>
        <v/>
      </c>
      <c r="I1270" s="65" t="str">
        <f>IFERROR(IF('Informe Kelly'!H1263=$A$3,'Informe Kelly'!F1263,""),0)</f>
        <v/>
      </c>
      <c r="J1270" s="65" t="str">
        <f>IF(IFERROR(IF(E1270=E1269,0,(HLOOKUP(D1270,Ingreso!$AN$10:$AT$260,VLOOKUP(A1270,Ingreso!$AL$11:$AM$260,2,FALSE)))/24),0)=0,"",IFERROR(IF(E1270=E1269,0,(HLOOKUP(D1270,Ingreso!$AN$10:$AT$260,VLOOKUP(A1270,Ingreso!$AL$11:$AM$260,2,FALSE)))/24),0))</f>
        <v/>
      </c>
      <c r="K1270" s="65" t="str">
        <f>IF(IFERROR(IF(E1270=E1269,0,(HLOOKUP(C1270,Ingreso!$AW$10:$BC$260,VLOOKUP(A1270,Ingreso!$AL$11:$AM$260,2,FALSE)))/24),0)=0,"",IFERROR(IF(E1270=E1269,0,(HLOOKUP(C1270,Ingreso!$AW$10:$BC$260,VLOOKUP(A1270,Ingreso!$AL$11:$AM$260,2,FALSE)))/24),0))</f>
        <v/>
      </c>
      <c r="L1270" s="63">
        <f t="shared" si="38"/>
        <v>0</v>
      </c>
      <c r="M1270" s="63" t="str">
        <f>IF(IFERROR(IF(C1270=C1268,0,IF(E1270=E1269,0,IF(C1270=$R$2,HLOOKUP($R$2,Ingreso!$AW$10:$BC$260,VLOOKUP(A1270,Ingreso!AL:AM,2,FALSE),FALSE)/24,""))),"")=0,"",IFERROR(IF(C1270=C1268,0,IF(E1270=E1269,0,IF(C1270=$R$2,HLOOKUP($R$2,Ingreso!$AW$10:$BC$260,VLOOKUP(A1270,Ingreso!AL:AM,2,FALSE),FALSE)/24,""))),""))</f>
        <v/>
      </c>
      <c r="N1270" s="95" t="str">
        <f>IF(IFERROR(IF(C1270=C1268,0,IF(E1270=E1269,0,IF(C1270=$R$3,HLOOKUP($R$3,Ingreso!$AW$10:$BC$260,VLOOKUP(A1270,Ingreso!AL:AM,2,FALSE),FALSE)/24,""))),"")=0,"",IFERROR(IF(C1270=C1268,0,IF(E1270=E1269,0,IF(C1270=$R$3,HLOOKUP($R$3,Ingreso!$AW$10:$BC$260,VLOOKUP(A1270,Ingreso!AL:AM,2,FALSE),FALSE)/24,""))),""))</f>
        <v/>
      </c>
      <c r="O1270" s="95" t="str">
        <f>IF(IFERROR(IF(C1270=C1268,0,IF(E1270=E1269,0,IF(C1270=$R$4,HLOOKUP($R$4,Ingreso!$AW$10:$BC$260,VLOOKUP(A1270,Ingreso!AL:AM,2,FALSE),FALSE)/24,""))),"")=0,"",IFERROR(IF(C1270=C1268,0,IF(E1270=E1269,0,IF(C1270=$R$4,HLOOKUP($R$4,Ingreso!$AW$10:$BC$260,VLOOKUP(A1270,Ingreso!AL:AM,2,FALSE),FALSE)/24,""))),""))</f>
        <v/>
      </c>
      <c r="P1270" s="90"/>
      <c r="V1270"/>
      <c r="W1270" s="62"/>
      <c r="X1270" s="62"/>
      <c r="Y1270" s="62"/>
      <c r="Z1270" s="62"/>
      <c r="AA1270" s="62"/>
      <c r="AB1270" s="62"/>
      <c r="AC1270" s="62"/>
    </row>
    <row r="1271" spans="1:29">
      <c r="A1271" s="65" t="str">
        <f>IFERROR(VLOOKUP('Informe Kelly'!A1264,Base!A:B,2,FALSE),"")</f>
        <v/>
      </c>
      <c r="B1271" s="65" t="str">
        <f>IFERROR(VLOOKUP('Informe Kelly'!A1264,Base!A:G,7,FALSE),"")</f>
        <v/>
      </c>
      <c r="C1271" s="69">
        <f>IF(G1271=$C$4,IF('Informe Kelly'!H1264='Control informe Kelly'!$A$2,TEXT(((LEFT('Informe Kelly'!E1264,2)*1)+1),"dd")&amp;"."&amp;MID('Informe Kelly'!E1264,4,2)&amp;"."&amp;RIGHT('Informe Kelly'!E1264,4),'Informe Kelly'!E1264),'Informe Kelly'!E1264)</f>
        <v>0</v>
      </c>
      <c r="D1271" s="69" t="str">
        <f>IF('Informe Kelly'!E1264="","",'Informe Kelly'!E1264)</f>
        <v/>
      </c>
      <c r="E1271" s="72">
        <f t="shared" si="39"/>
        <v>581</v>
      </c>
      <c r="F1271" s="72" t="str">
        <f>IFERROR(HLOOKUP(C1271,Ingreso!$Q$8:$AD$9,2,FALSE),"v")</f>
        <v>v</v>
      </c>
      <c r="G1271" s="65" t="str">
        <f>IFERROR(VLOOKUP(A1271,Ingreso!K:P,6,FALSE),"no esta ingresado")</f>
        <v>no esta ingresado</v>
      </c>
      <c r="H1271" s="65" t="str">
        <f>IFERROR(IF('Informe Kelly'!H1264=$A$2,'Informe Kelly'!F1264,""),0)</f>
        <v/>
      </c>
      <c r="I1271" s="65" t="str">
        <f>IFERROR(IF('Informe Kelly'!H1264=$A$3,'Informe Kelly'!F1264,""),0)</f>
        <v/>
      </c>
      <c r="J1271" s="65" t="str">
        <f>IF(IFERROR(IF(E1271=E1270,0,(HLOOKUP(D1271,Ingreso!$AN$10:$AT$260,VLOOKUP(A1271,Ingreso!$AL$11:$AM$260,2,FALSE)))/24),0)=0,"",IFERROR(IF(E1271=E1270,0,(HLOOKUP(D1271,Ingreso!$AN$10:$AT$260,VLOOKUP(A1271,Ingreso!$AL$11:$AM$260,2,FALSE)))/24),0))</f>
        <v/>
      </c>
      <c r="K1271" s="65" t="str">
        <f>IF(IFERROR(IF(E1271=E1270,0,(HLOOKUP(C1271,Ingreso!$AW$10:$BC$260,VLOOKUP(A1271,Ingreso!$AL$11:$AM$260,2,FALSE)))/24),0)=0,"",IFERROR(IF(E1271=E1270,0,(HLOOKUP(C1271,Ingreso!$AW$10:$BC$260,VLOOKUP(A1271,Ingreso!$AL$11:$AM$260,2,FALSE)))/24),0))</f>
        <v/>
      </c>
      <c r="L1271" s="63">
        <f t="shared" si="38"/>
        <v>0</v>
      </c>
      <c r="M1271" s="63" t="str">
        <f>IF(IFERROR(IF(C1271=C1269,0,IF(E1271=E1270,0,IF(C1271=$R$2,HLOOKUP($R$2,Ingreso!$AW$10:$BC$260,VLOOKUP(A1271,Ingreso!AL:AM,2,FALSE),FALSE)/24,""))),"")=0,"",IFERROR(IF(C1271=C1269,0,IF(E1271=E1270,0,IF(C1271=$R$2,HLOOKUP($R$2,Ingreso!$AW$10:$BC$260,VLOOKUP(A1271,Ingreso!AL:AM,2,FALSE),FALSE)/24,""))),""))</f>
        <v/>
      </c>
      <c r="N1271" s="95" t="str">
        <f>IF(IFERROR(IF(C1271=C1269,0,IF(E1271=E1270,0,IF(C1271=$R$3,HLOOKUP($R$3,Ingreso!$AW$10:$BC$260,VLOOKUP(A1271,Ingreso!AL:AM,2,FALSE),FALSE)/24,""))),"")=0,"",IFERROR(IF(C1271=C1269,0,IF(E1271=E1270,0,IF(C1271=$R$3,HLOOKUP($R$3,Ingreso!$AW$10:$BC$260,VLOOKUP(A1271,Ingreso!AL:AM,2,FALSE),FALSE)/24,""))),""))</f>
        <v/>
      </c>
      <c r="O1271" s="95" t="str">
        <f>IF(IFERROR(IF(C1271=C1269,0,IF(E1271=E1270,0,IF(C1271=$R$4,HLOOKUP($R$4,Ingreso!$AW$10:$BC$260,VLOOKUP(A1271,Ingreso!AL:AM,2,FALSE),FALSE)/24,""))),"")=0,"",IFERROR(IF(C1271=C1269,0,IF(E1271=E1270,0,IF(C1271=$R$4,HLOOKUP($R$4,Ingreso!$AW$10:$BC$260,VLOOKUP(A1271,Ingreso!AL:AM,2,FALSE),FALSE)/24,""))),""))</f>
        <v/>
      </c>
      <c r="P1271" s="90"/>
      <c r="V1271"/>
      <c r="W1271" s="62"/>
      <c r="X1271" s="62"/>
      <c r="Y1271" s="62"/>
      <c r="Z1271" s="62"/>
      <c r="AA1271" s="62"/>
      <c r="AB1271" s="62"/>
      <c r="AC1271" s="62"/>
    </row>
    <row r="1272" spans="1:29">
      <c r="A1272" s="65" t="str">
        <f>IFERROR(VLOOKUP('Informe Kelly'!A1265,Base!A:B,2,FALSE),"")</f>
        <v/>
      </c>
      <c r="B1272" s="65" t="str">
        <f>IFERROR(VLOOKUP('Informe Kelly'!A1265,Base!A:G,7,FALSE),"")</f>
        <v/>
      </c>
      <c r="C1272" s="69">
        <f>IF(G1272=$C$4,IF('Informe Kelly'!H1265='Control informe Kelly'!$A$2,TEXT(((LEFT('Informe Kelly'!E1265,2)*1)+1),"dd")&amp;"."&amp;MID('Informe Kelly'!E1265,4,2)&amp;"."&amp;RIGHT('Informe Kelly'!E1265,4),'Informe Kelly'!E1265),'Informe Kelly'!E1265)</f>
        <v>0</v>
      </c>
      <c r="D1272" s="69" t="str">
        <f>IF('Informe Kelly'!E1265="","",'Informe Kelly'!E1265)</f>
        <v/>
      </c>
      <c r="E1272" s="72">
        <f t="shared" si="39"/>
        <v>581</v>
      </c>
      <c r="F1272" s="72" t="str">
        <f>IFERROR(HLOOKUP(C1272,Ingreso!$Q$8:$AD$9,2,FALSE),"v")</f>
        <v>v</v>
      </c>
      <c r="G1272" s="65" t="str">
        <f>IFERROR(VLOOKUP(A1272,Ingreso!K:P,6,FALSE),"no esta ingresado")</f>
        <v>no esta ingresado</v>
      </c>
      <c r="H1272" s="65" t="str">
        <f>IFERROR(IF('Informe Kelly'!H1265=$A$2,'Informe Kelly'!F1265,""),0)</f>
        <v/>
      </c>
      <c r="I1272" s="65" t="str">
        <f>IFERROR(IF('Informe Kelly'!H1265=$A$3,'Informe Kelly'!F1265,""),0)</f>
        <v/>
      </c>
      <c r="J1272" s="65" t="str">
        <f>IF(IFERROR(IF(E1272=E1271,0,(HLOOKUP(D1272,Ingreso!$AN$10:$AT$260,VLOOKUP(A1272,Ingreso!$AL$11:$AM$260,2,FALSE)))/24),0)=0,"",IFERROR(IF(E1272=E1271,0,(HLOOKUP(D1272,Ingreso!$AN$10:$AT$260,VLOOKUP(A1272,Ingreso!$AL$11:$AM$260,2,FALSE)))/24),0))</f>
        <v/>
      </c>
      <c r="K1272" s="65" t="str">
        <f>IF(IFERROR(IF(E1272=E1271,0,(HLOOKUP(C1272,Ingreso!$AW$10:$BC$260,VLOOKUP(A1272,Ingreso!$AL$11:$AM$260,2,FALSE)))/24),0)=0,"",IFERROR(IF(E1272=E1271,0,(HLOOKUP(C1272,Ingreso!$AW$10:$BC$260,VLOOKUP(A1272,Ingreso!$AL$11:$AM$260,2,FALSE)))/24),0))</f>
        <v/>
      </c>
      <c r="L1272" s="63">
        <f t="shared" si="38"/>
        <v>0</v>
      </c>
      <c r="M1272" s="63" t="str">
        <f>IF(IFERROR(IF(C1272=C1270,0,IF(E1272=E1271,0,IF(C1272=$R$2,HLOOKUP($R$2,Ingreso!$AW$10:$BC$260,VLOOKUP(A1272,Ingreso!AL:AM,2,FALSE),FALSE)/24,""))),"")=0,"",IFERROR(IF(C1272=C1270,0,IF(E1272=E1271,0,IF(C1272=$R$2,HLOOKUP($R$2,Ingreso!$AW$10:$BC$260,VLOOKUP(A1272,Ingreso!AL:AM,2,FALSE),FALSE)/24,""))),""))</f>
        <v/>
      </c>
      <c r="N1272" s="95" t="str">
        <f>IF(IFERROR(IF(C1272=C1270,0,IF(E1272=E1271,0,IF(C1272=$R$3,HLOOKUP($R$3,Ingreso!$AW$10:$BC$260,VLOOKUP(A1272,Ingreso!AL:AM,2,FALSE),FALSE)/24,""))),"")=0,"",IFERROR(IF(C1272=C1270,0,IF(E1272=E1271,0,IF(C1272=$R$3,HLOOKUP($R$3,Ingreso!$AW$10:$BC$260,VLOOKUP(A1272,Ingreso!AL:AM,2,FALSE),FALSE)/24,""))),""))</f>
        <v/>
      </c>
      <c r="O1272" s="95" t="str">
        <f>IF(IFERROR(IF(C1272=C1270,0,IF(E1272=E1271,0,IF(C1272=$R$4,HLOOKUP($R$4,Ingreso!$AW$10:$BC$260,VLOOKUP(A1272,Ingreso!AL:AM,2,FALSE),FALSE)/24,""))),"")=0,"",IFERROR(IF(C1272=C1270,0,IF(E1272=E1271,0,IF(C1272=$R$4,HLOOKUP($R$4,Ingreso!$AW$10:$BC$260,VLOOKUP(A1272,Ingreso!AL:AM,2,FALSE),FALSE)/24,""))),""))</f>
        <v/>
      </c>
      <c r="P1272" s="90"/>
      <c r="V1272"/>
      <c r="W1272" s="62"/>
      <c r="X1272" s="62"/>
      <c r="Y1272" s="62"/>
      <c r="Z1272" s="62"/>
      <c r="AA1272" s="62"/>
      <c r="AB1272" s="62"/>
      <c r="AC1272" s="62"/>
    </row>
    <row r="1273" spans="1:29">
      <c r="A1273" s="65" t="str">
        <f>IFERROR(VLOOKUP('Informe Kelly'!A1266,Base!A:B,2,FALSE),"")</f>
        <v/>
      </c>
      <c r="B1273" s="65" t="str">
        <f>IFERROR(VLOOKUP('Informe Kelly'!A1266,Base!A:G,7,FALSE),"")</f>
        <v/>
      </c>
      <c r="C1273" s="69">
        <f>IF(G1273=$C$4,IF('Informe Kelly'!H1266='Control informe Kelly'!$A$2,TEXT(((LEFT('Informe Kelly'!E1266,2)*1)+1),"dd")&amp;"."&amp;MID('Informe Kelly'!E1266,4,2)&amp;"."&amp;RIGHT('Informe Kelly'!E1266,4),'Informe Kelly'!E1266),'Informe Kelly'!E1266)</f>
        <v>0</v>
      </c>
      <c r="D1273" s="69" t="str">
        <f>IF('Informe Kelly'!E1266="","",'Informe Kelly'!E1266)</f>
        <v/>
      </c>
      <c r="E1273" s="72">
        <f t="shared" si="39"/>
        <v>581</v>
      </c>
      <c r="F1273" s="72" t="str">
        <f>IFERROR(HLOOKUP(C1273,Ingreso!$Q$8:$AD$9,2,FALSE),"v")</f>
        <v>v</v>
      </c>
      <c r="G1273" s="65" t="str">
        <f>IFERROR(VLOOKUP(A1273,Ingreso!K:P,6,FALSE),"no esta ingresado")</f>
        <v>no esta ingresado</v>
      </c>
      <c r="H1273" s="65" t="str">
        <f>IFERROR(IF('Informe Kelly'!H1266=$A$2,'Informe Kelly'!F1266,""),0)</f>
        <v/>
      </c>
      <c r="I1273" s="65" t="str">
        <f>IFERROR(IF('Informe Kelly'!H1266=$A$3,'Informe Kelly'!F1266,""),0)</f>
        <v/>
      </c>
      <c r="J1273" s="65" t="str">
        <f>IF(IFERROR(IF(E1273=E1272,0,(HLOOKUP(D1273,Ingreso!$AN$10:$AT$260,VLOOKUP(A1273,Ingreso!$AL$11:$AM$260,2,FALSE)))/24),0)=0,"",IFERROR(IF(E1273=E1272,0,(HLOOKUP(D1273,Ingreso!$AN$10:$AT$260,VLOOKUP(A1273,Ingreso!$AL$11:$AM$260,2,FALSE)))/24),0))</f>
        <v/>
      </c>
      <c r="K1273" s="65" t="str">
        <f>IF(IFERROR(IF(E1273=E1272,0,(HLOOKUP(C1273,Ingreso!$AW$10:$BC$260,VLOOKUP(A1273,Ingreso!$AL$11:$AM$260,2,FALSE)))/24),0)=0,"",IFERROR(IF(E1273=E1272,0,(HLOOKUP(C1273,Ingreso!$AW$10:$BC$260,VLOOKUP(A1273,Ingreso!$AL$11:$AM$260,2,FALSE)))/24),0))</f>
        <v/>
      </c>
      <c r="L1273" s="63">
        <f t="shared" si="38"/>
        <v>0</v>
      </c>
      <c r="M1273" s="63" t="str">
        <f>IF(IFERROR(IF(C1273=C1271,0,IF(E1273=E1272,0,IF(C1273=$R$2,HLOOKUP($R$2,Ingreso!$AW$10:$BC$260,VLOOKUP(A1273,Ingreso!AL:AM,2,FALSE),FALSE)/24,""))),"")=0,"",IFERROR(IF(C1273=C1271,0,IF(E1273=E1272,0,IF(C1273=$R$2,HLOOKUP($R$2,Ingreso!$AW$10:$BC$260,VLOOKUP(A1273,Ingreso!AL:AM,2,FALSE),FALSE)/24,""))),""))</f>
        <v/>
      </c>
      <c r="N1273" s="95" t="str">
        <f>IF(IFERROR(IF(C1273=C1271,0,IF(E1273=E1272,0,IF(C1273=$R$3,HLOOKUP($R$3,Ingreso!$AW$10:$BC$260,VLOOKUP(A1273,Ingreso!AL:AM,2,FALSE),FALSE)/24,""))),"")=0,"",IFERROR(IF(C1273=C1271,0,IF(E1273=E1272,0,IF(C1273=$R$3,HLOOKUP($R$3,Ingreso!$AW$10:$BC$260,VLOOKUP(A1273,Ingreso!AL:AM,2,FALSE),FALSE)/24,""))),""))</f>
        <v/>
      </c>
      <c r="O1273" s="95" t="str">
        <f>IF(IFERROR(IF(C1273=C1271,0,IF(E1273=E1272,0,IF(C1273=$R$4,HLOOKUP($R$4,Ingreso!$AW$10:$BC$260,VLOOKUP(A1273,Ingreso!AL:AM,2,FALSE),FALSE)/24,""))),"")=0,"",IFERROR(IF(C1273=C1271,0,IF(E1273=E1272,0,IF(C1273=$R$4,HLOOKUP($R$4,Ingreso!$AW$10:$BC$260,VLOOKUP(A1273,Ingreso!AL:AM,2,FALSE),FALSE)/24,""))),""))</f>
        <v/>
      </c>
      <c r="P1273" s="90"/>
      <c r="V1273"/>
      <c r="W1273" s="62"/>
      <c r="X1273" s="62"/>
      <c r="Y1273" s="62"/>
      <c r="Z1273" s="62"/>
      <c r="AA1273" s="62"/>
      <c r="AB1273" s="62"/>
      <c r="AC1273" s="62"/>
    </row>
    <row r="1274" spans="1:29">
      <c r="A1274" s="65" t="str">
        <f>IFERROR(VLOOKUP('Informe Kelly'!A1267,Base!A:B,2,FALSE),"")</f>
        <v/>
      </c>
      <c r="B1274" s="65" t="str">
        <f>IFERROR(VLOOKUP('Informe Kelly'!A1267,Base!A:G,7,FALSE),"")</f>
        <v/>
      </c>
      <c r="C1274" s="69">
        <f>IF(G1274=$C$4,IF('Informe Kelly'!H1267='Control informe Kelly'!$A$2,TEXT(((LEFT('Informe Kelly'!E1267,2)*1)+1),"dd")&amp;"."&amp;MID('Informe Kelly'!E1267,4,2)&amp;"."&amp;RIGHT('Informe Kelly'!E1267,4),'Informe Kelly'!E1267),'Informe Kelly'!E1267)</f>
        <v>0</v>
      </c>
      <c r="D1274" s="69" t="str">
        <f>IF('Informe Kelly'!E1267="","",'Informe Kelly'!E1267)</f>
        <v/>
      </c>
      <c r="E1274" s="72">
        <f t="shared" si="39"/>
        <v>581</v>
      </c>
      <c r="F1274" s="72" t="str">
        <f>IFERROR(HLOOKUP(C1274,Ingreso!$Q$8:$AD$9,2,FALSE),"v")</f>
        <v>v</v>
      </c>
      <c r="G1274" s="65" t="str">
        <f>IFERROR(VLOOKUP(A1274,Ingreso!K:P,6,FALSE),"no esta ingresado")</f>
        <v>no esta ingresado</v>
      </c>
      <c r="H1274" s="65" t="str">
        <f>IFERROR(IF('Informe Kelly'!H1267=$A$2,'Informe Kelly'!F1267,""),0)</f>
        <v/>
      </c>
      <c r="I1274" s="65" t="str">
        <f>IFERROR(IF('Informe Kelly'!H1267=$A$3,'Informe Kelly'!F1267,""),0)</f>
        <v/>
      </c>
      <c r="J1274" s="65" t="str">
        <f>IF(IFERROR(IF(E1274=E1273,0,(HLOOKUP(D1274,Ingreso!$AN$10:$AT$260,VLOOKUP(A1274,Ingreso!$AL$11:$AM$260,2,FALSE)))/24),0)=0,"",IFERROR(IF(E1274=E1273,0,(HLOOKUP(D1274,Ingreso!$AN$10:$AT$260,VLOOKUP(A1274,Ingreso!$AL$11:$AM$260,2,FALSE)))/24),0))</f>
        <v/>
      </c>
      <c r="K1274" s="65" t="str">
        <f>IF(IFERROR(IF(E1274=E1273,0,(HLOOKUP(C1274,Ingreso!$AW$10:$BC$260,VLOOKUP(A1274,Ingreso!$AL$11:$AM$260,2,FALSE)))/24),0)=0,"",IFERROR(IF(E1274=E1273,0,(HLOOKUP(C1274,Ingreso!$AW$10:$BC$260,VLOOKUP(A1274,Ingreso!$AL$11:$AM$260,2,FALSE)))/24),0))</f>
        <v/>
      </c>
      <c r="L1274" s="63">
        <f t="shared" si="38"/>
        <v>0</v>
      </c>
      <c r="M1274" s="63" t="str">
        <f>IF(IFERROR(IF(C1274=C1272,0,IF(E1274=E1273,0,IF(C1274=$R$2,HLOOKUP($R$2,Ingreso!$AW$10:$BC$260,VLOOKUP(A1274,Ingreso!AL:AM,2,FALSE),FALSE)/24,""))),"")=0,"",IFERROR(IF(C1274=C1272,0,IF(E1274=E1273,0,IF(C1274=$R$2,HLOOKUP($R$2,Ingreso!$AW$10:$BC$260,VLOOKUP(A1274,Ingreso!AL:AM,2,FALSE),FALSE)/24,""))),""))</f>
        <v/>
      </c>
      <c r="N1274" s="95" t="str">
        <f>IF(IFERROR(IF(C1274=C1272,0,IF(E1274=E1273,0,IF(C1274=$R$3,HLOOKUP($R$3,Ingreso!$AW$10:$BC$260,VLOOKUP(A1274,Ingreso!AL:AM,2,FALSE),FALSE)/24,""))),"")=0,"",IFERROR(IF(C1274=C1272,0,IF(E1274=E1273,0,IF(C1274=$R$3,HLOOKUP($R$3,Ingreso!$AW$10:$BC$260,VLOOKUP(A1274,Ingreso!AL:AM,2,FALSE),FALSE)/24,""))),""))</f>
        <v/>
      </c>
      <c r="O1274" s="95" t="str">
        <f>IF(IFERROR(IF(C1274=C1272,0,IF(E1274=E1273,0,IF(C1274=$R$4,HLOOKUP($R$4,Ingreso!$AW$10:$BC$260,VLOOKUP(A1274,Ingreso!AL:AM,2,FALSE),FALSE)/24,""))),"")=0,"",IFERROR(IF(C1274=C1272,0,IF(E1274=E1273,0,IF(C1274=$R$4,HLOOKUP($R$4,Ingreso!$AW$10:$BC$260,VLOOKUP(A1274,Ingreso!AL:AM,2,FALSE),FALSE)/24,""))),""))</f>
        <v/>
      </c>
      <c r="P1274" s="90"/>
      <c r="V1274"/>
      <c r="W1274" s="62"/>
      <c r="X1274" s="62"/>
      <c r="Y1274" s="62"/>
      <c r="Z1274" s="62"/>
      <c r="AA1274" s="62"/>
      <c r="AB1274" s="62"/>
      <c r="AC1274" s="62"/>
    </row>
    <row r="1275" spans="1:29">
      <c r="A1275" s="65" t="str">
        <f>IFERROR(VLOOKUP('Informe Kelly'!A1268,Base!A:B,2,FALSE),"")</f>
        <v/>
      </c>
      <c r="B1275" s="65" t="str">
        <f>IFERROR(VLOOKUP('Informe Kelly'!A1268,Base!A:G,7,FALSE),"")</f>
        <v/>
      </c>
      <c r="C1275" s="69">
        <f>IF(G1275=$C$4,IF('Informe Kelly'!H1268='Control informe Kelly'!$A$2,TEXT(((LEFT('Informe Kelly'!E1268,2)*1)+1),"dd")&amp;"."&amp;MID('Informe Kelly'!E1268,4,2)&amp;"."&amp;RIGHT('Informe Kelly'!E1268,4),'Informe Kelly'!E1268),'Informe Kelly'!E1268)</f>
        <v>0</v>
      </c>
      <c r="D1275" s="69" t="str">
        <f>IF('Informe Kelly'!E1268="","",'Informe Kelly'!E1268)</f>
        <v/>
      </c>
      <c r="E1275" s="72">
        <f t="shared" si="39"/>
        <v>581</v>
      </c>
      <c r="F1275" s="72" t="str">
        <f>IFERROR(HLOOKUP(C1275,Ingreso!$Q$8:$AD$9,2,FALSE),"v")</f>
        <v>v</v>
      </c>
      <c r="G1275" s="65" t="str">
        <f>IFERROR(VLOOKUP(A1275,Ingreso!K:P,6,FALSE),"no esta ingresado")</f>
        <v>no esta ingresado</v>
      </c>
      <c r="H1275" s="65" t="str">
        <f>IFERROR(IF('Informe Kelly'!H1268=$A$2,'Informe Kelly'!F1268,""),0)</f>
        <v/>
      </c>
      <c r="I1275" s="65" t="str">
        <f>IFERROR(IF('Informe Kelly'!H1268=$A$3,'Informe Kelly'!F1268,""),0)</f>
        <v/>
      </c>
      <c r="J1275" s="65" t="str">
        <f>IF(IFERROR(IF(E1275=E1274,0,(HLOOKUP(D1275,Ingreso!$AN$10:$AT$260,VLOOKUP(A1275,Ingreso!$AL$11:$AM$260,2,FALSE)))/24),0)=0,"",IFERROR(IF(E1275=E1274,0,(HLOOKUP(D1275,Ingreso!$AN$10:$AT$260,VLOOKUP(A1275,Ingreso!$AL$11:$AM$260,2,FALSE)))/24),0))</f>
        <v/>
      </c>
      <c r="K1275" s="65" t="str">
        <f>IF(IFERROR(IF(E1275=E1274,0,(HLOOKUP(C1275,Ingreso!$AW$10:$BC$260,VLOOKUP(A1275,Ingreso!$AL$11:$AM$260,2,FALSE)))/24),0)=0,"",IFERROR(IF(E1275=E1274,0,(HLOOKUP(C1275,Ingreso!$AW$10:$BC$260,VLOOKUP(A1275,Ingreso!$AL$11:$AM$260,2,FALSE)))/24),0))</f>
        <v/>
      </c>
      <c r="L1275" s="63">
        <f t="shared" si="38"/>
        <v>0</v>
      </c>
      <c r="M1275" s="63" t="str">
        <f>IF(IFERROR(IF(C1275=C1273,0,IF(E1275=E1274,0,IF(C1275=$R$2,HLOOKUP($R$2,Ingreso!$AW$10:$BC$260,VLOOKUP(A1275,Ingreso!AL:AM,2,FALSE),FALSE)/24,""))),"")=0,"",IFERROR(IF(C1275=C1273,0,IF(E1275=E1274,0,IF(C1275=$R$2,HLOOKUP($R$2,Ingreso!$AW$10:$BC$260,VLOOKUP(A1275,Ingreso!AL:AM,2,FALSE),FALSE)/24,""))),""))</f>
        <v/>
      </c>
      <c r="N1275" s="95" t="str">
        <f>IF(IFERROR(IF(C1275=C1273,0,IF(E1275=E1274,0,IF(C1275=$R$3,HLOOKUP($R$3,Ingreso!$AW$10:$BC$260,VLOOKUP(A1275,Ingreso!AL:AM,2,FALSE),FALSE)/24,""))),"")=0,"",IFERROR(IF(C1275=C1273,0,IF(E1275=E1274,0,IF(C1275=$R$3,HLOOKUP($R$3,Ingreso!$AW$10:$BC$260,VLOOKUP(A1275,Ingreso!AL:AM,2,FALSE),FALSE)/24,""))),""))</f>
        <v/>
      </c>
      <c r="O1275" s="95" t="str">
        <f>IF(IFERROR(IF(C1275=C1273,0,IF(E1275=E1274,0,IF(C1275=$R$4,HLOOKUP($R$4,Ingreso!$AW$10:$BC$260,VLOOKUP(A1275,Ingreso!AL:AM,2,FALSE),FALSE)/24,""))),"")=0,"",IFERROR(IF(C1275=C1273,0,IF(E1275=E1274,0,IF(C1275=$R$4,HLOOKUP($R$4,Ingreso!$AW$10:$BC$260,VLOOKUP(A1275,Ingreso!AL:AM,2,FALSE),FALSE)/24,""))),""))</f>
        <v/>
      </c>
      <c r="P1275" s="90"/>
      <c r="V1275"/>
      <c r="W1275" s="62"/>
      <c r="X1275" s="62"/>
      <c r="Y1275" s="62"/>
      <c r="Z1275" s="62"/>
      <c r="AA1275" s="62"/>
      <c r="AB1275" s="62"/>
      <c r="AC1275" s="62"/>
    </row>
    <row r="1276" spans="1:29">
      <c r="A1276" s="65" t="str">
        <f>IFERROR(VLOOKUP('Informe Kelly'!A1269,Base!A:B,2,FALSE),"")</f>
        <v/>
      </c>
      <c r="B1276" s="65" t="str">
        <f>IFERROR(VLOOKUP('Informe Kelly'!A1269,Base!A:G,7,FALSE),"")</f>
        <v/>
      </c>
      <c r="C1276" s="69">
        <f>IF(G1276=$C$4,IF('Informe Kelly'!H1269='Control informe Kelly'!$A$2,TEXT(((LEFT('Informe Kelly'!E1269,2)*1)+1),"dd")&amp;"."&amp;MID('Informe Kelly'!E1269,4,2)&amp;"."&amp;RIGHT('Informe Kelly'!E1269,4),'Informe Kelly'!E1269),'Informe Kelly'!E1269)</f>
        <v>0</v>
      </c>
      <c r="D1276" s="69" t="str">
        <f>IF('Informe Kelly'!E1269="","",'Informe Kelly'!E1269)</f>
        <v/>
      </c>
      <c r="E1276" s="72">
        <f t="shared" si="39"/>
        <v>581</v>
      </c>
      <c r="F1276" s="72" t="str">
        <f>IFERROR(HLOOKUP(C1276,Ingreso!$Q$8:$AD$9,2,FALSE),"v")</f>
        <v>v</v>
      </c>
      <c r="G1276" s="65" t="str">
        <f>IFERROR(VLOOKUP(A1276,Ingreso!K:P,6,FALSE),"no esta ingresado")</f>
        <v>no esta ingresado</v>
      </c>
      <c r="H1276" s="65" t="str">
        <f>IFERROR(IF('Informe Kelly'!H1269=$A$2,'Informe Kelly'!F1269,""),0)</f>
        <v/>
      </c>
      <c r="I1276" s="65" t="str">
        <f>IFERROR(IF('Informe Kelly'!H1269=$A$3,'Informe Kelly'!F1269,""),0)</f>
        <v/>
      </c>
      <c r="J1276" s="65" t="str">
        <f>IF(IFERROR(IF(E1276=E1275,0,(HLOOKUP(D1276,Ingreso!$AN$10:$AT$260,VLOOKUP(A1276,Ingreso!$AL$11:$AM$260,2,FALSE)))/24),0)=0,"",IFERROR(IF(E1276=E1275,0,(HLOOKUP(D1276,Ingreso!$AN$10:$AT$260,VLOOKUP(A1276,Ingreso!$AL$11:$AM$260,2,FALSE)))/24),0))</f>
        <v/>
      </c>
      <c r="K1276" s="65" t="str">
        <f>IF(IFERROR(IF(E1276=E1275,0,(HLOOKUP(C1276,Ingreso!$AW$10:$BC$260,VLOOKUP(A1276,Ingreso!$AL$11:$AM$260,2,FALSE)))/24),0)=0,"",IFERROR(IF(E1276=E1275,0,(HLOOKUP(C1276,Ingreso!$AW$10:$BC$260,VLOOKUP(A1276,Ingreso!$AL$11:$AM$260,2,FALSE)))/24),0))</f>
        <v/>
      </c>
      <c r="L1276" s="63">
        <f t="shared" si="38"/>
        <v>0</v>
      </c>
      <c r="M1276" s="63" t="str">
        <f>IF(IFERROR(IF(C1276=C1274,0,IF(E1276=E1275,0,IF(C1276=$R$2,HLOOKUP($R$2,Ingreso!$AW$10:$BC$260,VLOOKUP(A1276,Ingreso!AL:AM,2,FALSE),FALSE)/24,""))),"")=0,"",IFERROR(IF(C1276=C1274,0,IF(E1276=E1275,0,IF(C1276=$R$2,HLOOKUP($R$2,Ingreso!$AW$10:$BC$260,VLOOKUP(A1276,Ingreso!AL:AM,2,FALSE),FALSE)/24,""))),""))</f>
        <v/>
      </c>
      <c r="N1276" s="95" t="str">
        <f>IF(IFERROR(IF(C1276=C1274,0,IF(E1276=E1275,0,IF(C1276=$R$3,HLOOKUP($R$3,Ingreso!$AW$10:$BC$260,VLOOKUP(A1276,Ingreso!AL:AM,2,FALSE),FALSE)/24,""))),"")=0,"",IFERROR(IF(C1276=C1274,0,IF(E1276=E1275,0,IF(C1276=$R$3,HLOOKUP($R$3,Ingreso!$AW$10:$BC$260,VLOOKUP(A1276,Ingreso!AL:AM,2,FALSE),FALSE)/24,""))),""))</f>
        <v/>
      </c>
      <c r="O1276" s="95" t="str">
        <f>IF(IFERROR(IF(C1276=C1274,0,IF(E1276=E1275,0,IF(C1276=$R$4,HLOOKUP($R$4,Ingreso!$AW$10:$BC$260,VLOOKUP(A1276,Ingreso!AL:AM,2,FALSE),FALSE)/24,""))),"")=0,"",IFERROR(IF(C1276=C1274,0,IF(E1276=E1275,0,IF(C1276=$R$4,HLOOKUP($R$4,Ingreso!$AW$10:$BC$260,VLOOKUP(A1276,Ingreso!AL:AM,2,FALSE),FALSE)/24,""))),""))</f>
        <v/>
      </c>
      <c r="P1276" s="90"/>
      <c r="V1276"/>
      <c r="W1276" s="62"/>
      <c r="X1276" s="62"/>
      <c r="Y1276" s="62"/>
      <c r="Z1276" s="62"/>
      <c r="AA1276" s="62"/>
      <c r="AB1276" s="62"/>
      <c r="AC1276" s="62"/>
    </row>
    <row r="1277" spans="1:29">
      <c r="A1277" s="65" t="str">
        <f>IFERROR(VLOOKUP('Informe Kelly'!A1270,Base!A:B,2,FALSE),"")</f>
        <v/>
      </c>
      <c r="B1277" s="65" t="str">
        <f>IFERROR(VLOOKUP('Informe Kelly'!A1270,Base!A:G,7,FALSE),"")</f>
        <v/>
      </c>
      <c r="C1277" s="69">
        <f>IF(G1277=$C$4,IF('Informe Kelly'!H1270='Control informe Kelly'!$A$2,TEXT(((LEFT('Informe Kelly'!E1270,2)*1)+1),"dd")&amp;"."&amp;MID('Informe Kelly'!E1270,4,2)&amp;"."&amp;RIGHT('Informe Kelly'!E1270,4),'Informe Kelly'!E1270),'Informe Kelly'!E1270)</f>
        <v>0</v>
      </c>
      <c r="D1277" s="69" t="str">
        <f>IF('Informe Kelly'!E1270="","",'Informe Kelly'!E1270)</f>
        <v/>
      </c>
      <c r="E1277" s="72">
        <f t="shared" si="39"/>
        <v>581</v>
      </c>
      <c r="F1277" s="72" t="str">
        <f>IFERROR(HLOOKUP(C1277,Ingreso!$Q$8:$AD$9,2,FALSE),"v")</f>
        <v>v</v>
      </c>
      <c r="G1277" s="65" t="str">
        <f>IFERROR(VLOOKUP(A1277,Ingreso!K:P,6,FALSE),"no esta ingresado")</f>
        <v>no esta ingresado</v>
      </c>
      <c r="H1277" s="65" t="str">
        <f>IFERROR(IF('Informe Kelly'!H1270=$A$2,'Informe Kelly'!F1270,""),0)</f>
        <v/>
      </c>
      <c r="I1277" s="65" t="str">
        <f>IFERROR(IF('Informe Kelly'!H1270=$A$3,'Informe Kelly'!F1270,""),0)</f>
        <v/>
      </c>
      <c r="J1277" s="65" t="str">
        <f>IF(IFERROR(IF(E1277=E1276,0,(HLOOKUP(D1277,Ingreso!$AN$10:$AT$260,VLOOKUP(A1277,Ingreso!$AL$11:$AM$260,2,FALSE)))/24),0)=0,"",IFERROR(IF(E1277=E1276,0,(HLOOKUP(D1277,Ingreso!$AN$10:$AT$260,VLOOKUP(A1277,Ingreso!$AL$11:$AM$260,2,FALSE)))/24),0))</f>
        <v/>
      </c>
      <c r="K1277" s="65" t="str">
        <f>IF(IFERROR(IF(E1277=E1276,0,(HLOOKUP(C1277,Ingreso!$AW$10:$BC$260,VLOOKUP(A1277,Ingreso!$AL$11:$AM$260,2,FALSE)))/24),0)=0,"",IFERROR(IF(E1277=E1276,0,(HLOOKUP(C1277,Ingreso!$AW$10:$BC$260,VLOOKUP(A1277,Ingreso!$AL$11:$AM$260,2,FALSE)))/24),0))</f>
        <v/>
      </c>
      <c r="L1277" s="63">
        <f t="shared" si="38"/>
        <v>0</v>
      </c>
      <c r="M1277" s="63" t="str">
        <f>IF(IFERROR(IF(C1277=C1275,0,IF(E1277=E1276,0,IF(C1277=$R$2,HLOOKUP($R$2,Ingreso!$AW$10:$BC$260,VLOOKUP(A1277,Ingreso!AL:AM,2,FALSE),FALSE)/24,""))),"")=0,"",IFERROR(IF(C1277=C1275,0,IF(E1277=E1276,0,IF(C1277=$R$2,HLOOKUP($R$2,Ingreso!$AW$10:$BC$260,VLOOKUP(A1277,Ingreso!AL:AM,2,FALSE),FALSE)/24,""))),""))</f>
        <v/>
      </c>
      <c r="N1277" s="95" t="str">
        <f>IF(IFERROR(IF(C1277=C1275,0,IF(E1277=E1276,0,IF(C1277=$R$3,HLOOKUP($R$3,Ingreso!$AW$10:$BC$260,VLOOKUP(A1277,Ingreso!AL:AM,2,FALSE),FALSE)/24,""))),"")=0,"",IFERROR(IF(C1277=C1275,0,IF(E1277=E1276,0,IF(C1277=$R$3,HLOOKUP($R$3,Ingreso!$AW$10:$BC$260,VLOOKUP(A1277,Ingreso!AL:AM,2,FALSE),FALSE)/24,""))),""))</f>
        <v/>
      </c>
      <c r="O1277" s="95" t="str">
        <f>IF(IFERROR(IF(C1277=C1275,0,IF(E1277=E1276,0,IF(C1277=$R$4,HLOOKUP($R$4,Ingreso!$AW$10:$BC$260,VLOOKUP(A1277,Ingreso!AL:AM,2,FALSE),FALSE)/24,""))),"")=0,"",IFERROR(IF(C1277=C1275,0,IF(E1277=E1276,0,IF(C1277=$R$4,HLOOKUP($R$4,Ingreso!$AW$10:$BC$260,VLOOKUP(A1277,Ingreso!AL:AM,2,FALSE),FALSE)/24,""))),""))</f>
        <v/>
      </c>
      <c r="P1277" s="90"/>
      <c r="V1277"/>
      <c r="W1277" s="62"/>
      <c r="X1277" s="62"/>
      <c r="Y1277" s="62"/>
      <c r="Z1277" s="62"/>
      <c r="AA1277" s="62"/>
      <c r="AB1277" s="62"/>
      <c r="AC1277" s="62"/>
    </row>
    <row r="1278" spans="1:29">
      <c r="A1278" s="65" t="str">
        <f>IFERROR(VLOOKUP('Informe Kelly'!A1271,Base!A:B,2,FALSE),"")</f>
        <v/>
      </c>
      <c r="B1278" s="65" t="str">
        <f>IFERROR(VLOOKUP('Informe Kelly'!A1271,Base!A:G,7,FALSE),"")</f>
        <v/>
      </c>
      <c r="C1278" s="69">
        <f>IF(G1278=$C$4,IF('Informe Kelly'!H1271='Control informe Kelly'!$A$2,TEXT(((LEFT('Informe Kelly'!E1271,2)*1)+1),"dd")&amp;"."&amp;MID('Informe Kelly'!E1271,4,2)&amp;"."&amp;RIGHT('Informe Kelly'!E1271,4),'Informe Kelly'!E1271),'Informe Kelly'!E1271)</f>
        <v>0</v>
      </c>
      <c r="D1278" s="69" t="str">
        <f>IF('Informe Kelly'!E1271="","",'Informe Kelly'!E1271)</f>
        <v/>
      </c>
      <c r="E1278" s="72">
        <f t="shared" si="39"/>
        <v>581</v>
      </c>
      <c r="F1278" s="72" t="str">
        <f>IFERROR(HLOOKUP(C1278,Ingreso!$Q$8:$AD$9,2,FALSE),"v")</f>
        <v>v</v>
      </c>
      <c r="G1278" s="65" t="str">
        <f>IFERROR(VLOOKUP(A1278,Ingreso!K:P,6,FALSE),"no esta ingresado")</f>
        <v>no esta ingresado</v>
      </c>
      <c r="H1278" s="65" t="str">
        <f>IFERROR(IF('Informe Kelly'!H1271=$A$2,'Informe Kelly'!F1271,""),0)</f>
        <v/>
      </c>
      <c r="I1278" s="65" t="str">
        <f>IFERROR(IF('Informe Kelly'!H1271=$A$3,'Informe Kelly'!F1271,""),0)</f>
        <v/>
      </c>
      <c r="J1278" s="65" t="str">
        <f>IF(IFERROR(IF(E1278=E1277,0,(HLOOKUP(D1278,Ingreso!$AN$10:$AT$260,VLOOKUP(A1278,Ingreso!$AL$11:$AM$260,2,FALSE)))/24),0)=0,"",IFERROR(IF(E1278=E1277,0,(HLOOKUP(D1278,Ingreso!$AN$10:$AT$260,VLOOKUP(A1278,Ingreso!$AL$11:$AM$260,2,FALSE)))/24),0))</f>
        <v/>
      </c>
      <c r="K1278" s="65" t="str">
        <f>IF(IFERROR(IF(E1278=E1277,0,(HLOOKUP(C1278,Ingreso!$AW$10:$BC$260,VLOOKUP(A1278,Ingreso!$AL$11:$AM$260,2,FALSE)))/24),0)=0,"",IFERROR(IF(E1278=E1277,0,(HLOOKUP(C1278,Ingreso!$AW$10:$BC$260,VLOOKUP(A1278,Ingreso!$AL$11:$AM$260,2,FALSE)))/24),0))</f>
        <v/>
      </c>
      <c r="L1278" s="63">
        <f t="shared" si="38"/>
        <v>0</v>
      </c>
      <c r="M1278" s="63" t="str">
        <f>IF(IFERROR(IF(C1278=C1276,0,IF(E1278=E1277,0,IF(C1278=$R$2,HLOOKUP($R$2,Ingreso!$AW$10:$BC$260,VLOOKUP(A1278,Ingreso!AL:AM,2,FALSE),FALSE)/24,""))),"")=0,"",IFERROR(IF(C1278=C1276,0,IF(E1278=E1277,0,IF(C1278=$R$2,HLOOKUP($R$2,Ingreso!$AW$10:$BC$260,VLOOKUP(A1278,Ingreso!AL:AM,2,FALSE),FALSE)/24,""))),""))</f>
        <v/>
      </c>
      <c r="N1278" s="95" t="str">
        <f>IF(IFERROR(IF(C1278=C1276,0,IF(E1278=E1277,0,IF(C1278=$R$3,HLOOKUP($R$3,Ingreso!$AW$10:$BC$260,VLOOKUP(A1278,Ingreso!AL:AM,2,FALSE),FALSE)/24,""))),"")=0,"",IFERROR(IF(C1278=C1276,0,IF(E1278=E1277,0,IF(C1278=$R$3,HLOOKUP($R$3,Ingreso!$AW$10:$BC$260,VLOOKUP(A1278,Ingreso!AL:AM,2,FALSE),FALSE)/24,""))),""))</f>
        <v/>
      </c>
      <c r="O1278" s="95" t="str">
        <f>IF(IFERROR(IF(C1278=C1276,0,IF(E1278=E1277,0,IF(C1278=$R$4,HLOOKUP($R$4,Ingreso!$AW$10:$BC$260,VLOOKUP(A1278,Ingreso!AL:AM,2,FALSE),FALSE)/24,""))),"")=0,"",IFERROR(IF(C1278=C1276,0,IF(E1278=E1277,0,IF(C1278=$R$4,HLOOKUP($R$4,Ingreso!$AW$10:$BC$260,VLOOKUP(A1278,Ingreso!AL:AM,2,FALSE),FALSE)/24,""))),""))</f>
        <v/>
      </c>
      <c r="P1278" s="90"/>
      <c r="V1278"/>
      <c r="W1278" s="62"/>
      <c r="X1278" s="62"/>
      <c r="Y1278" s="62"/>
      <c r="Z1278" s="62"/>
      <c r="AA1278" s="62"/>
      <c r="AB1278" s="62"/>
      <c r="AC1278" s="62"/>
    </row>
    <row r="1279" spans="1:29">
      <c r="A1279" s="65" t="str">
        <f>IFERROR(VLOOKUP('Informe Kelly'!A1272,Base!A:B,2,FALSE),"")</f>
        <v/>
      </c>
      <c r="B1279" s="65" t="str">
        <f>IFERROR(VLOOKUP('Informe Kelly'!A1272,Base!A:G,7,FALSE),"")</f>
        <v/>
      </c>
      <c r="C1279" s="69">
        <f>IF(G1279=$C$4,IF('Informe Kelly'!H1272='Control informe Kelly'!$A$2,TEXT(((LEFT('Informe Kelly'!E1272,2)*1)+1),"dd")&amp;"."&amp;MID('Informe Kelly'!E1272,4,2)&amp;"."&amp;RIGHT('Informe Kelly'!E1272,4),'Informe Kelly'!E1272),'Informe Kelly'!E1272)</f>
        <v>0</v>
      </c>
      <c r="D1279" s="69" t="str">
        <f>IF('Informe Kelly'!E1272="","",'Informe Kelly'!E1272)</f>
        <v/>
      </c>
      <c r="E1279" s="72">
        <f t="shared" si="39"/>
        <v>581</v>
      </c>
      <c r="F1279" s="72" t="str">
        <f>IFERROR(HLOOKUP(C1279,Ingreso!$Q$8:$AD$9,2,FALSE),"v")</f>
        <v>v</v>
      </c>
      <c r="G1279" s="65" t="str">
        <f>IFERROR(VLOOKUP(A1279,Ingreso!K:P,6,FALSE),"no esta ingresado")</f>
        <v>no esta ingresado</v>
      </c>
      <c r="H1279" s="65" t="str">
        <f>IFERROR(IF('Informe Kelly'!H1272=$A$2,'Informe Kelly'!F1272,""),0)</f>
        <v/>
      </c>
      <c r="I1279" s="65" t="str">
        <f>IFERROR(IF('Informe Kelly'!H1272=$A$3,'Informe Kelly'!F1272,""),0)</f>
        <v/>
      </c>
      <c r="J1279" s="65" t="str">
        <f>IF(IFERROR(IF(E1279=E1278,0,(HLOOKUP(D1279,Ingreso!$AN$10:$AT$260,VLOOKUP(A1279,Ingreso!$AL$11:$AM$260,2,FALSE)))/24),0)=0,"",IFERROR(IF(E1279=E1278,0,(HLOOKUP(D1279,Ingreso!$AN$10:$AT$260,VLOOKUP(A1279,Ingreso!$AL$11:$AM$260,2,FALSE)))/24),0))</f>
        <v/>
      </c>
      <c r="K1279" s="65" t="str">
        <f>IF(IFERROR(IF(E1279=E1278,0,(HLOOKUP(C1279,Ingreso!$AW$10:$BC$260,VLOOKUP(A1279,Ingreso!$AL$11:$AM$260,2,FALSE)))/24),0)=0,"",IFERROR(IF(E1279=E1278,0,(HLOOKUP(C1279,Ingreso!$AW$10:$BC$260,VLOOKUP(A1279,Ingreso!$AL$11:$AM$260,2,FALSE)))/24),0))</f>
        <v/>
      </c>
      <c r="L1279" s="63">
        <f t="shared" si="38"/>
        <v>0</v>
      </c>
      <c r="M1279" s="63" t="str">
        <f>IF(IFERROR(IF(C1279=C1277,0,IF(E1279=E1278,0,IF(C1279=$R$2,HLOOKUP($R$2,Ingreso!$AW$10:$BC$260,VLOOKUP(A1279,Ingreso!AL:AM,2,FALSE),FALSE)/24,""))),"")=0,"",IFERROR(IF(C1279=C1277,0,IF(E1279=E1278,0,IF(C1279=$R$2,HLOOKUP($R$2,Ingreso!$AW$10:$BC$260,VLOOKUP(A1279,Ingreso!AL:AM,2,FALSE),FALSE)/24,""))),""))</f>
        <v/>
      </c>
      <c r="N1279" s="95" t="str">
        <f>IF(IFERROR(IF(C1279=C1277,0,IF(E1279=E1278,0,IF(C1279=$R$3,HLOOKUP($R$3,Ingreso!$AW$10:$BC$260,VLOOKUP(A1279,Ingreso!AL:AM,2,FALSE),FALSE)/24,""))),"")=0,"",IFERROR(IF(C1279=C1277,0,IF(E1279=E1278,0,IF(C1279=$R$3,HLOOKUP($R$3,Ingreso!$AW$10:$BC$260,VLOOKUP(A1279,Ingreso!AL:AM,2,FALSE),FALSE)/24,""))),""))</f>
        <v/>
      </c>
      <c r="O1279" s="95" t="str">
        <f>IF(IFERROR(IF(C1279=C1277,0,IF(E1279=E1278,0,IF(C1279=$R$4,HLOOKUP($R$4,Ingreso!$AW$10:$BC$260,VLOOKUP(A1279,Ingreso!AL:AM,2,FALSE),FALSE)/24,""))),"")=0,"",IFERROR(IF(C1279=C1277,0,IF(E1279=E1278,0,IF(C1279=$R$4,HLOOKUP($R$4,Ingreso!$AW$10:$BC$260,VLOOKUP(A1279,Ingreso!AL:AM,2,FALSE),FALSE)/24,""))),""))</f>
        <v/>
      </c>
      <c r="P1279" s="90"/>
      <c r="V1279"/>
      <c r="W1279" s="62"/>
      <c r="X1279" s="62"/>
      <c r="Y1279" s="62"/>
      <c r="Z1279" s="62"/>
      <c r="AA1279" s="62"/>
      <c r="AB1279" s="62"/>
      <c r="AC1279" s="62"/>
    </row>
    <row r="1280" spans="1:29">
      <c r="A1280" s="65" t="str">
        <f>IFERROR(VLOOKUP('Informe Kelly'!A1273,Base!A:B,2,FALSE),"")</f>
        <v/>
      </c>
      <c r="B1280" s="65" t="str">
        <f>IFERROR(VLOOKUP('Informe Kelly'!A1273,Base!A:G,7,FALSE),"")</f>
        <v/>
      </c>
      <c r="C1280" s="69">
        <f>IF(G1280=$C$4,IF('Informe Kelly'!H1273='Control informe Kelly'!$A$2,TEXT(((LEFT('Informe Kelly'!E1273,2)*1)+1),"dd")&amp;"."&amp;MID('Informe Kelly'!E1273,4,2)&amp;"."&amp;RIGHT('Informe Kelly'!E1273,4),'Informe Kelly'!E1273),'Informe Kelly'!E1273)</f>
        <v>0</v>
      </c>
      <c r="D1280" s="69" t="str">
        <f>IF('Informe Kelly'!E1273="","",'Informe Kelly'!E1273)</f>
        <v/>
      </c>
      <c r="E1280" s="72">
        <f t="shared" si="39"/>
        <v>581</v>
      </c>
      <c r="F1280" s="72" t="str">
        <f>IFERROR(HLOOKUP(C1280,Ingreso!$Q$8:$AD$9,2,FALSE),"v")</f>
        <v>v</v>
      </c>
      <c r="G1280" s="65" t="str">
        <f>IFERROR(VLOOKUP(A1280,Ingreso!K:P,6,FALSE),"no esta ingresado")</f>
        <v>no esta ingresado</v>
      </c>
      <c r="H1280" s="65" t="str">
        <f>IFERROR(IF('Informe Kelly'!H1273=$A$2,'Informe Kelly'!F1273,""),0)</f>
        <v/>
      </c>
      <c r="I1280" s="65" t="str">
        <f>IFERROR(IF('Informe Kelly'!H1273=$A$3,'Informe Kelly'!F1273,""),0)</f>
        <v/>
      </c>
      <c r="J1280" s="65" t="str">
        <f>IF(IFERROR(IF(E1280=E1279,0,(HLOOKUP(D1280,Ingreso!$AN$10:$AT$260,VLOOKUP(A1280,Ingreso!$AL$11:$AM$260,2,FALSE)))/24),0)=0,"",IFERROR(IF(E1280=E1279,0,(HLOOKUP(D1280,Ingreso!$AN$10:$AT$260,VLOOKUP(A1280,Ingreso!$AL$11:$AM$260,2,FALSE)))/24),0))</f>
        <v/>
      </c>
      <c r="K1280" s="65" t="str">
        <f>IF(IFERROR(IF(E1280=E1279,0,(HLOOKUP(C1280,Ingreso!$AW$10:$BC$260,VLOOKUP(A1280,Ingreso!$AL$11:$AM$260,2,FALSE)))/24),0)=0,"",IFERROR(IF(E1280=E1279,0,(HLOOKUP(C1280,Ingreso!$AW$10:$BC$260,VLOOKUP(A1280,Ingreso!$AL$11:$AM$260,2,FALSE)))/24),0))</f>
        <v/>
      </c>
      <c r="L1280" s="63">
        <f t="shared" si="38"/>
        <v>0</v>
      </c>
      <c r="M1280" s="63" t="str">
        <f>IF(IFERROR(IF(C1280=C1278,0,IF(E1280=E1279,0,IF(C1280=$R$2,HLOOKUP($R$2,Ingreso!$AW$10:$BC$260,VLOOKUP(A1280,Ingreso!AL:AM,2,FALSE),FALSE)/24,""))),"")=0,"",IFERROR(IF(C1280=C1278,0,IF(E1280=E1279,0,IF(C1280=$R$2,HLOOKUP($R$2,Ingreso!$AW$10:$BC$260,VLOOKUP(A1280,Ingreso!AL:AM,2,FALSE),FALSE)/24,""))),""))</f>
        <v/>
      </c>
      <c r="N1280" s="95" t="str">
        <f>IF(IFERROR(IF(C1280=C1278,0,IF(E1280=E1279,0,IF(C1280=$R$3,HLOOKUP($R$3,Ingreso!$AW$10:$BC$260,VLOOKUP(A1280,Ingreso!AL:AM,2,FALSE),FALSE)/24,""))),"")=0,"",IFERROR(IF(C1280=C1278,0,IF(E1280=E1279,0,IF(C1280=$R$3,HLOOKUP($R$3,Ingreso!$AW$10:$BC$260,VLOOKUP(A1280,Ingreso!AL:AM,2,FALSE),FALSE)/24,""))),""))</f>
        <v/>
      </c>
      <c r="O1280" s="95" t="str">
        <f>IF(IFERROR(IF(C1280=C1278,0,IF(E1280=E1279,0,IF(C1280=$R$4,HLOOKUP($R$4,Ingreso!$AW$10:$BC$260,VLOOKUP(A1280,Ingreso!AL:AM,2,FALSE),FALSE)/24,""))),"")=0,"",IFERROR(IF(C1280=C1278,0,IF(E1280=E1279,0,IF(C1280=$R$4,HLOOKUP($R$4,Ingreso!$AW$10:$BC$260,VLOOKUP(A1280,Ingreso!AL:AM,2,FALSE),FALSE)/24,""))),""))</f>
        <v/>
      </c>
      <c r="P1280" s="90"/>
      <c r="V1280"/>
      <c r="W1280" s="62"/>
      <c r="X1280" s="62"/>
      <c r="Y1280" s="62"/>
      <c r="Z1280" s="62"/>
      <c r="AA1280" s="62"/>
      <c r="AB1280" s="62"/>
      <c r="AC1280" s="62"/>
    </row>
    <row r="1281" spans="1:29">
      <c r="A1281" s="65" t="str">
        <f>IFERROR(VLOOKUP('Informe Kelly'!A1274,Base!A:B,2,FALSE),"")</f>
        <v/>
      </c>
      <c r="B1281" s="65" t="str">
        <f>IFERROR(VLOOKUP('Informe Kelly'!A1274,Base!A:G,7,FALSE),"")</f>
        <v/>
      </c>
      <c r="C1281" s="69">
        <f>IF(G1281=$C$4,IF('Informe Kelly'!H1274='Control informe Kelly'!$A$2,TEXT(((LEFT('Informe Kelly'!E1274,2)*1)+1),"dd")&amp;"."&amp;MID('Informe Kelly'!E1274,4,2)&amp;"."&amp;RIGHT('Informe Kelly'!E1274,4),'Informe Kelly'!E1274),'Informe Kelly'!E1274)</f>
        <v>0</v>
      </c>
      <c r="D1281" s="69" t="str">
        <f>IF('Informe Kelly'!E1274="","",'Informe Kelly'!E1274)</f>
        <v/>
      </c>
      <c r="E1281" s="72">
        <f t="shared" si="39"/>
        <v>581</v>
      </c>
      <c r="F1281" s="72" t="str">
        <f>IFERROR(HLOOKUP(C1281,Ingreso!$Q$8:$AD$9,2,FALSE),"v")</f>
        <v>v</v>
      </c>
      <c r="G1281" s="65" t="str">
        <f>IFERROR(VLOOKUP(A1281,Ingreso!K:P,6,FALSE),"no esta ingresado")</f>
        <v>no esta ingresado</v>
      </c>
      <c r="H1281" s="65" t="str">
        <f>IFERROR(IF('Informe Kelly'!H1274=$A$2,'Informe Kelly'!F1274,""),0)</f>
        <v/>
      </c>
      <c r="I1281" s="65" t="str">
        <f>IFERROR(IF('Informe Kelly'!H1274=$A$3,'Informe Kelly'!F1274,""),0)</f>
        <v/>
      </c>
      <c r="J1281" s="65" t="str">
        <f>IF(IFERROR(IF(E1281=E1280,0,(HLOOKUP(D1281,Ingreso!$AN$10:$AT$260,VLOOKUP(A1281,Ingreso!$AL$11:$AM$260,2,FALSE)))/24),0)=0,"",IFERROR(IF(E1281=E1280,0,(HLOOKUP(D1281,Ingreso!$AN$10:$AT$260,VLOOKUP(A1281,Ingreso!$AL$11:$AM$260,2,FALSE)))/24),0))</f>
        <v/>
      </c>
      <c r="K1281" s="65" t="str">
        <f>IF(IFERROR(IF(E1281=E1280,0,(HLOOKUP(C1281,Ingreso!$AW$10:$BC$260,VLOOKUP(A1281,Ingreso!$AL$11:$AM$260,2,FALSE)))/24),0)=0,"",IFERROR(IF(E1281=E1280,0,(HLOOKUP(C1281,Ingreso!$AW$10:$BC$260,VLOOKUP(A1281,Ingreso!$AL$11:$AM$260,2,FALSE)))/24),0))</f>
        <v/>
      </c>
      <c r="L1281" s="63">
        <f t="shared" si="38"/>
        <v>0</v>
      </c>
      <c r="M1281" s="63" t="str">
        <f>IF(IFERROR(IF(C1281=C1279,0,IF(E1281=E1280,0,IF(C1281=$R$2,HLOOKUP($R$2,Ingreso!$AW$10:$BC$260,VLOOKUP(A1281,Ingreso!AL:AM,2,FALSE),FALSE)/24,""))),"")=0,"",IFERROR(IF(C1281=C1279,0,IF(E1281=E1280,0,IF(C1281=$R$2,HLOOKUP($R$2,Ingreso!$AW$10:$BC$260,VLOOKUP(A1281,Ingreso!AL:AM,2,FALSE),FALSE)/24,""))),""))</f>
        <v/>
      </c>
      <c r="N1281" s="95" t="str">
        <f>IF(IFERROR(IF(C1281=C1279,0,IF(E1281=E1280,0,IF(C1281=$R$3,HLOOKUP($R$3,Ingreso!$AW$10:$BC$260,VLOOKUP(A1281,Ingreso!AL:AM,2,FALSE),FALSE)/24,""))),"")=0,"",IFERROR(IF(C1281=C1279,0,IF(E1281=E1280,0,IF(C1281=$R$3,HLOOKUP($R$3,Ingreso!$AW$10:$BC$260,VLOOKUP(A1281,Ingreso!AL:AM,2,FALSE),FALSE)/24,""))),""))</f>
        <v/>
      </c>
      <c r="O1281" s="95" t="str">
        <f>IF(IFERROR(IF(C1281=C1279,0,IF(E1281=E1280,0,IF(C1281=$R$4,HLOOKUP($R$4,Ingreso!$AW$10:$BC$260,VLOOKUP(A1281,Ingreso!AL:AM,2,FALSE),FALSE)/24,""))),"")=0,"",IFERROR(IF(C1281=C1279,0,IF(E1281=E1280,0,IF(C1281=$R$4,HLOOKUP($R$4,Ingreso!$AW$10:$BC$260,VLOOKUP(A1281,Ingreso!AL:AM,2,FALSE),FALSE)/24,""))),""))</f>
        <v/>
      </c>
      <c r="P1281" s="90"/>
      <c r="V1281"/>
      <c r="W1281" s="62"/>
      <c r="X1281" s="62"/>
      <c r="Y1281" s="62"/>
      <c r="Z1281" s="62"/>
      <c r="AA1281" s="62"/>
      <c r="AB1281" s="62"/>
      <c r="AC1281" s="62"/>
    </row>
    <row r="1282" spans="1:29">
      <c r="A1282" s="65" t="str">
        <f>IFERROR(VLOOKUP('Informe Kelly'!A1275,Base!A:B,2,FALSE),"")</f>
        <v/>
      </c>
      <c r="B1282" s="65" t="str">
        <f>IFERROR(VLOOKUP('Informe Kelly'!A1275,Base!A:G,7,FALSE),"")</f>
        <v/>
      </c>
      <c r="C1282" s="69">
        <f>IF(G1282=$C$4,IF('Informe Kelly'!H1275='Control informe Kelly'!$A$2,TEXT(((LEFT('Informe Kelly'!E1275,2)*1)+1),"dd")&amp;"."&amp;MID('Informe Kelly'!E1275,4,2)&amp;"."&amp;RIGHT('Informe Kelly'!E1275,4),'Informe Kelly'!E1275),'Informe Kelly'!E1275)</f>
        <v>0</v>
      </c>
      <c r="D1282" s="69" t="str">
        <f>IF('Informe Kelly'!E1275="","",'Informe Kelly'!E1275)</f>
        <v/>
      </c>
      <c r="E1282" s="72">
        <f t="shared" si="39"/>
        <v>581</v>
      </c>
      <c r="F1282" s="72" t="str">
        <f>IFERROR(HLOOKUP(C1282,Ingreso!$Q$8:$AD$9,2,FALSE),"v")</f>
        <v>v</v>
      </c>
      <c r="G1282" s="65" t="str">
        <f>IFERROR(VLOOKUP(A1282,Ingreso!K:P,6,FALSE),"no esta ingresado")</f>
        <v>no esta ingresado</v>
      </c>
      <c r="H1282" s="65" t="str">
        <f>IFERROR(IF('Informe Kelly'!H1275=$A$2,'Informe Kelly'!F1275,""),0)</f>
        <v/>
      </c>
      <c r="I1282" s="65" t="str">
        <f>IFERROR(IF('Informe Kelly'!H1275=$A$3,'Informe Kelly'!F1275,""),0)</f>
        <v/>
      </c>
      <c r="J1282" s="65" t="str">
        <f>IF(IFERROR(IF(E1282=E1281,0,(HLOOKUP(D1282,Ingreso!$AN$10:$AT$260,VLOOKUP(A1282,Ingreso!$AL$11:$AM$260,2,FALSE)))/24),0)=0,"",IFERROR(IF(E1282=E1281,0,(HLOOKUP(D1282,Ingreso!$AN$10:$AT$260,VLOOKUP(A1282,Ingreso!$AL$11:$AM$260,2,FALSE)))/24),0))</f>
        <v/>
      </c>
      <c r="K1282" s="65" t="str">
        <f>IF(IFERROR(IF(E1282=E1281,0,(HLOOKUP(C1282,Ingreso!$AW$10:$BC$260,VLOOKUP(A1282,Ingreso!$AL$11:$AM$260,2,FALSE)))/24),0)=0,"",IFERROR(IF(E1282=E1281,0,(HLOOKUP(C1282,Ingreso!$AW$10:$BC$260,VLOOKUP(A1282,Ingreso!$AL$11:$AM$260,2,FALSE)))/24),0))</f>
        <v/>
      </c>
      <c r="L1282" s="63">
        <f t="shared" si="38"/>
        <v>0</v>
      </c>
      <c r="M1282" s="63" t="str">
        <f>IF(IFERROR(IF(C1282=C1280,0,IF(E1282=E1281,0,IF(C1282=$R$2,HLOOKUP($R$2,Ingreso!$AW$10:$BC$260,VLOOKUP(A1282,Ingreso!AL:AM,2,FALSE),FALSE)/24,""))),"")=0,"",IFERROR(IF(C1282=C1280,0,IF(E1282=E1281,0,IF(C1282=$R$2,HLOOKUP($R$2,Ingreso!$AW$10:$BC$260,VLOOKUP(A1282,Ingreso!AL:AM,2,FALSE),FALSE)/24,""))),""))</f>
        <v/>
      </c>
      <c r="N1282" s="95" t="str">
        <f>IF(IFERROR(IF(C1282=C1280,0,IF(E1282=E1281,0,IF(C1282=$R$3,HLOOKUP($R$3,Ingreso!$AW$10:$BC$260,VLOOKUP(A1282,Ingreso!AL:AM,2,FALSE),FALSE)/24,""))),"")=0,"",IFERROR(IF(C1282=C1280,0,IF(E1282=E1281,0,IF(C1282=$R$3,HLOOKUP($R$3,Ingreso!$AW$10:$BC$260,VLOOKUP(A1282,Ingreso!AL:AM,2,FALSE),FALSE)/24,""))),""))</f>
        <v/>
      </c>
      <c r="O1282" s="95" t="str">
        <f>IF(IFERROR(IF(C1282=C1280,0,IF(E1282=E1281,0,IF(C1282=$R$4,HLOOKUP($R$4,Ingreso!$AW$10:$BC$260,VLOOKUP(A1282,Ingreso!AL:AM,2,FALSE),FALSE)/24,""))),"")=0,"",IFERROR(IF(C1282=C1280,0,IF(E1282=E1281,0,IF(C1282=$R$4,HLOOKUP($R$4,Ingreso!$AW$10:$BC$260,VLOOKUP(A1282,Ingreso!AL:AM,2,FALSE),FALSE)/24,""))),""))</f>
        <v/>
      </c>
      <c r="P1282" s="90"/>
      <c r="V1282"/>
      <c r="W1282" s="62"/>
      <c r="X1282" s="62"/>
      <c r="Y1282" s="62"/>
      <c r="Z1282" s="62"/>
      <c r="AA1282" s="62"/>
      <c r="AB1282" s="62"/>
      <c r="AC1282" s="62"/>
    </row>
    <row r="1283" spans="1:29">
      <c r="A1283" s="65" t="str">
        <f>IFERROR(VLOOKUP('Informe Kelly'!A1276,Base!A:B,2,FALSE),"")</f>
        <v/>
      </c>
      <c r="B1283" s="65" t="str">
        <f>IFERROR(VLOOKUP('Informe Kelly'!A1276,Base!A:G,7,FALSE),"")</f>
        <v/>
      </c>
      <c r="C1283" s="69">
        <f>IF(G1283=$C$4,IF('Informe Kelly'!H1276='Control informe Kelly'!$A$2,TEXT(((LEFT('Informe Kelly'!E1276,2)*1)+1),"dd")&amp;"."&amp;MID('Informe Kelly'!E1276,4,2)&amp;"."&amp;RIGHT('Informe Kelly'!E1276,4),'Informe Kelly'!E1276),'Informe Kelly'!E1276)</f>
        <v>0</v>
      </c>
      <c r="D1283" s="69" t="str">
        <f>IF('Informe Kelly'!E1276="","",'Informe Kelly'!E1276)</f>
        <v/>
      </c>
      <c r="E1283" s="72">
        <f t="shared" si="39"/>
        <v>581</v>
      </c>
      <c r="F1283" s="72" t="str">
        <f>IFERROR(HLOOKUP(C1283,Ingreso!$Q$8:$AD$9,2,FALSE),"v")</f>
        <v>v</v>
      </c>
      <c r="G1283" s="65" t="str">
        <f>IFERROR(VLOOKUP(A1283,Ingreso!K:P,6,FALSE),"no esta ingresado")</f>
        <v>no esta ingresado</v>
      </c>
      <c r="H1283" s="65" t="str">
        <f>IFERROR(IF('Informe Kelly'!H1276=$A$2,'Informe Kelly'!F1276,""),0)</f>
        <v/>
      </c>
      <c r="I1283" s="65" t="str">
        <f>IFERROR(IF('Informe Kelly'!H1276=$A$3,'Informe Kelly'!F1276,""),0)</f>
        <v/>
      </c>
      <c r="J1283" s="65" t="str">
        <f>IF(IFERROR(IF(E1283=E1282,0,(HLOOKUP(D1283,Ingreso!$AN$10:$AT$260,VLOOKUP(A1283,Ingreso!$AL$11:$AM$260,2,FALSE)))/24),0)=0,"",IFERROR(IF(E1283=E1282,0,(HLOOKUP(D1283,Ingreso!$AN$10:$AT$260,VLOOKUP(A1283,Ingreso!$AL$11:$AM$260,2,FALSE)))/24),0))</f>
        <v/>
      </c>
      <c r="K1283" s="65" t="str">
        <f>IF(IFERROR(IF(E1283=E1282,0,(HLOOKUP(C1283,Ingreso!$AW$10:$BC$260,VLOOKUP(A1283,Ingreso!$AL$11:$AM$260,2,FALSE)))/24),0)=0,"",IFERROR(IF(E1283=E1282,0,(HLOOKUP(C1283,Ingreso!$AW$10:$BC$260,VLOOKUP(A1283,Ingreso!$AL$11:$AM$260,2,FALSE)))/24),0))</f>
        <v/>
      </c>
      <c r="L1283" s="63">
        <f t="shared" si="38"/>
        <v>0</v>
      </c>
      <c r="M1283" s="63" t="str">
        <f>IF(IFERROR(IF(C1283=C1281,0,IF(E1283=E1282,0,IF(C1283=$R$2,HLOOKUP($R$2,Ingreso!$AW$10:$BC$260,VLOOKUP(A1283,Ingreso!AL:AM,2,FALSE),FALSE)/24,""))),"")=0,"",IFERROR(IF(C1283=C1281,0,IF(E1283=E1282,0,IF(C1283=$R$2,HLOOKUP($R$2,Ingreso!$AW$10:$BC$260,VLOOKUP(A1283,Ingreso!AL:AM,2,FALSE),FALSE)/24,""))),""))</f>
        <v/>
      </c>
      <c r="N1283" s="95" t="str">
        <f>IF(IFERROR(IF(C1283=C1281,0,IF(E1283=E1282,0,IF(C1283=$R$3,HLOOKUP($R$3,Ingreso!$AW$10:$BC$260,VLOOKUP(A1283,Ingreso!AL:AM,2,FALSE),FALSE)/24,""))),"")=0,"",IFERROR(IF(C1283=C1281,0,IF(E1283=E1282,0,IF(C1283=$R$3,HLOOKUP($R$3,Ingreso!$AW$10:$BC$260,VLOOKUP(A1283,Ingreso!AL:AM,2,FALSE),FALSE)/24,""))),""))</f>
        <v/>
      </c>
      <c r="O1283" s="95" t="str">
        <f>IF(IFERROR(IF(C1283=C1281,0,IF(E1283=E1282,0,IF(C1283=$R$4,HLOOKUP($R$4,Ingreso!$AW$10:$BC$260,VLOOKUP(A1283,Ingreso!AL:AM,2,FALSE),FALSE)/24,""))),"")=0,"",IFERROR(IF(C1283=C1281,0,IF(E1283=E1282,0,IF(C1283=$R$4,HLOOKUP($R$4,Ingreso!$AW$10:$BC$260,VLOOKUP(A1283,Ingreso!AL:AM,2,FALSE),FALSE)/24,""))),""))</f>
        <v/>
      </c>
      <c r="P1283" s="90"/>
      <c r="V1283"/>
      <c r="W1283" s="62"/>
      <c r="X1283" s="62"/>
      <c r="Y1283" s="62"/>
      <c r="Z1283" s="62"/>
      <c r="AA1283" s="62"/>
      <c r="AB1283" s="62"/>
      <c r="AC1283" s="62"/>
    </row>
    <row r="1284" spans="1:29">
      <c r="A1284" s="65" t="str">
        <f>IFERROR(VLOOKUP('Informe Kelly'!A1277,Base!A:B,2,FALSE),"")</f>
        <v/>
      </c>
      <c r="B1284" s="65" t="str">
        <f>IFERROR(VLOOKUP('Informe Kelly'!A1277,Base!A:G,7,FALSE),"")</f>
        <v/>
      </c>
      <c r="C1284" s="69">
        <f>IF(G1284=$C$4,IF('Informe Kelly'!H1277='Control informe Kelly'!$A$2,TEXT(((LEFT('Informe Kelly'!E1277,2)*1)+1),"dd")&amp;"."&amp;MID('Informe Kelly'!E1277,4,2)&amp;"."&amp;RIGHT('Informe Kelly'!E1277,4),'Informe Kelly'!E1277),'Informe Kelly'!E1277)</f>
        <v>0</v>
      </c>
      <c r="D1284" s="69" t="str">
        <f>IF('Informe Kelly'!E1277="","",'Informe Kelly'!E1277)</f>
        <v/>
      </c>
      <c r="E1284" s="72">
        <f t="shared" si="39"/>
        <v>581</v>
      </c>
      <c r="F1284" s="72" t="str">
        <f>IFERROR(HLOOKUP(C1284,Ingreso!$Q$8:$AD$9,2,FALSE),"v")</f>
        <v>v</v>
      </c>
      <c r="G1284" s="65" t="str">
        <f>IFERROR(VLOOKUP(A1284,Ingreso!K:P,6,FALSE),"no esta ingresado")</f>
        <v>no esta ingresado</v>
      </c>
      <c r="H1284" s="65" t="str">
        <f>IFERROR(IF('Informe Kelly'!H1277=$A$2,'Informe Kelly'!F1277,""),0)</f>
        <v/>
      </c>
      <c r="I1284" s="65" t="str">
        <f>IFERROR(IF('Informe Kelly'!H1277=$A$3,'Informe Kelly'!F1277,""),0)</f>
        <v/>
      </c>
      <c r="J1284" s="65" t="str">
        <f>IF(IFERROR(IF(E1284=E1283,0,(HLOOKUP(D1284,Ingreso!$AN$10:$AT$260,VLOOKUP(A1284,Ingreso!$AL$11:$AM$260,2,FALSE)))/24),0)=0,"",IFERROR(IF(E1284=E1283,0,(HLOOKUP(D1284,Ingreso!$AN$10:$AT$260,VLOOKUP(A1284,Ingreso!$AL$11:$AM$260,2,FALSE)))/24),0))</f>
        <v/>
      </c>
      <c r="K1284" s="65" t="str">
        <f>IF(IFERROR(IF(E1284=E1283,0,(HLOOKUP(C1284,Ingreso!$AW$10:$BC$260,VLOOKUP(A1284,Ingreso!$AL$11:$AM$260,2,FALSE)))/24),0)=0,"",IFERROR(IF(E1284=E1283,0,(HLOOKUP(C1284,Ingreso!$AW$10:$BC$260,VLOOKUP(A1284,Ingreso!$AL$11:$AM$260,2,FALSE)))/24),0))</f>
        <v/>
      </c>
      <c r="L1284" s="63">
        <f t="shared" si="38"/>
        <v>0</v>
      </c>
      <c r="M1284" s="63" t="str">
        <f>IF(IFERROR(IF(C1284=C1282,0,IF(E1284=E1283,0,IF(C1284=$R$2,HLOOKUP($R$2,Ingreso!$AW$10:$BC$260,VLOOKUP(A1284,Ingreso!AL:AM,2,FALSE),FALSE)/24,""))),"")=0,"",IFERROR(IF(C1284=C1282,0,IF(E1284=E1283,0,IF(C1284=$R$2,HLOOKUP($R$2,Ingreso!$AW$10:$BC$260,VLOOKUP(A1284,Ingreso!AL:AM,2,FALSE),FALSE)/24,""))),""))</f>
        <v/>
      </c>
      <c r="N1284" s="95" t="str">
        <f>IF(IFERROR(IF(C1284=C1282,0,IF(E1284=E1283,0,IF(C1284=$R$3,HLOOKUP($R$3,Ingreso!$AW$10:$BC$260,VLOOKUP(A1284,Ingreso!AL:AM,2,FALSE),FALSE)/24,""))),"")=0,"",IFERROR(IF(C1284=C1282,0,IF(E1284=E1283,0,IF(C1284=$R$3,HLOOKUP($R$3,Ingreso!$AW$10:$BC$260,VLOOKUP(A1284,Ingreso!AL:AM,2,FALSE),FALSE)/24,""))),""))</f>
        <v/>
      </c>
      <c r="O1284" s="95" t="str">
        <f>IF(IFERROR(IF(C1284=C1282,0,IF(E1284=E1283,0,IF(C1284=$R$4,HLOOKUP($R$4,Ingreso!$AW$10:$BC$260,VLOOKUP(A1284,Ingreso!AL:AM,2,FALSE),FALSE)/24,""))),"")=0,"",IFERROR(IF(C1284=C1282,0,IF(E1284=E1283,0,IF(C1284=$R$4,HLOOKUP($R$4,Ingreso!$AW$10:$BC$260,VLOOKUP(A1284,Ingreso!AL:AM,2,FALSE),FALSE)/24,""))),""))</f>
        <v/>
      </c>
      <c r="P1284" s="90"/>
      <c r="V1284"/>
      <c r="W1284" s="62"/>
      <c r="X1284" s="62"/>
      <c r="Y1284" s="62"/>
      <c r="Z1284" s="62"/>
      <c r="AA1284" s="62"/>
      <c r="AB1284" s="62"/>
      <c r="AC1284" s="62"/>
    </row>
    <row r="1285" spans="1:29">
      <c r="A1285" s="65" t="str">
        <f>IFERROR(VLOOKUP('Informe Kelly'!A1278,Base!A:B,2,FALSE),"")</f>
        <v/>
      </c>
      <c r="B1285" s="65" t="str">
        <f>IFERROR(VLOOKUP('Informe Kelly'!A1278,Base!A:G,7,FALSE),"")</f>
        <v/>
      </c>
      <c r="C1285" s="69">
        <f>IF(G1285=$C$4,IF('Informe Kelly'!H1278='Control informe Kelly'!$A$2,TEXT(((LEFT('Informe Kelly'!E1278,2)*1)+1),"dd")&amp;"."&amp;MID('Informe Kelly'!E1278,4,2)&amp;"."&amp;RIGHT('Informe Kelly'!E1278,4),'Informe Kelly'!E1278),'Informe Kelly'!E1278)</f>
        <v>0</v>
      </c>
      <c r="D1285" s="69" t="str">
        <f>IF('Informe Kelly'!E1278="","",'Informe Kelly'!E1278)</f>
        <v/>
      </c>
      <c r="E1285" s="72">
        <f t="shared" si="39"/>
        <v>581</v>
      </c>
      <c r="F1285" s="72" t="str">
        <f>IFERROR(HLOOKUP(C1285,Ingreso!$Q$8:$AD$9,2,FALSE),"v")</f>
        <v>v</v>
      </c>
      <c r="G1285" s="65" t="str">
        <f>IFERROR(VLOOKUP(A1285,Ingreso!K:P,6,FALSE),"no esta ingresado")</f>
        <v>no esta ingresado</v>
      </c>
      <c r="H1285" s="65" t="str">
        <f>IFERROR(IF('Informe Kelly'!H1278=$A$2,'Informe Kelly'!F1278,""),0)</f>
        <v/>
      </c>
      <c r="I1285" s="65" t="str">
        <f>IFERROR(IF('Informe Kelly'!H1278=$A$3,'Informe Kelly'!F1278,""),0)</f>
        <v/>
      </c>
      <c r="J1285" s="65" t="str">
        <f>IF(IFERROR(IF(E1285=E1284,0,(HLOOKUP(D1285,Ingreso!$AN$10:$AT$260,VLOOKUP(A1285,Ingreso!$AL$11:$AM$260,2,FALSE)))/24),0)=0,"",IFERROR(IF(E1285=E1284,0,(HLOOKUP(D1285,Ingreso!$AN$10:$AT$260,VLOOKUP(A1285,Ingreso!$AL$11:$AM$260,2,FALSE)))/24),0))</f>
        <v/>
      </c>
      <c r="K1285" s="65" t="str">
        <f>IF(IFERROR(IF(E1285=E1284,0,(HLOOKUP(C1285,Ingreso!$AW$10:$BC$260,VLOOKUP(A1285,Ingreso!$AL$11:$AM$260,2,FALSE)))/24),0)=0,"",IFERROR(IF(E1285=E1284,0,(HLOOKUP(C1285,Ingreso!$AW$10:$BC$260,VLOOKUP(A1285,Ingreso!$AL$11:$AM$260,2,FALSE)))/24),0))</f>
        <v/>
      </c>
      <c r="L1285" s="63">
        <f t="shared" si="38"/>
        <v>0</v>
      </c>
      <c r="M1285" s="63" t="str">
        <f>IF(IFERROR(IF(C1285=C1283,0,IF(E1285=E1284,0,IF(C1285=$R$2,HLOOKUP($R$2,Ingreso!$AW$10:$BC$260,VLOOKUP(A1285,Ingreso!AL:AM,2,FALSE),FALSE)/24,""))),"")=0,"",IFERROR(IF(C1285=C1283,0,IF(E1285=E1284,0,IF(C1285=$R$2,HLOOKUP($R$2,Ingreso!$AW$10:$BC$260,VLOOKUP(A1285,Ingreso!AL:AM,2,FALSE),FALSE)/24,""))),""))</f>
        <v/>
      </c>
      <c r="N1285" s="95" t="str">
        <f>IF(IFERROR(IF(C1285=C1283,0,IF(E1285=E1284,0,IF(C1285=$R$3,HLOOKUP($R$3,Ingreso!$AW$10:$BC$260,VLOOKUP(A1285,Ingreso!AL:AM,2,FALSE),FALSE)/24,""))),"")=0,"",IFERROR(IF(C1285=C1283,0,IF(E1285=E1284,0,IF(C1285=$R$3,HLOOKUP($R$3,Ingreso!$AW$10:$BC$260,VLOOKUP(A1285,Ingreso!AL:AM,2,FALSE),FALSE)/24,""))),""))</f>
        <v/>
      </c>
      <c r="O1285" s="95" t="str">
        <f>IF(IFERROR(IF(C1285=C1283,0,IF(E1285=E1284,0,IF(C1285=$R$4,HLOOKUP($R$4,Ingreso!$AW$10:$BC$260,VLOOKUP(A1285,Ingreso!AL:AM,2,FALSE),FALSE)/24,""))),"")=0,"",IFERROR(IF(C1285=C1283,0,IF(E1285=E1284,0,IF(C1285=$R$4,HLOOKUP($R$4,Ingreso!$AW$10:$BC$260,VLOOKUP(A1285,Ingreso!AL:AM,2,FALSE),FALSE)/24,""))),""))</f>
        <v/>
      </c>
      <c r="P1285" s="90"/>
      <c r="V1285"/>
      <c r="W1285" s="62"/>
      <c r="X1285" s="62"/>
      <c r="Y1285" s="62"/>
      <c r="Z1285" s="62"/>
      <c r="AA1285" s="62"/>
      <c r="AB1285" s="62"/>
      <c r="AC1285" s="62"/>
    </row>
    <row r="1286" spans="1:29">
      <c r="A1286" s="65" t="str">
        <f>IFERROR(VLOOKUP('Informe Kelly'!A1279,Base!A:B,2,FALSE),"")</f>
        <v/>
      </c>
      <c r="B1286" s="65" t="str">
        <f>IFERROR(VLOOKUP('Informe Kelly'!A1279,Base!A:G,7,FALSE),"")</f>
        <v/>
      </c>
      <c r="C1286" s="69">
        <f>IF(G1286=$C$4,IF('Informe Kelly'!H1279='Control informe Kelly'!$A$2,TEXT(((LEFT('Informe Kelly'!E1279,2)*1)+1),"dd")&amp;"."&amp;MID('Informe Kelly'!E1279,4,2)&amp;"."&amp;RIGHT('Informe Kelly'!E1279,4),'Informe Kelly'!E1279),'Informe Kelly'!E1279)</f>
        <v>0</v>
      </c>
      <c r="D1286" s="69" t="str">
        <f>IF('Informe Kelly'!E1279="","",'Informe Kelly'!E1279)</f>
        <v/>
      </c>
      <c r="E1286" s="72">
        <f t="shared" si="39"/>
        <v>581</v>
      </c>
      <c r="F1286" s="72" t="str">
        <f>IFERROR(HLOOKUP(C1286,Ingreso!$Q$8:$AD$9,2,FALSE),"v")</f>
        <v>v</v>
      </c>
      <c r="G1286" s="65" t="str">
        <f>IFERROR(VLOOKUP(A1286,Ingreso!K:P,6,FALSE),"no esta ingresado")</f>
        <v>no esta ingresado</v>
      </c>
      <c r="H1286" s="65" t="str">
        <f>IFERROR(IF('Informe Kelly'!H1279=$A$2,'Informe Kelly'!F1279,""),0)</f>
        <v/>
      </c>
      <c r="I1286" s="65" t="str">
        <f>IFERROR(IF('Informe Kelly'!H1279=$A$3,'Informe Kelly'!F1279,""),0)</f>
        <v/>
      </c>
      <c r="J1286" s="65" t="str">
        <f>IF(IFERROR(IF(E1286=E1285,0,(HLOOKUP(D1286,Ingreso!$AN$10:$AT$260,VLOOKUP(A1286,Ingreso!$AL$11:$AM$260,2,FALSE)))/24),0)=0,"",IFERROR(IF(E1286=E1285,0,(HLOOKUP(D1286,Ingreso!$AN$10:$AT$260,VLOOKUP(A1286,Ingreso!$AL$11:$AM$260,2,FALSE)))/24),0))</f>
        <v/>
      </c>
      <c r="K1286" s="65" t="str">
        <f>IF(IFERROR(IF(E1286=E1285,0,(HLOOKUP(C1286,Ingreso!$AW$10:$BC$260,VLOOKUP(A1286,Ingreso!$AL$11:$AM$260,2,FALSE)))/24),0)=0,"",IFERROR(IF(E1286=E1285,0,(HLOOKUP(C1286,Ingreso!$AW$10:$BC$260,VLOOKUP(A1286,Ingreso!$AL$11:$AM$260,2,FALSE)))/24),0))</f>
        <v/>
      </c>
      <c r="L1286" s="63">
        <f t="shared" si="38"/>
        <v>0</v>
      </c>
      <c r="M1286" s="63" t="str">
        <f>IF(IFERROR(IF(C1286=C1284,0,IF(E1286=E1285,0,IF(C1286=$R$2,HLOOKUP($R$2,Ingreso!$AW$10:$BC$260,VLOOKUP(A1286,Ingreso!AL:AM,2,FALSE),FALSE)/24,""))),"")=0,"",IFERROR(IF(C1286=C1284,0,IF(E1286=E1285,0,IF(C1286=$R$2,HLOOKUP($R$2,Ingreso!$AW$10:$BC$260,VLOOKUP(A1286,Ingreso!AL:AM,2,FALSE),FALSE)/24,""))),""))</f>
        <v/>
      </c>
      <c r="N1286" s="95" t="str">
        <f>IF(IFERROR(IF(C1286=C1284,0,IF(E1286=E1285,0,IF(C1286=$R$3,HLOOKUP($R$3,Ingreso!$AW$10:$BC$260,VLOOKUP(A1286,Ingreso!AL:AM,2,FALSE),FALSE)/24,""))),"")=0,"",IFERROR(IF(C1286=C1284,0,IF(E1286=E1285,0,IF(C1286=$R$3,HLOOKUP($R$3,Ingreso!$AW$10:$BC$260,VLOOKUP(A1286,Ingreso!AL:AM,2,FALSE),FALSE)/24,""))),""))</f>
        <v/>
      </c>
      <c r="O1286" s="95" t="str">
        <f>IF(IFERROR(IF(C1286=C1284,0,IF(E1286=E1285,0,IF(C1286=$R$4,HLOOKUP($R$4,Ingreso!$AW$10:$BC$260,VLOOKUP(A1286,Ingreso!AL:AM,2,FALSE),FALSE)/24,""))),"")=0,"",IFERROR(IF(C1286=C1284,0,IF(E1286=E1285,0,IF(C1286=$R$4,HLOOKUP($R$4,Ingreso!$AW$10:$BC$260,VLOOKUP(A1286,Ingreso!AL:AM,2,FALSE),FALSE)/24,""))),""))</f>
        <v/>
      </c>
      <c r="P1286" s="90"/>
      <c r="V1286"/>
      <c r="W1286" s="62"/>
      <c r="X1286" s="62"/>
      <c r="Y1286" s="62"/>
      <c r="Z1286" s="62"/>
      <c r="AA1286" s="62"/>
      <c r="AB1286" s="62"/>
      <c r="AC1286" s="62"/>
    </row>
    <row r="1287" spans="1:29">
      <c r="A1287" s="65" t="str">
        <f>IFERROR(VLOOKUP('Informe Kelly'!A1280,Base!A:B,2,FALSE),"")</f>
        <v/>
      </c>
      <c r="B1287" s="65" t="str">
        <f>IFERROR(VLOOKUP('Informe Kelly'!A1280,Base!A:G,7,FALSE),"")</f>
        <v/>
      </c>
      <c r="C1287" s="69">
        <f>IF(G1287=$C$4,IF('Informe Kelly'!H1280='Control informe Kelly'!$A$2,TEXT(((LEFT('Informe Kelly'!E1280,2)*1)+1),"dd")&amp;"."&amp;MID('Informe Kelly'!E1280,4,2)&amp;"."&amp;RIGHT('Informe Kelly'!E1280,4),'Informe Kelly'!E1280),'Informe Kelly'!E1280)</f>
        <v>0</v>
      </c>
      <c r="D1287" s="69" t="str">
        <f>IF('Informe Kelly'!E1280="","",'Informe Kelly'!E1280)</f>
        <v/>
      </c>
      <c r="E1287" s="72">
        <f t="shared" si="39"/>
        <v>581</v>
      </c>
      <c r="F1287" s="72" t="str">
        <f>IFERROR(HLOOKUP(C1287,Ingreso!$Q$8:$AD$9,2,FALSE),"v")</f>
        <v>v</v>
      </c>
      <c r="G1287" s="65" t="str">
        <f>IFERROR(VLOOKUP(A1287,Ingreso!K:P,6,FALSE),"no esta ingresado")</f>
        <v>no esta ingresado</v>
      </c>
      <c r="H1287" s="65" t="str">
        <f>IFERROR(IF('Informe Kelly'!H1280=$A$2,'Informe Kelly'!F1280,""),0)</f>
        <v/>
      </c>
      <c r="I1287" s="65" t="str">
        <f>IFERROR(IF('Informe Kelly'!H1280=$A$3,'Informe Kelly'!F1280,""),0)</f>
        <v/>
      </c>
      <c r="J1287" s="65" t="str">
        <f>IF(IFERROR(IF(E1287=E1286,0,(HLOOKUP(D1287,Ingreso!$AN$10:$AT$260,VLOOKUP(A1287,Ingreso!$AL$11:$AM$260,2,FALSE)))/24),0)=0,"",IFERROR(IF(E1287=E1286,0,(HLOOKUP(D1287,Ingreso!$AN$10:$AT$260,VLOOKUP(A1287,Ingreso!$AL$11:$AM$260,2,FALSE)))/24),0))</f>
        <v/>
      </c>
      <c r="K1287" s="65" t="str">
        <f>IF(IFERROR(IF(E1287=E1286,0,(HLOOKUP(C1287,Ingreso!$AW$10:$BC$260,VLOOKUP(A1287,Ingreso!$AL$11:$AM$260,2,FALSE)))/24),0)=0,"",IFERROR(IF(E1287=E1286,0,(HLOOKUP(C1287,Ingreso!$AW$10:$BC$260,VLOOKUP(A1287,Ingreso!$AL$11:$AM$260,2,FALSE)))/24),0))</f>
        <v/>
      </c>
      <c r="L1287" s="63">
        <f t="shared" si="38"/>
        <v>0</v>
      </c>
      <c r="M1287" s="63" t="str">
        <f>IF(IFERROR(IF(C1287=C1285,0,IF(E1287=E1286,0,IF(C1287=$R$2,HLOOKUP($R$2,Ingreso!$AW$10:$BC$260,VLOOKUP(A1287,Ingreso!AL:AM,2,FALSE),FALSE)/24,""))),"")=0,"",IFERROR(IF(C1287=C1285,0,IF(E1287=E1286,0,IF(C1287=$R$2,HLOOKUP($R$2,Ingreso!$AW$10:$BC$260,VLOOKUP(A1287,Ingreso!AL:AM,2,FALSE),FALSE)/24,""))),""))</f>
        <v/>
      </c>
      <c r="N1287" s="95" t="str">
        <f>IF(IFERROR(IF(C1287=C1285,0,IF(E1287=E1286,0,IF(C1287=$R$3,HLOOKUP($R$3,Ingreso!$AW$10:$BC$260,VLOOKUP(A1287,Ingreso!AL:AM,2,FALSE),FALSE)/24,""))),"")=0,"",IFERROR(IF(C1287=C1285,0,IF(E1287=E1286,0,IF(C1287=$R$3,HLOOKUP($R$3,Ingreso!$AW$10:$BC$260,VLOOKUP(A1287,Ingreso!AL:AM,2,FALSE),FALSE)/24,""))),""))</f>
        <v/>
      </c>
      <c r="O1287" s="95" t="str">
        <f>IF(IFERROR(IF(C1287=C1285,0,IF(E1287=E1286,0,IF(C1287=$R$4,HLOOKUP($R$4,Ingreso!$AW$10:$BC$260,VLOOKUP(A1287,Ingreso!AL:AM,2,FALSE),FALSE)/24,""))),"")=0,"",IFERROR(IF(C1287=C1285,0,IF(E1287=E1286,0,IF(C1287=$R$4,HLOOKUP($R$4,Ingreso!$AW$10:$BC$260,VLOOKUP(A1287,Ingreso!AL:AM,2,FALSE),FALSE)/24,""))),""))</f>
        <v/>
      </c>
      <c r="P1287" s="90"/>
      <c r="V1287"/>
      <c r="W1287" s="62"/>
      <c r="X1287" s="62"/>
      <c r="Y1287" s="62"/>
      <c r="Z1287" s="62"/>
      <c r="AA1287" s="62"/>
      <c r="AB1287" s="62"/>
      <c r="AC1287" s="62"/>
    </row>
    <row r="1288" spans="1:29">
      <c r="A1288" s="65" t="str">
        <f>IFERROR(VLOOKUP('Informe Kelly'!A1281,Base!A:B,2,FALSE),"")</f>
        <v/>
      </c>
      <c r="B1288" s="65" t="str">
        <f>IFERROR(VLOOKUP('Informe Kelly'!A1281,Base!A:G,7,FALSE),"")</f>
        <v/>
      </c>
      <c r="C1288" s="69">
        <f>IF(G1288=$C$4,IF('Informe Kelly'!H1281='Control informe Kelly'!$A$2,TEXT(((LEFT('Informe Kelly'!E1281,2)*1)+1),"dd")&amp;"."&amp;MID('Informe Kelly'!E1281,4,2)&amp;"."&amp;RIGHT('Informe Kelly'!E1281,4),'Informe Kelly'!E1281),'Informe Kelly'!E1281)</f>
        <v>0</v>
      </c>
      <c r="D1288" s="69" t="str">
        <f>IF('Informe Kelly'!E1281="","",'Informe Kelly'!E1281)</f>
        <v/>
      </c>
      <c r="E1288" s="72">
        <f t="shared" si="39"/>
        <v>581</v>
      </c>
      <c r="F1288" s="72" t="str">
        <f>IFERROR(HLOOKUP(C1288,Ingreso!$Q$8:$AD$9,2,FALSE),"v")</f>
        <v>v</v>
      </c>
      <c r="G1288" s="65" t="str">
        <f>IFERROR(VLOOKUP(A1288,Ingreso!K:P,6,FALSE),"no esta ingresado")</f>
        <v>no esta ingresado</v>
      </c>
      <c r="H1288" s="65" t="str">
        <f>IFERROR(IF('Informe Kelly'!H1281=$A$2,'Informe Kelly'!F1281,""),0)</f>
        <v/>
      </c>
      <c r="I1288" s="65" t="str">
        <f>IFERROR(IF('Informe Kelly'!H1281=$A$3,'Informe Kelly'!F1281,""),0)</f>
        <v/>
      </c>
      <c r="J1288" s="65" t="str">
        <f>IF(IFERROR(IF(E1288=E1287,0,(HLOOKUP(D1288,Ingreso!$AN$10:$AT$260,VLOOKUP(A1288,Ingreso!$AL$11:$AM$260,2,FALSE)))/24),0)=0,"",IFERROR(IF(E1288=E1287,0,(HLOOKUP(D1288,Ingreso!$AN$10:$AT$260,VLOOKUP(A1288,Ingreso!$AL$11:$AM$260,2,FALSE)))/24),0))</f>
        <v/>
      </c>
      <c r="K1288" s="65" t="str">
        <f>IF(IFERROR(IF(E1288=E1287,0,(HLOOKUP(C1288,Ingreso!$AW$10:$BC$260,VLOOKUP(A1288,Ingreso!$AL$11:$AM$260,2,FALSE)))/24),0)=0,"",IFERROR(IF(E1288=E1287,0,(HLOOKUP(C1288,Ingreso!$AW$10:$BC$260,VLOOKUP(A1288,Ingreso!$AL$11:$AM$260,2,FALSE)))/24),0))</f>
        <v/>
      </c>
      <c r="L1288" s="63">
        <f t="shared" si="38"/>
        <v>0</v>
      </c>
      <c r="M1288" s="63" t="str">
        <f>IF(IFERROR(IF(C1288=C1286,0,IF(E1288=E1287,0,IF(C1288=$R$2,HLOOKUP($R$2,Ingreso!$AW$10:$BC$260,VLOOKUP(A1288,Ingreso!AL:AM,2,FALSE),FALSE)/24,""))),"")=0,"",IFERROR(IF(C1288=C1286,0,IF(E1288=E1287,0,IF(C1288=$R$2,HLOOKUP($R$2,Ingreso!$AW$10:$BC$260,VLOOKUP(A1288,Ingreso!AL:AM,2,FALSE),FALSE)/24,""))),""))</f>
        <v/>
      </c>
      <c r="N1288" s="95" t="str">
        <f>IF(IFERROR(IF(C1288=C1286,0,IF(E1288=E1287,0,IF(C1288=$R$3,HLOOKUP($R$3,Ingreso!$AW$10:$BC$260,VLOOKUP(A1288,Ingreso!AL:AM,2,FALSE),FALSE)/24,""))),"")=0,"",IFERROR(IF(C1288=C1286,0,IF(E1288=E1287,0,IF(C1288=$R$3,HLOOKUP($R$3,Ingreso!$AW$10:$BC$260,VLOOKUP(A1288,Ingreso!AL:AM,2,FALSE),FALSE)/24,""))),""))</f>
        <v/>
      </c>
      <c r="O1288" s="95" t="str">
        <f>IF(IFERROR(IF(C1288=C1286,0,IF(E1288=E1287,0,IF(C1288=$R$4,HLOOKUP($R$4,Ingreso!$AW$10:$BC$260,VLOOKUP(A1288,Ingreso!AL:AM,2,FALSE),FALSE)/24,""))),"")=0,"",IFERROR(IF(C1288=C1286,0,IF(E1288=E1287,0,IF(C1288=$R$4,HLOOKUP($R$4,Ingreso!$AW$10:$BC$260,VLOOKUP(A1288,Ingreso!AL:AM,2,FALSE),FALSE)/24,""))),""))</f>
        <v/>
      </c>
      <c r="P1288" s="90"/>
      <c r="V1288"/>
      <c r="W1288" s="62"/>
      <c r="X1288" s="62"/>
      <c r="Y1288" s="62"/>
      <c r="Z1288" s="62"/>
      <c r="AA1288" s="62"/>
      <c r="AB1288" s="62"/>
      <c r="AC1288" s="62"/>
    </row>
    <row r="1289" spans="1:29">
      <c r="A1289" s="65" t="str">
        <f>IFERROR(VLOOKUP('Informe Kelly'!A1282,Base!A:B,2,FALSE),"")</f>
        <v/>
      </c>
      <c r="B1289" s="65" t="str">
        <f>IFERROR(VLOOKUP('Informe Kelly'!A1282,Base!A:G,7,FALSE),"")</f>
        <v/>
      </c>
      <c r="C1289" s="69">
        <f>IF(G1289=$C$4,IF('Informe Kelly'!H1282='Control informe Kelly'!$A$2,TEXT(((LEFT('Informe Kelly'!E1282,2)*1)+1),"dd")&amp;"."&amp;MID('Informe Kelly'!E1282,4,2)&amp;"."&amp;RIGHT('Informe Kelly'!E1282,4),'Informe Kelly'!E1282),'Informe Kelly'!E1282)</f>
        <v>0</v>
      </c>
      <c r="D1289" s="69" t="str">
        <f>IF('Informe Kelly'!E1282="","",'Informe Kelly'!E1282)</f>
        <v/>
      </c>
      <c r="E1289" s="72">
        <f t="shared" si="39"/>
        <v>581</v>
      </c>
      <c r="F1289" s="72" t="str">
        <f>IFERROR(HLOOKUP(C1289,Ingreso!$Q$8:$AD$9,2,FALSE),"v")</f>
        <v>v</v>
      </c>
      <c r="G1289" s="65" t="str">
        <f>IFERROR(VLOOKUP(A1289,Ingreso!K:P,6,FALSE),"no esta ingresado")</f>
        <v>no esta ingresado</v>
      </c>
      <c r="H1289" s="65" t="str">
        <f>IFERROR(IF('Informe Kelly'!H1282=$A$2,'Informe Kelly'!F1282,""),0)</f>
        <v/>
      </c>
      <c r="I1289" s="65" t="str">
        <f>IFERROR(IF('Informe Kelly'!H1282=$A$3,'Informe Kelly'!F1282,""),0)</f>
        <v/>
      </c>
      <c r="J1289" s="65" t="str">
        <f>IF(IFERROR(IF(E1289=E1288,0,(HLOOKUP(D1289,Ingreso!$AN$10:$AT$260,VLOOKUP(A1289,Ingreso!$AL$11:$AM$260,2,FALSE)))/24),0)=0,"",IFERROR(IF(E1289=E1288,0,(HLOOKUP(D1289,Ingreso!$AN$10:$AT$260,VLOOKUP(A1289,Ingreso!$AL$11:$AM$260,2,FALSE)))/24),0))</f>
        <v/>
      </c>
      <c r="K1289" s="65" t="str">
        <f>IF(IFERROR(IF(E1289=E1288,0,(HLOOKUP(C1289,Ingreso!$AW$10:$BC$260,VLOOKUP(A1289,Ingreso!$AL$11:$AM$260,2,FALSE)))/24),0)=0,"",IFERROR(IF(E1289=E1288,0,(HLOOKUP(C1289,Ingreso!$AW$10:$BC$260,VLOOKUP(A1289,Ingreso!$AL$11:$AM$260,2,FALSE)))/24),0))</f>
        <v/>
      </c>
      <c r="L1289" s="63">
        <f t="shared" ref="L1289:L1352" si="40">IFERROR(IF(C1289=C1287,0,IF(E1289=E1288,0,(VLOOKUP(G1289,$C$2:$D$5,2,FALSE)))),"")</f>
        <v>0</v>
      </c>
      <c r="M1289" s="63" t="str">
        <f>IF(IFERROR(IF(C1289=C1287,0,IF(E1289=E1288,0,IF(C1289=$R$2,HLOOKUP($R$2,Ingreso!$AW$10:$BC$260,VLOOKUP(A1289,Ingreso!AL:AM,2,FALSE),FALSE)/24,""))),"")=0,"",IFERROR(IF(C1289=C1287,0,IF(E1289=E1288,0,IF(C1289=$R$2,HLOOKUP($R$2,Ingreso!$AW$10:$BC$260,VLOOKUP(A1289,Ingreso!AL:AM,2,FALSE),FALSE)/24,""))),""))</f>
        <v/>
      </c>
      <c r="N1289" s="95" t="str">
        <f>IF(IFERROR(IF(C1289=C1287,0,IF(E1289=E1288,0,IF(C1289=$R$3,HLOOKUP($R$3,Ingreso!$AW$10:$BC$260,VLOOKUP(A1289,Ingreso!AL:AM,2,FALSE),FALSE)/24,""))),"")=0,"",IFERROR(IF(C1289=C1287,0,IF(E1289=E1288,0,IF(C1289=$R$3,HLOOKUP($R$3,Ingreso!$AW$10:$BC$260,VLOOKUP(A1289,Ingreso!AL:AM,2,FALSE),FALSE)/24,""))),""))</f>
        <v/>
      </c>
      <c r="O1289" s="95" t="str">
        <f>IF(IFERROR(IF(C1289=C1287,0,IF(E1289=E1288,0,IF(C1289=$R$4,HLOOKUP($R$4,Ingreso!$AW$10:$BC$260,VLOOKUP(A1289,Ingreso!AL:AM,2,FALSE),FALSE)/24,""))),"")=0,"",IFERROR(IF(C1289=C1287,0,IF(E1289=E1288,0,IF(C1289=$R$4,HLOOKUP($R$4,Ingreso!$AW$10:$BC$260,VLOOKUP(A1289,Ingreso!AL:AM,2,FALSE),FALSE)/24,""))),""))</f>
        <v/>
      </c>
      <c r="P1289" s="90"/>
      <c r="V1289"/>
      <c r="W1289" s="62"/>
      <c r="X1289" s="62"/>
      <c r="Y1289" s="62"/>
      <c r="Z1289" s="62"/>
      <c r="AA1289" s="62"/>
      <c r="AB1289" s="62"/>
      <c r="AC1289" s="62"/>
    </row>
    <row r="1290" spans="1:29">
      <c r="A1290" s="65" t="str">
        <f>IFERROR(VLOOKUP('Informe Kelly'!A1283,Base!A:B,2,FALSE),"")</f>
        <v/>
      </c>
      <c r="B1290" s="65" t="str">
        <f>IFERROR(VLOOKUP('Informe Kelly'!A1283,Base!A:G,7,FALSE),"")</f>
        <v/>
      </c>
      <c r="C1290" s="69">
        <f>IF(G1290=$C$4,IF('Informe Kelly'!H1283='Control informe Kelly'!$A$2,TEXT(((LEFT('Informe Kelly'!E1283,2)*1)+1),"dd")&amp;"."&amp;MID('Informe Kelly'!E1283,4,2)&amp;"."&amp;RIGHT('Informe Kelly'!E1283,4),'Informe Kelly'!E1283),'Informe Kelly'!E1283)</f>
        <v>0</v>
      </c>
      <c r="D1290" s="69" t="str">
        <f>IF('Informe Kelly'!E1283="","",'Informe Kelly'!E1283)</f>
        <v/>
      </c>
      <c r="E1290" s="72">
        <f t="shared" ref="E1290:E1322" si="41">IF(C1289=C1290,IF(C1290=C1287,E1289,IF(C1290=C1288,E1289+1,E1289)),E1289+1)</f>
        <v>581</v>
      </c>
      <c r="F1290" s="72" t="str">
        <f>IFERROR(HLOOKUP(C1290,Ingreso!$Q$8:$AD$9,2,FALSE),"v")</f>
        <v>v</v>
      </c>
      <c r="G1290" s="65" t="str">
        <f>IFERROR(VLOOKUP(A1290,Ingreso!K:P,6,FALSE),"no esta ingresado")</f>
        <v>no esta ingresado</v>
      </c>
      <c r="H1290" s="65" t="str">
        <f>IFERROR(IF('Informe Kelly'!H1283=$A$2,'Informe Kelly'!F1283,""),0)</f>
        <v/>
      </c>
      <c r="I1290" s="65" t="str">
        <f>IFERROR(IF('Informe Kelly'!H1283=$A$3,'Informe Kelly'!F1283,""),0)</f>
        <v/>
      </c>
      <c r="J1290" s="65" t="str">
        <f>IF(IFERROR(IF(E1290=E1289,0,(HLOOKUP(D1290,Ingreso!$AN$10:$AT$260,VLOOKUP(A1290,Ingreso!$AL$11:$AM$260,2,FALSE)))/24),0)=0,"",IFERROR(IF(E1290=E1289,0,(HLOOKUP(D1290,Ingreso!$AN$10:$AT$260,VLOOKUP(A1290,Ingreso!$AL$11:$AM$260,2,FALSE)))/24),0))</f>
        <v/>
      </c>
      <c r="K1290" s="65" t="str">
        <f>IF(IFERROR(IF(E1290=E1289,0,(HLOOKUP(C1290,Ingreso!$AW$10:$BC$260,VLOOKUP(A1290,Ingreso!$AL$11:$AM$260,2,FALSE)))/24),0)=0,"",IFERROR(IF(E1290=E1289,0,(HLOOKUP(C1290,Ingreso!$AW$10:$BC$260,VLOOKUP(A1290,Ingreso!$AL$11:$AM$260,2,FALSE)))/24),0))</f>
        <v/>
      </c>
      <c r="L1290" s="63">
        <f t="shared" si="40"/>
        <v>0</v>
      </c>
      <c r="M1290" s="63" t="str">
        <f>IF(IFERROR(IF(C1290=C1288,0,IF(E1290=E1289,0,IF(C1290=$R$2,HLOOKUP($R$2,Ingreso!$AW$10:$BC$260,VLOOKUP(A1290,Ingreso!AL:AM,2,FALSE),FALSE)/24,""))),"")=0,"",IFERROR(IF(C1290=C1288,0,IF(E1290=E1289,0,IF(C1290=$R$2,HLOOKUP($R$2,Ingreso!$AW$10:$BC$260,VLOOKUP(A1290,Ingreso!AL:AM,2,FALSE),FALSE)/24,""))),""))</f>
        <v/>
      </c>
      <c r="N1290" s="95" t="str">
        <f>IF(IFERROR(IF(C1290=C1288,0,IF(E1290=E1289,0,IF(C1290=$R$3,HLOOKUP($R$3,Ingreso!$AW$10:$BC$260,VLOOKUP(A1290,Ingreso!AL:AM,2,FALSE),FALSE)/24,""))),"")=0,"",IFERROR(IF(C1290=C1288,0,IF(E1290=E1289,0,IF(C1290=$R$3,HLOOKUP($R$3,Ingreso!$AW$10:$BC$260,VLOOKUP(A1290,Ingreso!AL:AM,2,FALSE),FALSE)/24,""))),""))</f>
        <v/>
      </c>
      <c r="O1290" s="95" t="str">
        <f>IF(IFERROR(IF(C1290=C1288,0,IF(E1290=E1289,0,IF(C1290=$R$4,HLOOKUP($R$4,Ingreso!$AW$10:$BC$260,VLOOKUP(A1290,Ingreso!AL:AM,2,FALSE),FALSE)/24,""))),"")=0,"",IFERROR(IF(C1290=C1288,0,IF(E1290=E1289,0,IF(C1290=$R$4,HLOOKUP($R$4,Ingreso!$AW$10:$BC$260,VLOOKUP(A1290,Ingreso!AL:AM,2,FALSE),FALSE)/24,""))),""))</f>
        <v/>
      </c>
      <c r="P1290" s="90"/>
      <c r="V1290"/>
      <c r="W1290" s="62"/>
      <c r="X1290" s="62"/>
      <c r="Y1290" s="62"/>
      <c r="Z1290" s="62"/>
      <c r="AA1290" s="62"/>
      <c r="AB1290" s="62"/>
      <c r="AC1290" s="62"/>
    </row>
    <row r="1291" spans="1:29">
      <c r="A1291" s="65" t="str">
        <f>IFERROR(VLOOKUP('Informe Kelly'!A1284,Base!A:B,2,FALSE),"")</f>
        <v/>
      </c>
      <c r="B1291" s="65" t="str">
        <f>IFERROR(VLOOKUP('Informe Kelly'!A1284,Base!A:G,7,FALSE),"")</f>
        <v/>
      </c>
      <c r="C1291" s="69">
        <f>IF(G1291=$C$4,IF('Informe Kelly'!H1284='Control informe Kelly'!$A$2,TEXT(((LEFT('Informe Kelly'!E1284,2)*1)+1),"dd")&amp;"."&amp;MID('Informe Kelly'!E1284,4,2)&amp;"."&amp;RIGHT('Informe Kelly'!E1284,4),'Informe Kelly'!E1284),'Informe Kelly'!E1284)</f>
        <v>0</v>
      </c>
      <c r="D1291" s="69" t="str">
        <f>IF('Informe Kelly'!E1284="","",'Informe Kelly'!E1284)</f>
        <v/>
      </c>
      <c r="E1291" s="72">
        <f t="shared" si="41"/>
        <v>581</v>
      </c>
      <c r="F1291" s="72" t="str">
        <f>IFERROR(HLOOKUP(C1291,Ingreso!$Q$8:$AD$9,2,FALSE),"v")</f>
        <v>v</v>
      </c>
      <c r="G1291" s="65" t="str">
        <f>IFERROR(VLOOKUP(A1291,Ingreso!K:P,6,FALSE),"no esta ingresado")</f>
        <v>no esta ingresado</v>
      </c>
      <c r="H1291" s="65" t="str">
        <f>IFERROR(IF('Informe Kelly'!H1284=$A$2,'Informe Kelly'!F1284,""),0)</f>
        <v/>
      </c>
      <c r="I1291" s="65" t="str">
        <f>IFERROR(IF('Informe Kelly'!H1284=$A$3,'Informe Kelly'!F1284,""),0)</f>
        <v/>
      </c>
      <c r="J1291" s="65" t="str">
        <f>IF(IFERROR(IF(E1291=E1290,0,(HLOOKUP(D1291,Ingreso!$AN$10:$AT$260,VLOOKUP(A1291,Ingreso!$AL$11:$AM$260,2,FALSE)))/24),0)=0,"",IFERROR(IF(E1291=E1290,0,(HLOOKUP(D1291,Ingreso!$AN$10:$AT$260,VLOOKUP(A1291,Ingreso!$AL$11:$AM$260,2,FALSE)))/24),0))</f>
        <v/>
      </c>
      <c r="K1291" s="65" t="str">
        <f>IF(IFERROR(IF(E1291=E1290,0,(HLOOKUP(C1291,Ingreso!$AW$10:$BC$260,VLOOKUP(A1291,Ingreso!$AL$11:$AM$260,2,FALSE)))/24),0)=0,"",IFERROR(IF(E1291=E1290,0,(HLOOKUP(C1291,Ingreso!$AW$10:$BC$260,VLOOKUP(A1291,Ingreso!$AL$11:$AM$260,2,FALSE)))/24),0))</f>
        <v/>
      </c>
      <c r="L1291" s="63">
        <f t="shared" si="40"/>
        <v>0</v>
      </c>
      <c r="M1291" s="63" t="str">
        <f>IF(IFERROR(IF(C1291=C1289,0,IF(E1291=E1290,0,IF(C1291=$R$2,HLOOKUP($R$2,Ingreso!$AW$10:$BC$260,VLOOKUP(A1291,Ingreso!AL:AM,2,FALSE),FALSE)/24,""))),"")=0,"",IFERROR(IF(C1291=C1289,0,IF(E1291=E1290,0,IF(C1291=$R$2,HLOOKUP($R$2,Ingreso!$AW$10:$BC$260,VLOOKUP(A1291,Ingreso!AL:AM,2,FALSE),FALSE)/24,""))),""))</f>
        <v/>
      </c>
      <c r="N1291" s="95" t="str">
        <f>IF(IFERROR(IF(C1291=C1289,0,IF(E1291=E1290,0,IF(C1291=$R$3,HLOOKUP($R$3,Ingreso!$AW$10:$BC$260,VLOOKUP(A1291,Ingreso!AL:AM,2,FALSE),FALSE)/24,""))),"")=0,"",IFERROR(IF(C1291=C1289,0,IF(E1291=E1290,0,IF(C1291=$R$3,HLOOKUP($R$3,Ingreso!$AW$10:$BC$260,VLOOKUP(A1291,Ingreso!AL:AM,2,FALSE),FALSE)/24,""))),""))</f>
        <v/>
      </c>
      <c r="O1291" s="95" t="str">
        <f>IF(IFERROR(IF(C1291=C1289,0,IF(E1291=E1290,0,IF(C1291=$R$4,HLOOKUP($R$4,Ingreso!$AW$10:$BC$260,VLOOKUP(A1291,Ingreso!AL:AM,2,FALSE),FALSE)/24,""))),"")=0,"",IFERROR(IF(C1291=C1289,0,IF(E1291=E1290,0,IF(C1291=$R$4,HLOOKUP($R$4,Ingreso!$AW$10:$BC$260,VLOOKUP(A1291,Ingreso!AL:AM,2,FALSE),FALSE)/24,""))),""))</f>
        <v/>
      </c>
      <c r="P1291" s="90"/>
      <c r="V1291"/>
      <c r="W1291" s="62"/>
      <c r="X1291" s="62"/>
      <c r="Y1291" s="62"/>
      <c r="Z1291" s="62"/>
      <c r="AA1291" s="62"/>
      <c r="AB1291" s="62"/>
      <c r="AC1291" s="62"/>
    </row>
    <row r="1292" spans="1:29">
      <c r="A1292" s="65" t="str">
        <f>IFERROR(VLOOKUP('Informe Kelly'!A1285,Base!A:B,2,FALSE),"")</f>
        <v/>
      </c>
      <c r="B1292" s="65" t="str">
        <f>IFERROR(VLOOKUP('Informe Kelly'!A1285,Base!A:G,7,FALSE),"")</f>
        <v/>
      </c>
      <c r="C1292" s="69">
        <f>IF(G1292=$C$4,IF('Informe Kelly'!H1285='Control informe Kelly'!$A$2,TEXT(((LEFT('Informe Kelly'!E1285,2)*1)+1),"dd")&amp;"."&amp;MID('Informe Kelly'!E1285,4,2)&amp;"."&amp;RIGHT('Informe Kelly'!E1285,4),'Informe Kelly'!E1285),'Informe Kelly'!E1285)</f>
        <v>0</v>
      </c>
      <c r="D1292" s="69" t="str">
        <f>IF('Informe Kelly'!E1285="","",'Informe Kelly'!E1285)</f>
        <v/>
      </c>
      <c r="E1292" s="72">
        <f t="shared" si="41"/>
        <v>581</v>
      </c>
      <c r="F1292" s="72" t="str">
        <f>IFERROR(HLOOKUP(C1292,Ingreso!$Q$8:$AD$9,2,FALSE),"v")</f>
        <v>v</v>
      </c>
      <c r="G1292" s="65" t="str">
        <f>IFERROR(VLOOKUP(A1292,Ingreso!K:P,6,FALSE),"no esta ingresado")</f>
        <v>no esta ingresado</v>
      </c>
      <c r="H1292" s="65" t="str">
        <f>IFERROR(IF('Informe Kelly'!H1285=$A$2,'Informe Kelly'!F1285,""),0)</f>
        <v/>
      </c>
      <c r="I1292" s="65" t="str">
        <f>IFERROR(IF('Informe Kelly'!H1285=$A$3,'Informe Kelly'!F1285,""),0)</f>
        <v/>
      </c>
      <c r="J1292" s="65" t="str">
        <f>IF(IFERROR(IF(E1292=E1291,0,(HLOOKUP(D1292,Ingreso!$AN$10:$AT$260,VLOOKUP(A1292,Ingreso!$AL$11:$AM$260,2,FALSE)))/24),0)=0,"",IFERROR(IF(E1292=E1291,0,(HLOOKUP(D1292,Ingreso!$AN$10:$AT$260,VLOOKUP(A1292,Ingreso!$AL$11:$AM$260,2,FALSE)))/24),0))</f>
        <v/>
      </c>
      <c r="K1292" s="65" t="str">
        <f>IF(IFERROR(IF(E1292=E1291,0,(HLOOKUP(C1292,Ingreso!$AW$10:$BC$260,VLOOKUP(A1292,Ingreso!$AL$11:$AM$260,2,FALSE)))/24),0)=0,"",IFERROR(IF(E1292=E1291,0,(HLOOKUP(C1292,Ingreso!$AW$10:$BC$260,VLOOKUP(A1292,Ingreso!$AL$11:$AM$260,2,FALSE)))/24),0))</f>
        <v/>
      </c>
      <c r="L1292" s="63">
        <f t="shared" si="40"/>
        <v>0</v>
      </c>
      <c r="M1292" s="63" t="str">
        <f>IF(IFERROR(IF(C1292=C1290,0,IF(E1292=E1291,0,IF(C1292=$R$2,HLOOKUP($R$2,Ingreso!$AW$10:$BC$260,VLOOKUP(A1292,Ingreso!AL:AM,2,FALSE),FALSE)/24,""))),"")=0,"",IFERROR(IF(C1292=C1290,0,IF(E1292=E1291,0,IF(C1292=$R$2,HLOOKUP($R$2,Ingreso!$AW$10:$BC$260,VLOOKUP(A1292,Ingreso!AL:AM,2,FALSE),FALSE)/24,""))),""))</f>
        <v/>
      </c>
      <c r="N1292" s="95" t="str">
        <f>IF(IFERROR(IF(C1292=C1290,0,IF(E1292=E1291,0,IF(C1292=$R$3,HLOOKUP($R$3,Ingreso!$AW$10:$BC$260,VLOOKUP(A1292,Ingreso!AL:AM,2,FALSE),FALSE)/24,""))),"")=0,"",IFERROR(IF(C1292=C1290,0,IF(E1292=E1291,0,IF(C1292=$R$3,HLOOKUP($R$3,Ingreso!$AW$10:$BC$260,VLOOKUP(A1292,Ingreso!AL:AM,2,FALSE),FALSE)/24,""))),""))</f>
        <v/>
      </c>
      <c r="O1292" s="95" t="str">
        <f>IF(IFERROR(IF(C1292=C1290,0,IF(E1292=E1291,0,IF(C1292=$R$4,HLOOKUP($R$4,Ingreso!$AW$10:$BC$260,VLOOKUP(A1292,Ingreso!AL:AM,2,FALSE),FALSE)/24,""))),"")=0,"",IFERROR(IF(C1292=C1290,0,IF(E1292=E1291,0,IF(C1292=$R$4,HLOOKUP($R$4,Ingreso!$AW$10:$BC$260,VLOOKUP(A1292,Ingreso!AL:AM,2,FALSE),FALSE)/24,""))),""))</f>
        <v/>
      </c>
      <c r="P1292" s="90"/>
      <c r="V1292"/>
      <c r="W1292" s="62"/>
      <c r="X1292" s="62"/>
      <c r="Y1292" s="62"/>
      <c r="Z1292" s="62"/>
      <c r="AA1292" s="62"/>
      <c r="AB1292" s="62"/>
      <c r="AC1292" s="62"/>
    </row>
    <row r="1293" spans="1:29">
      <c r="A1293" s="65" t="str">
        <f>IFERROR(VLOOKUP('Informe Kelly'!A1286,Base!A:B,2,FALSE),"")</f>
        <v/>
      </c>
      <c r="B1293" s="65" t="str">
        <f>IFERROR(VLOOKUP('Informe Kelly'!A1286,Base!A:G,7,FALSE),"")</f>
        <v/>
      </c>
      <c r="C1293" s="69">
        <f>IF(G1293=$C$4,IF('Informe Kelly'!H1286='Control informe Kelly'!$A$2,TEXT(((LEFT('Informe Kelly'!E1286,2)*1)+1),"dd")&amp;"."&amp;MID('Informe Kelly'!E1286,4,2)&amp;"."&amp;RIGHT('Informe Kelly'!E1286,4),'Informe Kelly'!E1286),'Informe Kelly'!E1286)</f>
        <v>0</v>
      </c>
      <c r="D1293" s="69" t="str">
        <f>IF('Informe Kelly'!E1286="","",'Informe Kelly'!E1286)</f>
        <v/>
      </c>
      <c r="E1293" s="72">
        <f t="shared" si="41"/>
        <v>581</v>
      </c>
      <c r="F1293" s="72" t="str">
        <f>IFERROR(HLOOKUP(C1293,Ingreso!$Q$8:$AD$9,2,FALSE),"v")</f>
        <v>v</v>
      </c>
      <c r="G1293" s="65" t="str">
        <f>IFERROR(VLOOKUP(A1293,Ingreso!K:P,6,FALSE),"no esta ingresado")</f>
        <v>no esta ingresado</v>
      </c>
      <c r="H1293" s="65" t="str">
        <f>IFERROR(IF('Informe Kelly'!H1286=$A$2,'Informe Kelly'!F1286,""),0)</f>
        <v/>
      </c>
      <c r="I1293" s="65" t="str">
        <f>IFERROR(IF('Informe Kelly'!H1286=$A$3,'Informe Kelly'!F1286,""),0)</f>
        <v/>
      </c>
      <c r="J1293" s="65" t="str">
        <f>IF(IFERROR(IF(E1293=E1292,0,(HLOOKUP(D1293,Ingreso!$AN$10:$AT$260,VLOOKUP(A1293,Ingreso!$AL$11:$AM$260,2,FALSE)))/24),0)=0,"",IFERROR(IF(E1293=E1292,0,(HLOOKUP(D1293,Ingreso!$AN$10:$AT$260,VLOOKUP(A1293,Ingreso!$AL$11:$AM$260,2,FALSE)))/24),0))</f>
        <v/>
      </c>
      <c r="K1293" s="65" t="str">
        <f>IF(IFERROR(IF(E1293=E1292,0,(HLOOKUP(C1293,Ingreso!$AW$10:$BC$260,VLOOKUP(A1293,Ingreso!$AL$11:$AM$260,2,FALSE)))/24),0)=0,"",IFERROR(IF(E1293=E1292,0,(HLOOKUP(C1293,Ingreso!$AW$10:$BC$260,VLOOKUP(A1293,Ingreso!$AL$11:$AM$260,2,FALSE)))/24),0))</f>
        <v/>
      </c>
      <c r="L1293" s="63">
        <f t="shared" si="40"/>
        <v>0</v>
      </c>
      <c r="M1293" s="63" t="str">
        <f>IF(IFERROR(IF(C1293=C1291,0,IF(E1293=E1292,0,IF(C1293=$R$2,HLOOKUP($R$2,Ingreso!$AW$10:$BC$260,VLOOKUP(A1293,Ingreso!AL:AM,2,FALSE),FALSE)/24,""))),"")=0,"",IFERROR(IF(C1293=C1291,0,IF(E1293=E1292,0,IF(C1293=$R$2,HLOOKUP($R$2,Ingreso!$AW$10:$BC$260,VLOOKUP(A1293,Ingreso!AL:AM,2,FALSE),FALSE)/24,""))),""))</f>
        <v/>
      </c>
      <c r="N1293" s="95" t="str">
        <f>IF(IFERROR(IF(C1293=C1291,0,IF(E1293=E1292,0,IF(C1293=$R$3,HLOOKUP($R$3,Ingreso!$AW$10:$BC$260,VLOOKUP(A1293,Ingreso!AL:AM,2,FALSE),FALSE)/24,""))),"")=0,"",IFERROR(IF(C1293=C1291,0,IF(E1293=E1292,0,IF(C1293=$R$3,HLOOKUP($R$3,Ingreso!$AW$10:$BC$260,VLOOKUP(A1293,Ingreso!AL:AM,2,FALSE),FALSE)/24,""))),""))</f>
        <v/>
      </c>
      <c r="O1293" s="95" t="str">
        <f>IF(IFERROR(IF(C1293=C1291,0,IF(E1293=E1292,0,IF(C1293=$R$4,HLOOKUP($R$4,Ingreso!$AW$10:$BC$260,VLOOKUP(A1293,Ingreso!AL:AM,2,FALSE),FALSE)/24,""))),"")=0,"",IFERROR(IF(C1293=C1291,0,IF(E1293=E1292,0,IF(C1293=$R$4,HLOOKUP($R$4,Ingreso!$AW$10:$BC$260,VLOOKUP(A1293,Ingreso!AL:AM,2,FALSE),FALSE)/24,""))),""))</f>
        <v/>
      </c>
      <c r="P1293" s="90"/>
      <c r="V1293"/>
      <c r="W1293" s="62"/>
      <c r="X1293" s="62"/>
      <c r="Y1293" s="62"/>
      <c r="Z1293" s="62"/>
      <c r="AA1293" s="62"/>
      <c r="AB1293" s="62"/>
      <c r="AC1293" s="62"/>
    </row>
    <row r="1294" spans="1:29">
      <c r="A1294" s="65" t="str">
        <f>IFERROR(VLOOKUP('Informe Kelly'!A1287,Base!A:B,2,FALSE),"")</f>
        <v/>
      </c>
      <c r="B1294" s="65" t="str">
        <f>IFERROR(VLOOKUP('Informe Kelly'!A1287,Base!A:G,7,FALSE),"")</f>
        <v/>
      </c>
      <c r="C1294" s="69">
        <f>IF(G1294=$C$4,IF('Informe Kelly'!H1287='Control informe Kelly'!$A$2,TEXT(((LEFT('Informe Kelly'!E1287,2)*1)+1),"dd")&amp;"."&amp;MID('Informe Kelly'!E1287,4,2)&amp;"."&amp;RIGHT('Informe Kelly'!E1287,4),'Informe Kelly'!E1287),'Informe Kelly'!E1287)</f>
        <v>0</v>
      </c>
      <c r="D1294" s="69" t="str">
        <f>IF('Informe Kelly'!E1287="","",'Informe Kelly'!E1287)</f>
        <v/>
      </c>
      <c r="E1294" s="72">
        <f t="shared" si="41"/>
        <v>581</v>
      </c>
      <c r="F1294" s="72" t="str">
        <f>IFERROR(HLOOKUP(C1294,Ingreso!$Q$8:$AD$9,2,FALSE),"v")</f>
        <v>v</v>
      </c>
      <c r="G1294" s="65" t="str">
        <f>IFERROR(VLOOKUP(A1294,Ingreso!K:P,6,FALSE),"no esta ingresado")</f>
        <v>no esta ingresado</v>
      </c>
      <c r="H1294" s="65" t="str">
        <f>IFERROR(IF('Informe Kelly'!H1287=$A$2,'Informe Kelly'!F1287,""),0)</f>
        <v/>
      </c>
      <c r="I1294" s="65" t="str">
        <f>IFERROR(IF('Informe Kelly'!H1287=$A$3,'Informe Kelly'!F1287,""),0)</f>
        <v/>
      </c>
      <c r="J1294" s="65" t="str">
        <f>IF(IFERROR(IF(E1294=E1293,0,(HLOOKUP(D1294,Ingreso!$AN$10:$AT$260,VLOOKUP(A1294,Ingreso!$AL$11:$AM$260,2,FALSE)))/24),0)=0,"",IFERROR(IF(E1294=E1293,0,(HLOOKUP(D1294,Ingreso!$AN$10:$AT$260,VLOOKUP(A1294,Ingreso!$AL$11:$AM$260,2,FALSE)))/24),0))</f>
        <v/>
      </c>
      <c r="K1294" s="65" t="str">
        <f>IF(IFERROR(IF(E1294=E1293,0,(HLOOKUP(C1294,Ingreso!$AW$10:$BC$260,VLOOKUP(A1294,Ingreso!$AL$11:$AM$260,2,FALSE)))/24),0)=0,"",IFERROR(IF(E1294=E1293,0,(HLOOKUP(C1294,Ingreso!$AW$10:$BC$260,VLOOKUP(A1294,Ingreso!$AL$11:$AM$260,2,FALSE)))/24),0))</f>
        <v/>
      </c>
      <c r="L1294" s="63">
        <f t="shared" si="40"/>
        <v>0</v>
      </c>
      <c r="M1294" s="63" t="str">
        <f>IF(IFERROR(IF(C1294=C1292,0,IF(E1294=E1293,0,IF(C1294=$R$2,HLOOKUP($R$2,Ingreso!$AW$10:$BC$260,VLOOKUP(A1294,Ingreso!AL:AM,2,FALSE),FALSE)/24,""))),"")=0,"",IFERROR(IF(C1294=C1292,0,IF(E1294=E1293,0,IF(C1294=$R$2,HLOOKUP($R$2,Ingreso!$AW$10:$BC$260,VLOOKUP(A1294,Ingreso!AL:AM,2,FALSE),FALSE)/24,""))),""))</f>
        <v/>
      </c>
      <c r="N1294" s="95" t="str">
        <f>IF(IFERROR(IF(C1294=C1292,0,IF(E1294=E1293,0,IF(C1294=$R$3,HLOOKUP($R$3,Ingreso!$AW$10:$BC$260,VLOOKUP(A1294,Ingreso!AL:AM,2,FALSE),FALSE)/24,""))),"")=0,"",IFERROR(IF(C1294=C1292,0,IF(E1294=E1293,0,IF(C1294=$R$3,HLOOKUP($R$3,Ingreso!$AW$10:$BC$260,VLOOKUP(A1294,Ingreso!AL:AM,2,FALSE),FALSE)/24,""))),""))</f>
        <v/>
      </c>
      <c r="O1294" s="95" t="str">
        <f>IF(IFERROR(IF(C1294=C1292,0,IF(E1294=E1293,0,IF(C1294=$R$4,HLOOKUP($R$4,Ingreso!$AW$10:$BC$260,VLOOKUP(A1294,Ingreso!AL:AM,2,FALSE),FALSE)/24,""))),"")=0,"",IFERROR(IF(C1294=C1292,0,IF(E1294=E1293,0,IF(C1294=$R$4,HLOOKUP($R$4,Ingreso!$AW$10:$BC$260,VLOOKUP(A1294,Ingreso!AL:AM,2,FALSE),FALSE)/24,""))),""))</f>
        <v/>
      </c>
      <c r="P1294" s="90"/>
      <c r="V1294"/>
      <c r="W1294" s="62"/>
      <c r="X1294" s="62"/>
      <c r="Y1294" s="62"/>
      <c r="Z1294" s="62"/>
      <c r="AA1294" s="62"/>
      <c r="AB1294" s="62"/>
      <c r="AC1294" s="62"/>
    </row>
    <row r="1295" spans="1:29">
      <c r="A1295" s="65" t="str">
        <f>IFERROR(VLOOKUP('Informe Kelly'!A1288,Base!A:B,2,FALSE),"")</f>
        <v/>
      </c>
      <c r="B1295" s="65" t="str">
        <f>IFERROR(VLOOKUP('Informe Kelly'!A1288,Base!A:G,7,FALSE),"")</f>
        <v/>
      </c>
      <c r="C1295" s="69">
        <f>IF(G1295=$C$4,IF('Informe Kelly'!H1288='Control informe Kelly'!$A$2,TEXT(((LEFT('Informe Kelly'!E1288,2)*1)+1),"dd")&amp;"."&amp;MID('Informe Kelly'!E1288,4,2)&amp;"."&amp;RIGHT('Informe Kelly'!E1288,4),'Informe Kelly'!E1288),'Informe Kelly'!E1288)</f>
        <v>0</v>
      </c>
      <c r="D1295" s="69" t="str">
        <f>IF('Informe Kelly'!E1288="","",'Informe Kelly'!E1288)</f>
        <v/>
      </c>
      <c r="E1295" s="72">
        <f t="shared" si="41"/>
        <v>581</v>
      </c>
      <c r="F1295" s="72" t="str">
        <f>IFERROR(HLOOKUP(C1295,Ingreso!$Q$8:$AD$9,2,FALSE),"v")</f>
        <v>v</v>
      </c>
      <c r="G1295" s="65" t="str">
        <f>IFERROR(VLOOKUP(A1295,Ingreso!K:P,6,FALSE),"no esta ingresado")</f>
        <v>no esta ingresado</v>
      </c>
      <c r="H1295" s="65" t="str">
        <f>IFERROR(IF('Informe Kelly'!H1288=$A$2,'Informe Kelly'!F1288,""),0)</f>
        <v/>
      </c>
      <c r="I1295" s="65" t="str">
        <f>IFERROR(IF('Informe Kelly'!H1288=$A$3,'Informe Kelly'!F1288,""),0)</f>
        <v/>
      </c>
      <c r="J1295" s="65" t="str">
        <f>IF(IFERROR(IF(E1295=E1294,0,(HLOOKUP(D1295,Ingreso!$AN$10:$AT$260,VLOOKUP(A1295,Ingreso!$AL$11:$AM$260,2,FALSE)))/24),0)=0,"",IFERROR(IF(E1295=E1294,0,(HLOOKUP(D1295,Ingreso!$AN$10:$AT$260,VLOOKUP(A1295,Ingreso!$AL$11:$AM$260,2,FALSE)))/24),0))</f>
        <v/>
      </c>
      <c r="K1295" s="65" t="str">
        <f>IF(IFERROR(IF(E1295=E1294,0,(HLOOKUP(C1295,Ingreso!$AW$10:$BC$260,VLOOKUP(A1295,Ingreso!$AL$11:$AM$260,2,FALSE)))/24),0)=0,"",IFERROR(IF(E1295=E1294,0,(HLOOKUP(C1295,Ingreso!$AW$10:$BC$260,VLOOKUP(A1295,Ingreso!$AL$11:$AM$260,2,FALSE)))/24),0))</f>
        <v/>
      </c>
      <c r="L1295" s="63">
        <f t="shared" si="40"/>
        <v>0</v>
      </c>
      <c r="M1295" s="63" t="str">
        <f>IF(IFERROR(IF(C1295=C1293,0,IF(E1295=E1294,0,IF(C1295=$R$2,HLOOKUP($R$2,Ingreso!$AW$10:$BC$260,VLOOKUP(A1295,Ingreso!AL:AM,2,FALSE),FALSE)/24,""))),"")=0,"",IFERROR(IF(C1295=C1293,0,IF(E1295=E1294,0,IF(C1295=$R$2,HLOOKUP($R$2,Ingreso!$AW$10:$BC$260,VLOOKUP(A1295,Ingreso!AL:AM,2,FALSE),FALSE)/24,""))),""))</f>
        <v/>
      </c>
      <c r="N1295" s="95" t="str">
        <f>IF(IFERROR(IF(C1295=C1293,0,IF(E1295=E1294,0,IF(C1295=$R$3,HLOOKUP($R$3,Ingreso!$AW$10:$BC$260,VLOOKUP(A1295,Ingreso!AL:AM,2,FALSE),FALSE)/24,""))),"")=0,"",IFERROR(IF(C1295=C1293,0,IF(E1295=E1294,0,IF(C1295=$R$3,HLOOKUP($R$3,Ingreso!$AW$10:$BC$260,VLOOKUP(A1295,Ingreso!AL:AM,2,FALSE),FALSE)/24,""))),""))</f>
        <v/>
      </c>
      <c r="O1295" s="95" t="str">
        <f>IF(IFERROR(IF(C1295=C1293,0,IF(E1295=E1294,0,IF(C1295=$R$4,HLOOKUP($R$4,Ingreso!$AW$10:$BC$260,VLOOKUP(A1295,Ingreso!AL:AM,2,FALSE),FALSE)/24,""))),"")=0,"",IFERROR(IF(C1295=C1293,0,IF(E1295=E1294,0,IF(C1295=$R$4,HLOOKUP($R$4,Ingreso!$AW$10:$BC$260,VLOOKUP(A1295,Ingreso!AL:AM,2,FALSE),FALSE)/24,""))),""))</f>
        <v/>
      </c>
      <c r="P1295" s="90"/>
      <c r="V1295"/>
      <c r="W1295" s="62"/>
      <c r="X1295" s="62"/>
      <c r="Y1295" s="62"/>
      <c r="Z1295" s="62"/>
      <c r="AA1295" s="62"/>
      <c r="AB1295" s="62"/>
      <c r="AC1295" s="62"/>
    </row>
    <row r="1296" spans="1:29">
      <c r="A1296" s="65" t="str">
        <f>IFERROR(VLOOKUP('Informe Kelly'!A1289,Base!A:B,2,FALSE),"")</f>
        <v/>
      </c>
      <c r="B1296" s="65" t="str">
        <f>IFERROR(VLOOKUP('Informe Kelly'!A1289,Base!A:G,7,FALSE),"")</f>
        <v/>
      </c>
      <c r="C1296" s="69">
        <f>IF(G1296=$C$4,IF('Informe Kelly'!H1289='Control informe Kelly'!$A$2,TEXT(((LEFT('Informe Kelly'!E1289,2)*1)+1),"dd")&amp;"."&amp;MID('Informe Kelly'!E1289,4,2)&amp;"."&amp;RIGHT('Informe Kelly'!E1289,4),'Informe Kelly'!E1289),'Informe Kelly'!E1289)</f>
        <v>0</v>
      </c>
      <c r="D1296" s="69" t="str">
        <f>IF('Informe Kelly'!E1289="","",'Informe Kelly'!E1289)</f>
        <v/>
      </c>
      <c r="E1296" s="72">
        <f t="shared" si="41"/>
        <v>581</v>
      </c>
      <c r="F1296" s="72" t="str">
        <f>IFERROR(HLOOKUP(C1296,Ingreso!$Q$8:$AD$9,2,FALSE),"v")</f>
        <v>v</v>
      </c>
      <c r="G1296" s="65" t="str">
        <f>IFERROR(VLOOKUP(A1296,Ingreso!K:P,6,FALSE),"no esta ingresado")</f>
        <v>no esta ingresado</v>
      </c>
      <c r="H1296" s="65" t="str">
        <f>IFERROR(IF('Informe Kelly'!H1289=$A$2,'Informe Kelly'!F1289,""),0)</f>
        <v/>
      </c>
      <c r="I1296" s="65" t="str">
        <f>IFERROR(IF('Informe Kelly'!H1289=$A$3,'Informe Kelly'!F1289,""),0)</f>
        <v/>
      </c>
      <c r="J1296" s="65" t="str">
        <f>IF(IFERROR(IF(E1296=E1295,0,(HLOOKUP(D1296,Ingreso!$AN$10:$AT$260,VLOOKUP(A1296,Ingreso!$AL$11:$AM$260,2,FALSE)))/24),0)=0,"",IFERROR(IF(E1296=E1295,0,(HLOOKUP(D1296,Ingreso!$AN$10:$AT$260,VLOOKUP(A1296,Ingreso!$AL$11:$AM$260,2,FALSE)))/24),0))</f>
        <v/>
      </c>
      <c r="K1296" s="65" t="str">
        <f>IF(IFERROR(IF(E1296=E1295,0,(HLOOKUP(C1296,Ingreso!$AW$10:$BC$260,VLOOKUP(A1296,Ingreso!$AL$11:$AM$260,2,FALSE)))/24),0)=0,"",IFERROR(IF(E1296=E1295,0,(HLOOKUP(C1296,Ingreso!$AW$10:$BC$260,VLOOKUP(A1296,Ingreso!$AL$11:$AM$260,2,FALSE)))/24),0))</f>
        <v/>
      </c>
      <c r="L1296" s="63">
        <f t="shared" si="40"/>
        <v>0</v>
      </c>
      <c r="M1296" s="63" t="str">
        <f>IF(IFERROR(IF(C1296=C1294,0,IF(E1296=E1295,0,IF(C1296=$R$2,HLOOKUP($R$2,Ingreso!$AW$10:$BC$260,VLOOKUP(A1296,Ingreso!AL:AM,2,FALSE),FALSE)/24,""))),"")=0,"",IFERROR(IF(C1296=C1294,0,IF(E1296=E1295,0,IF(C1296=$R$2,HLOOKUP($R$2,Ingreso!$AW$10:$BC$260,VLOOKUP(A1296,Ingreso!AL:AM,2,FALSE),FALSE)/24,""))),""))</f>
        <v/>
      </c>
      <c r="N1296" s="95" t="str">
        <f>IF(IFERROR(IF(C1296=C1294,0,IF(E1296=E1295,0,IF(C1296=$R$3,HLOOKUP($R$3,Ingreso!$AW$10:$BC$260,VLOOKUP(A1296,Ingreso!AL:AM,2,FALSE),FALSE)/24,""))),"")=0,"",IFERROR(IF(C1296=C1294,0,IF(E1296=E1295,0,IF(C1296=$R$3,HLOOKUP($R$3,Ingreso!$AW$10:$BC$260,VLOOKUP(A1296,Ingreso!AL:AM,2,FALSE),FALSE)/24,""))),""))</f>
        <v/>
      </c>
      <c r="O1296" s="95" t="str">
        <f>IF(IFERROR(IF(C1296=C1294,0,IF(E1296=E1295,0,IF(C1296=$R$4,HLOOKUP($R$4,Ingreso!$AW$10:$BC$260,VLOOKUP(A1296,Ingreso!AL:AM,2,FALSE),FALSE)/24,""))),"")=0,"",IFERROR(IF(C1296=C1294,0,IF(E1296=E1295,0,IF(C1296=$R$4,HLOOKUP($R$4,Ingreso!$AW$10:$BC$260,VLOOKUP(A1296,Ingreso!AL:AM,2,FALSE),FALSE)/24,""))),""))</f>
        <v/>
      </c>
      <c r="P1296" s="90"/>
      <c r="V1296"/>
      <c r="W1296" s="62"/>
      <c r="X1296" s="62"/>
      <c r="Y1296" s="62"/>
      <c r="Z1296" s="62"/>
      <c r="AA1296" s="62"/>
      <c r="AB1296" s="62"/>
      <c r="AC1296" s="62"/>
    </row>
    <row r="1297" spans="1:29">
      <c r="A1297" s="65" t="str">
        <f>IFERROR(VLOOKUP('Informe Kelly'!A1290,Base!A:B,2,FALSE),"")</f>
        <v/>
      </c>
      <c r="B1297" s="65" t="str">
        <f>IFERROR(VLOOKUP('Informe Kelly'!A1290,Base!A:G,7,FALSE),"")</f>
        <v/>
      </c>
      <c r="C1297" s="69">
        <f>IF(G1297=$C$4,IF('Informe Kelly'!H1290='Control informe Kelly'!$A$2,TEXT(((LEFT('Informe Kelly'!E1290,2)*1)+1),"dd")&amp;"."&amp;MID('Informe Kelly'!E1290,4,2)&amp;"."&amp;RIGHT('Informe Kelly'!E1290,4),'Informe Kelly'!E1290),'Informe Kelly'!E1290)</f>
        <v>0</v>
      </c>
      <c r="D1297" s="69" t="str">
        <f>IF('Informe Kelly'!E1290="","",'Informe Kelly'!E1290)</f>
        <v/>
      </c>
      <c r="E1297" s="72">
        <f t="shared" si="41"/>
        <v>581</v>
      </c>
      <c r="F1297" s="72" t="str">
        <f>IFERROR(HLOOKUP(C1297,Ingreso!$Q$8:$AD$9,2,FALSE),"v")</f>
        <v>v</v>
      </c>
      <c r="G1297" s="65" t="str">
        <f>IFERROR(VLOOKUP(A1297,Ingreso!K:P,6,FALSE),"no esta ingresado")</f>
        <v>no esta ingresado</v>
      </c>
      <c r="H1297" s="65" t="str">
        <f>IFERROR(IF('Informe Kelly'!H1290=$A$2,'Informe Kelly'!F1290,""),0)</f>
        <v/>
      </c>
      <c r="I1297" s="65" t="str">
        <f>IFERROR(IF('Informe Kelly'!H1290=$A$3,'Informe Kelly'!F1290,""),0)</f>
        <v/>
      </c>
      <c r="J1297" s="65" t="str">
        <f>IF(IFERROR(IF(E1297=E1296,0,(HLOOKUP(D1297,Ingreso!$AN$10:$AT$260,VLOOKUP(A1297,Ingreso!$AL$11:$AM$260,2,FALSE)))/24),0)=0,"",IFERROR(IF(E1297=E1296,0,(HLOOKUP(D1297,Ingreso!$AN$10:$AT$260,VLOOKUP(A1297,Ingreso!$AL$11:$AM$260,2,FALSE)))/24),0))</f>
        <v/>
      </c>
      <c r="K1297" s="65" t="str">
        <f>IF(IFERROR(IF(E1297=E1296,0,(HLOOKUP(C1297,Ingreso!$AW$10:$BC$260,VLOOKUP(A1297,Ingreso!$AL$11:$AM$260,2,FALSE)))/24),0)=0,"",IFERROR(IF(E1297=E1296,0,(HLOOKUP(C1297,Ingreso!$AW$10:$BC$260,VLOOKUP(A1297,Ingreso!$AL$11:$AM$260,2,FALSE)))/24),0))</f>
        <v/>
      </c>
      <c r="L1297" s="63">
        <f t="shared" si="40"/>
        <v>0</v>
      </c>
      <c r="M1297" s="63" t="str">
        <f>IF(IFERROR(IF(C1297=C1295,0,IF(E1297=E1296,0,IF(C1297=$R$2,HLOOKUP($R$2,Ingreso!$AW$10:$BC$260,VLOOKUP(A1297,Ingreso!AL:AM,2,FALSE),FALSE)/24,""))),"")=0,"",IFERROR(IF(C1297=C1295,0,IF(E1297=E1296,0,IF(C1297=$R$2,HLOOKUP($R$2,Ingreso!$AW$10:$BC$260,VLOOKUP(A1297,Ingreso!AL:AM,2,FALSE),FALSE)/24,""))),""))</f>
        <v/>
      </c>
      <c r="N1297" s="95" t="str">
        <f>IF(IFERROR(IF(C1297=C1295,0,IF(E1297=E1296,0,IF(C1297=$R$3,HLOOKUP($R$3,Ingreso!$AW$10:$BC$260,VLOOKUP(A1297,Ingreso!AL:AM,2,FALSE),FALSE)/24,""))),"")=0,"",IFERROR(IF(C1297=C1295,0,IF(E1297=E1296,0,IF(C1297=$R$3,HLOOKUP($R$3,Ingreso!$AW$10:$BC$260,VLOOKUP(A1297,Ingreso!AL:AM,2,FALSE),FALSE)/24,""))),""))</f>
        <v/>
      </c>
      <c r="O1297" s="95" t="str">
        <f>IF(IFERROR(IF(C1297=C1295,0,IF(E1297=E1296,0,IF(C1297=$R$4,HLOOKUP($R$4,Ingreso!$AW$10:$BC$260,VLOOKUP(A1297,Ingreso!AL:AM,2,FALSE),FALSE)/24,""))),"")=0,"",IFERROR(IF(C1297=C1295,0,IF(E1297=E1296,0,IF(C1297=$R$4,HLOOKUP($R$4,Ingreso!$AW$10:$BC$260,VLOOKUP(A1297,Ingreso!AL:AM,2,FALSE),FALSE)/24,""))),""))</f>
        <v/>
      </c>
      <c r="P1297" s="90"/>
      <c r="V1297"/>
      <c r="W1297" s="62"/>
      <c r="X1297" s="62"/>
      <c r="Y1297" s="62"/>
      <c r="Z1297" s="62"/>
      <c r="AA1297" s="62"/>
      <c r="AB1297" s="62"/>
      <c r="AC1297" s="62"/>
    </row>
    <row r="1298" spans="1:29">
      <c r="A1298" s="65" t="str">
        <f>IFERROR(VLOOKUP('Informe Kelly'!A1291,Base!A:B,2,FALSE),"")</f>
        <v/>
      </c>
      <c r="B1298" s="65" t="str">
        <f>IFERROR(VLOOKUP('Informe Kelly'!A1291,Base!A:G,7,FALSE),"")</f>
        <v/>
      </c>
      <c r="C1298" s="69">
        <f>IF(G1298=$C$4,IF('Informe Kelly'!H1291='Control informe Kelly'!$A$2,TEXT(((LEFT('Informe Kelly'!E1291,2)*1)+1),"dd")&amp;"."&amp;MID('Informe Kelly'!E1291,4,2)&amp;"."&amp;RIGHT('Informe Kelly'!E1291,4),'Informe Kelly'!E1291),'Informe Kelly'!E1291)</f>
        <v>0</v>
      </c>
      <c r="D1298" s="69" t="str">
        <f>IF('Informe Kelly'!E1291="","",'Informe Kelly'!E1291)</f>
        <v/>
      </c>
      <c r="E1298" s="72">
        <f t="shared" si="41"/>
        <v>581</v>
      </c>
      <c r="F1298" s="72" t="str">
        <f>IFERROR(HLOOKUP(C1298,Ingreso!$Q$8:$AD$9,2,FALSE),"v")</f>
        <v>v</v>
      </c>
      <c r="G1298" s="65" t="str">
        <f>IFERROR(VLOOKUP(A1298,Ingreso!K:P,6,FALSE),"no esta ingresado")</f>
        <v>no esta ingresado</v>
      </c>
      <c r="H1298" s="65" t="str">
        <f>IFERROR(IF('Informe Kelly'!H1291=$A$2,'Informe Kelly'!F1291,""),0)</f>
        <v/>
      </c>
      <c r="I1298" s="65" t="str">
        <f>IFERROR(IF('Informe Kelly'!H1291=$A$3,'Informe Kelly'!F1291,""),0)</f>
        <v/>
      </c>
      <c r="J1298" s="65" t="str">
        <f>IF(IFERROR(IF(E1298=E1297,0,(HLOOKUP(D1298,Ingreso!$AN$10:$AT$260,VLOOKUP(A1298,Ingreso!$AL$11:$AM$260,2,FALSE)))/24),0)=0,"",IFERROR(IF(E1298=E1297,0,(HLOOKUP(D1298,Ingreso!$AN$10:$AT$260,VLOOKUP(A1298,Ingreso!$AL$11:$AM$260,2,FALSE)))/24),0))</f>
        <v/>
      </c>
      <c r="K1298" s="65" t="str">
        <f>IF(IFERROR(IF(E1298=E1297,0,(HLOOKUP(C1298,Ingreso!$AW$10:$BC$260,VLOOKUP(A1298,Ingreso!$AL$11:$AM$260,2,FALSE)))/24),0)=0,"",IFERROR(IF(E1298=E1297,0,(HLOOKUP(C1298,Ingreso!$AW$10:$BC$260,VLOOKUP(A1298,Ingreso!$AL$11:$AM$260,2,FALSE)))/24),0))</f>
        <v/>
      </c>
      <c r="L1298" s="63">
        <f t="shared" si="40"/>
        <v>0</v>
      </c>
      <c r="M1298" s="63" t="str">
        <f>IF(IFERROR(IF(C1298=C1296,0,IF(E1298=E1297,0,IF(C1298=$R$2,HLOOKUP($R$2,Ingreso!$AW$10:$BC$260,VLOOKUP(A1298,Ingreso!AL:AM,2,FALSE),FALSE)/24,""))),"")=0,"",IFERROR(IF(C1298=C1296,0,IF(E1298=E1297,0,IF(C1298=$R$2,HLOOKUP($R$2,Ingreso!$AW$10:$BC$260,VLOOKUP(A1298,Ingreso!AL:AM,2,FALSE),FALSE)/24,""))),""))</f>
        <v/>
      </c>
      <c r="N1298" s="95" t="str">
        <f>IF(IFERROR(IF(C1298=C1296,0,IF(E1298=E1297,0,IF(C1298=$R$3,HLOOKUP($R$3,Ingreso!$AW$10:$BC$260,VLOOKUP(A1298,Ingreso!AL:AM,2,FALSE),FALSE)/24,""))),"")=0,"",IFERROR(IF(C1298=C1296,0,IF(E1298=E1297,0,IF(C1298=$R$3,HLOOKUP($R$3,Ingreso!$AW$10:$BC$260,VLOOKUP(A1298,Ingreso!AL:AM,2,FALSE),FALSE)/24,""))),""))</f>
        <v/>
      </c>
      <c r="O1298" s="95" t="str">
        <f>IF(IFERROR(IF(C1298=C1296,0,IF(E1298=E1297,0,IF(C1298=$R$4,HLOOKUP($R$4,Ingreso!$AW$10:$BC$260,VLOOKUP(A1298,Ingreso!AL:AM,2,FALSE),FALSE)/24,""))),"")=0,"",IFERROR(IF(C1298=C1296,0,IF(E1298=E1297,0,IF(C1298=$R$4,HLOOKUP($R$4,Ingreso!$AW$10:$BC$260,VLOOKUP(A1298,Ingreso!AL:AM,2,FALSE),FALSE)/24,""))),""))</f>
        <v/>
      </c>
      <c r="P1298" s="90"/>
      <c r="V1298"/>
      <c r="W1298" s="62"/>
      <c r="X1298" s="62"/>
      <c r="Y1298" s="62"/>
      <c r="Z1298" s="62"/>
      <c r="AA1298" s="62"/>
      <c r="AB1298" s="62"/>
      <c r="AC1298" s="62"/>
    </row>
    <row r="1299" spans="1:29">
      <c r="A1299" s="65" t="str">
        <f>IFERROR(VLOOKUP('Informe Kelly'!A1292,Base!A:B,2,FALSE),"")</f>
        <v/>
      </c>
      <c r="B1299" s="65" t="str">
        <f>IFERROR(VLOOKUP('Informe Kelly'!A1292,Base!A:G,7,FALSE),"")</f>
        <v/>
      </c>
      <c r="C1299" s="69">
        <f>IF(G1299=$C$4,IF('Informe Kelly'!H1292='Control informe Kelly'!$A$2,TEXT(((LEFT('Informe Kelly'!E1292,2)*1)+1),"dd")&amp;"."&amp;MID('Informe Kelly'!E1292,4,2)&amp;"."&amp;RIGHT('Informe Kelly'!E1292,4),'Informe Kelly'!E1292),'Informe Kelly'!E1292)</f>
        <v>0</v>
      </c>
      <c r="D1299" s="69" t="str">
        <f>IF('Informe Kelly'!E1292="","",'Informe Kelly'!E1292)</f>
        <v/>
      </c>
      <c r="E1299" s="72">
        <f t="shared" si="41"/>
        <v>581</v>
      </c>
      <c r="F1299" s="72" t="str">
        <f>IFERROR(HLOOKUP(C1299,Ingreso!$Q$8:$AD$9,2,FALSE),"v")</f>
        <v>v</v>
      </c>
      <c r="G1299" s="65" t="str">
        <f>IFERROR(VLOOKUP(A1299,Ingreso!K:P,6,FALSE),"no esta ingresado")</f>
        <v>no esta ingresado</v>
      </c>
      <c r="H1299" s="65" t="str">
        <f>IFERROR(IF('Informe Kelly'!H1292=$A$2,'Informe Kelly'!F1292,""),0)</f>
        <v/>
      </c>
      <c r="I1299" s="65" t="str">
        <f>IFERROR(IF('Informe Kelly'!H1292=$A$3,'Informe Kelly'!F1292,""),0)</f>
        <v/>
      </c>
      <c r="J1299" s="65" t="str">
        <f>IF(IFERROR(IF(E1299=E1298,0,(HLOOKUP(D1299,Ingreso!$AN$10:$AT$260,VLOOKUP(A1299,Ingreso!$AL$11:$AM$260,2,FALSE)))/24),0)=0,"",IFERROR(IF(E1299=E1298,0,(HLOOKUP(D1299,Ingreso!$AN$10:$AT$260,VLOOKUP(A1299,Ingreso!$AL$11:$AM$260,2,FALSE)))/24),0))</f>
        <v/>
      </c>
      <c r="K1299" s="65" t="str">
        <f>IF(IFERROR(IF(E1299=E1298,0,(HLOOKUP(C1299,Ingreso!$AW$10:$BC$260,VLOOKUP(A1299,Ingreso!$AL$11:$AM$260,2,FALSE)))/24),0)=0,"",IFERROR(IF(E1299=E1298,0,(HLOOKUP(C1299,Ingreso!$AW$10:$BC$260,VLOOKUP(A1299,Ingreso!$AL$11:$AM$260,2,FALSE)))/24),0))</f>
        <v/>
      </c>
      <c r="L1299" s="63">
        <f t="shared" si="40"/>
        <v>0</v>
      </c>
      <c r="M1299" s="63" t="str">
        <f>IF(IFERROR(IF(C1299=C1297,0,IF(E1299=E1298,0,IF(C1299=$R$2,HLOOKUP($R$2,Ingreso!$AW$10:$BC$260,VLOOKUP(A1299,Ingreso!AL:AM,2,FALSE),FALSE)/24,""))),"")=0,"",IFERROR(IF(C1299=C1297,0,IF(E1299=E1298,0,IF(C1299=$R$2,HLOOKUP($R$2,Ingreso!$AW$10:$BC$260,VLOOKUP(A1299,Ingreso!AL:AM,2,FALSE),FALSE)/24,""))),""))</f>
        <v/>
      </c>
      <c r="N1299" s="95" t="str">
        <f>IF(IFERROR(IF(C1299=C1297,0,IF(E1299=E1298,0,IF(C1299=$R$3,HLOOKUP($R$3,Ingreso!$AW$10:$BC$260,VLOOKUP(A1299,Ingreso!AL:AM,2,FALSE),FALSE)/24,""))),"")=0,"",IFERROR(IF(C1299=C1297,0,IF(E1299=E1298,0,IF(C1299=$R$3,HLOOKUP($R$3,Ingreso!$AW$10:$BC$260,VLOOKUP(A1299,Ingreso!AL:AM,2,FALSE),FALSE)/24,""))),""))</f>
        <v/>
      </c>
      <c r="O1299" s="95" t="str">
        <f>IF(IFERROR(IF(C1299=C1297,0,IF(E1299=E1298,0,IF(C1299=$R$4,HLOOKUP($R$4,Ingreso!$AW$10:$BC$260,VLOOKUP(A1299,Ingreso!AL:AM,2,FALSE),FALSE)/24,""))),"")=0,"",IFERROR(IF(C1299=C1297,0,IF(E1299=E1298,0,IF(C1299=$R$4,HLOOKUP($R$4,Ingreso!$AW$10:$BC$260,VLOOKUP(A1299,Ingreso!AL:AM,2,FALSE),FALSE)/24,""))),""))</f>
        <v/>
      </c>
      <c r="P1299" s="90"/>
      <c r="V1299"/>
      <c r="W1299" s="62"/>
      <c r="X1299" s="62"/>
      <c r="Y1299" s="62"/>
      <c r="Z1299" s="62"/>
      <c r="AA1299" s="62"/>
      <c r="AB1299" s="62"/>
      <c r="AC1299" s="62"/>
    </row>
    <row r="1300" spans="1:29">
      <c r="A1300" s="65" t="str">
        <f>IFERROR(VLOOKUP('Informe Kelly'!A1293,Base!A:B,2,FALSE),"")</f>
        <v/>
      </c>
      <c r="B1300" s="65" t="str">
        <f>IFERROR(VLOOKUP('Informe Kelly'!A1293,Base!A:G,7,FALSE),"")</f>
        <v/>
      </c>
      <c r="C1300" s="69">
        <f>IF(G1300=$C$4,IF('Informe Kelly'!H1293='Control informe Kelly'!$A$2,TEXT(((LEFT('Informe Kelly'!E1293,2)*1)+1),"dd")&amp;"."&amp;MID('Informe Kelly'!E1293,4,2)&amp;"."&amp;RIGHT('Informe Kelly'!E1293,4),'Informe Kelly'!E1293),'Informe Kelly'!E1293)</f>
        <v>0</v>
      </c>
      <c r="D1300" s="69" t="str">
        <f>IF('Informe Kelly'!E1293="","",'Informe Kelly'!E1293)</f>
        <v/>
      </c>
      <c r="E1300" s="72">
        <f t="shared" si="41"/>
        <v>581</v>
      </c>
      <c r="F1300" s="72" t="str">
        <f>IFERROR(HLOOKUP(C1300,Ingreso!$Q$8:$AD$9,2,FALSE),"v")</f>
        <v>v</v>
      </c>
      <c r="G1300" s="65" t="str">
        <f>IFERROR(VLOOKUP(A1300,Ingreso!K:P,6,FALSE),"no esta ingresado")</f>
        <v>no esta ingresado</v>
      </c>
      <c r="H1300" s="65" t="str">
        <f>IFERROR(IF('Informe Kelly'!H1293=$A$2,'Informe Kelly'!F1293,""),0)</f>
        <v/>
      </c>
      <c r="I1300" s="65" t="str">
        <f>IFERROR(IF('Informe Kelly'!H1293=$A$3,'Informe Kelly'!F1293,""),0)</f>
        <v/>
      </c>
      <c r="J1300" s="65" t="str">
        <f>IF(IFERROR(IF(E1300=E1299,0,(HLOOKUP(D1300,Ingreso!$AN$10:$AT$260,VLOOKUP(A1300,Ingreso!$AL$11:$AM$260,2,FALSE)))/24),0)=0,"",IFERROR(IF(E1300=E1299,0,(HLOOKUP(D1300,Ingreso!$AN$10:$AT$260,VLOOKUP(A1300,Ingreso!$AL$11:$AM$260,2,FALSE)))/24),0))</f>
        <v/>
      </c>
      <c r="K1300" s="65" t="str">
        <f>IF(IFERROR(IF(E1300=E1299,0,(HLOOKUP(C1300,Ingreso!$AW$10:$BC$260,VLOOKUP(A1300,Ingreso!$AL$11:$AM$260,2,FALSE)))/24),0)=0,"",IFERROR(IF(E1300=E1299,0,(HLOOKUP(C1300,Ingreso!$AW$10:$BC$260,VLOOKUP(A1300,Ingreso!$AL$11:$AM$260,2,FALSE)))/24),0))</f>
        <v/>
      </c>
      <c r="L1300" s="63">
        <f t="shared" si="40"/>
        <v>0</v>
      </c>
      <c r="M1300" s="63" t="str">
        <f>IF(IFERROR(IF(C1300=C1298,0,IF(E1300=E1299,0,IF(C1300=$R$2,HLOOKUP($R$2,Ingreso!$AW$10:$BC$260,VLOOKUP(A1300,Ingreso!AL:AM,2,FALSE),FALSE)/24,""))),"")=0,"",IFERROR(IF(C1300=C1298,0,IF(E1300=E1299,0,IF(C1300=$R$2,HLOOKUP($R$2,Ingreso!$AW$10:$BC$260,VLOOKUP(A1300,Ingreso!AL:AM,2,FALSE),FALSE)/24,""))),""))</f>
        <v/>
      </c>
      <c r="N1300" s="95" t="str">
        <f>IF(IFERROR(IF(C1300=C1298,0,IF(E1300=E1299,0,IF(C1300=$R$3,HLOOKUP($R$3,Ingreso!$AW$10:$BC$260,VLOOKUP(A1300,Ingreso!AL:AM,2,FALSE),FALSE)/24,""))),"")=0,"",IFERROR(IF(C1300=C1298,0,IF(E1300=E1299,0,IF(C1300=$R$3,HLOOKUP($R$3,Ingreso!$AW$10:$BC$260,VLOOKUP(A1300,Ingreso!AL:AM,2,FALSE),FALSE)/24,""))),""))</f>
        <v/>
      </c>
      <c r="O1300" s="95" t="str">
        <f>IF(IFERROR(IF(C1300=C1298,0,IF(E1300=E1299,0,IF(C1300=$R$4,HLOOKUP($R$4,Ingreso!$AW$10:$BC$260,VLOOKUP(A1300,Ingreso!AL:AM,2,FALSE),FALSE)/24,""))),"")=0,"",IFERROR(IF(C1300=C1298,0,IF(E1300=E1299,0,IF(C1300=$R$4,HLOOKUP($R$4,Ingreso!$AW$10:$BC$260,VLOOKUP(A1300,Ingreso!AL:AM,2,FALSE),FALSE)/24,""))),""))</f>
        <v/>
      </c>
      <c r="P1300" s="90"/>
      <c r="V1300"/>
      <c r="W1300" s="62"/>
      <c r="X1300" s="62"/>
      <c r="Y1300" s="62"/>
      <c r="Z1300" s="62"/>
      <c r="AA1300" s="62"/>
      <c r="AB1300" s="62"/>
      <c r="AC1300" s="62"/>
    </row>
    <row r="1301" spans="1:29">
      <c r="A1301" s="65" t="str">
        <f>IFERROR(VLOOKUP('Informe Kelly'!A1294,Base!A:B,2,FALSE),"")</f>
        <v/>
      </c>
      <c r="B1301" s="65" t="str">
        <f>IFERROR(VLOOKUP('Informe Kelly'!A1294,Base!A:G,7,FALSE),"")</f>
        <v/>
      </c>
      <c r="C1301" s="69">
        <f>IF(G1301=$C$4,IF('Informe Kelly'!H1294='Control informe Kelly'!$A$2,TEXT(((LEFT('Informe Kelly'!E1294,2)*1)+1),"dd")&amp;"."&amp;MID('Informe Kelly'!E1294,4,2)&amp;"."&amp;RIGHT('Informe Kelly'!E1294,4),'Informe Kelly'!E1294),'Informe Kelly'!E1294)</f>
        <v>0</v>
      </c>
      <c r="D1301" s="69" t="str">
        <f>IF('Informe Kelly'!E1294="","",'Informe Kelly'!E1294)</f>
        <v/>
      </c>
      <c r="E1301" s="72">
        <f t="shared" si="41"/>
        <v>581</v>
      </c>
      <c r="F1301" s="72" t="str">
        <f>IFERROR(HLOOKUP(C1301,Ingreso!$Q$8:$AD$9,2,FALSE),"v")</f>
        <v>v</v>
      </c>
      <c r="G1301" s="65" t="str">
        <f>IFERROR(VLOOKUP(A1301,Ingreso!K:P,6,FALSE),"no esta ingresado")</f>
        <v>no esta ingresado</v>
      </c>
      <c r="H1301" s="65" t="str">
        <f>IFERROR(IF('Informe Kelly'!H1294=$A$2,'Informe Kelly'!F1294,""),0)</f>
        <v/>
      </c>
      <c r="I1301" s="65" t="str">
        <f>IFERROR(IF('Informe Kelly'!H1294=$A$3,'Informe Kelly'!F1294,""),0)</f>
        <v/>
      </c>
      <c r="J1301" s="65" t="str">
        <f>IF(IFERROR(IF(E1301=E1300,0,(HLOOKUP(D1301,Ingreso!$AN$10:$AT$260,VLOOKUP(A1301,Ingreso!$AL$11:$AM$260,2,FALSE)))/24),0)=0,"",IFERROR(IF(E1301=E1300,0,(HLOOKUP(D1301,Ingreso!$AN$10:$AT$260,VLOOKUP(A1301,Ingreso!$AL$11:$AM$260,2,FALSE)))/24),0))</f>
        <v/>
      </c>
      <c r="K1301" s="65" t="str">
        <f>IF(IFERROR(IF(E1301=E1300,0,(HLOOKUP(C1301,Ingreso!$AW$10:$BC$260,VLOOKUP(A1301,Ingreso!$AL$11:$AM$260,2,FALSE)))/24),0)=0,"",IFERROR(IF(E1301=E1300,0,(HLOOKUP(C1301,Ingreso!$AW$10:$BC$260,VLOOKUP(A1301,Ingreso!$AL$11:$AM$260,2,FALSE)))/24),0))</f>
        <v/>
      </c>
      <c r="L1301" s="63">
        <f t="shared" si="40"/>
        <v>0</v>
      </c>
      <c r="M1301" s="63" t="str">
        <f>IF(IFERROR(IF(C1301=C1299,0,IF(E1301=E1300,0,IF(C1301=$R$2,HLOOKUP($R$2,Ingreso!$AW$10:$BC$260,VLOOKUP(A1301,Ingreso!AL:AM,2,FALSE),FALSE)/24,""))),"")=0,"",IFERROR(IF(C1301=C1299,0,IF(E1301=E1300,0,IF(C1301=$R$2,HLOOKUP($R$2,Ingreso!$AW$10:$BC$260,VLOOKUP(A1301,Ingreso!AL:AM,2,FALSE),FALSE)/24,""))),""))</f>
        <v/>
      </c>
      <c r="N1301" s="95" t="str">
        <f>IF(IFERROR(IF(C1301=C1299,0,IF(E1301=E1300,0,IF(C1301=$R$3,HLOOKUP($R$3,Ingreso!$AW$10:$BC$260,VLOOKUP(A1301,Ingreso!AL:AM,2,FALSE),FALSE)/24,""))),"")=0,"",IFERROR(IF(C1301=C1299,0,IF(E1301=E1300,0,IF(C1301=$R$3,HLOOKUP($R$3,Ingreso!$AW$10:$BC$260,VLOOKUP(A1301,Ingreso!AL:AM,2,FALSE),FALSE)/24,""))),""))</f>
        <v/>
      </c>
      <c r="O1301" s="95" t="str">
        <f>IF(IFERROR(IF(C1301=C1299,0,IF(E1301=E1300,0,IF(C1301=$R$4,HLOOKUP($R$4,Ingreso!$AW$10:$BC$260,VLOOKUP(A1301,Ingreso!AL:AM,2,FALSE),FALSE)/24,""))),"")=0,"",IFERROR(IF(C1301=C1299,0,IF(E1301=E1300,0,IF(C1301=$R$4,HLOOKUP($R$4,Ingreso!$AW$10:$BC$260,VLOOKUP(A1301,Ingreso!AL:AM,2,FALSE),FALSE)/24,""))),""))</f>
        <v/>
      </c>
      <c r="P1301" s="90"/>
      <c r="V1301"/>
      <c r="W1301" s="62"/>
      <c r="X1301" s="62"/>
      <c r="Y1301" s="62"/>
      <c r="Z1301" s="62"/>
      <c r="AA1301" s="62"/>
      <c r="AB1301" s="62"/>
      <c r="AC1301" s="62"/>
    </row>
    <row r="1302" spans="1:29">
      <c r="A1302" s="65" t="str">
        <f>IFERROR(VLOOKUP('Informe Kelly'!A1295,Base!A:B,2,FALSE),"")</f>
        <v/>
      </c>
      <c r="B1302" s="65" t="str">
        <f>IFERROR(VLOOKUP('Informe Kelly'!A1295,Base!A:G,7,FALSE),"")</f>
        <v/>
      </c>
      <c r="C1302" s="69">
        <f>IF(G1302=$C$4,IF('Informe Kelly'!H1295='Control informe Kelly'!$A$2,TEXT(((LEFT('Informe Kelly'!E1295,2)*1)+1),"dd")&amp;"."&amp;MID('Informe Kelly'!E1295,4,2)&amp;"."&amp;RIGHT('Informe Kelly'!E1295,4),'Informe Kelly'!E1295),'Informe Kelly'!E1295)</f>
        <v>0</v>
      </c>
      <c r="D1302" s="69" t="str">
        <f>IF('Informe Kelly'!E1295="","",'Informe Kelly'!E1295)</f>
        <v/>
      </c>
      <c r="E1302" s="72">
        <f t="shared" si="41"/>
        <v>581</v>
      </c>
      <c r="F1302" s="72" t="str">
        <f>IFERROR(HLOOKUP(C1302,Ingreso!$Q$8:$AD$9,2,FALSE),"v")</f>
        <v>v</v>
      </c>
      <c r="G1302" s="65" t="str">
        <f>IFERROR(VLOOKUP(A1302,Ingreso!K:P,6,FALSE),"no esta ingresado")</f>
        <v>no esta ingresado</v>
      </c>
      <c r="H1302" s="65" t="str">
        <f>IFERROR(IF('Informe Kelly'!H1295=$A$2,'Informe Kelly'!F1295,""),0)</f>
        <v/>
      </c>
      <c r="I1302" s="65" t="str">
        <f>IFERROR(IF('Informe Kelly'!H1295=$A$3,'Informe Kelly'!F1295,""),0)</f>
        <v/>
      </c>
      <c r="J1302" s="65" t="str">
        <f>IF(IFERROR(IF(E1302=E1301,0,(HLOOKUP(D1302,Ingreso!$AN$10:$AT$260,VLOOKUP(A1302,Ingreso!$AL$11:$AM$260,2,FALSE)))/24),0)=0,"",IFERROR(IF(E1302=E1301,0,(HLOOKUP(D1302,Ingreso!$AN$10:$AT$260,VLOOKUP(A1302,Ingreso!$AL$11:$AM$260,2,FALSE)))/24),0))</f>
        <v/>
      </c>
      <c r="K1302" s="65" t="str">
        <f>IF(IFERROR(IF(E1302=E1301,0,(HLOOKUP(C1302,Ingreso!$AW$10:$BC$260,VLOOKUP(A1302,Ingreso!$AL$11:$AM$260,2,FALSE)))/24),0)=0,"",IFERROR(IF(E1302=E1301,0,(HLOOKUP(C1302,Ingreso!$AW$10:$BC$260,VLOOKUP(A1302,Ingreso!$AL$11:$AM$260,2,FALSE)))/24),0))</f>
        <v/>
      </c>
      <c r="L1302" s="63">
        <f t="shared" si="40"/>
        <v>0</v>
      </c>
      <c r="M1302" s="63" t="str">
        <f>IF(IFERROR(IF(C1302=C1300,0,IF(E1302=E1301,0,IF(C1302=$R$2,HLOOKUP($R$2,Ingreso!$AW$10:$BC$260,VLOOKUP(A1302,Ingreso!AL:AM,2,FALSE),FALSE)/24,""))),"")=0,"",IFERROR(IF(C1302=C1300,0,IF(E1302=E1301,0,IF(C1302=$R$2,HLOOKUP($R$2,Ingreso!$AW$10:$BC$260,VLOOKUP(A1302,Ingreso!AL:AM,2,FALSE),FALSE)/24,""))),""))</f>
        <v/>
      </c>
      <c r="N1302" s="95" t="str">
        <f>IF(IFERROR(IF(C1302=C1300,0,IF(E1302=E1301,0,IF(C1302=$R$3,HLOOKUP($R$3,Ingreso!$AW$10:$BC$260,VLOOKUP(A1302,Ingreso!AL:AM,2,FALSE),FALSE)/24,""))),"")=0,"",IFERROR(IF(C1302=C1300,0,IF(E1302=E1301,0,IF(C1302=$R$3,HLOOKUP($R$3,Ingreso!$AW$10:$BC$260,VLOOKUP(A1302,Ingreso!AL:AM,2,FALSE),FALSE)/24,""))),""))</f>
        <v/>
      </c>
      <c r="O1302" s="95" t="str">
        <f>IF(IFERROR(IF(C1302=C1300,0,IF(E1302=E1301,0,IF(C1302=$R$4,HLOOKUP($R$4,Ingreso!$AW$10:$BC$260,VLOOKUP(A1302,Ingreso!AL:AM,2,FALSE),FALSE)/24,""))),"")=0,"",IFERROR(IF(C1302=C1300,0,IF(E1302=E1301,0,IF(C1302=$R$4,HLOOKUP($R$4,Ingreso!$AW$10:$BC$260,VLOOKUP(A1302,Ingreso!AL:AM,2,FALSE),FALSE)/24,""))),""))</f>
        <v/>
      </c>
      <c r="P1302" s="90"/>
      <c r="V1302"/>
      <c r="W1302" s="62"/>
      <c r="X1302" s="62"/>
      <c r="Y1302" s="62"/>
      <c r="Z1302" s="62"/>
      <c r="AA1302" s="62"/>
      <c r="AB1302" s="62"/>
      <c r="AC1302" s="62"/>
    </row>
    <row r="1303" spans="1:29">
      <c r="A1303" s="65" t="str">
        <f>IFERROR(VLOOKUP('Informe Kelly'!A1296,Base!A:B,2,FALSE),"")</f>
        <v/>
      </c>
      <c r="B1303" s="65" t="str">
        <f>IFERROR(VLOOKUP('Informe Kelly'!A1296,Base!A:G,7,FALSE),"")</f>
        <v/>
      </c>
      <c r="C1303" s="69">
        <f>IF(G1303=$C$4,IF('Informe Kelly'!H1296='Control informe Kelly'!$A$2,TEXT(((LEFT('Informe Kelly'!E1296,2)*1)+1),"dd")&amp;"."&amp;MID('Informe Kelly'!E1296,4,2)&amp;"."&amp;RIGHT('Informe Kelly'!E1296,4),'Informe Kelly'!E1296),'Informe Kelly'!E1296)</f>
        <v>0</v>
      </c>
      <c r="D1303" s="69" t="str">
        <f>IF('Informe Kelly'!E1296="","",'Informe Kelly'!E1296)</f>
        <v/>
      </c>
      <c r="E1303" s="72">
        <f t="shared" si="41"/>
        <v>581</v>
      </c>
      <c r="F1303" s="72" t="str">
        <f>IFERROR(HLOOKUP(C1303,Ingreso!$Q$8:$AD$9,2,FALSE),"v")</f>
        <v>v</v>
      </c>
      <c r="G1303" s="65" t="str">
        <f>IFERROR(VLOOKUP(A1303,Ingreso!K:P,6,FALSE),"no esta ingresado")</f>
        <v>no esta ingresado</v>
      </c>
      <c r="H1303" s="65" t="str">
        <f>IFERROR(IF('Informe Kelly'!H1296=$A$2,'Informe Kelly'!F1296,""),0)</f>
        <v/>
      </c>
      <c r="I1303" s="65" t="str">
        <f>IFERROR(IF('Informe Kelly'!H1296=$A$3,'Informe Kelly'!F1296,""),0)</f>
        <v/>
      </c>
      <c r="J1303" s="65" t="str">
        <f>IF(IFERROR(IF(E1303=E1302,0,(HLOOKUP(D1303,Ingreso!$AN$10:$AT$260,VLOOKUP(A1303,Ingreso!$AL$11:$AM$260,2,FALSE)))/24),0)=0,"",IFERROR(IF(E1303=E1302,0,(HLOOKUP(D1303,Ingreso!$AN$10:$AT$260,VLOOKUP(A1303,Ingreso!$AL$11:$AM$260,2,FALSE)))/24),0))</f>
        <v/>
      </c>
      <c r="K1303" s="65" t="str">
        <f>IF(IFERROR(IF(E1303=E1302,0,(HLOOKUP(C1303,Ingreso!$AW$10:$BC$260,VLOOKUP(A1303,Ingreso!$AL$11:$AM$260,2,FALSE)))/24),0)=0,"",IFERROR(IF(E1303=E1302,0,(HLOOKUP(C1303,Ingreso!$AW$10:$BC$260,VLOOKUP(A1303,Ingreso!$AL$11:$AM$260,2,FALSE)))/24),0))</f>
        <v/>
      </c>
      <c r="L1303" s="63">
        <f t="shared" si="40"/>
        <v>0</v>
      </c>
      <c r="M1303" s="63" t="str">
        <f>IF(IFERROR(IF(C1303=C1301,0,IF(E1303=E1302,0,IF(C1303=$R$2,HLOOKUP($R$2,Ingreso!$AW$10:$BC$260,VLOOKUP(A1303,Ingreso!AL:AM,2,FALSE),FALSE)/24,""))),"")=0,"",IFERROR(IF(C1303=C1301,0,IF(E1303=E1302,0,IF(C1303=$R$2,HLOOKUP($R$2,Ingreso!$AW$10:$BC$260,VLOOKUP(A1303,Ingreso!AL:AM,2,FALSE),FALSE)/24,""))),""))</f>
        <v/>
      </c>
      <c r="N1303" s="95" t="str">
        <f>IF(IFERROR(IF(C1303=C1301,0,IF(E1303=E1302,0,IF(C1303=$R$3,HLOOKUP($R$3,Ingreso!$AW$10:$BC$260,VLOOKUP(A1303,Ingreso!AL:AM,2,FALSE),FALSE)/24,""))),"")=0,"",IFERROR(IF(C1303=C1301,0,IF(E1303=E1302,0,IF(C1303=$R$3,HLOOKUP($R$3,Ingreso!$AW$10:$BC$260,VLOOKUP(A1303,Ingreso!AL:AM,2,FALSE),FALSE)/24,""))),""))</f>
        <v/>
      </c>
      <c r="O1303" s="95" t="str">
        <f>IF(IFERROR(IF(C1303=C1301,0,IF(E1303=E1302,0,IF(C1303=$R$4,HLOOKUP($R$4,Ingreso!$AW$10:$BC$260,VLOOKUP(A1303,Ingreso!AL:AM,2,FALSE),FALSE)/24,""))),"")=0,"",IFERROR(IF(C1303=C1301,0,IF(E1303=E1302,0,IF(C1303=$R$4,HLOOKUP($R$4,Ingreso!$AW$10:$BC$260,VLOOKUP(A1303,Ingreso!AL:AM,2,FALSE),FALSE)/24,""))),""))</f>
        <v/>
      </c>
      <c r="P1303" s="90"/>
      <c r="V1303"/>
      <c r="W1303" s="62"/>
      <c r="X1303" s="62"/>
      <c r="Y1303" s="62"/>
      <c r="Z1303" s="62"/>
      <c r="AA1303" s="62"/>
      <c r="AB1303" s="62"/>
      <c r="AC1303" s="62"/>
    </row>
    <row r="1304" spans="1:29">
      <c r="A1304" s="65" t="str">
        <f>IFERROR(VLOOKUP('Informe Kelly'!A1297,Base!A:B,2,FALSE),"")</f>
        <v/>
      </c>
      <c r="B1304" s="65" t="str">
        <f>IFERROR(VLOOKUP('Informe Kelly'!A1297,Base!A:G,7,FALSE),"")</f>
        <v/>
      </c>
      <c r="C1304" s="69">
        <f>IF(G1304=$C$4,IF('Informe Kelly'!H1297='Control informe Kelly'!$A$2,TEXT(((LEFT('Informe Kelly'!E1297,2)*1)+1),"dd")&amp;"."&amp;MID('Informe Kelly'!E1297,4,2)&amp;"."&amp;RIGHT('Informe Kelly'!E1297,4),'Informe Kelly'!E1297),'Informe Kelly'!E1297)</f>
        <v>0</v>
      </c>
      <c r="D1304" s="69" t="str">
        <f>IF('Informe Kelly'!E1297="","",'Informe Kelly'!E1297)</f>
        <v/>
      </c>
      <c r="E1304" s="72">
        <f t="shared" si="41"/>
        <v>581</v>
      </c>
      <c r="F1304" s="72" t="str">
        <f>IFERROR(HLOOKUP(C1304,Ingreso!$Q$8:$AD$9,2,FALSE),"v")</f>
        <v>v</v>
      </c>
      <c r="G1304" s="65" t="str">
        <f>IFERROR(VLOOKUP(A1304,Ingreso!K:P,6,FALSE),"no esta ingresado")</f>
        <v>no esta ingresado</v>
      </c>
      <c r="H1304" s="65" t="str">
        <f>IFERROR(IF('Informe Kelly'!H1297=$A$2,'Informe Kelly'!F1297,""),0)</f>
        <v/>
      </c>
      <c r="I1304" s="65" t="str">
        <f>IFERROR(IF('Informe Kelly'!H1297=$A$3,'Informe Kelly'!F1297,""),0)</f>
        <v/>
      </c>
      <c r="J1304" s="65" t="str">
        <f>IF(IFERROR(IF(E1304=E1303,0,(HLOOKUP(D1304,Ingreso!$AN$10:$AT$260,VLOOKUP(A1304,Ingreso!$AL$11:$AM$260,2,FALSE)))/24),0)=0,"",IFERROR(IF(E1304=E1303,0,(HLOOKUP(D1304,Ingreso!$AN$10:$AT$260,VLOOKUP(A1304,Ingreso!$AL$11:$AM$260,2,FALSE)))/24),0))</f>
        <v/>
      </c>
      <c r="K1304" s="65" t="str">
        <f>IF(IFERROR(IF(E1304=E1303,0,(HLOOKUP(C1304,Ingreso!$AW$10:$BC$260,VLOOKUP(A1304,Ingreso!$AL$11:$AM$260,2,FALSE)))/24),0)=0,"",IFERROR(IF(E1304=E1303,0,(HLOOKUP(C1304,Ingreso!$AW$10:$BC$260,VLOOKUP(A1304,Ingreso!$AL$11:$AM$260,2,FALSE)))/24),0))</f>
        <v/>
      </c>
      <c r="L1304" s="63">
        <f t="shared" si="40"/>
        <v>0</v>
      </c>
      <c r="M1304" s="63" t="str">
        <f>IF(IFERROR(IF(C1304=C1302,0,IF(E1304=E1303,0,IF(C1304=$R$2,HLOOKUP($R$2,Ingreso!$AW$10:$BC$260,VLOOKUP(A1304,Ingreso!AL:AM,2,FALSE),FALSE)/24,""))),"")=0,"",IFERROR(IF(C1304=C1302,0,IF(E1304=E1303,0,IF(C1304=$R$2,HLOOKUP($R$2,Ingreso!$AW$10:$BC$260,VLOOKUP(A1304,Ingreso!AL:AM,2,FALSE),FALSE)/24,""))),""))</f>
        <v/>
      </c>
      <c r="N1304" s="95" t="str">
        <f>IF(IFERROR(IF(C1304=C1302,0,IF(E1304=E1303,0,IF(C1304=$R$3,HLOOKUP($R$3,Ingreso!$AW$10:$BC$260,VLOOKUP(A1304,Ingreso!AL:AM,2,FALSE),FALSE)/24,""))),"")=0,"",IFERROR(IF(C1304=C1302,0,IF(E1304=E1303,0,IF(C1304=$R$3,HLOOKUP($R$3,Ingreso!$AW$10:$BC$260,VLOOKUP(A1304,Ingreso!AL:AM,2,FALSE),FALSE)/24,""))),""))</f>
        <v/>
      </c>
      <c r="O1304" s="95" t="str">
        <f>IF(IFERROR(IF(C1304=C1302,0,IF(E1304=E1303,0,IF(C1304=$R$4,HLOOKUP($R$4,Ingreso!$AW$10:$BC$260,VLOOKUP(A1304,Ingreso!AL:AM,2,FALSE),FALSE)/24,""))),"")=0,"",IFERROR(IF(C1304=C1302,0,IF(E1304=E1303,0,IF(C1304=$R$4,HLOOKUP($R$4,Ingreso!$AW$10:$BC$260,VLOOKUP(A1304,Ingreso!AL:AM,2,FALSE),FALSE)/24,""))),""))</f>
        <v/>
      </c>
      <c r="P1304" s="90"/>
      <c r="V1304"/>
      <c r="W1304" s="62"/>
      <c r="X1304" s="62"/>
      <c r="Y1304" s="62"/>
      <c r="Z1304" s="62"/>
      <c r="AA1304" s="62"/>
      <c r="AB1304" s="62"/>
      <c r="AC1304" s="62"/>
    </row>
    <row r="1305" spans="1:29">
      <c r="A1305" s="65" t="str">
        <f>IFERROR(VLOOKUP('Informe Kelly'!A1298,Base!A:B,2,FALSE),"")</f>
        <v/>
      </c>
      <c r="B1305" s="65" t="str">
        <f>IFERROR(VLOOKUP('Informe Kelly'!A1298,Base!A:G,7,FALSE),"")</f>
        <v/>
      </c>
      <c r="C1305" s="69">
        <f>IF(G1305=$C$4,IF('Informe Kelly'!H1298='Control informe Kelly'!$A$2,TEXT(((LEFT('Informe Kelly'!E1298,2)*1)+1),"dd")&amp;"."&amp;MID('Informe Kelly'!E1298,4,2)&amp;"."&amp;RIGHT('Informe Kelly'!E1298,4),'Informe Kelly'!E1298),'Informe Kelly'!E1298)</f>
        <v>0</v>
      </c>
      <c r="D1305" s="69" t="str">
        <f>IF('Informe Kelly'!E1298="","",'Informe Kelly'!E1298)</f>
        <v/>
      </c>
      <c r="E1305" s="72">
        <f t="shared" si="41"/>
        <v>581</v>
      </c>
      <c r="F1305" s="72" t="str">
        <f>IFERROR(HLOOKUP(C1305,Ingreso!$Q$8:$AD$9,2,FALSE),"v")</f>
        <v>v</v>
      </c>
      <c r="G1305" s="65" t="str">
        <f>IFERROR(VLOOKUP(A1305,Ingreso!K:P,6,FALSE),"no esta ingresado")</f>
        <v>no esta ingresado</v>
      </c>
      <c r="H1305" s="65" t="str">
        <f>IFERROR(IF('Informe Kelly'!H1298=$A$2,'Informe Kelly'!F1298,""),0)</f>
        <v/>
      </c>
      <c r="I1305" s="65" t="str">
        <f>IFERROR(IF('Informe Kelly'!H1298=$A$3,'Informe Kelly'!F1298,""),0)</f>
        <v/>
      </c>
      <c r="J1305" s="65" t="str">
        <f>IF(IFERROR(IF(E1305=E1304,0,(HLOOKUP(D1305,Ingreso!$AN$10:$AT$260,VLOOKUP(A1305,Ingreso!$AL$11:$AM$260,2,FALSE)))/24),0)=0,"",IFERROR(IF(E1305=E1304,0,(HLOOKUP(D1305,Ingreso!$AN$10:$AT$260,VLOOKUP(A1305,Ingreso!$AL$11:$AM$260,2,FALSE)))/24),0))</f>
        <v/>
      </c>
      <c r="K1305" s="65" t="str">
        <f>IF(IFERROR(IF(E1305=E1304,0,(HLOOKUP(C1305,Ingreso!$AW$10:$BC$260,VLOOKUP(A1305,Ingreso!$AL$11:$AM$260,2,FALSE)))/24),0)=0,"",IFERROR(IF(E1305=E1304,0,(HLOOKUP(C1305,Ingreso!$AW$10:$BC$260,VLOOKUP(A1305,Ingreso!$AL$11:$AM$260,2,FALSE)))/24),0))</f>
        <v/>
      </c>
      <c r="L1305" s="63">
        <f t="shared" si="40"/>
        <v>0</v>
      </c>
      <c r="M1305" s="63" t="str">
        <f>IF(IFERROR(IF(C1305=C1303,0,IF(E1305=E1304,0,IF(C1305=$R$2,HLOOKUP($R$2,Ingreso!$AW$10:$BC$260,VLOOKUP(A1305,Ingreso!AL:AM,2,FALSE),FALSE)/24,""))),"")=0,"",IFERROR(IF(C1305=C1303,0,IF(E1305=E1304,0,IF(C1305=$R$2,HLOOKUP($R$2,Ingreso!$AW$10:$BC$260,VLOOKUP(A1305,Ingreso!AL:AM,2,FALSE),FALSE)/24,""))),""))</f>
        <v/>
      </c>
      <c r="N1305" s="95" t="str">
        <f>IF(IFERROR(IF(C1305=C1303,0,IF(E1305=E1304,0,IF(C1305=$R$3,HLOOKUP($R$3,Ingreso!$AW$10:$BC$260,VLOOKUP(A1305,Ingreso!AL:AM,2,FALSE),FALSE)/24,""))),"")=0,"",IFERROR(IF(C1305=C1303,0,IF(E1305=E1304,0,IF(C1305=$R$3,HLOOKUP($R$3,Ingreso!$AW$10:$BC$260,VLOOKUP(A1305,Ingreso!AL:AM,2,FALSE),FALSE)/24,""))),""))</f>
        <v/>
      </c>
      <c r="O1305" s="95" t="str">
        <f>IF(IFERROR(IF(C1305=C1303,0,IF(E1305=E1304,0,IF(C1305=$R$4,HLOOKUP($R$4,Ingreso!$AW$10:$BC$260,VLOOKUP(A1305,Ingreso!AL:AM,2,FALSE),FALSE)/24,""))),"")=0,"",IFERROR(IF(C1305=C1303,0,IF(E1305=E1304,0,IF(C1305=$R$4,HLOOKUP($R$4,Ingreso!$AW$10:$BC$260,VLOOKUP(A1305,Ingreso!AL:AM,2,FALSE),FALSE)/24,""))),""))</f>
        <v/>
      </c>
      <c r="P1305" s="90"/>
      <c r="V1305"/>
      <c r="W1305" s="62"/>
      <c r="X1305" s="62"/>
      <c r="Y1305" s="62"/>
      <c r="Z1305" s="62"/>
      <c r="AA1305" s="62"/>
      <c r="AB1305" s="62"/>
      <c r="AC1305" s="62"/>
    </row>
    <row r="1306" spans="1:29">
      <c r="A1306" s="65" t="str">
        <f>IFERROR(VLOOKUP('Informe Kelly'!A1299,Base!A:B,2,FALSE),"")</f>
        <v/>
      </c>
      <c r="B1306" s="65" t="str">
        <f>IFERROR(VLOOKUP('Informe Kelly'!A1299,Base!A:G,7,FALSE),"")</f>
        <v/>
      </c>
      <c r="C1306" s="69">
        <f>IF(G1306=$C$4,IF('Informe Kelly'!H1299='Control informe Kelly'!$A$2,TEXT(((LEFT('Informe Kelly'!E1299,2)*1)+1),"dd")&amp;"."&amp;MID('Informe Kelly'!E1299,4,2)&amp;"."&amp;RIGHT('Informe Kelly'!E1299,4),'Informe Kelly'!E1299),'Informe Kelly'!E1299)</f>
        <v>0</v>
      </c>
      <c r="D1306" s="69" t="str">
        <f>IF('Informe Kelly'!E1299="","",'Informe Kelly'!E1299)</f>
        <v/>
      </c>
      <c r="E1306" s="72">
        <f t="shared" si="41"/>
        <v>581</v>
      </c>
      <c r="F1306" s="72" t="str">
        <f>IFERROR(HLOOKUP(C1306,Ingreso!$Q$8:$AD$9,2,FALSE),"v")</f>
        <v>v</v>
      </c>
      <c r="G1306" s="65" t="str">
        <f>IFERROR(VLOOKUP(A1306,Ingreso!K:P,6,FALSE),"no esta ingresado")</f>
        <v>no esta ingresado</v>
      </c>
      <c r="H1306" s="65" t="str">
        <f>IFERROR(IF('Informe Kelly'!H1299=$A$2,'Informe Kelly'!F1299,""),0)</f>
        <v/>
      </c>
      <c r="I1306" s="65" t="str">
        <f>IFERROR(IF('Informe Kelly'!H1299=$A$3,'Informe Kelly'!F1299,""),0)</f>
        <v/>
      </c>
      <c r="J1306" s="65" t="str">
        <f>IF(IFERROR(IF(E1306=E1305,0,(HLOOKUP(D1306,Ingreso!$AN$10:$AT$260,VLOOKUP(A1306,Ingreso!$AL$11:$AM$260,2,FALSE)))/24),0)=0,"",IFERROR(IF(E1306=E1305,0,(HLOOKUP(D1306,Ingreso!$AN$10:$AT$260,VLOOKUP(A1306,Ingreso!$AL$11:$AM$260,2,FALSE)))/24),0))</f>
        <v/>
      </c>
      <c r="K1306" s="65" t="str">
        <f>IF(IFERROR(IF(E1306=E1305,0,(HLOOKUP(C1306,Ingreso!$AW$10:$BC$260,VLOOKUP(A1306,Ingreso!$AL$11:$AM$260,2,FALSE)))/24),0)=0,"",IFERROR(IF(E1306=E1305,0,(HLOOKUP(C1306,Ingreso!$AW$10:$BC$260,VLOOKUP(A1306,Ingreso!$AL$11:$AM$260,2,FALSE)))/24),0))</f>
        <v/>
      </c>
      <c r="L1306" s="63">
        <f t="shared" si="40"/>
        <v>0</v>
      </c>
      <c r="M1306" s="63" t="str">
        <f>IF(IFERROR(IF(C1306=C1304,0,IF(E1306=E1305,0,IF(C1306=$R$2,HLOOKUP($R$2,Ingreso!$AW$10:$BC$260,VLOOKUP(A1306,Ingreso!AL:AM,2,FALSE),FALSE)/24,""))),"")=0,"",IFERROR(IF(C1306=C1304,0,IF(E1306=E1305,0,IF(C1306=$R$2,HLOOKUP($R$2,Ingreso!$AW$10:$BC$260,VLOOKUP(A1306,Ingreso!AL:AM,2,FALSE),FALSE)/24,""))),""))</f>
        <v/>
      </c>
      <c r="N1306" s="95" t="str">
        <f>IF(IFERROR(IF(C1306=C1304,0,IF(E1306=E1305,0,IF(C1306=$R$3,HLOOKUP($R$3,Ingreso!$AW$10:$BC$260,VLOOKUP(A1306,Ingreso!AL:AM,2,FALSE),FALSE)/24,""))),"")=0,"",IFERROR(IF(C1306=C1304,0,IF(E1306=E1305,0,IF(C1306=$R$3,HLOOKUP($R$3,Ingreso!$AW$10:$BC$260,VLOOKUP(A1306,Ingreso!AL:AM,2,FALSE),FALSE)/24,""))),""))</f>
        <v/>
      </c>
      <c r="O1306" s="95" t="str">
        <f>IF(IFERROR(IF(C1306=C1304,0,IF(E1306=E1305,0,IF(C1306=$R$4,HLOOKUP($R$4,Ingreso!$AW$10:$BC$260,VLOOKUP(A1306,Ingreso!AL:AM,2,FALSE),FALSE)/24,""))),"")=0,"",IFERROR(IF(C1306=C1304,0,IF(E1306=E1305,0,IF(C1306=$R$4,HLOOKUP($R$4,Ingreso!$AW$10:$BC$260,VLOOKUP(A1306,Ingreso!AL:AM,2,FALSE),FALSE)/24,""))),""))</f>
        <v/>
      </c>
      <c r="P1306" s="90"/>
      <c r="V1306"/>
      <c r="W1306" s="62"/>
      <c r="X1306" s="62"/>
      <c r="Y1306" s="62"/>
      <c r="Z1306" s="62"/>
      <c r="AA1306" s="62"/>
      <c r="AB1306" s="62"/>
      <c r="AC1306" s="62"/>
    </row>
    <row r="1307" spans="1:29">
      <c r="A1307" s="65" t="str">
        <f>IFERROR(VLOOKUP('Informe Kelly'!A1300,Base!A:B,2,FALSE),"")</f>
        <v/>
      </c>
      <c r="B1307" s="65" t="str">
        <f>IFERROR(VLOOKUP('Informe Kelly'!A1300,Base!A:G,7,FALSE),"")</f>
        <v/>
      </c>
      <c r="C1307" s="69">
        <f>IF(G1307=$C$4,IF('Informe Kelly'!H1300='Control informe Kelly'!$A$2,TEXT(((LEFT('Informe Kelly'!E1300,2)*1)+1),"dd")&amp;"."&amp;MID('Informe Kelly'!E1300,4,2)&amp;"."&amp;RIGHT('Informe Kelly'!E1300,4),'Informe Kelly'!E1300),'Informe Kelly'!E1300)</f>
        <v>0</v>
      </c>
      <c r="D1307" s="69" t="str">
        <f>IF('Informe Kelly'!E1300="","",'Informe Kelly'!E1300)</f>
        <v/>
      </c>
      <c r="E1307" s="72">
        <f t="shared" si="41"/>
        <v>581</v>
      </c>
      <c r="F1307" s="72" t="str">
        <f>IFERROR(HLOOKUP(C1307,Ingreso!$Q$8:$AD$9,2,FALSE),"v")</f>
        <v>v</v>
      </c>
      <c r="G1307" s="65" t="str">
        <f>IFERROR(VLOOKUP(A1307,Ingreso!K:P,6,FALSE),"no esta ingresado")</f>
        <v>no esta ingresado</v>
      </c>
      <c r="H1307" s="65" t="str">
        <f>IFERROR(IF('Informe Kelly'!H1300=$A$2,'Informe Kelly'!F1300,""),0)</f>
        <v/>
      </c>
      <c r="I1307" s="65" t="str">
        <f>IFERROR(IF('Informe Kelly'!H1300=$A$3,'Informe Kelly'!F1300,""),0)</f>
        <v/>
      </c>
      <c r="J1307" s="65" t="str">
        <f>IF(IFERROR(IF(E1307=E1306,0,(HLOOKUP(D1307,Ingreso!$AN$10:$AT$260,VLOOKUP(A1307,Ingreso!$AL$11:$AM$260,2,FALSE)))/24),0)=0,"",IFERROR(IF(E1307=E1306,0,(HLOOKUP(D1307,Ingreso!$AN$10:$AT$260,VLOOKUP(A1307,Ingreso!$AL$11:$AM$260,2,FALSE)))/24),0))</f>
        <v/>
      </c>
      <c r="K1307" s="65" t="str">
        <f>IF(IFERROR(IF(E1307=E1306,0,(HLOOKUP(C1307,Ingreso!$AW$10:$BC$260,VLOOKUP(A1307,Ingreso!$AL$11:$AM$260,2,FALSE)))/24),0)=0,"",IFERROR(IF(E1307=E1306,0,(HLOOKUP(C1307,Ingreso!$AW$10:$BC$260,VLOOKUP(A1307,Ingreso!$AL$11:$AM$260,2,FALSE)))/24),0))</f>
        <v/>
      </c>
      <c r="L1307" s="63">
        <f t="shared" si="40"/>
        <v>0</v>
      </c>
      <c r="M1307" s="63" t="str">
        <f>IF(IFERROR(IF(C1307=C1305,0,IF(E1307=E1306,0,IF(C1307=$R$2,HLOOKUP($R$2,Ingreso!$AW$10:$BC$260,VLOOKUP(A1307,Ingreso!AL:AM,2,FALSE),FALSE)/24,""))),"")=0,"",IFERROR(IF(C1307=C1305,0,IF(E1307=E1306,0,IF(C1307=$R$2,HLOOKUP($R$2,Ingreso!$AW$10:$BC$260,VLOOKUP(A1307,Ingreso!AL:AM,2,FALSE),FALSE)/24,""))),""))</f>
        <v/>
      </c>
      <c r="N1307" s="95" t="str">
        <f>IF(IFERROR(IF(C1307=C1305,0,IF(E1307=E1306,0,IF(C1307=$R$3,HLOOKUP($R$3,Ingreso!$AW$10:$BC$260,VLOOKUP(A1307,Ingreso!AL:AM,2,FALSE),FALSE)/24,""))),"")=0,"",IFERROR(IF(C1307=C1305,0,IF(E1307=E1306,0,IF(C1307=$R$3,HLOOKUP($R$3,Ingreso!$AW$10:$BC$260,VLOOKUP(A1307,Ingreso!AL:AM,2,FALSE),FALSE)/24,""))),""))</f>
        <v/>
      </c>
      <c r="O1307" s="95" t="str">
        <f>IF(IFERROR(IF(C1307=C1305,0,IF(E1307=E1306,0,IF(C1307=$R$4,HLOOKUP($R$4,Ingreso!$AW$10:$BC$260,VLOOKUP(A1307,Ingreso!AL:AM,2,FALSE),FALSE)/24,""))),"")=0,"",IFERROR(IF(C1307=C1305,0,IF(E1307=E1306,0,IF(C1307=$R$4,HLOOKUP($R$4,Ingreso!$AW$10:$BC$260,VLOOKUP(A1307,Ingreso!AL:AM,2,FALSE),FALSE)/24,""))),""))</f>
        <v/>
      </c>
      <c r="P1307" s="90"/>
      <c r="V1307"/>
      <c r="W1307" s="62"/>
      <c r="X1307" s="62"/>
      <c r="Y1307" s="62"/>
      <c r="Z1307" s="62"/>
      <c r="AA1307" s="62"/>
      <c r="AB1307" s="62"/>
      <c r="AC1307" s="62"/>
    </row>
    <row r="1308" spans="1:29">
      <c r="A1308" s="65" t="str">
        <f>IFERROR(VLOOKUP('Informe Kelly'!A1301,Base!A:B,2,FALSE),"")</f>
        <v/>
      </c>
      <c r="B1308" s="65" t="str">
        <f>IFERROR(VLOOKUP('Informe Kelly'!A1301,Base!A:G,7,FALSE),"")</f>
        <v/>
      </c>
      <c r="C1308" s="69">
        <f>IF(G1308=$C$4,IF('Informe Kelly'!H1301='Control informe Kelly'!$A$2,TEXT(((LEFT('Informe Kelly'!E1301,2)*1)+1),"dd")&amp;"."&amp;MID('Informe Kelly'!E1301,4,2)&amp;"."&amp;RIGHT('Informe Kelly'!E1301,4),'Informe Kelly'!E1301),'Informe Kelly'!E1301)</f>
        <v>0</v>
      </c>
      <c r="D1308" s="69" t="str">
        <f>IF('Informe Kelly'!E1301="","",'Informe Kelly'!E1301)</f>
        <v/>
      </c>
      <c r="E1308" s="72">
        <f t="shared" si="41"/>
        <v>581</v>
      </c>
      <c r="F1308" s="72" t="str">
        <f>IFERROR(HLOOKUP(C1308,Ingreso!$Q$8:$AD$9,2,FALSE),"v")</f>
        <v>v</v>
      </c>
      <c r="G1308" s="65" t="str">
        <f>IFERROR(VLOOKUP(A1308,Ingreso!K:P,6,FALSE),"no esta ingresado")</f>
        <v>no esta ingresado</v>
      </c>
      <c r="H1308" s="65" t="str">
        <f>IFERROR(IF('Informe Kelly'!H1301=$A$2,'Informe Kelly'!F1301,""),0)</f>
        <v/>
      </c>
      <c r="I1308" s="65" t="str">
        <f>IFERROR(IF('Informe Kelly'!H1301=$A$3,'Informe Kelly'!F1301,""),0)</f>
        <v/>
      </c>
      <c r="J1308" s="65" t="str">
        <f>IF(IFERROR(IF(E1308=E1307,0,(HLOOKUP(D1308,Ingreso!$AN$10:$AT$260,VLOOKUP(A1308,Ingreso!$AL$11:$AM$260,2,FALSE)))/24),0)=0,"",IFERROR(IF(E1308=E1307,0,(HLOOKUP(D1308,Ingreso!$AN$10:$AT$260,VLOOKUP(A1308,Ingreso!$AL$11:$AM$260,2,FALSE)))/24),0))</f>
        <v/>
      </c>
      <c r="K1308" s="65" t="str">
        <f>IF(IFERROR(IF(E1308=E1307,0,(HLOOKUP(C1308,Ingreso!$AW$10:$BC$260,VLOOKUP(A1308,Ingreso!$AL$11:$AM$260,2,FALSE)))/24),0)=0,"",IFERROR(IF(E1308=E1307,0,(HLOOKUP(C1308,Ingreso!$AW$10:$BC$260,VLOOKUP(A1308,Ingreso!$AL$11:$AM$260,2,FALSE)))/24),0))</f>
        <v/>
      </c>
      <c r="L1308" s="63">
        <f t="shared" si="40"/>
        <v>0</v>
      </c>
      <c r="M1308" s="63" t="str">
        <f>IF(IFERROR(IF(C1308=C1306,0,IF(E1308=E1307,0,IF(C1308=$R$2,HLOOKUP($R$2,Ingreso!$AW$10:$BC$260,VLOOKUP(A1308,Ingreso!AL:AM,2,FALSE),FALSE)/24,""))),"")=0,"",IFERROR(IF(C1308=C1306,0,IF(E1308=E1307,0,IF(C1308=$R$2,HLOOKUP($R$2,Ingreso!$AW$10:$BC$260,VLOOKUP(A1308,Ingreso!AL:AM,2,FALSE),FALSE)/24,""))),""))</f>
        <v/>
      </c>
      <c r="N1308" s="95" t="str">
        <f>IF(IFERROR(IF(C1308=C1306,0,IF(E1308=E1307,0,IF(C1308=$R$3,HLOOKUP($R$3,Ingreso!$AW$10:$BC$260,VLOOKUP(A1308,Ingreso!AL:AM,2,FALSE),FALSE)/24,""))),"")=0,"",IFERROR(IF(C1308=C1306,0,IF(E1308=E1307,0,IF(C1308=$R$3,HLOOKUP($R$3,Ingreso!$AW$10:$BC$260,VLOOKUP(A1308,Ingreso!AL:AM,2,FALSE),FALSE)/24,""))),""))</f>
        <v/>
      </c>
      <c r="O1308" s="95" t="str">
        <f>IF(IFERROR(IF(C1308=C1306,0,IF(E1308=E1307,0,IF(C1308=$R$4,HLOOKUP($R$4,Ingreso!$AW$10:$BC$260,VLOOKUP(A1308,Ingreso!AL:AM,2,FALSE),FALSE)/24,""))),"")=0,"",IFERROR(IF(C1308=C1306,0,IF(E1308=E1307,0,IF(C1308=$R$4,HLOOKUP($R$4,Ingreso!$AW$10:$BC$260,VLOOKUP(A1308,Ingreso!AL:AM,2,FALSE),FALSE)/24,""))),""))</f>
        <v/>
      </c>
      <c r="P1308" s="90"/>
      <c r="V1308"/>
      <c r="W1308" s="62"/>
      <c r="X1308" s="62"/>
      <c r="Y1308" s="62"/>
      <c r="Z1308" s="62"/>
      <c r="AA1308" s="62"/>
      <c r="AB1308" s="62"/>
      <c r="AC1308" s="62"/>
    </row>
    <row r="1309" spans="1:29">
      <c r="A1309" s="65" t="str">
        <f>IFERROR(VLOOKUP('Informe Kelly'!A1302,Base!A:B,2,FALSE),"")</f>
        <v/>
      </c>
      <c r="B1309" s="65" t="str">
        <f>IFERROR(VLOOKUP('Informe Kelly'!A1302,Base!A:G,7,FALSE),"")</f>
        <v/>
      </c>
      <c r="C1309" s="69">
        <f>IF(G1309=$C$4,IF('Informe Kelly'!H1302='Control informe Kelly'!$A$2,TEXT(((LEFT('Informe Kelly'!E1302,2)*1)+1),"dd")&amp;"."&amp;MID('Informe Kelly'!E1302,4,2)&amp;"."&amp;RIGHT('Informe Kelly'!E1302,4),'Informe Kelly'!E1302),'Informe Kelly'!E1302)</f>
        <v>0</v>
      </c>
      <c r="D1309" s="69" t="str">
        <f>IF('Informe Kelly'!E1302="","",'Informe Kelly'!E1302)</f>
        <v/>
      </c>
      <c r="E1309" s="72">
        <f t="shared" si="41"/>
        <v>581</v>
      </c>
      <c r="F1309" s="72" t="str">
        <f>IFERROR(HLOOKUP(C1309,Ingreso!$Q$8:$AD$9,2,FALSE),"v")</f>
        <v>v</v>
      </c>
      <c r="G1309" s="65" t="str">
        <f>IFERROR(VLOOKUP(A1309,Ingreso!K:P,6,FALSE),"no esta ingresado")</f>
        <v>no esta ingresado</v>
      </c>
      <c r="H1309" s="65" t="str">
        <f>IFERROR(IF('Informe Kelly'!H1302=$A$2,'Informe Kelly'!F1302,""),0)</f>
        <v/>
      </c>
      <c r="I1309" s="65" t="str">
        <f>IFERROR(IF('Informe Kelly'!H1302=$A$3,'Informe Kelly'!F1302,""),0)</f>
        <v/>
      </c>
      <c r="J1309" s="65" t="str">
        <f>IF(IFERROR(IF(E1309=E1308,0,(HLOOKUP(D1309,Ingreso!$AN$10:$AT$260,VLOOKUP(A1309,Ingreso!$AL$11:$AM$260,2,FALSE)))/24),0)=0,"",IFERROR(IF(E1309=E1308,0,(HLOOKUP(D1309,Ingreso!$AN$10:$AT$260,VLOOKUP(A1309,Ingreso!$AL$11:$AM$260,2,FALSE)))/24),0))</f>
        <v/>
      </c>
      <c r="K1309" s="65" t="str">
        <f>IF(IFERROR(IF(E1309=E1308,0,(HLOOKUP(C1309,Ingreso!$AW$10:$BC$260,VLOOKUP(A1309,Ingreso!$AL$11:$AM$260,2,FALSE)))/24),0)=0,"",IFERROR(IF(E1309=E1308,0,(HLOOKUP(C1309,Ingreso!$AW$10:$BC$260,VLOOKUP(A1309,Ingreso!$AL$11:$AM$260,2,FALSE)))/24),0))</f>
        <v/>
      </c>
      <c r="L1309" s="63">
        <f t="shared" si="40"/>
        <v>0</v>
      </c>
      <c r="M1309" s="63" t="str">
        <f>IF(IFERROR(IF(C1309=C1307,0,IF(E1309=E1308,0,IF(C1309=$R$2,HLOOKUP($R$2,Ingreso!$AW$10:$BC$260,VLOOKUP(A1309,Ingreso!AL:AM,2,FALSE),FALSE)/24,""))),"")=0,"",IFERROR(IF(C1309=C1307,0,IF(E1309=E1308,0,IF(C1309=$R$2,HLOOKUP($R$2,Ingreso!$AW$10:$BC$260,VLOOKUP(A1309,Ingreso!AL:AM,2,FALSE),FALSE)/24,""))),""))</f>
        <v/>
      </c>
      <c r="N1309" s="95" t="str">
        <f>IF(IFERROR(IF(C1309=C1307,0,IF(E1309=E1308,0,IF(C1309=$R$3,HLOOKUP($R$3,Ingreso!$AW$10:$BC$260,VLOOKUP(A1309,Ingreso!AL:AM,2,FALSE),FALSE)/24,""))),"")=0,"",IFERROR(IF(C1309=C1307,0,IF(E1309=E1308,0,IF(C1309=$R$3,HLOOKUP($R$3,Ingreso!$AW$10:$BC$260,VLOOKUP(A1309,Ingreso!AL:AM,2,FALSE),FALSE)/24,""))),""))</f>
        <v/>
      </c>
      <c r="O1309" s="95" t="str">
        <f>IF(IFERROR(IF(C1309=C1307,0,IF(E1309=E1308,0,IF(C1309=$R$4,HLOOKUP($R$4,Ingreso!$AW$10:$BC$260,VLOOKUP(A1309,Ingreso!AL:AM,2,FALSE),FALSE)/24,""))),"")=0,"",IFERROR(IF(C1309=C1307,0,IF(E1309=E1308,0,IF(C1309=$R$4,HLOOKUP($R$4,Ingreso!$AW$10:$BC$260,VLOOKUP(A1309,Ingreso!AL:AM,2,FALSE),FALSE)/24,""))),""))</f>
        <v/>
      </c>
      <c r="P1309" s="90"/>
      <c r="V1309"/>
      <c r="W1309" s="62"/>
      <c r="X1309" s="62"/>
      <c r="Y1309" s="62"/>
      <c r="Z1309" s="62"/>
      <c r="AA1309" s="62"/>
      <c r="AB1309" s="62"/>
      <c r="AC1309" s="62"/>
    </row>
    <row r="1310" spans="1:29">
      <c r="A1310" s="65" t="str">
        <f>IFERROR(VLOOKUP('Informe Kelly'!A1303,Base!A:B,2,FALSE),"")</f>
        <v/>
      </c>
      <c r="B1310" s="65" t="str">
        <f>IFERROR(VLOOKUP('Informe Kelly'!A1303,Base!A:G,7,FALSE),"")</f>
        <v/>
      </c>
      <c r="C1310" s="69">
        <f>IF(G1310=$C$4,IF('Informe Kelly'!H1303='Control informe Kelly'!$A$2,TEXT(((LEFT('Informe Kelly'!E1303,2)*1)+1),"dd")&amp;"."&amp;MID('Informe Kelly'!E1303,4,2)&amp;"."&amp;RIGHT('Informe Kelly'!E1303,4),'Informe Kelly'!E1303),'Informe Kelly'!E1303)</f>
        <v>0</v>
      </c>
      <c r="D1310" s="69" t="str">
        <f>IF('Informe Kelly'!E1303="","",'Informe Kelly'!E1303)</f>
        <v/>
      </c>
      <c r="E1310" s="72">
        <f t="shared" si="41"/>
        <v>581</v>
      </c>
      <c r="F1310" s="72" t="str">
        <f>IFERROR(HLOOKUP(C1310,Ingreso!$Q$8:$AD$9,2,FALSE),"v")</f>
        <v>v</v>
      </c>
      <c r="G1310" s="65" t="str">
        <f>IFERROR(VLOOKUP(A1310,Ingreso!K:P,6,FALSE),"no esta ingresado")</f>
        <v>no esta ingresado</v>
      </c>
      <c r="H1310" s="65" t="str">
        <f>IFERROR(IF('Informe Kelly'!H1303=$A$2,'Informe Kelly'!F1303,""),0)</f>
        <v/>
      </c>
      <c r="I1310" s="65" t="str">
        <f>IFERROR(IF('Informe Kelly'!H1303=$A$3,'Informe Kelly'!F1303,""),0)</f>
        <v/>
      </c>
      <c r="J1310" s="65" t="str">
        <f>IF(IFERROR(IF(E1310=E1309,0,(HLOOKUP(D1310,Ingreso!$AN$10:$AT$260,VLOOKUP(A1310,Ingreso!$AL$11:$AM$260,2,FALSE)))/24),0)=0,"",IFERROR(IF(E1310=E1309,0,(HLOOKUP(D1310,Ingreso!$AN$10:$AT$260,VLOOKUP(A1310,Ingreso!$AL$11:$AM$260,2,FALSE)))/24),0))</f>
        <v/>
      </c>
      <c r="K1310" s="65" t="str">
        <f>IF(IFERROR(IF(E1310=E1309,0,(HLOOKUP(C1310,Ingreso!$AW$10:$BC$260,VLOOKUP(A1310,Ingreso!$AL$11:$AM$260,2,FALSE)))/24),0)=0,"",IFERROR(IF(E1310=E1309,0,(HLOOKUP(C1310,Ingreso!$AW$10:$BC$260,VLOOKUP(A1310,Ingreso!$AL$11:$AM$260,2,FALSE)))/24),0))</f>
        <v/>
      </c>
      <c r="L1310" s="63">
        <f t="shared" si="40"/>
        <v>0</v>
      </c>
      <c r="M1310" s="63" t="str">
        <f>IF(IFERROR(IF(C1310=C1308,0,IF(E1310=E1309,0,IF(C1310=$R$2,HLOOKUP($R$2,Ingreso!$AW$10:$BC$260,VLOOKUP(A1310,Ingreso!AL:AM,2,FALSE),FALSE)/24,""))),"")=0,"",IFERROR(IF(C1310=C1308,0,IF(E1310=E1309,0,IF(C1310=$R$2,HLOOKUP($R$2,Ingreso!$AW$10:$BC$260,VLOOKUP(A1310,Ingreso!AL:AM,2,FALSE),FALSE)/24,""))),""))</f>
        <v/>
      </c>
      <c r="N1310" s="95" t="str">
        <f>IF(IFERROR(IF(C1310=C1308,0,IF(E1310=E1309,0,IF(C1310=$R$3,HLOOKUP($R$3,Ingreso!$AW$10:$BC$260,VLOOKUP(A1310,Ingreso!AL:AM,2,FALSE),FALSE)/24,""))),"")=0,"",IFERROR(IF(C1310=C1308,0,IF(E1310=E1309,0,IF(C1310=$R$3,HLOOKUP($R$3,Ingreso!$AW$10:$BC$260,VLOOKUP(A1310,Ingreso!AL:AM,2,FALSE),FALSE)/24,""))),""))</f>
        <v/>
      </c>
      <c r="O1310" s="95" t="str">
        <f>IF(IFERROR(IF(C1310=C1308,0,IF(E1310=E1309,0,IF(C1310=$R$4,HLOOKUP($R$4,Ingreso!$AW$10:$BC$260,VLOOKUP(A1310,Ingreso!AL:AM,2,FALSE),FALSE)/24,""))),"")=0,"",IFERROR(IF(C1310=C1308,0,IF(E1310=E1309,0,IF(C1310=$R$4,HLOOKUP($R$4,Ingreso!$AW$10:$BC$260,VLOOKUP(A1310,Ingreso!AL:AM,2,FALSE),FALSE)/24,""))),""))</f>
        <v/>
      </c>
      <c r="P1310" s="90"/>
      <c r="V1310"/>
      <c r="W1310" s="62"/>
      <c r="X1310" s="62"/>
      <c r="Y1310" s="62"/>
      <c r="Z1310" s="62"/>
      <c r="AA1310" s="62"/>
      <c r="AB1310" s="62"/>
      <c r="AC1310" s="62"/>
    </row>
    <row r="1311" spans="1:29">
      <c r="A1311" s="65" t="str">
        <f>IFERROR(VLOOKUP('Informe Kelly'!A1304,Base!A:B,2,FALSE),"")</f>
        <v/>
      </c>
      <c r="B1311" s="65" t="str">
        <f>IFERROR(VLOOKUP('Informe Kelly'!A1304,Base!A:G,7,FALSE),"")</f>
        <v/>
      </c>
      <c r="C1311" s="69">
        <f>IF(G1311=$C$4,IF('Informe Kelly'!H1304='Control informe Kelly'!$A$2,TEXT(((LEFT('Informe Kelly'!E1304,2)*1)+1),"dd")&amp;"."&amp;MID('Informe Kelly'!E1304,4,2)&amp;"."&amp;RIGHT('Informe Kelly'!E1304,4),'Informe Kelly'!E1304),'Informe Kelly'!E1304)</f>
        <v>0</v>
      </c>
      <c r="D1311" s="69" t="str">
        <f>IF('Informe Kelly'!E1304="","",'Informe Kelly'!E1304)</f>
        <v/>
      </c>
      <c r="E1311" s="72">
        <f t="shared" si="41"/>
        <v>581</v>
      </c>
      <c r="F1311" s="72" t="str">
        <f>IFERROR(HLOOKUP(C1311,Ingreso!$Q$8:$AD$9,2,FALSE),"v")</f>
        <v>v</v>
      </c>
      <c r="G1311" s="65" t="str">
        <f>IFERROR(VLOOKUP(A1311,Ingreso!K:P,6,FALSE),"no esta ingresado")</f>
        <v>no esta ingresado</v>
      </c>
      <c r="H1311" s="65" t="str">
        <f>IFERROR(IF('Informe Kelly'!H1304=$A$2,'Informe Kelly'!F1304,""),0)</f>
        <v/>
      </c>
      <c r="I1311" s="65" t="str">
        <f>IFERROR(IF('Informe Kelly'!H1304=$A$3,'Informe Kelly'!F1304,""),0)</f>
        <v/>
      </c>
      <c r="J1311" s="65" t="str">
        <f>IF(IFERROR(IF(E1311=E1310,0,(HLOOKUP(D1311,Ingreso!$AN$10:$AT$260,VLOOKUP(A1311,Ingreso!$AL$11:$AM$260,2,FALSE)))/24),0)=0,"",IFERROR(IF(E1311=E1310,0,(HLOOKUP(D1311,Ingreso!$AN$10:$AT$260,VLOOKUP(A1311,Ingreso!$AL$11:$AM$260,2,FALSE)))/24),0))</f>
        <v/>
      </c>
      <c r="K1311" s="65" t="str">
        <f>IF(IFERROR(IF(E1311=E1310,0,(HLOOKUP(C1311,Ingreso!$AW$10:$BC$260,VLOOKUP(A1311,Ingreso!$AL$11:$AM$260,2,FALSE)))/24),0)=0,"",IFERROR(IF(E1311=E1310,0,(HLOOKUP(C1311,Ingreso!$AW$10:$BC$260,VLOOKUP(A1311,Ingreso!$AL$11:$AM$260,2,FALSE)))/24),0))</f>
        <v/>
      </c>
      <c r="L1311" s="63">
        <f t="shared" si="40"/>
        <v>0</v>
      </c>
      <c r="M1311" s="63" t="str">
        <f>IF(IFERROR(IF(C1311=C1309,0,IF(E1311=E1310,0,IF(C1311=$R$2,HLOOKUP($R$2,Ingreso!$AW$10:$BC$260,VLOOKUP(A1311,Ingreso!AL:AM,2,FALSE),FALSE)/24,""))),"")=0,"",IFERROR(IF(C1311=C1309,0,IF(E1311=E1310,0,IF(C1311=$R$2,HLOOKUP($R$2,Ingreso!$AW$10:$BC$260,VLOOKUP(A1311,Ingreso!AL:AM,2,FALSE),FALSE)/24,""))),""))</f>
        <v/>
      </c>
      <c r="N1311" s="95" t="str">
        <f>IF(IFERROR(IF(C1311=C1309,0,IF(E1311=E1310,0,IF(C1311=$R$3,HLOOKUP($R$3,Ingreso!$AW$10:$BC$260,VLOOKUP(A1311,Ingreso!AL:AM,2,FALSE),FALSE)/24,""))),"")=0,"",IFERROR(IF(C1311=C1309,0,IF(E1311=E1310,0,IF(C1311=$R$3,HLOOKUP($R$3,Ingreso!$AW$10:$BC$260,VLOOKUP(A1311,Ingreso!AL:AM,2,FALSE),FALSE)/24,""))),""))</f>
        <v/>
      </c>
      <c r="O1311" s="95" t="str">
        <f>IF(IFERROR(IF(C1311=C1309,0,IF(E1311=E1310,0,IF(C1311=$R$4,HLOOKUP($R$4,Ingreso!$AW$10:$BC$260,VLOOKUP(A1311,Ingreso!AL:AM,2,FALSE),FALSE)/24,""))),"")=0,"",IFERROR(IF(C1311=C1309,0,IF(E1311=E1310,0,IF(C1311=$R$4,HLOOKUP($R$4,Ingreso!$AW$10:$BC$260,VLOOKUP(A1311,Ingreso!AL:AM,2,FALSE),FALSE)/24,""))),""))</f>
        <v/>
      </c>
      <c r="P1311" s="90"/>
      <c r="V1311"/>
      <c r="W1311" s="62"/>
      <c r="X1311" s="62"/>
      <c r="Y1311" s="62"/>
      <c r="Z1311" s="62"/>
      <c r="AA1311" s="62"/>
      <c r="AB1311" s="62"/>
      <c r="AC1311" s="62"/>
    </row>
    <row r="1312" spans="1:29">
      <c r="A1312" s="65" t="str">
        <f>IFERROR(VLOOKUP('Informe Kelly'!A1305,Base!A:B,2,FALSE),"")</f>
        <v/>
      </c>
      <c r="B1312" s="65" t="str">
        <f>IFERROR(VLOOKUP('Informe Kelly'!A1305,Base!A:G,7,FALSE),"")</f>
        <v/>
      </c>
      <c r="C1312" s="69">
        <f>IF(G1312=$C$4,IF('Informe Kelly'!H1305='Control informe Kelly'!$A$2,TEXT(((LEFT('Informe Kelly'!E1305,2)*1)+1),"dd")&amp;"."&amp;MID('Informe Kelly'!E1305,4,2)&amp;"."&amp;RIGHT('Informe Kelly'!E1305,4),'Informe Kelly'!E1305),'Informe Kelly'!E1305)</f>
        <v>0</v>
      </c>
      <c r="D1312" s="69" t="str">
        <f>IF('Informe Kelly'!E1305="","",'Informe Kelly'!E1305)</f>
        <v/>
      </c>
      <c r="E1312" s="72">
        <f t="shared" si="41"/>
        <v>581</v>
      </c>
      <c r="F1312" s="72" t="str">
        <f>IFERROR(HLOOKUP(C1312,Ingreso!$Q$8:$AD$9,2,FALSE),"v")</f>
        <v>v</v>
      </c>
      <c r="G1312" s="65" t="str">
        <f>IFERROR(VLOOKUP(A1312,Ingreso!K:P,6,FALSE),"no esta ingresado")</f>
        <v>no esta ingresado</v>
      </c>
      <c r="H1312" s="65" t="str">
        <f>IFERROR(IF('Informe Kelly'!H1305=$A$2,'Informe Kelly'!F1305,""),0)</f>
        <v/>
      </c>
      <c r="I1312" s="65" t="str">
        <f>IFERROR(IF('Informe Kelly'!H1305=$A$3,'Informe Kelly'!F1305,""),0)</f>
        <v/>
      </c>
      <c r="J1312" s="65" t="str">
        <f>IF(IFERROR(IF(E1312=E1311,0,(HLOOKUP(D1312,Ingreso!$AN$10:$AT$260,VLOOKUP(A1312,Ingreso!$AL$11:$AM$260,2,FALSE)))/24),0)=0,"",IFERROR(IF(E1312=E1311,0,(HLOOKUP(D1312,Ingreso!$AN$10:$AT$260,VLOOKUP(A1312,Ingreso!$AL$11:$AM$260,2,FALSE)))/24),0))</f>
        <v/>
      </c>
      <c r="K1312" s="65" t="str">
        <f>IF(IFERROR(IF(E1312=E1311,0,(HLOOKUP(C1312,Ingreso!$AW$10:$BC$260,VLOOKUP(A1312,Ingreso!$AL$11:$AM$260,2,FALSE)))/24),0)=0,"",IFERROR(IF(E1312=E1311,0,(HLOOKUP(C1312,Ingreso!$AW$10:$BC$260,VLOOKUP(A1312,Ingreso!$AL$11:$AM$260,2,FALSE)))/24),0))</f>
        <v/>
      </c>
      <c r="L1312" s="63">
        <f t="shared" si="40"/>
        <v>0</v>
      </c>
      <c r="M1312" s="63" t="str">
        <f>IF(IFERROR(IF(C1312=C1310,0,IF(E1312=E1311,0,IF(C1312=$R$2,HLOOKUP($R$2,Ingreso!$AW$10:$BC$260,VLOOKUP(A1312,Ingreso!AL:AM,2,FALSE),FALSE)/24,""))),"")=0,"",IFERROR(IF(C1312=C1310,0,IF(E1312=E1311,0,IF(C1312=$R$2,HLOOKUP($R$2,Ingreso!$AW$10:$BC$260,VLOOKUP(A1312,Ingreso!AL:AM,2,FALSE),FALSE)/24,""))),""))</f>
        <v/>
      </c>
      <c r="N1312" s="95" t="str">
        <f>IF(IFERROR(IF(C1312=C1310,0,IF(E1312=E1311,0,IF(C1312=$R$3,HLOOKUP($R$3,Ingreso!$AW$10:$BC$260,VLOOKUP(A1312,Ingreso!AL:AM,2,FALSE),FALSE)/24,""))),"")=0,"",IFERROR(IF(C1312=C1310,0,IF(E1312=E1311,0,IF(C1312=$R$3,HLOOKUP($R$3,Ingreso!$AW$10:$BC$260,VLOOKUP(A1312,Ingreso!AL:AM,2,FALSE),FALSE)/24,""))),""))</f>
        <v/>
      </c>
      <c r="O1312" s="95" t="str">
        <f>IF(IFERROR(IF(C1312=C1310,0,IF(E1312=E1311,0,IF(C1312=$R$4,HLOOKUP($R$4,Ingreso!$AW$10:$BC$260,VLOOKUP(A1312,Ingreso!AL:AM,2,FALSE),FALSE)/24,""))),"")=0,"",IFERROR(IF(C1312=C1310,0,IF(E1312=E1311,0,IF(C1312=$R$4,HLOOKUP($R$4,Ingreso!$AW$10:$BC$260,VLOOKUP(A1312,Ingreso!AL:AM,2,FALSE),FALSE)/24,""))),""))</f>
        <v/>
      </c>
      <c r="P1312" s="90"/>
      <c r="V1312"/>
      <c r="W1312" s="62"/>
      <c r="X1312" s="62"/>
      <c r="Y1312" s="62"/>
      <c r="Z1312" s="62"/>
      <c r="AA1312" s="62"/>
      <c r="AB1312" s="62"/>
      <c r="AC1312" s="62"/>
    </row>
    <row r="1313" spans="1:29">
      <c r="A1313" s="65" t="str">
        <f>IFERROR(VLOOKUP('Informe Kelly'!A1306,Base!A:B,2,FALSE),"")</f>
        <v/>
      </c>
      <c r="B1313" s="65" t="str">
        <f>IFERROR(VLOOKUP('Informe Kelly'!A1306,Base!A:G,7,FALSE),"")</f>
        <v/>
      </c>
      <c r="C1313" s="69">
        <f>IF(G1313=$C$4,IF('Informe Kelly'!H1306='Control informe Kelly'!$A$2,TEXT(((LEFT('Informe Kelly'!E1306,2)*1)+1),"dd")&amp;"."&amp;MID('Informe Kelly'!E1306,4,2)&amp;"."&amp;RIGHT('Informe Kelly'!E1306,4),'Informe Kelly'!E1306),'Informe Kelly'!E1306)</f>
        <v>0</v>
      </c>
      <c r="D1313" s="69" t="str">
        <f>IF('Informe Kelly'!E1306="","",'Informe Kelly'!E1306)</f>
        <v/>
      </c>
      <c r="E1313" s="72">
        <f t="shared" si="41"/>
        <v>581</v>
      </c>
      <c r="F1313" s="72" t="str">
        <f>IFERROR(HLOOKUP(C1313,Ingreso!$Q$8:$AD$9,2,FALSE),"v")</f>
        <v>v</v>
      </c>
      <c r="G1313" s="65" t="str">
        <f>IFERROR(VLOOKUP(A1313,Ingreso!K:P,6,FALSE),"no esta ingresado")</f>
        <v>no esta ingresado</v>
      </c>
      <c r="H1313" s="65" t="str">
        <f>IFERROR(IF('Informe Kelly'!H1306=$A$2,'Informe Kelly'!F1306,""),0)</f>
        <v/>
      </c>
      <c r="I1313" s="65" t="str">
        <f>IFERROR(IF('Informe Kelly'!H1306=$A$3,'Informe Kelly'!F1306,""),0)</f>
        <v/>
      </c>
      <c r="J1313" s="65" t="str">
        <f>IF(IFERROR(IF(E1313=E1312,0,(HLOOKUP(D1313,Ingreso!$AN$10:$AT$260,VLOOKUP(A1313,Ingreso!$AL$11:$AM$260,2,FALSE)))/24),0)=0,"",IFERROR(IF(E1313=E1312,0,(HLOOKUP(D1313,Ingreso!$AN$10:$AT$260,VLOOKUP(A1313,Ingreso!$AL$11:$AM$260,2,FALSE)))/24),0))</f>
        <v/>
      </c>
      <c r="K1313" s="65" t="str">
        <f>IF(IFERROR(IF(E1313=E1312,0,(HLOOKUP(C1313,Ingreso!$AW$10:$BC$260,VLOOKUP(A1313,Ingreso!$AL$11:$AM$260,2,FALSE)))/24),0)=0,"",IFERROR(IF(E1313=E1312,0,(HLOOKUP(C1313,Ingreso!$AW$10:$BC$260,VLOOKUP(A1313,Ingreso!$AL$11:$AM$260,2,FALSE)))/24),0))</f>
        <v/>
      </c>
      <c r="L1313" s="63">
        <f t="shared" si="40"/>
        <v>0</v>
      </c>
      <c r="M1313" s="63" t="str">
        <f>IF(IFERROR(IF(C1313=C1311,0,IF(E1313=E1312,0,IF(C1313=$R$2,HLOOKUP($R$2,Ingreso!$AW$10:$BC$260,VLOOKUP(A1313,Ingreso!AL:AM,2,FALSE),FALSE)/24,""))),"")=0,"",IFERROR(IF(C1313=C1311,0,IF(E1313=E1312,0,IF(C1313=$R$2,HLOOKUP($R$2,Ingreso!$AW$10:$BC$260,VLOOKUP(A1313,Ingreso!AL:AM,2,FALSE),FALSE)/24,""))),""))</f>
        <v/>
      </c>
      <c r="N1313" s="95" t="str">
        <f>IF(IFERROR(IF(C1313=C1311,0,IF(E1313=E1312,0,IF(C1313=$R$3,HLOOKUP($R$3,Ingreso!$AW$10:$BC$260,VLOOKUP(A1313,Ingreso!AL:AM,2,FALSE),FALSE)/24,""))),"")=0,"",IFERROR(IF(C1313=C1311,0,IF(E1313=E1312,0,IF(C1313=$R$3,HLOOKUP($R$3,Ingreso!$AW$10:$BC$260,VLOOKUP(A1313,Ingreso!AL:AM,2,FALSE),FALSE)/24,""))),""))</f>
        <v/>
      </c>
      <c r="O1313" s="95" t="str">
        <f>IF(IFERROR(IF(C1313=C1311,0,IF(E1313=E1312,0,IF(C1313=$R$4,HLOOKUP($R$4,Ingreso!$AW$10:$BC$260,VLOOKUP(A1313,Ingreso!AL:AM,2,FALSE),FALSE)/24,""))),"")=0,"",IFERROR(IF(C1313=C1311,0,IF(E1313=E1312,0,IF(C1313=$R$4,HLOOKUP($R$4,Ingreso!$AW$10:$BC$260,VLOOKUP(A1313,Ingreso!AL:AM,2,FALSE),FALSE)/24,""))),""))</f>
        <v/>
      </c>
      <c r="P1313" s="90"/>
      <c r="V1313"/>
      <c r="W1313" s="62"/>
      <c r="X1313" s="62"/>
      <c r="Y1313" s="62"/>
      <c r="Z1313" s="62"/>
      <c r="AA1313" s="62"/>
      <c r="AB1313" s="62"/>
      <c r="AC1313" s="62"/>
    </row>
    <row r="1314" spans="1:29">
      <c r="A1314" s="65" t="str">
        <f>IFERROR(VLOOKUP('Informe Kelly'!A1307,Base!A:B,2,FALSE),"")</f>
        <v/>
      </c>
      <c r="B1314" s="65" t="str">
        <f>IFERROR(VLOOKUP('Informe Kelly'!A1307,Base!A:G,7,FALSE),"")</f>
        <v/>
      </c>
      <c r="C1314" s="69">
        <f>IF(G1314=$C$4,IF('Informe Kelly'!H1307='Control informe Kelly'!$A$2,TEXT(((LEFT('Informe Kelly'!E1307,2)*1)+1),"dd")&amp;"."&amp;MID('Informe Kelly'!E1307,4,2)&amp;"."&amp;RIGHT('Informe Kelly'!E1307,4),'Informe Kelly'!E1307),'Informe Kelly'!E1307)</f>
        <v>0</v>
      </c>
      <c r="D1314" s="69" t="str">
        <f>IF('Informe Kelly'!E1307="","",'Informe Kelly'!E1307)</f>
        <v/>
      </c>
      <c r="E1314" s="72">
        <f t="shared" si="41"/>
        <v>581</v>
      </c>
      <c r="F1314" s="72" t="str">
        <f>IFERROR(HLOOKUP(C1314,Ingreso!$Q$8:$AD$9,2,FALSE),"v")</f>
        <v>v</v>
      </c>
      <c r="G1314" s="65" t="str">
        <f>IFERROR(VLOOKUP(A1314,Ingreso!K:P,6,FALSE),"no esta ingresado")</f>
        <v>no esta ingresado</v>
      </c>
      <c r="H1314" s="65" t="str">
        <f>IFERROR(IF('Informe Kelly'!H1307=$A$2,'Informe Kelly'!F1307,""),0)</f>
        <v/>
      </c>
      <c r="I1314" s="65" t="str">
        <f>IFERROR(IF('Informe Kelly'!H1307=$A$3,'Informe Kelly'!F1307,""),0)</f>
        <v/>
      </c>
      <c r="J1314" s="65" t="str">
        <f>IF(IFERROR(IF(E1314=E1313,0,(HLOOKUP(D1314,Ingreso!$AN$10:$AT$260,VLOOKUP(A1314,Ingreso!$AL$11:$AM$260,2,FALSE)))/24),0)=0,"",IFERROR(IF(E1314=E1313,0,(HLOOKUP(D1314,Ingreso!$AN$10:$AT$260,VLOOKUP(A1314,Ingreso!$AL$11:$AM$260,2,FALSE)))/24),0))</f>
        <v/>
      </c>
      <c r="K1314" s="65" t="str">
        <f>IF(IFERROR(IF(E1314=E1313,0,(HLOOKUP(C1314,Ingreso!$AW$10:$BC$260,VLOOKUP(A1314,Ingreso!$AL$11:$AM$260,2,FALSE)))/24),0)=0,"",IFERROR(IF(E1314=E1313,0,(HLOOKUP(C1314,Ingreso!$AW$10:$BC$260,VLOOKUP(A1314,Ingreso!$AL$11:$AM$260,2,FALSE)))/24),0))</f>
        <v/>
      </c>
      <c r="L1314" s="63">
        <f t="shared" si="40"/>
        <v>0</v>
      </c>
      <c r="M1314" s="63" t="str">
        <f>IF(IFERROR(IF(C1314=C1312,0,IF(E1314=E1313,0,IF(C1314=$R$2,HLOOKUP($R$2,Ingreso!$AW$10:$BC$260,VLOOKUP(A1314,Ingreso!AL:AM,2,FALSE),FALSE)/24,""))),"")=0,"",IFERROR(IF(C1314=C1312,0,IF(E1314=E1313,0,IF(C1314=$R$2,HLOOKUP($R$2,Ingreso!$AW$10:$BC$260,VLOOKUP(A1314,Ingreso!AL:AM,2,FALSE),FALSE)/24,""))),""))</f>
        <v/>
      </c>
      <c r="N1314" s="95" t="str">
        <f>IF(IFERROR(IF(C1314=C1312,0,IF(E1314=E1313,0,IF(C1314=$R$3,HLOOKUP($R$3,Ingreso!$AW$10:$BC$260,VLOOKUP(A1314,Ingreso!AL:AM,2,FALSE),FALSE)/24,""))),"")=0,"",IFERROR(IF(C1314=C1312,0,IF(E1314=E1313,0,IF(C1314=$R$3,HLOOKUP($R$3,Ingreso!$AW$10:$BC$260,VLOOKUP(A1314,Ingreso!AL:AM,2,FALSE),FALSE)/24,""))),""))</f>
        <v/>
      </c>
      <c r="O1314" s="95" t="str">
        <f>IF(IFERROR(IF(C1314=C1312,0,IF(E1314=E1313,0,IF(C1314=$R$4,HLOOKUP($R$4,Ingreso!$AW$10:$BC$260,VLOOKUP(A1314,Ingreso!AL:AM,2,FALSE),FALSE)/24,""))),"")=0,"",IFERROR(IF(C1314=C1312,0,IF(E1314=E1313,0,IF(C1314=$R$4,HLOOKUP($R$4,Ingreso!$AW$10:$BC$260,VLOOKUP(A1314,Ingreso!AL:AM,2,FALSE),FALSE)/24,""))),""))</f>
        <v/>
      </c>
      <c r="P1314" s="90"/>
      <c r="V1314"/>
      <c r="W1314" s="62"/>
      <c r="X1314" s="62"/>
      <c r="Y1314" s="62"/>
      <c r="Z1314" s="62"/>
      <c r="AA1314" s="62"/>
      <c r="AB1314" s="62"/>
      <c r="AC1314" s="62"/>
    </row>
    <row r="1315" spans="1:29">
      <c r="A1315" s="65" t="str">
        <f>IFERROR(VLOOKUP('Informe Kelly'!A1308,Base!A:B,2,FALSE),"")</f>
        <v/>
      </c>
      <c r="B1315" s="65" t="str">
        <f>IFERROR(VLOOKUP('Informe Kelly'!A1308,Base!A:G,7,FALSE),"")</f>
        <v/>
      </c>
      <c r="C1315" s="69">
        <f>IF(G1315=$C$4,IF('Informe Kelly'!H1308='Control informe Kelly'!$A$2,TEXT(((LEFT('Informe Kelly'!E1308,2)*1)+1),"dd")&amp;"."&amp;MID('Informe Kelly'!E1308,4,2)&amp;"."&amp;RIGHT('Informe Kelly'!E1308,4),'Informe Kelly'!E1308),'Informe Kelly'!E1308)</f>
        <v>0</v>
      </c>
      <c r="D1315" s="69" t="str">
        <f>IF('Informe Kelly'!E1308="","",'Informe Kelly'!E1308)</f>
        <v/>
      </c>
      <c r="E1315" s="72">
        <f t="shared" si="41"/>
        <v>581</v>
      </c>
      <c r="F1315" s="72" t="str">
        <f>IFERROR(HLOOKUP(C1315,Ingreso!$Q$8:$AD$9,2,FALSE),"v")</f>
        <v>v</v>
      </c>
      <c r="G1315" s="65" t="str">
        <f>IFERROR(VLOOKUP(A1315,Ingreso!K:P,6,FALSE),"no esta ingresado")</f>
        <v>no esta ingresado</v>
      </c>
      <c r="H1315" s="65" t="str">
        <f>IFERROR(IF('Informe Kelly'!H1308=$A$2,'Informe Kelly'!F1308,""),0)</f>
        <v/>
      </c>
      <c r="I1315" s="65" t="str">
        <f>IFERROR(IF('Informe Kelly'!H1308=$A$3,'Informe Kelly'!F1308,""),0)</f>
        <v/>
      </c>
      <c r="J1315" s="65" t="str">
        <f>IF(IFERROR(IF(E1315=E1314,0,(HLOOKUP(D1315,Ingreso!$AN$10:$AT$260,VLOOKUP(A1315,Ingreso!$AL$11:$AM$260,2,FALSE)))/24),0)=0,"",IFERROR(IF(E1315=E1314,0,(HLOOKUP(D1315,Ingreso!$AN$10:$AT$260,VLOOKUP(A1315,Ingreso!$AL$11:$AM$260,2,FALSE)))/24),0))</f>
        <v/>
      </c>
      <c r="K1315" s="65" t="str">
        <f>IF(IFERROR(IF(E1315=E1314,0,(HLOOKUP(C1315,Ingreso!$AW$10:$BC$260,VLOOKUP(A1315,Ingreso!$AL$11:$AM$260,2,FALSE)))/24),0)=0,"",IFERROR(IF(E1315=E1314,0,(HLOOKUP(C1315,Ingreso!$AW$10:$BC$260,VLOOKUP(A1315,Ingreso!$AL$11:$AM$260,2,FALSE)))/24),0))</f>
        <v/>
      </c>
      <c r="L1315" s="63">
        <f t="shared" si="40"/>
        <v>0</v>
      </c>
      <c r="M1315" s="63" t="str">
        <f>IF(IFERROR(IF(C1315=C1313,0,IF(E1315=E1314,0,IF(C1315=$R$2,HLOOKUP($R$2,Ingreso!$AW$10:$BC$260,VLOOKUP(A1315,Ingreso!AL:AM,2,FALSE),FALSE)/24,""))),"")=0,"",IFERROR(IF(C1315=C1313,0,IF(E1315=E1314,0,IF(C1315=$R$2,HLOOKUP($R$2,Ingreso!$AW$10:$BC$260,VLOOKUP(A1315,Ingreso!AL:AM,2,FALSE),FALSE)/24,""))),""))</f>
        <v/>
      </c>
      <c r="N1315" s="95" t="str">
        <f>IF(IFERROR(IF(C1315=C1313,0,IF(E1315=E1314,0,IF(C1315=$R$3,HLOOKUP($R$3,Ingreso!$AW$10:$BC$260,VLOOKUP(A1315,Ingreso!AL:AM,2,FALSE),FALSE)/24,""))),"")=0,"",IFERROR(IF(C1315=C1313,0,IF(E1315=E1314,0,IF(C1315=$R$3,HLOOKUP($R$3,Ingreso!$AW$10:$BC$260,VLOOKUP(A1315,Ingreso!AL:AM,2,FALSE),FALSE)/24,""))),""))</f>
        <v/>
      </c>
      <c r="O1315" s="95" t="str">
        <f>IF(IFERROR(IF(C1315=C1313,0,IF(E1315=E1314,0,IF(C1315=$R$4,HLOOKUP($R$4,Ingreso!$AW$10:$BC$260,VLOOKUP(A1315,Ingreso!AL:AM,2,FALSE),FALSE)/24,""))),"")=0,"",IFERROR(IF(C1315=C1313,0,IF(E1315=E1314,0,IF(C1315=$R$4,HLOOKUP($R$4,Ingreso!$AW$10:$BC$260,VLOOKUP(A1315,Ingreso!AL:AM,2,FALSE),FALSE)/24,""))),""))</f>
        <v/>
      </c>
      <c r="P1315" s="90"/>
      <c r="V1315"/>
      <c r="W1315" s="62"/>
      <c r="X1315" s="62"/>
      <c r="Y1315" s="62"/>
      <c r="Z1315" s="62"/>
      <c r="AA1315" s="62"/>
      <c r="AB1315" s="62"/>
      <c r="AC1315" s="62"/>
    </row>
    <row r="1316" spans="1:29">
      <c r="A1316" s="65" t="str">
        <f>IFERROR(VLOOKUP('Informe Kelly'!A1309,Base!A:B,2,FALSE),"")</f>
        <v/>
      </c>
      <c r="B1316" s="65" t="str">
        <f>IFERROR(VLOOKUP('Informe Kelly'!A1309,Base!A:G,7,FALSE),"")</f>
        <v/>
      </c>
      <c r="C1316" s="69">
        <f>IF(G1316=$C$4,IF('Informe Kelly'!H1309='Control informe Kelly'!$A$2,TEXT(((LEFT('Informe Kelly'!E1309,2)*1)+1),"dd")&amp;"."&amp;MID('Informe Kelly'!E1309,4,2)&amp;"."&amp;RIGHT('Informe Kelly'!E1309,4),'Informe Kelly'!E1309),'Informe Kelly'!E1309)</f>
        <v>0</v>
      </c>
      <c r="D1316" s="69" t="str">
        <f>IF('Informe Kelly'!E1309="","",'Informe Kelly'!E1309)</f>
        <v/>
      </c>
      <c r="E1316" s="72">
        <f t="shared" si="41"/>
        <v>581</v>
      </c>
      <c r="F1316" s="72" t="str">
        <f>IFERROR(HLOOKUP(C1316,Ingreso!$Q$8:$AD$9,2,FALSE),"v")</f>
        <v>v</v>
      </c>
      <c r="G1316" s="65" t="str">
        <f>IFERROR(VLOOKUP(A1316,Ingreso!K:P,6,FALSE),"no esta ingresado")</f>
        <v>no esta ingresado</v>
      </c>
      <c r="H1316" s="65" t="str">
        <f>IFERROR(IF('Informe Kelly'!H1309=$A$2,'Informe Kelly'!F1309,""),0)</f>
        <v/>
      </c>
      <c r="I1316" s="65" t="str">
        <f>IFERROR(IF('Informe Kelly'!H1309=$A$3,'Informe Kelly'!F1309,""),0)</f>
        <v/>
      </c>
      <c r="J1316" s="65" t="str">
        <f>IF(IFERROR(IF(E1316=E1315,0,(HLOOKUP(D1316,Ingreso!$AN$10:$AT$260,VLOOKUP(A1316,Ingreso!$AL$11:$AM$260,2,FALSE)))/24),0)=0,"",IFERROR(IF(E1316=E1315,0,(HLOOKUP(D1316,Ingreso!$AN$10:$AT$260,VLOOKUP(A1316,Ingreso!$AL$11:$AM$260,2,FALSE)))/24),0))</f>
        <v/>
      </c>
      <c r="K1316" s="65" t="str">
        <f>IF(IFERROR(IF(E1316=E1315,0,(HLOOKUP(C1316,Ingreso!$AW$10:$BC$260,VLOOKUP(A1316,Ingreso!$AL$11:$AM$260,2,FALSE)))/24),0)=0,"",IFERROR(IF(E1316=E1315,0,(HLOOKUP(C1316,Ingreso!$AW$10:$BC$260,VLOOKUP(A1316,Ingreso!$AL$11:$AM$260,2,FALSE)))/24),0))</f>
        <v/>
      </c>
      <c r="L1316" s="63">
        <f t="shared" si="40"/>
        <v>0</v>
      </c>
      <c r="M1316" s="63" t="str">
        <f>IF(IFERROR(IF(C1316=C1314,0,IF(E1316=E1315,0,IF(C1316=$R$2,HLOOKUP($R$2,Ingreso!$AW$10:$BC$260,VLOOKUP(A1316,Ingreso!AL:AM,2,FALSE),FALSE)/24,""))),"")=0,"",IFERROR(IF(C1316=C1314,0,IF(E1316=E1315,0,IF(C1316=$R$2,HLOOKUP($R$2,Ingreso!$AW$10:$BC$260,VLOOKUP(A1316,Ingreso!AL:AM,2,FALSE),FALSE)/24,""))),""))</f>
        <v/>
      </c>
      <c r="N1316" s="95" t="str">
        <f>IF(IFERROR(IF(C1316=C1314,0,IF(E1316=E1315,0,IF(C1316=$R$3,HLOOKUP($R$3,Ingreso!$AW$10:$BC$260,VLOOKUP(A1316,Ingreso!AL:AM,2,FALSE),FALSE)/24,""))),"")=0,"",IFERROR(IF(C1316=C1314,0,IF(E1316=E1315,0,IF(C1316=$R$3,HLOOKUP($R$3,Ingreso!$AW$10:$BC$260,VLOOKUP(A1316,Ingreso!AL:AM,2,FALSE),FALSE)/24,""))),""))</f>
        <v/>
      </c>
      <c r="O1316" s="95" t="str">
        <f>IF(IFERROR(IF(C1316=C1314,0,IF(E1316=E1315,0,IF(C1316=$R$4,HLOOKUP($R$4,Ingreso!$AW$10:$BC$260,VLOOKUP(A1316,Ingreso!AL:AM,2,FALSE),FALSE)/24,""))),"")=0,"",IFERROR(IF(C1316=C1314,0,IF(E1316=E1315,0,IF(C1316=$R$4,HLOOKUP($R$4,Ingreso!$AW$10:$BC$260,VLOOKUP(A1316,Ingreso!AL:AM,2,FALSE),FALSE)/24,""))),""))</f>
        <v/>
      </c>
      <c r="P1316" s="90"/>
      <c r="V1316"/>
      <c r="W1316" s="62"/>
      <c r="X1316" s="62"/>
      <c r="Y1316" s="62"/>
      <c r="Z1316" s="62"/>
      <c r="AA1316" s="62"/>
      <c r="AB1316" s="62"/>
      <c r="AC1316" s="62"/>
    </row>
    <row r="1317" spans="1:29">
      <c r="A1317" s="65" t="str">
        <f>IFERROR(VLOOKUP('Informe Kelly'!A1310,Base!A:B,2,FALSE),"")</f>
        <v/>
      </c>
      <c r="B1317" s="65" t="str">
        <f>IFERROR(VLOOKUP('Informe Kelly'!A1310,Base!A:G,7,FALSE),"")</f>
        <v/>
      </c>
      <c r="C1317" s="69">
        <f>IF(G1317=$C$4,IF('Informe Kelly'!H1310='Control informe Kelly'!$A$2,TEXT(((LEFT('Informe Kelly'!E1310,2)*1)+1),"dd")&amp;"."&amp;MID('Informe Kelly'!E1310,4,2)&amp;"."&amp;RIGHT('Informe Kelly'!E1310,4),'Informe Kelly'!E1310),'Informe Kelly'!E1310)</f>
        <v>0</v>
      </c>
      <c r="D1317" s="69" t="str">
        <f>IF('Informe Kelly'!E1310="","",'Informe Kelly'!E1310)</f>
        <v/>
      </c>
      <c r="E1317" s="72">
        <f t="shared" si="41"/>
        <v>581</v>
      </c>
      <c r="F1317" s="72" t="str">
        <f>IFERROR(HLOOKUP(C1317,Ingreso!$Q$8:$AD$9,2,FALSE),"v")</f>
        <v>v</v>
      </c>
      <c r="G1317" s="65" t="str">
        <f>IFERROR(VLOOKUP(A1317,Ingreso!K:P,6,FALSE),"no esta ingresado")</f>
        <v>no esta ingresado</v>
      </c>
      <c r="H1317" s="65" t="str">
        <f>IFERROR(IF('Informe Kelly'!H1310=$A$2,'Informe Kelly'!F1310,""),0)</f>
        <v/>
      </c>
      <c r="I1317" s="65" t="str">
        <f>IFERROR(IF('Informe Kelly'!H1310=$A$3,'Informe Kelly'!F1310,""),0)</f>
        <v/>
      </c>
      <c r="J1317" s="65" t="str">
        <f>IF(IFERROR(IF(E1317=E1316,0,(HLOOKUP(D1317,Ingreso!$AN$10:$AT$260,VLOOKUP(A1317,Ingreso!$AL$11:$AM$260,2,FALSE)))/24),0)=0,"",IFERROR(IF(E1317=E1316,0,(HLOOKUP(D1317,Ingreso!$AN$10:$AT$260,VLOOKUP(A1317,Ingreso!$AL$11:$AM$260,2,FALSE)))/24),0))</f>
        <v/>
      </c>
      <c r="K1317" s="65" t="str">
        <f>IF(IFERROR(IF(E1317=E1316,0,(HLOOKUP(C1317,Ingreso!$AW$10:$BC$260,VLOOKUP(A1317,Ingreso!$AL$11:$AM$260,2,FALSE)))/24),0)=0,"",IFERROR(IF(E1317=E1316,0,(HLOOKUP(C1317,Ingreso!$AW$10:$BC$260,VLOOKUP(A1317,Ingreso!$AL$11:$AM$260,2,FALSE)))/24),0))</f>
        <v/>
      </c>
      <c r="L1317" s="63">
        <f t="shared" si="40"/>
        <v>0</v>
      </c>
      <c r="M1317" s="63" t="str">
        <f>IF(IFERROR(IF(C1317=C1315,0,IF(E1317=E1316,0,IF(C1317=$R$2,HLOOKUP($R$2,Ingreso!$AW$10:$BC$260,VLOOKUP(A1317,Ingreso!AL:AM,2,FALSE),FALSE)/24,""))),"")=0,"",IFERROR(IF(C1317=C1315,0,IF(E1317=E1316,0,IF(C1317=$R$2,HLOOKUP($R$2,Ingreso!$AW$10:$BC$260,VLOOKUP(A1317,Ingreso!AL:AM,2,FALSE),FALSE)/24,""))),""))</f>
        <v/>
      </c>
      <c r="N1317" s="95" t="str">
        <f>IF(IFERROR(IF(C1317=C1315,0,IF(E1317=E1316,0,IF(C1317=$R$3,HLOOKUP($R$3,Ingreso!$AW$10:$BC$260,VLOOKUP(A1317,Ingreso!AL:AM,2,FALSE),FALSE)/24,""))),"")=0,"",IFERROR(IF(C1317=C1315,0,IF(E1317=E1316,0,IF(C1317=$R$3,HLOOKUP($R$3,Ingreso!$AW$10:$BC$260,VLOOKUP(A1317,Ingreso!AL:AM,2,FALSE),FALSE)/24,""))),""))</f>
        <v/>
      </c>
      <c r="O1317" s="95" t="str">
        <f>IF(IFERROR(IF(C1317=C1315,0,IF(E1317=E1316,0,IF(C1317=$R$4,HLOOKUP($R$4,Ingreso!$AW$10:$BC$260,VLOOKUP(A1317,Ingreso!AL:AM,2,FALSE),FALSE)/24,""))),"")=0,"",IFERROR(IF(C1317=C1315,0,IF(E1317=E1316,0,IF(C1317=$R$4,HLOOKUP($R$4,Ingreso!$AW$10:$BC$260,VLOOKUP(A1317,Ingreso!AL:AM,2,FALSE),FALSE)/24,""))),""))</f>
        <v/>
      </c>
      <c r="P1317" s="90"/>
      <c r="V1317"/>
      <c r="W1317" s="62"/>
      <c r="X1317" s="62"/>
      <c r="Y1317" s="62"/>
      <c r="Z1317" s="62"/>
      <c r="AA1317" s="62"/>
      <c r="AB1317" s="62"/>
      <c r="AC1317" s="62"/>
    </row>
    <row r="1318" spans="1:29">
      <c r="A1318" s="65" t="str">
        <f>IFERROR(VLOOKUP('Informe Kelly'!A1311,Base!A:B,2,FALSE),"")</f>
        <v/>
      </c>
      <c r="B1318" s="65" t="str">
        <f>IFERROR(VLOOKUP('Informe Kelly'!A1311,Base!A:G,7,FALSE),"")</f>
        <v/>
      </c>
      <c r="C1318" s="69">
        <f>IF(G1318=$C$4,IF('Informe Kelly'!H1311='Control informe Kelly'!$A$2,TEXT(((LEFT('Informe Kelly'!E1311,2)*1)+1),"dd")&amp;"."&amp;MID('Informe Kelly'!E1311,4,2)&amp;"."&amp;RIGHT('Informe Kelly'!E1311,4),'Informe Kelly'!E1311),'Informe Kelly'!E1311)</f>
        <v>0</v>
      </c>
      <c r="D1318" s="69" t="str">
        <f>IF('Informe Kelly'!E1311="","",'Informe Kelly'!E1311)</f>
        <v/>
      </c>
      <c r="E1318" s="72">
        <f t="shared" si="41"/>
        <v>581</v>
      </c>
      <c r="F1318" s="72" t="str">
        <f>IFERROR(HLOOKUP(C1318,Ingreso!$Q$8:$AD$9,2,FALSE),"v")</f>
        <v>v</v>
      </c>
      <c r="G1318" s="65" t="str">
        <f>IFERROR(VLOOKUP(A1318,Ingreso!K:P,6,FALSE),"no esta ingresado")</f>
        <v>no esta ingresado</v>
      </c>
      <c r="H1318" s="65" t="str">
        <f>IFERROR(IF('Informe Kelly'!H1311=$A$2,'Informe Kelly'!F1311,""),0)</f>
        <v/>
      </c>
      <c r="I1318" s="65" t="str">
        <f>IFERROR(IF('Informe Kelly'!H1311=$A$3,'Informe Kelly'!F1311,""),0)</f>
        <v/>
      </c>
      <c r="J1318" s="65" t="str">
        <f>IF(IFERROR(IF(E1318=E1317,0,(HLOOKUP(D1318,Ingreso!$AN$10:$AT$260,VLOOKUP(A1318,Ingreso!$AL$11:$AM$260,2,FALSE)))/24),0)=0,"",IFERROR(IF(E1318=E1317,0,(HLOOKUP(D1318,Ingreso!$AN$10:$AT$260,VLOOKUP(A1318,Ingreso!$AL$11:$AM$260,2,FALSE)))/24),0))</f>
        <v/>
      </c>
      <c r="K1318" s="65" t="str">
        <f>IF(IFERROR(IF(E1318=E1317,0,(HLOOKUP(C1318,Ingreso!$AW$10:$BC$260,VLOOKUP(A1318,Ingreso!$AL$11:$AM$260,2,FALSE)))/24),0)=0,"",IFERROR(IF(E1318=E1317,0,(HLOOKUP(C1318,Ingreso!$AW$10:$BC$260,VLOOKUP(A1318,Ingreso!$AL$11:$AM$260,2,FALSE)))/24),0))</f>
        <v/>
      </c>
      <c r="L1318" s="63">
        <f t="shared" si="40"/>
        <v>0</v>
      </c>
      <c r="M1318" s="63" t="str">
        <f>IF(IFERROR(IF(C1318=C1316,0,IF(E1318=E1317,0,IF(C1318=$R$2,HLOOKUP($R$2,Ingreso!$AW$10:$BC$260,VLOOKUP(A1318,Ingreso!AL:AM,2,FALSE),FALSE)/24,""))),"")=0,"",IFERROR(IF(C1318=C1316,0,IF(E1318=E1317,0,IF(C1318=$R$2,HLOOKUP($R$2,Ingreso!$AW$10:$BC$260,VLOOKUP(A1318,Ingreso!AL:AM,2,FALSE),FALSE)/24,""))),""))</f>
        <v/>
      </c>
      <c r="N1318" s="95" t="str">
        <f>IF(IFERROR(IF(C1318=C1316,0,IF(E1318=E1317,0,IF(C1318=$R$3,HLOOKUP($R$3,Ingreso!$AW$10:$BC$260,VLOOKUP(A1318,Ingreso!AL:AM,2,FALSE),FALSE)/24,""))),"")=0,"",IFERROR(IF(C1318=C1316,0,IF(E1318=E1317,0,IF(C1318=$R$3,HLOOKUP($R$3,Ingreso!$AW$10:$BC$260,VLOOKUP(A1318,Ingreso!AL:AM,2,FALSE),FALSE)/24,""))),""))</f>
        <v/>
      </c>
      <c r="O1318" s="95" t="str">
        <f>IF(IFERROR(IF(C1318=C1316,0,IF(E1318=E1317,0,IF(C1318=$R$4,HLOOKUP($R$4,Ingreso!$AW$10:$BC$260,VLOOKUP(A1318,Ingreso!AL:AM,2,FALSE),FALSE)/24,""))),"")=0,"",IFERROR(IF(C1318=C1316,0,IF(E1318=E1317,0,IF(C1318=$R$4,HLOOKUP($R$4,Ingreso!$AW$10:$BC$260,VLOOKUP(A1318,Ingreso!AL:AM,2,FALSE),FALSE)/24,""))),""))</f>
        <v/>
      </c>
      <c r="P1318" s="90"/>
      <c r="V1318"/>
      <c r="W1318" s="62"/>
      <c r="X1318" s="62"/>
      <c r="Y1318" s="62"/>
      <c r="Z1318" s="62"/>
      <c r="AA1318" s="62"/>
      <c r="AB1318" s="62"/>
      <c r="AC1318" s="62"/>
    </row>
    <row r="1319" spans="1:29">
      <c r="A1319" s="65" t="str">
        <f>IFERROR(VLOOKUP('Informe Kelly'!A1312,Base!A:B,2,FALSE),"")</f>
        <v/>
      </c>
      <c r="B1319" s="65" t="str">
        <f>IFERROR(VLOOKUP('Informe Kelly'!A1312,Base!A:G,7,FALSE),"")</f>
        <v/>
      </c>
      <c r="C1319" s="69">
        <f>IF(G1319=$C$4,IF('Informe Kelly'!H1312='Control informe Kelly'!$A$2,TEXT(((LEFT('Informe Kelly'!E1312,2)*1)+1),"dd")&amp;"."&amp;MID('Informe Kelly'!E1312,4,2)&amp;"."&amp;RIGHT('Informe Kelly'!E1312,4),'Informe Kelly'!E1312),'Informe Kelly'!E1312)</f>
        <v>0</v>
      </c>
      <c r="D1319" s="69" t="str">
        <f>IF('Informe Kelly'!E1312="","",'Informe Kelly'!E1312)</f>
        <v/>
      </c>
      <c r="E1319" s="72">
        <f t="shared" si="41"/>
        <v>581</v>
      </c>
      <c r="F1319" s="72" t="str">
        <f>IFERROR(HLOOKUP(C1319,Ingreso!$Q$8:$AD$9,2,FALSE),"v")</f>
        <v>v</v>
      </c>
      <c r="G1319" s="65" t="str">
        <f>IFERROR(VLOOKUP(A1319,Ingreso!K:P,6,FALSE),"no esta ingresado")</f>
        <v>no esta ingresado</v>
      </c>
      <c r="H1319" s="65" t="str">
        <f>IFERROR(IF('Informe Kelly'!H1312=$A$2,'Informe Kelly'!F1312,""),0)</f>
        <v/>
      </c>
      <c r="I1319" s="65" t="str">
        <f>IFERROR(IF('Informe Kelly'!H1312=$A$3,'Informe Kelly'!F1312,""),0)</f>
        <v/>
      </c>
      <c r="J1319" s="65" t="str">
        <f>IF(IFERROR(IF(E1319=E1318,0,(HLOOKUP(D1319,Ingreso!$AN$10:$AT$260,VLOOKUP(A1319,Ingreso!$AL$11:$AM$260,2,FALSE)))/24),0)=0,"",IFERROR(IF(E1319=E1318,0,(HLOOKUP(D1319,Ingreso!$AN$10:$AT$260,VLOOKUP(A1319,Ingreso!$AL$11:$AM$260,2,FALSE)))/24),0))</f>
        <v/>
      </c>
      <c r="K1319" s="65" t="str">
        <f>IF(IFERROR(IF(E1319=E1318,0,(HLOOKUP(C1319,Ingreso!$AW$10:$BC$260,VLOOKUP(A1319,Ingreso!$AL$11:$AM$260,2,FALSE)))/24),0)=0,"",IFERROR(IF(E1319=E1318,0,(HLOOKUP(C1319,Ingreso!$AW$10:$BC$260,VLOOKUP(A1319,Ingreso!$AL$11:$AM$260,2,FALSE)))/24),0))</f>
        <v/>
      </c>
      <c r="L1319" s="63">
        <f t="shared" si="40"/>
        <v>0</v>
      </c>
      <c r="M1319" s="63" t="str">
        <f>IF(IFERROR(IF(C1319=C1317,0,IF(E1319=E1318,0,IF(C1319=$R$2,HLOOKUP($R$2,Ingreso!$AW$10:$BC$260,VLOOKUP(A1319,Ingreso!AL:AM,2,FALSE),FALSE)/24,""))),"")=0,"",IFERROR(IF(C1319=C1317,0,IF(E1319=E1318,0,IF(C1319=$R$2,HLOOKUP($R$2,Ingreso!$AW$10:$BC$260,VLOOKUP(A1319,Ingreso!AL:AM,2,FALSE),FALSE)/24,""))),""))</f>
        <v/>
      </c>
      <c r="N1319" s="95" t="str">
        <f>IF(IFERROR(IF(C1319=C1317,0,IF(E1319=E1318,0,IF(C1319=$R$3,HLOOKUP($R$3,Ingreso!$AW$10:$BC$260,VLOOKUP(A1319,Ingreso!AL:AM,2,FALSE),FALSE)/24,""))),"")=0,"",IFERROR(IF(C1319=C1317,0,IF(E1319=E1318,0,IF(C1319=$R$3,HLOOKUP($R$3,Ingreso!$AW$10:$BC$260,VLOOKUP(A1319,Ingreso!AL:AM,2,FALSE),FALSE)/24,""))),""))</f>
        <v/>
      </c>
      <c r="O1319" s="95" t="str">
        <f>IF(IFERROR(IF(C1319=C1317,0,IF(E1319=E1318,0,IF(C1319=$R$4,HLOOKUP($R$4,Ingreso!$AW$10:$BC$260,VLOOKUP(A1319,Ingreso!AL:AM,2,FALSE),FALSE)/24,""))),"")=0,"",IFERROR(IF(C1319=C1317,0,IF(E1319=E1318,0,IF(C1319=$R$4,HLOOKUP($R$4,Ingreso!$AW$10:$BC$260,VLOOKUP(A1319,Ingreso!AL:AM,2,FALSE),FALSE)/24,""))),""))</f>
        <v/>
      </c>
      <c r="P1319" s="90"/>
      <c r="V1319"/>
      <c r="W1319" s="62"/>
      <c r="X1319" s="62"/>
      <c r="Y1319" s="62"/>
      <c r="Z1319" s="62"/>
      <c r="AA1319" s="62"/>
      <c r="AB1319" s="62"/>
      <c r="AC1319" s="62"/>
    </row>
    <row r="1320" spans="1:29">
      <c r="A1320" s="65" t="str">
        <f>IFERROR(VLOOKUP('Informe Kelly'!A1313,Base!A:B,2,FALSE),"")</f>
        <v/>
      </c>
      <c r="B1320" s="65" t="str">
        <f>IFERROR(VLOOKUP('Informe Kelly'!A1313,Base!A:G,7,FALSE),"")</f>
        <v/>
      </c>
      <c r="C1320" s="69">
        <f>IF(G1320=$C$4,IF('Informe Kelly'!H1313='Control informe Kelly'!$A$2,TEXT(((LEFT('Informe Kelly'!E1313,2)*1)+1),"dd")&amp;"."&amp;MID('Informe Kelly'!E1313,4,2)&amp;"."&amp;RIGHT('Informe Kelly'!E1313,4),'Informe Kelly'!E1313),'Informe Kelly'!E1313)</f>
        <v>0</v>
      </c>
      <c r="D1320" s="69" t="str">
        <f>IF('Informe Kelly'!E1313="","",'Informe Kelly'!E1313)</f>
        <v/>
      </c>
      <c r="E1320" s="72">
        <f t="shared" si="41"/>
        <v>581</v>
      </c>
      <c r="F1320" s="72" t="str">
        <f>IFERROR(HLOOKUP(C1320,Ingreso!$Q$8:$AD$9,2,FALSE),"v")</f>
        <v>v</v>
      </c>
      <c r="G1320" s="65" t="str">
        <f>IFERROR(VLOOKUP(A1320,Ingreso!K:P,6,FALSE),"no esta ingresado")</f>
        <v>no esta ingresado</v>
      </c>
      <c r="H1320" s="65" t="str">
        <f>IFERROR(IF('Informe Kelly'!H1313=$A$2,'Informe Kelly'!F1313,""),0)</f>
        <v/>
      </c>
      <c r="I1320" s="65" t="str">
        <f>IFERROR(IF('Informe Kelly'!H1313=$A$3,'Informe Kelly'!F1313,""),0)</f>
        <v/>
      </c>
      <c r="J1320" s="65" t="str">
        <f>IF(IFERROR(IF(E1320=E1319,0,(HLOOKUP(D1320,Ingreso!$AN$10:$AT$260,VLOOKUP(A1320,Ingreso!$AL$11:$AM$260,2,FALSE)))/24),0)=0,"",IFERROR(IF(E1320=E1319,0,(HLOOKUP(D1320,Ingreso!$AN$10:$AT$260,VLOOKUP(A1320,Ingreso!$AL$11:$AM$260,2,FALSE)))/24),0))</f>
        <v/>
      </c>
      <c r="K1320" s="65" t="str">
        <f>IF(IFERROR(IF(E1320=E1319,0,(HLOOKUP(C1320,Ingreso!$AW$10:$BC$260,VLOOKUP(A1320,Ingreso!$AL$11:$AM$260,2,FALSE)))/24),0)=0,"",IFERROR(IF(E1320=E1319,0,(HLOOKUP(C1320,Ingreso!$AW$10:$BC$260,VLOOKUP(A1320,Ingreso!$AL$11:$AM$260,2,FALSE)))/24),0))</f>
        <v/>
      </c>
      <c r="L1320" s="63">
        <f t="shared" si="40"/>
        <v>0</v>
      </c>
      <c r="M1320" s="63" t="str">
        <f>IF(IFERROR(IF(C1320=C1318,0,IF(E1320=E1319,0,IF(C1320=$R$2,HLOOKUP($R$2,Ingreso!$AW$10:$BC$260,VLOOKUP(A1320,Ingreso!AL:AM,2,FALSE),FALSE)/24,""))),"")=0,"",IFERROR(IF(C1320=C1318,0,IF(E1320=E1319,0,IF(C1320=$R$2,HLOOKUP($R$2,Ingreso!$AW$10:$BC$260,VLOOKUP(A1320,Ingreso!AL:AM,2,FALSE),FALSE)/24,""))),""))</f>
        <v/>
      </c>
      <c r="N1320" s="95" t="str">
        <f>IF(IFERROR(IF(C1320=C1318,0,IF(E1320=E1319,0,IF(C1320=$R$3,HLOOKUP($R$3,Ingreso!$AW$10:$BC$260,VLOOKUP(A1320,Ingreso!AL:AM,2,FALSE),FALSE)/24,""))),"")=0,"",IFERROR(IF(C1320=C1318,0,IF(E1320=E1319,0,IF(C1320=$R$3,HLOOKUP($R$3,Ingreso!$AW$10:$BC$260,VLOOKUP(A1320,Ingreso!AL:AM,2,FALSE),FALSE)/24,""))),""))</f>
        <v/>
      </c>
      <c r="O1320" s="95" t="str">
        <f>IF(IFERROR(IF(C1320=C1318,0,IF(E1320=E1319,0,IF(C1320=$R$4,HLOOKUP($R$4,Ingreso!$AW$10:$BC$260,VLOOKUP(A1320,Ingreso!AL:AM,2,FALSE),FALSE)/24,""))),"")=0,"",IFERROR(IF(C1320=C1318,0,IF(E1320=E1319,0,IF(C1320=$R$4,HLOOKUP($R$4,Ingreso!$AW$10:$BC$260,VLOOKUP(A1320,Ingreso!AL:AM,2,FALSE),FALSE)/24,""))),""))</f>
        <v/>
      </c>
      <c r="P1320" s="90"/>
      <c r="V1320"/>
      <c r="W1320" s="62"/>
      <c r="X1320" s="62"/>
      <c r="Y1320" s="62"/>
      <c r="Z1320" s="62"/>
      <c r="AA1320" s="62"/>
      <c r="AB1320" s="62"/>
      <c r="AC1320" s="62"/>
    </row>
    <row r="1321" spans="1:29">
      <c r="A1321" s="65" t="str">
        <f>IFERROR(VLOOKUP('Informe Kelly'!A1314,Base!A:B,2,FALSE),"")</f>
        <v/>
      </c>
      <c r="B1321" s="65" t="str">
        <f>IFERROR(VLOOKUP('Informe Kelly'!A1314,Base!A:G,7,FALSE),"")</f>
        <v/>
      </c>
      <c r="C1321" s="69">
        <f>IF(G1321=$C$4,IF('Informe Kelly'!H1314='Control informe Kelly'!$A$2,TEXT(((LEFT('Informe Kelly'!E1314,2)*1)+1),"dd")&amp;"."&amp;MID('Informe Kelly'!E1314,4,2)&amp;"."&amp;RIGHT('Informe Kelly'!E1314,4),'Informe Kelly'!E1314),'Informe Kelly'!E1314)</f>
        <v>0</v>
      </c>
      <c r="D1321" s="69" t="str">
        <f>IF('Informe Kelly'!E1314="","",'Informe Kelly'!E1314)</f>
        <v/>
      </c>
      <c r="E1321" s="72">
        <f t="shared" si="41"/>
        <v>581</v>
      </c>
      <c r="F1321" s="72" t="str">
        <f>IFERROR(HLOOKUP(C1321,Ingreso!$Q$8:$AD$9,2,FALSE),"v")</f>
        <v>v</v>
      </c>
      <c r="G1321" s="65" t="str">
        <f>IFERROR(VLOOKUP(A1321,Ingreso!K:P,6,FALSE),"no esta ingresado")</f>
        <v>no esta ingresado</v>
      </c>
      <c r="H1321" s="65" t="str">
        <f>IFERROR(IF('Informe Kelly'!H1314=$A$2,'Informe Kelly'!F1314,""),0)</f>
        <v/>
      </c>
      <c r="I1321" s="65" t="str">
        <f>IFERROR(IF('Informe Kelly'!H1314=$A$3,'Informe Kelly'!F1314,""),0)</f>
        <v/>
      </c>
      <c r="J1321" s="65" t="str">
        <f>IF(IFERROR(IF(E1321=E1320,0,(HLOOKUP(D1321,Ingreso!$AN$10:$AT$260,VLOOKUP(A1321,Ingreso!$AL$11:$AM$260,2,FALSE)))/24),0)=0,"",IFERROR(IF(E1321=E1320,0,(HLOOKUP(D1321,Ingreso!$AN$10:$AT$260,VLOOKUP(A1321,Ingreso!$AL$11:$AM$260,2,FALSE)))/24),0))</f>
        <v/>
      </c>
      <c r="K1321" s="65" t="str">
        <f>IF(IFERROR(IF(E1321=E1320,0,(HLOOKUP(C1321,Ingreso!$AW$10:$BC$260,VLOOKUP(A1321,Ingreso!$AL$11:$AM$260,2,FALSE)))/24),0)=0,"",IFERROR(IF(E1321=E1320,0,(HLOOKUP(C1321,Ingreso!$AW$10:$BC$260,VLOOKUP(A1321,Ingreso!$AL$11:$AM$260,2,FALSE)))/24),0))</f>
        <v/>
      </c>
      <c r="L1321" s="63">
        <f t="shared" si="40"/>
        <v>0</v>
      </c>
      <c r="M1321" s="63" t="str">
        <f>IF(IFERROR(IF(C1321=C1319,0,IF(E1321=E1320,0,IF(C1321=$R$2,HLOOKUP($R$2,Ingreso!$AW$10:$BC$260,VLOOKUP(A1321,Ingreso!AL:AM,2,FALSE),FALSE)/24,""))),"")=0,"",IFERROR(IF(C1321=C1319,0,IF(E1321=E1320,0,IF(C1321=$R$2,HLOOKUP($R$2,Ingreso!$AW$10:$BC$260,VLOOKUP(A1321,Ingreso!AL:AM,2,FALSE),FALSE)/24,""))),""))</f>
        <v/>
      </c>
      <c r="N1321" s="95" t="str">
        <f>IF(IFERROR(IF(C1321=C1319,0,IF(E1321=E1320,0,IF(C1321=$R$3,HLOOKUP($R$3,Ingreso!$AW$10:$BC$260,VLOOKUP(A1321,Ingreso!AL:AM,2,FALSE),FALSE)/24,""))),"")=0,"",IFERROR(IF(C1321=C1319,0,IF(E1321=E1320,0,IF(C1321=$R$3,HLOOKUP($R$3,Ingreso!$AW$10:$BC$260,VLOOKUP(A1321,Ingreso!AL:AM,2,FALSE),FALSE)/24,""))),""))</f>
        <v/>
      </c>
      <c r="O1321" s="95" t="str">
        <f>IF(IFERROR(IF(C1321=C1319,0,IF(E1321=E1320,0,IF(C1321=$R$4,HLOOKUP($R$4,Ingreso!$AW$10:$BC$260,VLOOKUP(A1321,Ingreso!AL:AM,2,FALSE),FALSE)/24,""))),"")=0,"",IFERROR(IF(C1321=C1319,0,IF(E1321=E1320,0,IF(C1321=$R$4,HLOOKUP($R$4,Ingreso!$AW$10:$BC$260,VLOOKUP(A1321,Ingreso!AL:AM,2,FALSE),FALSE)/24,""))),""))</f>
        <v/>
      </c>
      <c r="P1321" s="90"/>
      <c r="V1321"/>
      <c r="W1321" s="62"/>
      <c r="X1321" s="62"/>
      <c r="Y1321" s="62"/>
      <c r="Z1321" s="62"/>
      <c r="AA1321" s="62"/>
      <c r="AB1321" s="62"/>
      <c r="AC1321" s="62"/>
    </row>
    <row r="1322" spans="1:29">
      <c r="A1322" s="65" t="str">
        <f>IFERROR(VLOOKUP('Informe Kelly'!A1315,Base!A:B,2,FALSE),"")</f>
        <v/>
      </c>
      <c r="B1322" s="65" t="str">
        <f>IFERROR(VLOOKUP('Informe Kelly'!A1315,Base!A:G,7,FALSE),"")</f>
        <v/>
      </c>
      <c r="C1322" s="69">
        <f>IF(G1322=$C$4,IF('Informe Kelly'!H1315='Control informe Kelly'!$A$2,TEXT(((LEFT('Informe Kelly'!E1315,2)*1)+1),"dd")&amp;"."&amp;MID('Informe Kelly'!E1315,4,2)&amp;"."&amp;RIGHT('Informe Kelly'!E1315,4),'Informe Kelly'!E1315),'Informe Kelly'!E1315)</f>
        <v>0</v>
      </c>
      <c r="D1322" s="69" t="str">
        <f>IF('Informe Kelly'!E1315="","",'Informe Kelly'!E1315)</f>
        <v/>
      </c>
      <c r="E1322" s="72">
        <f t="shared" si="41"/>
        <v>581</v>
      </c>
      <c r="F1322" s="72" t="str">
        <f>IFERROR(HLOOKUP(C1322,Ingreso!$Q$8:$AD$9,2,FALSE),"v")</f>
        <v>v</v>
      </c>
      <c r="G1322" s="65" t="str">
        <f>IFERROR(VLOOKUP(A1322,Ingreso!K:P,6,FALSE),"no esta ingresado")</f>
        <v>no esta ingresado</v>
      </c>
      <c r="H1322" s="65" t="str">
        <f>IFERROR(IF('Informe Kelly'!H1315=$A$2,'Informe Kelly'!F1315,""),0)</f>
        <v/>
      </c>
      <c r="I1322" s="65" t="str">
        <f>IFERROR(IF('Informe Kelly'!H1315=$A$3,'Informe Kelly'!F1315,""),0)</f>
        <v/>
      </c>
      <c r="J1322" s="65" t="str">
        <f>IF(IFERROR(IF(E1322=E1321,0,(HLOOKUP(D1322,Ingreso!$AN$10:$AT$260,VLOOKUP(A1322,Ingreso!$AL$11:$AM$260,2,FALSE)))/24),0)=0,"",IFERROR(IF(E1322=E1321,0,(HLOOKUP(D1322,Ingreso!$AN$10:$AT$260,VLOOKUP(A1322,Ingreso!$AL$11:$AM$260,2,FALSE)))/24),0))</f>
        <v/>
      </c>
      <c r="K1322" s="65" t="str">
        <f>IF(IFERROR(IF(E1322=E1321,0,(HLOOKUP(C1322,Ingreso!$AW$10:$BC$260,VLOOKUP(A1322,Ingreso!$AL$11:$AM$260,2,FALSE)))/24),0)=0,"",IFERROR(IF(E1322=E1321,0,(HLOOKUP(C1322,Ingreso!$AW$10:$BC$260,VLOOKUP(A1322,Ingreso!$AL$11:$AM$260,2,FALSE)))/24),0))</f>
        <v/>
      </c>
      <c r="L1322" s="63">
        <f t="shared" si="40"/>
        <v>0</v>
      </c>
      <c r="M1322" s="63" t="str">
        <f>IF(IFERROR(IF(C1322=C1320,0,IF(E1322=E1321,0,IF(C1322=$R$2,HLOOKUP($R$2,Ingreso!$AW$10:$BC$260,VLOOKUP(A1322,Ingreso!AL:AM,2,FALSE),FALSE)/24,""))),"")=0,"",IFERROR(IF(C1322=C1320,0,IF(E1322=E1321,0,IF(C1322=$R$2,HLOOKUP($R$2,Ingreso!$AW$10:$BC$260,VLOOKUP(A1322,Ingreso!AL:AM,2,FALSE),FALSE)/24,""))),""))</f>
        <v/>
      </c>
      <c r="N1322" s="95" t="str">
        <f>IF(IFERROR(IF(C1322=C1320,0,IF(E1322=E1321,0,IF(C1322=$R$3,HLOOKUP($R$3,Ingreso!$AW$10:$BC$260,VLOOKUP(A1322,Ingreso!AL:AM,2,FALSE),FALSE)/24,""))),"")=0,"",IFERROR(IF(C1322=C1320,0,IF(E1322=E1321,0,IF(C1322=$R$3,HLOOKUP($R$3,Ingreso!$AW$10:$BC$260,VLOOKUP(A1322,Ingreso!AL:AM,2,FALSE),FALSE)/24,""))),""))</f>
        <v/>
      </c>
      <c r="O1322" s="95" t="str">
        <f>IF(IFERROR(IF(C1322=C1320,0,IF(E1322=E1321,0,IF(C1322=$R$4,HLOOKUP($R$4,Ingreso!$AW$10:$BC$260,VLOOKUP(A1322,Ingreso!AL:AM,2,FALSE),FALSE)/24,""))),"")=0,"",IFERROR(IF(C1322=C1320,0,IF(E1322=E1321,0,IF(C1322=$R$4,HLOOKUP($R$4,Ingreso!$AW$10:$BC$260,VLOOKUP(A1322,Ingreso!AL:AM,2,FALSE),FALSE)/24,""))),""))</f>
        <v/>
      </c>
      <c r="P1322" s="90"/>
      <c r="V1322"/>
      <c r="W1322" s="62"/>
      <c r="X1322" s="62"/>
      <c r="Y1322" s="62"/>
      <c r="Z1322" s="62"/>
      <c r="AA1322" s="62"/>
      <c r="AB1322" s="62"/>
      <c r="AC1322" s="62"/>
    </row>
    <row r="1323" spans="1:29">
      <c r="V1323"/>
      <c r="W1323" s="62"/>
      <c r="X1323" s="62"/>
      <c r="Y1323" s="62"/>
      <c r="Z1323" s="62"/>
      <c r="AA1323" s="62"/>
      <c r="AB1323" s="62"/>
      <c r="AC1323" s="62"/>
    </row>
    <row r="1324" spans="1:29">
      <c r="V1324"/>
      <c r="W1324" s="62"/>
      <c r="X1324" s="62"/>
      <c r="Y1324" s="62"/>
      <c r="Z1324" s="62"/>
      <c r="AA1324" s="62"/>
      <c r="AB1324" s="62"/>
      <c r="AC1324" s="62"/>
    </row>
    <row r="1325" spans="1:29">
      <c r="V1325"/>
      <c r="W1325" s="62"/>
      <c r="X1325" s="62"/>
      <c r="Y1325" s="62"/>
      <c r="Z1325" s="62"/>
      <c r="AA1325" s="62"/>
      <c r="AB1325" s="62"/>
      <c r="AC1325" s="62"/>
    </row>
    <row r="1326" spans="1:29">
      <c r="V1326"/>
      <c r="W1326" s="62"/>
      <c r="X1326" s="62"/>
      <c r="Y1326" s="62"/>
      <c r="Z1326" s="62"/>
      <c r="AA1326" s="62"/>
      <c r="AB1326" s="62"/>
      <c r="AC1326" s="62"/>
    </row>
    <row r="1327" spans="1:29">
      <c r="V1327"/>
      <c r="W1327" s="62"/>
      <c r="X1327" s="62"/>
      <c r="Y1327" s="62"/>
      <c r="Z1327" s="62"/>
      <c r="AA1327" s="62"/>
      <c r="AB1327" s="62"/>
      <c r="AC1327" s="62"/>
    </row>
    <row r="1328" spans="1:29">
      <c r="V1328"/>
      <c r="W1328" s="62"/>
      <c r="X1328" s="62"/>
      <c r="Y1328" s="62"/>
      <c r="Z1328" s="62"/>
      <c r="AA1328" s="62"/>
      <c r="AB1328" s="62"/>
      <c r="AC1328" s="62"/>
    </row>
    <row r="1329" spans="22:29">
      <c r="V1329"/>
      <c r="W1329" s="62"/>
      <c r="X1329" s="62"/>
      <c r="Y1329" s="62"/>
      <c r="Z1329" s="62"/>
      <c r="AA1329" s="62"/>
      <c r="AB1329" s="62"/>
      <c r="AC1329" s="62"/>
    </row>
    <row r="1330" spans="22:29">
      <c r="V1330"/>
      <c r="W1330" s="62"/>
      <c r="X1330" s="62"/>
      <c r="Y1330" s="62"/>
      <c r="Z1330" s="62"/>
      <c r="AA1330" s="62"/>
      <c r="AB1330" s="62"/>
      <c r="AC1330" s="62"/>
    </row>
    <row r="1331" spans="22:29">
      <c r="V1331"/>
      <c r="W1331" s="62"/>
      <c r="X1331" s="62"/>
      <c r="Y1331" s="62"/>
      <c r="Z1331" s="62"/>
      <c r="AA1331" s="62"/>
      <c r="AB1331" s="62"/>
      <c r="AC1331" s="62"/>
    </row>
    <row r="1332" spans="22:29">
      <c r="V1332"/>
      <c r="W1332" s="62"/>
      <c r="X1332" s="62"/>
      <c r="Y1332" s="62"/>
      <c r="Z1332" s="62"/>
      <c r="AA1332" s="62"/>
      <c r="AB1332" s="62"/>
      <c r="AC1332" s="62"/>
    </row>
    <row r="1333" spans="22:29">
      <c r="V1333"/>
      <c r="W1333" s="62"/>
      <c r="X1333" s="62"/>
      <c r="Y1333" s="62"/>
      <c r="Z1333" s="62"/>
      <c r="AA1333" s="62"/>
      <c r="AB1333" s="62"/>
      <c r="AC1333" s="62"/>
    </row>
    <row r="1334" spans="22:29">
      <c r="V1334"/>
      <c r="W1334" s="62"/>
      <c r="X1334" s="62"/>
      <c r="Y1334" s="62"/>
      <c r="Z1334" s="62"/>
      <c r="AA1334" s="62"/>
      <c r="AB1334" s="62"/>
      <c r="AC1334" s="62"/>
    </row>
    <row r="1335" spans="22:29">
      <c r="V1335"/>
      <c r="W1335" s="62"/>
      <c r="X1335" s="62"/>
      <c r="Y1335" s="62"/>
      <c r="Z1335" s="62"/>
      <c r="AA1335" s="62"/>
      <c r="AB1335" s="62"/>
      <c r="AC1335" s="62"/>
    </row>
    <row r="1336" spans="22:29">
      <c r="V1336"/>
      <c r="W1336" s="62"/>
      <c r="X1336" s="62"/>
      <c r="Y1336" s="62"/>
      <c r="Z1336" s="62"/>
      <c r="AA1336" s="62"/>
      <c r="AB1336" s="62"/>
      <c r="AC1336" s="62"/>
    </row>
    <row r="1337" spans="22:29">
      <c r="V1337"/>
      <c r="W1337" s="62"/>
      <c r="X1337" s="62"/>
      <c r="Y1337" s="62"/>
      <c r="Z1337" s="62"/>
      <c r="AA1337" s="62"/>
      <c r="AB1337" s="62"/>
      <c r="AC1337" s="62"/>
    </row>
    <row r="1338" spans="22:29">
      <c r="V1338"/>
      <c r="W1338" s="62"/>
      <c r="X1338" s="62"/>
      <c r="Y1338" s="62"/>
      <c r="Z1338" s="62"/>
      <c r="AA1338" s="62"/>
      <c r="AB1338" s="62"/>
      <c r="AC1338" s="62"/>
    </row>
    <row r="1339" spans="22:29">
      <c r="V1339"/>
      <c r="W1339" s="62"/>
      <c r="X1339" s="62"/>
      <c r="Y1339" s="62"/>
      <c r="Z1339" s="62"/>
      <c r="AA1339" s="62"/>
      <c r="AB1339" s="62"/>
      <c r="AC1339" s="62"/>
    </row>
    <row r="1340" spans="22:29">
      <c r="V1340"/>
      <c r="W1340" s="62"/>
      <c r="X1340" s="62"/>
      <c r="Y1340" s="62"/>
      <c r="Z1340" s="62"/>
      <c r="AA1340" s="62"/>
      <c r="AB1340" s="62"/>
      <c r="AC1340" s="62"/>
    </row>
    <row r="1341" spans="22:29">
      <c r="V1341"/>
      <c r="W1341" s="62"/>
      <c r="X1341" s="62"/>
      <c r="Y1341" s="62"/>
      <c r="Z1341" s="62"/>
      <c r="AA1341" s="62"/>
      <c r="AB1341" s="62"/>
      <c r="AC1341" s="62"/>
    </row>
    <row r="1342" spans="22:29">
      <c r="V1342"/>
      <c r="W1342" s="62"/>
      <c r="X1342" s="62"/>
      <c r="Y1342" s="62"/>
      <c r="Z1342" s="62"/>
      <c r="AA1342" s="62"/>
      <c r="AB1342" s="62"/>
      <c r="AC1342" s="62"/>
    </row>
    <row r="1343" spans="22:29">
      <c r="V1343"/>
      <c r="W1343" s="62"/>
      <c r="X1343" s="62"/>
      <c r="Y1343" s="62"/>
      <c r="Z1343" s="62"/>
      <c r="AA1343" s="62"/>
      <c r="AB1343" s="62"/>
      <c r="AC1343" s="62"/>
    </row>
    <row r="1344" spans="22:29">
      <c r="V1344"/>
      <c r="W1344" s="62"/>
      <c r="X1344" s="62"/>
      <c r="Y1344" s="62"/>
      <c r="Z1344" s="62"/>
      <c r="AA1344" s="62"/>
      <c r="AB1344" s="62"/>
      <c r="AC1344" s="62"/>
    </row>
    <row r="1345" spans="22:29">
      <c r="V1345"/>
      <c r="W1345" s="62"/>
      <c r="X1345" s="62"/>
      <c r="Y1345" s="62"/>
      <c r="Z1345" s="62"/>
      <c r="AA1345" s="62"/>
      <c r="AB1345" s="62"/>
      <c r="AC1345" s="62"/>
    </row>
    <row r="1346" spans="22:29">
      <c r="V1346"/>
      <c r="W1346" s="62"/>
      <c r="X1346" s="62"/>
      <c r="Y1346" s="62"/>
      <c r="Z1346" s="62"/>
      <c r="AA1346" s="62"/>
      <c r="AB1346" s="62"/>
      <c r="AC1346" s="62"/>
    </row>
    <row r="1347" spans="22:29">
      <c r="V1347"/>
      <c r="W1347" s="62"/>
      <c r="X1347" s="62"/>
      <c r="Y1347" s="62"/>
      <c r="Z1347" s="62"/>
      <c r="AA1347" s="62"/>
      <c r="AB1347" s="62"/>
      <c r="AC1347" s="62"/>
    </row>
    <row r="1348" spans="22:29">
      <c r="V1348"/>
      <c r="W1348" s="62"/>
      <c r="X1348" s="62"/>
      <c r="Y1348" s="62"/>
      <c r="Z1348" s="62"/>
      <c r="AA1348" s="62"/>
      <c r="AB1348" s="62"/>
      <c r="AC1348" s="62"/>
    </row>
    <row r="1349" spans="22:29">
      <c r="V1349"/>
      <c r="W1349" s="62"/>
      <c r="X1349" s="62"/>
      <c r="Y1349" s="62"/>
      <c r="Z1349" s="62"/>
      <c r="AA1349" s="62"/>
      <c r="AB1349" s="62"/>
      <c r="AC1349" s="62"/>
    </row>
    <row r="1350" spans="22:29">
      <c r="V1350"/>
      <c r="W1350" s="62"/>
      <c r="X1350" s="62"/>
      <c r="Y1350" s="62"/>
      <c r="Z1350" s="62"/>
      <c r="AA1350" s="62"/>
      <c r="AB1350" s="62"/>
      <c r="AC1350" s="62"/>
    </row>
    <row r="1351" spans="22:29">
      <c r="V1351"/>
      <c r="W1351" s="62"/>
      <c r="X1351" s="62"/>
      <c r="Y1351" s="62"/>
      <c r="Z1351" s="62"/>
      <c r="AA1351" s="62"/>
      <c r="AB1351" s="62"/>
      <c r="AC1351" s="62"/>
    </row>
    <row r="1352" spans="22:29">
      <c r="V1352"/>
      <c r="W1352" s="62"/>
      <c r="X1352" s="62"/>
      <c r="Y1352" s="62"/>
      <c r="Z1352" s="62"/>
      <c r="AA1352" s="62"/>
      <c r="AB1352" s="62"/>
      <c r="AC1352" s="62"/>
    </row>
    <row r="1353" spans="22:29">
      <c r="V1353"/>
      <c r="W1353" s="62"/>
      <c r="X1353" s="62"/>
      <c r="Y1353" s="62"/>
      <c r="Z1353" s="62"/>
      <c r="AA1353" s="62"/>
      <c r="AB1353" s="62"/>
      <c r="AC1353" s="62"/>
    </row>
    <row r="1354" spans="22:29">
      <c r="V1354"/>
      <c r="W1354" s="62"/>
      <c r="X1354" s="62"/>
      <c r="Y1354" s="62"/>
      <c r="Z1354" s="62"/>
      <c r="AA1354" s="62"/>
      <c r="AB1354" s="62"/>
      <c r="AC1354" s="62"/>
    </row>
    <row r="1355" spans="22:29">
      <c r="V1355"/>
      <c r="W1355" s="62"/>
      <c r="X1355" s="62"/>
      <c r="Y1355" s="62"/>
      <c r="Z1355" s="62"/>
      <c r="AA1355" s="62"/>
      <c r="AB1355" s="62"/>
      <c r="AC1355" s="62"/>
    </row>
    <row r="1356" spans="22:29">
      <c r="V1356"/>
      <c r="W1356" s="62"/>
      <c r="X1356" s="62"/>
      <c r="Y1356" s="62"/>
      <c r="Z1356" s="62"/>
      <c r="AA1356" s="62"/>
      <c r="AB1356" s="62"/>
      <c r="AC1356" s="62"/>
    </row>
    <row r="1357" spans="22:29">
      <c r="V1357"/>
      <c r="W1357" s="62"/>
      <c r="X1357" s="62"/>
      <c r="Y1357" s="62"/>
      <c r="Z1357" s="62"/>
      <c r="AA1357" s="62"/>
      <c r="AB1357" s="62"/>
      <c r="AC1357" s="62"/>
    </row>
    <row r="1358" spans="22:29">
      <c r="V1358"/>
      <c r="W1358" s="62"/>
      <c r="X1358" s="62"/>
      <c r="Y1358" s="62"/>
      <c r="Z1358" s="62"/>
      <c r="AA1358" s="62"/>
      <c r="AB1358" s="62"/>
      <c r="AC1358" s="62"/>
    </row>
    <row r="1359" spans="22:29">
      <c r="V1359"/>
      <c r="W1359" s="62"/>
      <c r="X1359" s="62"/>
      <c r="Y1359" s="62"/>
      <c r="Z1359" s="62"/>
      <c r="AA1359" s="62"/>
      <c r="AB1359" s="62"/>
      <c r="AC1359" s="62"/>
    </row>
    <row r="1360" spans="22:29">
      <c r="V1360"/>
      <c r="W1360" s="62"/>
      <c r="X1360" s="62"/>
      <c r="Y1360" s="62"/>
      <c r="Z1360" s="62"/>
      <c r="AA1360" s="62"/>
      <c r="AB1360" s="62"/>
      <c r="AC1360" s="62"/>
    </row>
    <row r="1361" spans="22:29">
      <c r="V1361"/>
      <c r="W1361" s="62"/>
      <c r="X1361" s="62"/>
      <c r="Y1361" s="62"/>
      <c r="Z1361" s="62"/>
      <c r="AA1361" s="62"/>
      <c r="AB1361" s="62"/>
      <c r="AC1361" s="62"/>
    </row>
    <row r="1362" spans="22:29">
      <c r="V1362"/>
      <c r="W1362" s="62"/>
      <c r="X1362" s="62"/>
      <c r="Y1362" s="62"/>
      <c r="Z1362" s="62"/>
      <c r="AA1362" s="62"/>
      <c r="AB1362" s="62"/>
      <c r="AC1362" s="62"/>
    </row>
    <row r="1363" spans="22:29">
      <c r="V1363"/>
      <c r="W1363" s="62"/>
      <c r="X1363" s="62"/>
      <c r="Y1363" s="62"/>
      <c r="Z1363" s="62"/>
      <c r="AA1363" s="62"/>
      <c r="AB1363" s="62"/>
      <c r="AC1363" s="62"/>
    </row>
    <row r="1364" spans="22:29">
      <c r="V1364"/>
      <c r="W1364" s="62"/>
      <c r="X1364" s="62"/>
      <c r="Y1364" s="62"/>
      <c r="Z1364" s="62"/>
      <c r="AA1364" s="62"/>
      <c r="AB1364" s="62"/>
      <c r="AC1364" s="62"/>
    </row>
    <row r="1365" spans="22:29">
      <c r="V1365"/>
      <c r="W1365" s="62"/>
      <c r="X1365" s="62"/>
      <c r="Y1365" s="62"/>
      <c r="Z1365" s="62"/>
      <c r="AA1365" s="62"/>
      <c r="AB1365" s="62"/>
      <c r="AC1365" s="62"/>
    </row>
    <row r="1366" spans="22:29">
      <c r="V1366"/>
      <c r="W1366" s="62"/>
      <c r="X1366" s="62"/>
      <c r="Y1366" s="62"/>
      <c r="Z1366" s="62"/>
      <c r="AA1366" s="62"/>
      <c r="AB1366" s="62"/>
      <c r="AC1366" s="62"/>
    </row>
    <row r="1367" spans="22:29">
      <c r="V1367"/>
      <c r="W1367" s="62"/>
      <c r="X1367" s="62"/>
      <c r="Y1367" s="62"/>
      <c r="Z1367" s="62"/>
      <c r="AA1367" s="62"/>
      <c r="AB1367" s="62"/>
      <c r="AC1367" s="62"/>
    </row>
    <row r="1368" spans="22:29">
      <c r="V1368"/>
      <c r="W1368" s="62"/>
      <c r="X1368" s="62"/>
      <c r="Y1368" s="62"/>
      <c r="Z1368" s="62"/>
      <c r="AA1368" s="62"/>
      <c r="AB1368" s="62"/>
      <c r="AC1368" s="62"/>
    </row>
    <row r="1369" spans="22:29">
      <c r="V1369"/>
      <c r="W1369" s="62"/>
      <c r="X1369" s="62"/>
      <c r="Y1369" s="62"/>
      <c r="Z1369" s="62"/>
      <c r="AA1369" s="62"/>
      <c r="AB1369" s="62"/>
      <c r="AC1369" s="62"/>
    </row>
    <row r="1370" spans="22:29">
      <c r="V1370"/>
      <c r="W1370" s="62"/>
      <c r="X1370" s="62"/>
      <c r="Y1370" s="62"/>
      <c r="Z1370" s="62"/>
      <c r="AA1370" s="62"/>
      <c r="AB1370" s="62"/>
      <c r="AC1370" s="62"/>
    </row>
    <row r="1371" spans="22:29">
      <c r="V1371"/>
      <c r="W1371" s="62"/>
      <c r="X1371" s="62"/>
      <c r="Y1371" s="62"/>
      <c r="Z1371" s="62"/>
      <c r="AA1371" s="62"/>
      <c r="AB1371" s="62"/>
      <c r="AC1371" s="62"/>
    </row>
    <row r="1372" spans="22:29">
      <c r="V1372"/>
      <c r="W1372" s="62"/>
      <c r="X1372" s="62"/>
      <c r="Y1372" s="62"/>
      <c r="Z1372" s="62"/>
      <c r="AA1372" s="62"/>
      <c r="AB1372" s="62"/>
      <c r="AC1372" s="62"/>
    </row>
    <row r="1373" spans="22:29">
      <c r="V1373"/>
      <c r="W1373" s="62"/>
      <c r="X1373" s="62"/>
      <c r="Y1373" s="62"/>
      <c r="Z1373" s="62"/>
      <c r="AA1373" s="62"/>
      <c r="AB1373" s="62"/>
      <c r="AC1373" s="62"/>
    </row>
    <row r="1374" spans="22:29">
      <c r="V1374"/>
      <c r="W1374" s="62"/>
      <c r="X1374" s="62"/>
      <c r="Y1374" s="62"/>
      <c r="Z1374" s="62"/>
      <c r="AA1374" s="62"/>
      <c r="AB1374" s="62"/>
      <c r="AC1374" s="62"/>
    </row>
    <row r="1375" spans="22:29">
      <c r="V1375"/>
      <c r="W1375" s="62"/>
      <c r="X1375" s="62"/>
      <c r="Y1375" s="62"/>
      <c r="Z1375" s="62"/>
      <c r="AA1375" s="62"/>
      <c r="AB1375" s="62"/>
      <c r="AC1375" s="62"/>
    </row>
    <row r="1376" spans="22:29">
      <c r="V1376"/>
      <c r="W1376" s="62"/>
      <c r="X1376" s="62"/>
      <c r="Y1376" s="62"/>
      <c r="Z1376" s="62"/>
      <c r="AA1376" s="62"/>
      <c r="AB1376" s="62"/>
      <c r="AC1376" s="62"/>
    </row>
    <row r="1377" spans="22:29">
      <c r="V1377"/>
      <c r="W1377" s="62"/>
      <c r="X1377" s="62"/>
      <c r="Y1377" s="62"/>
      <c r="Z1377" s="62"/>
      <c r="AA1377" s="62"/>
      <c r="AB1377" s="62"/>
      <c r="AC1377" s="62"/>
    </row>
    <row r="1378" spans="22:29">
      <c r="V1378"/>
      <c r="W1378" s="62"/>
      <c r="X1378" s="62"/>
      <c r="Y1378" s="62"/>
      <c r="Z1378" s="62"/>
      <c r="AA1378" s="62"/>
      <c r="AB1378" s="62"/>
      <c r="AC1378" s="62"/>
    </row>
    <row r="1379" spans="22:29">
      <c r="V1379"/>
      <c r="W1379" s="62"/>
      <c r="X1379" s="62"/>
      <c r="Y1379" s="62"/>
      <c r="Z1379" s="62"/>
      <c r="AA1379" s="62"/>
      <c r="AB1379" s="62"/>
      <c r="AC1379" s="62"/>
    </row>
    <row r="1380" spans="22:29">
      <c r="V1380"/>
      <c r="W1380" s="62"/>
      <c r="X1380" s="62"/>
      <c r="Y1380" s="62"/>
      <c r="Z1380" s="62"/>
      <c r="AA1380" s="62"/>
      <c r="AB1380" s="62"/>
      <c r="AC1380" s="62"/>
    </row>
    <row r="1381" spans="22:29">
      <c r="V1381"/>
      <c r="W1381" s="62"/>
      <c r="X1381" s="62"/>
      <c r="Y1381" s="62"/>
      <c r="Z1381" s="62"/>
      <c r="AA1381" s="62"/>
      <c r="AB1381" s="62"/>
      <c r="AC1381" s="62"/>
    </row>
    <row r="1382" spans="22:29">
      <c r="V1382"/>
      <c r="W1382" s="62"/>
      <c r="X1382" s="62"/>
      <c r="Y1382" s="62"/>
      <c r="Z1382" s="62"/>
      <c r="AA1382" s="62"/>
      <c r="AB1382" s="62"/>
      <c r="AC1382" s="62"/>
    </row>
    <row r="1383" spans="22:29">
      <c r="V1383"/>
      <c r="W1383" s="62"/>
      <c r="X1383" s="62"/>
      <c r="Y1383" s="62"/>
      <c r="Z1383" s="62"/>
      <c r="AA1383" s="62"/>
      <c r="AB1383" s="62"/>
      <c r="AC1383" s="62"/>
    </row>
    <row r="1384" spans="22:29">
      <c r="V1384"/>
      <c r="W1384" s="62"/>
      <c r="X1384" s="62"/>
      <c r="Y1384" s="62"/>
      <c r="Z1384" s="62"/>
      <c r="AA1384" s="62"/>
      <c r="AB1384" s="62"/>
      <c r="AC1384" s="62"/>
    </row>
    <row r="1385" spans="22:29">
      <c r="V1385"/>
      <c r="W1385" s="62"/>
      <c r="X1385" s="62"/>
      <c r="Y1385" s="62"/>
      <c r="Z1385" s="62"/>
      <c r="AA1385" s="62"/>
      <c r="AB1385" s="62"/>
      <c r="AC1385" s="62"/>
    </row>
    <row r="1386" spans="22:29">
      <c r="V1386"/>
      <c r="W1386" s="62"/>
      <c r="X1386" s="62"/>
      <c r="Y1386" s="62"/>
      <c r="Z1386" s="62"/>
      <c r="AA1386" s="62"/>
      <c r="AB1386" s="62"/>
      <c r="AC1386" s="62"/>
    </row>
    <row r="1387" spans="22:29">
      <c r="V1387"/>
      <c r="W1387" s="62"/>
      <c r="X1387" s="62"/>
      <c r="Y1387" s="62"/>
      <c r="Z1387" s="62"/>
      <c r="AA1387" s="62"/>
      <c r="AB1387" s="62"/>
      <c r="AC1387" s="62"/>
    </row>
    <row r="1388" spans="22:29">
      <c r="V1388"/>
      <c r="W1388" s="62"/>
      <c r="X1388" s="62"/>
      <c r="Y1388" s="62"/>
      <c r="Z1388" s="62"/>
      <c r="AA1388" s="62"/>
      <c r="AB1388" s="62"/>
      <c r="AC1388" s="62"/>
    </row>
    <row r="1389" spans="22:29">
      <c r="V1389"/>
      <c r="W1389" s="62"/>
      <c r="X1389" s="62"/>
      <c r="Y1389" s="62"/>
      <c r="Z1389" s="62"/>
      <c r="AA1389" s="62"/>
      <c r="AB1389" s="62"/>
      <c r="AC1389" s="62"/>
    </row>
    <row r="1390" spans="22:29">
      <c r="V1390"/>
      <c r="W1390" s="62"/>
      <c r="X1390" s="62"/>
      <c r="Y1390" s="62"/>
      <c r="Z1390" s="62"/>
      <c r="AA1390" s="62"/>
      <c r="AB1390" s="62"/>
      <c r="AC1390" s="62"/>
    </row>
    <row r="1391" spans="22:29">
      <c r="V1391"/>
      <c r="W1391" s="62"/>
      <c r="X1391" s="62"/>
      <c r="Y1391" s="62"/>
      <c r="Z1391" s="62"/>
      <c r="AA1391" s="62"/>
      <c r="AB1391" s="62"/>
      <c r="AC1391" s="62"/>
    </row>
    <row r="1392" spans="22:29">
      <c r="V1392"/>
      <c r="W1392" s="62"/>
      <c r="X1392" s="62"/>
      <c r="Y1392" s="62"/>
      <c r="Z1392" s="62"/>
      <c r="AA1392" s="62"/>
      <c r="AB1392" s="62"/>
      <c r="AC1392" s="62"/>
    </row>
    <row r="1393" spans="22:29">
      <c r="V1393"/>
      <c r="W1393" s="62"/>
      <c r="X1393" s="62"/>
      <c r="Y1393" s="62"/>
      <c r="Z1393" s="62"/>
      <c r="AA1393" s="62"/>
      <c r="AB1393" s="62"/>
      <c r="AC1393" s="62"/>
    </row>
    <row r="1394" spans="22:29">
      <c r="V1394"/>
      <c r="W1394" s="62"/>
      <c r="X1394" s="62"/>
      <c r="Y1394" s="62"/>
      <c r="Z1394" s="62"/>
      <c r="AA1394" s="62"/>
      <c r="AB1394" s="62"/>
      <c r="AC1394" s="62"/>
    </row>
    <row r="1395" spans="22:29">
      <c r="V1395"/>
      <c r="W1395" s="62"/>
      <c r="X1395" s="62"/>
      <c r="Y1395" s="62"/>
      <c r="Z1395" s="62"/>
      <c r="AA1395" s="62"/>
      <c r="AB1395" s="62"/>
      <c r="AC1395" s="62"/>
    </row>
    <row r="1396" spans="22:29">
      <c r="V1396"/>
      <c r="W1396" s="62"/>
      <c r="X1396" s="62"/>
      <c r="Y1396" s="62"/>
      <c r="Z1396" s="62"/>
      <c r="AA1396" s="62"/>
      <c r="AB1396" s="62"/>
      <c r="AC1396" s="62"/>
    </row>
    <row r="1397" spans="22:29">
      <c r="V1397"/>
      <c r="W1397" s="62"/>
      <c r="X1397" s="62"/>
      <c r="Y1397" s="62"/>
      <c r="Z1397" s="62"/>
      <c r="AA1397" s="62"/>
      <c r="AB1397" s="62"/>
      <c r="AC1397" s="62"/>
    </row>
    <row r="1398" spans="22:29">
      <c r="V1398"/>
      <c r="W1398" s="62"/>
      <c r="X1398" s="62"/>
      <c r="Y1398" s="62"/>
      <c r="Z1398" s="62"/>
      <c r="AA1398" s="62"/>
      <c r="AB1398" s="62"/>
      <c r="AC1398" s="62"/>
    </row>
    <row r="1399" spans="22:29">
      <c r="V1399"/>
      <c r="W1399" s="62"/>
      <c r="X1399" s="62"/>
      <c r="Y1399" s="62"/>
      <c r="Z1399" s="62"/>
      <c r="AA1399" s="62"/>
      <c r="AB1399" s="62"/>
      <c r="AC1399" s="62"/>
    </row>
    <row r="1400" spans="22:29">
      <c r="V1400"/>
      <c r="W1400" s="62"/>
      <c r="X1400" s="62"/>
      <c r="Y1400" s="62"/>
      <c r="Z1400" s="62"/>
      <c r="AA1400" s="62"/>
      <c r="AB1400" s="62"/>
      <c r="AC1400" s="62"/>
    </row>
    <row r="1401" spans="22:29">
      <c r="V1401"/>
      <c r="W1401" s="62"/>
      <c r="X1401" s="62"/>
      <c r="Y1401" s="62"/>
      <c r="Z1401" s="62"/>
      <c r="AA1401" s="62"/>
      <c r="AB1401" s="62"/>
      <c r="AC1401" s="62"/>
    </row>
    <row r="1402" spans="22:29">
      <c r="V1402"/>
      <c r="W1402" s="62"/>
      <c r="X1402" s="62"/>
      <c r="Y1402" s="62"/>
      <c r="Z1402" s="62"/>
      <c r="AA1402" s="62"/>
      <c r="AB1402" s="62"/>
      <c r="AC1402" s="62"/>
    </row>
    <row r="1403" spans="22:29">
      <c r="V1403"/>
      <c r="W1403" s="62"/>
      <c r="X1403" s="62"/>
      <c r="Y1403" s="62"/>
      <c r="Z1403" s="62"/>
      <c r="AA1403" s="62"/>
      <c r="AB1403" s="62"/>
      <c r="AC1403" s="62"/>
    </row>
    <row r="1404" spans="22:29">
      <c r="V1404"/>
      <c r="W1404" s="62"/>
      <c r="X1404" s="62"/>
      <c r="Y1404" s="62"/>
      <c r="Z1404" s="62"/>
      <c r="AA1404" s="62"/>
      <c r="AB1404" s="62"/>
      <c r="AC1404" s="62"/>
    </row>
    <row r="1405" spans="22:29">
      <c r="V1405"/>
      <c r="W1405" s="62"/>
      <c r="X1405" s="62"/>
      <c r="Y1405" s="62"/>
      <c r="Z1405" s="62"/>
      <c r="AA1405" s="62"/>
      <c r="AB1405" s="62"/>
      <c r="AC1405" s="62"/>
    </row>
    <row r="1406" spans="22:29">
      <c r="V1406"/>
      <c r="W1406" s="62"/>
      <c r="X1406" s="62"/>
      <c r="Y1406" s="62"/>
      <c r="Z1406" s="62"/>
      <c r="AA1406" s="62"/>
      <c r="AB1406" s="62"/>
      <c r="AC1406" s="62"/>
    </row>
    <row r="1407" spans="22:29">
      <c r="V1407"/>
      <c r="W1407" s="62"/>
      <c r="X1407" s="62"/>
      <c r="Y1407" s="62"/>
      <c r="Z1407" s="62"/>
      <c r="AA1407" s="62"/>
      <c r="AB1407" s="62"/>
      <c r="AC1407" s="62"/>
    </row>
    <row r="1408" spans="22:29">
      <c r="V1408"/>
      <c r="W1408" s="62"/>
      <c r="X1408" s="62"/>
      <c r="Y1408" s="62"/>
      <c r="Z1408" s="62"/>
      <c r="AA1408" s="62"/>
      <c r="AB1408" s="62"/>
      <c r="AC1408" s="62"/>
    </row>
    <row r="1409" spans="22:29">
      <c r="V1409"/>
      <c r="W1409" s="62"/>
      <c r="X1409" s="62"/>
      <c r="Y1409" s="62"/>
      <c r="Z1409" s="62"/>
      <c r="AA1409" s="62"/>
      <c r="AB1409" s="62"/>
      <c r="AC1409" s="62"/>
    </row>
    <row r="1410" spans="22:29">
      <c r="V1410"/>
      <c r="W1410" s="62"/>
      <c r="X1410" s="62"/>
      <c r="Y1410" s="62"/>
      <c r="Z1410" s="62"/>
      <c r="AA1410" s="62"/>
      <c r="AB1410" s="62"/>
      <c r="AC1410" s="62"/>
    </row>
    <row r="1411" spans="22:29">
      <c r="V1411"/>
      <c r="W1411" s="62"/>
      <c r="X1411" s="62"/>
      <c r="Y1411" s="62"/>
      <c r="Z1411" s="62"/>
      <c r="AA1411" s="62"/>
      <c r="AB1411" s="62"/>
      <c r="AC1411" s="62"/>
    </row>
    <row r="1412" spans="22:29">
      <c r="V1412"/>
      <c r="W1412" s="62"/>
      <c r="X1412" s="62"/>
      <c r="Y1412" s="62"/>
      <c r="Z1412" s="62"/>
      <c r="AA1412" s="62"/>
      <c r="AB1412" s="62"/>
      <c r="AC1412" s="62"/>
    </row>
    <row r="1413" spans="22:29">
      <c r="V1413"/>
      <c r="W1413" s="62"/>
      <c r="X1413" s="62"/>
      <c r="Y1413" s="62"/>
      <c r="Z1413" s="62"/>
      <c r="AA1413" s="62"/>
      <c r="AB1413" s="62"/>
      <c r="AC1413" s="62"/>
    </row>
    <row r="1414" spans="22:29">
      <c r="V1414"/>
      <c r="W1414" s="62"/>
      <c r="X1414" s="62"/>
      <c r="Y1414" s="62"/>
      <c r="Z1414" s="62"/>
      <c r="AA1414" s="62"/>
      <c r="AB1414" s="62"/>
      <c r="AC1414" s="62"/>
    </row>
    <row r="1415" spans="22:29">
      <c r="V1415"/>
      <c r="W1415" s="62"/>
      <c r="X1415" s="62"/>
      <c r="Y1415" s="62"/>
      <c r="Z1415" s="62"/>
      <c r="AA1415" s="62"/>
      <c r="AB1415" s="62"/>
      <c r="AC1415" s="62"/>
    </row>
    <row r="1416" spans="22:29">
      <c r="V1416"/>
      <c r="W1416" s="62"/>
      <c r="X1416" s="62"/>
      <c r="Y1416" s="62"/>
      <c r="Z1416" s="62"/>
      <c r="AA1416" s="62"/>
      <c r="AB1416" s="62"/>
      <c r="AC1416" s="62"/>
    </row>
    <row r="1417" spans="22:29">
      <c r="V1417"/>
      <c r="W1417" s="62"/>
      <c r="X1417" s="62"/>
      <c r="Y1417" s="62"/>
      <c r="Z1417" s="62"/>
      <c r="AA1417" s="62"/>
      <c r="AB1417" s="62"/>
      <c r="AC1417" s="62"/>
    </row>
    <row r="1418" spans="22:29">
      <c r="V1418"/>
      <c r="W1418" s="62"/>
      <c r="X1418" s="62"/>
      <c r="Y1418" s="62"/>
      <c r="Z1418" s="62"/>
      <c r="AA1418" s="62"/>
      <c r="AB1418" s="62"/>
      <c r="AC1418" s="62"/>
    </row>
    <row r="1419" spans="22:29">
      <c r="V1419"/>
      <c r="W1419" s="62"/>
      <c r="X1419" s="62"/>
      <c r="Y1419" s="62"/>
      <c r="Z1419" s="62"/>
      <c r="AA1419" s="62"/>
      <c r="AB1419" s="62"/>
      <c r="AC1419" s="62"/>
    </row>
    <row r="1420" spans="22:29">
      <c r="V1420"/>
      <c r="W1420" s="62"/>
      <c r="X1420" s="62"/>
      <c r="Y1420" s="62"/>
      <c r="Z1420" s="62"/>
      <c r="AA1420" s="62"/>
      <c r="AB1420" s="62"/>
      <c r="AC1420" s="62"/>
    </row>
    <row r="1421" spans="22:29">
      <c r="V1421"/>
      <c r="W1421" s="62"/>
      <c r="X1421" s="62"/>
      <c r="Y1421" s="62"/>
      <c r="Z1421" s="62"/>
      <c r="AA1421" s="62"/>
      <c r="AB1421" s="62"/>
      <c r="AC1421" s="62"/>
    </row>
    <row r="1422" spans="22:29">
      <c r="V1422"/>
      <c r="W1422" s="62"/>
      <c r="X1422" s="62"/>
      <c r="Y1422" s="62"/>
      <c r="Z1422" s="62"/>
      <c r="AA1422" s="62"/>
      <c r="AB1422" s="62"/>
      <c r="AC1422" s="62"/>
    </row>
    <row r="1423" spans="22:29">
      <c r="V1423"/>
      <c r="W1423" s="62"/>
      <c r="X1423" s="62"/>
      <c r="Y1423" s="62"/>
      <c r="Z1423" s="62"/>
      <c r="AA1423" s="62"/>
      <c r="AB1423" s="62"/>
      <c r="AC1423" s="62"/>
    </row>
    <row r="1424" spans="22:29">
      <c r="V1424"/>
      <c r="W1424" s="62"/>
      <c r="X1424" s="62"/>
      <c r="Y1424" s="62"/>
      <c r="Z1424" s="62"/>
      <c r="AA1424" s="62"/>
      <c r="AB1424" s="62"/>
      <c r="AC1424" s="62"/>
    </row>
    <row r="1425" spans="22:29">
      <c r="V1425"/>
      <c r="W1425" s="62"/>
      <c r="X1425" s="62"/>
      <c r="Y1425" s="62"/>
      <c r="Z1425" s="62"/>
      <c r="AA1425" s="62"/>
      <c r="AB1425" s="62"/>
      <c r="AC1425" s="62"/>
    </row>
    <row r="1426" spans="22:29">
      <c r="V1426"/>
      <c r="W1426" s="62"/>
      <c r="X1426" s="62"/>
      <c r="Y1426" s="62"/>
      <c r="Z1426" s="62"/>
      <c r="AA1426" s="62"/>
      <c r="AB1426" s="62"/>
      <c r="AC1426" s="62"/>
    </row>
    <row r="1427" spans="22:29">
      <c r="V1427"/>
      <c r="W1427" s="62"/>
      <c r="X1427" s="62"/>
      <c r="Y1427" s="62"/>
      <c r="Z1427" s="62"/>
      <c r="AA1427" s="62"/>
      <c r="AB1427" s="62"/>
      <c r="AC1427" s="62"/>
    </row>
    <row r="1428" spans="22:29">
      <c r="V1428"/>
      <c r="W1428" s="62"/>
      <c r="X1428" s="62"/>
      <c r="Y1428" s="62"/>
      <c r="Z1428" s="62"/>
      <c r="AA1428" s="62"/>
      <c r="AB1428" s="62"/>
      <c r="AC1428" s="62"/>
    </row>
    <row r="1429" spans="22:29">
      <c r="V1429"/>
      <c r="W1429" s="62"/>
      <c r="X1429" s="62"/>
      <c r="Y1429" s="62"/>
      <c r="Z1429" s="62"/>
      <c r="AA1429" s="62"/>
      <c r="AB1429" s="62"/>
      <c r="AC1429" s="62"/>
    </row>
    <row r="1430" spans="22:29">
      <c r="V1430"/>
      <c r="W1430" s="62"/>
      <c r="X1430" s="62"/>
      <c r="Y1430" s="62"/>
      <c r="Z1430" s="62"/>
      <c r="AA1430" s="62"/>
      <c r="AB1430" s="62"/>
      <c r="AC1430" s="62"/>
    </row>
    <row r="1431" spans="22:29">
      <c r="V1431"/>
      <c r="W1431" s="62"/>
      <c r="X1431" s="62"/>
      <c r="Y1431" s="62"/>
      <c r="Z1431" s="62"/>
      <c r="AA1431" s="62"/>
      <c r="AB1431" s="62"/>
      <c r="AC1431" s="62"/>
    </row>
    <row r="1432" spans="22:29">
      <c r="V1432"/>
      <c r="W1432" s="62"/>
      <c r="X1432" s="62"/>
      <c r="Y1432" s="62"/>
      <c r="Z1432" s="62"/>
      <c r="AA1432" s="62"/>
      <c r="AB1432" s="62"/>
      <c r="AC1432" s="62"/>
    </row>
    <row r="1433" spans="22:29">
      <c r="V1433"/>
      <c r="W1433" s="62"/>
      <c r="X1433" s="62"/>
      <c r="Y1433" s="62"/>
      <c r="Z1433" s="62"/>
      <c r="AA1433" s="62"/>
      <c r="AB1433" s="62"/>
      <c r="AC1433" s="62"/>
    </row>
    <row r="1434" spans="22:29">
      <c r="V1434"/>
      <c r="W1434" s="62"/>
      <c r="X1434" s="62"/>
      <c r="Y1434" s="62"/>
      <c r="Z1434" s="62"/>
      <c r="AA1434" s="62"/>
      <c r="AB1434" s="62"/>
      <c r="AC1434" s="62"/>
    </row>
    <row r="1435" spans="22:29">
      <c r="V1435"/>
      <c r="W1435" s="62"/>
      <c r="X1435" s="62"/>
      <c r="Y1435" s="62"/>
      <c r="Z1435" s="62"/>
      <c r="AA1435" s="62"/>
      <c r="AB1435" s="62"/>
      <c r="AC1435" s="62"/>
    </row>
    <row r="1436" spans="22:29">
      <c r="V1436"/>
      <c r="W1436" s="62"/>
      <c r="X1436" s="62"/>
      <c r="Y1436" s="62"/>
      <c r="Z1436" s="62"/>
      <c r="AA1436" s="62"/>
      <c r="AB1436" s="62"/>
      <c r="AC1436" s="62"/>
    </row>
    <row r="1437" spans="22:29">
      <c r="V1437"/>
      <c r="W1437" s="62"/>
      <c r="X1437" s="62"/>
      <c r="Y1437" s="62"/>
      <c r="Z1437" s="62"/>
      <c r="AA1437" s="62"/>
      <c r="AB1437" s="62"/>
      <c r="AC1437" s="62"/>
    </row>
    <row r="1438" spans="22:29">
      <c r="V1438"/>
      <c r="W1438" s="62"/>
      <c r="X1438" s="62"/>
      <c r="Y1438" s="62"/>
      <c r="Z1438" s="62"/>
      <c r="AA1438" s="62"/>
      <c r="AB1438" s="62"/>
      <c r="AC1438" s="62"/>
    </row>
    <row r="1439" spans="22:29">
      <c r="V1439"/>
      <c r="W1439" s="62"/>
      <c r="X1439" s="62"/>
      <c r="Y1439" s="62"/>
      <c r="Z1439" s="62"/>
      <c r="AA1439" s="62"/>
      <c r="AB1439" s="62"/>
      <c r="AC1439" s="62"/>
    </row>
    <row r="1440" spans="22:29">
      <c r="V1440"/>
      <c r="W1440" s="62"/>
      <c r="X1440" s="62"/>
      <c r="Y1440" s="62"/>
      <c r="Z1440" s="62"/>
      <c r="AA1440" s="62"/>
      <c r="AB1440" s="62"/>
      <c r="AC1440" s="62"/>
    </row>
    <row r="1441" spans="22:29">
      <c r="V1441"/>
      <c r="W1441" s="62"/>
      <c r="X1441" s="62"/>
      <c r="Y1441" s="62"/>
      <c r="Z1441" s="62"/>
      <c r="AA1441" s="62"/>
      <c r="AB1441" s="62"/>
      <c r="AC1441" s="62"/>
    </row>
    <row r="1442" spans="22:29">
      <c r="V1442"/>
      <c r="W1442" s="62"/>
      <c r="X1442" s="62"/>
      <c r="Y1442" s="62"/>
      <c r="Z1442" s="62"/>
      <c r="AA1442" s="62"/>
      <c r="AB1442" s="62"/>
      <c r="AC1442" s="62"/>
    </row>
    <row r="1443" spans="22:29">
      <c r="V1443"/>
      <c r="W1443" s="62"/>
      <c r="X1443" s="62"/>
      <c r="Y1443" s="62"/>
      <c r="Z1443" s="62"/>
      <c r="AA1443" s="62"/>
      <c r="AB1443" s="62"/>
      <c r="AC1443" s="62"/>
    </row>
    <row r="1444" spans="22:29">
      <c r="V1444"/>
      <c r="W1444" s="62"/>
      <c r="X1444" s="62"/>
      <c r="Y1444" s="62"/>
      <c r="Z1444" s="62"/>
      <c r="AA1444" s="62"/>
      <c r="AB1444" s="62"/>
      <c r="AC1444" s="62"/>
    </row>
    <row r="1445" spans="22:29">
      <c r="V1445"/>
      <c r="W1445" s="62"/>
      <c r="X1445" s="62"/>
      <c r="Y1445" s="62"/>
      <c r="Z1445" s="62"/>
      <c r="AA1445" s="62"/>
      <c r="AB1445" s="62"/>
      <c r="AC1445" s="62"/>
    </row>
    <row r="1446" spans="22:29">
      <c r="V1446"/>
      <c r="W1446" s="62"/>
      <c r="X1446" s="62"/>
      <c r="Y1446" s="62"/>
      <c r="Z1446" s="62"/>
      <c r="AA1446" s="62"/>
      <c r="AB1446" s="62"/>
      <c r="AC1446" s="62"/>
    </row>
    <row r="1447" spans="22:29">
      <c r="V1447"/>
      <c r="W1447" s="62"/>
      <c r="X1447" s="62"/>
      <c r="Y1447" s="62"/>
      <c r="Z1447" s="62"/>
      <c r="AA1447" s="62"/>
      <c r="AB1447" s="62"/>
      <c r="AC1447" s="62"/>
    </row>
    <row r="1448" spans="22:29">
      <c r="V1448"/>
      <c r="W1448" s="62"/>
      <c r="X1448" s="62"/>
      <c r="Y1448" s="62"/>
      <c r="Z1448" s="62"/>
      <c r="AA1448" s="62"/>
      <c r="AB1448" s="62"/>
      <c r="AC1448" s="62"/>
    </row>
    <row r="1449" spans="22:29">
      <c r="V1449"/>
      <c r="W1449" s="62"/>
      <c r="X1449" s="62"/>
      <c r="Y1449" s="62"/>
      <c r="Z1449" s="62"/>
      <c r="AA1449" s="62"/>
      <c r="AB1449" s="62"/>
      <c r="AC1449" s="62"/>
    </row>
    <row r="1450" spans="22:29">
      <c r="V1450"/>
      <c r="W1450" s="62"/>
      <c r="X1450" s="62"/>
      <c r="Y1450" s="62"/>
      <c r="Z1450" s="62"/>
      <c r="AA1450" s="62"/>
      <c r="AB1450" s="62"/>
      <c r="AC1450" s="62"/>
    </row>
    <row r="1451" spans="22:29">
      <c r="V1451"/>
      <c r="W1451" s="62"/>
      <c r="X1451" s="62"/>
      <c r="Y1451" s="62"/>
      <c r="Z1451" s="62"/>
      <c r="AA1451" s="62"/>
      <c r="AB1451" s="62"/>
      <c r="AC1451" s="62"/>
    </row>
    <row r="1452" spans="22:29">
      <c r="V1452"/>
      <c r="W1452" s="62"/>
      <c r="X1452" s="62"/>
      <c r="Y1452" s="62"/>
      <c r="Z1452" s="62"/>
      <c r="AA1452" s="62"/>
      <c r="AB1452" s="62"/>
      <c r="AC1452" s="62"/>
    </row>
    <row r="1453" spans="22:29">
      <c r="V1453"/>
      <c r="W1453" s="62"/>
      <c r="X1453" s="62"/>
      <c r="Y1453" s="62"/>
      <c r="Z1453" s="62"/>
      <c r="AA1453" s="62"/>
      <c r="AB1453" s="62"/>
      <c r="AC1453" s="62"/>
    </row>
    <row r="1454" spans="22:29">
      <c r="V1454"/>
      <c r="W1454" s="62"/>
      <c r="X1454" s="62"/>
      <c r="Y1454" s="62"/>
      <c r="Z1454" s="62"/>
      <c r="AA1454" s="62"/>
      <c r="AB1454" s="62"/>
      <c r="AC1454" s="62"/>
    </row>
    <row r="1455" spans="22:29">
      <c r="V1455"/>
      <c r="W1455" s="62"/>
      <c r="X1455" s="62"/>
      <c r="Y1455" s="62"/>
      <c r="Z1455" s="62"/>
      <c r="AA1455" s="62"/>
      <c r="AB1455" s="62"/>
      <c r="AC1455" s="62"/>
    </row>
    <row r="1456" spans="22:29">
      <c r="V1456"/>
      <c r="W1456" s="62"/>
      <c r="X1456" s="62"/>
      <c r="Y1456" s="62"/>
      <c r="Z1456" s="62"/>
      <c r="AA1456" s="62"/>
      <c r="AB1456" s="62"/>
      <c r="AC1456" s="62"/>
    </row>
    <row r="1457" spans="22:29">
      <c r="V1457"/>
      <c r="W1457" s="62"/>
      <c r="X1457" s="62"/>
      <c r="Y1457" s="62"/>
      <c r="Z1457" s="62"/>
      <c r="AA1457" s="62"/>
      <c r="AB1457" s="62"/>
      <c r="AC1457" s="62"/>
    </row>
    <row r="1458" spans="22:29">
      <c r="V1458"/>
      <c r="W1458" s="62"/>
      <c r="X1458" s="62"/>
      <c r="Y1458" s="62"/>
      <c r="Z1458" s="62"/>
      <c r="AA1458" s="62"/>
      <c r="AB1458" s="62"/>
      <c r="AC1458" s="62"/>
    </row>
    <row r="1459" spans="22:29">
      <c r="V1459"/>
      <c r="W1459" s="62"/>
      <c r="X1459" s="62"/>
      <c r="Y1459" s="62"/>
      <c r="Z1459" s="62"/>
      <c r="AA1459" s="62"/>
      <c r="AB1459" s="62"/>
      <c r="AC1459" s="62"/>
    </row>
    <row r="1460" spans="22:29">
      <c r="V1460"/>
      <c r="W1460" s="62"/>
      <c r="X1460" s="62"/>
      <c r="Y1460" s="62"/>
      <c r="Z1460" s="62"/>
      <c r="AA1460" s="62"/>
      <c r="AB1460" s="62"/>
      <c r="AC1460" s="62"/>
    </row>
    <row r="1461" spans="22:29">
      <c r="V1461"/>
      <c r="W1461" s="62"/>
      <c r="X1461" s="62"/>
      <c r="Y1461" s="62"/>
      <c r="Z1461" s="62"/>
      <c r="AA1461" s="62"/>
      <c r="AB1461" s="62"/>
      <c r="AC1461" s="62"/>
    </row>
    <row r="1462" spans="22:29">
      <c r="V1462"/>
      <c r="W1462" s="62"/>
      <c r="X1462" s="62"/>
      <c r="Y1462" s="62"/>
      <c r="Z1462" s="62"/>
      <c r="AA1462" s="62"/>
      <c r="AB1462" s="62"/>
      <c r="AC1462" s="62"/>
    </row>
    <row r="1463" spans="22:29">
      <c r="V1463"/>
      <c r="W1463" s="62"/>
      <c r="X1463" s="62"/>
      <c r="Y1463" s="62"/>
      <c r="Z1463" s="62"/>
      <c r="AA1463" s="62"/>
      <c r="AB1463" s="62"/>
      <c r="AC1463" s="62"/>
    </row>
    <row r="1464" spans="22:29">
      <c r="V1464"/>
      <c r="W1464" s="62"/>
      <c r="X1464" s="62"/>
      <c r="Y1464" s="62"/>
      <c r="Z1464" s="62"/>
      <c r="AA1464" s="62"/>
      <c r="AB1464" s="62"/>
      <c r="AC1464" s="62"/>
    </row>
    <row r="1465" spans="22:29">
      <c r="V1465"/>
      <c r="W1465" s="62"/>
      <c r="X1465" s="62"/>
      <c r="Y1465" s="62"/>
      <c r="Z1465" s="62"/>
      <c r="AA1465" s="62"/>
      <c r="AB1465" s="62"/>
      <c r="AC1465" s="62"/>
    </row>
    <row r="1466" spans="22:29">
      <c r="V1466"/>
      <c r="W1466" s="62"/>
      <c r="X1466" s="62"/>
      <c r="Y1466" s="62"/>
      <c r="Z1466" s="62"/>
      <c r="AA1466" s="62"/>
      <c r="AB1466" s="62"/>
      <c r="AC1466" s="62"/>
    </row>
    <row r="1467" spans="22:29">
      <c r="V1467"/>
      <c r="W1467" s="62"/>
      <c r="X1467" s="62"/>
      <c r="Y1467" s="62"/>
      <c r="Z1467" s="62"/>
      <c r="AA1467" s="62"/>
      <c r="AB1467" s="62"/>
      <c r="AC1467" s="62"/>
    </row>
    <row r="1468" spans="22:29">
      <c r="V1468"/>
      <c r="W1468" s="62"/>
      <c r="X1468" s="62"/>
      <c r="Y1468" s="62"/>
      <c r="Z1468" s="62"/>
      <c r="AA1468" s="62"/>
      <c r="AB1468" s="62"/>
      <c r="AC1468" s="62"/>
    </row>
    <row r="1469" spans="22:29">
      <c r="V1469"/>
      <c r="W1469" s="62"/>
      <c r="X1469" s="62"/>
      <c r="Y1469" s="62"/>
      <c r="Z1469" s="62"/>
      <c r="AA1469" s="62"/>
      <c r="AB1469" s="62"/>
      <c r="AC1469" s="62"/>
    </row>
    <row r="1470" spans="22:29">
      <c r="V1470"/>
      <c r="W1470" s="62"/>
      <c r="X1470" s="62"/>
      <c r="Y1470" s="62"/>
      <c r="Z1470" s="62"/>
      <c r="AA1470" s="62"/>
      <c r="AB1470" s="62"/>
      <c r="AC1470" s="62"/>
    </row>
    <row r="1471" spans="22:29">
      <c r="V1471"/>
      <c r="W1471" s="62"/>
      <c r="X1471" s="62"/>
      <c r="Y1471" s="62"/>
      <c r="Z1471" s="62"/>
      <c r="AA1471" s="62"/>
      <c r="AB1471" s="62"/>
      <c r="AC1471" s="62"/>
    </row>
    <row r="1472" spans="22:29">
      <c r="V1472"/>
      <c r="W1472" s="62"/>
      <c r="X1472" s="62"/>
      <c r="Y1472" s="62"/>
      <c r="Z1472" s="62"/>
      <c r="AA1472" s="62"/>
      <c r="AB1472" s="62"/>
      <c r="AC1472" s="62"/>
    </row>
    <row r="1473" spans="22:29">
      <c r="V1473"/>
      <c r="W1473" s="62"/>
      <c r="X1473" s="62"/>
      <c r="Y1473" s="62"/>
      <c r="Z1473" s="62"/>
      <c r="AA1473" s="62"/>
      <c r="AB1473" s="62"/>
      <c r="AC1473" s="62"/>
    </row>
    <row r="1474" spans="22:29">
      <c r="V1474"/>
      <c r="W1474" s="62"/>
      <c r="X1474" s="62"/>
      <c r="Y1474" s="62"/>
      <c r="Z1474" s="62"/>
      <c r="AA1474" s="62"/>
      <c r="AB1474" s="62"/>
      <c r="AC1474" s="62"/>
    </row>
    <row r="1475" spans="22:29">
      <c r="V1475"/>
      <c r="W1475" s="62"/>
      <c r="X1475" s="62"/>
      <c r="Y1475" s="62"/>
      <c r="Z1475" s="62"/>
      <c r="AA1475" s="62"/>
      <c r="AB1475" s="62"/>
      <c r="AC1475" s="62"/>
    </row>
    <row r="1476" spans="22:29">
      <c r="V1476"/>
      <c r="W1476" s="62"/>
      <c r="X1476" s="62"/>
      <c r="Y1476" s="62"/>
      <c r="Z1476" s="62"/>
      <c r="AA1476" s="62"/>
      <c r="AB1476" s="62"/>
      <c r="AC1476" s="62"/>
    </row>
    <row r="1477" spans="22:29">
      <c r="V1477"/>
      <c r="W1477" s="62"/>
      <c r="X1477" s="62"/>
      <c r="Y1477" s="62"/>
      <c r="Z1477" s="62"/>
      <c r="AA1477" s="62"/>
      <c r="AB1477" s="62"/>
      <c r="AC1477" s="62"/>
    </row>
    <row r="1478" spans="22:29">
      <c r="V1478"/>
      <c r="W1478" s="62"/>
      <c r="X1478" s="62"/>
      <c r="Y1478" s="62"/>
      <c r="Z1478" s="62"/>
      <c r="AA1478" s="62"/>
      <c r="AB1478" s="62"/>
      <c r="AC1478" s="62"/>
    </row>
    <row r="1479" spans="22:29">
      <c r="V1479"/>
      <c r="W1479" s="62"/>
      <c r="X1479" s="62"/>
      <c r="Y1479" s="62"/>
      <c r="Z1479" s="62"/>
      <c r="AA1479" s="62"/>
      <c r="AB1479" s="62"/>
      <c r="AC1479" s="62"/>
    </row>
    <row r="1480" spans="22:29">
      <c r="V1480"/>
      <c r="W1480" s="62"/>
      <c r="X1480" s="62"/>
      <c r="Y1480" s="62"/>
      <c r="Z1480" s="62"/>
      <c r="AA1480" s="62"/>
      <c r="AB1480" s="62"/>
      <c r="AC1480" s="62"/>
    </row>
    <row r="1481" spans="22:29">
      <c r="V1481"/>
      <c r="W1481" s="62"/>
      <c r="X1481" s="62"/>
      <c r="Y1481" s="62"/>
      <c r="Z1481" s="62"/>
      <c r="AA1481" s="62"/>
      <c r="AB1481" s="62"/>
      <c r="AC1481" s="62"/>
    </row>
    <row r="1482" spans="22:29">
      <c r="V1482"/>
      <c r="W1482" s="62"/>
      <c r="X1482" s="62"/>
      <c r="Y1482" s="62"/>
      <c r="Z1482" s="62"/>
      <c r="AA1482" s="62"/>
      <c r="AB1482" s="62"/>
      <c r="AC1482" s="62"/>
    </row>
    <row r="1483" spans="22:29">
      <c r="V1483"/>
      <c r="W1483" s="62"/>
      <c r="X1483" s="62"/>
      <c r="Y1483" s="62"/>
      <c r="Z1483" s="62"/>
      <c r="AA1483" s="62"/>
      <c r="AB1483" s="62"/>
      <c r="AC1483" s="62"/>
    </row>
    <row r="1484" spans="22:29">
      <c r="V1484"/>
      <c r="W1484" s="62"/>
      <c r="X1484" s="62"/>
      <c r="Y1484" s="62"/>
      <c r="Z1484" s="62"/>
      <c r="AA1484" s="62"/>
      <c r="AB1484" s="62"/>
      <c r="AC1484" s="62"/>
    </row>
    <row r="1485" spans="22:29">
      <c r="V1485"/>
      <c r="W1485" s="62"/>
      <c r="X1485" s="62"/>
      <c r="Y1485" s="62"/>
      <c r="Z1485" s="62"/>
      <c r="AA1485" s="62"/>
      <c r="AB1485" s="62"/>
      <c r="AC1485" s="62"/>
    </row>
    <row r="1486" spans="22:29">
      <c r="V1486"/>
      <c r="W1486" s="62"/>
      <c r="X1486" s="62"/>
      <c r="Y1486" s="62"/>
      <c r="Z1486" s="62"/>
      <c r="AA1486" s="62"/>
      <c r="AB1486" s="62"/>
      <c r="AC1486" s="62"/>
    </row>
    <row r="1487" spans="22:29">
      <c r="V1487"/>
      <c r="W1487" s="62"/>
      <c r="X1487" s="62"/>
      <c r="Y1487" s="62"/>
      <c r="Z1487" s="62"/>
      <c r="AA1487" s="62"/>
      <c r="AB1487" s="62"/>
      <c r="AC1487" s="62"/>
    </row>
    <row r="1488" spans="22:29">
      <c r="V1488"/>
      <c r="W1488" s="62"/>
      <c r="X1488" s="62"/>
      <c r="Y1488" s="62"/>
      <c r="Z1488" s="62"/>
      <c r="AA1488" s="62"/>
      <c r="AB1488" s="62"/>
      <c r="AC1488" s="62"/>
    </row>
    <row r="1489" spans="22:29">
      <c r="V1489"/>
      <c r="W1489" s="62"/>
      <c r="X1489" s="62"/>
      <c r="Y1489" s="62"/>
      <c r="Z1489" s="62"/>
      <c r="AA1489" s="62"/>
      <c r="AB1489" s="62"/>
      <c r="AC1489" s="62"/>
    </row>
    <row r="1490" spans="22:29">
      <c r="V1490"/>
      <c r="W1490" s="62"/>
      <c r="X1490" s="62"/>
      <c r="Y1490" s="62"/>
      <c r="Z1490" s="62"/>
      <c r="AA1490" s="62"/>
      <c r="AB1490" s="62"/>
      <c r="AC1490" s="62"/>
    </row>
    <row r="1491" spans="22:29">
      <c r="V1491"/>
      <c r="W1491" s="62"/>
      <c r="X1491" s="62"/>
      <c r="Y1491" s="62"/>
      <c r="Z1491" s="62"/>
      <c r="AA1491" s="62"/>
      <c r="AB1491" s="62"/>
      <c r="AC1491" s="62"/>
    </row>
    <row r="1492" spans="22:29">
      <c r="V1492"/>
      <c r="W1492" s="62"/>
      <c r="X1492" s="62"/>
      <c r="Y1492" s="62"/>
      <c r="Z1492" s="62"/>
      <c r="AA1492" s="62"/>
      <c r="AB1492" s="62"/>
      <c r="AC1492" s="62"/>
    </row>
    <row r="1493" spans="22:29">
      <c r="V1493"/>
      <c r="W1493" s="62"/>
      <c r="X1493" s="62"/>
      <c r="Y1493" s="62"/>
      <c r="Z1493" s="62"/>
      <c r="AA1493" s="62"/>
      <c r="AB1493" s="62"/>
      <c r="AC1493" s="62"/>
    </row>
    <row r="1494" spans="22:29">
      <c r="V1494"/>
      <c r="W1494" s="62"/>
      <c r="X1494" s="62"/>
      <c r="Y1494" s="62"/>
      <c r="Z1494" s="62"/>
      <c r="AA1494" s="62"/>
      <c r="AB1494" s="62"/>
      <c r="AC1494" s="62"/>
    </row>
    <row r="1495" spans="22:29">
      <c r="V1495"/>
      <c r="W1495" s="62"/>
      <c r="X1495" s="62"/>
      <c r="Y1495" s="62"/>
      <c r="Z1495" s="62"/>
      <c r="AA1495" s="62"/>
      <c r="AB1495" s="62"/>
      <c r="AC1495" s="62"/>
    </row>
    <row r="1496" spans="22:29">
      <c r="V1496"/>
      <c r="W1496" s="62"/>
      <c r="X1496" s="62"/>
      <c r="Y1496" s="62"/>
      <c r="Z1496" s="62"/>
      <c r="AA1496" s="62"/>
      <c r="AB1496" s="62"/>
      <c r="AC1496" s="62"/>
    </row>
    <row r="1497" spans="22:29">
      <c r="V1497"/>
      <c r="W1497" s="62"/>
      <c r="X1497" s="62"/>
      <c r="Y1497" s="62"/>
      <c r="Z1497" s="62"/>
      <c r="AA1497" s="62"/>
      <c r="AB1497" s="62"/>
      <c r="AC1497" s="62"/>
    </row>
    <row r="1498" spans="22:29">
      <c r="V1498"/>
      <c r="W1498" s="62"/>
      <c r="X1498" s="62"/>
      <c r="Y1498" s="62"/>
      <c r="Z1498" s="62"/>
      <c r="AA1498" s="62"/>
      <c r="AB1498" s="62"/>
      <c r="AC1498" s="62"/>
    </row>
    <row r="1499" spans="22:29">
      <c r="V1499"/>
      <c r="W1499" s="62"/>
      <c r="X1499" s="62"/>
      <c r="Y1499" s="62"/>
      <c r="Z1499" s="62"/>
      <c r="AA1499" s="62"/>
      <c r="AB1499" s="62"/>
      <c r="AC1499" s="62"/>
    </row>
    <row r="1500" spans="22:29">
      <c r="V1500"/>
      <c r="W1500" s="62"/>
      <c r="X1500" s="62"/>
      <c r="Y1500" s="62"/>
      <c r="Z1500" s="62"/>
      <c r="AA1500" s="62"/>
      <c r="AB1500" s="62"/>
      <c r="AC1500" s="62"/>
    </row>
    <row r="1501" spans="22:29">
      <c r="V1501"/>
      <c r="W1501" s="62"/>
      <c r="X1501" s="62"/>
      <c r="Y1501" s="62"/>
      <c r="Z1501" s="62"/>
      <c r="AA1501" s="62"/>
      <c r="AB1501" s="62"/>
      <c r="AC1501" s="62"/>
    </row>
    <row r="1502" spans="22:29">
      <c r="V1502"/>
      <c r="W1502" s="62"/>
      <c r="X1502" s="62"/>
      <c r="Y1502" s="62"/>
      <c r="Z1502" s="62"/>
      <c r="AA1502" s="62"/>
      <c r="AB1502" s="62"/>
      <c r="AC1502" s="62"/>
    </row>
    <row r="1503" spans="22:29">
      <c r="V1503"/>
      <c r="W1503" s="62"/>
      <c r="X1503" s="62"/>
      <c r="Y1503" s="62"/>
      <c r="Z1503" s="62"/>
      <c r="AA1503" s="62"/>
      <c r="AB1503" s="62"/>
      <c r="AC1503" s="62"/>
    </row>
    <row r="1504" spans="22:29">
      <c r="V1504"/>
      <c r="W1504" s="62"/>
      <c r="X1504" s="62"/>
      <c r="Y1504" s="62"/>
      <c r="Z1504" s="62"/>
      <c r="AA1504" s="62"/>
      <c r="AB1504" s="62"/>
      <c r="AC1504" s="62"/>
    </row>
    <row r="1505" spans="22:29">
      <c r="V1505"/>
      <c r="W1505" s="62"/>
      <c r="X1505" s="62"/>
      <c r="Y1505" s="62"/>
      <c r="Z1505" s="62"/>
      <c r="AA1505" s="62"/>
      <c r="AB1505" s="62"/>
      <c r="AC1505" s="62"/>
    </row>
    <row r="1506" spans="22:29">
      <c r="V1506"/>
      <c r="W1506" s="62"/>
      <c r="X1506" s="62"/>
      <c r="Y1506" s="62"/>
      <c r="Z1506" s="62"/>
      <c r="AA1506" s="62"/>
      <c r="AB1506" s="62"/>
      <c r="AC1506" s="62"/>
    </row>
    <row r="1507" spans="22:29">
      <c r="V1507"/>
      <c r="W1507" s="62"/>
      <c r="X1507" s="62"/>
      <c r="Y1507" s="62"/>
      <c r="Z1507" s="62"/>
      <c r="AA1507" s="62"/>
      <c r="AB1507" s="62"/>
      <c r="AC1507" s="62"/>
    </row>
    <row r="1508" spans="22:29">
      <c r="V1508"/>
      <c r="W1508" s="62"/>
      <c r="X1508" s="62"/>
      <c r="Y1508" s="62"/>
      <c r="Z1508" s="62"/>
      <c r="AA1508" s="62"/>
      <c r="AB1508" s="62"/>
      <c r="AC1508" s="62"/>
    </row>
    <row r="1509" spans="22:29">
      <c r="V1509"/>
      <c r="W1509" s="62"/>
      <c r="X1509" s="62"/>
      <c r="Y1509" s="62"/>
      <c r="Z1509" s="62"/>
      <c r="AA1509" s="62"/>
      <c r="AB1509" s="62"/>
      <c r="AC1509" s="62"/>
    </row>
    <row r="1510" spans="22:29">
      <c r="V1510"/>
      <c r="W1510" s="62"/>
      <c r="X1510" s="62"/>
      <c r="Y1510" s="62"/>
      <c r="Z1510" s="62"/>
      <c r="AA1510" s="62"/>
      <c r="AB1510" s="62"/>
      <c r="AC1510" s="62"/>
    </row>
    <row r="1511" spans="22:29">
      <c r="V1511"/>
      <c r="W1511" s="62"/>
      <c r="X1511" s="62"/>
      <c r="Y1511" s="62"/>
      <c r="Z1511" s="62"/>
      <c r="AA1511" s="62"/>
      <c r="AB1511" s="62"/>
      <c r="AC1511" s="62"/>
    </row>
    <row r="1512" spans="22:29">
      <c r="V1512"/>
      <c r="W1512" s="62"/>
      <c r="X1512" s="62"/>
      <c r="Y1512" s="62"/>
      <c r="Z1512" s="62"/>
      <c r="AA1512" s="62"/>
      <c r="AB1512" s="62"/>
      <c r="AC1512" s="62"/>
    </row>
    <row r="1513" spans="22:29">
      <c r="V1513"/>
      <c r="W1513" s="62"/>
      <c r="X1513" s="62"/>
      <c r="Y1513" s="62"/>
      <c r="Z1513" s="62"/>
      <c r="AA1513" s="62"/>
      <c r="AB1513" s="62"/>
      <c r="AC1513" s="62"/>
    </row>
    <row r="1514" spans="22:29">
      <c r="V1514"/>
      <c r="W1514" s="62"/>
      <c r="X1514" s="62"/>
      <c r="Y1514" s="62"/>
      <c r="Z1514" s="62"/>
      <c r="AA1514" s="62"/>
      <c r="AB1514" s="62"/>
      <c r="AC1514" s="62"/>
    </row>
    <row r="1515" spans="22:29">
      <c r="V1515"/>
      <c r="W1515" s="62"/>
      <c r="X1515" s="62"/>
      <c r="Y1515" s="62"/>
      <c r="Z1515" s="62"/>
      <c r="AA1515" s="62"/>
      <c r="AB1515" s="62"/>
      <c r="AC1515" s="62"/>
    </row>
    <row r="1516" spans="22:29">
      <c r="V1516"/>
      <c r="W1516" s="62"/>
      <c r="X1516" s="62"/>
      <c r="Y1516" s="62"/>
      <c r="Z1516" s="62"/>
      <c r="AA1516" s="62"/>
      <c r="AB1516" s="62"/>
      <c r="AC1516" s="62"/>
    </row>
    <row r="1517" spans="22:29">
      <c r="V1517"/>
      <c r="W1517" s="62"/>
      <c r="X1517" s="62"/>
      <c r="Y1517" s="62"/>
      <c r="Z1517" s="62"/>
      <c r="AA1517" s="62"/>
      <c r="AB1517" s="62"/>
      <c r="AC1517" s="62"/>
    </row>
    <row r="1518" spans="22:29">
      <c r="V1518"/>
      <c r="W1518" s="62"/>
      <c r="X1518" s="62"/>
      <c r="Y1518" s="62"/>
      <c r="Z1518" s="62"/>
      <c r="AA1518" s="62"/>
      <c r="AB1518" s="62"/>
      <c r="AC1518" s="62"/>
    </row>
    <row r="1519" spans="22:29">
      <c r="V1519"/>
      <c r="W1519" s="62"/>
      <c r="X1519" s="62"/>
      <c r="Y1519" s="62"/>
      <c r="Z1519" s="62"/>
      <c r="AA1519" s="62"/>
      <c r="AB1519" s="62"/>
      <c r="AC1519" s="62"/>
    </row>
    <row r="1520" spans="22:29">
      <c r="V1520"/>
      <c r="W1520" s="62"/>
      <c r="X1520" s="62"/>
      <c r="Y1520" s="62"/>
      <c r="Z1520" s="62"/>
      <c r="AA1520" s="62"/>
      <c r="AB1520" s="62"/>
      <c r="AC1520" s="62"/>
    </row>
    <row r="1521" spans="22:29">
      <c r="V1521"/>
      <c r="W1521" s="62"/>
      <c r="X1521" s="62"/>
      <c r="Y1521" s="62"/>
      <c r="Z1521" s="62"/>
      <c r="AA1521" s="62"/>
      <c r="AB1521" s="62"/>
      <c r="AC1521" s="62"/>
    </row>
    <row r="1522" spans="22:29">
      <c r="V1522"/>
      <c r="W1522" s="62"/>
      <c r="X1522" s="62"/>
      <c r="Y1522" s="62"/>
      <c r="Z1522" s="62"/>
      <c r="AA1522" s="62"/>
      <c r="AB1522" s="62"/>
      <c r="AC1522" s="62"/>
    </row>
    <row r="1523" spans="22:29">
      <c r="V1523"/>
      <c r="W1523" s="62"/>
      <c r="X1523" s="62"/>
      <c r="Y1523" s="62"/>
      <c r="Z1523" s="62"/>
      <c r="AA1523" s="62"/>
      <c r="AB1523" s="62"/>
      <c r="AC1523" s="62"/>
    </row>
    <row r="1524" spans="22:29">
      <c r="V1524"/>
      <c r="W1524" s="62"/>
      <c r="X1524" s="62"/>
      <c r="Y1524" s="62"/>
      <c r="Z1524" s="62"/>
      <c r="AA1524" s="62"/>
      <c r="AB1524" s="62"/>
      <c r="AC1524" s="62"/>
    </row>
    <row r="1525" spans="22:29">
      <c r="V1525"/>
      <c r="W1525" s="62"/>
      <c r="X1525" s="62"/>
      <c r="Y1525" s="62"/>
      <c r="Z1525" s="62"/>
      <c r="AA1525" s="62"/>
      <c r="AB1525" s="62"/>
      <c r="AC1525" s="62"/>
    </row>
    <row r="1526" spans="22:29">
      <c r="V1526"/>
      <c r="W1526" s="62"/>
      <c r="X1526" s="62"/>
      <c r="Y1526" s="62"/>
      <c r="Z1526" s="62"/>
      <c r="AA1526" s="62"/>
      <c r="AB1526" s="62"/>
      <c r="AC1526" s="62"/>
    </row>
    <row r="1527" spans="22:29">
      <c r="V1527"/>
      <c r="W1527" s="62"/>
      <c r="X1527" s="62"/>
      <c r="Y1527" s="62"/>
      <c r="Z1527" s="62"/>
      <c r="AA1527" s="62"/>
      <c r="AB1527" s="62"/>
      <c r="AC1527" s="62"/>
    </row>
    <row r="1528" spans="22:29">
      <c r="V1528"/>
      <c r="W1528" s="62"/>
      <c r="X1528" s="62"/>
      <c r="Y1528" s="62"/>
      <c r="Z1528" s="62"/>
      <c r="AA1528" s="62"/>
      <c r="AB1528" s="62"/>
      <c r="AC1528" s="62"/>
    </row>
    <row r="1529" spans="22:29">
      <c r="V1529"/>
      <c r="W1529" s="62"/>
      <c r="X1529" s="62"/>
      <c r="Y1529" s="62"/>
      <c r="Z1529" s="62"/>
      <c r="AA1529" s="62"/>
      <c r="AB1529" s="62"/>
      <c r="AC1529" s="62"/>
    </row>
    <row r="1530" spans="22:29">
      <c r="V1530"/>
      <c r="W1530" s="62"/>
      <c r="X1530" s="62"/>
      <c r="Y1530" s="62"/>
      <c r="Z1530" s="62"/>
      <c r="AA1530" s="62"/>
      <c r="AB1530" s="62"/>
      <c r="AC1530" s="62"/>
    </row>
    <row r="1531" spans="22:29">
      <c r="V1531"/>
      <c r="W1531" s="62"/>
      <c r="X1531" s="62"/>
      <c r="Y1531" s="62"/>
      <c r="Z1531" s="62"/>
      <c r="AA1531" s="62"/>
      <c r="AB1531" s="62"/>
      <c r="AC1531" s="62"/>
    </row>
    <row r="1532" spans="22:29">
      <c r="V1532"/>
      <c r="W1532" s="62"/>
      <c r="X1532" s="62"/>
      <c r="Y1532" s="62"/>
      <c r="Z1532" s="62"/>
      <c r="AA1532" s="62"/>
      <c r="AB1532" s="62"/>
      <c r="AC1532" s="62"/>
    </row>
    <row r="1533" spans="22:29">
      <c r="V1533"/>
      <c r="W1533" s="62"/>
      <c r="X1533" s="62"/>
      <c r="Y1533" s="62"/>
      <c r="Z1533" s="62"/>
      <c r="AA1533" s="62"/>
      <c r="AB1533" s="62"/>
      <c r="AC1533" s="62"/>
    </row>
    <row r="1534" spans="22:29">
      <c r="V1534"/>
      <c r="W1534" s="62"/>
      <c r="X1534" s="62"/>
      <c r="Y1534" s="62"/>
      <c r="Z1534" s="62"/>
      <c r="AA1534" s="62"/>
      <c r="AB1534" s="62"/>
      <c r="AC1534" s="62"/>
    </row>
    <row r="1535" spans="22:29">
      <c r="V1535"/>
      <c r="W1535" s="62"/>
      <c r="X1535" s="62"/>
      <c r="Y1535" s="62"/>
      <c r="Z1535" s="62"/>
      <c r="AA1535" s="62"/>
      <c r="AB1535" s="62"/>
      <c r="AC1535" s="62"/>
    </row>
    <row r="1536" spans="22:29">
      <c r="V1536"/>
      <c r="W1536" s="62"/>
      <c r="X1536" s="62"/>
      <c r="Y1536" s="62"/>
      <c r="Z1536" s="62"/>
      <c r="AA1536" s="62"/>
      <c r="AB1536" s="62"/>
      <c r="AC1536" s="62"/>
    </row>
    <row r="1537" spans="22:29">
      <c r="V1537"/>
      <c r="W1537" s="62"/>
      <c r="X1537" s="62"/>
      <c r="Y1537" s="62"/>
      <c r="Z1537" s="62"/>
      <c r="AA1537" s="62"/>
      <c r="AB1537" s="62"/>
      <c r="AC1537" s="62"/>
    </row>
    <row r="1538" spans="22:29">
      <c r="V1538"/>
      <c r="W1538" s="62"/>
      <c r="X1538" s="62"/>
      <c r="Y1538" s="62"/>
      <c r="Z1538" s="62"/>
      <c r="AA1538" s="62"/>
      <c r="AB1538" s="62"/>
      <c r="AC1538" s="62"/>
    </row>
    <row r="1539" spans="22:29">
      <c r="V1539"/>
      <c r="W1539" s="62"/>
      <c r="X1539" s="62"/>
      <c r="Y1539" s="62"/>
      <c r="Z1539" s="62"/>
      <c r="AA1539" s="62"/>
      <c r="AB1539" s="62"/>
      <c r="AC1539" s="62"/>
    </row>
    <row r="1540" spans="22:29">
      <c r="V1540"/>
      <c r="W1540" s="62"/>
      <c r="X1540" s="62"/>
      <c r="Y1540" s="62"/>
      <c r="Z1540" s="62"/>
      <c r="AA1540" s="62"/>
      <c r="AB1540" s="62"/>
      <c r="AC1540" s="62"/>
    </row>
    <row r="1541" spans="22:29">
      <c r="V1541"/>
      <c r="W1541" s="62"/>
      <c r="X1541" s="62"/>
      <c r="Y1541" s="62"/>
      <c r="Z1541" s="62"/>
      <c r="AA1541" s="62"/>
      <c r="AB1541" s="62"/>
      <c r="AC1541" s="62"/>
    </row>
    <row r="1542" spans="22:29">
      <c r="V1542"/>
      <c r="W1542" s="62"/>
      <c r="X1542" s="62"/>
      <c r="Y1542" s="62"/>
      <c r="Z1542" s="62"/>
      <c r="AA1542" s="62"/>
      <c r="AB1542" s="62"/>
      <c r="AC1542" s="62"/>
    </row>
    <row r="1543" spans="22:29">
      <c r="V1543"/>
      <c r="W1543" s="62"/>
      <c r="X1543" s="62"/>
      <c r="Y1543" s="62"/>
      <c r="Z1543" s="62"/>
      <c r="AA1543" s="62"/>
      <c r="AB1543" s="62"/>
      <c r="AC1543" s="62"/>
    </row>
    <row r="1544" spans="22:29">
      <c r="V1544"/>
      <c r="W1544" s="62"/>
      <c r="X1544" s="62"/>
      <c r="Y1544" s="62"/>
      <c r="Z1544" s="62"/>
      <c r="AA1544" s="62"/>
      <c r="AB1544" s="62"/>
      <c r="AC1544" s="62"/>
    </row>
    <row r="1545" spans="22:29">
      <c r="V1545"/>
      <c r="W1545" s="62"/>
      <c r="X1545" s="62"/>
      <c r="Y1545" s="62"/>
      <c r="Z1545" s="62"/>
      <c r="AA1545" s="62"/>
      <c r="AB1545" s="62"/>
      <c r="AC1545" s="62"/>
    </row>
    <row r="1546" spans="22:29">
      <c r="V1546"/>
      <c r="W1546" s="62"/>
      <c r="X1546" s="62"/>
      <c r="Y1546" s="62"/>
      <c r="Z1546" s="62"/>
      <c r="AA1546" s="62"/>
      <c r="AB1546" s="62"/>
      <c r="AC1546" s="62"/>
    </row>
    <row r="1547" spans="22:29">
      <c r="V1547"/>
      <c r="W1547" s="62"/>
      <c r="X1547" s="62"/>
      <c r="Y1547" s="62"/>
      <c r="Z1547" s="62"/>
      <c r="AA1547" s="62"/>
      <c r="AB1547" s="62"/>
      <c r="AC1547" s="62"/>
    </row>
    <row r="1548" spans="22:29">
      <c r="V1548"/>
      <c r="W1548" s="62"/>
      <c r="X1548" s="62"/>
      <c r="Y1548" s="62"/>
      <c r="Z1548" s="62"/>
      <c r="AA1548" s="62"/>
      <c r="AB1548" s="62"/>
      <c r="AC1548" s="62"/>
    </row>
    <row r="1549" spans="22:29">
      <c r="V1549"/>
      <c r="W1549" s="62"/>
      <c r="X1549" s="62"/>
      <c r="Y1549" s="62"/>
      <c r="Z1549" s="62"/>
      <c r="AA1549" s="62"/>
      <c r="AB1549" s="62"/>
      <c r="AC1549" s="62"/>
    </row>
    <row r="1550" spans="22:29">
      <c r="V1550"/>
      <c r="W1550" s="62"/>
      <c r="X1550" s="62"/>
      <c r="Y1550" s="62"/>
      <c r="Z1550" s="62"/>
      <c r="AA1550" s="62"/>
      <c r="AB1550" s="62"/>
      <c r="AC1550" s="62"/>
    </row>
    <row r="1551" spans="22:29">
      <c r="V1551"/>
      <c r="W1551" s="62"/>
      <c r="X1551" s="62"/>
      <c r="Y1551" s="62"/>
      <c r="Z1551" s="62"/>
      <c r="AA1551" s="62"/>
      <c r="AB1551" s="62"/>
      <c r="AC1551" s="62"/>
    </row>
    <row r="1552" spans="22:29">
      <c r="V1552"/>
      <c r="W1552" s="62"/>
      <c r="X1552" s="62"/>
      <c r="Y1552" s="62"/>
      <c r="Z1552" s="62"/>
      <c r="AA1552" s="62"/>
      <c r="AB1552" s="62"/>
      <c r="AC1552" s="62"/>
    </row>
    <row r="1553" spans="22:29">
      <c r="V1553"/>
      <c r="W1553" s="62"/>
      <c r="X1553" s="62"/>
      <c r="Y1553" s="62"/>
      <c r="Z1553" s="62"/>
      <c r="AA1553" s="62"/>
      <c r="AB1553" s="62"/>
      <c r="AC1553" s="62"/>
    </row>
    <row r="1554" spans="22:29">
      <c r="V1554"/>
      <c r="W1554" s="62"/>
      <c r="X1554" s="62"/>
      <c r="Y1554" s="62"/>
      <c r="Z1554" s="62"/>
      <c r="AA1554" s="62"/>
      <c r="AB1554" s="62"/>
      <c r="AC1554" s="62"/>
    </row>
    <row r="1555" spans="22:29">
      <c r="V1555"/>
      <c r="W1555" s="62"/>
      <c r="X1555" s="62"/>
      <c r="Y1555" s="62"/>
      <c r="Z1555" s="62"/>
      <c r="AA1555" s="62"/>
      <c r="AB1555" s="62"/>
      <c r="AC1555" s="62"/>
    </row>
    <row r="1556" spans="22:29">
      <c r="V1556"/>
      <c r="W1556" s="62"/>
      <c r="X1556" s="62"/>
      <c r="Y1556" s="62"/>
      <c r="Z1556" s="62"/>
      <c r="AA1556" s="62"/>
      <c r="AB1556" s="62"/>
      <c r="AC1556" s="62"/>
    </row>
    <row r="1557" spans="22:29">
      <c r="V1557"/>
      <c r="W1557" s="62"/>
      <c r="X1557" s="62"/>
      <c r="Y1557" s="62"/>
      <c r="Z1557" s="62"/>
      <c r="AA1557" s="62"/>
      <c r="AB1557" s="62"/>
      <c r="AC1557" s="62"/>
    </row>
    <row r="1558" spans="22:29">
      <c r="V1558"/>
      <c r="W1558" s="62"/>
      <c r="X1558" s="62"/>
      <c r="Y1558" s="62"/>
      <c r="Z1558" s="62"/>
      <c r="AA1558" s="62"/>
      <c r="AB1558" s="62"/>
      <c r="AC1558" s="62"/>
    </row>
    <row r="1559" spans="22:29">
      <c r="V1559"/>
      <c r="W1559" s="62"/>
      <c r="X1559" s="62"/>
      <c r="Y1559" s="62"/>
      <c r="Z1559" s="62"/>
      <c r="AA1559" s="62"/>
      <c r="AB1559" s="62"/>
      <c r="AC1559" s="62"/>
    </row>
    <row r="1560" spans="22:29">
      <c r="V1560"/>
      <c r="W1560" s="62"/>
      <c r="X1560" s="62"/>
      <c r="Y1560" s="62"/>
      <c r="Z1560" s="62"/>
      <c r="AA1560" s="62"/>
      <c r="AB1560" s="62"/>
      <c r="AC1560" s="62"/>
    </row>
    <row r="1561" spans="22:29">
      <c r="V1561"/>
      <c r="W1561" s="62"/>
      <c r="X1561" s="62"/>
      <c r="Y1561" s="62"/>
      <c r="Z1561" s="62"/>
      <c r="AA1561" s="62"/>
      <c r="AB1561" s="62"/>
      <c r="AC1561" s="62"/>
    </row>
    <row r="1562" spans="22:29">
      <c r="V1562"/>
      <c r="W1562" s="62"/>
      <c r="X1562" s="62"/>
      <c r="Y1562" s="62"/>
      <c r="Z1562" s="62"/>
      <c r="AA1562" s="62"/>
      <c r="AB1562" s="62"/>
      <c r="AC1562" s="62"/>
    </row>
    <row r="1563" spans="22:29">
      <c r="V1563"/>
      <c r="W1563" s="62"/>
      <c r="X1563" s="62"/>
      <c r="Y1563" s="62"/>
      <c r="Z1563" s="62"/>
      <c r="AA1563" s="62"/>
      <c r="AB1563" s="62"/>
      <c r="AC1563" s="62"/>
    </row>
    <row r="1564" spans="22:29">
      <c r="V1564"/>
      <c r="W1564" s="62"/>
      <c r="X1564" s="62"/>
      <c r="Y1564" s="62"/>
      <c r="Z1564" s="62"/>
      <c r="AA1564" s="62"/>
      <c r="AB1564" s="62"/>
      <c r="AC1564" s="62"/>
    </row>
    <row r="1565" spans="22:29">
      <c r="V1565"/>
      <c r="W1565" s="62"/>
      <c r="X1565" s="62"/>
      <c r="Y1565" s="62"/>
      <c r="Z1565" s="62"/>
      <c r="AA1565" s="62"/>
      <c r="AB1565" s="62"/>
      <c r="AC1565" s="62"/>
    </row>
    <row r="1566" spans="22:29">
      <c r="V1566"/>
      <c r="W1566" s="62"/>
      <c r="X1566" s="62"/>
      <c r="Y1566" s="62"/>
      <c r="Z1566" s="62"/>
      <c r="AA1566" s="62"/>
      <c r="AB1566" s="62"/>
      <c r="AC1566" s="62"/>
    </row>
    <row r="1567" spans="22:29">
      <c r="V1567"/>
      <c r="W1567" s="62"/>
      <c r="X1567" s="62"/>
      <c r="Y1567" s="62"/>
      <c r="Z1567" s="62"/>
      <c r="AA1567" s="62"/>
      <c r="AB1567" s="62"/>
      <c r="AC1567" s="62"/>
    </row>
    <row r="1568" spans="22:29">
      <c r="V1568"/>
      <c r="W1568" s="62"/>
      <c r="X1568" s="62"/>
      <c r="Y1568" s="62"/>
      <c r="Z1568" s="62"/>
      <c r="AA1568" s="62"/>
      <c r="AB1568" s="62"/>
      <c r="AC1568" s="62"/>
    </row>
    <row r="1569" spans="22:29">
      <c r="V1569"/>
      <c r="W1569" s="62"/>
      <c r="X1569" s="62"/>
      <c r="Y1569" s="62"/>
      <c r="Z1569" s="62"/>
      <c r="AA1569" s="62"/>
      <c r="AB1569" s="62"/>
      <c r="AC1569" s="62"/>
    </row>
    <row r="1570" spans="22:29">
      <c r="V1570"/>
      <c r="W1570" s="62"/>
      <c r="X1570" s="62"/>
      <c r="Y1570" s="62"/>
      <c r="Z1570" s="62"/>
      <c r="AA1570" s="62"/>
      <c r="AB1570" s="62"/>
      <c r="AC1570" s="62"/>
    </row>
    <row r="1571" spans="22:29">
      <c r="V1571"/>
      <c r="W1571" s="62"/>
      <c r="X1571" s="62"/>
      <c r="Y1571" s="62"/>
      <c r="Z1571" s="62"/>
      <c r="AA1571" s="62"/>
      <c r="AB1571" s="62"/>
      <c r="AC1571" s="62"/>
    </row>
    <row r="1572" spans="22:29">
      <c r="V1572"/>
      <c r="W1572" s="62"/>
      <c r="X1572" s="62"/>
      <c r="Y1572" s="62"/>
      <c r="Z1572" s="62"/>
      <c r="AA1572" s="62"/>
      <c r="AB1572" s="62"/>
      <c r="AC1572" s="62"/>
    </row>
    <row r="1573" spans="22:29">
      <c r="V1573"/>
      <c r="W1573" s="62"/>
      <c r="X1573" s="62"/>
      <c r="Y1573" s="62"/>
      <c r="Z1573" s="62"/>
      <c r="AA1573" s="62"/>
      <c r="AB1573" s="62"/>
      <c r="AC1573" s="62"/>
    </row>
    <row r="1574" spans="22:29">
      <c r="V1574"/>
      <c r="W1574" s="62"/>
      <c r="X1574" s="62"/>
      <c r="Y1574" s="62"/>
      <c r="Z1574" s="62"/>
      <c r="AA1574" s="62"/>
      <c r="AB1574" s="62"/>
      <c r="AC1574" s="62"/>
    </row>
    <row r="1575" spans="22:29">
      <c r="V1575"/>
      <c r="W1575" s="62"/>
      <c r="X1575" s="62"/>
      <c r="Y1575" s="62"/>
      <c r="Z1575" s="62"/>
      <c r="AA1575" s="62"/>
      <c r="AB1575" s="62"/>
      <c r="AC1575" s="62"/>
    </row>
    <row r="1576" spans="22:29">
      <c r="V1576"/>
      <c r="W1576" s="62"/>
      <c r="X1576" s="62"/>
      <c r="Y1576" s="62"/>
      <c r="Z1576" s="62"/>
      <c r="AA1576" s="62"/>
      <c r="AB1576" s="62"/>
      <c r="AC1576" s="62"/>
    </row>
    <row r="1577" spans="22:29">
      <c r="V1577"/>
      <c r="W1577" s="62"/>
      <c r="X1577" s="62"/>
      <c r="Y1577" s="62"/>
      <c r="Z1577" s="62"/>
      <c r="AA1577" s="62"/>
      <c r="AB1577" s="62"/>
      <c r="AC1577" s="62"/>
    </row>
    <row r="1578" spans="22:29">
      <c r="V1578"/>
      <c r="W1578" s="62"/>
      <c r="X1578" s="62"/>
      <c r="Y1578" s="62"/>
      <c r="Z1578" s="62"/>
      <c r="AA1578" s="62"/>
      <c r="AB1578" s="62"/>
      <c r="AC1578" s="62"/>
    </row>
    <row r="1579" spans="22:29">
      <c r="V1579"/>
      <c r="W1579" s="62"/>
      <c r="X1579" s="62"/>
      <c r="Y1579" s="62"/>
      <c r="Z1579" s="62"/>
      <c r="AA1579" s="62"/>
      <c r="AB1579" s="62"/>
      <c r="AC1579" s="62"/>
    </row>
    <row r="1580" spans="22:29">
      <c r="V1580"/>
      <c r="W1580" s="62"/>
      <c r="X1580" s="62"/>
      <c r="Y1580" s="62"/>
      <c r="Z1580" s="62"/>
      <c r="AA1580" s="62"/>
      <c r="AB1580" s="62"/>
      <c r="AC1580" s="62"/>
    </row>
    <row r="1581" spans="22:29">
      <c r="V1581"/>
      <c r="W1581" s="62"/>
      <c r="X1581" s="62"/>
      <c r="Y1581" s="62"/>
      <c r="Z1581" s="62"/>
      <c r="AA1581" s="62"/>
      <c r="AB1581" s="62"/>
      <c r="AC1581" s="62"/>
    </row>
    <row r="1582" spans="22:29">
      <c r="V1582"/>
      <c r="W1582" s="62"/>
      <c r="X1582" s="62"/>
      <c r="Y1582" s="62"/>
      <c r="Z1582" s="62"/>
      <c r="AA1582" s="62"/>
      <c r="AB1582" s="62"/>
      <c r="AC1582" s="62"/>
    </row>
    <row r="1583" spans="22:29">
      <c r="V1583"/>
      <c r="W1583" s="62"/>
      <c r="X1583" s="62"/>
      <c r="Y1583" s="62"/>
      <c r="Z1583" s="62"/>
      <c r="AA1583" s="62"/>
      <c r="AB1583" s="62"/>
      <c r="AC1583" s="62"/>
    </row>
    <row r="1584" spans="22:29">
      <c r="V1584"/>
      <c r="W1584" s="62"/>
      <c r="X1584" s="62"/>
      <c r="Y1584" s="62"/>
      <c r="Z1584" s="62"/>
      <c r="AA1584" s="62"/>
      <c r="AB1584" s="62"/>
      <c r="AC1584" s="62"/>
    </row>
    <row r="1585" spans="22:29">
      <c r="V1585"/>
      <c r="W1585" s="62"/>
      <c r="X1585" s="62"/>
      <c r="Y1585" s="62"/>
      <c r="Z1585" s="62"/>
      <c r="AA1585" s="62"/>
      <c r="AB1585" s="62"/>
      <c r="AC1585" s="62"/>
    </row>
    <row r="1586" spans="22:29">
      <c r="V1586"/>
      <c r="W1586" s="62"/>
      <c r="X1586" s="62"/>
      <c r="Y1586" s="62"/>
      <c r="Z1586" s="62"/>
      <c r="AA1586" s="62"/>
      <c r="AB1586" s="62"/>
      <c r="AC1586" s="62"/>
    </row>
    <row r="1587" spans="22:29">
      <c r="V1587"/>
      <c r="W1587" s="62"/>
      <c r="X1587" s="62"/>
      <c r="Y1587" s="62"/>
      <c r="Z1587" s="62"/>
      <c r="AA1587" s="62"/>
      <c r="AB1587" s="62"/>
      <c r="AC1587" s="62"/>
    </row>
    <row r="1588" spans="22:29">
      <c r="V1588"/>
      <c r="W1588" s="62"/>
      <c r="X1588" s="62"/>
      <c r="Y1588" s="62"/>
      <c r="Z1588" s="62"/>
      <c r="AA1588" s="62"/>
      <c r="AB1588" s="62"/>
      <c r="AC1588" s="62"/>
    </row>
    <row r="1589" spans="22:29">
      <c r="V1589"/>
      <c r="W1589" s="62"/>
      <c r="X1589" s="62"/>
      <c r="Y1589" s="62"/>
      <c r="Z1589" s="62"/>
      <c r="AA1589" s="62"/>
      <c r="AB1589" s="62"/>
      <c r="AC1589" s="62"/>
    </row>
    <row r="1590" spans="22:29">
      <c r="V1590"/>
      <c r="W1590" s="62"/>
      <c r="X1590" s="62"/>
      <c r="Y1590" s="62"/>
      <c r="Z1590" s="62"/>
      <c r="AA1590" s="62"/>
      <c r="AB1590" s="62"/>
      <c r="AC1590" s="62"/>
    </row>
    <row r="1591" spans="22:29">
      <c r="V1591"/>
      <c r="W1591" s="62"/>
      <c r="X1591" s="62"/>
      <c r="Y1591" s="62"/>
      <c r="Z1591" s="62"/>
      <c r="AA1591" s="62"/>
      <c r="AB1591" s="62"/>
      <c r="AC1591" s="62"/>
    </row>
    <row r="1592" spans="22:29">
      <c r="V1592"/>
      <c r="W1592" s="62"/>
      <c r="X1592" s="62"/>
      <c r="Y1592" s="62"/>
      <c r="Z1592" s="62"/>
      <c r="AA1592" s="62"/>
      <c r="AB1592" s="62"/>
      <c r="AC1592" s="62"/>
    </row>
    <row r="1593" spans="22:29">
      <c r="V1593"/>
      <c r="W1593" s="62"/>
      <c r="X1593" s="62"/>
      <c r="Y1593" s="62"/>
      <c r="Z1593" s="62"/>
      <c r="AA1593" s="62"/>
      <c r="AB1593" s="62"/>
      <c r="AC1593" s="62"/>
    </row>
    <row r="1594" spans="22:29">
      <c r="V1594"/>
      <c r="W1594" s="62"/>
      <c r="X1594" s="62"/>
      <c r="Y1594" s="62"/>
      <c r="Z1594" s="62"/>
      <c r="AA1594" s="62"/>
      <c r="AB1594" s="62"/>
      <c r="AC1594" s="62"/>
    </row>
    <row r="1595" spans="22:29">
      <c r="V1595"/>
      <c r="W1595" s="62"/>
      <c r="X1595" s="62"/>
      <c r="Y1595" s="62"/>
      <c r="Z1595" s="62"/>
      <c r="AA1595" s="62"/>
      <c r="AB1595" s="62"/>
      <c r="AC1595" s="62"/>
    </row>
    <row r="1596" spans="22:29">
      <c r="V1596"/>
      <c r="W1596" s="62"/>
      <c r="X1596" s="62"/>
      <c r="Y1596" s="62"/>
      <c r="Z1596" s="62"/>
      <c r="AA1596" s="62"/>
      <c r="AB1596" s="62"/>
      <c r="AC1596" s="62"/>
    </row>
    <row r="1597" spans="22:29">
      <c r="V1597"/>
      <c r="W1597" s="62"/>
      <c r="X1597" s="62"/>
      <c r="Y1597" s="62"/>
      <c r="Z1597" s="62"/>
      <c r="AA1597" s="62"/>
      <c r="AB1597" s="62"/>
      <c r="AC1597" s="62"/>
    </row>
    <row r="1598" spans="22:29">
      <c r="V1598"/>
      <c r="W1598" s="62"/>
      <c r="X1598" s="62"/>
      <c r="Y1598" s="62"/>
      <c r="Z1598" s="62"/>
      <c r="AA1598" s="62"/>
      <c r="AB1598" s="62"/>
      <c r="AC1598" s="62"/>
    </row>
    <row r="1599" spans="22:29">
      <c r="V1599"/>
      <c r="W1599" s="62"/>
      <c r="X1599" s="62"/>
      <c r="Y1599" s="62"/>
      <c r="Z1599" s="62"/>
      <c r="AA1599" s="62"/>
      <c r="AB1599" s="62"/>
      <c r="AC1599" s="62"/>
    </row>
    <row r="1600" spans="22:29">
      <c r="V1600"/>
      <c r="W1600" s="62"/>
      <c r="X1600" s="62"/>
      <c r="Y1600" s="62"/>
      <c r="Z1600" s="62"/>
      <c r="AA1600" s="62"/>
      <c r="AB1600" s="62"/>
      <c r="AC1600" s="62"/>
    </row>
    <row r="1601" spans="22:29">
      <c r="V1601"/>
      <c r="W1601" s="62"/>
      <c r="X1601" s="62"/>
      <c r="Y1601" s="62"/>
      <c r="Z1601" s="62"/>
      <c r="AA1601" s="62"/>
      <c r="AB1601" s="62"/>
      <c r="AC1601" s="62"/>
    </row>
    <row r="1602" spans="22:29">
      <c r="V1602"/>
      <c r="W1602" s="62"/>
      <c r="X1602" s="62"/>
      <c r="Y1602" s="62"/>
      <c r="Z1602" s="62"/>
      <c r="AA1602" s="62"/>
      <c r="AB1602" s="62"/>
      <c r="AC1602" s="62"/>
    </row>
    <row r="1603" spans="22:29">
      <c r="V1603"/>
      <c r="W1603" s="62"/>
      <c r="X1603" s="62"/>
      <c r="Y1603" s="62"/>
      <c r="Z1603" s="62"/>
      <c r="AA1603" s="62"/>
      <c r="AB1603" s="62"/>
      <c r="AC1603" s="62"/>
    </row>
    <row r="1604" spans="22:29">
      <c r="V1604"/>
      <c r="W1604" s="62"/>
      <c r="X1604" s="62"/>
      <c r="Y1604" s="62"/>
      <c r="Z1604" s="62"/>
      <c r="AA1604" s="62"/>
      <c r="AB1604" s="62"/>
      <c r="AC1604" s="62"/>
    </row>
    <row r="1605" spans="22:29">
      <c r="V1605"/>
      <c r="W1605" s="62"/>
      <c r="X1605" s="62"/>
      <c r="Y1605" s="62"/>
      <c r="Z1605" s="62"/>
      <c r="AA1605" s="62"/>
      <c r="AB1605" s="62"/>
      <c r="AC1605" s="62"/>
    </row>
    <row r="1606" spans="22:29">
      <c r="V1606"/>
      <c r="W1606" s="62"/>
      <c r="X1606" s="62"/>
      <c r="Y1606" s="62"/>
      <c r="Z1606" s="62"/>
      <c r="AA1606" s="62"/>
      <c r="AB1606" s="62"/>
      <c r="AC1606" s="62"/>
    </row>
    <row r="1607" spans="22:29">
      <c r="V1607"/>
      <c r="W1607" s="62"/>
      <c r="X1607" s="62"/>
      <c r="Y1607" s="62"/>
      <c r="Z1607" s="62"/>
      <c r="AA1607" s="62"/>
      <c r="AB1607" s="62"/>
      <c r="AC1607" s="62"/>
    </row>
    <row r="1608" spans="22:29">
      <c r="V1608"/>
      <c r="W1608" s="62"/>
      <c r="X1608" s="62"/>
      <c r="Y1608" s="62"/>
      <c r="Z1608" s="62"/>
      <c r="AA1608" s="62"/>
      <c r="AB1608" s="62"/>
      <c r="AC1608" s="62"/>
    </row>
    <row r="1609" spans="22:29">
      <c r="V1609"/>
      <c r="W1609" s="62"/>
      <c r="X1609" s="62"/>
      <c r="Y1609" s="62"/>
      <c r="Z1609" s="62"/>
      <c r="AA1609" s="62"/>
      <c r="AB1609" s="62"/>
      <c r="AC1609" s="62"/>
    </row>
    <row r="1610" spans="22:29">
      <c r="V1610"/>
      <c r="W1610" s="62"/>
      <c r="X1610" s="62"/>
      <c r="Y1610" s="62"/>
      <c r="Z1610" s="62"/>
      <c r="AA1610" s="62"/>
      <c r="AB1610" s="62"/>
      <c r="AC1610" s="62"/>
    </row>
    <row r="1611" spans="22:29">
      <c r="V1611"/>
      <c r="W1611" s="62"/>
      <c r="X1611" s="62"/>
      <c r="Y1611" s="62"/>
      <c r="Z1611" s="62"/>
      <c r="AA1611" s="62"/>
      <c r="AB1611" s="62"/>
      <c r="AC1611" s="62"/>
    </row>
    <row r="1612" spans="22:29">
      <c r="V1612"/>
      <c r="W1612" s="62"/>
      <c r="X1612" s="62"/>
      <c r="Y1612" s="62"/>
      <c r="Z1612" s="62"/>
      <c r="AA1612" s="62"/>
      <c r="AB1612" s="62"/>
      <c r="AC1612" s="62"/>
    </row>
    <row r="1613" spans="22:29">
      <c r="V1613"/>
      <c r="W1613" s="62"/>
      <c r="X1613" s="62"/>
      <c r="Y1613" s="62"/>
      <c r="Z1613" s="62"/>
      <c r="AA1613" s="62"/>
      <c r="AB1613" s="62"/>
      <c r="AC1613" s="62"/>
    </row>
    <row r="1614" spans="22:29">
      <c r="V1614"/>
      <c r="W1614" s="62"/>
      <c r="X1614" s="62"/>
      <c r="Y1614" s="62"/>
      <c r="Z1614" s="62"/>
      <c r="AA1614" s="62"/>
      <c r="AB1614" s="62"/>
      <c r="AC1614" s="62"/>
    </row>
    <row r="1615" spans="22:29">
      <c r="V1615"/>
      <c r="W1615" s="62"/>
      <c r="X1615" s="62"/>
      <c r="Y1615" s="62"/>
      <c r="Z1615" s="62"/>
      <c r="AA1615" s="62"/>
      <c r="AB1615" s="62"/>
      <c r="AC1615" s="62"/>
    </row>
    <row r="1616" spans="22:29">
      <c r="V1616"/>
      <c r="W1616" s="62"/>
      <c r="X1616" s="62"/>
      <c r="Y1616" s="62"/>
      <c r="Z1616" s="62"/>
      <c r="AA1616" s="62"/>
      <c r="AB1616" s="62"/>
      <c r="AC1616" s="62"/>
    </row>
    <row r="1617" spans="22:29">
      <c r="V1617"/>
      <c r="W1617" s="62"/>
      <c r="X1617" s="62"/>
      <c r="Y1617" s="62"/>
      <c r="Z1617" s="62"/>
      <c r="AA1617" s="62"/>
      <c r="AB1617" s="62"/>
      <c r="AC1617" s="62"/>
    </row>
    <row r="1618" spans="22:29">
      <c r="V1618"/>
      <c r="W1618" s="62"/>
      <c r="X1618" s="62"/>
      <c r="Y1618" s="62"/>
      <c r="Z1618" s="62"/>
      <c r="AA1618" s="62"/>
      <c r="AB1618" s="62"/>
      <c r="AC1618" s="62"/>
    </row>
    <row r="1619" spans="22:29">
      <c r="V1619"/>
      <c r="W1619" s="62"/>
      <c r="X1619" s="62"/>
      <c r="Y1619" s="62"/>
      <c r="Z1619" s="62"/>
      <c r="AA1619" s="62"/>
      <c r="AB1619" s="62"/>
      <c r="AC1619" s="62"/>
    </row>
    <row r="1620" spans="22:29">
      <c r="V1620"/>
      <c r="W1620" s="62"/>
      <c r="X1620" s="62"/>
      <c r="Y1620" s="62"/>
      <c r="Z1620" s="62"/>
      <c r="AA1620" s="62"/>
      <c r="AB1620" s="62"/>
      <c r="AC1620" s="62"/>
    </row>
    <row r="1621" spans="22:29">
      <c r="V1621"/>
      <c r="W1621" s="62"/>
      <c r="X1621" s="62"/>
      <c r="Y1621" s="62"/>
      <c r="Z1621" s="62"/>
      <c r="AA1621" s="62"/>
      <c r="AB1621" s="62"/>
      <c r="AC1621" s="62"/>
    </row>
    <row r="1622" spans="22:29">
      <c r="V1622"/>
      <c r="W1622" s="62"/>
      <c r="X1622" s="62"/>
      <c r="Y1622" s="62"/>
      <c r="Z1622" s="62"/>
      <c r="AA1622" s="62"/>
      <c r="AB1622" s="62"/>
      <c r="AC1622" s="62"/>
    </row>
    <row r="1623" spans="22:29">
      <c r="V1623"/>
      <c r="W1623" s="62"/>
      <c r="X1623" s="62"/>
      <c r="Y1623" s="62"/>
      <c r="Z1623" s="62"/>
      <c r="AA1623" s="62"/>
      <c r="AB1623" s="62"/>
      <c r="AC1623" s="62"/>
    </row>
    <row r="1624" spans="22:29">
      <c r="V1624"/>
      <c r="W1624" s="62"/>
      <c r="X1624" s="62"/>
      <c r="Y1624" s="62"/>
      <c r="Z1624" s="62"/>
      <c r="AA1624" s="62"/>
      <c r="AB1624" s="62"/>
      <c r="AC1624" s="62"/>
    </row>
    <row r="1625" spans="22:29">
      <c r="V1625"/>
      <c r="W1625" s="62"/>
      <c r="X1625" s="62"/>
      <c r="Y1625" s="62"/>
      <c r="Z1625" s="62"/>
      <c r="AA1625" s="62"/>
      <c r="AB1625" s="62"/>
      <c r="AC1625" s="62"/>
    </row>
    <row r="1626" spans="22:29">
      <c r="V1626"/>
      <c r="W1626" s="62"/>
      <c r="X1626" s="62"/>
      <c r="Y1626" s="62"/>
      <c r="Z1626" s="62"/>
      <c r="AA1626" s="62"/>
      <c r="AB1626" s="62"/>
      <c r="AC1626" s="62"/>
    </row>
    <row r="1627" spans="22:29">
      <c r="V1627"/>
      <c r="W1627" s="62"/>
      <c r="X1627" s="62"/>
      <c r="Y1627" s="62"/>
      <c r="Z1627" s="62"/>
      <c r="AA1627" s="62"/>
      <c r="AB1627" s="62"/>
      <c r="AC1627" s="62"/>
    </row>
    <row r="1628" spans="22:29">
      <c r="V1628"/>
      <c r="W1628" s="62"/>
      <c r="X1628" s="62"/>
      <c r="Y1628" s="62"/>
      <c r="Z1628" s="62"/>
      <c r="AA1628" s="62"/>
      <c r="AB1628" s="62"/>
      <c r="AC1628" s="62"/>
    </row>
    <row r="1629" spans="22:29">
      <c r="V1629"/>
      <c r="W1629" s="62"/>
      <c r="X1629" s="62"/>
      <c r="Y1629" s="62"/>
      <c r="Z1629" s="62"/>
      <c r="AA1629" s="62"/>
      <c r="AB1629" s="62"/>
      <c r="AC1629" s="62"/>
    </row>
    <row r="1630" spans="22:29">
      <c r="V1630"/>
      <c r="W1630" s="62"/>
      <c r="X1630" s="62"/>
      <c r="Y1630" s="62"/>
      <c r="Z1630" s="62"/>
      <c r="AA1630" s="62"/>
      <c r="AB1630" s="62"/>
      <c r="AC1630" s="62"/>
    </row>
    <row r="1631" spans="22:29">
      <c r="V1631"/>
      <c r="W1631" s="62"/>
      <c r="X1631" s="62"/>
      <c r="Y1631" s="62"/>
      <c r="Z1631" s="62"/>
      <c r="AA1631" s="62"/>
      <c r="AB1631" s="62"/>
      <c r="AC1631" s="62"/>
    </row>
    <row r="1632" spans="22:29">
      <c r="V1632"/>
      <c r="W1632" s="62"/>
      <c r="X1632" s="62"/>
      <c r="Y1632" s="62"/>
      <c r="Z1632" s="62"/>
      <c r="AA1632" s="62"/>
      <c r="AB1632" s="62"/>
      <c r="AC1632" s="62"/>
    </row>
    <row r="1633" spans="22:29">
      <c r="V1633"/>
      <c r="W1633" s="62"/>
      <c r="X1633" s="62"/>
      <c r="Y1633" s="62"/>
      <c r="Z1633" s="62"/>
      <c r="AA1633" s="62"/>
      <c r="AB1633" s="62"/>
      <c r="AC1633" s="62"/>
    </row>
    <row r="1634" spans="22:29">
      <c r="V1634"/>
      <c r="W1634" s="62"/>
      <c r="X1634" s="62"/>
      <c r="Y1634" s="62"/>
      <c r="Z1634" s="62"/>
      <c r="AA1634" s="62"/>
      <c r="AB1634" s="62"/>
      <c r="AC1634" s="62"/>
    </row>
    <row r="1635" spans="22:29">
      <c r="V1635"/>
      <c r="W1635" s="62"/>
      <c r="X1635" s="62"/>
      <c r="Y1635" s="62"/>
      <c r="Z1635" s="62"/>
      <c r="AA1635" s="62"/>
      <c r="AB1635" s="62"/>
      <c r="AC1635" s="62"/>
    </row>
    <row r="1636" spans="22:29">
      <c r="V1636"/>
      <c r="W1636" s="62"/>
      <c r="X1636" s="62"/>
      <c r="Y1636" s="62"/>
      <c r="Z1636" s="62"/>
      <c r="AA1636" s="62"/>
      <c r="AB1636" s="62"/>
      <c r="AC1636" s="62"/>
    </row>
    <row r="1637" spans="22:29">
      <c r="V1637"/>
      <c r="W1637" s="62"/>
      <c r="X1637" s="62"/>
      <c r="Y1637" s="62"/>
      <c r="Z1637" s="62"/>
      <c r="AA1637" s="62"/>
      <c r="AB1637" s="62"/>
      <c r="AC1637" s="62"/>
    </row>
    <row r="1638" spans="22:29">
      <c r="V1638"/>
      <c r="W1638" s="62"/>
      <c r="X1638" s="62"/>
      <c r="Y1638" s="62"/>
      <c r="Z1638" s="62"/>
      <c r="AA1638" s="62"/>
      <c r="AB1638" s="62"/>
      <c r="AC1638" s="62"/>
    </row>
    <row r="1639" spans="22:29">
      <c r="V1639"/>
      <c r="W1639" s="62"/>
      <c r="X1639" s="62"/>
      <c r="Y1639" s="62"/>
      <c r="Z1639" s="62"/>
      <c r="AA1639" s="62"/>
      <c r="AB1639" s="62"/>
      <c r="AC1639" s="62"/>
    </row>
    <row r="1640" spans="22:29">
      <c r="V1640"/>
      <c r="W1640" s="62"/>
      <c r="X1640" s="62"/>
      <c r="Y1640" s="62"/>
      <c r="Z1640" s="62"/>
      <c r="AA1640" s="62"/>
      <c r="AB1640" s="62"/>
      <c r="AC1640" s="62"/>
    </row>
    <row r="1641" spans="22:29">
      <c r="V1641"/>
      <c r="W1641" s="62"/>
      <c r="X1641" s="62"/>
      <c r="Y1641" s="62"/>
      <c r="Z1641" s="62"/>
      <c r="AA1641" s="62"/>
      <c r="AB1641" s="62"/>
      <c r="AC1641" s="62"/>
    </row>
    <row r="1642" spans="22:29">
      <c r="V1642"/>
      <c r="W1642" s="62"/>
      <c r="X1642" s="62"/>
      <c r="Y1642" s="62"/>
      <c r="Z1642" s="62"/>
      <c r="AA1642" s="62"/>
      <c r="AB1642" s="62"/>
      <c r="AC1642" s="62"/>
    </row>
    <row r="1643" spans="22:29">
      <c r="V1643"/>
      <c r="W1643" s="62"/>
      <c r="X1643" s="62"/>
      <c r="Y1643" s="62"/>
      <c r="Z1643" s="62"/>
      <c r="AA1643" s="62"/>
      <c r="AB1643" s="62"/>
      <c r="AC1643" s="62"/>
    </row>
    <row r="1644" spans="22:29">
      <c r="V1644"/>
      <c r="W1644" s="62"/>
      <c r="X1644" s="62"/>
      <c r="Y1644" s="62"/>
      <c r="Z1644" s="62"/>
      <c r="AA1644" s="62"/>
      <c r="AB1644" s="62"/>
      <c r="AC1644" s="62"/>
    </row>
    <row r="1645" spans="22:29">
      <c r="V1645"/>
      <c r="W1645" s="62"/>
      <c r="X1645" s="62"/>
      <c r="Y1645" s="62"/>
      <c r="Z1645" s="62"/>
      <c r="AA1645" s="62"/>
      <c r="AB1645" s="62"/>
      <c r="AC1645" s="62"/>
    </row>
    <row r="1646" spans="22:29">
      <c r="V1646"/>
      <c r="W1646" s="62"/>
      <c r="X1646" s="62"/>
      <c r="Y1646" s="62"/>
      <c r="Z1646" s="62"/>
      <c r="AA1646" s="62"/>
      <c r="AB1646" s="62"/>
      <c r="AC1646" s="62"/>
    </row>
    <row r="1647" spans="22:29">
      <c r="V1647"/>
      <c r="W1647" s="62"/>
      <c r="X1647" s="62"/>
      <c r="Y1647" s="62"/>
      <c r="Z1647" s="62"/>
      <c r="AA1647" s="62"/>
      <c r="AB1647" s="62"/>
      <c r="AC1647" s="62"/>
    </row>
    <row r="1648" spans="22:29">
      <c r="V1648"/>
      <c r="W1648" s="62"/>
      <c r="X1648" s="62"/>
      <c r="Y1648" s="62"/>
      <c r="Z1648" s="62"/>
      <c r="AA1648" s="62"/>
      <c r="AB1648" s="62"/>
      <c r="AC1648" s="62"/>
    </row>
    <row r="1649" spans="22:29">
      <c r="V1649"/>
      <c r="W1649" s="62"/>
      <c r="X1649" s="62"/>
      <c r="Y1649" s="62"/>
      <c r="Z1649" s="62"/>
      <c r="AA1649" s="62"/>
      <c r="AB1649" s="62"/>
      <c r="AC1649" s="62"/>
    </row>
    <row r="1650" spans="22:29">
      <c r="V1650"/>
      <c r="W1650" s="62"/>
      <c r="X1650" s="62"/>
      <c r="Y1650" s="62"/>
      <c r="Z1650" s="62"/>
      <c r="AA1650" s="62"/>
      <c r="AB1650" s="62"/>
      <c r="AC1650" s="62"/>
    </row>
    <row r="1651" spans="22:29">
      <c r="V1651"/>
      <c r="W1651" s="62"/>
      <c r="X1651" s="62"/>
      <c r="Y1651" s="62"/>
      <c r="Z1651" s="62"/>
      <c r="AA1651" s="62"/>
      <c r="AB1651" s="62"/>
      <c r="AC1651" s="62"/>
    </row>
    <row r="1652" spans="22:29">
      <c r="V1652"/>
      <c r="W1652" s="62"/>
      <c r="X1652" s="62"/>
      <c r="Y1652" s="62"/>
      <c r="Z1652" s="62"/>
      <c r="AA1652" s="62"/>
      <c r="AB1652" s="62"/>
      <c r="AC1652" s="62"/>
    </row>
    <row r="1653" spans="22:29">
      <c r="V1653"/>
      <c r="W1653" s="62"/>
      <c r="X1653" s="62"/>
      <c r="Y1653" s="62"/>
      <c r="Z1653" s="62"/>
      <c r="AA1653" s="62"/>
      <c r="AB1653" s="62"/>
      <c r="AC1653" s="62"/>
    </row>
    <row r="1654" spans="22:29">
      <c r="V1654"/>
      <c r="W1654" s="62"/>
      <c r="X1654" s="62"/>
      <c r="Y1654" s="62"/>
      <c r="Z1654" s="62"/>
      <c r="AA1654" s="62"/>
      <c r="AB1654" s="62"/>
      <c r="AC1654" s="62"/>
    </row>
    <row r="1655" spans="22:29">
      <c r="V1655"/>
      <c r="W1655" s="62"/>
      <c r="X1655" s="62"/>
      <c r="Y1655" s="62"/>
      <c r="Z1655" s="62"/>
      <c r="AA1655" s="62"/>
      <c r="AB1655" s="62"/>
      <c r="AC1655" s="62"/>
    </row>
    <row r="1656" spans="22:29">
      <c r="V1656"/>
      <c r="W1656" s="62"/>
      <c r="X1656" s="62"/>
      <c r="Y1656" s="62"/>
      <c r="Z1656" s="62"/>
      <c r="AA1656" s="62"/>
      <c r="AB1656" s="62"/>
      <c r="AC1656" s="62"/>
    </row>
    <row r="1657" spans="22:29">
      <c r="V1657"/>
      <c r="W1657" s="62"/>
      <c r="X1657" s="62"/>
      <c r="Y1657" s="62"/>
      <c r="Z1657" s="62"/>
      <c r="AA1657" s="62"/>
      <c r="AB1657" s="62"/>
      <c r="AC1657" s="62"/>
    </row>
    <row r="1658" spans="22:29">
      <c r="V1658"/>
      <c r="W1658" s="62"/>
      <c r="X1658" s="62"/>
      <c r="Y1658" s="62"/>
      <c r="Z1658" s="62"/>
      <c r="AA1658" s="62"/>
      <c r="AB1658" s="62"/>
      <c r="AC1658" s="62"/>
    </row>
    <row r="1659" spans="22:29">
      <c r="V1659"/>
      <c r="W1659" s="62"/>
      <c r="X1659" s="62"/>
      <c r="Y1659" s="62"/>
      <c r="Z1659" s="62"/>
      <c r="AA1659" s="62"/>
      <c r="AB1659" s="62"/>
      <c r="AC1659" s="62"/>
    </row>
    <row r="1660" spans="22:29">
      <c r="V1660"/>
      <c r="W1660" s="62"/>
      <c r="X1660" s="62"/>
      <c r="Y1660" s="62"/>
      <c r="Z1660" s="62"/>
      <c r="AA1660" s="62"/>
      <c r="AB1660" s="62"/>
      <c r="AC1660" s="62"/>
    </row>
    <row r="1661" spans="22:29">
      <c r="V1661"/>
      <c r="W1661" s="62"/>
      <c r="X1661" s="62"/>
      <c r="Y1661" s="62"/>
      <c r="Z1661" s="62"/>
      <c r="AA1661" s="62"/>
      <c r="AB1661" s="62"/>
      <c r="AC1661" s="62"/>
    </row>
    <row r="1662" spans="22:29">
      <c r="V1662"/>
      <c r="W1662" s="62"/>
      <c r="X1662" s="62"/>
      <c r="Y1662" s="62"/>
      <c r="Z1662" s="62"/>
      <c r="AA1662" s="62"/>
      <c r="AB1662" s="62"/>
      <c r="AC1662" s="62"/>
    </row>
    <row r="1663" spans="22:29">
      <c r="V1663"/>
      <c r="W1663" s="62"/>
      <c r="X1663" s="62"/>
      <c r="Y1663" s="62"/>
      <c r="Z1663" s="62"/>
      <c r="AA1663" s="62"/>
      <c r="AB1663" s="62"/>
      <c r="AC1663" s="62"/>
    </row>
    <row r="1664" spans="22:29">
      <c r="V1664"/>
      <c r="W1664" s="62"/>
      <c r="X1664" s="62"/>
      <c r="Y1664" s="62"/>
      <c r="Z1664" s="62"/>
      <c r="AA1664" s="62"/>
      <c r="AB1664" s="62"/>
      <c r="AC1664" s="62"/>
    </row>
    <row r="1665" spans="22:29">
      <c r="V1665"/>
      <c r="W1665" s="62"/>
      <c r="X1665" s="62"/>
      <c r="Y1665" s="62"/>
      <c r="Z1665" s="62"/>
      <c r="AA1665" s="62"/>
      <c r="AB1665" s="62"/>
      <c r="AC1665" s="62"/>
    </row>
    <row r="1666" spans="22:29">
      <c r="V1666"/>
      <c r="W1666" s="62"/>
      <c r="X1666" s="62"/>
      <c r="Y1666" s="62"/>
      <c r="Z1666" s="62"/>
      <c r="AA1666" s="62"/>
      <c r="AB1666" s="62"/>
      <c r="AC1666" s="62"/>
    </row>
    <row r="1667" spans="22:29">
      <c r="V1667"/>
      <c r="W1667" s="62"/>
      <c r="X1667" s="62"/>
      <c r="Y1667" s="62"/>
      <c r="Z1667" s="62"/>
      <c r="AA1667" s="62"/>
      <c r="AB1667" s="62"/>
      <c r="AC1667" s="62"/>
    </row>
    <row r="1668" spans="22:29">
      <c r="V1668"/>
      <c r="W1668" s="62"/>
      <c r="X1668" s="62"/>
      <c r="Y1668" s="62"/>
      <c r="Z1668" s="62"/>
      <c r="AA1668" s="62"/>
      <c r="AB1668" s="62"/>
      <c r="AC1668" s="62"/>
    </row>
    <row r="1669" spans="22:29">
      <c r="V1669"/>
      <c r="W1669" s="62"/>
      <c r="X1669" s="62"/>
      <c r="Y1669" s="62"/>
      <c r="Z1669" s="62"/>
      <c r="AA1669" s="62"/>
      <c r="AB1669" s="62"/>
      <c r="AC1669" s="62"/>
    </row>
    <row r="1670" spans="22:29">
      <c r="V1670"/>
      <c r="W1670" s="62"/>
      <c r="X1670" s="62"/>
      <c r="Y1670" s="62"/>
      <c r="Z1670" s="62"/>
      <c r="AA1670" s="62"/>
      <c r="AB1670" s="62"/>
      <c r="AC1670" s="62"/>
    </row>
    <row r="1671" spans="22:29">
      <c r="V1671"/>
      <c r="W1671" s="62"/>
      <c r="X1671" s="62"/>
      <c r="Y1671" s="62"/>
      <c r="Z1671" s="62"/>
      <c r="AA1671" s="62"/>
      <c r="AB1671" s="62"/>
      <c r="AC1671" s="62"/>
    </row>
    <row r="1672" spans="22:29">
      <c r="V1672"/>
      <c r="W1672" s="62"/>
      <c r="X1672" s="62"/>
      <c r="Y1672" s="62"/>
      <c r="Z1672" s="62"/>
      <c r="AA1672" s="62"/>
      <c r="AB1672" s="62"/>
      <c r="AC1672" s="62"/>
    </row>
    <row r="1673" spans="22:29">
      <c r="V1673"/>
      <c r="W1673" s="62"/>
      <c r="X1673" s="62"/>
      <c r="Y1673" s="62"/>
      <c r="Z1673" s="62"/>
      <c r="AA1673" s="62"/>
      <c r="AB1673" s="62"/>
      <c r="AC1673" s="62"/>
    </row>
    <row r="1674" spans="22:29">
      <c r="V1674"/>
      <c r="W1674" s="62"/>
      <c r="X1674" s="62"/>
      <c r="Y1674" s="62"/>
      <c r="Z1674" s="62"/>
      <c r="AA1674" s="62"/>
      <c r="AB1674" s="62"/>
      <c r="AC1674" s="62"/>
    </row>
    <row r="1675" spans="22:29">
      <c r="V1675"/>
      <c r="W1675" s="62"/>
      <c r="X1675" s="62"/>
      <c r="Y1675" s="62"/>
      <c r="Z1675" s="62"/>
      <c r="AA1675" s="62"/>
      <c r="AB1675" s="62"/>
      <c r="AC1675" s="62"/>
    </row>
    <row r="1676" spans="22:29">
      <c r="V1676"/>
      <c r="W1676" s="62"/>
      <c r="X1676" s="62"/>
      <c r="Y1676" s="62"/>
      <c r="Z1676" s="62"/>
      <c r="AA1676" s="62"/>
      <c r="AB1676" s="62"/>
      <c r="AC1676" s="62"/>
    </row>
    <row r="1677" spans="22:29">
      <c r="V1677"/>
      <c r="W1677" s="62"/>
      <c r="X1677" s="62"/>
      <c r="Y1677" s="62"/>
      <c r="Z1677" s="62"/>
      <c r="AA1677" s="62"/>
      <c r="AB1677" s="62"/>
      <c r="AC1677" s="62"/>
    </row>
    <row r="1678" spans="22:29">
      <c r="V1678"/>
      <c r="W1678" s="62"/>
      <c r="X1678" s="62"/>
      <c r="Y1678" s="62"/>
      <c r="Z1678" s="62"/>
      <c r="AA1678" s="62"/>
      <c r="AB1678" s="62"/>
      <c r="AC1678" s="62"/>
    </row>
    <row r="1679" spans="22:29">
      <c r="V1679"/>
      <c r="W1679" s="62"/>
      <c r="X1679" s="62"/>
      <c r="Y1679" s="62"/>
      <c r="Z1679" s="62"/>
      <c r="AA1679" s="62"/>
      <c r="AB1679" s="62"/>
      <c r="AC1679" s="62"/>
    </row>
    <row r="1680" spans="22:29">
      <c r="V1680"/>
      <c r="W1680" s="62"/>
      <c r="X1680" s="62"/>
      <c r="Y1680" s="62"/>
      <c r="Z1680" s="62"/>
      <c r="AA1680" s="62"/>
      <c r="AB1680" s="62"/>
      <c r="AC1680" s="62"/>
    </row>
    <row r="1681" spans="22:29">
      <c r="V1681"/>
      <c r="W1681" s="62"/>
      <c r="X1681" s="62"/>
      <c r="Y1681" s="62"/>
      <c r="Z1681" s="62"/>
      <c r="AA1681" s="62"/>
      <c r="AB1681" s="62"/>
      <c r="AC1681" s="62"/>
    </row>
    <row r="1682" spans="22:29">
      <c r="V1682"/>
      <c r="W1682" s="62"/>
      <c r="X1682" s="62"/>
      <c r="Y1682" s="62"/>
      <c r="Z1682" s="62"/>
      <c r="AA1682" s="62"/>
      <c r="AB1682" s="62"/>
      <c r="AC1682" s="62"/>
    </row>
    <row r="1683" spans="22:29">
      <c r="V1683"/>
      <c r="W1683" s="62"/>
      <c r="X1683" s="62"/>
      <c r="Y1683" s="62"/>
      <c r="Z1683" s="62"/>
      <c r="AA1683" s="62"/>
      <c r="AB1683" s="62"/>
      <c r="AC1683" s="62"/>
    </row>
    <row r="1684" spans="22:29">
      <c r="V1684"/>
      <c r="W1684" s="62"/>
      <c r="X1684" s="62"/>
      <c r="Y1684" s="62"/>
      <c r="Z1684" s="62"/>
      <c r="AA1684" s="62"/>
      <c r="AB1684" s="62"/>
      <c r="AC1684" s="62"/>
    </row>
    <row r="1685" spans="22:29">
      <c r="V1685"/>
      <c r="W1685" s="62"/>
      <c r="X1685" s="62"/>
      <c r="Y1685" s="62"/>
      <c r="Z1685" s="62"/>
      <c r="AA1685" s="62"/>
      <c r="AB1685" s="62"/>
      <c r="AC1685" s="62"/>
    </row>
    <row r="1686" spans="22:29">
      <c r="V1686"/>
      <c r="W1686" s="62"/>
      <c r="X1686" s="62"/>
      <c r="Y1686" s="62"/>
      <c r="Z1686" s="62"/>
      <c r="AA1686" s="62"/>
      <c r="AB1686" s="62"/>
      <c r="AC1686" s="62"/>
    </row>
    <row r="1687" spans="22:29">
      <c r="V1687"/>
      <c r="W1687" s="62"/>
      <c r="X1687" s="62"/>
      <c r="Y1687" s="62"/>
      <c r="Z1687" s="62"/>
      <c r="AA1687" s="62"/>
      <c r="AB1687" s="62"/>
      <c r="AC1687" s="62"/>
    </row>
    <row r="1688" spans="22:29">
      <c r="V1688"/>
      <c r="W1688" s="62"/>
      <c r="X1688" s="62"/>
      <c r="Y1688" s="62"/>
      <c r="Z1688" s="62"/>
      <c r="AA1688" s="62"/>
      <c r="AB1688" s="62"/>
      <c r="AC1688" s="62"/>
    </row>
    <row r="1689" spans="22:29">
      <c r="V1689"/>
      <c r="W1689" s="62"/>
      <c r="X1689" s="62"/>
      <c r="Y1689" s="62"/>
      <c r="Z1689" s="62"/>
      <c r="AA1689" s="62"/>
      <c r="AB1689" s="62"/>
      <c r="AC1689" s="62"/>
    </row>
    <row r="1690" spans="22:29">
      <c r="V1690"/>
      <c r="W1690" s="62"/>
      <c r="X1690" s="62"/>
      <c r="Y1690" s="62"/>
      <c r="Z1690" s="62"/>
      <c r="AA1690" s="62"/>
      <c r="AB1690" s="62"/>
      <c r="AC1690" s="62"/>
    </row>
    <row r="1691" spans="22:29">
      <c r="V1691"/>
      <c r="W1691" s="62"/>
      <c r="X1691" s="62"/>
      <c r="Y1691" s="62"/>
      <c r="Z1691" s="62"/>
      <c r="AA1691" s="62"/>
      <c r="AB1691" s="62"/>
      <c r="AC1691" s="62"/>
    </row>
    <row r="1692" spans="22:29">
      <c r="V1692"/>
      <c r="W1692" s="62"/>
      <c r="X1692" s="62"/>
      <c r="Y1692" s="62"/>
      <c r="Z1692" s="62"/>
      <c r="AA1692" s="62"/>
      <c r="AB1692" s="62"/>
      <c r="AC1692" s="62"/>
    </row>
    <row r="1693" spans="22:29">
      <c r="V1693"/>
      <c r="W1693" s="62"/>
      <c r="X1693" s="62"/>
      <c r="Y1693" s="62"/>
      <c r="Z1693" s="62"/>
      <c r="AA1693" s="62"/>
      <c r="AB1693" s="62"/>
      <c r="AC1693" s="62"/>
    </row>
    <row r="1694" spans="22:29">
      <c r="V1694"/>
      <c r="W1694" s="62"/>
      <c r="X1694" s="62"/>
      <c r="Y1694" s="62"/>
      <c r="Z1694" s="62"/>
      <c r="AA1694" s="62"/>
      <c r="AB1694" s="62"/>
      <c r="AC1694" s="62"/>
    </row>
    <row r="1695" spans="22:29">
      <c r="V1695"/>
      <c r="W1695" s="62"/>
      <c r="X1695" s="62"/>
      <c r="Y1695" s="62"/>
      <c r="Z1695" s="62"/>
      <c r="AA1695" s="62"/>
      <c r="AB1695" s="62"/>
      <c r="AC1695" s="62"/>
    </row>
    <row r="1696" spans="22:29">
      <c r="V1696"/>
      <c r="W1696" s="62"/>
      <c r="X1696" s="62"/>
      <c r="Y1696" s="62"/>
      <c r="Z1696" s="62"/>
      <c r="AA1696" s="62"/>
      <c r="AB1696" s="62"/>
      <c r="AC1696" s="62"/>
    </row>
    <row r="1697" spans="22:29">
      <c r="V1697"/>
      <c r="W1697" s="62"/>
      <c r="X1697" s="62"/>
      <c r="Y1697" s="62"/>
      <c r="Z1697" s="62"/>
      <c r="AA1697" s="62"/>
      <c r="AB1697" s="62"/>
      <c r="AC1697" s="62"/>
    </row>
    <row r="1698" spans="22:29">
      <c r="V1698"/>
      <c r="W1698" s="62"/>
      <c r="X1698" s="62"/>
      <c r="Y1698" s="62"/>
      <c r="Z1698" s="62"/>
      <c r="AA1698" s="62"/>
      <c r="AB1698" s="62"/>
      <c r="AC1698" s="62"/>
    </row>
    <row r="1699" spans="22:29">
      <c r="V1699"/>
      <c r="W1699" s="62"/>
      <c r="X1699" s="62"/>
      <c r="Y1699" s="62"/>
      <c r="Z1699" s="62"/>
      <c r="AA1699" s="62"/>
      <c r="AB1699" s="62"/>
      <c r="AC1699" s="62"/>
    </row>
    <row r="1700" spans="22:29">
      <c r="V1700"/>
      <c r="W1700" s="62"/>
      <c r="X1700" s="62"/>
      <c r="Y1700" s="62"/>
      <c r="Z1700" s="62"/>
      <c r="AA1700" s="62"/>
      <c r="AB1700" s="62"/>
      <c r="AC1700" s="62"/>
    </row>
    <row r="1701" spans="22:29">
      <c r="V1701"/>
      <c r="W1701" s="62"/>
      <c r="X1701" s="62"/>
      <c r="Y1701" s="62"/>
      <c r="Z1701" s="62"/>
      <c r="AA1701" s="62"/>
      <c r="AB1701" s="62"/>
      <c r="AC1701" s="62"/>
    </row>
    <row r="1702" spans="22:29">
      <c r="V1702"/>
      <c r="W1702" s="62"/>
      <c r="X1702" s="62"/>
      <c r="Y1702" s="62"/>
      <c r="Z1702" s="62"/>
      <c r="AA1702" s="62"/>
      <c r="AB1702" s="62"/>
      <c r="AC1702" s="62"/>
    </row>
    <row r="1703" spans="22:29">
      <c r="V1703"/>
      <c r="W1703" s="62"/>
      <c r="X1703" s="62"/>
      <c r="Y1703" s="62"/>
      <c r="Z1703" s="62"/>
      <c r="AA1703" s="62"/>
      <c r="AB1703" s="62"/>
      <c r="AC1703" s="62"/>
    </row>
    <row r="1704" spans="22:29">
      <c r="V1704"/>
      <c r="W1704" s="62"/>
      <c r="X1704" s="62"/>
      <c r="Y1704" s="62"/>
      <c r="Z1704" s="62"/>
      <c r="AA1704" s="62"/>
      <c r="AB1704" s="62"/>
      <c r="AC1704" s="62"/>
    </row>
    <row r="1705" spans="22:29">
      <c r="V1705"/>
      <c r="W1705" s="62"/>
      <c r="X1705" s="62"/>
      <c r="Y1705" s="62"/>
      <c r="Z1705" s="62"/>
      <c r="AA1705" s="62"/>
      <c r="AB1705" s="62"/>
      <c r="AC1705" s="62"/>
    </row>
    <row r="1706" spans="22:29">
      <c r="V1706"/>
      <c r="W1706" s="62"/>
      <c r="X1706" s="62"/>
      <c r="Y1706" s="62"/>
      <c r="Z1706" s="62"/>
      <c r="AA1706" s="62"/>
      <c r="AB1706" s="62"/>
      <c r="AC1706" s="62"/>
    </row>
    <row r="1707" spans="22:29">
      <c r="V1707"/>
      <c r="W1707" s="62"/>
      <c r="X1707" s="62"/>
      <c r="Y1707" s="62"/>
      <c r="Z1707" s="62"/>
      <c r="AA1707" s="62"/>
      <c r="AB1707" s="62"/>
      <c r="AC1707" s="62"/>
    </row>
    <row r="1708" spans="22:29">
      <c r="V1708"/>
      <c r="W1708" s="62"/>
      <c r="X1708" s="62"/>
      <c r="Y1708" s="62"/>
      <c r="Z1708" s="62"/>
      <c r="AA1708" s="62"/>
      <c r="AB1708" s="62"/>
      <c r="AC1708" s="62"/>
    </row>
    <row r="1709" spans="22:29">
      <c r="V1709"/>
      <c r="W1709" s="62"/>
      <c r="X1709" s="62"/>
      <c r="Y1709" s="62"/>
      <c r="Z1709" s="62"/>
      <c r="AA1709" s="62"/>
      <c r="AB1709" s="62"/>
      <c r="AC1709" s="62"/>
    </row>
    <row r="1710" spans="22:29">
      <c r="V1710"/>
      <c r="W1710" s="62"/>
      <c r="X1710" s="62"/>
      <c r="Y1710" s="62"/>
      <c r="Z1710" s="62"/>
      <c r="AA1710" s="62"/>
      <c r="AB1710" s="62"/>
      <c r="AC1710" s="62"/>
    </row>
    <row r="1711" spans="22:29">
      <c r="V1711"/>
      <c r="W1711" s="62"/>
      <c r="X1711" s="62"/>
      <c r="Y1711" s="62"/>
      <c r="Z1711" s="62"/>
      <c r="AA1711" s="62"/>
      <c r="AB1711" s="62"/>
      <c r="AC1711" s="62"/>
    </row>
    <row r="1712" spans="22:29">
      <c r="V1712"/>
      <c r="W1712" s="62"/>
      <c r="X1712" s="62"/>
      <c r="Y1712" s="62"/>
      <c r="Z1712" s="62"/>
      <c r="AA1712" s="62"/>
      <c r="AB1712" s="62"/>
      <c r="AC1712" s="62"/>
    </row>
    <row r="1713" spans="22:29">
      <c r="V1713"/>
      <c r="W1713" s="62"/>
      <c r="X1713" s="62"/>
      <c r="Y1713" s="62"/>
      <c r="Z1713" s="62"/>
      <c r="AA1713" s="62"/>
      <c r="AB1713" s="62"/>
      <c r="AC1713" s="62"/>
    </row>
    <row r="1714" spans="22:29">
      <c r="V1714"/>
      <c r="W1714" s="62"/>
      <c r="X1714" s="62"/>
      <c r="Y1714" s="62"/>
      <c r="Z1714" s="62"/>
      <c r="AA1714" s="62"/>
      <c r="AB1714" s="62"/>
      <c r="AC1714" s="62"/>
    </row>
    <row r="1715" spans="22:29">
      <c r="V1715"/>
      <c r="W1715" s="62"/>
      <c r="X1715" s="62"/>
      <c r="Y1715" s="62"/>
      <c r="Z1715" s="62"/>
      <c r="AA1715" s="62"/>
      <c r="AB1715" s="62"/>
      <c r="AC1715" s="62"/>
    </row>
    <row r="1716" spans="22:29">
      <c r="V1716"/>
      <c r="W1716" s="62"/>
      <c r="X1716" s="62"/>
      <c r="Y1716" s="62"/>
      <c r="Z1716" s="62"/>
      <c r="AA1716" s="62"/>
      <c r="AB1716" s="62"/>
      <c r="AC1716" s="62"/>
    </row>
    <row r="1717" spans="22:29">
      <c r="V1717"/>
      <c r="W1717" s="62"/>
      <c r="X1717" s="62"/>
      <c r="Y1717" s="62"/>
      <c r="Z1717" s="62"/>
      <c r="AA1717" s="62"/>
      <c r="AB1717" s="62"/>
      <c r="AC1717" s="62"/>
    </row>
    <row r="1718" spans="22:29">
      <c r="V1718"/>
      <c r="W1718" s="62"/>
      <c r="X1718" s="62"/>
      <c r="Y1718" s="62"/>
      <c r="Z1718" s="62"/>
      <c r="AA1718" s="62"/>
      <c r="AB1718" s="62"/>
      <c r="AC1718" s="62"/>
    </row>
    <row r="1719" spans="22:29">
      <c r="V1719"/>
      <c r="W1719" s="62"/>
      <c r="X1719" s="62"/>
      <c r="Y1719" s="62"/>
      <c r="Z1719" s="62"/>
      <c r="AA1719" s="62"/>
      <c r="AB1719" s="62"/>
      <c r="AC1719" s="62"/>
    </row>
    <row r="1720" spans="22:29">
      <c r="V1720"/>
      <c r="W1720" s="62"/>
      <c r="X1720" s="62"/>
      <c r="Y1720" s="62"/>
      <c r="Z1720" s="62"/>
      <c r="AA1720" s="62"/>
      <c r="AB1720" s="62"/>
      <c r="AC1720" s="62"/>
    </row>
    <row r="1721" spans="22:29">
      <c r="V1721"/>
      <c r="W1721" s="62"/>
      <c r="X1721" s="62"/>
      <c r="Y1721" s="62"/>
      <c r="Z1721" s="62"/>
      <c r="AA1721" s="62"/>
      <c r="AB1721" s="62"/>
      <c r="AC1721" s="62"/>
    </row>
    <row r="1722" spans="22:29">
      <c r="V1722"/>
      <c r="W1722" s="62"/>
      <c r="X1722" s="62"/>
      <c r="Y1722" s="62"/>
      <c r="Z1722" s="62"/>
      <c r="AA1722" s="62"/>
      <c r="AB1722" s="62"/>
      <c r="AC1722" s="62"/>
    </row>
    <row r="1723" spans="22:29">
      <c r="V1723"/>
      <c r="W1723" s="62"/>
      <c r="X1723" s="62"/>
      <c r="Y1723" s="62"/>
      <c r="Z1723" s="62"/>
      <c r="AA1723" s="62"/>
      <c r="AB1723" s="62"/>
      <c r="AC1723" s="62"/>
    </row>
    <row r="1724" spans="22:29">
      <c r="V1724"/>
      <c r="W1724" s="62"/>
      <c r="X1724" s="62"/>
      <c r="Y1724" s="62"/>
      <c r="Z1724" s="62"/>
      <c r="AA1724" s="62"/>
      <c r="AB1724" s="62"/>
      <c r="AC1724" s="62"/>
    </row>
    <row r="1725" spans="22:29">
      <c r="V1725"/>
      <c r="W1725" s="62"/>
      <c r="X1725" s="62"/>
      <c r="Y1725" s="62"/>
      <c r="Z1725" s="62"/>
      <c r="AA1725" s="62"/>
      <c r="AB1725" s="62"/>
      <c r="AC1725" s="62"/>
    </row>
    <row r="1726" spans="22:29">
      <c r="V1726"/>
      <c r="W1726" s="62"/>
      <c r="X1726" s="62"/>
      <c r="Y1726" s="62"/>
      <c r="Z1726" s="62"/>
      <c r="AA1726" s="62"/>
      <c r="AB1726" s="62"/>
      <c r="AC1726" s="62"/>
    </row>
    <row r="1727" spans="22:29">
      <c r="V1727"/>
      <c r="W1727" s="62"/>
      <c r="X1727" s="62"/>
      <c r="Y1727" s="62"/>
      <c r="Z1727" s="62"/>
      <c r="AA1727" s="62"/>
      <c r="AB1727" s="62"/>
      <c r="AC1727" s="62"/>
    </row>
    <row r="1728" spans="22:29">
      <c r="V1728"/>
      <c r="W1728" s="62"/>
      <c r="X1728" s="62"/>
      <c r="Y1728" s="62"/>
      <c r="Z1728" s="62"/>
      <c r="AA1728" s="62"/>
      <c r="AB1728" s="62"/>
      <c r="AC1728" s="62"/>
    </row>
    <row r="1729" spans="22:29">
      <c r="V1729"/>
      <c r="W1729" s="62"/>
      <c r="X1729" s="62"/>
      <c r="Y1729" s="62"/>
      <c r="Z1729" s="62"/>
      <c r="AA1729" s="62"/>
      <c r="AB1729" s="62"/>
      <c r="AC1729" s="62"/>
    </row>
    <row r="1730" spans="22:29">
      <c r="V1730"/>
      <c r="W1730" s="62"/>
      <c r="X1730" s="62"/>
      <c r="Y1730" s="62"/>
      <c r="Z1730" s="62"/>
      <c r="AA1730" s="62"/>
      <c r="AB1730" s="62"/>
      <c r="AC1730" s="62"/>
    </row>
    <row r="1731" spans="22:29">
      <c r="V1731"/>
      <c r="W1731" s="62"/>
      <c r="X1731" s="62"/>
      <c r="Y1731" s="62"/>
      <c r="Z1731" s="62"/>
      <c r="AA1731" s="62"/>
      <c r="AB1731" s="62"/>
      <c r="AC1731" s="62"/>
    </row>
    <row r="1732" spans="22:29">
      <c r="V1732"/>
      <c r="W1732" s="62"/>
      <c r="X1732" s="62"/>
      <c r="Y1732" s="62"/>
      <c r="Z1732" s="62"/>
      <c r="AA1732" s="62"/>
      <c r="AB1732" s="62"/>
      <c r="AC1732" s="62"/>
    </row>
    <row r="1733" spans="22:29">
      <c r="V1733"/>
      <c r="W1733" s="62"/>
      <c r="X1733" s="62"/>
      <c r="Y1733" s="62"/>
      <c r="Z1733" s="62"/>
      <c r="AA1733" s="62"/>
      <c r="AB1733" s="62"/>
      <c r="AC1733" s="62"/>
    </row>
    <row r="1734" spans="22:29">
      <c r="V1734"/>
      <c r="W1734" s="62"/>
      <c r="X1734" s="62"/>
      <c r="Y1734" s="62"/>
      <c r="Z1734" s="62"/>
      <c r="AA1734" s="62"/>
      <c r="AB1734" s="62"/>
      <c r="AC1734" s="62"/>
    </row>
    <row r="1735" spans="22:29">
      <c r="V1735"/>
      <c r="W1735" s="62"/>
      <c r="X1735" s="62"/>
      <c r="Y1735" s="62"/>
      <c r="Z1735" s="62"/>
      <c r="AA1735" s="62"/>
      <c r="AB1735" s="62"/>
      <c r="AC1735" s="62"/>
    </row>
    <row r="1736" spans="22:29">
      <c r="V1736"/>
      <c r="W1736" s="62"/>
      <c r="X1736" s="62"/>
      <c r="Y1736" s="62"/>
      <c r="Z1736" s="62"/>
      <c r="AA1736" s="62"/>
      <c r="AB1736" s="62"/>
      <c r="AC1736" s="62"/>
    </row>
    <row r="1737" spans="22:29">
      <c r="V1737"/>
      <c r="W1737" s="62"/>
      <c r="X1737" s="62"/>
      <c r="Y1737" s="62"/>
      <c r="Z1737" s="62"/>
      <c r="AA1737" s="62"/>
      <c r="AB1737" s="62"/>
      <c r="AC1737" s="62"/>
    </row>
    <row r="1738" spans="22:29">
      <c r="V1738"/>
      <c r="W1738" s="62"/>
      <c r="X1738" s="62"/>
      <c r="Y1738" s="62"/>
      <c r="Z1738" s="62"/>
      <c r="AA1738" s="62"/>
      <c r="AB1738" s="62"/>
      <c r="AC1738" s="62"/>
    </row>
    <row r="1739" spans="22:29">
      <c r="V1739"/>
      <c r="W1739" s="62"/>
      <c r="X1739" s="62"/>
      <c r="Y1739" s="62"/>
      <c r="Z1739" s="62"/>
      <c r="AA1739" s="62"/>
      <c r="AB1739" s="62"/>
      <c r="AC1739" s="62"/>
    </row>
    <row r="1740" spans="22:29">
      <c r="V1740"/>
      <c r="W1740" s="62"/>
      <c r="X1740" s="62"/>
      <c r="Y1740" s="62"/>
      <c r="Z1740" s="62"/>
      <c r="AA1740" s="62"/>
      <c r="AB1740" s="62"/>
      <c r="AC1740" s="62"/>
    </row>
    <row r="1741" spans="22:29">
      <c r="V1741"/>
      <c r="W1741" s="62"/>
      <c r="X1741" s="62"/>
      <c r="Y1741" s="62"/>
      <c r="Z1741" s="62"/>
      <c r="AA1741" s="62"/>
      <c r="AB1741" s="62"/>
      <c r="AC1741" s="62"/>
    </row>
    <row r="1742" spans="22:29">
      <c r="V1742"/>
      <c r="W1742" s="62"/>
      <c r="X1742" s="62"/>
      <c r="Y1742" s="62"/>
      <c r="Z1742" s="62"/>
      <c r="AA1742" s="62"/>
      <c r="AB1742" s="62"/>
      <c r="AC1742" s="62"/>
    </row>
    <row r="1743" spans="22:29">
      <c r="V1743"/>
      <c r="W1743" s="62"/>
      <c r="X1743" s="62"/>
      <c r="Y1743" s="62"/>
      <c r="Z1743" s="62"/>
      <c r="AA1743" s="62"/>
      <c r="AB1743" s="62"/>
      <c r="AC1743" s="62"/>
    </row>
    <row r="1744" spans="22:29">
      <c r="V1744"/>
      <c r="W1744" s="62"/>
      <c r="X1744" s="62"/>
      <c r="Y1744" s="62"/>
      <c r="Z1744" s="62"/>
      <c r="AA1744" s="62"/>
      <c r="AB1744" s="62"/>
      <c r="AC1744" s="62"/>
    </row>
    <row r="1745" spans="22:29">
      <c r="V1745"/>
      <c r="W1745" s="62"/>
      <c r="X1745" s="62"/>
      <c r="Y1745" s="62"/>
      <c r="Z1745" s="62"/>
      <c r="AA1745" s="62"/>
      <c r="AB1745" s="62"/>
      <c r="AC1745" s="62"/>
    </row>
    <row r="1746" spans="22:29">
      <c r="V1746"/>
      <c r="W1746" s="62"/>
      <c r="X1746" s="62"/>
      <c r="Y1746" s="62"/>
      <c r="Z1746" s="62"/>
      <c r="AA1746" s="62"/>
      <c r="AB1746" s="62"/>
      <c r="AC1746" s="62"/>
    </row>
    <row r="1747" spans="22:29">
      <c r="V1747"/>
      <c r="W1747" s="62"/>
      <c r="X1747" s="62"/>
      <c r="Y1747" s="62"/>
      <c r="Z1747" s="62"/>
      <c r="AA1747" s="62"/>
      <c r="AB1747" s="62"/>
      <c r="AC1747" s="62"/>
    </row>
    <row r="1748" spans="22:29">
      <c r="V1748"/>
      <c r="W1748" s="62"/>
      <c r="X1748" s="62"/>
      <c r="Y1748" s="62"/>
      <c r="Z1748" s="62"/>
      <c r="AA1748" s="62"/>
      <c r="AB1748" s="62"/>
      <c r="AC1748" s="62"/>
    </row>
    <row r="1749" spans="22:29">
      <c r="V1749"/>
      <c r="W1749" s="62"/>
      <c r="X1749" s="62"/>
      <c r="Y1749" s="62"/>
      <c r="Z1749" s="62"/>
      <c r="AA1749" s="62"/>
      <c r="AB1749" s="62"/>
      <c r="AC1749" s="62"/>
    </row>
    <row r="1750" spans="22:29">
      <c r="V1750"/>
      <c r="W1750" s="62"/>
      <c r="X1750" s="62"/>
      <c r="Y1750" s="62"/>
      <c r="Z1750" s="62"/>
      <c r="AA1750" s="62"/>
      <c r="AB1750" s="62"/>
      <c r="AC1750" s="62"/>
    </row>
    <row r="1751" spans="22:29">
      <c r="V1751"/>
      <c r="W1751" s="62"/>
      <c r="X1751" s="62"/>
      <c r="Y1751" s="62"/>
      <c r="Z1751" s="62"/>
      <c r="AA1751" s="62"/>
      <c r="AB1751" s="62"/>
      <c r="AC1751" s="62"/>
    </row>
    <row r="1752" spans="22:29">
      <c r="V1752"/>
      <c r="W1752" s="62"/>
      <c r="X1752" s="62"/>
      <c r="Y1752" s="62"/>
      <c r="Z1752" s="62"/>
      <c r="AA1752" s="62"/>
      <c r="AB1752" s="62"/>
      <c r="AC1752" s="62"/>
    </row>
    <row r="1753" spans="22:29">
      <c r="V1753"/>
      <c r="W1753" s="62"/>
      <c r="X1753" s="62"/>
      <c r="Y1753" s="62"/>
      <c r="Z1753" s="62"/>
      <c r="AA1753" s="62"/>
      <c r="AB1753" s="62"/>
      <c r="AC1753" s="62"/>
    </row>
    <row r="1754" spans="22:29">
      <c r="V1754"/>
      <c r="W1754" s="62"/>
      <c r="X1754" s="62"/>
      <c r="Y1754" s="62"/>
      <c r="Z1754" s="62"/>
      <c r="AA1754" s="62"/>
      <c r="AB1754" s="62"/>
      <c r="AC1754" s="62"/>
    </row>
    <row r="1755" spans="22:29">
      <c r="V1755"/>
      <c r="W1755" s="62"/>
      <c r="X1755" s="62"/>
      <c r="Y1755" s="62"/>
      <c r="Z1755" s="62"/>
      <c r="AA1755" s="62"/>
      <c r="AB1755" s="62"/>
      <c r="AC1755" s="62"/>
    </row>
    <row r="1756" spans="22:29">
      <c r="V1756"/>
      <c r="W1756" s="62"/>
      <c r="X1756" s="62"/>
      <c r="Y1756" s="62"/>
      <c r="Z1756" s="62"/>
      <c r="AA1756" s="62"/>
      <c r="AB1756" s="62"/>
      <c r="AC1756" s="62"/>
    </row>
    <row r="1757" spans="22:29">
      <c r="V1757"/>
      <c r="W1757" s="62"/>
      <c r="X1757" s="62"/>
      <c r="Y1757" s="62"/>
      <c r="Z1757" s="62"/>
      <c r="AA1757" s="62"/>
      <c r="AB1757" s="62"/>
      <c r="AC1757" s="62"/>
    </row>
    <row r="1758" spans="22:29">
      <c r="V1758"/>
      <c r="W1758" s="62"/>
      <c r="X1758" s="62"/>
      <c r="Y1758" s="62"/>
      <c r="Z1758" s="62"/>
      <c r="AA1758" s="62"/>
      <c r="AB1758" s="62"/>
      <c r="AC1758" s="62"/>
    </row>
    <row r="1759" spans="22:29">
      <c r="V1759"/>
      <c r="W1759" s="62"/>
      <c r="X1759" s="62"/>
      <c r="Y1759" s="62"/>
      <c r="Z1759" s="62"/>
      <c r="AA1759" s="62"/>
      <c r="AB1759" s="62"/>
      <c r="AC1759" s="62"/>
    </row>
    <row r="1760" spans="22:29">
      <c r="V1760"/>
      <c r="W1760" s="62"/>
      <c r="X1760" s="62"/>
      <c r="Y1760" s="62"/>
      <c r="Z1760" s="62"/>
      <c r="AA1760" s="62"/>
      <c r="AB1760" s="62"/>
      <c r="AC1760" s="62"/>
    </row>
    <row r="1761" spans="22:29">
      <c r="V1761"/>
      <c r="W1761" s="62"/>
      <c r="X1761" s="62"/>
      <c r="Y1761" s="62"/>
      <c r="Z1761" s="62"/>
      <c r="AA1761" s="62"/>
      <c r="AB1761" s="62"/>
      <c r="AC1761" s="62"/>
    </row>
    <row r="1762" spans="22:29">
      <c r="V1762"/>
      <c r="W1762" s="62"/>
      <c r="X1762" s="62"/>
      <c r="Y1762" s="62"/>
      <c r="Z1762" s="62"/>
      <c r="AA1762" s="62"/>
      <c r="AB1762" s="62"/>
      <c r="AC1762" s="62"/>
    </row>
    <row r="1763" spans="22:29">
      <c r="V1763"/>
      <c r="W1763" s="62"/>
      <c r="X1763" s="62"/>
      <c r="Y1763" s="62"/>
      <c r="Z1763" s="62"/>
      <c r="AA1763" s="62"/>
      <c r="AB1763" s="62"/>
      <c r="AC1763" s="62"/>
    </row>
    <row r="1764" spans="22:29">
      <c r="V1764"/>
      <c r="W1764" s="62"/>
      <c r="X1764" s="62"/>
      <c r="Y1764" s="62"/>
      <c r="Z1764" s="62"/>
      <c r="AA1764" s="62"/>
      <c r="AB1764" s="62"/>
      <c r="AC1764" s="62"/>
    </row>
    <row r="1765" spans="22:29">
      <c r="V1765"/>
      <c r="W1765" s="62"/>
      <c r="X1765" s="62"/>
      <c r="Y1765" s="62"/>
      <c r="Z1765" s="62"/>
      <c r="AA1765" s="62"/>
      <c r="AB1765" s="62"/>
      <c r="AC1765" s="62"/>
    </row>
    <row r="1766" spans="22:29">
      <c r="V1766"/>
      <c r="W1766" s="62"/>
      <c r="X1766" s="62"/>
      <c r="Y1766" s="62"/>
      <c r="Z1766" s="62"/>
      <c r="AA1766" s="62"/>
      <c r="AB1766" s="62"/>
      <c r="AC1766" s="62"/>
    </row>
    <row r="1767" spans="22:29">
      <c r="V1767"/>
      <c r="W1767" s="62"/>
      <c r="X1767" s="62"/>
      <c r="Y1767" s="62"/>
      <c r="Z1767" s="62"/>
      <c r="AA1767" s="62"/>
      <c r="AB1767" s="62"/>
      <c r="AC1767" s="62"/>
    </row>
    <row r="1768" spans="22:29">
      <c r="V1768"/>
      <c r="W1768" s="62"/>
      <c r="X1768" s="62"/>
      <c r="Y1768" s="62"/>
      <c r="Z1768" s="62"/>
      <c r="AA1768" s="62"/>
      <c r="AB1768" s="62"/>
      <c r="AC1768" s="62"/>
    </row>
    <row r="1769" spans="22:29">
      <c r="V1769"/>
      <c r="W1769" s="62"/>
      <c r="X1769" s="62"/>
      <c r="Y1769" s="62"/>
      <c r="Z1769" s="62"/>
      <c r="AA1769" s="62"/>
      <c r="AB1769" s="62"/>
      <c r="AC1769" s="62"/>
    </row>
    <row r="1770" spans="22:29">
      <c r="V1770"/>
      <c r="W1770" s="62"/>
      <c r="X1770" s="62"/>
      <c r="Y1770" s="62"/>
      <c r="Z1770" s="62"/>
      <c r="AA1770" s="62"/>
      <c r="AB1770" s="62"/>
      <c r="AC1770" s="62"/>
    </row>
    <row r="1771" spans="22:29">
      <c r="V1771"/>
      <c r="W1771" s="62"/>
      <c r="X1771" s="62"/>
      <c r="Y1771" s="62"/>
      <c r="Z1771" s="62"/>
      <c r="AA1771" s="62"/>
      <c r="AB1771" s="62"/>
      <c r="AC1771" s="62"/>
    </row>
    <row r="1772" spans="22:29">
      <c r="V1772"/>
      <c r="W1772" s="62"/>
      <c r="X1772" s="62"/>
      <c r="Y1772" s="62"/>
      <c r="Z1772" s="62"/>
      <c r="AA1772" s="62"/>
      <c r="AB1772" s="62"/>
      <c r="AC1772" s="62"/>
    </row>
    <row r="1773" spans="22:29">
      <c r="V1773"/>
      <c r="W1773" s="62"/>
      <c r="X1773" s="62"/>
      <c r="Y1773" s="62"/>
      <c r="Z1773" s="62"/>
      <c r="AA1773" s="62"/>
      <c r="AB1773" s="62"/>
      <c r="AC1773" s="62"/>
    </row>
    <row r="1774" spans="22:29">
      <c r="V1774"/>
      <c r="W1774" s="62"/>
      <c r="X1774" s="62"/>
      <c r="Y1774" s="62"/>
      <c r="Z1774" s="62"/>
      <c r="AA1774" s="62"/>
      <c r="AB1774" s="62"/>
      <c r="AC1774" s="62"/>
    </row>
    <row r="1775" spans="22:29">
      <c r="V1775"/>
      <c r="W1775" s="62"/>
      <c r="X1775" s="62"/>
      <c r="Y1775" s="62"/>
      <c r="Z1775" s="62"/>
      <c r="AA1775" s="62"/>
      <c r="AB1775" s="62"/>
      <c r="AC1775" s="62"/>
    </row>
    <row r="1776" spans="22:29">
      <c r="V1776"/>
      <c r="W1776" s="62"/>
      <c r="X1776" s="62"/>
      <c r="Y1776" s="62"/>
      <c r="Z1776" s="62"/>
      <c r="AA1776" s="62"/>
      <c r="AB1776" s="62"/>
      <c r="AC1776" s="62"/>
    </row>
    <row r="1777" spans="22:29">
      <c r="V1777"/>
      <c r="W1777" s="62"/>
      <c r="X1777" s="62"/>
      <c r="Y1777" s="62"/>
      <c r="Z1777" s="62"/>
      <c r="AA1777" s="62"/>
      <c r="AB1777" s="62"/>
      <c r="AC1777" s="62"/>
    </row>
    <row r="1778" spans="22:29">
      <c r="V1778"/>
      <c r="W1778" s="62"/>
      <c r="X1778" s="62"/>
      <c r="Y1778" s="62"/>
      <c r="Z1778" s="62"/>
      <c r="AA1778" s="62"/>
      <c r="AB1778" s="62"/>
      <c r="AC1778" s="62"/>
    </row>
    <row r="1779" spans="22:29">
      <c r="V1779"/>
      <c r="W1779" s="62"/>
      <c r="X1779" s="62"/>
      <c r="Y1779" s="62"/>
      <c r="Z1779" s="62"/>
      <c r="AA1779" s="62"/>
      <c r="AB1779" s="62"/>
      <c r="AC1779" s="62"/>
    </row>
    <row r="1780" spans="22:29">
      <c r="V1780"/>
      <c r="W1780" s="62"/>
      <c r="X1780" s="62"/>
      <c r="Y1780" s="62"/>
      <c r="Z1780" s="62"/>
      <c r="AA1780" s="62"/>
      <c r="AB1780" s="62"/>
      <c r="AC1780" s="62"/>
    </row>
    <row r="1781" spans="22:29">
      <c r="V1781"/>
      <c r="W1781" s="62"/>
      <c r="X1781" s="62"/>
      <c r="Y1781" s="62"/>
      <c r="Z1781" s="62"/>
      <c r="AA1781" s="62"/>
      <c r="AB1781" s="62"/>
      <c r="AC1781" s="62"/>
    </row>
    <row r="1782" spans="22:29">
      <c r="V1782"/>
      <c r="W1782" s="62"/>
      <c r="X1782" s="62"/>
      <c r="Y1782" s="62"/>
      <c r="Z1782" s="62"/>
      <c r="AA1782" s="62"/>
      <c r="AB1782" s="62"/>
      <c r="AC1782" s="62"/>
    </row>
    <row r="1783" spans="22:29">
      <c r="V1783"/>
      <c r="W1783" s="62"/>
      <c r="X1783" s="62"/>
      <c r="Y1783" s="62"/>
      <c r="Z1783" s="62"/>
      <c r="AA1783" s="62"/>
      <c r="AB1783" s="62"/>
      <c r="AC1783" s="62"/>
    </row>
    <row r="1784" spans="22:29">
      <c r="V1784"/>
      <c r="W1784" s="62"/>
      <c r="X1784" s="62"/>
      <c r="Y1784" s="62"/>
      <c r="Z1784" s="62"/>
      <c r="AA1784" s="62"/>
      <c r="AB1784" s="62"/>
      <c r="AC1784" s="62"/>
    </row>
    <row r="1785" spans="22:29">
      <c r="V1785"/>
      <c r="W1785" s="62"/>
      <c r="X1785" s="62"/>
      <c r="Y1785" s="62"/>
      <c r="Z1785" s="62"/>
      <c r="AA1785" s="62"/>
      <c r="AB1785" s="62"/>
      <c r="AC1785" s="62"/>
    </row>
    <row r="1786" spans="22:29">
      <c r="V1786"/>
      <c r="W1786" s="62"/>
      <c r="X1786" s="62"/>
      <c r="Y1786" s="62"/>
      <c r="Z1786" s="62"/>
      <c r="AA1786" s="62"/>
      <c r="AB1786" s="62"/>
      <c r="AC1786" s="62"/>
    </row>
    <row r="1787" spans="22:29">
      <c r="V1787"/>
      <c r="W1787" s="62"/>
      <c r="X1787" s="62"/>
      <c r="Y1787" s="62"/>
      <c r="Z1787" s="62"/>
      <c r="AA1787" s="62"/>
      <c r="AB1787" s="62"/>
      <c r="AC1787" s="62"/>
    </row>
    <row r="1788" spans="22:29">
      <c r="V1788"/>
      <c r="W1788" s="62"/>
      <c r="X1788" s="62"/>
      <c r="Y1788" s="62"/>
      <c r="Z1788" s="62"/>
      <c r="AA1788" s="62"/>
      <c r="AB1788" s="62"/>
      <c r="AC1788" s="62"/>
    </row>
    <row r="1789" spans="22:29">
      <c r="V1789"/>
      <c r="W1789" s="62"/>
      <c r="X1789" s="62"/>
      <c r="Y1789" s="62"/>
      <c r="Z1789" s="62"/>
      <c r="AA1789" s="62"/>
      <c r="AB1789" s="62"/>
      <c r="AC1789" s="62"/>
    </row>
    <row r="1790" spans="22:29">
      <c r="V1790"/>
      <c r="W1790" s="62"/>
      <c r="X1790" s="62"/>
      <c r="Y1790" s="62"/>
      <c r="Z1790" s="62"/>
      <c r="AA1790" s="62"/>
      <c r="AB1790" s="62"/>
      <c r="AC1790" s="62"/>
    </row>
    <row r="1791" spans="22:29">
      <c r="V1791"/>
      <c r="W1791" s="62"/>
      <c r="X1791" s="62"/>
      <c r="Y1791" s="62"/>
      <c r="Z1791" s="62"/>
      <c r="AA1791" s="62"/>
      <c r="AB1791" s="62"/>
      <c r="AC1791" s="62"/>
    </row>
    <row r="1792" spans="22:29">
      <c r="V1792"/>
      <c r="W1792" s="62"/>
      <c r="X1792" s="62"/>
      <c r="Y1792" s="62"/>
      <c r="Z1792" s="62"/>
      <c r="AA1792" s="62"/>
      <c r="AB1792" s="62"/>
      <c r="AC1792" s="62"/>
    </row>
    <row r="1793" spans="22:29">
      <c r="V1793"/>
      <c r="W1793" s="62"/>
      <c r="X1793" s="62"/>
      <c r="Y1793" s="62"/>
      <c r="Z1793" s="62"/>
      <c r="AA1793" s="62"/>
      <c r="AB1793" s="62"/>
      <c r="AC1793" s="62"/>
    </row>
    <row r="1794" spans="22:29">
      <c r="V1794"/>
      <c r="W1794" s="62"/>
      <c r="X1794" s="62"/>
      <c r="Y1794" s="62"/>
      <c r="Z1794" s="62"/>
      <c r="AA1794" s="62"/>
      <c r="AB1794" s="62"/>
      <c r="AC1794" s="62"/>
    </row>
    <row r="1795" spans="22:29">
      <c r="V1795"/>
      <c r="W1795" s="62"/>
      <c r="X1795" s="62"/>
      <c r="Y1795" s="62"/>
      <c r="Z1795" s="62"/>
      <c r="AA1795" s="62"/>
      <c r="AB1795" s="62"/>
      <c r="AC1795" s="62"/>
    </row>
    <row r="1796" spans="22:29">
      <c r="V1796"/>
      <c r="W1796" s="62"/>
      <c r="X1796" s="62"/>
      <c r="Y1796" s="62"/>
      <c r="Z1796" s="62"/>
      <c r="AA1796" s="62"/>
      <c r="AB1796" s="62"/>
      <c r="AC1796" s="62"/>
    </row>
    <row r="1797" spans="22:29">
      <c r="V1797"/>
      <c r="W1797" s="62"/>
      <c r="X1797" s="62"/>
      <c r="Y1797" s="62"/>
      <c r="Z1797" s="62"/>
      <c r="AA1797" s="62"/>
      <c r="AB1797" s="62"/>
      <c r="AC1797" s="62"/>
    </row>
    <row r="1798" spans="22:29">
      <c r="V1798"/>
      <c r="W1798" s="62"/>
      <c r="X1798" s="62"/>
      <c r="Y1798" s="62"/>
      <c r="Z1798" s="62"/>
      <c r="AA1798" s="62"/>
      <c r="AB1798" s="62"/>
      <c r="AC1798" s="62"/>
    </row>
    <row r="1799" spans="22:29">
      <c r="V1799"/>
      <c r="W1799" s="62"/>
      <c r="X1799" s="62"/>
      <c r="Y1799" s="62"/>
      <c r="Z1799" s="62"/>
      <c r="AA1799" s="62"/>
      <c r="AB1799" s="62"/>
      <c r="AC1799" s="62"/>
    </row>
    <row r="1800" spans="22:29">
      <c r="V1800"/>
      <c r="W1800" s="62"/>
      <c r="X1800" s="62"/>
      <c r="Y1800" s="62"/>
      <c r="Z1800" s="62"/>
      <c r="AA1800" s="62"/>
      <c r="AB1800" s="62"/>
      <c r="AC1800" s="62"/>
    </row>
    <row r="1801" spans="22:29">
      <c r="V1801"/>
      <c r="W1801" s="62"/>
      <c r="X1801" s="62"/>
      <c r="Y1801" s="62"/>
      <c r="Z1801" s="62"/>
      <c r="AA1801" s="62"/>
      <c r="AB1801" s="62"/>
      <c r="AC1801" s="62"/>
    </row>
    <row r="1802" spans="22:29">
      <c r="V1802"/>
      <c r="W1802" s="62"/>
      <c r="X1802" s="62"/>
      <c r="Y1802" s="62"/>
      <c r="Z1802" s="62"/>
      <c r="AA1802" s="62"/>
      <c r="AB1802" s="62"/>
      <c r="AC1802" s="62"/>
    </row>
    <row r="1803" spans="22:29">
      <c r="V1803"/>
      <c r="W1803" s="62"/>
      <c r="X1803" s="62"/>
      <c r="Y1803" s="62"/>
      <c r="Z1803" s="62"/>
      <c r="AA1803" s="62"/>
      <c r="AB1803" s="62"/>
      <c r="AC1803" s="62"/>
    </row>
    <row r="1804" spans="22:29">
      <c r="V1804"/>
      <c r="W1804" s="62"/>
      <c r="X1804" s="62"/>
      <c r="Y1804" s="62"/>
      <c r="Z1804" s="62"/>
      <c r="AA1804" s="62"/>
      <c r="AB1804" s="62"/>
      <c r="AC1804" s="62"/>
    </row>
    <row r="1805" spans="22:29">
      <c r="V1805"/>
      <c r="W1805" s="62"/>
      <c r="X1805" s="62"/>
      <c r="Y1805" s="62"/>
      <c r="Z1805" s="62"/>
      <c r="AA1805" s="62"/>
      <c r="AB1805" s="62"/>
      <c r="AC1805" s="62"/>
    </row>
    <row r="1806" spans="22:29">
      <c r="V1806"/>
      <c r="W1806" s="62"/>
      <c r="X1806" s="62"/>
      <c r="Y1806" s="62"/>
      <c r="Z1806" s="62"/>
      <c r="AA1806" s="62"/>
      <c r="AB1806" s="62"/>
      <c r="AC1806" s="62"/>
    </row>
    <row r="1807" spans="22:29">
      <c r="V1807"/>
      <c r="W1807" s="62"/>
      <c r="X1807" s="62"/>
      <c r="Y1807" s="62"/>
      <c r="Z1807" s="62"/>
      <c r="AA1807" s="62"/>
      <c r="AB1807" s="62"/>
      <c r="AC1807" s="62"/>
    </row>
    <row r="1808" spans="22:29">
      <c r="V1808"/>
      <c r="W1808" s="62"/>
      <c r="X1808" s="62"/>
      <c r="Y1808" s="62"/>
      <c r="Z1808" s="62"/>
      <c r="AA1808" s="62"/>
      <c r="AB1808" s="62"/>
      <c r="AC1808" s="62"/>
    </row>
    <row r="1809" spans="22:29">
      <c r="V1809"/>
      <c r="W1809" s="62"/>
      <c r="X1809" s="62"/>
      <c r="Y1809" s="62"/>
      <c r="Z1809" s="62"/>
      <c r="AA1809" s="62"/>
      <c r="AB1809" s="62"/>
      <c r="AC1809" s="62"/>
    </row>
    <row r="1810" spans="22:29">
      <c r="V1810"/>
      <c r="W1810" s="62"/>
      <c r="X1810" s="62"/>
      <c r="Y1810" s="62"/>
      <c r="Z1810" s="62"/>
      <c r="AA1810" s="62"/>
      <c r="AB1810" s="62"/>
      <c r="AC1810" s="62"/>
    </row>
    <row r="1811" spans="22:29">
      <c r="V1811"/>
      <c r="W1811" s="62"/>
      <c r="X1811" s="62"/>
      <c r="Y1811" s="62"/>
      <c r="Z1811" s="62"/>
      <c r="AA1811" s="62"/>
      <c r="AB1811" s="62"/>
      <c r="AC1811" s="62"/>
    </row>
    <row r="1812" spans="22:29">
      <c r="V1812"/>
      <c r="W1812" s="62"/>
      <c r="X1812" s="62"/>
      <c r="Y1812" s="62"/>
      <c r="Z1812" s="62"/>
      <c r="AA1812" s="62"/>
      <c r="AB1812" s="62"/>
      <c r="AC1812" s="62"/>
    </row>
    <row r="1813" spans="22:29">
      <c r="V1813"/>
      <c r="W1813" s="62"/>
      <c r="X1813" s="62"/>
      <c r="Y1813" s="62"/>
      <c r="Z1813" s="62"/>
      <c r="AA1813" s="62"/>
      <c r="AB1813" s="62"/>
      <c r="AC1813" s="62"/>
    </row>
    <row r="1814" spans="22:29">
      <c r="V1814"/>
      <c r="W1814" s="62"/>
      <c r="X1814" s="62"/>
      <c r="Y1814" s="62"/>
      <c r="Z1814" s="62"/>
      <c r="AA1814" s="62"/>
      <c r="AB1814" s="62"/>
      <c r="AC1814" s="62"/>
    </row>
    <row r="1815" spans="22:29">
      <c r="V1815"/>
      <c r="W1815" s="62"/>
      <c r="X1815" s="62"/>
      <c r="Y1815" s="62"/>
      <c r="Z1815" s="62"/>
      <c r="AA1815" s="62"/>
      <c r="AB1815" s="62"/>
      <c r="AC1815" s="62"/>
    </row>
    <row r="1816" spans="22:29">
      <c r="V1816"/>
      <c r="W1816" s="62"/>
      <c r="X1816" s="62"/>
      <c r="Y1816" s="62"/>
      <c r="Z1816" s="62"/>
      <c r="AA1816" s="62"/>
      <c r="AB1816" s="62"/>
      <c r="AC1816" s="62"/>
    </row>
    <row r="1817" spans="22:29">
      <c r="V1817"/>
      <c r="W1817" s="62"/>
      <c r="X1817" s="62"/>
      <c r="Y1817" s="62"/>
      <c r="Z1817" s="62"/>
      <c r="AA1817" s="62"/>
      <c r="AB1817" s="62"/>
      <c r="AC1817" s="62"/>
    </row>
    <row r="1818" spans="22:29">
      <c r="V1818"/>
      <c r="W1818" s="62"/>
      <c r="X1818" s="62"/>
      <c r="Y1818" s="62"/>
      <c r="Z1818" s="62"/>
      <c r="AA1818" s="62"/>
      <c r="AB1818" s="62"/>
      <c r="AC1818" s="62"/>
    </row>
    <row r="1819" spans="22:29">
      <c r="V1819"/>
      <c r="W1819" s="62"/>
      <c r="X1819" s="62"/>
      <c r="Y1819" s="62"/>
      <c r="Z1819" s="62"/>
      <c r="AA1819" s="62"/>
      <c r="AB1819" s="62"/>
      <c r="AC1819" s="62"/>
    </row>
    <row r="1820" spans="22:29">
      <c r="V1820"/>
      <c r="W1820" s="62"/>
      <c r="X1820" s="62"/>
      <c r="Y1820" s="62"/>
      <c r="Z1820" s="62"/>
      <c r="AA1820" s="62"/>
      <c r="AB1820" s="62"/>
      <c r="AC1820" s="62"/>
    </row>
    <row r="1821" spans="22:29">
      <c r="V1821"/>
      <c r="W1821" s="62"/>
      <c r="X1821" s="62"/>
      <c r="Y1821" s="62"/>
      <c r="Z1821" s="62"/>
      <c r="AA1821" s="62"/>
      <c r="AB1821" s="62"/>
      <c r="AC1821" s="62"/>
    </row>
    <row r="1822" spans="22:29">
      <c r="V1822"/>
      <c r="W1822" s="62"/>
      <c r="X1822" s="62"/>
      <c r="Y1822" s="62"/>
      <c r="Z1822" s="62"/>
      <c r="AA1822" s="62"/>
      <c r="AB1822" s="62"/>
      <c r="AC1822" s="62"/>
    </row>
    <row r="1823" spans="22:29">
      <c r="V1823"/>
      <c r="W1823" s="62"/>
      <c r="X1823" s="62"/>
      <c r="Y1823" s="62"/>
      <c r="Z1823" s="62"/>
      <c r="AA1823" s="62"/>
      <c r="AB1823" s="62"/>
      <c r="AC1823" s="62"/>
    </row>
    <row r="1824" spans="22:29">
      <c r="V1824"/>
      <c r="W1824" s="62"/>
      <c r="X1824" s="62"/>
      <c r="Y1824" s="62"/>
      <c r="Z1824" s="62"/>
      <c r="AA1824" s="62"/>
      <c r="AB1824" s="62"/>
      <c r="AC1824" s="62"/>
    </row>
    <row r="1825" spans="22:29">
      <c r="V1825"/>
      <c r="W1825" s="62"/>
      <c r="X1825" s="62"/>
      <c r="Y1825" s="62"/>
      <c r="Z1825" s="62"/>
      <c r="AA1825" s="62"/>
      <c r="AB1825" s="62"/>
      <c r="AC1825" s="62"/>
    </row>
    <row r="1826" spans="22:29">
      <c r="V1826"/>
      <c r="W1826" s="62"/>
      <c r="X1826" s="62"/>
      <c r="Y1826" s="62"/>
      <c r="Z1826" s="62"/>
      <c r="AA1826" s="62"/>
      <c r="AB1826" s="62"/>
      <c r="AC1826" s="62"/>
    </row>
    <row r="1827" spans="22:29">
      <c r="V1827"/>
      <c r="W1827" s="62"/>
      <c r="X1827" s="62"/>
      <c r="Y1827" s="62"/>
      <c r="Z1827" s="62"/>
      <c r="AA1827" s="62"/>
      <c r="AB1827" s="62"/>
      <c r="AC1827" s="62"/>
    </row>
    <row r="1828" spans="22:29">
      <c r="V1828"/>
      <c r="W1828" s="62"/>
      <c r="X1828" s="62"/>
      <c r="Y1828" s="62"/>
      <c r="Z1828" s="62"/>
      <c r="AA1828" s="62"/>
      <c r="AB1828" s="62"/>
      <c r="AC1828" s="62"/>
    </row>
    <row r="1829" spans="22:29">
      <c r="V1829"/>
      <c r="W1829" s="62"/>
      <c r="X1829" s="62"/>
      <c r="Y1829" s="62"/>
      <c r="Z1829" s="62"/>
      <c r="AA1829" s="62"/>
      <c r="AB1829" s="62"/>
      <c r="AC1829" s="62"/>
    </row>
    <row r="1830" spans="22:29">
      <c r="V1830"/>
      <c r="W1830" s="62"/>
      <c r="X1830" s="62"/>
      <c r="Y1830" s="62"/>
      <c r="Z1830" s="62"/>
      <c r="AA1830" s="62"/>
      <c r="AB1830" s="62"/>
      <c r="AC1830" s="62"/>
    </row>
    <row r="1831" spans="22:29">
      <c r="V1831"/>
      <c r="W1831" s="62"/>
      <c r="X1831" s="62"/>
      <c r="Y1831" s="62"/>
      <c r="Z1831" s="62"/>
      <c r="AA1831" s="62"/>
      <c r="AB1831" s="62"/>
      <c r="AC1831" s="62"/>
    </row>
    <row r="1832" spans="22:29">
      <c r="V1832"/>
      <c r="W1832" s="62"/>
      <c r="X1832" s="62"/>
      <c r="Y1832" s="62"/>
      <c r="Z1832" s="62"/>
      <c r="AA1832" s="62"/>
      <c r="AB1832" s="62"/>
      <c r="AC1832" s="62"/>
    </row>
    <row r="1833" spans="22:29">
      <c r="V1833"/>
      <c r="W1833" s="62"/>
      <c r="X1833" s="62"/>
      <c r="Y1833" s="62"/>
      <c r="Z1833" s="62"/>
      <c r="AA1833" s="62"/>
      <c r="AB1833" s="62"/>
      <c r="AC1833" s="62"/>
    </row>
    <row r="1834" spans="22:29">
      <c r="V1834"/>
      <c r="W1834" s="62"/>
      <c r="X1834" s="62"/>
      <c r="Y1834" s="62"/>
      <c r="Z1834" s="62"/>
      <c r="AA1834" s="62"/>
      <c r="AB1834" s="62"/>
      <c r="AC1834" s="62"/>
    </row>
    <row r="1835" spans="22:29">
      <c r="V1835"/>
      <c r="W1835" s="62"/>
      <c r="X1835" s="62"/>
      <c r="Y1835" s="62"/>
      <c r="Z1835" s="62"/>
      <c r="AA1835" s="62"/>
      <c r="AB1835" s="62"/>
      <c r="AC1835" s="62"/>
    </row>
    <row r="1836" spans="22:29">
      <c r="V1836"/>
      <c r="W1836" s="62"/>
      <c r="X1836" s="62"/>
      <c r="Y1836" s="62"/>
      <c r="Z1836" s="62"/>
      <c r="AA1836" s="62"/>
      <c r="AB1836" s="62"/>
      <c r="AC1836" s="62"/>
    </row>
    <row r="1837" spans="22:29">
      <c r="V1837"/>
      <c r="W1837" s="62"/>
      <c r="X1837" s="62"/>
      <c r="Y1837" s="62"/>
      <c r="Z1837" s="62"/>
      <c r="AA1837" s="62"/>
      <c r="AB1837" s="62"/>
      <c r="AC1837" s="62"/>
    </row>
    <row r="1838" spans="22:29">
      <c r="V1838"/>
      <c r="W1838" s="62"/>
      <c r="X1838" s="62"/>
      <c r="Y1838" s="62"/>
      <c r="Z1838" s="62"/>
      <c r="AA1838" s="62"/>
      <c r="AB1838" s="62"/>
      <c r="AC1838" s="62"/>
    </row>
    <row r="1839" spans="22:29">
      <c r="V1839"/>
      <c r="W1839" s="62"/>
      <c r="X1839" s="62"/>
      <c r="Y1839" s="62"/>
      <c r="Z1839" s="62"/>
      <c r="AA1839" s="62"/>
      <c r="AB1839" s="62"/>
      <c r="AC1839" s="62"/>
    </row>
    <row r="1840" spans="22:29">
      <c r="V1840"/>
      <c r="W1840" s="62"/>
      <c r="X1840" s="62"/>
      <c r="Y1840" s="62"/>
      <c r="Z1840" s="62"/>
      <c r="AA1840" s="62"/>
      <c r="AB1840" s="62"/>
      <c r="AC1840" s="62"/>
    </row>
    <row r="1841" spans="22:29">
      <c r="V1841"/>
      <c r="W1841" s="62"/>
      <c r="X1841" s="62"/>
      <c r="Y1841" s="62"/>
      <c r="Z1841" s="62"/>
      <c r="AA1841" s="62"/>
      <c r="AB1841" s="62"/>
      <c r="AC1841" s="62"/>
    </row>
    <row r="1842" spans="22:29">
      <c r="V1842"/>
      <c r="W1842" s="62"/>
      <c r="X1842" s="62"/>
      <c r="Y1842" s="62"/>
      <c r="Z1842" s="62"/>
      <c r="AA1842" s="62"/>
      <c r="AB1842" s="62"/>
      <c r="AC1842" s="62"/>
    </row>
    <row r="1843" spans="22:29">
      <c r="V1843"/>
      <c r="W1843" s="62"/>
      <c r="X1843" s="62"/>
      <c r="Y1843" s="62"/>
      <c r="Z1843" s="62"/>
      <c r="AA1843" s="62"/>
      <c r="AB1843" s="62"/>
      <c r="AC1843" s="62"/>
    </row>
    <row r="1844" spans="22:29">
      <c r="V1844"/>
      <c r="W1844" s="62"/>
      <c r="X1844" s="62"/>
      <c r="Y1844" s="62"/>
      <c r="Z1844" s="62"/>
      <c r="AA1844" s="62"/>
      <c r="AB1844" s="62"/>
      <c r="AC1844" s="62"/>
    </row>
    <row r="1845" spans="22:29">
      <c r="V1845"/>
      <c r="W1845" s="62"/>
      <c r="X1845" s="62"/>
      <c r="Y1845" s="62"/>
      <c r="Z1845" s="62"/>
      <c r="AA1845" s="62"/>
      <c r="AB1845" s="62"/>
      <c r="AC1845" s="62"/>
    </row>
    <row r="1846" spans="22:29">
      <c r="V1846"/>
      <c r="W1846" s="62"/>
      <c r="X1846" s="62"/>
      <c r="Y1846" s="62"/>
      <c r="Z1846" s="62"/>
      <c r="AA1846" s="62"/>
      <c r="AB1846" s="62"/>
      <c r="AC1846" s="62"/>
    </row>
    <row r="1847" spans="22:29">
      <c r="V1847"/>
      <c r="W1847" s="62"/>
      <c r="X1847" s="62"/>
      <c r="Y1847" s="62"/>
      <c r="Z1847" s="62"/>
      <c r="AA1847" s="62"/>
      <c r="AB1847" s="62"/>
      <c r="AC1847" s="62"/>
    </row>
    <row r="1848" spans="22:29">
      <c r="V1848"/>
      <c r="W1848" s="62"/>
      <c r="X1848" s="62"/>
      <c r="Y1848" s="62"/>
      <c r="Z1848" s="62"/>
      <c r="AA1848" s="62"/>
      <c r="AB1848" s="62"/>
      <c r="AC1848" s="62"/>
    </row>
    <row r="1849" spans="22:29">
      <c r="V1849"/>
      <c r="W1849" s="62"/>
      <c r="X1849" s="62"/>
      <c r="Y1849" s="62"/>
      <c r="Z1849" s="62"/>
      <c r="AA1849" s="62"/>
      <c r="AB1849" s="62"/>
      <c r="AC1849" s="62"/>
    </row>
    <row r="1850" spans="22:29">
      <c r="V1850"/>
      <c r="W1850" s="62"/>
      <c r="X1850" s="62"/>
      <c r="Y1850" s="62"/>
      <c r="Z1850" s="62"/>
      <c r="AA1850" s="62"/>
      <c r="AB1850" s="62"/>
      <c r="AC1850" s="62"/>
    </row>
    <row r="1851" spans="22:29">
      <c r="V1851"/>
      <c r="W1851" s="62"/>
      <c r="X1851" s="62"/>
      <c r="Y1851" s="62"/>
      <c r="Z1851" s="62"/>
      <c r="AA1851" s="62"/>
      <c r="AB1851" s="62"/>
      <c r="AC1851" s="62"/>
    </row>
    <row r="1852" spans="22:29">
      <c r="V1852"/>
      <c r="W1852" s="62"/>
      <c r="X1852" s="62"/>
      <c r="Y1852" s="62"/>
      <c r="Z1852" s="62"/>
      <c r="AA1852" s="62"/>
      <c r="AB1852" s="62"/>
      <c r="AC1852" s="62"/>
    </row>
    <row r="1853" spans="22:29">
      <c r="V1853"/>
      <c r="W1853" s="62"/>
      <c r="X1853" s="62"/>
      <c r="Y1853" s="62"/>
      <c r="Z1853" s="62"/>
      <c r="AA1853" s="62"/>
      <c r="AB1853" s="62"/>
      <c r="AC1853" s="62"/>
    </row>
    <row r="1854" spans="22:29">
      <c r="V1854"/>
      <c r="W1854" s="62"/>
      <c r="X1854" s="62"/>
      <c r="Y1854" s="62"/>
      <c r="Z1854" s="62"/>
      <c r="AA1854" s="62"/>
      <c r="AB1854" s="62"/>
      <c r="AC1854" s="62"/>
    </row>
    <row r="1855" spans="22:29">
      <c r="V1855"/>
      <c r="W1855" s="62"/>
      <c r="X1855" s="62"/>
      <c r="Y1855" s="62"/>
      <c r="Z1855" s="62"/>
      <c r="AA1855" s="62"/>
      <c r="AB1855" s="62"/>
      <c r="AC1855" s="62"/>
    </row>
    <row r="1856" spans="22:29">
      <c r="V1856"/>
      <c r="W1856" s="62"/>
      <c r="X1856" s="62"/>
      <c r="Y1856" s="62"/>
      <c r="Z1856" s="62"/>
      <c r="AA1856" s="62"/>
      <c r="AB1856" s="62"/>
      <c r="AC1856" s="62"/>
    </row>
    <row r="1857" spans="22:29">
      <c r="V1857"/>
      <c r="W1857" s="62"/>
      <c r="X1857" s="62"/>
      <c r="Y1857" s="62"/>
      <c r="Z1857" s="62"/>
      <c r="AA1857" s="62"/>
      <c r="AB1857" s="62"/>
      <c r="AC1857" s="62"/>
    </row>
    <row r="1858" spans="22:29">
      <c r="V1858"/>
      <c r="W1858" s="62"/>
      <c r="X1858" s="62"/>
      <c r="Y1858" s="62"/>
      <c r="Z1858" s="62"/>
      <c r="AA1858" s="62"/>
      <c r="AB1858" s="62"/>
      <c r="AC1858" s="62"/>
    </row>
    <row r="1859" spans="22:29">
      <c r="V1859"/>
      <c r="W1859" s="62"/>
      <c r="X1859" s="62"/>
      <c r="Y1859" s="62"/>
      <c r="Z1859" s="62"/>
      <c r="AA1859" s="62"/>
      <c r="AB1859" s="62"/>
      <c r="AC1859" s="62"/>
    </row>
    <row r="1860" spans="22:29">
      <c r="V1860"/>
      <c r="W1860" s="62"/>
      <c r="X1860" s="62"/>
      <c r="Y1860" s="62"/>
      <c r="Z1860" s="62"/>
      <c r="AA1860" s="62"/>
      <c r="AB1860" s="62"/>
      <c r="AC1860" s="62"/>
    </row>
    <row r="1861" spans="22:29">
      <c r="V1861"/>
      <c r="W1861" s="62"/>
      <c r="X1861" s="62"/>
      <c r="Y1861" s="62"/>
      <c r="Z1861" s="62"/>
      <c r="AA1861" s="62"/>
      <c r="AB1861" s="62"/>
      <c r="AC1861" s="62"/>
    </row>
    <row r="1862" spans="22:29">
      <c r="V1862"/>
      <c r="W1862" s="62"/>
      <c r="X1862" s="62"/>
      <c r="Y1862" s="62"/>
      <c r="Z1862" s="62"/>
      <c r="AA1862" s="62"/>
      <c r="AB1862" s="62"/>
      <c r="AC1862" s="62"/>
    </row>
    <row r="1863" spans="22:29">
      <c r="V1863"/>
      <c r="W1863" s="62"/>
      <c r="X1863" s="62"/>
      <c r="Y1863" s="62"/>
      <c r="Z1863" s="62"/>
      <c r="AA1863" s="62"/>
      <c r="AB1863" s="62"/>
      <c r="AC1863" s="62"/>
    </row>
    <row r="1864" spans="22:29">
      <c r="V1864"/>
      <c r="W1864" s="62"/>
      <c r="X1864" s="62"/>
      <c r="Y1864" s="62"/>
      <c r="Z1864" s="62"/>
      <c r="AA1864" s="62"/>
      <c r="AB1864" s="62"/>
      <c r="AC1864" s="62"/>
    </row>
    <row r="1865" spans="22:29">
      <c r="V1865"/>
      <c r="W1865" s="62"/>
      <c r="X1865" s="62"/>
      <c r="Y1865" s="62"/>
      <c r="Z1865" s="62"/>
      <c r="AA1865" s="62"/>
      <c r="AB1865" s="62"/>
      <c r="AC1865" s="62"/>
    </row>
    <row r="1866" spans="22:29">
      <c r="V1866"/>
      <c r="W1866" s="62"/>
      <c r="X1866" s="62"/>
      <c r="Y1866" s="62"/>
      <c r="Z1866" s="62"/>
      <c r="AA1866" s="62"/>
      <c r="AB1866" s="62"/>
      <c r="AC1866" s="62"/>
    </row>
    <row r="1867" spans="22:29">
      <c r="V1867"/>
      <c r="W1867" s="62"/>
      <c r="X1867" s="62"/>
      <c r="Y1867" s="62"/>
      <c r="Z1867" s="62"/>
      <c r="AA1867" s="62"/>
      <c r="AB1867" s="62"/>
      <c r="AC1867" s="62"/>
    </row>
    <row r="1868" spans="22:29">
      <c r="V1868"/>
      <c r="W1868" s="62"/>
      <c r="X1868" s="62"/>
      <c r="Y1868" s="62"/>
      <c r="Z1868" s="62"/>
      <c r="AA1868" s="62"/>
      <c r="AB1868" s="62"/>
      <c r="AC1868" s="62"/>
    </row>
    <row r="1869" spans="22:29">
      <c r="V1869"/>
      <c r="W1869" s="62"/>
      <c r="X1869" s="62"/>
      <c r="Y1869" s="62"/>
      <c r="Z1869" s="62"/>
      <c r="AA1869" s="62"/>
      <c r="AB1869" s="62"/>
      <c r="AC1869" s="62"/>
    </row>
    <row r="1870" spans="22:29">
      <c r="V1870"/>
      <c r="W1870" s="62"/>
      <c r="X1870" s="62"/>
      <c r="Y1870" s="62"/>
      <c r="Z1870" s="62"/>
      <c r="AA1870" s="62"/>
      <c r="AB1870" s="62"/>
      <c r="AC1870" s="62"/>
    </row>
    <row r="1871" spans="22:29">
      <c r="V1871"/>
      <c r="W1871" s="62"/>
      <c r="X1871" s="62"/>
      <c r="Y1871" s="62"/>
      <c r="Z1871" s="62"/>
      <c r="AA1871" s="62"/>
      <c r="AB1871" s="62"/>
      <c r="AC1871" s="62"/>
    </row>
    <row r="1872" spans="22:29">
      <c r="V1872"/>
      <c r="W1872" s="62"/>
      <c r="X1872" s="62"/>
      <c r="Y1872" s="62"/>
      <c r="Z1872" s="62"/>
      <c r="AA1872" s="62"/>
      <c r="AB1872" s="62"/>
      <c r="AC1872" s="62"/>
    </row>
    <row r="1873" spans="22:29">
      <c r="V1873"/>
      <c r="W1873" s="62"/>
      <c r="X1873" s="62"/>
      <c r="Y1873" s="62"/>
      <c r="Z1873" s="62"/>
      <c r="AA1873" s="62"/>
      <c r="AB1873" s="62"/>
      <c r="AC1873" s="62"/>
    </row>
    <row r="1874" spans="22:29">
      <c r="V1874"/>
      <c r="W1874" s="62"/>
      <c r="X1874" s="62"/>
      <c r="Y1874" s="62"/>
      <c r="Z1874" s="62"/>
      <c r="AA1874" s="62"/>
      <c r="AB1874" s="62"/>
      <c r="AC1874" s="62"/>
    </row>
    <row r="1875" spans="22:29">
      <c r="V1875"/>
      <c r="W1875" s="62"/>
      <c r="X1875" s="62"/>
      <c r="Y1875" s="62"/>
      <c r="Z1875" s="62"/>
      <c r="AA1875" s="62"/>
      <c r="AB1875" s="62"/>
      <c r="AC1875" s="62"/>
    </row>
    <row r="1876" spans="22:29">
      <c r="V1876"/>
      <c r="W1876" s="62"/>
      <c r="X1876" s="62"/>
      <c r="Y1876" s="62"/>
      <c r="Z1876" s="62"/>
      <c r="AA1876" s="62"/>
      <c r="AB1876" s="62"/>
      <c r="AC1876" s="62"/>
    </row>
    <row r="1877" spans="22:29">
      <c r="V1877"/>
      <c r="W1877" s="62"/>
      <c r="X1877" s="62"/>
      <c r="Y1877" s="62"/>
      <c r="Z1877" s="62"/>
      <c r="AA1877" s="62"/>
      <c r="AB1877" s="62"/>
      <c r="AC1877" s="62"/>
    </row>
    <row r="1878" spans="22:29">
      <c r="V1878"/>
      <c r="W1878" s="62"/>
      <c r="X1878" s="62"/>
      <c r="Y1878" s="62"/>
      <c r="Z1878" s="62"/>
      <c r="AA1878" s="62"/>
      <c r="AB1878" s="62"/>
      <c r="AC1878" s="62"/>
    </row>
    <row r="1879" spans="22:29">
      <c r="V1879"/>
      <c r="W1879" s="62"/>
      <c r="X1879" s="62"/>
      <c r="Y1879" s="62"/>
      <c r="Z1879" s="62"/>
      <c r="AA1879" s="62"/>
      <c r="AB1879" s="62"/>
      <c r="AC1879" s="62"/>
    </row>
    <row r="1880" spans="22:29">
      <c r="V1880"/>
      <c r="W1880" s="62"/>
      <c r="X1880" s="62"/>
      <c r="Y1880" s="62"/>
      <c r="Z1880" s="62"/>
      <c r="AA1880" s="62"/>
      <c r="AB1880" s="62"/>
      <c r="AC1880" s="62"/>
    </row>
    <row r="1881" spans="22:29">
      <c r="V1881"/>
      <c r="W1881" s="62"/>
      <c r="X1881" s="62"/>
      <c r="Y1881" s="62"/>
      <c r="Z1881" s="62"/>
      <c r="AA1881" s="62"/>
      <c r="AB1881" s="62"/>
      <c r="AC1881" s="62"/>
    </row>
    <row r="1882" spans="22:29">
      <c r="V1882"/>
      <c r="W1882" s="62"/>
      <c r="X1882" s="62"/>
      <c r="Y1882" s="62"/>
      <c r="Z1882" s="62"/>
      <c r="AA1882" s="62"/>
      <c r="AB1882" s="62"/>
      <c r="AC1882" s="62"/>
    </row>
    <row r="1883" spans="22:29">
      <c r="V1883"/>
      <c r="W1883" s="62"/>
      <c r="X1883" s="62"/>
      <c r="Y1883" s="62"/>
      <c r="Z1883" s="62"/>
      <c r="AA1883" s="62"/>
      <c r="AB1883" s="62"/>
      <c r="AC1883" s="62"/>
    </row>
    <row r="1884" spans="22:29">
      <c r="V1884"/>
      <c r="W1884" s="62"/>
      <c r="X1884" s="62"/>
      <c r="Y1884" s="62"/>
      <c r="Z1884" s="62"/>
      <c r="AA1884" s="62"/>
      <c r="AB1884" s="62"/>
      <c r="AC1884" s="62"/>
    </row>
    <row r="1885" spans="22:29">
      <c r="V1885"/>
      <c r="W1885" s="62"/>
      <c r="X1885" s="62"/>
      <c r="Y1885" s="62"/>
      <c r="Z1885" s="62"/>
      <c r="AA1885" s="62"/>
      <c r="AB1885" s="62"/>
      <c r="AC1885" s="62"/>
    </row>
    <row r="1886" spans="22:29">
      <c r="V1886"/>
      <c r="W1886" s="62"/>
      <c r="X1886" s="62"/>
      <c r="Y1886" s="62"/>
      <c r="Z1886" s="62"/>
      <c r="AA1886" s="62"/>
      <c r="AB1886" s="62"/>
      <c r="AC1886" s="62"/>
    </row>
    <row r="1887" spans="22:29">
      <c r="V1887"/>
      <c r="W1887" s="62"/>
      <c r="X1887" s="62"/>
      <c r="Y1887" s="62"/>
      <c r="Z1887" s="62"/>
      <c r="AA1887" s="62"/>
      <c r="AB1887" s="62"/>
      <c r="AC1887" s="62"/>
    </row>
    <row r="1888" spans="22:29">
      <c r="V1888"/>
      <c r="W1888" s="62"/>
      <c r="X1888" s="62"/>
      <c r="Y1888" s="62"/>
      <c r="Z1888" s="62"/>
      <c r="AA1888" s="62"/>
      <c r="AB1888" s="62"/>
      <c r="AC1888" s="62"/>
    </row>
    <row r="1889" spans="22:29">
      <c r="V1889"/>
      <c r="W1889" s="62"/>
      <c r="X1889" s="62"/>
      <c r="Y1889" s="62"/>
      <c r="Z1889" s="62"/>
      <c r="AA1889" s="62"/>
      <c r="AB1889" s="62"/>
      <c r="AC1889" s="62"/>
    </row>
    <row r="1890" spans="22:29">
      <c r="V1890"/>
      <c r="W1890" s="62"/>
      <c r="X1890" s="62"/>
      <c r="Y1890" s="62"/>
      <c r="Z1890" s="62"/>
      <c r="AA1890" s="62"/>
      <c r="AB1890" s="62"/>
      <c r="AC1890" s="62"/>
    </row>
    <row r="1891" spans="22:29">
      <c r="V1891"/>
      <c r="W1891" s="62"/>
      <c r="X1891" s="62"/>
      <c r="Y1891" s="62"/>
      <c r="Z1891" s="62"/>
      <c r="AA1891" s="62"/>
      <c r="AB1891" s="62"/>
      <c r="AC1891" s="62"/>
    </row>
    <row r="1892" spans="22:29">
      <c r="V1892"/>
      <c r="W1892" s="62"/>
      <c r="X1892" s="62"/>
      <c r="Y1892" s="62"/>
      <c r="Z1892" s="62"/>
      <c r="AA1892" s="62"/>
      <c r="AB1892" s="62"/>
      <c r="AC1892" s="62"/>
    </row>
    <row r="1893" spans="22:29">
      <c r="V1893"/>
      <c r="W1893" s="62"/>
      <c r="X1893" s="62"/>
      <c r="Y1893" s="62"/>
      <c r="Z1893" s="62"/>
      <c r="AA1893" s="62"/>
      <c r="AB1893" s="62"/>
      <c r="AC1893" s="62"/>
    </row>
    <row r="1894" spans="22:29">
      <c r="V1894"/>
      <c r="W1894" s="62"/>
      <c r="X1894" s="62"/>
      <c r="Y1894" s="62"/>
      <c r="Z1894" s="62"/>
      <c r="AA1894" s="62"/>
      <c r="AB1894" s="62"/>
      <c r="AC1894" s="62"/>
    </row>
    <row r="1895" spans="22:29">
      <c r="V1895"/>
      <c r="W1895" s="62"/>
      <c r="X1895" s="62"/>
      <c r="Y1895" s="62"/>
      <c r="Z1895" s="62"/>
      <c r="AA1895" s="62"/>
      <c r="AB1895" s="62"/>
      <c r="AC1895" s="62"/>
    </row>
    <row r="1896" spans="22:29">
      <c r="V1896"/>
      <c r="W1896" s="62"/>
      <c r="X1896" s="62"/>
      <c r="Y1896" s="62"/>
      <c r="Z1896" s="62"/>
      <c r="AA1896" s="62"/>
      <c r="AB1896" s="62"/>
      <c r="AC1896" s="62"/>
    </row>
    <row r="1897" spans="22:29">
      <c r="V1897"/>
      <c r="W1897" s="62"/>
      <c r="X1897" s="62"/>
      <c r="Y1897" s="62"/>
      <c r="Z1897" s="62"/>
      <c r="AA1897" s="62"/>
      <c r="AB1897" s="62"/>
      <c r="AC1897" s="62"/>
    </row>
    <row r="1898" spans="22:29">
      <c r="V1898"/>
      <c r="W1898" s="62"/>
      <c r="X1898" s="62"/>
      <c r="Y1898" s="62"/>
      <c r="Z1898" s="62"/>
      <c r="AA1898" s="62"/>
      <c r="AB1898" s="62"/>
      <c r="AC1898" s="62"/>
    </row>
    <row r="1899" spans="22:29">
      <c r="V1899"/>
      <c r="W1899" s="62"/>
      <c r="X1899" s="62"/>
      <c r="Y1899" s="62"/>
      <c r="Z1899" s="62"/>
      <c r="AA1899" s="62"/>
      <c r="AB1899" s="62"/>
      <c r="AC1899" s="62"/>
    </row>
    <row r="1900" spans="22:29">
      <c r="V1900"/>
      <c r="W1900" s="62"/>
      <c r="X1900" s="62"/>
      <c r="Y1900" s="62"/>
      <c r="Z1900" s="62"/>
      <c r="AA1900" s="62"/>
      <c r="AB1900" s="62"/>
      <c r="AC1900" s="62"/>
    </row>
    <row r="1901" spans="22:29">
      <c r="V1901"/>
      <c r="W1901" s="62"/>
      <c r="X1901" s="62"/>
      <c r="Y1901" s="62"/>
      <c r="Z1901" s="62"/>
      <c r="AA1901" s="62"/>
      <c r="AB1901" s="62"/>
      <c r="AC1901" s="62"/>
    </row>
    <row r="1902" spans="22:29">
      <c r="V1902"/>
      <c r="W1902" s="62"/>
      <c r="X1902" s="62"/>
      <c r="Y1902" s="62"/>
      <c r="Z1902" s="62"/>
      <c r="AA1902" s="62"/>
      <c r="AB1902" s="62"/>
      <c r="AC1902" s="62"/>
    </row>
    <row r="1903" spans="22:29">
      <c r="V1903"/>
      <c r="W1903" s="62"/>
      <c r="X1903" s="62"/>
      <c r="Y1903" s="62"/>
      <c r="Z1903" s="62"/>
      <c r="AA1903" s="62"/>
      <c r="AB1903" s="62"/>
      <c r="AC1903" s="62"/>
    </row>
    <row r="1904" spans="22:29">
      <c r="V1904"/>
      <c r="W1904" s="62"/>
      <c r="X1904" s="62"/>
      <c r="Y1904" s="62"/>
      <c r="Z1904" s="62"/>
      <c r="AA1904" s="62"/>
      <c r="AB1904" s="62"/>
      <c r="AC1904" s="62"/>
    </row>
    <row r="1905" spans="22:29">
      <c r="V1905"/>
      <c r="W1905" s="62"/>
      <c r="X1905" s="62"/>
      <c r="Y1905" s="62"/>
      <c r="Z1905" s="62"/>
      <c r="AA1905" s="62"/>
      <c r="AB1905" s="62"/>
      <c r="AC1905" s="62"/>
    </row>
    <row r="1906" spans="22:29">
      <c r="V1906"/>
      <c r="W1906" s="62"/>
      <c r="X1906" s="62"/>
      <c r="Y1906" s="62"/>
      <c r="Z1906" s="62"/>
      <c r="AA1906" s="62"/>
      <c r="AB1906" s="62"/>
      <c r="AC1906" s="62"/>
    </row>
    <row r="1907" spans="22:29">
      <c r="V1907"/>
      <c r="W1907" s="62"/>
      <c r="X1907" s="62"/>
      <c r="Y1907" s="62"/>
      <c r="Z1907" s="62"/>
      <c r="AA1907" s="62"/>
      <c r="AB1907" s="62"/>
      <c r="AC1907" s="62"/>
    </row>
    <row r="1908" spans="22:29">
      <c r="V1908"/>
      <c r="W1908" s="62"/>
      <c r="X1908" s="62"/>
      <c r="Y1908" s="62"/>
      <c r="Z1908" s="62"/>
      <c r="AA1908" s="62"/>
      <c r="AB1908" s="62"/>
      <c r="AC1908" s="62"/>
    </row>
    <row r="1909" spans="22:29">
      <c r="V1909"/>
      <c r="W1909" s="62"/>
      <c r="X1909" s="62"/>
      <c r="Y1909" s="62"/>
      <c r="Z1909" s="62"/>
      <c r="AA1909" s="62"/>
      <c r="AB1909" s="62"/>
      <c r="AC1909" s="62"/>
    </row>
    <row r="1910" spans="22:29">
      <c r="V1910"/>
      <c r="W1910" s="62"/>
      <c r="X1910" s="62"/>
      <c r="Y1910" s="62"/>
      <c r="Z1910" s="62"/>
      <c r="AA1910" s="62"/>
      <c r="AB1910" s="62"/>
      <c r="AC1910" s="62"/>
    </row>
    <row r="1911" spans="22:29">
      <c r="V1911"/>
      <c r="W1911" s="62"/>
      <c r="X1911" s="62"/>
      <c r="Y1911" s="62"/>
      <c r="Z1911" s="62"/>
      <c r="AA1911" s="62"/>
      <c r="AB1911" s="62"/>
      <c r="AC1911" s="62"/>
    </row>
    <row r="1912" spans="22:29">
      <c r="V1912"/>
      <c r="W1912" s="62"/>
      <c r="X1912" s="62"/>
      <c r="Y1912" s="62"/>
      <c r="Z1912" s="62"/>
      <c r="AA1912" s="62"/>
      <c r="AB1912" s="62"/>
      <c r="AC1912" s="62"/>
    </row>
    <row r="1913" spans="22:29">
      <c r="V1913"/>
      <c r="W1913" s="62"/>
      <c r="X1913" s="62"/>
      <c r="Y1913" s="62"/>
      <c r="Z1913" s="62"/>
      <c r="AA1913" s="62"/>
      <c r="AB1913" s="62"/>
      <c r="AC1913" s="62"/>
    </row>
    <row r="1914" spans="22:29">
      <c r="V1914"/>
      <c r="W1914" s="62"/>
      <c r="X1914" s="62"/>
      <c r="Y1914" s="62"/>
      <c r="Z1914" s="62"/>
      <c r="AA1914" s="62"/>
      <c r="AB1914" s="62"/>
      <c r="AC1914" s="62"/>
    </row>
    <row r="1915" spans="22:29">
      <c r="V1915"/>
      <c r="W1915" s="62"/>
      <c r="X1915" s="62"/>
      <c r="Y1915" s="62"/>
      <c r="Z1915" s="62"/>
      <c r="AA1915" s="62"/>
      <c r="AB1915" s="62"/>
      <c r="AC1915" s="62"/>
    </row>
    <row r="1916" spans="22:29">
      <c r="V1916"/>
      <c r="W1916" s="62"/>
      <c r="X1916" s="62"/>
      <c r="Y1916" s="62"/>
      <c r="Z1916" s="62"/>
      <c r="AA1916" s="62"/>
      <c r="AB1916" s="62"/>
      <c r="AC1916" s="62"/>
    </row>
    <row r="1917" spans="22:29">
      <c r="V1917"/>
      <c r="W1917" s="62"/>
      <c r="X1917" s="62"/>
      <c r="Y1917" s="62"/>
      <c r="Z1917" s="62"/>
      <c r="AA1917" s="62"/>
      <c r="AB1917" s="62"/>
      <c r="AC1917" s="62"/>
    </row>
    <row r="1918" spans="22:29">
      <c r="V1918"/>
      <c r="W1918" s="62"/>
      <c r="X1918" s="62"/>
      <c r="Y1918" s="62"/>
      <c r="Z1918" s="62"/>
      <c r="AA1918" s="62"/>
      <c r="AB1918" s="62"/>
      <c r="AC1918" s="62"/>
    </row>
    <row r="1919" spans="22:29">
      <c r="V1919"/>
      <c r="W1919" s="62"/>
      <c r="X1919" s="62"/>
      <c r="Y1919" s="62"/>
      <c r="Z1919" s="62"/>
      <c r="AA1919" s="62"/>
      <c r="AB1919" s="62"/>
      <c r="AC1919" s="62"/>
    </row>
    <row r="1920" spans="22:29">
      <c r="V1920"/>
      <c r="W1920" s="62"/>
      <c r="X1920" s="62"/>
      <c r="Y1920" s="62"/>
      <c r="Z1920" s="62"/>
      <c r="AA1920" s="62"/>
      <c r="AB1920" s="62"/>
      <c r="AC1920" s="62"/>
    </row>
    <row r="1921" spans="22:29">
      <c r="V1921"/>
      <c r="W1921" s="62"/>
      <c r="X1921" s="62"/>
      <c r="Y1921" s="62"/>
      <c r="Z1921" s="62"/>
      <c r="AA1921" s="62"/>
      <c r="AB1921" s="62"/>
      <c r="AC1921" s="62"/>
    </row>
    <row r="1922" spans="22:29">
      <c r="V1922"/>
      <c r="W1922" s="62"/>
      <c r="X1922" s="62"/>
      <c r="Y1922" s="62"/>
      <c r="Z1922" s="62"/>
      <c r="AA1922" s="62"/>
      <c r="AB1922" s="62"/>
      <c r="AC1922" s="62"/>
    </row>
    <row r="1923" spans="22:29">
      <c r="V1923"/>
      <c r="W1923" s="62"/>
      <c r="X1923" s="62"/>
      <c r="Y1923" s="62"/>
      <c r="Z1923" s="62"/>
      <c r="AA1923" s="62"/>
      <c r="AB1923" s="62"/>
      <c r="AC1923" s="62"/>
    </row>
    <row r="1924" spans="22:29">
      <c r="V1924"/>
      <c r="W1924" s="62"/>
      <c r="X1924" s="62"/>
      <c r="Y1924" s="62"/>
      <c r="Z1924" s="62"/>
      <c r="AA1924" s="62"/>
      <c r="AB1924" s="62"/>
      <c r="AC1924" s="62"/>
    </row>
    <row r="1925" spans="22:29">
      <c r="V1925"/>
      <c r="W1925" s="62"/>
      <c r="X1925" s="62"/>
      <c r="Y1925" s="62"/>
      <c r="Z1925" s="62"/>
      <c r="AA1925" s="62"/>
      <c r="AB1925" s="62"/>
      <c r="AC1925" s="62"/>
    </row>
    <row r="1926" spans="22:29">
      <c r="V1926"/>
      <c r="W1926" s="62"/>
      <c r="X1926" s="62"/>
      <c r="Y1926" s="62"/>
      <c r="Z1926" s="62"/>
      <c r="AA1926" s="62"/>
      <c r="AB1926" s="62"/>
      <c r="AC1926" s="62"/>
    </row>
    <row r="1927" spans="22:29">
      <c r="V1927"/>
      <c r="W1927" s="62"/>
      <c r="X1927" s="62"/>
      <c r="Y1927" s="62"/>
      <c r="Z1927" s="62"/>
      <c r="AA1927" s="62"/>
      <c r="AB1927" s="62"/>
      <c r="AC1927" s="62"/>
    </row>
    <row r="1928" spans="22:29">
      <c r="V1928"/>
      <c r="W1928" s="62"/>
      <c r="X1928" s="62"/>
      <c r="Y1928" s="62"/>
      <c r="Z1928" s="62"/>
      <c r="AA1928" s="62"/>
      <c r="AB1928" s="62"/>
      <c r="AC1928" s="62"/>
    </row>
    <row r="1929" spans="22:29">
      <c r="V1929"/>
      <c r="W1929" s="62"/>
      <c r="X1929" s="62"/>
      <c r="Y1929" s="62"/>
      <c r="Z1929" s="62"/>
      <c r="AA1929" s="62"/>
      <c r="AB1929" s="62"/>
      <c r="AC1929" s="62"/>
    </row>
    <row r="1930" spans="22:29">
      <c r="V1930"/>
      <c r="W1930" s="62"/>
      <c r="X1930" s="62"/>
      <c r="Y1930" s="62"/>
      <c r="Z1930" s="62"/>
      <c r="AA1930" s="62"/>
      <c r="AB1930" s="62"/>
      <c r="AC1930" s="62"/>
    </row>
    <row r="1931" spans="22:29">
      <c r="V1931"/>
      <c r="W1931" s="62"/>
      <c r="X1931" s="62"/>
      <c r="Y1931" s="62"/>
      <c r="Z1931" s="62"/>
      <c r="AA1931" s="62"/>
      <c r="AB1931" s="62"/>
      <c r="AC1931" s="62"/>
    </row>
    <row r="1932" spans="22:29">
      <c r="V1932"/>
      <c r="W1932" s="62"/>
      <c r="X1932" s="62"/>
      <c r="Y1932" s="62"/>
      <c r="Z1932" s="62"/>
      <c r="AA1932" s="62"/>
      <c r="AB1932" s="62"/>
      <c r="AC1932" s="62"/>
    </row>
    <row r="1933" spans="22:29">
      <c r="V1933"/>
      <c r="W1933" s="62"/>
      <c r="X1933" s="62"/>
      <c r="Y1933" s="62"/>
      <c r="Z1933" s="62"/>
      <c r="AA1933" s="62"/>
      <c r="AB1933" s="62"/>
      <c r="AC1933" s="62"/>
    </row>
    <row r="1934" spans="22:29">
      <c r="V1934"/>
      <c r="W1934" s="62"/>
      <c r="X1934" s="62"/>
      <c r="Y1934" s="62"/>
      <c r="Z1934" s="62"/>
      <c r="AA1934" s="62"/>
      <c r="AB1934" s="62"/>
      <c r="AC1934" s="62"/>
    </row>
    <row r="1935" spans="22:29">
      <c r="V1935"/>
      <c r="W1935" s="62"/>
      <c r="X1935" s="62"/>
      <c r="Y1935" s="62"/>
      <c r="Z1935" s="62"/>
      <c r="AA1935" s="62"/>
      <c r="AB1935" s="62"/>
      <c r="AC1935" s="62"/>
    </row>
    <row r="1936" spans="22:29">
      <c r="V1936"/>
      <c r="W1936" s="62"/>
      <c r="X1936" s="62"/>
      <c r="Y1936" s="62"/>
      <c r="Z1936" s="62"/>
      <c r="AA1936" s="62"/>
      <c r="AB1936" s="62"/>
      <c r="AC1936" s="62"/>
    </row>
    <row r="1937" spans="22:29">
      <c r="V1937"/>
      <c r="W1937" s="62"/>
      <c r="X1937" s="62"/>
      <c r="Y1937" s="62"/>
      <c r="Z1937" s="62"/>
      <c r="AA1937" s="62"/>
      <c r="AB1937" s="62"/>
      <c r="AC1937" s="62"/>
    </row>
    <row r="1938" spans="22:29">
      <c r="V1938"/>
      <c r="W1938" s="62"/>
      <c r="X1938" s="62"/>
      <c r="Y1938" s="62"/>
      <c r="Z1938" s="62"/>
      <c r="AA1938" s="62"/>
      <c r="AB1938" s="62"/>
      <c r="AC1938" s="62"/>
    </row>
    <row r="1939" spans="22:29">
      <c r="V1939"/>
      <c r="W1939" s="62"/>
      <c r="X1939" s="62"/>
      <c r="Y1939" s="62"/>
      <c r="Z1939" s="62"/>
      <c r="AA1939" s="62"/>
      <c r="AB1939" s="62"/>
      <c r="AC1939" s="62"/>
    </row>
    <row r="1940" spans="22:29">
      <c r="V1940"/>
      <c r="W1940" s="62"/>
      <c r="X1940" s="62"/>
      <c r="Y1940" s="62"/>
      <c r="Z1940" s="62"/>
      <c r="AA1940" s="62"/>
      <c r="AB1940" s="62"/>
      <c r="AC1940" s="62"/>
    </row>
    <row r="1941" spans="22:29">
      <c r="V1941"/>
      <c r="W1941" s="62"/>
      <c r="X1941" s="62"/>
      <c r="Y1941" s="62"/>
      <c r="Z1941" s="62"/>
      <c r="AA1941" s="62"/>
      <c r="AB1941" s="62"/>
      <c r="AC1941" s="62"/>
    </row>
    <row r="1942" spans="22:29">
      <c r="V1942"/>
      <c r="W1942" s="62"/>
      <c r="X1942" s="62"/>
      <c r="Y1942" s="62"/>
      <c r="Z1942" s="62"/>
      <c r="AA1942" s="62"/>
      <c r="AB1942" s="62"/>
      <c r="AC1942" s="62"/>
    </row>
    <row r="1943" spans="22:29">
      <c r="V1943"/>
      <c r="W1943" s="62"/>
      <c r="X1943" s="62"/>
      <c r="Y1943" s="62"/>
      <c r="Z1943" s="62"/>
      <c r="AA1943" s="62"/>
      <c r="AB1943" s="62"/>
      <c r="AC1943" s="62"/>
    </row>
    <row r="1944" spans="22:29">
      <c r="V1944"/>
      <c r="W1944" s="62"/>
      <c r="X1944" s="62"/>
      <c r="Y1944" s="62"/>
      <c r="Z1944" s="62"/>
      <c r="AA1944" s="62"/>
      <c r="AB1944" s="62"/>
      <c r="AC1944" s="62"/>
    </row>
    <row r="1945" spans="22:29">
      <c r="V1945"/>
      <c r="W1945" s="62"/>
      <c r="X1945" s="62"/>
      <c r="Y1945" s="62"/>
      <c r="Z1945" s="62"/>
      <c r="AA1945" s="62"/>
      <c r="AB1945" s="62"/>
      <c r="AC1945" s="62"/>
    </row>
    <row r="1946" spans="22:29">
      <c r="V1946"/>
      <c r="W1946" s="62"/>
      <c r="X1946" s="62"/>
      <c r="Y1946" s="62"/>
      <c r="Z1946" s="62"/>
      <c r="AA1946" s="62"/>
      <c r="AB1946" s="62"/>
      <c r="AC1946" s="62"/>
    </row>
    <row r="1947" spans="22:29">
      <c r="V1947"/>
      <c r="W1947" s="62"/>
      <c r="X1947" s="62"/>
      <c r="Y1947" s="62"/>
      <c r="Z1947" s="62"/>
      <c r="AA1947" s="62"/>
      <c r="AB1947" s="62"/>
      <c r="AC1947" s="62"/>
    </row>
    <row r="1948" spans="22:29">
      <c r="V1948"/>
      <c r="W1948" s="62"/>
      <c r="X1948" s="62"/>
      <c r="Y1948" s="62"/>
      <c r="Z1948" s="62"/>
      <c r="AA1948" s="62"/>
      <c r="AB1948" s="62"/>
      <c r="AC1948" s="62"/>
    </row>
    <row r="1949" spans="22:29">
      <c r="V1949"/>
      <c r="W1949" s="62"/>
      <c r="X1949" s="62"/>
      <c r="Y1949" s="62"/>
      <c r="Z1949" s="62"/>
      <c r="AA1949" s="62"/>
      <c r="AB1949" s="62"/>
      <c r="AC1949" s="62"/>
    </row>
    <row r="1950" spans="22:29">
      <c r="V1950"/>
      <c r="W1950" s="62"/>
      <c r="X1950" s="62"/>
      <c r="Y1950" s="62"/>
      <c r="Z1950" s="62"/>
      <c r="AA1950" s="62"/>
      <c r="AB1950" s="62"/>
      <c r="AC1950" s="62"/>
    </row>
    <row r="1951" spans="22:29">
      <c r="V1951"/>
      <c r="W1951" s="62"/>
      <c r="X1951" s="62"/>
      <c r="Y1951" s="62"/>
      <c r="Z1951" s="62"/>
      <c r="AA1951" s="62"/>
      <c r="AB1951" s="62"/>
      <c r="AC1951" s="62"/>
    </row>
    <row r="1952" spans="22:29">
      <c r="V1952"/>
      <c r="W1952" s="62"/>
      <c r="X1952" s="62"/>
      <c r="Y1952" s="62"/>
      <c r="Z1952" s="62"/>
      <c r="AA1952" s="62"/>
      <c r="AB1952" s="62"/>
      <c r="AC1952" s="62"/>
    </row>
    <row r="1953" spans="22:29">
      <c r="V1953"/>
      <c r="W1953" s="62"/>
      <c r="X1953" s="62"/>
      <c r="Y1953" s="62"/>
      <c r="Z1953" s="62"/>
      <c r="AA1953" s="62"/>
      <c r="AB1953" s="62"/>
      <c r="AC1953" s="62"/>
    </row>
    <row r="1954" spans="22:29">
      <c r="V1954"/>
      <c r="W1954" s="62"/>
      <c r="X1954" s="62"/>
      <c r="Y1954" s="62"/>
      <c r="Z1954" s="62"/>
      <c r="AA1954" s="62"/>
      <c r="AB1954" s="62"/>
      <c r="AC1954" s="62"/>
    </row>
    <row r="1955" spans="22:29">
      <c r="V1955"/>
      <c r="W1955" s="62"/>
      <c r="X1955" s="62"/>
      <c r="Y1955" s="62"/>
      <c r="Z1955" s="62"/>
      <c r="AA1955" s="62"/>
      <c r="AB1955" s="62"/>
      <c r="AC1955" s="62"/>
    </row>
    <row r="1956" spans="22:29">
      <c r="V1956"/>
      <c r="W1956" s="62"/>
      <c r="X1956" s="62"/>
      <c r="Y1956" s="62"/>
      <c r="Z1956" s="62"/>
      <c r="AA1956" s="62"/>
      <c r="AB1956" s="62"/>
      <c r="AC1956" s="62"/>
    </row>
    <row r="1957" spans="22:29">
      <c r="V1957"/>
      <c r="W1957" s="62"/>
      <c r="X1957" s="62"/>
      <c r="Y1957" s="62"/>
      <c r="Z1957" s="62"/>
      <c r="AA1957" s="62"/>
      <c r="AB1957" s="62"/>
      <c r="AC1957" s="62"/>
    </row>
    <row r="1958" spans="22:29">
      <c r="V1958"/>
      <c r="W1958" s="62"/>
      <c r="X1958" s="62"/>
      <c r="Y1958" s="62"/>
      <c r="Z1958" s="62"/>
      <c r="AA1958" s="62"/>
      <c r="AB1958" s="62"/>
      <c r="AC1958" s="62"/>
    </row>
    <row r="1959" spans="22:29">
      <c r="V1959"/>
      <c r="W1959" s="62"/>
      <c r="X1959" s="62"/>
      <c r="Y1959" s="62"/>
      <c r="Z1959" s="62"/>
      <c r="AA1959" s="62"/>
      <c r="AB1959" s="62"/>
      <c r="AC1959" s="62"/>
    </row>
    <row r="1960" spans="22:29">
      <c r="V1960"/>
      <c r="W1960" s="62"/>
      <c r="X1960" s="62"/>
      <c r="Y1960" s="62"/>
      <c r="Z1960" s="62"/>
      <c r="AA1960" s="62"/>
      <c r="AB1960" s="62"/>
      <c r="AC1960" s="62"/>
    </row>
    <row r="1961" spans="22:29">
      <c r="V1961"/>
      <c r="W1961" s="62"/>
      <c r="X1961" s="62"/>
      <c r="Y1961" s="62"/>
      <c r="Z1961" s="62"/>
      <c r="AA1961" s="62"/>
      <c r="AB1961" s="62"/>
      <c r="AC1961" s="62"/>
    </row>
    <row r="1962" spans="22:29">
      <c r="V1962"/>
      <c r="W1962" s="62"/>
      <c r="X1962" s="62"/>
      <c r="Y1962" s="62"/>
      <c r="Z1962" s="62"/>
      <c r="AA1962" s="62"/>
      <c r="AB1962" s="62"/>
      <c r="AC1962" s="62"/>
    </row>
    <row r="1963" spans="22:29">
      <c r="V1963"/>
      <c r="W1963" s="62"/>
      <c r="X1963" s="62"/>
      <c r="Y1963" s="62"/>
      <c r="Z1963" s="62"/>
      <c r="AA1963" s="62"/>
      <c r="AB1963" s="62"/>
      <c r="AC1963" s="62"/>
    </row>
    <row r="1964" spans="22:29">
      <c r="V1964"/>
      <c r="W1964" s="62"/>
      <c r="X1964" s="62"/>
      <c r="Y1964" s="62"/>
      <c r="Z1964" s="62"/>
      <c r="AA1964" s="62"/>
      <c r="AB1964" s="62"/>
      <c r="AC1964" s="62"/>
    </row>
    <row r="1965" spans="22:29">
      <c r="V1965"/>
      <c r="W1965" s="62"/>
      <c r="X1965" s="62"/>
      <c r="Y1965" s="62"/>
      <c r="Z1965" s="62"/>
      <c r="AA1965" s="62"/>
      <c r="AB1965" s="62"/>
      <c r="AC1965" s="62"/>
    </row>
    <row r="1966" spans="22:29">
      <c r="V1966"/>
      <c r="W1966" s="62"/>
      <c r="X1966" s="62"/>
      <c r="Y1966" s="62"/>
      <c r="Z1966" s="62"/>
      <c r="AA1966" s="62"/>
      <c r="AB1966" s="62"/>
      <c r="AC1966" s="62"/>
    </row>
    <row r="1967" spans="22:29">
      <c r="V1967"/>
      <c r="W1967" s="62"/>
      <c r="X1967" s="62"/>
      <c r="Y1967" s="62"/>
      <c r="Z1967" s="62"/>
      <c r="AA1967" s="62"/>
      <c r="AB1967" s="62"/>
      <c r="AC1967" s="62"/>
    </row>
    <row r="1968" spans="22:29">
      <c r="V1968"/>
      <c r="W1968" s="62"/>
      <c r="X1968" s="62"/>
      <c r="Y1968" s="62"/>
      <c r="Z1968" s="62"/>
      <c r="AA1968" s="62"/>
      <c r="AB1968" s="62"/>
      <c r="AC1968" s="62"/>
    </row>
    <row r="1969" spans="22:29">
      <c r="V1969"/>
      <c r="W1969" s="62"/>
      <c r="X1969" s="62"/>
      <c r="Y1969" s="62"/>
      <c r="Z1969" s="62"/>
      <c r="AA1969" s="62"/>
      <c r="AB1969" s="62"/>
      <c r="AC1969" s="62"/>
    </row>
    <row r="1970" spans="22:29">
      <c r="V1970"/>
      <c r="W1970" s="62"/>
      <c r="X1970" s="62"/>
      <c r="Y1970" s="62"/>
      <c r="Z1970" s="62"/>
      <c r="AA1970" s="62"/>
      <c r="AB1970" s="62"/>
      <c r="AC1970" s="62"/>
    </row>
    <row r="1971" spans="22:29">
      <c r="V1971"/>
      <c r="W1971" s="62"/>
      <c r="X1971" s="62"/>
      <c r="Y1971" s="62"/>
      <c r="Z1971" s="62"/>
      <c r="AA1971" s="62"/>
      <c r="AB1971" s="62"/>
      <c r="AC1971" s="62"/>
    </row>
    <row r="1972" spans="22:29">
      <c r="V1972"/>
      <c r="W1972" s="62"/>
      <c r="X1972" s="62"/>
      <c r="Y1972" s="62"/>
      <c r="Z1972" s="62"/>
      <c r="AA1972" s="62"/>
      <c r="AB1972" s="62"/>
      <c r="AC1972" s="62"/>
    </row>
    <row r="1973" spans="22:29">
      <c r="V1973"/>
      <c r="W1973" s="62"/>
      <c r="X1973" s="62"/>
      <c r="Y1973" s="62"/>
      <c r="Z1973" s="62"/>
      <c r="AA1973" s="62"/>
      <c r="AB1973" s="62"/>
      <c r="AC1973" s="62"/>
    </row>
    <row r="1974" spans="22:29">
      <c r="V1974"/>
      <c r="W1974" s="62"/>
      <c r="X1974" s="62"/>
      <c r="Y1974" s="62"/>
      <c r="Z1974" s="62"/>
      <c r="AA1974" s="62"/>
      <c r="AB1974" s="62"/>
      <c r="AC1974" s="62"/>
    </row>
    <row r="1975" spans="22:29">
      <c r="V1975"/>
      <c r="W1975" s="62"/>
      <c r="X1975" s="62"/>
      <c r="Y1975" s="62"/>
      <c r="Z1975" s="62"/>
      <c r="AA1975" s="62"/>
      <c r="AB1975" s="62"/>
      <c r="AC1975" s="62"/>
    </row>
    <row r="1976" spans="22:29">
      <c r="V1976"/>
      <c r="W1976" s="62"/>
      <c r="X1976" s="62"/>
      <c r="Y1976" s="62"/>
      <c r="Z1976" s="62"/>
      <c r="AA1976" s="62"/>
      <c r="AB1976" s="62"/>
      <c r="AC1976" s="62"/>
    </row>
    <row r="1977" spans="22:29">
      <c r="V1977"/>
      <c r="W1977" s="62"/>
      <c r="X1977" s="62"/>
      <c r="Y1977" s="62"/>
      <c r="Z1977" s="62"/>
      <c r="AA1977" s="62"/>
      <c r="AB1977" s="62"/>
      <c r="AC1977" s="62"/>
    </row>
    <row r="1978" spans="22:29">
      <c r="V1978"/>
      <c r="W1978" s="62"/>
      <c r="X1978" s="62"/>
      <c r="Y1978" s="62"/>
      <c r="Z1978" s="62"/>
      <c r="AA1978" s="62"/>
      <c r="AB1978" s="62"/>
      <c r="AC1978" s="62"/>
    </row>
    <row r="1979" spans="22:29">
      <c r="V1979"/>
      <c r="W1979" s="62"/>
      <c r="X1979" s="62"/>
      <c r="Y1979" s="62"/>
      <c r="Z1979" s="62"/>
      <c r="AA1979" s="62"/>
      <c r="AB1979" s="62"/>
      <c r="AC1979" s="62"/>
    </row>
    <row r="1980" spans="22:29">
      <c r="V1980"/>
      <c r="W1980" s="62"/>
      <c r="X1980" s="62"/>
      <c r="Y1980" s="62"/>
      <c r="Z1980" s="62"/>
      <c r="AA1980" s="62"/>
      <c r="AB1980" s="62"/>
      <c r="AC1980" s="62"/>
    </row>
    <row r="1981" spans="22:29">
      <c r="V1981"/>
      <c r="W1981" s="62"/>
      <c r="X1981" s="62"/>
      <c r="Y1981" s="62"/>
      <c r="Z1981" s="62"/>
      <c r="AA1981" s="62"/>
      <c r="AB1981" s="62"/>
      <c r="AC1981" s="62"/>
    </row>
    <row r="1982" spans="22:29">
      <c r="V1982"/>
      <c r="W1982" s="62"/>
      <c r="X1982" s="62"/>
      <c r="Y1982" s="62"/>
      <c r="Z1982" s="62"/>
      <c r="AA1982" s="62"/>
      <c r="AB1982" s="62"/>
      <c r="AC1982" s="62"/>
    </row>
    <row r="1983" spans="22:29">
      <c r="V1983"/>
      <c r="W1983" s="62"/>
      <c r="X1983" s="62"/>
      <c r="Y1983" s="62"/>
      <c r="Z1983" s="62"/>
      <c r="AA1983" s="62"/>
      <c r="AB1983" s="62"/>
      <c r="AC1983" s="62"/>
    </row>
    <row r="1984" spans="22:29">
      <c r="V1984"/>
      <c r="W1984" s="62"/>
      <c r="X1984" s="62"/>
      <c r="Y1984" s="62"/>
      <c r="Z1984" s="62"/>
      <c r="AA1984" s="62"/>
      <c r="AB1984" s="62"/>
      <c r="AC1984" s="62"/>
    </row>
    <row r="1985" spans="22:29">
      <c r="V1985"/>
      <c r="W1985" s="62"/>
      <c r="X1985" s="62"/>
      <c r="Y1985" s="62"/>
      <c r="Z1985" s="62"/>
      <c r="AA1985" s="62"/>
      <c r="AB1985" s="62"/>
      <c r="AC1985" s="62"/>
    </row>
    <row r="1986" spans="22:29">
      <c r="V1986"/>
      <c r="W1986" s="62"/>
      <c r="X1986" s="62"/>
      <c r="Y1986" s="62"/>
      <c r="Z1986" s="62"/>
      <c r="AA1986" s="62"/>
      <c r="AB1986" s="62"/>
      <c r="AC1986" s="62"/>
    </row>
    <row r="1987" spans="22:29">
      <c r="V1987"/>
      <c r="W1987" s="62"/>
      <c r="X1987" s="62"/>
      <c r="Y1987" s="62"/>
      <c r="Z1987" s="62"/>
      <c r="AA1987" s="62"/>
      <c r="AB1987" s="62"/>
      <c r="AC1987" s="62"/>
    </row>
    <row r="1988" spans="22:29">
      <c r="V1988"/>
      <c r="W1988" s="62"/>
      <c r="X1988" s="62"/>
      <c r="Y1988" s="62"/>
      <c r="Z1988" s="62"/>
      <c r="AA1988" s="62"/>
      <c r="AB1988" s="62"/>
      <c r="AC1988" s="62"/>
    </row>
    <row r="1989" spans="22:29">
      <c r="V1989"/>
      <c r="W1989" s="62"/>
      <c r="X1989" s="62"/>
      <c r="Y1989" s="62"/>
      <c r="Z1989" s="62"/>
      <c r="AA1989" s="62"/>
      <c r="AB1989" s="62"/>
      <c r="AC1989" s="62"/>
    </row>
    <row r="1990" spans="22:29">
      <c r="V1990"/>
      <c r="W1990" s="62"/>
      <c r="X1990" s="62"/>
      <c r="Y1990" s="62"/>
      <c r="Z1990" s="62"/>
      <c r="AA1990" s="62"/>
      <c r="AB1990" s="62"/>
      <c r="AC1990" s="62"/>
    </row>
    <row r="1991" spans="22:29">
      <c r="V1991"/>
      <c r="W1991" s="62"/>
      <c r="X1991" s="62"/>
      <c r="Y1991" s="62"/>
      <c r="Z1991" s="62"/>
      <c r="AA1991" s="62"/>
      <c r="AB1991" s="62"/>
      <c r="AC1991" s="62"/>
    </row>
    <row r="1992" spans="22:29">
      <c r="V1992"/>
      <c r="W1992" s="62"/>
      <c r="X1992" s="62"/>
      <c r="Y1992" s="62"/>
      <c r="Z1992" s="62"/>
      <c r="AA1992" s="62"/>
      <c r="AB1992" s="62"/>
      <c r="AC1992" s="62"/>
    </row>
    <row r="1993" spans="22:29">
      <c r="V1993"/>
      <c r="W1993" s="62"/>
      <c r="X1993" s="62"/>
      <c r="Y1993" s="62"/>
      <c r="Z1993" s="62"/>
      <c r="AA1993" s="62"/>
      <c r="AB1993" s="62"/>
      <c r="AC1993" s="62"/>
    </row>
    <row r="1994" spans="22:29">
      <c r="V1994"/>
      <c r="W1994" s="62"/>
      <c r="X1994" s="62"/>
      <c r="Y1994" s="62"/>
      <c r="Z1994" s="62"/>
      <c r="AA1994" s="62"/>
      <c r="AB1994" s="62"/>
      <c r="AC1994" s="62"/>
    </row>
    <row r="1995" spans="22:29">
      <c r="V1995"/>
      <c r="W1995" s="62"/>
      <c r="X1995" s="62"/>
      <c r="Y1995" s="62"/>
      <c r="Z1995" s="62"/>
      <c r="AA1995" s="62"/>
      <c r="AB1995" s="62"/>
      <c r="AC1995" s="62"/>
    </row>
    <row r="1996" spans="22:29">
      <c r="V1996"/>
      <c r="W1996" s="62"/>
      <c r="X1996" s="62"/>
      <c r="Y1996" s="62"/>
      <c r="Z1996" s="62"/>
      <c r="AA1996" s="62"/>
      <c r="AB1996" s="62"/>
      <c r="AC1996" s="62"/>
    </row>
    <row r="1997" spans="22:29">
      <c r="V1997"/>
      <c r="W1997" s="62"/>
      <c r="X1997" s="62"/>
      <c r="Y1997" s="62"/>
      <c r="Z1997" s="62"/>
      <c r="AA1997" s="62"/>
      <c r="AB1997" s="62"/>
      <c r="AC1997" s="62"/>
    </row>
    <row r="1998" spans="22:29">
      <c r="V1998"/>
      <c r="W1998" s="62"/>
      <c r="X1998" s="62"/>
      <c r="Y1998" s="62"/>
      <c r="Z1998" s="62"/>
      <c r="AA1998" s="62"/>
      <c r="AB1998" s="62"/>
      <c r="AC1998" s="62"/>
    </row>
    <row r="1999" spans="22:29">
      <c r="V1999"/>
      <c r="W1999" s="62"/>
      <c r="X1999" s="62"/>
      <c r="Y1999" s="62"/>
      <c r="Z1999" s="62"/>
      <c r="AA1999" s="62"/>
      <c r="AB1999" s="62"/>
      <c r="AC1999" s="62"/>
    </row>
    <row r="2000" spans="22:29">
      <c r="V2000"/>
      <c r="W2000" s="62"/>
      <c r="X2000" s="62"/>
      <c r="Y2000" s="62"/>
      <c r="Z2000" s="62"/>
      <c r="AA2000" s="62"/>
      <c r="AB2000" s="62"/>
      <c r="AC2000" s="62"/>
    </row>
    <row r="2001" spans="22:29">
      <c r="V2001"/>
      <c r="W2001" s="62"/>
      <c r="X2001" s="62"/>
      <c r="Y2001" s="62"/>
      <c r="Z2001" s="62"/>
      <c r="AA2001" s="62"/>
      <c r="AB2001" s="62"/>
      <c r="AC2001" s="62"/>
    </row>
    <row r="2002" spans="22:29">
      <c r="V2002"/>
      <c r="W2002" s="62"/>
      <c r="X2002" s="62"/>
      <c r="Y2002" s="62"/>
      <c r="Z2002" s="62"/>
      <c r="AA2002" s="62"/>
      <c r="AB2002" s="62"/>
      <c r="AC2002" s="62"/>
    </row>
    <row r="2003" spans="22:29">
      <c r="V2003"/>
      <c r="W2003" s="62"/>
      <c r="X2003" s="62"/>
      <c r="Y2003" s="62"/>
      <c r="Z2003" s="62"/>
      <c r="AA2003" s="62"/>
      <c r="AB2003" s="62"/>
      <c r="AC2003" s="62"/>
    </row>
    <row r="2004" spans="22:29">
      <c r="V2004"/>
      <c r="W2004" s="62"/>
      <c r="X2004" s="62"/>
      <c r="Y2004" s="62"/>
      <c r="Z2004" s="62"/>
      <c r="AA2004" s="62"/>
      <c r="AB2004" s="62"/>
      <c r="AC2004" s="62"/>
    </row>
    <row r="2005" spans="22:29">
      <c r="V2005"/>
      <c r="W2005" s="62"/>
      <c r="X2005" s="62"/>
      <c r="Y2005" s="62"/>
      <c r="Z2005" s="62"/>
      <c r="AA2005" s="62"/>
      <c r="AB2005" s="62"/>
      <c r="AC2005" s="62"/>
    </row>
    <row r="2006" spans="22:29">
      <c r="V2006"/>
      <c r="W2006" s="62"/>
      <c r="X2006" s="62"/>
      <c r="Y2006" s="62"/>
      <c r="Z2006" s="62"/>
      <c r="AA2006" s="62"/>
      <c r="AB2006" s="62"/>
      <c r="AC2006" s="62"/>
    </row>
    <row r="2007" spans="22:29">
      <c r="V2007"/>
      <c r="W2007" s="62"/>
      <c r="X2007" s="62"/>
      <c r="Y2007" s="62"/>
      <c r="Z2007" s="62"/>
      <c r="AA2007" s="62"/>
      <c r="AB2007" s="62"/>
      <c r="AC2007" s="62"/>
    </row>
    <row r="2008" spans="22:29">
      <c r="V2008"/>
      <c r="W2008" s="62"/>
      <c r="X2008" s="62"/>
      <c r="Y2008" s="62"/>
      <c r="Z2008" s="62"/>
      <c r="AA2008" s="62"/>
      <c r="AB2008" s="62"/>
      <c r="AC2008" s="62"/>
    </row>
    <row r="2009" spans="22:29">
      <c r="V2009"/>
      <c r="W2009" s="62"/>
      <c r="X2009" s="62"/>
      <c r="Y2009" s="62"/>
      <c r="Z2009" s="62"/>
      <c r="AA2009" s="62"/>
      <c r="AB2009" s="62"/>
      <c r="AC2009" s="62"/>
    </row>
    <row r="2010" spans="22:29">
      <c r="V2010"/>
      <c r="W2010" s="62"/>
      <c r="X2010" s="62"/>
      <c r="Y2010" s="62"/>
      <c r="Z2010" s="62"/>
      <c r="AA2010" s="62"/>
      <c r="AB2010" s="62"/>
      <c r="AC2010" s="62"/>
    </row>
    <row r="2011" spans="22:29">
      <c r="V2011"/>
      <c r="W2011" s="62"/>
      <c r="X2011" s="62"/>
      <c r="Y2011" s="62"/>
      <c r="Z2011" s="62"/>
      <c r="AA2011" s="62"/>
      <c r="AB2011" s="62"/>
      <c r="AC2011" s="62"/>
    </row>
    <row r="2012" spans="22:29">
      <c r="V2012"/>
      <c r="W2012" s="62"/>
      <c r="X2012" s="62"/>
      <c r="Y2012" s="62"/>
      <c r="Z2012" s="62"/>
      <c r="AA2012" s="62"/>
      <c r="AB2012" s="62"/>
      <c r="AC2012" s="62"/>
    </row>
    <row r="2013" spans="22:29">
      <c r="V2013"/>
      <c r="W2013" s="62"/>
      <c r="X2013" s="62"/>
      <c r="Y2013" s="62"/>
      <c r="Z2013" s="62"/>
      <c r="AA2013" s="62"/>
      <c r="AB2013" s="62"/>
      <c r="AC2013" s="62"/>
    </row>
    <row r="2014" spans="22:29">
      <c r="V2014"/>
      <c r="W2014" s="62"/>
      <c r="X2014" s="62"/>
      <c r="Y2014" s="62"/>
      <c r="Z2014" s="62"/>
      <c r="AA2014" s="62"/>
      <c r="AB2014" s="62"/>
      <c r="AC2014" s="62"/>
    </row>
    <row r="2015" spans="22:29">
      <c r="V2015"/>
      <c r="W2015" s="62"/>
      <c r="X2015" s="62"/>
      <c r="Y2015" s="62"/>
      <c r="Z2015" s="62"/>
      <c r="AA2015" s="62"/>
      <c r="AB2015" s="62"/>
      <c r="AC2015" s="62"/>
    </row>
    <row r="2016" spans="22:29">
      <c r="V2016"/>
      <c r="W2016" s="62"/>
      <c r="X2016" s="62"/>
      <c r="Y2016" s="62"/>
      <c r="Z2016" s="62"/>
      <c r="AA2016" s="62"/>
      <c r="AB2016" s="62"/>
      <c r="AC2016" s="62"/>
    </row>
    <row r="2017" spans="22:29">
      <c r="V2017"/>
      <c r="W2017" s="62"/>
      <c r="X2017" s="62"/>
      <c r="Y2017" s="62"/>
      <c r="Z2017" s="62"/>
      <c r="AA2017" s="62"/>
      <c r="AB2017" s="62"/>
      <c r="AC2017" s="62"/>
    </row>
    <row r="2018" spans="22:29">
      <c r="V2018"/>
      <c r="W2018" s="62"/>
      <c r="X2018" s="62"/>
      <c r="Y2018" s="62"/>
      <c r="Z2018" s="62"/>
      <c r="AA2018" s="62"/>
      <c r="AB2018" s="62"/>
      <c r="AC2018" s="62"/>
    </row>
    <row r="2019" spans="22:29">
      <c r="V2019"/>
      <c r="W2019" s="62"/>
      <c r="X2019" s="62"/>
      <c r="Y2019" s="62"/>
      <c r="Z2019" s="62"/>
      <c r="AA2019" s="62"/>
      <c r="AB2019" s="62"/>
      <c r="AC2019" s="62"/>
    </row>
    <row r="2020" spans="22:29">
      <c r="V2020"/>
      <c r="W2020" s="62"/>
      <c r="X2020" s="62"/>
      <c r="Y2020" s="62"/>
      <c r="Z2020" s="62"/>
      <c r="AA2020" s="62"/>
      <c r="AB2020" s="62"/>
      <c r="AC2020" s="62"/>
    </row>
    <row r="2021" spans="22:29">
      <c r="V2021"/>
      <c r="W2021" s="62"/>
      <c r="X2021" s="62"/>
      <c r="Y2021" s="62"/>
      <c r="Z2021" s="62"/>
      <c r="AA2021" s="62"/>
      <c r="AB2021" s="62"/>
      <c r="AC2021" s="62"/>
    </row>
    <row r="2022" spans="22:29">
      <c r="V2022"/>
      <c r="W2022" s="62"/>
      <c r="X2022" s="62"/>
      <c r="Y2022" s="62"/>
      <c r="Z2022" s="62"/>
      <c r="AA2022" s="62"/>
      <c r="AB2022" s="62"/>
      <c r="AC2022" s="62"/>
    </row>
    <row r="2023" spans="22:29">
      <c r="V2023"/>
      <c r="W2023" s="62"/>
      <c r="X2023" s="62"/>
      <c r="Y2023" s="62"/>
      <c r="Z2023" s="62"/>
      <c r="AA2023" s="62"/>
      <c r="AB2023" s="62"/>
      <c r="AC2023" s="62"/>
    </row>
    <row r="2024" spans="22:29">
      <c r="V2024"/>
      <c r="W2024" s="62"/>
      <c r="X2024" s="62"/>
      <c r="Y2024" s="62"/>
      <c r="Z2024" s="62"/>
      <c r="AA2024" s="62"/>
      <c r="AB2024" s="62"/>
      <c r="AC2024" s="62"/>
    </row>
    <row r="2025" spans="22:29">
      <c r="V2025"/>
      <c r="W2025" s="62"/>
      <c r="X2025" s="62"/>
      <c r="Y2025" s="62"/>
      <c r="Z2025" s="62"/>
      <c r="AA2025" s="62"/>
      <c r="AB2025" s="62"/>
      <c r="AC2025" s="62"/>
    </row>
  </sheetData>
  <mergeCells count="2">
    <mergeCell ref="Y8:AB8"/>
    <mergeCell ref="AC8:AG8"/>
  </mergeCells>
  <pageMargins left="0.7" right="0.7" top="0.75" bottom="0.75" header="0.3" footer="0.3"/>
  <pageSetup paperSize="9" orientation="portrait" horizontalDpi="200" verticalDpi="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Ingreso</vt:lpstr>
      <vt:lpstr>Informe Kelly</vt:lpstr>
      <vt:lpstr>Control informe Kelly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mmesias</cp:lastModifiedBy>
  <cp:lastPrinted>2009-05-06T13:00:05Z</cp:lastPrinted>
  <dcterms:created xsi:type="dcterms:W3CDTF">2002-02-26T04:08:33Z</dcterms:created>
  <dcterms:modified xsi:type="dcterms:W3CDTF">2011-05-23T12:55:18Z</dcterms:modified>
</cp:coreProperties>
</file>